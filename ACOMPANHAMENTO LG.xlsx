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dycarlos.galvao\Downloads\"/>
    </mc:Choice>
  </mc:AlternateContent>
  <xr:revisionPtr revIDLastSave="2097" documentId="13_ncr:1_{174ED225-7C62-4789-9BF9-37D91EE1FF30}" xr6:coauthVersionLast="47" xr6:coauthVersionMax="47" xr10:uidLastSave="{FC7CC126-21F5-4BEC-890E-268580D3F6BF}"/>
  <bookViews>
    <workbookView xWindow="-120" yWindow="-120" windowWidth="38640" windowHeight="15720" tabRatio="500" firstSheet="4" activeTab="4" xr2:uid="{00000000-000D-0000-FFFF-FFFF00000000}"/>
  </bookViews>
  <sheets>
    <sheet name="BASE COBRANÇAS" sheetId="1" r:id="rId1"/>
    <sheet name="PAINEL DE STATUS COBRANÇAS" sheetId="9" r:id="rId2"/>
    <sheet name="📲 WHATSAPP COBRANÇAS" sheetId="8" r:id="rId3"/>
    <sheet name="HR ATUALIZAÇÃO PLANILHA " sheetId="7" r:id="rId4"/>
    <sheet name="VISÃO LOGISTICA" sheetId="5" r:id="rId5"/>
    <sheet name="DOCUMENTOS" sheetId="2" r:id="rId6"/>
    <sheet name="LOCALIZAÇÃO DE CARGA" sheetId="3" r:id="rId7"/>
    <sheet name="DADOS POWER" sheetId="10" r:id="rId8"/>
  </sheets>
  <definedNames>
    <definedName name="_xlnm._FilterDatabase" localSheetId="6" hidden="1">'LOCALIZAÇÃO DE CARGA'!$A$1:$AG$234</definedName>
    <definedName name="_xlnm._FilterDatabase" localSheetId="2" hidden="1">'📲 WHATSAPP COBRANÇAS'!$A$1:$A$4</definedName>
    <definedName name="_xlnm._FilterDatabase" localSheetId="5" hidden="1">DOCUMENTOS!$A$1:$AW$1262</definedName>
    <definedName name="_xlnm._FilterDatabase" localSheetId="0" hidden="1">'BASE COBRANÇAS'!$A$3:$T$230</definedName>
    <definedName name="_xlnm._FilterDatabase" localSheetId="1" hidden="1">'PAINEL DE STATUS COBRANÇAS'!$A$1:$I$109</definedName>
    <definedName name="_xlnm._FilterDatabase" localSheetId="4" hidden="1">'VISÃO LOGISTICA'!$A$1:$AL$917</definedName>
    <definedName name="painel">'PAINEL DE STATUS COBRANÇAS'!$1:$1048576</definedName>
    <definedName name="TABELACOBRAN">'BASE COBRANÇAS'!$A$3:$T$275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9" i="1" l="1" a="1"/>
  <c r="T109" i="1"/>
  <c r="T110" i="1" a="1"/>
  <c r="T110" i="1"/>
  <c r="T111" i="1" a="1"/>
  <c r="T111" i="1"/>
  <c r="T112" i="1" a="1"/>
  <c r="T112" i="1"/>
  <c r="T113" i="1" a="1"/>
  <c r="T113" i="1"/>
  <c r="T114" i="1" a="1"/>
  <c r="T114" i="1"/>
  <c r="T115" i="1" a="1"/>
  <c r="T115" i="1"/>
  <c r="T116" i="1" a="1"/>
  <c r="T116" i="1"/>
  <c r="T117" i="1" a="1"/>
  <c r="T117" i="1"/>
  <c r="T118" i="1" a="1"/>
  <c r="T118" i="1"/>
  <c r="T119" i="1" a="1"/>
  <c r="T119" i="1"/>
  <c r="T120" i="1" a="1"/>
  <c r="T120" i="1"/>
  <c r="T121" i="1" a="1"/>
  <c r="T121" i="1"/>
  <c r="T122" i="1" a="1"/>
  <c r="T122" i="1"/>
  <c r="T123" i="1" a="1"/>
  <c r="T123" i="1"/>
  <c r="T124" i="1" a="1"/>
  <c r="T124" i="1"/>
  <c r="T125" i="1" a="1"/>
  <c r="T125" i="1"/>
  <c r="T126" i="1" a="1"/>
  <c r="T126" i="1"/>
  <c r="T127" i="1" a="1"/>
  <c r="T127" i="1"/>
  <c r="T128" i="1" a="1"/>
  <c r="T128" i="1"/>
  <c r="T129" i="1" a="1"/>
  <c r="T129" i="1"/>
  <c r="T130" i="1" a="1"/>
  <c r="T130" i="1"/>
  <c r="T131" i="1" a="1"/>
  <c r="T131" i="1"/>
  <c r="T132" i="1" a="1"/>
  <c r="T132" i="1"/>
  <c r="T133" i="1" a="1"/>
  <c r="T133" i="1"/>
  <c r="T134" i="1" a="1"/>
  <c r="T134" i="1"/>
  <c r="T135" i="1" a="1"/>
  <c r="T135" i="1"/>
  <c r="T136" i="1" a="1"/>
  <c r="T136" i="1"/>
  <c r="T137" i="1" a="1"/>
  <c r="T137" i="1"/>
  <c r="T138" i="1" a="1"/>
  <c r="T138" i="1"/>
  <c r="T139" i="1" a="1"/>
  <c r="T139" i="1"/>
  <c r="T140" i="1" a="1"/>
  <c r="T140" i="1"/>
  <c r="T141" i="1" a="1"/>
  <c r="T141" i="1"/>
  <c r="T142" i="1" a="1"/>
  <c r="T142" i="1"/>
  <c r="T143" i="1" a="1"/>
  <c r="T143" i="1"/>
  <c r="T144" i="1" a="1"/>
  <c r="T144" i="1"/>
  <c r="T145" i="1" a="1"/>
  <c r="T145" i="1"/>
  <c r="T146" i="1" a="1"/>
  <c r="T146" i="1"/>
  <c r="T147" i="1" a="1"/>
  <c r="T147" i="1"/>
  <c r="T148" i="1" a="1"/>
  <c r="T148" i="1"/>
  <c r="T149" i="1" a="1"/>
  <c r="T149" i="1"/>
  <c r="T150" i="1" a="1"/>
  <c r="T150" i="1"/>
  <c r="T151" i="1" a="1"/>
  <c r="T151" i="1"/>
  <c r="T152" i="1" a="1"/>
  <c r="T152" i="1"/>
  <c r="T153" i="1" a="1"/>
  <c r="T153" i="1"/>
  <c r="T154" i="1" a="1"/>
  <c r="T154" i="1"/>
  <c r="T155" i="1" a="1"/>
  <c r="T155" i="1"/>
  <c r="T156" i="1" a="1"/>
  <c r="T156" i="1"/>
  <c r="T157" i="1" a="1"/>
  <c r="T157" i="1"/>
  <c r="T158" i="1" a="1"/>
  <c r="T158" i="1"/>
  <c r="T159" i="1" a="1"/>
  <c r="T159" i="1"/>
  <c r="T160" i="1" a="1"/>
  <c r="T160" i="1"/>
  <c r="T161" i="1" a="1"/>
  <c r="T161" i="1"/>
  <c r="T162" i="1" a="1"/>
  <c r="T162" i="1"/>
  <c r="T163" i="1" a="1"/>
  <c r="T163" i="1"/>
  <c r="T164" i="1" a="1"/>
  <c r="T164" i="1"/>
  <c r="T165" i="1" a="1"/>
  <c r="T165" i="1"/>
  <c r="T166" i="1" a="1"/>
  <c r="T166" i="1"/>
  <c r="T167" i="1" a="1"/>
  <c r="T167" i="1"/>
  <c r="T168" i="1" a="1"/>
  <c r="T168" i="1"/>
  <c r="T169" i="1" a="1"/>
  <c r="T169" i="1"/>
  <c r="T170" i="1" a="1"/>
  <c r="T170" i="1"/>
  <c r="T171" i="1" a="1"/>
  <c r="T171" i="1"/>
  <c r="T172" i="1" a="1"/>
  <c r="T172" i="1"/>
  <c r="T173" i="1" a="1"/>
  <c r="T173" i="1"/>
  <c r="T174" i="1" a="1"/>
  <c r="T174" i="1"/>
  <c r="T175" i="1" a="1"/>
  <c r="T175" i="1"/>
  <c r="T176" i="1" a="1"/>
  <c r="T176" i="1"/>
  <c r="T177" i="1" a="1"/>
  <c r="T177" i="1"/>
  <c r="T178" i="1" a="1"/>
  <c r="T178" i="1"/>
  <c r="T179" i="1" a="1"/>
  <c r="T179" i="1"/>
  <c r="T180" i="1" a="1"/>
  <c r="T180" i="1"/>
  <c r="T181" i="1" a="1"/>
  <c r="T181" i="1"/>
  <c r="T182" i="1" a="1"/>
  <c r="T182" i="1"/>
  <c r="T183" i="1" a="1"/>
  <c r="T183" i="1"/>
  <c r="T184" i="1" a="1"/>
  <c r="T184" i="1"/>
  <c r="T185" i="1" a="1"/>
  <c r="T185" i="1"/>
  <c r="T186" i="1" a="1"/>
  <c r="T186" i="1"/>
  <c r="T187" i="1" a="1"/>
  <c r="T187" i="1"/>
  <c r="T188" i="1" a="1"/>
  <c r="T188" i="1"/>
  <c r="T189" i="1" a="1"/>
  <c r="T189" i="1"/>
  <c r="T190" i="1" a="1"/>
  <c r="T190" i="1"/>
  <c r="T191" i="1" a="1"/>
  <c r="T191" i="1"/>
  <c r="T192" i="1" a="1"/>
  <c r="T192" i="1"/>
  <c r="T193" i="1" a="1"/>
  <c r="T193" i="1"/>
  <c r="T194" i="1" a="1"/>
  <c r="T194" i="1"/>
  <c r="T195" i="1" a="1"/>
  <c r="T195" i="1"/>
  <c r="T196" i="1" a="1"/>
  <c r="T196" i="1"/>
  <c r="T197" i="1" a="1"/>
  <c r="T197" i="1"/>
  <c r="T198" i="1" a="1"/>
  <c r="T198" i="1"/>
  <c r="T199" i="1" a="1"/>
  <c r="T199" i="1"/>
  <c r="T200" i="1" a="1"/>
  <c r="T200" i="1"/>
  <c r="T201" i="1" a="1"/>
  <c r="T201" i="1"/>
  <c r="T202" i="1" a="1"/>
  <c r="T202" i="1"/>
  <c r="T203" i="1" a="1"/>
  <c r="T203" i="1"/>
  <c r="T204" i="1" a="1"/>
  <c r="T204" i="1"/>
  <c r="T205" i="1" a="1"/>
  <c r="T205" i="1"/>
  <c r="T206" i="1" a="1"/>
  <c r="T206" i="1"/>
  <c r="T207" i="1" a="1"/>
  <c r="T207" i="1"/>
  <c r="T208" i="1" a="1"/>
  <c r="T208" i="1"/>
  <c r="T209" i="1" a="1"/>
  <c r="T209" i="1"/>
  <c r="T210" i="1" a="1"/>
  <c r="T210" i="1"/>
  <c r="T211" i="1" a="1"/>
  <c r="T211" i="1"/>
  <c r="T212" i="1" a="1"/>
  <c r="T212" i="1"/>
  <c r="T213" i="1" a="1"/>
  <c r="T213" i="1"/>
  <c r="T214" i="1" a="1"/>
  <c r="T214" i="1"/>
  <c r="T215" i="1" a="1"/>
  <c r="T215" i="1"/>
  <c r="T216" i="1" a="1"/>
  <c r="T216" i="1"/>
  <c r="T217" i="1" a="1"/>
  <c r="T217" i="1"/>
  <c r="T218" i="1" a="1"/>
  <c r="T218" i="1"/>
  <c r="T219" i="1" a="1"/>
  <c r="T219" i="1"/>
  <c r="T220" i="1" a="1"/>
  <c r="T220" i="1"/>
  <c r="T221" i="1" a="1"/>
  <c r="T221" i="1"/>
  <c r="T222" i="1" a="1"/>
  <c r="T222" i="1"/>
  <c r="T223" i="1" a="1"/>
  <c r="T223" i="1"/>
  <c r="T224" i="1" a="1"/>
  <c r="T224" i="1"/>
  <c r="T225" i="1" a="1"/>
  <c r="T225" i="1"/>
  <c r="T226" i="1" a="1"/>
  <c r="T226" i="1"/>
  <c r="T227" i="1" a="1"/>
  <c r="T227" i="1"/>
  <c r="T228" i="1" a="1"/>
  <c r="T228" i="1"/>
  <c r="T229" i="1" a="1"/>
  <c r="T229" i="1"/>
  <c r="T230" i="1" a="1"/>
  <c r="T230" i="1"/>
  <c r="T108" i="1" a="1"/>
  <c r="T108" i="1"/>
  <c r="I4" i="1" a="1"/>
  <c r="I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68" i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/>
  <c r="J76" i="1" a="1"/>
  <c r="J76" i="1"/>
  <c r="J77" i="1" a="1"/>
  <c r="J77" i="1"/>
  <c r="J78" i="1" a="1"/>
  <c r="J78" i="1"/>
  <c r="J79" i="1" a="1"/>
  <c r="J79" i="1"/>
  <c r="J80" i="1" a="1"/>
  <c r="J80" i="1"/>
  <c r="J81" i="1" a="1"/>
  <c r="J81" i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/>
  <c r="J88" i="1" a="1"/>
  <c r="J88" i="1"/>
  <c r="J89" i="1" a="1"/>
  <c r="J89" i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/>
  <c r="J125" i="1" a="1"/>
  <c r="J125" i="1"/>
  <c r="J126" i="1" a="1"/>
  <c r="J126" i="1"/>
  <c r="J127" i="1" a="1"/>
  <c r="J127" i="1"/>
  <c r="J128" i="1" a="1"/>
  <c r="J128" i="1"/>
  <c r="J129" i="1" a="1"/>
  <c r="J129" i="1"/>
  <c r="J130" i="1" a="1"/>
  <c r="J130" i="1"/>
  <c r="J131" i="1" a="1"/>
  <c r="J131" i="1"/>
  <c r="J132" i="1" a="1"/>
  <c r="J132" i="1"/>
  <c r="J133" i="1" a="1"/>
  <c r="J133" i="1"/>
  <c r="J134" i="1" a="1"/>
  <c r="J134" i="1"/>
  <c r="J135" i="1" a="1"/>
  <c r="J135" i="1"/>
  <c r="J136" i="1" a="1"/>
  <c r="J136" i="1"/>
  <c r="J137" i="1" a="1"/>
  <c r="J137" i="1"/>
  <c r="J138" i="1" a="1"/>
  <c r="J138" i="1"/>
  <c r="J139" i="1" a="1"/>
  <c r="J139" i="1"/>
  <c r="J140" i="1" a="1"/>
  <c r="J140" i="1"/>
  <c r="J141" i="1" a="1"/>
  <c r="J141" i="1"/>
  <c r="J142" i="1" a="1"/>
  <c r="J142" i="1"/>
  <c r="J143" i="1" a="1"/>
  <c r="J143" i="1"/>
  <c r="J144" i="1" a="1"/>
  <c r="J144" i="1"/>
  <c r="J145" i="1" a="1"/>
  <c r="J145" i="1"/>
  <c r="J146" i="1" a="1"/>
  <c r="J146" i="1"/>
  <c r="J147" i="1" a="1"/>
  <c r="J147" i="1"/>
  <c r="J148" i="1" a="1"/>
  <c r="J148" i="1"/>
  <c r="J149" i="1" a="1"/>
  <c r="J149" i="1"/>
  <c r="J150" i="1" a="1"/>
  <c r="J150" i="1"/>
  <c r="J151" i="1" a="1"/>
  <c r="J151" i="1"/>
  <c r="J152" i="1" a="1"/>
  <c r="J152" i="1"/>
  <c r="J153" i="1" a="1"/>
  <c r="J153" i="1"/>
  <c r="J154" i="1" a="1"/>
  <c r="J154" i="1"/>
  <c r="J155" i="1" a="1"/>
  <c r="J155" i="1"/>
  <c r="J156" i="1" a="1"/>
  <c r="J156" i="1"/>
  <c r="J157" i="1" a="1"/>
  <c r="J157" i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4" i="1" a="1"/>
  <c r="J4" i="1" s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B4" i="1" a="1"/>
  <c r="B4" i="1"/>
  <c r="E4" i="1" s="1"/>
  <c r="I141" i="1" a="1"/>
  <c r="I141" i="1"/>
  <c r="I142" i="1" a="1"/>
  <c r="I142" i="1" s="1"/>
  <c r="I143" i="1" a="1"/>
  <c r="I143" i="1" s="1"/>
  <c r="I144" i="1" a="1"/>
  <c r="I144" i="1"/>
  <c r="I145" i="1" a="1"/>
  <c r="I145" i="1" s="1"/>
  <c r="I146" i="1" a="1"/>
  <c r="I146" i="1" s="1"/>
  <c r="I147" i="1" a="1"/>
  <c r="I147" i="1"/>
  <c r="I148" i="1" a="1"/>
  <c r="I148" i="1" s="1"/>
  <c r="I149" i="1" a="1"/>
  <c r="I149" i="1" s="1"/>
  <c r="I150" i="1" a="1"/>
  <c r="I150" i="1"/>
  <c r="I151" i="1" a="1"/>
  <c r="I151" i="1" s="1"/>
  <c r="I152" i="1" a="1"/>
  <c r="I152" i="1" s="1"/>
  <c r="I153" i="1" a="1"/>
  <c r="I153" i="1"/>
  <c r="I154" i="1" a="1"/>
  <c r="I154" i="1" s="1"/>
  <c r="I155" i="1" a="1"/>
  <c r="I155" i="1" s="1"/>
  <c r="I156" i="1" a="1"/>
  <c r="I156" i="1"/>
  <c r="I157" i="1" a="1"/>
  <c r="I157" i="1" s="1"/>
  <c r="I158" i="1" a="1"/>
  <c r="I158" i="1" s="1"/>
  <c r="I159" i="1" a="1"/>
  <c r="I159" i="1"/>
  <c r="I160" i="1" a="1"/>
  <c r="I160" i="1" s="1"/>
  <c r="I161" i="1" a="1"/>
  <c r="I161" i="1" s="1"/>
  <c r="I162" i="1" a="1"/>
  <c r="I162" i="1"/>
  <c r="I163" i="1" a="1"/>
  <c r="I163" i="1" s="1"/>
  <c r="I164" i="1" a="1"/>
  <c r="I164" i="1" s="1"/>
  <c r="I165" i="1" a="1"/>
  <c r="I165" i="1"/>
  <c r="I166" i="1" a="1"/>
  <c r="I166" i="1" s="1"/>
  <c r="I167" i="1" a="1"/>
  <c r="I167" i="1" s="1"/>
  <c r="I168" i="1" a="1"/>
  <c r="I168" i="1"/>
  <c r="I169" i="1" a="1"/>
  <c r="I169" i="1" s="1"/>
  <c r="I170" i="1" a="1"/>
  <c r="I170" i="1" s="1"/>
  <c r="I171" i="1" a="1"/>
  <c r="I171" i="1"/>
  <c r="I172" i="1" a="1"/>
  <c r="I172" i="1" s="1"/>
  <c r="I173" i="1" a="1"/>
  <c r="I173" i="1" s="1"/>
  <c r="I174" i="1" a="1"/>
  <c r="I174" i="1"/>
  <c r="I175" i="1" a="1"/>
  <c r="I175" i="1" s="1"/>
  <c r="I176" i="1" a="1"/>
  <c r="I176" i="1" s="1"/>
  <c r="I177" i="1" a="1"/>
  <c r="I177" i="1"/>
  <c r="I178" i="1" a="1"/>
  <c r="I178" i="1" s="1"/>
  <c r="I179" i="1" a="1"/>
  <c r="I179" i="1" s="1"/>
  <c r="I180" i="1" a="1"/>
  <c r="I180" i="1"/>
  <c r="I181" i="1" a="1"/>
  <c r="I181" i="1" s="1"/>
  <c r="I182" i="1" a="1"/>
  <c r="I182" i="1" s="1"/>
  <c r="I183" i="1" a="1"/>
  <c r="I183" i="1"/>
  <c r="I184" i="1" a="1"/>
  <c r="I184" i="1" s="1"/>
  <c r="I185" i="1" a="1"/>
  <c r="I185" i="1" s="1"/>
  <c r="I186" i="1" a="1"/>
  <c r="I186" i="1"/>
  <c r="I187" i="1" a="1"/>
  <c r="I187" i="1" s="1"/>
  <c r="I188" i="1" a="1"/>
  <c r="I188" i="1" s="1"/>
  <c r="I189" i="1" a="1"/>
  <c r="I189" i="1"/>
  <c r="I190" i="1" a="1"/>
  <c r="I190" i="1" s="1"/>
  <c r="I191" i="1" a="1"/>
  <c r="I191" i="1" s="1"/>
  <c r="I192" i="1" a="1"/>
  <c r="I192" i="1"/>
  <c r="I193" i="1" a="1"/>
  <c r="I193" i="1" s="1"/>
  <c r="I194" i="1" a="1"/>
  <c r="I194" i="1" s="1"/>
  <c r="I195" i="1" a="1"/>
  <c r="I195" i="1"/>
  <c r="I196" i="1" a="1"/>
  <c r="I196" i="1" s="1"/>
  <c r="I197" i="1" a="1"/>
  <c r="I197" i="1" s="1"/>
  <c r="I198" i="1" a="1"/>
  <c r="I198" i="1"/>
  <c r="I199" i="1" a="1"/>
  <c r="I199" i="1" s="1"/>
  <c r="I200" i="1" a="1"/>
  <c r="I200" i="1" s="1"/>
  <c r="I201" i="1" a="1"/>
  <c r="I201" i="1"/>
  <c r="I202" i="1" a="1"/>
  <c r="I202" i="1" s="1"/>
  <c r="I203" i="1" a="1"/>
  <c r="I203" i="1" s="1"/>
  <c r="I204" i="1" a="1"/>
  <c r="I204" i="1"/>
  <c r="I205" i="1" a="1"/>
  <c r="I205" i="1" s="1"/>
  <c r="I206" i="1" a="1"/>
  <c r="I206" i="1" s="1"/>
  <c r="I207" i="1" a="1"/>
  <c r="I207" i="1"/>
  <c r="I208" i="1" a="1"/>
  <c r="I208" i="1" s="1"/>
  <c r="I209" i="1" a="1"/>
  <c r="I209" i="1" s="1"/>
  <c r="I210" i="1" a="1"/>
  <c r="I210" i="1"/>
  <c r="I211" i="1" a="1"/>
  <c r="I211" i="1" s="1"/>
  <c r="I212" i="1" a="1"/>
  <c r="I212" i="1" s="1"/>
  <c r="I213" i="1" a="1"/>
  <c r="I213" i="1"/>
  <c r="I214" i="1" a="1"/>
  <c r="I214" i="1" s="1"/>
  <c r="I215" i="1" a="1"/>
  <c r="I215" i="1" s="1"/>
  <c r="I216" i="1" a="1"/>
  <c r="I216" i="1"/>
  <c r="I217" i="1" a="1"/>
  <c r="I217" i="1" s="1"/>
  <c r="I218" i="1" a="1"/>
  <c r="I218" i="1" s="1"/>
  <c r="I219" i="1" a="1"/>
  <c r="I219" i="1"/>
  <c r="I220" i="1" a="1"/>
  <c r="I220" i="1" s="1"/>
  <c r="I221" i="1" a="1"/>
  <c r="I221" i="1" s="1"/>
  <c r="I222" i="1" a="1"/>
  <c r="I222" i="1"/>
  <c r="I223" i="1" a="1"/>
  <c r="I223" i="1" s="1"/>
  <c r="I224" i="1" a="1"/>
  <c r="I224" i="1" s="1"/>
  <c r="I225" i="1" a="1"/>
  <c r="I225" i="1"/>
  <c r="I226" i="1" a="1"/>
  <c r="I226" i="1" s="1"/>
  <c r="I227" i="1" a="1"/>
  <c r="I227" i="1" s="1"/>
  <c r="I228" i="1" a="1"/>
  <c r="I228" i="1"/>
  <c r="I229" i="1" a="1"/>
  <c r="I229" i="1" s="1"/>
  <c r="I230" i="1" a="1"/>
  <c r="I230" i="1" s="1"/>
  <c r="S141" i="1" a="1"/>
  <c r="S141" i="1"/>
  <c r="S142" i="1" a="1"/>
  <c r="S142" i="1" s="1"/>
  <c r="S143" i="1" a="1"/>
  <c r="S143" i="1" s="1"/>
  <c r="S144" i="1" a="1"/>
  <c r="S144" i="1"/>
  <c r="S145" i="1" a="1"/>
  <c r="S145" i="1" s="1"/>
  <c r="S146" i="1" a="1"/>
  <c r="S146" i="1" s="1"/>
  <c r="S147" i="1" a="1"/>
  <c r="S147" i="1"/>
  <c r="S148" i="1" a="1"/>
  <c r="S148" i="1" s="1"/>
  <c r="S149" i="1" a="1"/>
  <c r="S149" i="1" s="1"/>
  <c r="S150" i="1" a="1"/>
  <c r="S150" i="1"/>
  <c r="S151" i="1" a="1"/>
  <c r="S151" i="1" s="1"/>
  <c r="S152" i="1" a="1"/>
  <c r="S152" i="1" s="1"/>
  <c r="S153" i="1" a="1"/>
  <c r="S153" i="1"/>
  <c r="S154" i="1" a="1"/>
  <c r="S154" i="1" s="1"/>
  <c r="S155" i="1" a="1"/>
  <c r="S155" i="1" s="1"/>
  <c r="S156" i="1" a="1"/>
  <c r="S156" i="1"/>
  <c r="S157" i="1" a="1"/>
  <c r="S157" i="1" s="1"/>
  <c r="S158" i="1" a="1"/>
  <c r="S158" i="1" s="1"/>
  <c r="S159" i="1" a="1"/>
  <c r="S159" i="1"/>
  <c r="S160" i="1" a="1"/>
  <c r="S160" i="1" s="1"/>
  <c r="S161" i="1" a="1"/>
  <c r="S161" i="1" s="1"/>
  <c r="S162" i="1" a="1"/>
  <c r="S162" i="1"/>
  <c r="S163" i="1" a="1"/>
  <c r="S163" i="1" s="1"/>
  <c r="S164" i="1" a="1"/>
  <c r="S164" i="1" s="1"/>
  <c r="S165" i="1" a="1"/>
  <c r="S165" i="1"/>
  <c r="S166" i="1" a="1"/>
  <c r="S166" i="1" s="1"/>
  <c r="S167" i="1" a="1"/>
  <c r="S167" i="1" s="1"/>
  <c r="S168" i="1" a="1"/>
  <c r="S168" i="1"/>
  <c r="S169" i="1" a="1"/>
  <c r="S169" i="1" s="1"/>
  <c r="S170" i="1" a="1"/>
  <c r="S170" i="1" s="1"/>
  <c r="S171" i="1" a="1"/>
  <c r="S171" i="1"/>
  <c r="S172" i="1" a="1"/>
  <c r="S172" i="1" s="1"/>
  <c r="S173" i="1" a="1"/>
  <c r="S173" i="1" s="1"/>
  <c r="S174" i="1" a="1"/>
  <c r="S174" i="1"/>
  <c r="S175" i="1" a="1"/>
  <c r="S175" i="1" s="1"/>
  <c r="S176" i="1" a="1"/>
  <c r="S176" i="1" s="1"/>
  <c r="S177" i="1" a="1"/>
  <c r="S177" i="1"/>
  <c r="S178" i="1" a="1"/>
  <c r="S178" i="1" s="1"/>
  <c r="S179" i="1" a="1"/>
  <c r="S179" i="1" s="1"/>
  <c r="S180" i="1" a="1"/>
  <c r="S180" i="1"/>
  <c r="S181" i="1" a="1"/>
  <c r="S181" i="1" s="1"/>
  <c r="S182" i="1" a="1"/>
  <c r="S182" i="1" s="1"/>
  <c r="S183" i="1" a="1"/>
  <c r="S183" i="1"/>
  <c r="S184" i="1" a="1"/>
  <c r="S184" i="1" s="1"/>
  <c r="S185" i="1" a="1"/>
  <c r="S185" i="1" s="1"/>
  <c r="S186" i="1" a="1"/>
  <c r="S186" i="1"/>
  <c r="S187" i="1" a="1"/>
  <c r="S187" i="1" s="1"/>
  <c r="S188" i="1" a="1"/>
  <c r="S188" i="1" s="1"/>
  <c r="S189" i="1" a="1"/>
  <c r="S189" i="1"/>
  <c r="S190" i="1" a="1"/>
  <c r="S190" i="1" s="1"/>
  <c r="S191" i="1" a="1"/>
  <c r="S191" i="1" s="1"/>
  <c r="S192" i="1" a="1"/>
  <c r="S192" i="1"/>
  <c r="S193" i="1" a="1"/>
  <c r="S193" i="1" s="1"/>
  <c r="S194" i="1" a="1"/>
  <c r="S194" i="1" s="1"/>
  <c r="S195" i="1" a="1"/>
  <c r="S195" i="1"/>
  <c r="S196" i="1" a="1"/>
  <c r="S196" i="1" s="1"/>
  <c r="S197" i="1" a="1"/>
  <c r="S197" i="1" s="1"/>
  <c r="S198" i="1" a="1"/>
  <c r="S198" i="1"/>
  <c r="S199" i="1" a="1"/>
  <c r="S199" i="1" s="1"/>
  <c r="S200" i="1" a="1"/>
  <c r="S200" i="1" s="1"/>
  <c r="S201" i="1" a="1"/>
  <c r="S201" i="1"/>
  <c r="S202" i="1" a="1"/>
  <c r="S202" i="1" s="1"/>
  <c r="S203" i="1" a="1"/>
  <c r="S203" i="1" s="1"/>
  <c r="S204" i="1" a="1"/>
  <c r="S204" i="1"/>
  <c r="S205" i="1" a="1"/>
  <c r="S205" i="1" s="1"/>
  <c r="S206" i="1" a="1"/>
  <c r="S206" i="1" s="1"/>
  <c r="S207" i="1" a="1"/>
  <c r="S207" i="1"/>
  <c r="S208" i="1" a="1"/>
  <c r="S208" i="1" s="1"/>
  <c r="S209" i="1" a="1"/>
  <c r="S209" i="1" s="1"/>
  <c r="S210" i="1" a="1"/>
  <c r="S210" i="1"/>
  <c r="S211" i="1" a="1"/>
  <c r="S211" i="1" s="1"/>
  <c r="S212" i="1" a="1"/>
  <c r="S212" i="1" s="1"/>
  <c r="S213" i="1" a="1"/>
  <c r="S213" i="1"/>
  <c r="S214" i="1" a="1"/>
  <c r="S214" i="1" s="1"/>
  <c r="S215" i="1" a="1"/>
  <c r="S215" i="1" s="1"/>
  <c r="S216" i="1" a="1"/>
  <c r="S216" i="1"/>
  <c r="S217" i="1" a="1"/>
  <c r="S217" i="1" s="1"/>
  <c r="S218" i="1" a="1"/>
  <c r="S218" i="1" s="1"/>
  <c r="S219" i="1" a="1"/>
  <c r="S219" i="1"/>
  <c r="S220" i="1" a="1"/>
  <c r="S220" i="1" s="1"/>
  <c r="S221" i="1" a="1"/>
  <c r="S221" i="1" s="1"/>
  <c r="S222" i="1" a="1"/>
  <c r="S222" i="1"/>
  <c r="S223" i="1" a="1"/>
  <c r="S223" i="1" s="1"/>
  <c r="S224" i="1" a="1"/>
  <c r="S224" i="1" s="1"/>
  <c r="S225" i="1" a="1"/>
  <c r="S225" i="1"/>
  <c r="S226" i="1" a="1"/>
  <c r="S226" i="1" s="1"/>
  <c r="S227" i="1" a="1"/>
  <c r="S227" i="1" s="1"/>
  <c r="S228" i="1" a="1"/>
  <c r="S228" i="1"/>
  <c r="S229" i="1" a="1"/>
  <c r="S229" i="1" s="1"/>
  <c r="S230" i="1" a="1"/>
  <c r="S230" i="1" s="1"/>
  <c r="P141" i="1" a="1"/>
  <c r="P141" i="1"/>
  <c r="P142" i="1" a="1"/>
  <c r="P142" i="1"/>
  <c r="P143" i="1" a="1"/>
  <c r="P143" i="1"/>
  <c r="P144" i="1" a="1"/>
  <c r="P144" i="1"/>
  <c r="P145" i="1" a="1"/>
  <c r="P145" i="1"/>
  <c r="P146" i="1" a="1"/>
  <c r="P146" i="1"/>
  <c r="P147" i="1" a="1"/>
  <c r="P147" i="1"/>
  <c r="P148" i="1" a="1"/>
  <c r="P148" i="1"/>
  <c r="P149" i="1" a="1"/>
  <c r="P149" i="1"/>
  <c r="P150" i="1" a="1"/>
  <c r="P150" i="1"/>
  <c r="P151" i="1" a="1"/>
  <c r="P151" i="1"/>
  <c r="P152" i="1" a="1"/>
  <c r="P152" i="1"/>
  <c r="P153" i="1" a="1"/>
  <c r="P153" i="1"/>
  <c r="P154" i="1" a="1"/>
  <c r="P154" i="1"/>
  <c r="P155" i="1" a="1"/>
  <c r="P155" i="1"/>
  <c r="P156" i="1" a="1"/>
  <c r="P156" i="1"/>
  <c r="P157" i="1" a="1"/>
  <c r="P157" i="1"/>
  <c r="P158" i="1" a="1"/>
  <c r="P158" i="1"/>
  <c r="P159" i="1" a="1"/>
  <c r="P159" i="1"/>
  <c r="P160" i="1" a="1"/>
  <c r="P160" i="1"/>
  <c r="P161" i="1" a="1"/>
  <c r="P161" i="1"/>
  <c r="P162" i="1" a="1"/>
  <c r="P162" i="1"/>
  <c r="P163" i="1" a="1"/>
  <c r="P163" i="1"/>
  <c r="P164" i="1" a="1"/>
  <c r="P164" i="1"/>
  <c r="P165" i="1" a="1"/>
  <c r="P165" i="1"/>
  <c r="P166" i="1" a="1"/>
  <c r="P166" i="1"/>
  <c r="P167" i="1" a="1"/>
  <c r="P167" i="1"/>
  <c r="P168" i="1" a="1"/>
  <c r="P168" i="1"/>
  <c r="P169" i="1" a="1"/>
  <c r="P169" i="1"/>
  <c r="P170" i="1" a="1"/>
  <c r="P170" i="1"/>
  <c r="P171" i="1" a="1"/>
  <c r="P171" i="1"/>
  <c r="P172" i="1" a="1"/>
  <c r="P172" i="1"/>
  <c r="P173" i="1" a="1"/>
  <c r="P173" i="1"/>
  <c r="P174" i="1" a="1"/>
  <c r="P174" i="1"/>
  <c r="P175" i="1" a="1"/>
  <c r="P175" i="1"/>
  <c r="P176" i="1" a="1"/>
  <c r="P176" i="1"/>
  <c r="P177" i="1" a="1"/>
  <c r="P177" i="1"/>
  <c r="P178" i="1" a="1"/>
  <c r="P178" i="1"/>
  <c r="P179" i="1" a="1"/>
  <c r="P179" i="1"/>
  <c r="P180" i="1" a="1"/>
  <c r="P180" i="1"/>
  <c r="P181" i="1" a="1"/>
  <c r="P181" i="1"/>
  <c r="P182" i="1" a="1"/>
  <c r="P182" i="1"/>
  <c r="P183" i="1" a="1"/>
  <c r="P183" i="1"/>
  <c r="P184" i="1" a="1"/>
  <c r="P184" i="1"/>
  <c r="P185" i="1" a="1"/>
  <c r="P185" i="1"/>
  <c r="P186" i="1" a="1"/>
  <c r="P186" i="1"/>
  <c r="P187" i="1" a="1"/>
  <c r="P187" i="1"/>
  <c r="P188" i="1" a="1"/>
  <c r="P188" i="1"/>
  <c r="P189" i="1" a="1"/>
  <c r="P189" i="1"/>
  <c r="P190" i="1" a="1"/>
  <c r="P190" i="1"/>
  <c r="P191" i="1" a="1"/>
  <c r="P191" i="1"/>
  <c r="P192" i="1" a="1"/>
  <c r="P192" i="1"/>
  <c r="P193" i="1" a="1"/>
  <c r="P193" i="1"/>
  <c r="P194" i="1" a="1"/>
  <c r="P194" i="1"/>
  <c r="P195" i="1" a="1"/>
  <c r="P195" i="1"/>
  <c r="P196" i="1" a="1"/>
  <c r="P196" i="1"/>
  <c r="P197" i="1" a="1"/>
  <c r="P197" i="1"/>
  <c r="P198" i="1" a="1"/>
  <c r="P198" i="1"/>
  <c r="P199" i="1" a="1"/>
  <c r="P199" i="1"/>
  <c r="P200" i="1" a="1"/>
  <c r="P200" i="1"/>
  <c r="P201" i="1" a="1"/>
  <c r="P201" i="1"/>
  <c r="P202" i="1" a="1"/>
  <c r="P202" i="1"/>
  <c r="P203" i="1" a="1"/>
  <c r="P203" i="1"/>
  <c r="P204" i="1" a="1"/>
  <c r="P204" i="1"/>
  <c r="P205" i="1" a="1"/>
  <c r="P205" i="1"/>
  <c r="P206" i="1" a="1"/>
  <c r="P206" i="1"/>
  <c r="P207" i="1" a="1"/>
  <c r="P207" i="1"/>
  <c r="P208" i="1" a="1"/>
  <c r="P208" i="1"/>
  <c r="P209" i="1" a="1"/>
  <c r="P209" i="1"/>
  <c r="P210" i="1" a="1"/>
  <c r="P210" i="1"/>
  <c r="P211" i="1" a="1"/>
  <c r="P211" i="1"/>
  <c r="P212" i="1" a="1"/>
  <c r="P212" i="1"/>
  <c r="P213" i="1" a="1"/>
  <c r="P213" i="1"/>
  <c r="P214" i="1" a="1"/>
  <c r="P214" i="1"/>
  <c r="P215" i="1" a="1"/>
  <c r="P215" i="1"/>
  <c r="P216" i="1" a="1"/>
  <c r="P216" i="1"/>
  <c r="P217" i="1" a="1"/>
  <c r="P217" i="1"/>
  <c r="P218" i="1" a="1"/>
  <c r="P218" i="1"/>
  <c r="P219" i="1" a="1"/>
  <c r="P219" i="1"/>
  <c r="P220" i="1" a="1"/>
  <c r="P220" i="1"/>
  <c r="P221" i="1" a="1"/>
  <c r="P221" i="1"/>
  <c r="P222" i="1" a="1"/>
  <c r="P222" i="1"/>
  <c r="P223" i="1" a="1"/>
  <c r="P223" i="1"/>
  <c r="P224" i="1" a="1"/>
  <c r="P224" i="1"/>
  <c r="P225" i="1" a="1"/>
  <c r="P225" i="1"/>
  <c r="P226" i="1" a="1"/>
  <c r="P226" i="1"/>
  <c r="P227" i="1" a="1"/>
  <c r="P227" i="1"/>
  <c r="P228" i="1" a="1"/>
  <c r="P228" i="1"/>
  <c r="P229" i="1" a="1"/>
  <c r="P229" i="1"/>
  <c r="P230" i="1" a="1"/>
  <c r="P230" i="1"/>
  <c r="O141" i="1" a="1"/>
  <c r="O141" i="1"/>
  <c r="O142" i="1" a="1"/>
  <c r="O142" i="1"/>
  <c r="O143" i="1" a="1"/>
  <c r="O143" i="1"/>
  <c r="O144" i="1" a="1"/>
  <c r="O144" i="1"/>
  <c r="O145" i="1" a="1"/>
  <c r="O145" i="1"/>
  <c r="O146" i="1" a="1"/>
  <c r="O146" i="1"/>
  <c r="O147" i="1" a="1"/>
  <c r="O147" i="1"/>
  <c r="O148" i="1" a="1"/>
  <c r="O148" i="1"/>
  <c r="O149" i="1" a="1"/>
  <c r="O149" i="1"/>
  <c r="O150" i="1" a="1"/>
  <c r="O150" i="1"/>
  <c r="O151" i="1" a="1"/>
  <c r="O151" i="1"/>
  <c r="O152" i="1" a="1"/>
  <c r="O152" i="1"/>
  <c r="O153" i="1" a="1"/>
  <c r="O153" i="1"/>
  <c r="O154" i="1" a="1"/>
  <c r="O154" i="1"/>
  <c r="O155" i="1" a="1"/>
  <c r="O155" i="1"/>
  <c r="O156" i="1" a="1"/>
  <c r="O156" i="1"/>
  <c r="O157" i="1" a="1"/>
  <c r="O157" i="1"/>
  <c r="O158" i="1" a="1"/>
  <c r="O158" i="1"/>
  <c r="O159" i="1" a="1"/>
  <c r="O159" i="1"/>
  <c r="O160" i="1" a="1"/>
  <c r="O160" i="1"/>
  <c r="O161" i="1" a="1"/>
  <c r="O161" i="1"/>
  <c r="O162" i="1" a="1"/>
  <c r="O162" i="1"/>
  <c r="O163" i="1" a="1"/>
  <c r="O163" i="1"/>
  <c r="O164" i="1" a="1"/>
  <c r="O164" i="1"/>
  <c r="O165" i="1" a="1"/>
  <c r="O165" i="1"/>
  <c r="O166" i="1" a="1"/>
  <c r="O166" i="1"/>
  <c r="O167" i="1" a="1"/>
  <c r="O167" i="1"/>
  <c r="O168" i="1" a="1"/>
  <c r="O168" i="1"/>
  <c r="O169" i="1" a="1"/>
  <c r="O169" i="1"/>
  <c r="O170" i="1" a="1"/>
  <c r="O170" i="1"/>
  <c r="O171" i="1" a="1"/>
  <c r="O171" i="1"/>
  <c r="O172" i="1" a="1"/>
  <c r="O172" i="1"/>
  <c r="O173" i="1" a="1"/>
  <c r="O173" i="1"/>
  <c r="O174" i="1" a="1"/>
  <c r="O174" i="1"/>
  <c r="O175" i="1" a="1"/>
  <c r="O175" i="1"/>
  <c r="O176" i="1" a="1"/>
  <c r="O176" i="1"/>
  <c r="O177" i="1" a="1"/>
  <c r="O177" i="1"/>
  <c r="O178" i="1" a="1"/>
  <c r="O178" i="1"/>
  <c r="O179" i="1" a="1"/>
  <c r="O179" i="1"/>
  <c r="O180" i="1" a="1"/>
  <c r="O180" i="1"/>
  <c r="O181" i="1" a="1"/>
  <c r="O181" i="1"/>
  <c r="O182" i="1" a="1"/>
  <c r="O182" i="1"/>
  <c r="O183" i="1" a="1"/>
  <c r="O183" i="1"/>
  <c r="O184" i="1" a="1"/>
  <c r="O184" i="1"/>
  <c r="O185" i="1" a="1"/>
  <c r="O185" i="1"/>
  <c r="O186" i="1" a="1"/>
  <c r="O186" i="1"/>
  <c r="O187" i="1" a="1"/>
  <c r="O187" i="1"/>
  <c r="O188" i="1" a="1"/>
  <c r="O188" i="1"/>
  <c r="O189" i="1" a="1"/>
  <c r="O189" i="1"/>
  <c r="O190" i="1" a="1"/>
  <c r="O190" i="1"/>
  <c r="O191" i="1" a="1"/>
  <c r="O191" i="1"/>
  <c r="O192" i="1" a="1"/>
  <c r="O192" i="1"/>
  <c r="O193" i="1" a="1"/>
  <c r="O193" i="1"/>
  <c r="O194" i="1" a="1"/>
  <c r="O194" i="1"/>
  <c r="O195" i="1" a="1"/>
  <c r="O195" i="1"/>
  <c r="O196" i="1" a="1"/>
  <c r="O196" i="1"/>
  <c r="O197" i="1" a="1"/>
  <c r="O197" i="1"/>
  <c r="O198" i="1" a="1"/>
  <c r="O198" i="1"/>
  <c r="O199" i="1" a="1"/>
  <c r="O199" i="1"/>
  <c r="O200" i="1" a="1"/>
  <c r="O200" i="1"/>
  <c r="O201" i="1" a="1"/>
  <c r="O201" i="1"/>
  <c r="O202" i="1" a="1"/>
  <c r="O202" i="1"/>
  <c r="O203" i="1" a="1"/>
  <c r="O203" i="1"/>
  <c r="O204" i="1" a="1"/>
  <c r="O204" i="1"/>
  <c r="O205" i="1" a="1"/>
  <c r="O205" i="1"/>
  <c r="O206" i="1" a="1"/>
  <c r="O206" i="1"/>
  <c r="O207" i="1" a="1"/>
  <c r="O207" i="1"/>
  <c r="O208" i="1" a="1"/>
  <c r="O208" i="1"/>
  <c r="O209" i="1" a="1"/>
  <c r="O209" i="1"/>
  <c r="O210" i="1" a="1"/>
  <c r="O210" i="1"/>
  <c r="O211" i="1" a="1"/>
  <c r="O211" i="1"/>
  <c r="O212" i="1" a="1"/>
  <c r="O212" i="1"/>
  <c r="O213" i="1" a="1"/>
  <c r="O213" i="1"/>
  <c r="O214" i="1" a="1"/>
  <c r="O214" i="1"/>
  <c r="O215" i="1" a="1"/>
  <c r="O215" i="1"/>
  <c r="O216" i="1" a="1"/>
  <c r="O216" i="1"/>
  <c r="O217" i="1" a="1"/>
  <c r="O217" i="1"/>
  <c r="O218" i="1" a="1"/>
  <c r="O218" i="1"/>
  <c r="O219" i="1" a="1"/>
  <c r="O219" i="1"/>
  <c r="O220" i="1" a="1"/>
  <c r="O220" i="1"/>
  <c r="O221" i="1" a="1"/>
  <c r="O221" i="1"/>
  <c r="O222" i="1" a="1"/>
  <c r="O222" i="1"/>
  <c r="O223" i="1" a="1"/>
  <c r="O223" i="1"/>
  <c r="O224" i="1" a="1"/>
  <c r="O224" i="1"/>
  <c r="O225" i="1" a="1"/>
  <c r="O225" i="1"/>
  <c r="O226" i="1" a="1"/>
  <c r="O226" i="1"/>
  <c r="O227" i="1" a="1"/>
  <c r="O227" i="1"/>
  <c r="O228" i="1" a="1"/>
  <c r="O228" i="1"/>
  <c r="O229" i="1" a="1"/>
  <c r="O229" i="1"/>
  <c r="O230" i="1" a="1"/>
  <c r="O230" i="1"/>
  <c r="M230" i="1" a="1"/>
  <c r="M230" i="1"/>
  <c r="M229" i="1" a="1"/>
  <c r="M229" i="1"/>
  <c r="M228" i="1" a="1"/>
  <c r="M228" i="1"/>
  <c r="M227" i="1" a="1"/>
  <c r="M227" i="1"/>
  <c r="M226" i="1" a="1"/>
  <c r="M226" i="1"/>
  <c r="M225" i="1" a="1"/>
  <c r="M225" i="1"/>
  <c r="M224" i="1" a="1"/>
  <c r="M224" i="1"/>
  <c r="M223" i="1" a="1"/>
  <c r="M223" i="1"/>
  <c r="M222" i="1" a="1"/>
  <c r="M222" i="1"/>
  <c r="M221" i="1" a="1"/>
  <c r="M221" i="1"/>
  <c r="M220" i="1" a="1"/>
  <c r="M220" i="1"/>
  <c r="M219" i="1" a="1"/>
  <c r="M219" i="1"/>
  <c r="M218" i="1" a="1"/>
  <c r="M218" i="1"/>
  <c r="M217" i="1" a="1"/>
  <c r="M217" i="1"/>
  <c r="M216" i="1" a="1"/>
  <c r="M216" i="1"/>
  <c r="M215" i="1" a="1"/>
  <c r="M215" i="1"/>
  <c r="M214" i="1" a="1"/>
  <c r="M214" i="1"/>
  <c r="M213" i="1" a="1"/>
  <c r="M213" i="1"/>
  <c r="M212" i="1" a="1"/>
  <c r="M212" i="1"/>
  <c r="M211" i="1" a="1"/>
  <c r="M211" i="1"/>
  <c r="M210" i="1" a="1"/>
  <c r="M210" i="1"/>
  <c r="M209" i="1" a="1"/>
  <c r="M209" i="1"/>
  <c r="M208" i="1" a="1"/>
  <c r="M208" i="1"/>
  <c r="M207" i="1" a="1"/>
  <c r="M207" i="1"/>
  <c r="M206" i="1" a="1"/>
  <c r="M206" i="1"/>
  <c r="M205" i="1" a="1"/>
  <c r="M205" i="1"/>
  <c r="M204" i="1" a="1"/>
  <c r="M204" i="1"/>
  <c r="M203" i="1" a="1"/>
  <c r="M203" i="1"/>
  <c r="M202" i="1" a="1"/>
  <c r="M202" i="1"/>
  <c r="M201" i="1" a="1"/>
  <c r="M201" i="1"/>
  <c r="M200" i="1" a="1"/>
  <c r="M200" i="1"/>
  <c r="M199" i="1" a="1"/>
  <c r="M199" i="1"/>
  <c r="M198" i="1" a="1"/>
  <c r="M198" i="1"/>
  <c r="M197" i="1" a="1"/>
  <c r="M197" i="1"/>
  <c r="M196" i="1" a="1"/>
  <c r="M196" i="1"/>
  <c r="M195" i="1" a="1"/>
  <c r="M195" i="1"/>
  <c r="M194" i="1" a="1"/>
  <c r="M194" i="1"/>
  <c r="M193" i="1" a="1"/>
  <c r="M193" i="1"/>
  <c r="M192" i="1" a="1"/>
  <c r="M192" i="1"/>
  <c r="M191" i="1" a="1"/>
  <c r="M191" i="1"/>
  <c r="M190" i="1" a="1"/>
  <c r="M190" i="1"/>
  <c r="M189" i="1" a="1"/>
  <c r="M189" i="1"/>
  <c r="M188" i="1" a="1"/>
  <c r="M188" i="1"/>
  <c r="M187" i="1" a="1"/>
  <c r="M187" i="1"/>
  <c r="M186" i="1" a="1"/>
  <c r="M186" i="1"/>
  <c r="M185" i="1" a="1"/>
  <c r="M185" i="1"/>
  <c r="M184" i="1" a="1"/>
  <c r="M184" i="1"/>
  <c r="M183" i="1" a="1"/>
  <c r="M183" i="1"/>
  <c r="M182" i="1" a="1"/>
  <c r="M182" i="1"/>
  <c r="M181" i="1" a="1"/>
  <c r="M181" i="1"/>
  <c r="M180" i="1" a="1"/>
  <c r="M180" i="1"/>
  <c r="M179" i="1" a="1"/>
  <c r="M179" i="1"/>
  <c r="M178" i="1" a="1"/>
  <c r="M178" i="1"/>
  <c r="M177" i="1" a="1"/>
  <c r="M177" i="1"/>
  <c r="M176" i="1" a="1"/>
  <c r="M176" i="1"/>
  <c r="M175" i="1" a="1"/>
  <c r="M175" i="1"/>
  <c r="M174" i="1" a="1"/>
  <c r="M174" i="1"/>
  <c r="M173" i="1" a="1"/>
  <c r="M173" i="1"/>
  <c r="M172" i="1" a="1"/>
  <c r="M172" i="1"/>
  <c r="M171" i="1" a="1"/>
  <c r="M171" i="1"/>
  <c r="M170" i="1" a="1"/>
  <c r="M170" i="1"/>
  <c r="M169" i="1" a="1"/>
  <c r="M169" i="1"/>
  <c r="M168" i="1" a="1"/>
  <c r="M168" i="1"/>
  <c r="M167" i="1" a="1"/>
  <c r="M167" i="1"/>
  <c r="M166" i="1" a="1"/>
  <c r="M166" i="1"/>
  <c r="M165" i="1" a="1"/>
  <c r="M165" i="1"/>
  <c r="M164" i="1" a="1"/>
  <c r="M164" i="1"/>
  <c r="M163" i="1" a="1"/>
  <c r="M163" i="1"/>
  <c r="M162" i="1" a="1"/>
  <c r="M162" i="1"/>
  <c r="M161" i="1" a="1"/>
  <c r="M161" i="1"/>
  <c r="M160" i="1" a="1"/>
  <c r="M160" i="1"/>
  <c r="M159" i="1" a="1"/>
  <c r="M159" i="1"/>
  <c r="M158" i="1" a="1"/>
  <c r="M158" i="1"/>
  <c r="M157" i="1" a="1"/>
  <c r="M157" i="1"/>
  <c r="M156" i="1" a="1"/>
  <c r="M156" i="1"/>
  <c r="M155" i="1" a="1"/>
  <c r="M155" i="1"/>
  <c r="M154" i="1" a="1"/>
  <c r="M154" i="1"/>
  <c r="M153" i="1" a="1"/>
  <c r="M153" i="1"/>
  <c r="M152" i="1" a="1"/>
  <c r="M152" i="1"/>
  <c r="M151" i="1" a="1"/>
  <c r="M151" i="1"/>
  <c r="M150" i="1" a="1"/>
  <c r="M150" i="1"/>
  <c r="M149" i="1" a="1"/>
  <c r="M149" i="1"/>
  <c r="M148" i="1" a="1"/>
  <c r="M148" i="1"/>
  <c r="M147" i="1" a="1"/>
  <c r="M147" i="1"/>
  <c r="M146" i="1" a="1"/>
  <c r="M146" i="1"/>
  <c r="M145" i="1" a="1"/>
  <c r="M145" i="1"/>
  <c r="M144" i="1" a="1"/>
  <c r="M144" i="1"/>
  <c r="M143" i="1" a="1"/>
  <c r="M143" i="1"/>
  <c r="M142" i="1" a="1"/>
  <c r="M142" i="1"/>
  <c r="M141" i="1" a="1"/>
  <c r="M141" i="1"/>
  <c r="L230" i="1" a="1"/>
  <c r="L230" i="1"/>
  <c r="L229" i="1" a="1"/>
  <c r="L229" i="1"/>
  <c r="L228" i="1" a="1"/>
  <c r="L228" i="1"/>
  <c r="L227" i="1" a="1"/>
  <c r="L227" i="1"/>
  <c r="L226" i="1" a="1"/>
  <c r="L226" i="1"/>
  <c r="L225" i="1" a="1"/>
  <c r="L225" i="1"/>
  <c r="L224" i="1" a="1"/>
  <c r="L224" i="1"/>
  <c r="L223" i="1" a="1"/>
  <c r="L223" i="1"/>
  <c r="L222" i="1" a="1"/>
  <c r="L222" i="1"/>
  <c r="L221" i="1" a="1"/>
  <c r="L221" i="1"/>
  <c r="L220" i="1" a="1"/>
  <c r="L220" i="1"/>
  <c r="L219" i="1" a="1"/>
  <c r="L219" i="1"/>
  <c r="L218" i="1" a="1"/>
  <c r="L218" i="1"/>
  <c r="L217" i="1" a="1"/>
  <c r="L217" i="1"/>
  <c r="L216" i="1" a="1"/>
  <c r="L216" i="1"/>
  <c r="L215" i="1" a="1"/>
  <c r="L215" i="1"/>
  <c r="L214" i="1" a="1"/>
  <c r="L214" i="1"/>
  <c r="L213" i="1" a="1"/>
  <c r="L213" i="1"/>
  <c r="L212" i="1" a="1"/>
  <c r="L212" i="1"/>
  <c r="L211" i="1" a="1"/>
  <c r="L211" i="1"/>
  <c r="L210" i="1" a="1"/>
  <c r="L210" i="1"/>
  <c r="L209" i="1" a="1"/>
  <c r="L209" i="1"/>
  <c r="L208" i="1" a="1"/>
  <c r="L208" i="1"/>
  <c r="L207" i="1" a="1"/>
  <c r="L207" i="1"/>
  <c r="L206" i="1" a="1"/>
  <c r="L206" i="1"/>
  <c r="L205" i="1" a="1"/>
  <c r="L205" i="1"/>
  <c r="L204" i="1" a="1"/>
  <c r="L204" i="1"/>
  <c r="L203" i="1" a="1"/>
  <c r="L203" i="1"/>
  <c r="L202" i="1" a="1"/>
  <c r="L202" i="1"/>
  <c r="L201" i="1" a="1"/>
  <c r="L201" i="1"/>
  <c r="L200" i="1" a="1"/>
  <c r="L200" i="1"/>
  <c r="L199" i="1" a="1"/>
  <c r="L199" i="1"/>
  <c r="L198" i="1" a="1"/>
  <c r="L198" i="1"/>
  <c r="L197" i="1" a="1"/>
  <c r="L197" i="1"/>
  <c r="L196" i="1" a="1"/>
  <c r="L196" i="1"/>
  <c r="L195" i="1" a="1"/>
  <c r="L195" i="1"/>
  <c r="L194" i="1" a="1"/>
  <c r="L194" i="1"/>
  <c r="L193" i="1" a="1"/>
  <c r="L193" i="1"/>
  <c r="L192" i="1" a="1"/>
  <c r="L192" i="1"/>
  <c r="L191" i="1" a="1"/>
  <c r="L191" i="1"/>
  <c r="L190" i="1" a="1"/>
  <c r="L190" i="1"/>
  <c r="L189" i="1" a="1"/>
  <c r="L189" i="1"/>
  <c r="L188" i="1" a="1"/>
  <c r="L188" i="1"/>
  <c r="L187" i="1" a="1"/>
  <c r="L187" i="1"/>
  <c r="L186" i="1" a="1"/>
  <c r="L186" i="1"/>
  <c r="L185" i="1" a="1"/>
  <c r="L185" i="1"/>
  <c r="L184" i="1" a="1"/>
  <c r="L184" i="1"/>
  <c r="L183" i="1" a="1"/>
  <c r="L183" i="1"/>
  <c r="L182" i="1" a="1"/>
  <c r="L182" i="1"/>
  <c r="L181" i="1" a="1"/>
  <c r="L181" i="1"/>
  <c r="L180" i="1" a="1"/>
  <c r="L180" i="1"/>
  <c r="L179" i="1" a="1"/>
  <c r="L179" i="1"/>
  <c r="L178" i="1" a="1"/>
  <c r="L178" i="1"/>
  <c r="L177" i="1" a="1"/>
  <c r="L177" i="1"/>
  <c r="L176" i="1" a="1"/>
  <c r="L176" i="1"/>
  <c r="L175" i="1" a="1"/>
  <c r="L175" i="1"/>
  <c r="L174" i="1" a="1"/>
  <c r="L174" i="1"/>
  <c r="L173" i="1" a="1"/>
  <c r="L173" i="1"/>
  <c r="L172" i="1" a="1"/>
  <c r="L172" i="1"/>
  <c r="L171" i="1" a="1"/>
  <c r="L171" i="1"/>
  <c r="L170" i="1" a="1"/>
  <c r="L170" i="1"/>
  <c r="L169" i="1" a="1"/>
  <c r="L169" i="1"/>
  <c r="L168" i="1" a="1"/>
  <c r="L168" i="1"/>
  <c r="L167" i="1" a="1"/>
  <c r="L167" i="1"/>
  <c r="L166" i="1" a="1"/>
  <c r="L166" i="1"/>
  <c r="L165" i="1" a="1"/>
  <c r="L165" i="1"/>
  <c r="L164" i="1" a="1"/>
  <c r="L164" i="1"/>
  <c r="L163" i="1" a="1"/>
  <c r="L163" i="1"/>
  <c r="L162" i="1" a="1"/>
  <c r="L162" i="1"/>
  <c r="L161" i="1" a="1"/>
  <c r="L161" i="1"/>
  <c r="L160" i="1" a="1"/>
  <c r="L160" i="1"/>
  <c r="L159" i="1" a="1"/>
  <c r="L159" i="1"/>
  <c r="L158" i="1" a="1"/>
  <c r="L158" i="1"/>
  <c r="L157" i="1" a="1"/>
  <c r="L157" i="1"/>
  <c r="L156" i="1" a="1"/>
  <c r="L156" i="1"/>
  <c r="L155" i="1" a="1"/>
  <c r="L155" i="1"/>
  <c r="L154" i="1" a="1"/>
  <c r="L154" i="1"/>
  <c r="L153" i="1" a="1"/>
  <c r="L153" i="1"/>
  <c r="L152" i="1" a="1"/>
  <c r="L152" i="1"/>
  <c r="L151" i="1" a="1"/>
  <c r="L151" i="1"/>
  <c r="L150" i="1" a="1"/>
  <c r="L150" i="1"/>
  <c r="L149" i="1" a="1"/>
  <c r="L149" i="1"/>
  <c r="L148" i="1" a="1"/>
  <c r="L148" i="1"/>
  <c r="L147" i="1" a="1"/>
  <c r="L147" i="1"/>
  <c r="L146" i="1" a="1"/>
  <c r="L146" i="1"/>
  <c r="L145" i="1" a="1"/>
  <c r="L145" i="1"/>
  <c r="L144" i="1" a="1"/>
  <c r="L144" i="1"/>
  <c r="L143" i="1" a="1"/>
  <c r="L143" i="1"/>
  <c r="L142" i="1" a="1"/>
  <c r="L142" i="1"/>
  <c r="L141" i="1" a="1"/>
  <c r="L141" i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C192" i="1" l="1"/>
  <c r="C191" i="1"/>
  <c r="C190" i="1"/>
  <c r="E186" i="1"/>
  <c r="E187" i="1"/>
  <c r="C187" i="1" s="1"/>
  <c r="E188" i="1"/>
  <c r="E189" i="1"/>
  <c r="E190" i="1"/>
  <c r="E191" i="1"/>
  <c r="E192" i="1"/>
  <c r="E193" i="1"/>
  <c r="C193" i="1" s="1"/>
  <c r="E194" i="1"/>
  <c r="E195" i="1"/>
  <c r="E196" i="1"/>
  <c r="E197" i="1"/>
  <c r="E198" i="1"/>
  <c r="E199" i="1"/>
  <c r="E200" i="1"/>
  <c r="E201" i="1"/>
  <c r="E202" i="1"/>
  <c r="E203" i="1"/>
  <c r="E204" i="1"/>
  <c r="C204" i="1" s="1"/>
  <c r="E205" i="1"/>
  <c r="E206" i="1"/>
  <c r="C206" i="1"/>
  <c r="C205" i="1"/>
  <c r="C203" i="1"/>
  <c r="C202" i="1"/>
  <c r="C201" i="1"/>
  <c r="C199" i="1"/>
  <c r="C198" i="1"/>
  <c r="C197" i="1"/>
  <c r="C194" i="1"/>
  <c r="C188" i="1"/>
  <c r="C186" i="1"/>
  <c r="C200" i="1"/>
  <c r="C196" i="1"/>
  <c r="C195" i="1"/>
  <c r="C189" i="1"/>
  <c r="E5" i="1"/>
  <c r="C146" i="1"/>
  <c r="C147" i="1"/>
  <c r="C148" i="1"/>
  <c r="C149" i="1"/>
  <c r="C151" i="1"/>
  <c r="C162" i="1"/>
  <c r="C164" i="1"/>
  <c r="C166" i="1"/>
  <c r="C168" i="1"/>
  <c r="C169" i="1"/>
  <c r="C175" i="1"/>
  <c r="C176" i="1"/>
  <c r="C178" i="1"/>
  <c r="C179" i="1"/>
  <c r="C182" i="1"/>
  <c r="C183" i="1"/>
  <c r="C184" i="1"/>
  <c r="C18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C141" i="1" s="1"/>
  <c r="E142" i="1"/>
  <c r="C142" i="1" s="1"/>
  <c r="E143" i="1"/>
  <c r="C143" i="1" s="1"/>
  <c r="E144" i="1"/>
  <c r="C144" i="1" s="1"/>
  <c r="E145" i="1"/>
  <c r="C145" i="1" s="1"/>
  <c r="E146" i="1"/>
  <c r="E147" i="1"/>
  <c r="E148" i="1"/>
  <c r="E149" i="1"/>
  <c r="E150" i="1"/>
  <c r="C150" i="1" s="1"/>
  <c r="E151" i="1"/>
  <c r="E152" i="1"/>
  <c r="C152" i="1" s="1"/>
  <c r="E153" i="1"/>
  <c r="C153" i="1" s="1"/>
  <c r="E154" i="1"/>
  <c r="C154" i="1" s="1"/>
  <c r="E155" i="1"/>
  <c r="C155" i="1" s="1"/>
  <c r="E156" i="1"/>
  <c r="C156" i="1" s="1"/>
  <c r="E157" i="1"/>
  <c r="C157" i="1" s="1"/>
  <c r="E158" i="1"/>
  <c r="C158" i="1" s="1"/>
  <c r="E159" i="1"/>
  <c r="C159" i="1" s="1"/>
  <c r="E160" i="1"/>
  <c r="C160" i="1" s="1"/>
  <c r="E161" i="1"/>
  <c r="C161" i="1" s="1"/>
  <c r="E162" i="1"/>
  <c r="E163" i="1"/>
  <c r="C163" i="1" s="1"/>
  <c r="E164" i="1"/>
  <c r="E165" i="1"/>
  <c r="C165" i="1" s="1"/>
  <c r="E166" i="1"/>
  <c r="E167" i="1"/>
  <c r="C167" i="1" s="1"/>
  <c r="E168" i="1"/>
  <c r="E169" i="1"/>
  <c r="E170" i="1"/>
  <c r="C170" i="1" s="1"/>
  <c r="E171" i="1"/>
  <c r="C171" i="1" s="1"/>
  <c r="E172" i="1"/>
  <c r="C172" i="1" s="1"/>
  <c r="E173" i="1"/>
  <c r="C173" i="1" s="1"/>
  <c r="E174" i="1"/>
  <c r="C174" i="1" s="1"/>
  <c r="E175" i="1"/>
  <c r="E176" i="1"/>
  <c r="E177" i="1"/>
  <c r="C177" i="1" s="1"/>
  <c r="E178" i="1"/>
  <c r="E179" i="1"/>
  <c r="E180" i="1"/>
  <c r="C180" i="1" s="1"/>
  <c r="E181" i="1"/>
  <c r="C181" i="1" s="1"/>
  <c r="E182" i="1"/>
  <c r="E183" i="1"/>
  <c r="E184" i="1"/>
  <c r="E18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M27" i="1" a="1"/>
  <c r="M27" i="1" s="1"/>
  <c r="M22" i="1" a="1"/>
  <c r="M22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 s="1"/>
  <c r="P114" i="1" a="1"/>
  <c r="P114" i="1" s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M140" i="1" a="1"/>
  <c r="M140" i="1" s="1"/>
  <c r="M139" i="1" a="1"/>
  <c r="M139" i="1" s="1"/>
  <c r="M138" i="1" a="1"/>
  <c r="M138" i="1" s="1"/>
  <c r="M137" i="1" a="1"/>
  <c r="M137" i="1" s="1"/>
  <c r="M136" i="1" a="1"/>
  <c r="M136" i="1" s="1"/>
  <c r="M135" i="1" a="1"/>
  <c r="M135" i="1" s="1"/>
  <c r="M134" i="1" a="1"/>
  <c r="M134" i="1" s="1"/>
  <c r="M133" i="1" a="1"/>
  <c r="M133" i="1" s="1"/>
  <c r="M132" i="1" a="1"/>
  <c r="M132" i="1" s="1"/>
  <c r="M131" i="1" a="1"/>
  <c r="M131" i="1" s="1"/>
  <c r="M130" i="1" a="1"/>
  <c r="M130" i="1" s="1"/>
  <c r="M129" i="1" a="1"/>
  <c r="M129" i="1" s="1"/>
  <c r="M128" i="1" a="1"/>
  <c r="M128" i="1" s="1"/>
  <c r="M127" i="1" a="1"/>
  <c r="M127" i="1" s="1"/>
  <c r="M126" i="1" a="1"/>
  <c r="M126" i="1" s="1"/>
  <c r="M125" i="1" a="1"/>
  <c r="M125" i="1" s="1"/>
  <c r="M124" i="1" a="1"/>
  <c r="M124" i="1" s="1"/>
  <c r="M123" i="1" a="1"/>
  <c r="M123" i="1" s="1"/>
  <c r="M122" i="1" a="1"/>
  <c r="M122" i="1" s="1"/>
  <c r="M121" i="1" a="1"/>
  <c r="M121" i="1" s="1"/>
  <c r="M120" i="1" a="1"/>
  <c r="M120" i="1" s="1"/>
  <c r="M119" i="1" a="1"/>
  <c r="M119" i="1" s="1"/>
  <c r="M118" i="1" a="1"/>
  <c r="M118" i="1" s="1"/>
  <c r="M117" i="1" a="1"/>
  <c r="M117" i="1" s="1"/>
  <c r="M116" i="1" a="1"/>
  <c r="M116" i="1" s="1"/>
  <c r="M115" i="1" a="1"/>
  <c r="M115" i="1" s="1"/>
  <c r="M114" i="1" a="1"/>
  <c r="M114" i="1" s="1"/>
  <c r="M113" i="1" a="1"/>
  <c r="M113" i="1" s="1"/>
  <c r="M112" i="1" a="1"/>
  <c r="M112" i="1" s="1"/>
  <c r="M111" i="1" a="1"/>
  <c r="M111" i="1" s="1"/>
  <c r="M110" i="1" a="1"/>
  <c r="M110" i="1" s="1"/>
  <c r="M109" i="1" a="1"/>
  <c r="M109" i="1" s="1"/>
  <c r="M108" i="1" a="1"/>
  <c r="M108" i="1" s="1"/>
  <c r="M107" i="1" a="1"/>
  <c r="M107" i="1" s="1"/>
  <c r="M106" i="1" a="1"/>
  <c r="M106" i="1" s="1"/>
  <c r="M105" i="1" a="1"/>
  <c r="M105" i="1" s="1"/>
  <c r="M104" i="1" a="1"/>
  <c r="M104" i="1" s="1"/>
  <c r="M103" i="1" a="1"/>
  <c r="M103" i="1" s="1"/>
  <c r="M102" i="1" a="1"/>
  <c r="M102" i="1" s="1"/>
  <c r="L140" i="1" a="1"/>
  <c r="L140" i="1" s="1"/>
  <c r="L139" i="1" a="1"/>
  <c r="L139" i="1" s="1"/>
  <c r="L138" i="1" a="1"/>
  <c r="L138" i="1" s="1"/>
  <c r="L137" i="1" a="1"/>
  <c r="L137" i="1" s="1"/>
  <c r="L136" i="1" a="1"/>
  <c r="L136" i="1" s="1"/>
  <c r="L135" i="1" a="1"/>
  <c r="L135" i="1" s="1"/>
  <c r="L134" i="1" a="1"/>
  <c r="L134" i="1" s="1"/>
  <c r="L133" i="1" a="1"/>
  <c r="L133" i="1" s="1"/>
  <c r="L132" i="1" a="1"/>
  <c r="L132" i="1" s="1"/>
  <c r="L131" i="1" a="1"/>
  <c r="L131" i="1" s="1"/>
  <c r="L130" i="1" a="1"/>
  <c r="L130" i="1" s="1"/>
  <c r="L129" i="1" a="1"/>
  <c r="L129" i="1" s="1"/>
  <c r="L128" i="1" a="1"/>
  <c r="L128" i="1" s="1"/>
  <c r="L127" i="1" a="1"/>
  <c r="L127" i="1" s="1"/>
  <c r="L126" i="1" a="1"/>
  <c r="L126" i="1" s="1"/>
  <c r="L125" i="1" a="1"/>
  <c r="L125" i="1" s="1"/>
  <c r="L124" i="1" a="1"/>
  <c r="L124" i="1" s="1"/>
  <c r="L123" i="1" a="1"/>
  <c r="L123" i="1" s="1"/>
  <c r="L122" i="1" a="1"/>
  <c r="L122" i="1" s="1"/>
  <c r="L121" i="1" a="1"/>
  <c r="L121" i="1" s="1"/>
  <c r="L120" i="1" a="1"/>
  <c r="L120" i="1" s="1"/>
  <c r="L119" i="1" a="1"/>
  <c r="L119" i="1" s="1"/>
  <c r="L118" i="1" a="1"/>
  <c r="L118" i="1" s="1"/>
  <c r="L117" i="1" a="1"/>
  <c r="L117" i="1" s="1"/>
  <c r="L116" i="1" a="1"/>
  <c r="L116" i="1" s="1"/>
  <c r="L115" i="1" a="1"/>
  <c r="L115" i="1" s="1"/>
  <c r="L114" i="1" a="1"/>
  <c r="L114" i="1" s="1"/>
  <c r="L113" i="1" a="1"/>
  <c r="L113" i="1" s="1"/>
  <c r="L112" i="1" a="1"/>
  <c r="L112" i="1" s="1"/>
  <c r="L111" i="1" a="1"/>
  <c r="L111" i="1" s="1"/>
  <c r="L110" i="1" a="1"/>
  <c r="L110" i="1" s="1"/>
  <c r="L109" i="1" a="1"/>
  <c r="L109" i="1" s="1"/>
  <c r="L108" i="1" a="1"/>
  <c r="L108" i="1" s="1"/>
  <c r="L107" i="1" a="1"/>
  <c r="L107" i="1" s="1"/>
  <c r="L106" i="1" a="1"/>
  <c r="L106" i="1" s="1"/>
  <c r="L105" i="1" a="1"/>
  <c r="L105" i="1" s="1"/>
  <c r="L104" i="1" a="1"/>
  <c r="L104" i="1" s="1"/>
  <c r="L103" i="1" a="1"/>
  <c r="L103" i="1" s="1"/>
  <c r="L102" i="1" a="1"/>
  <c r="L102" i="1" s="1"/>
  <c r="S4" i="1" a="1"/>
  <c r="S4" i="1" s="1"/>
  <c r="P4" i="1" a="1"/>
  <c r="P4" i="1" s="1"/>
  <c r="O4" i="1" a="1"/>
  <c r="O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M101" i="1" a="1"/>
  <c r="M101" i="1" s="1"/>
  <c r="M100" i="1" a="1"/>
  <c r="M100" i="1" s="1"/>
  <c r="M99" i="1" a="1"/>
  <c r="M99" i="1" s="1"/>
  <c r="L101" i="1" a="1"/>
  <c r="L101" i="1" s="1"/>
  <c r="L100" i="1" a="1"/>
  <c r="L100" i="1" s="1"/>
  <c r="L99" i="1" a="1"/>
  <c r="L99" i="1" s="1"/>
  <c r="M98" i="1" a="1"/>
  <c r="M98" i="1" s="1"/>
  <c r="M97" i="1" a="1"/>
  <c r="M97" i="1" s="1"/>
  <c r="M96" i="1" a="1"/>
  <c r="M96" i="1" s="1"/>
  <c r="M95" i="1" a="1"/>
  <c r="M95" i="1" s="1"/>
  <c r="M94" i="1" a="1"/>
  <c r="M94" i="1" s="1"/>
  <c r="M93" i="1" a="1"/>
  <c r="M93" i="1" s="1"/>
  <c r="M92" i="1" a="1"/>
  <c r="M92" i="1" s="1"/>
  <c r="M91" i="1" a="1"/>
  <c r="M91" i="1" s="1"/>
  <c r="M90" i="1" a="1"/>
  <c r="M90" i="1" s="1"/>
  <c r="M89" i="1" a="1"/>
  <c r="M89" i="1" s="1"/>
  <c r="M88" i="1" a="1"/>
  <c r="M88" i="1" s="1"/>
  <c r="M87" i="1" a="1"/>
  <c r="M87" i="1" s="1"/>
  <c r="M86" i="1" a="1"/>
  <c r="M86" i="1" s="1"/>
  <c r="M85" i="1" a="1"/>
  <c r="M85" i="1" s="1"/>
  <c r="M84" i="1" a="1"/>
  <c r="M84" i="1" s="1"/>
  <c r="M83" i="1" a="1"/>
  <c r="M83" i="1" s="1"/>
  <c r="M82" i="1" a="1"/>
  <c r="M82" i="1" s="1"/>
  <c r="M81" i="1" a="1"/>
  <c r="M81" i="1" s="1"/>
  <c r="M80" i="1" a="1"/>
  <c r="M80" i="1" s="1"/>
  <c r="M79" i="1" a="1"/>
  <c r="M79" i="1" s="1"/>
  <c r="M78" i="1" a="1"/>
  <c r="M78" i="1" s="1"/>
  <c r="M77" i="1" a="1"/>
  <c r="M77" i="1" s="1"/>
  <c r="M76" i="1" a="1"/>
  <c r="M76" i="1" s="1"/>
  <c r="M75" i="1" a="1"/>
  <c r="M75" i="1" s="1"/>
  <c r="M74" i="1" a="1"/>
  <c r="M74" i="1" s="1"/>
  <c r="M73" i="1" a="1"/>
  <c r="M73" i="1" s="1"/>
  <c r="M72" i="1" a="1"/>
  <c r="M72" i="1" s="1"/>
  <c r="M71" i="1" a="1"/>
  <c r="M71" i="1" s="1"/>
  <c r="M70" i="1" a="1"/>
  <c r="M70" i="1" s="1"/>
  <c r="M69" i="1" a="1"/>
  <c r="M69" i="1" s="1"/>
  <c r="M68" i="1" a="1"/>
  <c r="M68" i="1" s="1"/>
  <c r="M67" i="1" a="1"/>
  <c r="M67" i="1" s="1"/>
  <c r="M66" i="1" a="1"/>
  <c r="M66" i="1" s="1"/>
  <c r="M65" i="1" a="1"/>
  <c r="M65" i="1" s="1"/>
  <c r="M64" i="1" a="1"/>
  <c r="M64" i="1" s="1"/>
  <c r="M63" i="1" a="1"/>
  <c r="M63" i="1" s="1"/>
  <c r="M62" i="1" a="1"/>
  <c r="M62" i="1" s="1"/>
  <c r="M61" i="1" a="1"/>
  <c r="M61" i="1" s="1"/>
  <c r="L98" i="1" a="1"/>
  <c r="L98" i="1" s="1"/>
  <c r="L97" i="1" a="1"/>
  <c r="L97" i="1" s="1"/>
  <c r="L96" i="1" a="1"/>
  <c r="L96" i="1" s="1"/>
  <c r="L95" i="1" a="1"/>
  <c r="L95" i="1" s="1"/>
  <c r="L94" i="1" a="1"/>
  <c r="L94" i="1" s="1"/>
  <c r="L93" i="1" a="1"/>
  <c r="L93" i="1" s="1"/>
  <c r="L92" i="1" a="1"/>
  <c r="L92" i="1" s="1"/>
  <c r="L91" i="1" a="1"/>
  <c r="L91" i="1" s="1"/>
  <c r="L90" i="1" a="1"/>
  <c r="L90" i="1" s="1"/>
  <c r="L89" i="1" a="1"/>
  <c r="L89" i="1" s="1"/>
  <c r="L88" i="1" a="1"/>
  <c r="L88" i="1" s="1"/>
  <c r="L87" i="1" a="1"/>
  <c r="L87" i="1" s="1"/>
  <c r="L86" i="1" a="1"/>
  <c r="L86" i="1" s="1"/>
  <c r="L85" i="1" a="1"/>
  <c r="L85" i="1" s="1"/>
  <c r="L84" i="1" a="1"/>
  <c r="L84" i="1" s="1"/>
  <c r="L83" i="1" a="1"/>
  <c r="L83" i="1" s="1"/>
  <c r="L82" i="1" a="1"/>
  <c r="L82" i="1" s="1"/>
  <c r="L81" i="1" a="1"/>
  <c r="L81" i="1" s="1"/>
  <c r="L80" i="1" a="1"/>
  <c r="L80" i="1" s="1"/>
  <c r="L79" i="1" a="1"/>
  <c r="L79" i="1" s="1"/>
  <c r="L78" i="1" a="1"/>
  <c r="L78" i="1" s="1"/>
  <c r="L77" i="1" a="1"/>
  <c r="L77" i="1" s="1"/>
  <c r="L76" i="1" a="1"/>
  <c r="L76" i="1" s="1"/>
  <c r="L75" i="1" a="1"/>
  <c r="L75" i="1" s="1"/>
  <c r="L74" i="1" a="1"/>
  <c r="L74" i="1" s="1"/>
  <c r="L73" i="1" a="1"/>
  <c r="L73" i="1" s="1"/>
  <c r="L72" i="1" a="1"/>
  <c r="L72" i="1" s="1"/>
  <c r="L71" i="1" a="1"/>
  <c r="L71" i="1" s="1"/>
  <c r="L70" i="1" a="1"/>
  <c r="L70" i="1" s="1"/>
  <c r="L69" i="1" a="1"/>
  <c r="L69" i="1" s="1"/>
  <c r="L68" i="1" a="1"/>
  <c r="L68" i="1" s="1"/>
  <c r="L67" i="1" a="1"/>
  <c r="L67" i="1" s="1"/>
  <c r="L66" i="1" a="1"/>
  <c r="L66" i="1" s="1"/>
  <c r="L65" i="1" a="1"/>
  <c r="L65" i="1" s="1"/>
  <c r="L64" i="1" a="1"/>
  <c r="L64" i="1" s="1"/>
  <c r="L63" i="1" a="1"/>
  <c r="L63" i="1" s="1"/>
  <c r="L62" i="1" a="1"/>
  <c r="L62" i="1" s="1"/>
  <c r="L61" i="1" a="1"/>
  <c r="L61" i="1" s="1"/>
  <c r="M4" i="1" a="1"/>
  <c r="M4" i="1" s="1"/>
  <c r="A4" i="1" s="1"/>
  <c r="L4" i="1" a="1"/>
  <c r="L4" i="1" s="1"/>
  <c r="M60" i="1" a="1"/>
  <c r="M60" i="1" s="1"/>
  <c r="M59" i="1" a="1"/>
  <c r="M59" i="1" s="1"/>
  <c r="M58" i="1" a="1"/>
  <c r="M58" i="1" s="1"/>
  <c r="M57" i="1" a="1"/>
  <c r="M57" i="1" s="1"/>
  <c r="M56" i="1" a="1"/>
  <c r="M56" i="1" s="1"/>
  <c r="M55" i="1" a="1"/>
  <c r="M55" i="1" s="1"/>
  <c r="M54" i="1" a="1"/>
  <c r="M54" i="1" s="1"/>
  <c r="M53" i="1" a="1"/>
  <c r="M53" i="1" s="1"/>
  <c r="M52" i="1" a="1"/>
  <c r="M52" i="1" s="1"/>
  <c r="M51" i="1" a="1"/>
  <c r="M51" i="1" s="1"/>
  <c r="M50" i="1" a="1"/>
  <c r="M50" i="1" s="1"/>
  <c r="M49" i="1" a="1"/>
  <c r="M49" i="1" s="1"/>
  <c r="M48" i="1" a="1"/>
  <c r="M48" i="1" s="1"/>
  <c r="M47" i="1" a="1"/>
  <c r="M47" i="1" s="1"/>
  <c r="M46" i="1" a="1"/>
  <c r="M46" i="1" s="1"/>
  <c r="M45" i="1" a="1"/>
  <c r="M45" i="1" s="1"/>
  <c r="M44" i="1" a="1"/>
  <c r="M44" i="1" s="1"/>
  <c r="M43" i="1" a="1"/>
  <c r="M43" i="1" s="1"/>
  <c r="M42" i="1" a="1"/>
  <c r="M42" i="1" s="1"/>
  <c r="M41" i="1" a="1"/>
  <c r="M41" i="1" s="1"/>
  <c r="M40" i="1" a="1"/>
  <c r="M40" i="1" s="1"/>
  <c r="M39" i="1" a="1"/>
  <c r="M39" i="1" s="1"/>
  <c r="M38" i="1" a="1"/>
  <c r="M38" i="1" s="1"/>
  <c r="M37" i="1" a="1"/>
  <c r="M37" i="1" s="1"/>
  <c r="M36" i="1" a="1"/>
  <c r="M36" i="1" s="1"/>
  <c r="M35" i="1" a="1"/>
  <c r="M35" i="1" s="1"/>
  <c r="M34" i="1" a="1"/>
  <c r="M34" i="1" s="1"/>
  <c r="M33" i="1" a="1"/>
  <c r="M33" i="1" s="1"/>
  <c r="M32" i="1" a="1"/>
  <c r="M32" i="1" s="1"/>
  <c r="M31" i="1" a="1"/>
  <c r="M31" i="1" s="1"/>
  <c r="M30" i="1" a="1"/>
  <c r="M30" i="1" s="1"/>
  <c r="M29" i="1" a="1"/>
  <c r="M29" i="1" s="1"/>
  <c r="M28" i="1" a="1"/>
  <c r="M28" i="1" s="1"/>
  <c r="M26" i="1" a="1"/>
  <c r="M26" i="1" s="1"/>
  <c r="M25" i="1" a="1"/>
  <c r="M25" i="1" s="1"/>
  <c r="M24" i="1" a="1"/>
  <c r="M24" i="1" s="1"/>
  <c r="M23" i="1" a="1"/>
  <c r="M23" i="1" s="1"/>
  <c r="M21" i="1" a="1"/>
  <c r="M21" i="1" s="1"/>
  <c r="M20" i="1" a="1"/>
  <c r="M20" i="1" s="1"/>
  <c r="M19" i="1" a="1"/>
  <c r="M19" i="1" s="1"/>
  <c r="M18" i="1" a="1"/>
  <c r="M18" i="1" s="1"/>
  <c r="M17" i="1" a="1"/>
  <c r="M17" i="1" s="1"/>
  <c r="M16" i="1" a="1"/>
  <c r="M16" i="1" s="1"/>
  <c r="M15" i="1" a="1"/>
  <c r="M15" i="1" s="1"/>
  <c r="M14" i="1" a="1"/>
  <c r="M14" i="1" s="1"/>
  <c r="M13" i="1" a="1"/>
  <c r="M13" i="1" s="1"/>
  <c r="M12" i="1" a="1"/>
  <c r="M12" i="1" s="1"/>
  <c r="M11" i="1" a="1"/>
  <c r="M11" i="1" s="1"/>
  <c r="M10" i="1" a="1"/>
  <c r="M10" i="1" s="1"/>
  <c r="M9" i="1" a="1"/>
  <c r="M9" i="1" s="1"/>
  <c r="M8" i="1" a="1"/>
  <c r="M8" i="1" s="1"/>
  <c r="M7" i="1" a="1"/>
  <c r="M7" i="1" s="1"/>
  <c r="M6" i="1" a="1"/>
  <c r="M6" i="1" s="1"/>
  <c r="M5" i="1" a="1"/>
  <c r="M5" i="1" s="1"/>
  <c r="L60" i="1" a="1"/>
  <c r="L60" i="1" s="1"/>
  <c r="L59" i="1" a="1"/>
  <c r="L59" i="1" s="1"/>
  <c r="L58" i="1" a="1"/>
  <c r="L58" i="1" s="1"/>
  <c r="L57" i="1" a="1"/>
  <c r="L57" i="1" s="1"/>
  <c r="L56" i="1" a="1"/>
  <c r="L56" i="1" s="1"/>
  <c r="L55" i="1" a="1"/>
  <c r="L55" i="1" s="1"/>
  <c r="L54" i="1" a="1"/>
  <c r="L54" i="1" s="1"/>
  <c r="L53" i="1" a="1"/>
  <c r="L53" i="1" s="1"/>
  <c r="L52" i="1" a="1"/>
  <c r="L52" i="1" s="1"/>
  <c r="L51" i="1" a="1"/>
  <c r="L51" i="1" s="1"/>
  <c r="L50" i="1" a="1"/>
  <c r="L50" i="1" s="1"/>
  <c r="L49" i="1" a="1"/>
  <c r="L49" i="1" s="1"/>
  <c r="L48" i="1" a="1"/>
  <c r="L48" i="1" s="1"/>
  <c r="L47" i="1" a="1"/>
  <c r="L47" i="1" s="1"/>
  <c r="L46" i="1" a="1"/>
  <c r="L46" i="1" s="1"/>
  <c r="L45" i="1" a="1"/>
  <c r="L45" i="1" s="1"/>
  <c r="L44" i="1" a="1"/>
  <c r="L44" i="1" s="1"/>
  <c r="L43" i="1" a="1"/>
  <c r="L43" i="1" s="1"/>
  <c r="L42" i="1" a="1"/>
  <c r="L42" i="1" s="1"/>
  <c r="L41" i="1" a="1"/>
  <c r="L41" i="1" s="1"/>
  <c r="L40" i="1" a="1"/>
  <c r="L40" i="1" s="1"/>
  <c r="L39" i="1" a="1"/>
  <c r="L39" i="1" s="1"/>
  <c r="L38" i="1" a="1"/>
  <c r="L38" i="1" s="1"/>
  <c r="L37" i="1" a="1"/>
  <c r="L37" i="1" s="1"/>
  <c r="L36" i="1" a="1"/>
  <c r="L36" i="1" s="1"/>
  <c r="L35" i="1" a="1"/>
  <c r="L35" i="1" s="1"/>
  <c r="L34" i="1" a="1"/>
  <c r="L34" i="1" s="1"/>
  <c r="L33" i="1" a="1"/>
  <c r="L33" i="1" s="1"/>
  <c r="L32" i="1" a="1"/>
  <c r="L32" i="1" s="1"/>
  <c r="L31" i="1" a="1"/>
  <c r="L31" i="1" s="1"/>
  <c r="L30" i="1" a="1"/>
  <c r="L30" i="1" s="1"/>
  <c r="L29" i="1" a="1"/>
  <c r="L29" i="1" s="1"/>
  <c r="L28" i="1" a="1"/>
  <c r="L28" i="1" s="1"/>
  <c r="L27" i="1" a="1"/>
  <c r="L27" i="1" s="1"/>
  <c r="L26" i="1" a="1"/>
  <c r="L26" i="1" s="1"/>
  <c r="L25" i="1" a="1"/>
  <c r="L25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C138" i="1" l="1"/>
  <c r="C128" i="1"/>
  <c r="C127" i="1"/>
  <c r="A122" i="1"/>
  <c r="N122" i="1"/>
  <c r="C122" i="1" s="1"/>
  <c r="A123" i="1"/>
  <c r="N123" i="1"/>
  <c r="C123" i="1" s="1"/>
  <c r="A124" i="1"/>
  <c r="N124" i="1"/>
  <c r="C124" i="1" s="1"/>
  <c r="A125" i="1"/>
  <c r="N125" i="1"/>
  <c r="C125" i="1" s="1"/>
  <c r="A126" i="1"/>
  <c r="N126" i="1"/>
  <c r="C126" i="1" s="1"/>
  <c r="A127" i="1"/>
  <c r="N127" i="1"/>
  <c r="A128" i="1"/>
  <c r="N128" i="1"/>
  <c r="A129" i="1"/>
  <c r="N129" i="1"/>
  <c r="C129" i="1" s="1"/>
  <c r="A130" i="1"/>
  <c r="N130" i="1"/>
  <c r="C130" i="1" s="1"/>
  <c r="A131" i="1"/>
  <c r="N131" i="1"/>
  <c r="C131" i="1" s="1"/>
  <c r="A132" i="1"/>
  <c r="N132" i="1"/>
  <c r="C132" i="1" s="1"/>
  <c r="A133" i="1"/>
  <c r="N133" i="1"/>
  <c r="C133" i="1" s="1"/>
  <c r="A134" i="1"/>
  <c r="N134" i="1"/>
  <c r="C134" i="1" s="1"/>
  <c r="A135" i="1"/>
  <c r="N135" i="1"/>
  <c r="C135" i="1" s="1"/>
  <c r="A136" i="1"/>
  <c r="N136" i="1"/>
  <c r="C136" i="1" s="1"/>
  <c r="A137" i="1"/>
  <c r="N137" i="1"/>
  <c r="C137" i="1" s="1"/>
  <c r="A138" i="1"/>
  <c r="N138" i="1"/>
  <c r="A139" i="1"/>
  <c r="N139" i="1"/>
  <c r="C139" i="1" s="1"/>
  <c r="A140" i="1"/>
  <c r="N140" i="1"/>
  <c r="C140" i="1" s="1"/>
  <c r="Q4" i="1"/>
  <c r="R4" i="1" s="1"/>
  <c r="N5" i="1"/>
  <c r="C5" i="1" s="1"/>
  <c r="A5" i="1"/>
  <c r="F4" i="1"/>
  <c r="G4" i="1"/>
  <c r="T4" i="1"/>
  <c r="K4" i="1"/>
  <c r="H4" i="1"/>
  <c r="N6" i="1"/>
  <c r="C6" i="1" s="1"/>
  <c r="A6" i="1"/>
  <c r="N7" i="1"/>
  <c r="C7" i="1" s="1"/>
  <c r="A7" i="1"/>
  <c r="N8" i="1"/>
  <c r="C8" i="1" s="1"/>
  <c r="A8" i="1"/>
  <c r="N9" i="1"/>
  <c r="C9" i="1" s="1"/>
  <c r="A9" i="1"/>
  <c r="N10" i="1"/>
  <c r="C10" i="1" s="1"/>
  <c r="A10" i="1"/>
  <c r="N11" i="1"/>
  <c r="C11" i="1" s="1"/>
  <c r="A11" i="1"/>
  <c r="N12" i="1"/>
  <c r="C12" i="1" s="1"/>
  <c r="A12" i="1"/>
  <c r="N13" i="1"/>
  <c r="C13" i="1" s="1"/>
  <c r="A13" i="1"/>
  <c r="N14" i="1"/>
  <c r="C14" i="1" s="1"/>
  <c r="A14" i="1"/>
  <c r="N15" i="1"/>
  <c r="C15" i="1" s="1"/>
  <c r="A15" i="1"/>
  <c r="N16" i="1"/>
  <c r="C16" i="1" s="1"/>
  <c r="A16" i="1"/>
  <c r="N17" i="1"/>
  <c r="C17" i="1" s="1"/>
  <c r="A17" i="1"/>
  <c r="N18" i="1"/>
  <c r="C18" i="1" s="1"/>
  <c r="A18" i="1"/>
  <c r="N19" i="1"/>
  <c r="C19" i="1" s="1"/>
  <c r="A19" i="1"/>
  <c r="N20" i="1"/>
  <c r="C20" i="1" s="1"/>
  <c r="A20" i="1"/>
  <c r="N21" i="1"/>
  <c r="C21" i="1" s="1"/>
  <c r="A21" i="1"/>
  <c r="N22" i="1"/>
  <c r="C22" i="1" s="1"/>
  <c r="A22" i="1"/>
  <c r="N23" i="1"/>
  <c r="C23" i="1" s="1"/>
  <c r="A23" i="1"/>
  <c r="N24" i="1"/>
  <c r="C24" i="1" s="1"/>
  <c r="A24" i="1"/>
  <c r="N25" i="1"/>
  <c r="C25" i="1" s="1"/>
  <c r="A25" i="1"/>
  <c r="N26" i="1"/>
  <c r="C26" i="1" s="1"/>
  <c r="A26" i="1"/>
  <c r="N27" i="1"/>
  <c r="C27" i="1" s="1"/>
  <c r="A27" i="1"/>
  <c r="N28" i="1"/>
  <c r="C28" i="1" s="1"/>
  <c r="A28" i="1"/>
  <c r="N29" i="1"/>
  <c r="C29" i="1" s="1"/>
  <c r="A29" i="1"/>
  <c r="N30" i="1"/>
  <c r="C30" i="1" s="1"/>
  <c r="A30" i="1"/>
  <c r="N31" i="1"/>
  <c r="C31" i="1" s="1"/>
  <c r="A31" i="1"/>
  <c r="N32" i="1"/>
  <c r="C32" i="1" s="1"/>
  <c r="A32" i="1"/>
  <c r="N33" i="1"/>
  <c r="C33" i="1" s="1"/>
  <c r="A33" i="1"/>
  <c r="N34" i="1"/>
  <c r="C34" i="1" s="1"/>
  <c r="A34" i="1"/>
  <c r="N35" i="1"/>
  <c r="C35" i="1" s="1"/>
  <c r="A35" i="1"/>
  <c r="N36" i="1"/>
  <c r="C36" i="1" s="1"/>
  <c r="A36" i="1"/>
  <c r="N37" i="1"/>
  <c r="C37" i="1" s="1"/>
  <c r="A37" i="1"/>
  <c r="N38" i="1"/>
  <c r="C38" i="1" s="1"/>
  <c r="A38" i="1"/>
  <c r="N39" i="1"/>
  <c r="C39" i="1" s="1"/>
  <c r="A39" i="1"/>
  <c r="N40" i="1"/>
  <c r="C40" i="1" s="1"/>
  <c r="A40" i="1"/>
  <c r="N41" i="1"/>
  <c r="C41" i="1" s="1"/>
  <c r="A41" i="1"/>
  <c r="N42" i="1"/>
  <c r="C42" i="1" s="1"/>
  <c r="A42" i="1"/>
  <c r="N43" i="1"/>
  <c r="C43" i="1" s="1"/>
  <c r="A43" i="1"/>
  <c r="N44" i="1"/>
  <c r="C44" i="1" s="1"/>
  <c r="A44" i="1"/>
  <c r="N45" i="1"/>
  <c r="C45" i="1" s="1"/>
  <c r="A45" i="1"/>
  <c r="N46" i="1"/>
  <c r="C46" i="1" s="1"/>
  <c r="A46" i="1"/>
  <c r="N47" i="1"/>
  <c r="C47" i="1" s="1"/>
  <c r="A47" i="1"/>
  <c r="N48" i="1"/>
  <c r="C48" i="1" s="1"/>
  <c r="A48" i="1"/>
  <c r="N49" i="1"/>
  <c r="C49" i="1" s="1"/>
  <c r="A49" i="1"/>
  <c r="N50" i="1"/>
  <c r="C50" i="1" s="1"/>
  <c r="A50" i="1"/>
  <c r="N51" i="1"/>
  <c r="C51" i="1" s="1"/>
  <c r="A51" i="1"/>
  <c r="N52" i="1"/>
  <c r="C52" i="1" s="1"/>
  <c r="A52" i="1"/>
  <c r="N53" i="1"/>
  <c r="C53" i="1" s="1"/>
  <c r="A53" i="1"/>
  <c r="N54" i="1"/>
  <c r="C54" i="1" s="1"/>
  <c r="A54" i="1"/>
  <c r="N55" i="1"/>
  <c r="C55" i="1" s="1"/>
  <c r="A55" i="1"/>
  <c r="N56" i="1"/>
  <c r="C56" i="1" s="1"/>
  <c r="A56" i="1"/>
  <c r="N57" i="1"/>
  <c r="C57" i="1" s="1"/>
  <c r="A57" i="1"/>
  <c r="N58" i="1"/>
  <c r="C58" i="1" s="1"/>
  <c r="A58" i="1"/>
  <c r="N59" i="1"/>
  <c r="C59" i="1" s="1"/>
  <c r="A59" i="1"/>
  <c r="N60" i="1"/>
  <c r="C60" i="1" s="1"/>
  <c r="A60" i="1"/>
  <c r="N61" i="1"/>
  <c r="C61" i="1" s="1"/>
  <c r="A61" i="1"/>
  <c r="N62" i="1"/>
  <c r="C62" i="1" s="1"/>
  <c r="A62" i="1"/>
  <c r="N63" i="1"/>
  <c r="C63" i="1" s="1"/>
  <c r="A63" i="1"/>
  <c r="N64" i="1"/>
  <c r="C64" i="1" s="1"/>
  <c r="A64" i="1"/>
  <c r="N65" i="1"/>
  <c r="C65" i="1" s="1"/>
  <c r="A65" i="1"/>
  <c r="N66" i="1"/>
  <c r="C66" i="1" s="1"/>
  <c r="A66" i="1"/>
  <c r="N67" i="1"/>
  <c r="C67" i="1" s="1"/>
  <c r="A67" i="1"/>
  <c r="N68" i="1"/>
  <c r="C68" i="1" s="1"/>
  <c r="A68" i="1"/>
  <c r="N69" i="1"/>
  <c r="C69" i="1" s="1"/>
  <c r="A69" i="1"/>
  <c r="N70" i="1"/>
  <c r="C70" i="1" s="1"/>
  <c r="A70" i="1"/>
  <c r="N71" i="1"/>
  <c r="C71" i="1" s="1"/>
  <c r="A71" i="1"/>
  <c r="N72" i="1"/>
  <c r="C72" i="1" s="1"/>
  <c r="A72" i="1"/>
  <c r="N73" i="1"/>
  <c r="C73" i="1" s="1"/>
  <c r="A73" i="1"/>
  <c r="N74" i="1"/>
  <c r="C74" i="1" s="1"/>
  <c r="A74" i="1"/>
  <c r="N75" i="1"/>
  <c r="C75" i="1" s="1"/>
  <c r="A75" i="1"/>
  <c r="N76" i="1"/>
  <c r="C76" i="1" s="1"/>
  <c r="A76" i="1"/>
  <c r="N77" i="1"/>
  <c r="C77" i="1" s="1"/>
  <c r="A77" i="1"/>
  <c r="N78" i="1"/>
  <c r="C78" i="1" s="1"/>
  <c r="A78" i="1"/>
  <c r="N79" i="1"/>
  <c r="C79" i="1" s="1"/>
  <c r="A79" i="1"/>
  <c r="N80" i="1"/>
  <c r="C80" i="1" s="1"/>
  <c r="A80" i="1"/>
  <c r="N81" i="1"/>
  <c r="C81" i="1" s="1"/>
  <c r="A81" i="1"/>
  <c r="N82" i="1"/>
  <c r="C82" i="1" s="1"/>
  <c r="A82" i="1"/>
  <c r="N83" i="1"/>
  <c r="C83" i="1" s="1"/>
  <c r="A83" i="1"/>
  <c r="N84" i="1"/>
  <c r="C84" i="1" s="1"/>
  <c r="A84" i="1"/>
  <c r="N85" i="1"/>
  <c r="C85" i="1" s="1"/>
  <c r="A85" i="1"/>
  <c r="N86" i="1"/>
  <c r="C86" i="1" s="1"/>
  <c r="A86" i="1"/>
  <c r="N87" i="1"/>
  <c r="C87" i="1" s="1"/>
  <c r="A87" i="1"/>
  <c r="N88" i="1"/>
  <c r="C88" i="1" s="1"/>
  <c r="A88" i="1"/>
  <c r="N89" i="1"/>
  <c r="C89" i="1" s="1"/>
  <c r="A89" i="1"/>
  <c r="N90" i="1"/>
  <c r="C90" i="1" s="1"/>
  <c r="A90" i="1"/>
  <c r="N91" i="1"/>
  <c r="C91" i="1" s="1"/>
  <c r="A91" i="1"/>
  <c r="N92" i="1"/>
  <c r="C92" i="1" s="1"/>
  <c r="A92" i="1"/>
  <c r="N93" i="1"/>
  <c r="C93" i="1" s="1"/>
  <c r="A93" i="1"/>
  <c r="N94" i="1"/>
  <c r="C94" i="1" s="1"/>
  <c r="A94" i="1"/>
  <c r="N95" i="1"/>
  <c r="C95" i="1" s="1"/>
  <c r="A95" i="1"/>
  <c r="N96" i="1"/>
  <c r="C96" i="1" s="1"/>
  <c r="A96" i="1"/>
  <c r="N97" i="1"/>
  <c r="C97" i="1" s="1"/>
  <c r="A97" i="1"/>
  <c r="N98" i="1"/>
  <c r="C98" i="1" s="1"/>
  <c r="A98" i="1"/>
  <c r="N99" i="1"/>
  <c r="C99" i="1" s="1"/>
  <c r="A99" i="1"/>
  <c r="N100" i="1"/>
  <c r="C100" i="1" s="1"/>
  <c r="A100" i="1"/>
  <c r="N101" i="1"/>
  <c r="C101" i="1" s="1"/>
  <c r="A101" i="1"/>
  <c r="N102" i="1"/>
  <c r="C102" i="1" s="1"/>
  <c r="A102" i="1"/>
  <c r="N103" i="1"/>
  <c r="C103" i="1" s="1"/>
  <c r="A103" i="1"/>
  <c r="N104" i="1"/>
  <c r="C104" i="1" s="1"/>
  <c r="A104" i="1"/>
  <c r="N105" i="1"/>
  <c r="C105" i="1" s="1"/>
  <c r="A105" i="1"/>
  <c r="N106" i="1"/>
  <c r="C106" i="1" s="1"/>
  <c r="A106" i="1"/>
  <c r="N107" i="1"/>
  <c r="C107" i="1" s="1"/>
  <c r="A107" i="1"/>
  <c r="N108" i="1"/>
  <c r="C108" i="1" s="1"/>
  <c r="A108" i="1"/>
  <c r="N109" i="1"/>
  <c r="C109" i="1" s="1"/>
  <c r="A109" i="1"/>
  <c r="N110" i="1"/>
  <c r="C110" i="1" s="1"/>
  <c r="A110" i="1"/>
  <c r="N111" i="1"/>
  <c r="C111" i="1" s="1"/>
  <c r="A111" i="1"/>
  <c r="N112" i="1"/>
  <c r="C112" i="1" s="1"/>
  <c r="A112" i="1"/>
  <c r="N113" i="1"/>
  <c r="C113" i="1" s="1"/>
  <c r="A113" i="1"/>
  <c r="N114" i="1"/>
  <c r="C114" i="1" s="1"/>
  <c r="A114" i="1"/>
  <c r="N115" i="1"/>
  <c r="C115" i="1" s="1"/>
  <c r="A115" i="1"/>
  <c r="N116" i="1"/>
  <c r="C116" i="1" s="1"/>
  <c r="A116" i="1"/>
  <c r="N117" i="1"/>
  <c r="C117" i="1" s="1"/>
  <c r="A117" i="1"/>
  <c r="N118" i="1"/>
  <c r="C118" i="1" s="1"/>
  <c r="A118" i="1"/>
  <c r="N119" i="1"/>
  <c r="C119" i="1" s="1"/>
  <c r="A119" i="1"/>
  <c r="N120" i="1"/>
  <c r="C120" i="1" s="1"/>
  <c r="A120" i="1"/>
  <c r="N121" i="1"/>
  <c r="C121" i="1" s="1"/>
  <c r="A121" i="1"/>
  <c r="N4" i="1" l="1"/>
  <c r="C4" i="1" s="1"/>
  <c r="A2" i="9" s="1" a="1"/>
  <c r="A2" i="9" s="1"/>
  <c r="A100" i="8" l="1" a="1"/>
  <c r="A100" i="8" s="1"/>
  <c r="A62" i="8" a="1"/>
  <c r="A62" i="8" s="1"/>
  <c r="A59" i="8" a="1"/>
  <c r="A59" i="8" s="1"/>
  <c r="A73" i="8" a="1"/>
  <c r="A73" i="8" s="1"/>
  <c r="A98" i="8" a="1"/>
  <c r="A98" i="8" s="1"/>
  <c r="A72" i="8" a="1"/>
  <c r="A72" i="8" s="1"/>
  <c r="A58" i="8" a="1"/>
  <c r="A58" i="8" s="1"/>
  <c r="A51" i="8" a="1"/>
  <c r="A51" i="8" s="1"/>
  <c r="A54" i="8" a="1"/>
  <c r="A54" i="8" s="1"/>
  <c r="A60" i="8" a="1"/>
  <c r="A60" i="8" s="1"/>
  <c r="A64" i="8" a="1"/>
  <c r="A64" i="8" s="1"/>
  <c r="A67" i="8" a="1"/>
  <c r="A67" i="8" s="1"/>
  <c r="A78" i="8" a="1"/>
  <c r="A78" i="8" s="1"/>
  <c r="A87" i="8" a="1"/>
  <c r="A87" i="8" s="1"/>
  <c r="A96" i="8" a="1"/>
  <c r="A96" i="8" s="1"/>
  <c r="A71" i="8" a="1"/>
  <c r="A71" i="8" s="1"/>
  <c r="A80" i="8" a="1"/>
  <c r="A80" i="8" s="1"/>
  <c r="A89" i="8" a="1"/>
  <c r="A89" i="8" s="1"/>
  <c r="A76" i="8" a="1"/>
  <c r="A76" i="8" s="1"/>
  <c r="A85" i="8" a="1"/>
  <c r="A85" i="8" s="1"/>
  <c r="A94" i="8" a="1"/>
  <c r="A94" i="8" s="1"/>
  <c r="A70" i="8" a="1"/>
  <c r="A70" i="8" s="1"/>
  <c r="A57" i="8" a="1"/>
  <c r="A57" i="8" s="1"/>
  <c r="A52" i="8" a="1"/>
  <c r="A52" i="8" s="1"/>
  <c r="A55" i="8" a="1"/>
  <c r="A55" i="8" s="1"/>
  <c r="A61" i="8" a="1"/>
  <c r="A61" i="8" s="1"/>
  <c r="A65" i="8" a="1"/>
  <c r="A65" i="8" s="1"/>
  <c r="A69" i="8" a="1"/>
  <c r="A69" i="8" s="1"/>
  <c r="A81" i="8" a="1"/>
  <c r="A81" i="8" s="1"/>
  <c r="A90" i="8" a="1"/>
  <c r="A90" i="8" s="1"/>
  <c r="A99" i="8" a="1"/>
  <c r="A99" i="8" s="1"/>
  <c r="A74" i="8" a="1"/>
  <c r="A74" i="8" s="1"/>
  <c r="A83" i="8" a="1"/>
  <c r="A83" i="8" s="1"/>
  <c r="A92" i="8" a="1"/>
  <c r="A92" i="8" s="1"/>
  <c r="A79" i="8" a="1"/>
  <c r="A79" i="8" s="1"/>
  <c r="A88" i="8" a="1"/>
  <c r="A88" i="8" s="1"/>
  <c r="A97" i="8" a="1"/>
  <c r="A97" i="8" s="1"/>
  <c r="A53" i="8" a="1"/>
  <c r="A53" i="8" s="1"/>
  <c r="A56" i="8" a="1"/>
  <c r="A56" i="8" s="1"/>
  <c r="A63" i="8" a="1"/>
  <c r="A63" i="8" s="1"/>
  <c r="A66" i="8" a="1"/>
  <c r="A66" i="8" s="1"/>
  <c r="A75" i="8" a="1"/>
  <c r="A75" i="8" s="1"/>
  <c r="A84" i="8" a="1"/>
  <c r="A84" i="8" s="1"/>
  <c r="A93" i="8" a="1"/>
  <c r="A93" i="8" s="1"/>
  <c r="A68" i="8" a="1"/>
  <c r="A68" i="8" s="1"/>
  <c r="A77" i="8" a="1"/>
  <c r="A77" i="8" s="1"/>
  <c r="A86" i="8" a="1"/>
  <c r="A86" i="8" s="1"/>
  <c r="A95" i="8" a="1"/>
  <c r="A95" i="8" s="1"/>
  <c r="A82" i="8" a="1"/>
  <c r="A82" i="8" s="1"/>
  <c r="A91" i="8" a="1"/>
  <c r="A91" i="8" s="1"/>
  <c r="A20" i="8" a="1"/>
  <c r="A20" i="8" s="1"/>
  <c r="A18" i="8" a="1"/>
  <c r="A18" i="8" s="1"/>
  <c r="A13" i="8" a="1"/>
  <c r="A13" i="8" s="1"/>
  <c r="A11" i="8" a="1"/>
  <c r="A11" i="8" s="1"/>
  <c r="A8" i="8" a="1"/>
  <c r="A8" i="8" s="1"/>
  <c r="A4" i="8" a="1"/>
  <c r="A4" i="8" s="1"/>
  <c r="A50" i="8" a="1"/>
  <c r="A50" i="8" s="1"/>
  <c r="A48" i="8" a="1"/>
  <c r="A48" i="8" s="1"/>
  <c r="A49" i="8" a="1"/>
  <c r="A49" i="8" s="1"/>
  <c r="A46" i="8" a="1"/>
  <c r="A46" i="8" s="1"/>
  <c r="A47" i="8" a="1"/>
  <c r="A47" i="8" s="1"/>
  <c r="A23" i="8" a="1"/>
  <c r="A23" i="8" s="1"/>
  <c r="A21" i="8" a="1"/>
  <c r="A21" i="8" s="1"/>
  <c r="A19" i="8" a="1"/>
  <c r="A19" i="8" s="1"/>
  <c r="A17" i="8" a="1"/>
  <c r="A17" i="8" s="1"/>
  <c r="A16" i="8" a="1"/>
  <c r="A16" i="8" s="1"/>
  <c r="A15" i="8" a="1"/>
  <c r="A15" i="8" s="1"/>
  <c r="A28" i="8" a="1"/>
  <c r="A28" i="8" s="1"/>
  <c r="A27" i="8" a="1"/>
  <c r="A27" i="8" s="1"/>
  <c r="A24" i="8" a="1"/>
  <c r="A24" i="8" s="1"/>
  <c r="A6" i="8" a="1"/>
  <c r="A6" i="8" s="1"/>
  <c r="A34" i="8" a="1"/>
  <c r="A34" i="8" s="1"/>
  <c r="A26" i="8" a="1"/>
  <c r="A26" i="8" s="1"/>
  <c r="A14" i="8" a="1"/>
  <c r="A14" i="8" s="1"/>
  <c r="A5" i="8" a="1"/>
  <c r="A5" i="8" s="1"/>
  <c r="A10" i="8" a="1"/>
  <c r="A10" i="8" s="1"/>
  <c r="A7" i="8" a="1"/>
  <c r="A7" i="8" s="1"/>
  <c r="A12" i="8" a="1"/>
  <c r="A12" i="8" s="1"/>
  <c r="A9" i="8" a="1"/>
  <c r="A9" i="8" s="1"/>
  <c r="A45" i="8" a="1"/>
  <c r="A45" i="8" s="1"/>
  <c r="A44" i="8" a="1"/>
  <c r="A44" i="8" s="1"/>
  <c r="A43" i="8" a="1"/>
  <c r="A43" i="8" s="1"/>
  <c r="A42" i="8" a="1"/>
  <c r="A42" i="8" s="1"/>
  <c r="A41" i="8" a="1"/>
  <c r="A41" i="8" s="1"/>
  <c r="A40" i="8" a="1"/>
  <c r="A40" i="8" s="1"/>
  <c r="A39" i="8" a="1"/>
  <c r="A39" i="8" s="1"/>
  <c r="A38" i="8" a="1"/>
  <c r="A38" i="8" s="1"/>
  <c r="A37" i="8" a="1"/>
  <c r="A37" i="8" s="1"/>
  <c r="A36" i="8" a="1"/>
  <c r="A36" i="8" s="1"/>
  <c r="A35" i="8" a="1"/>
  <c r="A35" i="8" s="1"/>
  <c r="A33" i="8" a="1"/>
  <c r="A33" i="8" s="1"/>
  <c r="A32" i="8" a="1"/>
  <c r="A32" i="8" s="1"/>
  <c r="A31" i="8" a="1"/>
  <c r="A31" i="8" s="1"/>
  <c r="A30" i="8" a="1"/>
  <c r="A30" i="8" s="1"/>
  <c r="A29" i="8" a="1"/>
  <c r="A29" i="8" s="1"/>
  <c r="A25" i="8" a="1"/>
  <c r="A25" i="8" s="1"/>
  <c r="A22" i="8" a="1"/>
  <c r="A2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<sst xmlns="http://schemas.openxmlformats.org/spreadsheetml/2006/main" count="34837" uniqueCount="4251">
  <si>
    <t>⚡ BASE COBRANÇAS</t>
  </si>
  <si>
    <t>🔄 Como atualizar: extraia relatorios de DOCUMENTOS (APISULLOG/RESULTADOS/DOCUMENTOS) 3 dias no filtro "  - "LOCALIZAÇÃO DE CARGA (APISULLOG/OPERAÇÃO/LOCALIZAÇÃO DE CARGA) 3 dias no filtro"  - "VISÃO LOGISTICA (APISULLOG/OPERAÇÃO/VISÃO LOGISTICA) - 3 dias no filtro " Cole os novos dados nas abas "DOCUMENTOS" e "LOCALIZAÇÃO DE CARGA"  - "VISÃO LOGISTICA" (mantendo cabeçalhos na linha 1)</t>
  </si>
  <si>
    <t>DATA PROGRAMAÇÃO
CHEGADA</t>
  </si>
  <si>
    <t>Nº Pedido / Doc.</t>
  </si>
  <si>
    <t>⚠ ALERTA COBRANÇA</t>
  </si>
  <si>
    <t>Observação
(Situação da viagem)</t>
  </si>
  <si>
    <t>CARREGAMENTO</t>
  </si>
  <si>
    <t>Transportadora</t>
  </si>
  <si>
    <t>Origem</t>
  </si>
  <si>
    <t>Status</t>
  </si>
  <si>
    <t>STATUS SMP</t>
  </si>
  <si>
    <t>Placa</t>
  </si>
  <si>
    <t>Valor (R$)</t>
  </si>
  <si>
    <t>Prev. Início com base na data entrega
(LOCALIZAÇÃO)</t>
  </si>
  <si>
    <t>Chegada Filial
(DOCUMENTOS)</t>
  </si>
  <si>
    <t>⏰ Hora Limite
p/ Chegada (Lib -1h)</t>
  </si>
  <si>
    <t>Data Entrega
(LOCALIZAÇÃO)</t>
  </si>
  <si>
    <t>Prev. Online
(Atualizada)</t>
  </si>
  <si>
    <t>Destino</t>
  </si>
  <si>
    <t>Cliente Final</t>
  </si>
  <si>
    <t>Localização do veiculo</t>
  </si>
  <si>
    <t>Cidade/UF Destino</t>
  </si>
  <si>
    <t>Nº Pedido / LOAD.</t>
  </si>
  <si>
    <t>Data limite de inicio
da viagem</t>
  </si>
  <si>
    <t>Janela de carregamento</t>
  </si>
  <si>
    <t>Data Entrega</t>
  </si>
  <si>
    <t>Cliente</t>
  </si>
  <si>
    <t>LOCALIZAÇÃO DO VEICULO</t>
  </si>
  <si>
    <t>PLACA</t>
  </si>
  <si>
    <t>📲 MENSAGENS WHATSAPP - COBRANÇA TRANSPORTADORAS</t>
  </si>
  <si>
    <t>⚡ Mensagens geradas automaticamente com base na aba "BASE COBRANÇAS" | Atualize a planilha para atualizar as mensagens</t>
  </si>
  <si>
    <t>💬 Mensagem WhatsApp</t>
  </si>
  <si>
    <t>DATA</t>
  </si>
  <si>
    <t>HORARIO</t>
  </si>
  <si>
    <t>Doc. Controle</t>
  </si>
  <si>
    <t>Situação</t>
  </si>
  <si>
    <t>Status da SMP</t>
  </si>
  <si>
    <t>Nº SMP</t>
  </si>
  <si>
    <t>Início Previsto</t>
  </si>
  <si>
    <t>Tempo Manutenção</t>
  </si>
  <si>
    <t>Operação</t>
  </si>
  <si>
    <t>Rota da SMP</t>
  </si>
  <si>
    <t>Vel. Últ. Pos.</t>
  </si>
  <si>
    <t>Localização</t>
  </si>
  <si>
    <t>Data Local.</t>
  </si>
  <si>
    <t>Ref. Ponto</t>
  </si>
  <si>
    <t>Últ. Ocorrência Manual</t>
  </si>
  <si>
    <t>Entrada Origem</t>
  </si>
  <si>
    <t>Saída Origem</t>
  </si>
  <si>
    <t>TA Origem</t>
  </si>
  <si>
    <t>Entrada Destino</t>
  </si>
  <si>
    <t>TA Destino</t>
  </si>
  <si>
    <t>Ponto Atual</t>
  </si>
  <si>
    <t>Ent. Ponto Atual</t>
  </si>
  <si>
    <t>Tempo Ponto Atual</t>
  </si>
  <si>
    <t>Próximo Ponto</t>
  </si>
  <si>
    <t>Prev. Cheg. Últ. Ponto</t>
  </si>
  <si>
    <t>Dist. Últ. Entrega</t>
  </si>
  <si>
    <t>Dist. Total SMP</t>
  </si>
  <si>
    <t>TV Total</t>
  </si>
  <si>
    <t>TV Trecho Atual</t>
  </si>
  <si>
    <t>TV Ida</t>
  </si>
  <si>
    <t>Placa Carreta</t>
  </si>
  <si>
    <t>Total Paradas</t>
  </si>
  <si>
    <t>Chegada online próximo ponto</t>
  </si>
  <si>
    <t>Projeto</t>
  </si>
  <si>
    <t>Valor</t>
  </si>
  <si>
    <t>Motorista</t>
  </si>
  <si>
    <t>CLIENTE</t>
  </si>
  <si>
    <t>Em Viagem</t>
  </si>
  <si>
    <t>BCU5G84</t>
  </si>
  <si>
    <t>47209813/2026</t>
  </si>
  <si>
    <t>TRANSKING</t>
  </si>
  <si>
    <t>OUTBOUND</t>
  </si>
  <si>
    <t>ITAPOA X JADIMO X ALHANDRA</t>
  </si>
  <si>
    <t>0 km/h</t>
  </si>
  <si>
    <t>ALHANDRA/PB/BRASIL</t>
  </si>
  <si>
    <t>MAGAZINE LUIZA S/A (CD0991) - 58320000 (0.00 Km)</t>
  </si>
  <si>
    <t>Atraso Tempo de Viagem</t>
  </si>
  <si>
    <t>LGSCT</t>
  </si>
  <si>
    <t>MAGAZINE LUIZA S/A (CD0991) - 58320000</t>
  </si>
  <si>
    <t>0 Km</t>
  </si>
  <si>
    <t>3284,82 Km</t>
  </si>
  <si>
    <t>LG - LOGISTICO</t>
  </si>
  <si>
    <t>PAULO HENRIQUE DE OLIVEIRA</t>
  </si>
  <si>
    <t>5994556;5994607</t>
  </si>
  <si>
    <t>EM TRÂNSITO</t>
  </si>
  <si>
    <t>TKL3I30</t>
  </si>
  <si>
    <t>47252508/2026</t>
  </si>
  <si>
    <t>LX PANTOS</t>
  </si>
  <si>
    <t>LGSCT X MAGAZINE LUIZA S/A (CD1500) - 438134 X MAGAZINE LUIZA S/A (CD0994) - 61935180</t>
  </si>
  <si>
    <t>VILA SAO SALVADOR, SALVADOR/BA/BRASIL (8,64 Km)</t>
  </si>
  <si>
    <t>FILIAL DHL SALVADOR (4.37 Km)</t>
  </si>
  <si>
    <t>Troca de Base</t>
  </si>
  <si>
    <t>MAGAZINE LUIZA S/A (CD0994) - 61935180</t>
  </si>
  <si>
    <t>1137 Km</t>
  </si>
  <si>
    <t>3614,97 Km</t>
  </si>
  <si>
    <t>TPS8G98</t>
  </si>
  <si>
    <t>MARCUS VINICIUS REIS BARBOSA</t>
  </si>
  <si>
    <t>6011540   6011006</t>
  </si>
  <si>
    <t>MLU2J23</t>
  </si>
  <si>
    <t>47323617/2026</t>
  </si>
  <si>
    <t>WSC</t>
  </si>
  <si>
    <t>ITAPOA X MAGAZINE LUIZA S/A (CD1500) - 43813400 COM EMAIL</t>
  </si>
  <si>
    <t>81 km/h</t>
  </si>
  <si>
    <t>RUA A, SETE LAGOAS/MG/BRASIL (6,65 Km)</t>
  </si>
  <si>
    <t>POSTO DOM PEDRO PARAOPEBA (28.01 Km)</t>
  </si>
  <si>
    <t>MAGAZINE LUIZA S/A (CD1500) - 43813400</t>
  </si>
  <si>
    <t>1320 Km</t>
  </si>
  <si>
    <t>2531,93 Km</t>
  </si>
  <si>
    <t>MIO5167</t>
  </si>
  <si>
    <t>EDSON DUMS</t>
  </si>
  <si>
    <t>RKQ4G22</t>
  </si>
  <si>
    <t>47324431/2026</t>
  </si>
  <si>
    <t>VIPE TRANSPO</t>
  </si>
  <si>
    <t>LGSCT X RAMIRO CAMPELO COMERCIO DE UTILIDADES LTDA - 454000001</t>
  </si>
  <si>
    <t>59 km/h</t>
  </si>
  <si>
    <t>LAJE/BA/BRASIL</t>
  </si>
  <si>
    <t>POSTO MONTE SIÃO (58.06 Km)</t>
  </si>
  <si>
    <t>RAMIRO CAMPELO COMERCIO DE UTILIDADES LTDA - 45400000</t>
  </si>
  <si>
    <t>70 Km</t>
  </si>
  <si>
    <t>2339,47 Km</t>
  </si>
  <si>
    <t>TAU2J42</t>
  </si>
  <si>
    <t>MOACIR DA ROCHA BARBOZA</t>
  </si>
  <si>
    <t>IQX1F95</t>
  </si>
  <si>
    <t>47329972/2026</t>
  </si>
  <si>
    <t>LGSCT X SAO PULO X VOLTA REDONDA X MURIAE XGOV VALADARES X VITORIA C X VALENA</t>
  </si>
  <si>
    <t>91 km/h</t>
  </si>
  <si>
    <t>RUA TANGENTE VINTE E TRES, VITORIA DA CONQUISTA/BA/BRASIL (33,84 Km)</t>
  </si>
  <si>
    <t>POSTO MAXIMUS (46.76 Km)</t>
  </si>
  <si>
    <t>399 Km</t>
  </si>
  <si>
    <t>2313,21 Km</t>
  </si>
  <si>
    <t>CUC3E97</t>
  </si>
  <si>
    <t>LUIS CARLOS SILVEIRA DOS SANTOS</t>
  </si>
  <si>
    <t>6014894   6014897</t>
  </si>
  <si>
    <t>MMI4G28</t>
  </si>
  <si>
    <t>47346801/2026</t>
  </si>
  <si>
    <t>LGCAJ X ARMAZEM MATEUS SA - 54503010</t>
  </si>
  <si>
    <t>RAFAEL JAMBEIRO/BA/BRASIL</t>
  </si>
  <si>
    <t>POSTO MONTE SIÃO (48.15 Km)</t>
  </si>
  <si>
    <t>LGCAJ</t>
  </si>
  <si>
    <t>ARMAZEM MATEUS S.A - 54503010</t>
  </si>
  <si>
    <t>826 Km</t>
  </si>
  <si>
    <t>2570,12 Km</t>
  </si>
  <si>
    <t>MKP1689</t>
  </si>
  <si>
    <t>JOSE MARCELO DIAS</t>
  </si>
  <si>
    <t>RDV0A69</t>
  </si>
  <si>
    <t>47355531/2026</t>
  </si>
  <si>
    <t>LGSCT X ATACADAO NOSSO LAR LTDA - 77813864 -SC-416/101/376/116/SP-021/SP-348/050/364/153/226</t>
  </si>
  <si>
    <t>85 km/h</t>
  </si>
  <si>
    <t>OLIVEIRA DE FATIMA/TO/BRASIL</t>
  </si>
  <si>
    <t>PMW - TOP CARGAS E LOGISTICA AG (80.55 Km)</t>
  </si>
  <si>
    <t>ATACADAO NOSSO LAR LTDA - 77813864</t>
  </si>
  <si>
    <t>400 Km</t>
  </si>
  <si>
    <t>2553,99 Km</t>
  </si>
  <si>
    <t>SXA6G43</t>
  </si>
  <si>
    <t>GABRIEL JAROZINSKY</t>
  </si>
  <si>
    <t>6011819  6011821</t>
  </si>
  <si>
    <t>QUL6A00</t>
  </si>
  <si>
    <t>47355872/2026</t>
  </si>
  <si>
    <t>LGCAJ X FERREIRA COSTA  CIA LTDA - 58320000 - SP-354/SP-065/381/040/135/251/116/101 / VIPE</t>
  </si>
  <si>
    <t>DIVISA ALEGRE/MG/BRASIL</t>
  </si>
  <si>
    <t>POSTO MAXIMUS (23.30 Km)</t>
  </si>
  <si>
    <t>FERREIRA COSTA &amp; CIA LTDA - 58320000</t>
  </si>
  <si>
    <t>1401 Km</t>
  </si>
  <si>
    <t>2727,65 Km</t>
  </si>
  <si>
    <t>SXM3A83</t>
  </si>
  <si>
    <t>MARLOU ALVES DE OLIVEIRA</t>
  </si>
  <si>
    <t>6015427/6015426</t>
  </si>
  <si>
    <t>MMJ5D46</t>
  </si>
  <si>
    <t>47360928/2026</t>
  </si>
  <si>
    <t>TR RAMTHUN</t>
  </si>
  <si>
    <t>LGSCT/LOJAS CEM SA - 13329903 (376-116-478-050-)</t>
  </si>
  <si>
    <t>AV. ENG. JOÃO F G MOLINA, JUNDIAI/SP/BRASIL (0,09 Km)</t>
  </si>
  <si>
    <t>GARAGEM 5 ESTRADAS/RANTHUM (0.00 Km)</t>
  </si>
  <si>
    <t>FINALIZAÇÃO DE WORKFLOW</t>
  </si>
  <si>
    <t>LOJAS CEM SA - 13329903</t>
  </si>
  <si>
    <t>GARAGEM 5 ESTRADAS/RANTHUM</t>
  </si>
  <si>
    <t>171 Km</t>
  </si>
  <si>
    <t>804,13 Km</t>
  </si>
  <si>
    <t>QHC6E58</t>
  </si>
  <si>
    <t>EDNO DA SILVA</t>
  </si>
  <si>
    <t>DPE2E34</t>
  </si>
  <si>
    <t>47376249/2026</t>
  </si>
  <si>
    <t>MINAS SUL</t>
  </si>
  <si>
    <t>LGCAJ X FERREIRA COSTA  CIA LTDA - 58320000 BR 101</t>
  </si>
  <si>
    <t>JAPARATUBA/SE/BRASIL</t>
  </si>
  <si>
    <t>TRANSHOP - NOSSA SENHORA DO SOCORRO - 49160000 (38.58 Km)</t>
  </si>
  <si>
    <t>543 Km</t>
  </si>
  <si>
    <t>2750,69 Km</t>
  </si>
  <si>
    <t>HBG7A29</t>
  </si>
  <si>
    <t>MIGUEL NAZARIO NAZARIO</t>
  </si>
  <si>
    <t>DPE5G03</t>
  </si>
  <si>
    <t>47377665/2026</t>
  </si>
  <si>
    <t>LG CAJAMAR X WMB-SALINAS</t>
  </si>
  <si>
    <t>62 km/h</t>
  </si>
  <si>
    <t>BUENOPOLIS/MG/BRASIL</t>
  </si>
  <si>
    <t>AUTO PECAS E MECANICA E REBOQUE PAIS E FILHOS LTDA (1.22 Km)</t>
  </si>
  <si>
    <t>WMB SUPERMERCADOS DOBRASIL LTDA (SAM'S) - 54335020</t>
  </si>
  <si>
    <t>1787 Km</t>
  </si>
  <si>
    <t>2614,48 Km</t>
  </si>
  <si>
    <t>MPE1A79</t>
  </si>
  <si>
    <t>JONATAS OLIVEIRA</t>
  </si>
  <si>
    <t>LUH2D39</t>
  </si>
  <si>
    <t>47378767/2026</t>
  </si>
  <si>
    <t>LGCAJ X CLAUDINO S A LOJAS DE DEPARTAMENTOS - 64018215</t>
  </si>
  <si>
    <t>RUA PEDREGULHO, RIBEIRAO PRETO/SP/BRASIL (0,02 Km)</t>
  </si>
  <si>
    <t>BASE APOIO TRANSKING - 14075090 (0.27 Km)</t>
  </si>
  <si>
    <t>CLAUDINO S A LOJAS DE DEPARTAMENTOS - 64018215</t>
  </si>
  <si>
    <t>2322 Km</t>
  </si>
  <si>
    <t>2609,98 Km</t>
  </si>
  <si>
    <t>AGD7F79</t>
  </si>
  <si>
    <t>LUIS FERNANDO THOMAS DA SILVA</t>
  </si>
  <si>
    <t>6020570 6020571</t>
  </si>
  <si>
    <t>FVW5I84</t>
  </si>
  <si>
    <t>47385520/2026</t>
  </si>
  <si>
    <t>TRANSBOCAYUV</t>
  </si>
  <si>
    <t>LGCAJ X GOLDEN DISTRIBUIDORA LTDA - 29167650 - 050/116/493/101</t>
  </si>
  <si>
    <t>ROD BR 101, SERRA/ES/BRASIL (0,1 Km)</t>
  </si>
  <si>
    <t>TRANSBOCAYUVA TRANSPORTES - APEX LOG PITANGA (0.00 Km)</t>
  </si>
  <si>
    <t>Suspensão de Workflow</t>
  </si>
  <si>
    <t>GOLDEN DISTRIBUIDORA LTDA - 29167650</t>
  </si>
  <si>
    <t>TRANSBOCAYUVA TRANSPORTES - APEX LOG PITANGA</t>
  </si>
  <si>
    <t>994,3 Km</t>
  </si>
  <si>
    <t>RAFAEL DE OLIVEIRA DIAS</t>
  </si>
  <si>
    <t>DTB8H98</t>
  </si>
  <si>
    <t>47393722/2026</t>
  </si>
  <si>
    <t>RODOBRAS TR</t>
  </si>
  <si>
    <t>LGSCT X JOI X CWB X LOJAS QUERO-QUERO SA - 85420000</t>
  </si>
  <si>
    <t>RUA TUPI, JOINVILLE/SC/BRASIL (0,06 Km)</t>
  </si>
  <si>
    <t>CD RODOBRAS JOINVILLE (0.00 Km)</t>
  </si>
  <si>
    <t>Lançamento de SMP a partir de Pré-SMP</t>
  </si>
  <si>
    <t>LOJAS QUERO-QUERO S.A. - 85420000</t>
  </si>
  <si>
    <t>647 Km</t>
  </si>
  <si>
    <t>716,07 Km</t>
  </si>
  <si>
    <t>ASP2139</t>
  </si>
  <si>
    <t>FELIPE ANDRADE DA ROSA</t>
  </si>
  <si>
    <t>6014899  6011817</t>
  </si>
  <si>
    <t>RLD1A49</t>
  </si>
  <si>
    <t>47394098/2026</t>
  </si>
  <si>
    <t>LGCAJ XJARINU X BELO X MONTES X FEIRA X 101 -MATHEUS</t>
  </si>
  <si>
    <t>75 km/h</t>
  </si>
  <si>
    <t>AV T, VITORIA DA CONQUISTA/BA/BRASIL (20,9 Km)</t>
  </si>
  <si>
    <t>POSTO COOPERCEG 2 (34.16 Km)</t>
  </si>
  <si>
    <t>1141 Km</t>
  </si>
  <si>
    <t>2600,19 Km</t>
  </si>
  <si>
    <t>REA4D04</t>
  </si>
  <si>
    <t>RAFAEL BENTO NOGUEIRA</t>
  </si>
  <si>
    <t>DBM2B52</t>
  </si>
  <si>
    <t>47399708/2026</t>
  </si>
  <si>
    <t>LGCAJ X FUJIOKA ELETRO IMAGEM S/A - 74675690 - 050/365/153</t>
  </si>
  <si>
    <t>AV CORONEL JOSE TEOFILO, UBERLANDIA/MG/BRASIL (0,19 Km)</t>
  </si>
  <si>
    <t>EMJ LOGISTIC - FILIAL UBERLANDIA (0.00 Km)</t>
  </si>
  <si>
    <t>FUJIOKA ELETRO IMAGEM S/A - 74675690</t>
  </si>
  <si>
    <t>354 Km</t>
  </si>
  <si>
    <t>916,5 Km</t>
  </si>
  <si>
    <t>KES6B26</t>
  </si>
  <si>
    <t>WASHINGTON SILVA DE AVILA</t>
  </si>
  <si>
    <t>FDZ0G55</t>
  </si>
  <si>
    <t>47402383/2026</t>
  </si>
  <si>
    <t>NEW LOG</t>
  </si>
  <si>
    <t>LG CAJAMAR X MATRIZ SUL CONT X ZAFFARI PORTO ALEGRE</t>
  </si>
  <si>
    <t>84 km/h</t>
  </si>
  <si>
    <t>MAQUINE/RS/BRASIL</t>
  </si>
  <si>
    <t>ENTRADA POA (19.68 Km)</t>
  </si>
  <si>
    <t>CIA ZAFFARI COMERCIO E INDUSTRIA - 91040382</t>
  </si>
  <si>
    <t>115 Km</t>
  </si>
  <si>
    <t>1134,41 Km</t>
  </si>
  <si>
    <t>IQY3F64</t>
  </si>
  <si>
    <t>Nilson Claudionor da Gotta</t>
  </si>
  <si>
    <t>IKE8F89</t>
  </si>
  <si>
    <t>47402914/2026</t>
  </si>
  <si>
    <t>WMB SUPERMERCADOS DOBRASIL LTDA (SAMS) - 54335020-116</t>
  </si>
  <si>
    <t>74 km/h</t>
  </si>
  <si>
    <t>ESTRADA MUNICIPAL, QUATRO BARRAS/PR/BRASIL (0,79 Km)</t>
  </si>
  <si>
    <t>GVM - CD CURITIBA (7.54 Km)</t>
  </si>
  <si>
    <t>2987 Km</t>
  </si>
  <si>
    <t>3132,5 Km</t>
  </si>
  <si>
    <t>AOL0C40</t>
  </si>
  <si>
    <t>EVERSON DA SILVA SANTOS</t>
  </si>
  <si>
    <t>RYL4J67</t>
  </si>
  <si>
    <t>47403450/2026</t>
  </si>
  <si>
    <t>BENDINI LOGI</t>
  </si>
  <si>
    <t>LGCAJ/ LOJAS COLOMBO S/A COM UTILIDADES DOMESTICAS - 81350240</t>
  </si>
  <si>
    <t>JACUPIRANGA/SP/BRASIL</t>
  </si>
  <si>
    <t>PORTO PARANAGUA/PR (109.01 Km)</t>
  </si>
  <si>
    <t>LOJAS COLOMBO S/A COM UTILIDADES DOMESTICAS - 81350240</t>
  </si>
  <si>
    <t>219 Km</t>
  </si>
  <si>
    <t>438,79 Km</t>
  </si>
  <si>
    <t>QJF3681</t>
  </si>
  <si>
    <t>JOAO DA SILVA SANTOS</t>
  </si>
  <si>
    <t>COLETANDO</t>
  </si>
  <si>
    <t>GCV2B82</t>
  </si>
  <si>
    <t>47404326/2026</t>
  </si>
  <si>
    <t>LGSCT X GRUPO CASAS BAHIA SA(CD1200) (CONTORNO SUL)</t>
  </si>
  <si>
    <t>ITAPOA/SC/BRASIL</t>
  </si>
  <si>
    <t>LGSCT (0.00 Km)</t>
  </si>
  <si>
    <t>GRUPO CASAS BAHIA S.A(CD1200) - 13203850</t>
  </si>
  <si>
    <t>545 Km</t>
  </si>
  <si>
    <t>545,88 Km</t>
  </si>
  <si>
    <t>SXZ5F18</t>
  </si>
  <si>
    <t>DIONECLEI PEREIRA</t>
  </si>
  <si>
    <t>EFU2E26</t>
  </si>
  <si>
    <t>47404521/2026</t>
  </si>
  <si>
    <t>LGSCT X PENSKE LOGISTICS DO BRASIL LTDA - 07775240 -048</t>
  </si>
  <si>
    <t>61 km/h</t>
  </si>
  <si>
    <t>RODOANEL MARIO COVAS, EMBU DAS ARTES/SP/BRASIL (0,04 Km)</t>
  </si>
  <si>
    <t>EBAZAR.COM.BR. LTDA - 06806400 (1.44 Km)</t>
  </si>
  <si>
    <t>PENSKE LOGISTICS DO BRASIL LTDA. - 07775240</t>
  </si>
  <si>
    <t>71 Km</t>
  </si>
  <si>
    <t>563,85 Km</t>
  </si>
  <si>
    <t>ASP2133</t>
  </si>
  <si>
    <t>REGINALDO RODRIGUES DE LIMA</t>
  </si>
  <si>
    <t>JAZ7A56</t>
  </si>
  <si>
    <t>47404758/2026</t>
  </si>
  <si>
    <t>LGSCT X GRUPO CASAS BAHIA SA(CD1635) - SC-416/376/PR-445/374/267/163/364</t>
  </si>
  <si>
    <t>RUA QUINZE DE OUTUBRO, JOINVILLE/SC/BRASIL (0,22 Km)</t>
  </si>
  <si>
    <t>POSTOS RUDNICK (0.00 Km)</t>
  </si>
  <si>
    <t>GRUPO CASAS BAHIA S.A(CD1635) - 78098530</t>
  </si>
  <si>
    <t>1777 Km</t>
  </si>
  <si>
    <t>1813,78 Km</t>
  </si>
  <si>
    <t>DVR4E39</t>
  </si>
  <si>
    <t>ALINOR KONS</t>
  </si>
  <si>
    <t>OKH1H72</t>
  </si>
  <si>
    <t>47405454/2026</t>
  </si>
  <si>
    <t>LGSCT X WMB SUPERMERCADOS DOBRASIL LTDA (SAMS) - 07776700</t>
  </si>
  <si>
    <t>RUA TUPI, JOINVILLE/SC/BRASIL (0,08 Km)</t>
  </si>
  <si>
    <t>WMB SUPERMERCADOS DOBRASIL LTDA (SAM'S) - 07776700</t>
  </si>
  <si>
    <t>CD RODOBRAS JOINVILLE</t>
  </si>
  <si>
    <t>526 Km</t>
  </si>
  <si>
    <t>533,56 Km</t>
  </si>
  <si>
    <t>DVT2217</t>
  </si>
  <si>
    <t>ONIEL DA MAIA</t>
  </si>
  <si>
    <t>ATN1G43</t>
  </si>
  <si>
    <t>47407003/2026</t>
  </si>
  <si>
    <t>ITAPOA X GRU X JUNDIAI</t>
  </si>
  <si>
    <t>RUA CONSTANTE MORO SOBRINHO, SAO JOSE DOS PINHAIS/PR/BRASIL (0,27 Km)</t>
  </si>
  <si>
    <t>TRCARDOSO - SAO JOSE DOS PINHAIS (0.00 Km)</t>
  </si>
  <si>
    <t>TRCARDOSO - SAO JOSE DOS PINHAIS</t>
  </si>
  <si>
    <t>461 Km</t>
  </si>
  <si>
    <t>583,6 Km</t>
  </si>
  <si>
    <t>AJG8C28</t>
  </si>
  <si>
    <t>DANIEL ROSA DE JESUS SILVA</t>
  </si>
  <si>
    <t>6021539 6021540</t>
  </si>
  <si>
    <t>SFR1A52</t>
  </si>
  <si>
    <t>47407778/2026</t>
  </si>
  <si>
    <t>LGCAJ X AGIS EQUIPAMENTOS E SERVICOS DE INFORMATICA LTDA - 29169832 - 050/SP-070/116/493/101</t>
  </si>
  <si>
    <t>106 km/h</t>
  </si>
  <si>
    <t>ALAMEDA ARABE, CAMPOS DOS GOYTACAZES/RJ/BRASIL (28,52 Km)</t>
  </si>
  <si>
    <t>AUTO POSTO NOVA UBAENSE LTDA (68.16 Km)</t>
  </si>
  <si>
    <t>AGIS EQUIPAMENTOS E SERVICOS DE INFORMATICA LTDA. - 29169832</t>
  </si>
  <si>
    <t>302 Km</t>
  </si>
  <si>
    <t>1006,69 Km</t>
  </si>
  <si>
    <t>MJO7I77</t>
  </si>
  <si>
    <t>JOAO CARLOS VICENTE AGUIAR</t>
  </si>
  <si>
    <t>NVQ2B29</t>
  </si>
  <si>
    <t>47409105/2026</t>
  </si>
  <si>
    <t>LGCAJ X FUJIOKA ELETRO IMAGEM S/A - 74675690 - SP-348/050/365/153</t>
  </si>
  <si>
    <t>72 km/h</t>
  </si>
  <si>
    <t>RODOVIA ANHANGUERA, ORLANDIA/SP/BRASIL (4,98 Km)</t>
  </si>
  <si>
    <t>BASE APOIO TRANSKING - 14075090 (53.43 Km)</t>
  </si>
  <si>
    <t>577 Km</t>
  </si>
  <si>
    <t>917,48 Km</t>
  </si>
  <si>
    <t>IUF2H82</t>
  </si>
  <si>
    <t>MIKE LOWE DE FARIAS</t>
  </si>
  <si>
    <t>6022174/6022173</t>
  </si>
  <si>
    <t>MMK3F39</t>
  </si>
  <si>
    <t>47409259/2026</t>
  </si>
  <si>
    <t>LG ITAPOA X GRUPO CASAS BAHIA SA(CD1500)</t>
  </si>
  <si>
    <t>47 km/h</t>
  </si>
  <si>
    <t>CAMINHO, CAMPINA GRANDE DO SUL/PR/BRASIL (24,45 Km)</t>
  </si>
  <si>
    <t>GVM - CD CURITIBA (37.74 Km)</t>
  </si>
  <si>
    <t>GRUPO CASAS BAHIA S.A(CD1500) - 09790400</t>
  </si>
  <si>
    <t>362 Km</t>
  </si>
  <si>
    <t>549,97 Km</t>
  </si>
  <si>
    <t>QHC6C68</t>
  </si>
  <si>
    <t>VALMOR KNOCH</t>
  </si>
  <si>
    <t>LUL7I53</t>
  </si>
  <si>
    <t>47409509/2026</t>
  </si>
  <si>
    <t>LGCAJ X GRUPO CASAS BAHIA SA(CD1401) - 25255030 - SP-354/SP-065/381/459/SP-183/116/493 / TRANSKING</t>
  </si>
  <si>
    <t>76 km/h</t>
  </si>
  <si>
    <t>ROSEIRA/SP/BRASIL</t>
  </si>
  <si>
    <t>SOLUCIONA (PARCEIRO PANTOS) ARUJÁ (18.23 Km)</t>
  </si>
  <si>
    <t>GRUPO CASAS BAHIA S.A(CD1401) - 25255030</t>
  </si>
  <si>
    <t>265 Km</t>
  </si>
  <si>
    <t>484,79 Km</t>
  </si>
  <si>
    <t>FAGNER BIBIANO DA SILVA</t>
  </si>
  <si>
    <t>DBL1A19</t>
  </si>
  <si>
    <t>47409559/2026</t>
  </si>
  <si>
    <t>LGSCT X GRUPO CASAS BAHIA SA(CD1200) - 13203850 - SC-416/101/376/116/SP-021/050</t>
  </si>
  <si>
    <t>RODOVIA PR 25, SAO JOSE DOS PINHAIS/PR/BRASIL (14,2 Km)</t>
  </si>
  <si>
    <t>Pernoite / TRATATIVA  INTERNA</t>
  </si>
  <si>
    <t>429 Km</t>
  </si>
  <si>
    <t>551,98 Km</t>
  </si>
  <si>
    <t>AOI6D75</t>
  </si>
  <si>
    <t>RONIVALDO BARRETO DE SANTANA</t>
  </si>
  <si>
    <t>MTY1694</t>
  </si>
  <si>
    <t>47409682/2026</t>
  </si>
  <si>
    <t>LGCAJ X INGRAM MICRO BRASIL LTDA - 29175706 - 050/116/493/101</t>
  </si>
  <si>
    <t>83 km/h</t>
  </si>
  <si>
    <t>RODOVIA RJ 168, CONCEICAO DE MACABU/RJ/BRASIL (10,78 Km)</t>
  </si>
  <si>
    <t>AUTO POSTO NOVA UBAENSE LTDA (102.68 Km)</t>
  </si>
  <si>
    <t>Workflow de Menor Prioridade</t>
  </si>
  <si>
    <t>INGRAM MICRO BRASIL LTDA - 29175706</t>
  </si>
  <si>
    <t>997,47 Km</t>
  </si>
  <si>
    <t>GILBERTO CARLOS BIANCHI</t>
  </si>
  <si>
    <t>RHN4C40</t>
  </si>
  <si>
    <t>47409697/2026</t>
  </si>
  <si>
    <t>JADIMO TRANS</t>
  </si>
  <si>
    <t>ITAPOA X JADIMO X GUARULHOS (MAGAZINE LUIZA)</t>
  </si>
  <si>
    <t>ALAMEDA BOM PASTOR, SAO JOSE DOS PINHAIS/PR/BRASIL (0,08 Km)</t>
  </si>
  <si>
    <t>JADIMO TRANSPORTES MTZ (0.00 Km)</t>
  </si>
  <si>
    <t>MAGAZINE LUIZA S/A (CD0590) - 07232151</t>
  </si>
  <si>
    <t>JADIMO MATRIZ/OFICINA</t>
  </si>
  <si>
    <t>458 Km</t>
  </si>
  <si>
    <t>570,33 Km</t>
  </si>
  <si>
    <t>RHJ6F91</t>
  </si>
  <si>
    <t>MARCOS THIRZAN DOS SANTOS SAMPAIO</t>
  </si>
  <si>
    <t>ALA1H98</t>
  </si>
  <si>
    <t>47410151/2026</t>
  </si>
  <si>
    <t>BACHMANN TR</t>
  </si>
  <si>
    <t>LG ITAPOA X GRUPO CASAS BAHIA SA(CD1401) RJ</t>
  </si>
  <si>
    <t>RUA ALCEU MIGUEL BASSA, SAO JOSE DOS PINHAIS/PR/BRASIL (0,44 Km)</t>
  </si>
  <si>
    <t>JADIMO MATRIZ/OFICINA (0.00 Km)</t>
  </si>
  <si>
    <t>ACOES AUTOMATICAS BLOQUEADAS</t>
  </si>
  <si>
    <t>848 Km</t>
  </si>
  <si>
    <t>960,86 Km</t>
  </si>
  <si>
    <t>AYN1491</t>
  </si>
  <si>
    <t>ANGELO MARCIO CARDOSO</t>
  </si>
  <si>
    <t>QHU7E59</t>
  </si>
  <si>
    <t>47410176/2026</t>
  </si>
  <si>
    <t>LGSCT X MARTINS COMERCIO E SERVICOS DE DISTRIBUICAO S/A - 38402324</t>
  </si>
  <si>
    <t>RODOVIA PR 25, SAO JOSE DOS PINHAIS/PR/BRASIL (14,69 Km)</t>
  </si>
  <si>
    <t>IRMAOS HANNESCH (BASE PARCEIROS) (1.90 Km)</t>
  </si>
  <si>
    <t>MARTINS COMERCIO E SERVICOS DE DISTRIBUICAO S/A - 38402324</t>
  </si>
  <si>
    <t>989 Km</t>
  </si>
  <si>
    <t>1102,89 Km</t>
  </si>
  <si>
    <t>ISRAEL LOPES DE SOUZA</t>
  </si>
  <si>
    <t>RLB8F85</t>
  </si>
  <si>
    <t>47410237/2026</t>
  </si>
  <si>
    <t>SUL CONTINEN</t>
  </si>
  <si>
    <t>LG ITAPOA X MAGAZINE LUIZA S/A (CD5200)</t>
  </si>
  <si>
    <t>RUA MIL SEISCENTOS E DEZESSETE, IÇARA/SC/BRASIL (7,83 Km)</t>
  </si>
  <si>
    <t>MATRIZ SUL CONTINENTAL (0.00 Km)</t>
  </si>
  <si>
    <t>MAGAZINE LUIZA S/A (CD5200) - 94100420</t>
  </si>
  <si>
    <t>MATRIZ SUL CONTINENTAL</t>
  </si>
  <si>
    <t>258 Km</t>
  </si>
  <si>
    <t>665,86 Km</t>
  </si>
  <si>
    <t>QJS5620</t>
  </si>
  <si>
    <t>RAFAEL ANTUNES LOPES</t>
  </si>
  <si>
    <t>DBM8435</t>
  </si>
  <si>
    <t>47410486/2026</t>
  </si>
  <si>
    <t>LGCAJ X GRUPO CASAS BAHIA SA(CD1401) - 25255030 - 050/116/493</t>
  </si>
  <si>
    <t>7 km/h</t>
  </si>
  <si>
    <t>ITATIAIA/RJ/BRASIL</t>
  </si>
  <si>
    <t>TRANSLUTE TRANSPORTE RODOVIARIO - ITATIAIA (7.06 Km)</t>
  </si>
  <si>
    <t>Reinício De Viagem / TRATATIVA  INTERNA</t>
  </si>
  <si>
    <t>177 Km</t>
  </si>
  <si>
    <t>460,03 Km</t>
  </si>
  <si>
    <t>EFO2A52</t>
  </si>
  <si>
    <t>ALUISIO DE ANDRADE</t>
  </si>
  <si>
    <t>ATD9I98</t>
  </si>
  <si>
    <t>47410879/2026</t>
  </si>
  <si>
    <t>LG ITAPOA  X GRUPO CASAS BAHIA SA(CD1475)</t>
  </si>
  <si>
    <t>ROD. MÁXIMO JAMUR, ITAPOA/SC/BRASIL (34,34 Km)</t>
  </si>
  <si>
    <t>Workflow foi Subtituido por Maior Prioridade</t>
  </si>
  <si>
    <t>GRUPO CASAS BAHIA S.A(CD1475) - 83085058</t>
  </si>
  <si>
    <t>124 Km</t>
  </si>
  <si>
    <t>124,79 Km</t>
  </si>
  <si>
    <t>FXA2F75</t>
  </si>
  <si>
    <t>JORGE ROBERTO GHELFI LIMA</t>
  </si>
  <si>
    <t>AFI1D52</t>
  </si>
  <si>
    <t>47410989/2026</t>
  </si>
  <si>
    <t>LGSCT X GRUPO CASAS BAHIA SA(CD1445) - 94931350</t>
  </si>
  <si>
    <t>GRUPO CASAS BAHIA S.A(CD1445) - 94931350</t>
  </si>
  <si>
    <t>671 Km</t>
  </si>
  <si>
    <t>671,74 Km</t>
  </si>
  <si>
    <t>IJD3D53</t>
  </si>
  <si>
    <t>NATHAN EDUARDO ROSA</t>
  </si>
  <si>
    <t>OKH6B48</t>
  </si>
  <si>
    <t>47411428/2026</t>
  </si>
  <si>
    <t>LGSCT X GRUPO CASAS BAHIA SA(CD1600) - 376/163</t>
  </si>
  <si>
    <t>VIRTUAL_SANTACATARINA_RDC - 89249000 (0.00 Km)</t>
  </si>
  <si>
    <t>LANÇAMENTO DE SMP</t>
  </si>
  <si>
    <t>GRUPO CASAS BAHIA S.A(CD1600) - 79108610</t>
  </si>
  <si>
    <t>1126 Km</t>
  </si>
  <si>
    <t>1126,7 Km</t>
  </si>
  <si>
    <t>DJB7E28</t>
  </si>
  <si>
    <t>EVANDRO DE SOUZA</t>
  </si>
  <si>
    <t>FCR0J34</t>
  </si>
  <si>
    <t>47411635/2026</t>
  </si>
  <si>
    <t>LGCAJ X GRUPO CASAS BAHIA SA(CD1760) - 32150240</t>
  </si>
  <si>
    <t>ESTR DA COPASE, CAJAMAR/SP/BRASIL (0,09 Km)</t>
  </si>
  <si>
    <t>PENSKE LOGISTICS DO BRASIL LTDA. - 07775240 (0.00 Km)</t>
  </si>
  <si>
    <t>GRUPO CASAS BAHIA S.A(CD1760) - 32150240</t>
  </si>
  <si>
    <t>565 Km</t>
  </si>
  <si>
    <t>566,25 Km</t>
  </si>
  <si>
    <t>ALEXANDRE SALUSTIANO DE LIMA</t>
  </si>
  <si>
    <t>GHG5I28</t>
  </si>
  <si>
    <t>47411900/2026</t>
  </si>
  <si>
    <t>LGSCT X CARREFOUR COMERCIO E INDUSTRIA LTDA - 25085370</t>
  </si>
  <si>
    <t>GARUVA/SC/BRASIL</t>
  </si>
  <si>
    <t>PONTO DE APOIO MINAS SUL - JOINVILLE (13.32 Km)</t>
  </si>
  <si>
    <t>CARREFOUR COMERCIO E INDUSTRIA LTDA - 25085370</t>
  </si>
  <si>
    <t>909 Km</t>
  </si>
  <si>
    <t>947,47 Km</t>
  </si>
  <si>
    <t>RXR4D60</t>
  </si>
  <si>
    <t>ROBERT WILLIAM GROSSEL</t>
  </si>
  <si>
    <t>MQJ6B54</t>
  </si>
  <si>
    <t>47411972/2026</t>
  </si>
  <si>
    <t>LGSCT X MAGAZINE LUIZA - OURINHOS</t>
  </si>
  <si>
    <t>TIJUCAS DO SUL/PR/BRASIL</t>
  </si>
  <si>
    <t>FABRICA LG - FAZENDA RIO GRANDE (32.30 Km)</t>
  </si>
  <si>
    <t>MAGAZINE LUIZA S/A (CD1100) - 75340000</t>
  </si>
  <si>
    <t>1239 Km</t>
  </si>
  <si>
    <t>1308,26 Km</t>
  </si>
  <si>
    <t>RAD6404</t>
  </si>
  <si>
    <t>ALISON</t>
  </si>
  <si>
    <t>RQN6I70</t>
  </si>
  <si>
    <t>47412138/2026</t>
  </si>
  <si>
    <t>EST LAMEIRAO/ES-481, GUARAPARI/ES/BRASIL (4,03 Km)</t>
  </si>
  <si>
    <t>TRANSWILLY TRANSPORTES (PARCEIRO MWM) (0.00 Km)</t>
  </si>
  <si>
    <t>85 Km</t>
  </si>
  <si>
    <t>SGM9D72</t>
  </si>
  <si>
    <t>LUIZ ALBERTO GOMES PIRES</t>
  </si>
  <si>
    <t>EEU9G69</t>
  </si>
  <si>
    <t>47412454/2026</t>
  </si>
  <si>
    <t>LGSCT X CWB X GRU X GRUPO CASAS BAHIA SA(CD1200) - 13203850</t>
  </si>
  <si>
    <t>RUA IGNEZ DE SOUZA SOARES, CURITIBA/PR/BRASIL (0,18 Km)</t>
  </si>
  <si>
    <t>CD MATRIZ CURITIBA (0.00 Km)</t>
  </si>
  <si>
    <t>MATRIZ RODOBRAS</t>
  </si>
  <si>
    <t>478 Km</t>
  </si>
  <si>
    <t>617,1 Km</t>
  </si>
  <si>
    <t>ARU6776</t>
  </si>
  <si>
    <t>JOSE NELSON BELARMINO</t>
  </si>
  <si>
    <t>CVN9E16</t>
  </si>
  <si>
    <t>47412480/2026</t>
  </si>
  <si>
    <t>LGCAJ X FERREIRA COSTA  CIA LTDA - 58320000 (393)</t>
  </si>
  <si>
    <t>TRANSLUTE TRANSPORTE RODOVIARIO - ITATIAIA (7.17 Km)</t>
  </si>
  <si>
    <t>2469 Km</t>
  </si>
  <si>
    <t>2752,08 Km</t>
  </si>
  <si>
    <t>BCO7G43</t>
  </si>
  <si>
    <t>JOSE MIGUEL DOS REIS</t>
  </si>
  <si>
    <t>TBJ7E66</t>
  </si>
  <si>
    <t>47412709/2026</t>
  </si>
  <si>
    <t>LGSCT X CWB X GRU X GRUPO CASAS BAHIA SA(CD1500) - 09790400</t>
  </si>
  <si>
    <t>628 Km</t>
  </si>
  <si>
    <t>628,79 Km</t>
  </si>
  <si>
    <t>ATO8978</t>
  </si>
  <si>
    <t>WALDIR SIMOES DA SILVA</t>
  </si>
  <si>
    <t>6021313 6013220</t>
  </si>
  <si>
    <t>TOF4J05</t>
  </si>
  <si>
    <t>47412766/2026</t>
  </si>
  <si>
    <t>MWM TRANSPORTES</t>
  </si>
  <si>
    <t>LGCAJ X REFRIGELO CLIMATIZAO DE AMBIENTES SA - 29104491 393</t>
  </si>
  <si>
    <t>PINDAMONHANGABA/SP/BRASIL</t>
  </si>
  <si>
    <t>LG ELECTRONICS DO BRASIL LTDA - 12091000 (21.58 Km)</t>
  </si>
  <si>
    <t>REFRIGELO CLIMATIZAÇÃO DE AMBIENTES S.A - 29104491</t>
  </si>
  <si>
    <t>724 Km</t>
  </si>
  <si>
    <t>902,65 Km</t>
  </si>
  <si>
    <t>TOF3C72</t>
  </si>
  <si>
    <t>MAICON GOMES DIAS</t>
  </si>
  <si>
    <t>KDZ9H48</t>
  </si>
  <si>
    <t>47413186/2026</t>
  </si>
  <si>
    <t>LGSCT X GRUPO CASAS BAHIA SA(CD1760) - CONTAGEM</t>
  </si>
  <si>
    <t>ACESSO PARA RODOVIA BR-277, SAO JOSE DOS PINHAIS/PR/BRASIL (0,09 Km)</t>
  </si>
  <si>
    <t>FILIAL NEW LOG - SAO JOSE DOS PINHAIS (0.95 Km)</t>
  </si>
  <si>
    <t>GRUPO CASAS BAHIA S.A(CD1760) - CONTAGEM</t>
  </si>
  <si>
    <t>978 Km</t>
  </si>
  <si>
    <t>1097,74 Km</t>
  </si>
  <si>
    <t>MMA8829</t>
  </si>
  <si>
    <t>IRINEU DUDA JUNIOR</t>
  </si>
  <si>
    <t>6022201 6022204</t>
  </si>
  <si>
    <t>SEK2F38</t>
  </si>
  <si>
    <t>47413330/2026</t>
  </si>
  <si>
    <t>ESTRADA MUNICIPAL, QUATRO BARRAS/PR/BRASIL (1,37 Km)</t>
  </si>
  <si>
    <t>GVM - CD CURITIBA (8.36 Km)</t>
  </si>
  <si>
    <t>551,28 Km</t>
  </si>
  <si>
    <t>TOM9C56</t>
  </si>
  <si>
    <t>WANDERSON GOMES DA SILVA</t>
  </si>
  <si>
    <t>DPE0I50</t>
  </si>
  <si>
    <t>47413741/2026</t>
  </si>
  <si>
    <t>CAJAMAR X CABO DE SANTO AGOSTINHO/PE/BRASIL</t>
  </si>
  <si>
    <t>17 km/h</t>
  </si>
  <si>
    <t>SAO SEBASTIAO DA BELA VISTA/MG/BRASIL</t>
  </si>
  <si>
    <t>POSTO DOM PEDRO CAMBUI (59.44 Km)</t>
  </si>
  <si>
    <t>2447 Km</t>
  </si>
  <si>
    <t>2655,52 Km</t>
  </si>
  <si>
    <t>DOMINGOS</t>
  </si>
  <si>
    <t>DVS7928</t>
  </si>
  <si>
    <t>47414010/2026</t>
  </si>
  <si>
    <t>LGSCT/GRUPO CASAS BAHIA SA(CD1400) - 42816270 (116-158-493-101)</t>
  </si>
  <si>
    <t>ESTRADA MUNICIPAL CARAGUATA, CAMPINA GRANDE DO SUL/PR/BRASIL (0,44 Km)</t>
  </si>
  <si>
    <t>GVM - CD CURITIBA (6.56 Km)</t>
  </si>
  <si>
    <t>GRUPO CASAS BAHIA S.A(CD1400) - 42816270</t>
  </si>
  <si>
    <t>2479 Km</t>
  </si>
  <si>
    <t>2623,15 Km</t>
  </si>
  <si>
    <t>TBM1J17</t>
  </si>
  <si>
    <t>JEFERSON EDGAR DOS SANTOS MOUSQUER</t>
  </si>
  <si>
    <t>QHE0I95</t>
  </si>
  <si>
    <t>47414014/2026</t>
  </si>
  <si>
    <t>LGCAJ X EBAZARCOMBR LTDA - 06806400 VIPE</t>
  </si>
  <si>
    <t>AV ELIAS YASBEK, EMBU DAS ARTES/SP/BRASIL (0,41 Km)</t>
  </si>
  <si>
    <t>EBAZAR.COM.BR. LTDA - 06806400 (0.14 Km)</t>
  </si>
  <si>
    <t>Abastecimento / TRATATIVA  INTERNA</t>
  </si>
  <si>
    <t>EBAZAR.COM.BR. LTDA - 06806400</t>
  </si>
  <si>
    <t>1 Km</t>
  </si>
  <si>
    <t>42,46 Km</t>
  </si>
  <si>
    <t>QHC6D58</t>
  </si>
  <si>
    <t>FRANQUINEI BARCELOS SILVA</t>
  </si>
  <si>
    <t>CVN1646</t>
  </si>
  <si>
    <t>47414401/2026</t>
  </si>
  <si>
    <t>LGSCT X GRUPO CASAS BAHIA SA(CD1887)</t>
  </si>
  <si>
    <t>GRUPO CASAS BAHIA S.A(CD1887) - 54510000</t>
  </si>
  <si>
    <t>3155 Km</t>
  </si>
  <si>
    <t>3155,44 Km</t>
  </si>
  <si>
    <t>IZW9I71</t>
  </si>
  <si>
    <t>EUCLIDES THEISEN</t>
  </si>
  <si>
    <t>MEN3H71</t>
  </si>
  <si>
    <t>47414473/2026</t>
  </si>
  <si>
    <t>LGSCT X GRUPO CASAS BAHIA SA(CD1400) (CONTORNO SUL)</t>
  </si>
  <si>
    <t>PONTO DE APOIO MINAS SUL - JOINVILLE (13.35 Km)</t>
  </si>
  <si>
    <t>2522 Km</t>
  </si>
  <si>
    <t>2560,92 Km</t>
  </si>
  <si>
    <t>IJZ4E83</t>
  </si>
  <si>
    <t>SALMIR BAHR</t>
  </si>
  <si>
    <t>BAP3B31</t>
  </si>
  <si>
    <t>47414524/2026</t>
  </si>
  <si>
    <t>GSCT/GRUPO CASAS BAHIA SA(CD1400) VIA DUTRA</t>
  </si>
  <si>
    <t>2485 Km</t>
  </si>
  <si>
    <t>2485,37 Km</t>
  </si>
  <si>
    <t>PQE0C28</t>
  </si>
  <si>
    <t>MARIO MARQUES DE OLIVEIRA</t>
  </si>
  <si>
    <t>OKH7C14</t>
  </si>
  <si>
    <t>47414655/2026</t>
  </si>
  <si>
    <t>LG ITAPOA X CASAS BAHIA DUQUE ( VIA AUTOMOVEL)</t>
  </si>
  <si>
    <t>FABRICA LG - FAZENDA RIO GRANDE (23.82 Km)</t>
  </si>
  <si>
    <t>906 Km</t>
  </si>
  <si>
    <t>987,21 Km</t>
  </si>
  <si>
    <t>RAF2B92</t>
  </si>
  <si>
    <t>THIAGO ANDRADE</t>
  </si>
  <si>
    <t>6022063/6022062</t>
  </si>
  <si>
    <t>QHG5H17</t>
  </si>
  <si>
    <t>47414657/2026</t>
  </si>
  <si>
    <t>RODOVIA ANHANGUERA, RIBEIRAO PRETO/SP/BRASIL (0,01 Km)</t>
  </si>
  <si>
    <t>BASE APOIO TRANSKING - 14075090 (1.05 Km)</t>
  </si>
  <si>
    <t>632 Km</t>
  </si>
  <si>
    <t>SXM8C23</t>
  </si>
  <si>
    <t>CEZAR JUNIOR NEGRINI</t>
  </si>
  <si>
    <t>HJF7C96</t>
  </si>
  <si>
    <t>47414730/2026</t>
  </si>
  <si>
    <t>LGSCT X GRUPO CASAS BAHIA SA(CD1760) - CONTAGEM (CONTORNO SUL)</t>
  </si>
  <si>
    <t>RODOVIA PR 25, SAO JOSE DOS PINHAIS/PR/BRASIL (12,97 Km)</t>
  </si>
  <si>
    <t>FABRICA LG - FAZENDA RIO GRANDE (13.45 Km)</t>
  </si>
  <si>
    <t>1001 Km</t>
  </si>
  <si>
    <t>1103,82 Km</t>
  </si>
  <si>
    <t>GVQ5H15</t>
  </si>
  <si>
    <t>EMERSON VOLNI PEREIRA GOULARTE</t>
  </si>
  <si>
    <t>6022058/6022057</t>
  </si>
  <si>
    <t>QHG5687</t>
  </si>
  <si>
    <t>47414845/2026</t>
  </si>
  <si>
    <t>LGCAJ X FUJIOKA ELETRO IMAGEM S/A - 74675690 - 050/SP-348/050/SP-253/364/153</t>
  </si>
  <si>
    <t>79 km/h</t>
  </si>
  <si>
    <t>SANTA CRUZ DA CONCEICAO/SP/BRASIL</t>
  </si>
  <si>
    <t>BASE COOPERCARGO (PARCEIRO PANTOS)  (26.99 Km)</t>
  </si>
  <si>
    <t>739 Km</t>
  </si>
  <si>
    <t>902,26 Km</t>
  </si>
  <si>
    <t>QHC6368</t>
  </si>
  <si>
    <t>JOSE LUCIANO CORDEIRO</t>
  </si>
  <si>
    <t>FOQ5B24</t>
  </si>
  <si>
    <t>47414892/2026</t>
  </si>
  <si>
    <t>RUA QUINZE DE OUTUBRO, JOINVILLE/SC/BRASIL (0,15 Km)</t>
  </si>
  <si>
    <t>PONTO DE APOIO MINAS SUL - JOINVILLE (0.00 Km)</t>
  </si>
  <si>
    <t>PONTO DE APOIO MINAS SUL - JOINVILLE</t>
  </si>
  <si>
    <t>511 Km</t>
  </si>
  <si>
    <t>SXR8D90</t>
  </si>
  <si>
    <t>ALEXANDRE MENDES PEREIRA</t>
  </si>
  <si>
    <t>QHG5H47</t>
  </si>
  <si>
    <t>47415087/2026</t>
  </si>
  <si>
    <t>LGCAJ X EBAZARCOMBR LTDA - 06806400</t>
  </si>
  <si>
    <t>AV ELIAS YASBEK, EMBU DAS ARTES/SP/BRASIL (0,45 Km)</t>
  </si>
  <si>
    <t>EBAZAR.COM.BR. LTDA - 06806400 (0.15 Km)</t>
  </si>
  <si>
    <t>Chegada No Cliente / TRATATIVA  INTERNA</t>
  </si>
  <si>
    <t>MLO9H49</t>
  </si>
  <si>
    <t>NAILTON SILVA DOS SANTOS</t>
  </si>
  <si>
    <t>NRF5D59</t>
  </si>
  <si>
    <t>47415349/2026</t>
  </si>
  <si>
    <t>LGCAJ X GAZIN ATACADO CENTRO-OESTE LTD - 75780000</t>
  </si>
  <si>
    <t>PILAR DO SUL, CARAPICUIBA/SP/BRASIL (0,1 Km)</t>
  </si>
  <si>
    <t>PELOG - PARCEIRO HILO (BARUERI-SP) (2.44 Km)</t>
  </si>
  <si>
    <t>GAZIN ATACADO CENTRO-OESTE LTD - 75780000</t>
  </si>
  <si>
    <t>725 Km</t>
  </si>
  <si>
    <t>727,76 Km</t>
  </si>
  <si>
    <t>EZR0J72</t>
  </si>
  <si>
    <t>RICARDO GONCALVES RODRIGUES</t>
  </si>
  <si>
    <t>TPP1F18</t>
  </si>
  <si>
    <t>47415385/2026</t>
  </si>
  <si>
    <t>LGSCT X GRU X EBAZARCOMBR LTDA - 07750020</t>
  </si>
  <si>
    <t>EBAZAR.COM.BR. LTDA - 07750020</t>
  </si>
  <si>
    <t>570 Km</t>
  </si>
  <si>
    <t>570,75 Km</t>
  </si>
  <si>
    <t>TPO5E68</t>
  </si>
  <si>
    <t>ANDRE DE ANDRADE SILVA</t>
  </si>
  <si>
    <t>JAW4H24</t>
  </si>
  <si>
    <t>47415417/2026</t>
  </si>
  <si>
    <t>LGCAJ X LOJAS QUERO QUERO SA - 93812160</t>
  </si>
  <si>
    <t>MIRACATU/SP/BRASIL</t>
  </si>
  <si>
    <t>EBAZAR.COM.BR. LTDA - 06806400 (84.25 Km)</t>
  </si>
  <si>
    <t>LOJAS QUERO QUERO SA - 93812160</t>
  </si>
  <si>
    <t>996 Km</t>
  </si>
  <si>
    <t>1133,1 Km</t>
  </si>
  <si>
    <t>SILAS FERREIRA MUNIZ</t>
  </si>
  <si>
    <t>MFF7E97</t>
  </si>
  <si>
    <t>47415552/2026</t>
  </si>
  <si>
    <t>ITAPOA X GRUPO CASAS BAHIA SA(CD1895) - 75340000 - AUT TSP</t>
  </si>
  <si>
    <t>ROD. MÁXIMO JAMUR, ITAPOA/SC/BRASIL (33,59 Km)</t>
  </si>
  <si>
    <t>Refeição / TRATATIVA  INTERNA</t>
  </si>
  <si>
    <t>GRUPO CASAS BAHIA S.A(CD1895) - 75340000</t>
  </si>
  <si>
    <t>1371 Km</t>
  </si>
  <si>
    <t>1372,17 Km</t>
  </si>
  <si>
    <t>MHN5F89</t>
  </si>
  <si>
    <t>OSMAR DUARTE DA SILVA</t>
  </si>
  <si>
    <t>AUK5C54</t>
  </si>
  <si>
    <t>47415586/2026</t>
  </si>
  <si>
    <t>TRANSP RODOWAY LTDA</t>
  </si>
  <si>
    <t>LGSCT X LOJAS BECKER LTDA - 97900000</t>
  </si>
  <si>
    <t>LOJAS BECKER LTDA - 97900000</t>
  </si>
  <si>
    <t>900 Km</t>
  </si>
  <si>
    <t>900,36 Km</t>
  </si>
  <si>
    <t>TBL5A66</t>
  </si>
  <si>
    <t>MARCIO FARIAS HAYDEN</t>
  </si>
  <si>
    <t>SXQ8A69</t>
  </si>
  <si>
    <t>47418456/2026</t>
  </si>
  <si>
    <t>617 Km</t>
  </si>
  <si>
    <t>SXL1D22</t>
  </si>
  <si>
    <t>LUIZ SANTOS</t>
  </si>
  <si>
    <t>TOF2A43</t>
  </si>
  <si>
    <t>47421405/2026</t>
  </si>
  <si>
    <t>VIA TATUQUARA OBELISCO-QUATO BARRAS EM CONSTRUÇAO, SAO JOSE DOS PINHAIS/PR/BRASIL (0,31 Km)</t>
  </si>
  <si>
    <t>GRUPO CASAS BAHIA S.A(CD1475) - 83085058 (0.53 Km)</t>
  </si>
  <si>
    <t>431 Km</t>
  </si>
  <si>
    <t>TOF6A98</t>
  </si>
  <si>
    <t>ANGELO MOCELLIN CASALI</t>
  </si>
  <si>
    <t>6014913/6011002</t>
  </si>
  <si>
    <t>MMJ4976</t>
  </si>
  <si>
    <t>47421816/2026</t>
  </si>
  <si>
    <t>LGSCT X CARREFOUR COM IND LTDA - 06278010 / PANTOS</t>
  </si>
  <si>
    <t>73 km/h</t>
  </si>
  <si>
    <t>RUA JOAO LIPINSKI, SAO JOSE DOS PINHAIS/PR/BRASIL (4,18 Km)</t>
  </si>
  <si>
    <t>JADIMO MATRIZ/OFICINA (4.25 Km)</t>
  </si>
  <si>
    <t>CARREFOUR COM IND LTDA - 06278010</t>
  </si>
  <si>
    <t>412 Km</t>
  </si>
  <si>
    <t>518,89 Km</t>
  </si>
  <si>
    <t>QHC6E18</t>
  </si>
  <si>
    <t>SEBASTIAO FERNANDES DA SILVA NETO</t>
  </si>
  <si>
    <t>BAF0645</t>
  </si>
  <si>
    <t>47422085/2026</t>
  </si>
  <si>
    <t>AUJ0917</t>
  </si>
  <si>
    <t>SANDRO MARLON DA ROCHA</t>
  </si>
  <si>
    <t>JBY4D00</t>
  </si>
  <si>
    <t>47422155/2026</t>
  </si>
  <si>
    <t>LGCAJ X CARREFOUR COMERCIO E INDUSTRIA LTDA - 91060410</t>
  </si>
  <si>
    <t>REPRESA, COTIA/SP/BRASIL (0,1 Km)</t>
  </si>
  <si>
    <t>EBAZAR.COM.BR. LTDA - 06806400 (4.20 Km)</t>
  </si>
  <si>
    <t>Entrou na Rota / TRATATIVA  INTERNA</t>
  </si>
  <si>
    <t>CARREFOUR COMERCIO E INDUSTRIA LTDA - 91060410</t>
  </si>
  <si>
    <t>1098 Km</t>
  </si>
  <si>
    <t>1133,37 Km</t>
  </si>
  <si>
    <t>ATO8983</t>
  </si>
  <si>
    <t>JONATAN RAFAEL DE MELO SARMENTO</t>
  </si>
  <si>
    <t>BBU0638</t>
  </si>
  <si>
    <t>47422601/2026</t>
  </si>
  <si>
    <t>TRANSFERÊNCIA RODOVIÁRIA</t>
  </si>
  <si>
    <t>LGSCT X CWB X PENSKE LOGISTICS DO BRASIL LTDA - 07775240</t>
  </si>
  <si>
    <t>567 Km</t>
  </si>
  <si>
    <t>567,97 Km</t>
  </si>
  <si>
    <t>ARU6773</t>
  </si>
  <si>
    <t>CELSO APARECIDO DA ROCHA</t>
  </si>
  <si>
    <t>QJZ2D94</t>
  </si>
  <si>
    <t>47422850/2026</t>
  </si>
  <si>
    <t>LGSCT X LOJAS COLOMBO S/A COM UTILIDADES DOMESTICAS - 81350240 - SC-416/101/376</t>
  </si>
  <si>
    <t>136 Km</t>
  </si>
  <si>
    <t>136,54 Km</t>
  </si>
  <si>
    <t>TAV4J08</t>
  </si>
  <si>
    <t>CLODIMAR ISAAC MATES</t>
  </si>
  <si>
    <t>BDK0J96</t>
  </si>
  <si>
    <t>47422874/2026</t>
  </si>
  <si>
    <t>Perda de Sinal não gerado: veículo em AIV com previsão de Início de Viagem válida</t>
  </si>
  <si>
    <t>ADAO JULIO RAMOS</t>
  </si>
  <si>
    <t>Encerrada</t>
  </si>
  <si>
    <t>FZM9D60</t>
  </si>
  <si>
    <t>47127411/2026</t>
  </si>
  <si>
    <t>CONTRAIL L</t>
  </si>
  <si>
    <t>INBOUND</t>
  </si>
  <si>
    <t>DP WORLD BRASIL - 11095710 X CONTRAIL LOGSTICA S/A - 13214205  - DIADEMA</t>
  </si>
  <si>
    <t>AV. UNIÃO DOS FERROVIÁRIOS, JUNDIAI/SP/BRASIL (0,11 Km)</t>
  </si>
  <si>
    <t>TIJÚ (0.00 Km)</t>
  </si>
  <si>
    <t>TROCA DE STATUS</t>
  </si>
  <si>
    <t>DP WORLD BRASIL - 11095710</t>
  </si>
  <si>
    <t>CONTRAIL LOGÍSTICA S/A - 13214205</t>
  </si>
  <si>
    <t>146,33 Km</t>
  </si>
  <si>
    <t>RXR4C68</t>
  </si>
  <si>
    <t>REINALDO MANOEL DE SOUZA MANOEL DE SOUZA</t>
  </si>
  <si>
    <t>5988895 5988853</t>
  </si>
  <si>
    <t>EYX2I66</t>
  </si>
  <si>
    <t>47129911/2026</t>
  </si>
  <si>
    <t>AV. UNIÃO DOS FERROVIÁRIOS, JUNDIAI/SP/BRASIL (0,1 Km)</t>
  </si>
  <si>
    <t>NTS8D21</t>
  </si>
  <si>
    <t>SERGIO EDSON DA SILVA</t>
  </si>
  <si>
    <t>HTP1A65</t>
  </si>
  <si>
    <t>47129921/2026</t>
  </si>
  <si>
    <t>DP WORLD BRASIL - 11095710 X CONTRAIL LOGSTICA S/A - 13214205  - FINAL ANHAMGUERA</t>
  </si>
  <si>
    <t>AV. UNIÃO DOS FERROVIÁRIOS, JUNDIAI/SP/BRASIL (0,09 Km)</t>
  </si>
  <si>
    <t>CONTRAIL LOGÍSTICA S/A - 13214205 (9.60 Km)</t>
  </si>
  <si>
    <t>163,99 Km</t>
  </si>
  <si>
    <t>FOS4I45</t>
  </si>
  <si>
    <t>MICHAEL FERNANDO PEREIRA</t>
  </si>
  <si>
    <t>EJW8F02</t>
  </si>
  <si>
    <t>47129971/2026</t>
  </si>
  <si>
    <t>BTP - SANTOS X CONTRAIL LOGSTICA S/A - 13214205 (SP-160)</t>
  </si>
  <si>
    <t>22 km/h</t>
  </si>
  <si>
    <t>ACESSO PARA RODOVIA ANHANGÜERA, JUNDIAI/SP/BRASIL (0,05 Km)</t>
  </si>
  <si>
    <t>CACUB (7.35 Km)</t>
  </si>
  <si>
    <t>5 Km</t>
  </si>
  <si>
    <t>131,84 Km</t>
  </si>
  <si>
    <t>ESU7C49</t>
  </si>
  <si>
    <t>FERNANDO HENRIQUE LERYA</t>
  </si>
  <si>
    <t>EZU5G31</t>
  </si>
  <si>
    <t>47130214/2026</t>
  </si>
  <si>
    <t>31 km/h</t>
  </si>
  <si>
    <t>RUA QUARENTA E DOIS, CAMPO LIMPO PAULISTA/SP/BRASIL (7,64 Km)</t>
  </si>
  <si>
    <t>REVISEO COMERCIO E INDUSTRIA LTDA - 12952361 (8.77 Km)</t>
  </si>
  <si>
    <t>TIS3I05</t>
  </si>
  <si>
    <t>REGINALDO APARECIDO ALVES</t>
  </si>
  <si>
    <t>IYT6H68</t>
  </si>
  <si>
    <t>47131551/2026</t>
  </si>
  <si>
    <t>FITA AZUL PE (FATELOG)</t>
  </si>
  <si>
    <t>LGSCT X BASE FATELOG - CAJAMAR - 116</t>
  </si>
  <si>
    <t>RUA EUGENIA, CAJAMAR/SP/BRASIL (0,09 Km)</t>
  </si>
  <si>
    <t>FATE LOG (FITA AZUL) - CAJAMAR/SP (0.00 Km)</t>
  </si>
  <si>
    <t>BASE FATELOG - CAJAMAR</t>
  </si>
  <si>
    <t>RYQ8H05</t>
  </si>
  <si>
    <t>JONATHA WILLIAN MARCHESINI</t>
  </si>
  <si>
    <t>QRI4E32</t>
  </si>
  <si>
    <t>47132965/2026</t>
  </si>
  <si>
    <t>LGCAJ X LOJAS SIPOLATTI COMERCIO E SERVICOS LTDA - 29135008</t>
  </si>
  <si>
    <t>FATE LOG (FITA AZUL) - VIANA/ES</t>
  </si>
  <si>
    <t>901,07 Km</t>
  </si>
  <si>
    <t>IVAN AUGUSTO DE SOUZA</t>
  </si>
  <si>
    <t>PTE0I42</t>
  </si>
  <si>
    <t>47134906/2026</t>
  </si>
  <si>
    <t>AV. ANTÔNIO FREDERICO OZANAN, JUNDIAI/SP/BRASIL (0,23 Km)</t>
  </si>
  <si>
    <t>BASE FATELOG (PARCEIRO PANTOS) SAO BERNARDO DO CAMPO (6.58 Km)</t>
  </si>
  <si>
    <t>TKR4A92</t>
  </si>
  <si>
    <t>DANIEL JOSE VIANA DA SILVA JOSE VIANA DA SILVA</t>
  </si>
  <si>
    <t>47137397/2026</t>
  </si>
  <si>
    <t>DP WORLD BRASIL - 11095710 X CONTRAIL LOGSTICA S/A - 13214205 - 101/SP-160/SP-021/SP-348</t>
  </si>
  <si>
    <t>AV. ANTÔNIO FREDERICO OZANAN, JUNDIAI/SP/BRASIL (0,04 Km)</t>
  </si>
  <si>
    <t>163,96 Km</t>
  </si>
  <si>
    <t>47138887/2026</t>
  </si>
  <si>
    <t>SANTOS BRASIL - TECON GUARUJA X CONTRAIL LOGSTICA S/A - 13214205 - SP-248/050/116/SP-348</t>
  </si>
  <si>
    <t>SANTOS BRASIL - TECON GUARUJA</t>
  </si>
  <si>
    <t>140,96 Km</t>
  </si>
  <si>
    <t>FPL8H40</t>
  </si>
  <si>
    <t>47138923/2026</t>
  </si>
  <si>
    <t>35 km/h</t>
  </si>
  <si>
    <t>R. NITERÓI, JUNDIAI/SP/BRASIL (0,24 Km)</t>
  </si>
  <si>
    <t>PENSKE LOGISTICS DO BRASIL LTDA. - 07775240 (0.01 Km)</t>
  </si>
  <si>
    <t>SMP MANTIDA LOGISTICA</t>
  </si>
  <si>
    <t>LWZ4C62</t>
  </si>
  <si>
    <t>ERIC JUSTINO MOURA</t>
  </si>
  <si>
    <t>47138945/2026</t>
  </si>
  <si>
    <t>SANTOS BRASIL - TECON GUARUJA X CONTRAIL LOGSTICA S/A - 13214205  - DIADEMA</t>
  </si>
  <si>
    <t>1 km/h</t>
  </si>
  <si>
    <t>AV. UNIÃO DOS FERROVIÁRIOS, JUNDIAI/SP/BRASIL (0,08 Km)</t>
  </si>
  <si>
    <t>151,12 Km</t>
  </si>
  <si>
    <t>5989882 5994635</t>
  </si>
  <si>
    <t>RLI0E15</t>
  </si>
  <si>
    <t>47139477/2026</t>
  </si>
  <si>
    <t>DPWORLD X HAVAN BARRA VELHA (VIA IMIGRANTE / RODOANEL / 116)</t>
  </si>
  <si>
    <t>BARRA VELHA/SC/BRASIL</t>
  </si>
  <si>
    <t>BASE EALE - CAMPINAS (2.88 Km)</t>
  </si>
  <si>
    <t>639,82 Km</t>
  </si>
  <si>
    <t>UBJ9C45</t>
  </si>
  <si>
    <t>GELIS FRANCISCO MATTOZINHO BERNAL</t>
  </si>
  <si>
    <t>FUV0A97</t>
  </si>
  <si>
    <t>47140019/2026</t>
  </si>
  <si>
    <t>DPWORLD - SANTOS X TIJ - 101/050/116/050</t>
  </si>
  <si>
    <t>AV. ANTÔNIO FREDERICO OZANAN, JUNDIAI/SP/BRASIL (0,16 Km)</t>
  </si>
  <si>
    <t>REVISEO COMERCIO E INDUSTRIA LTDA - 12952361 (8.56 Km)</t>
  </si>
  <si>
    <t>159,41 Km</t>
  </si>
  <si>
    <t>FOS5A12</t>
  </si>
  <si>
    <t>PAULO EDUARDO DE MORAIS EDUARDO DE MORAIS</t>
  </si>
  <si>
    <t>47140095/2026</t>
  </si>
  <si>
    <t>6007648 6007490 6007348 6003737 6003735</t>
  </si>
  <si>
    <t>MKP1A06</t>
  </si>
  <si>
    <t>47140663/2026</t>
  </si>
  <si>
    <t>LGSCT X FATELOG CAJAMAR - 2026</t>
  </si>
  <si>
    <t>RUA EUGENIA, CAJAMAR/SP/BRASIL (0,11 Km)</t>
  </si>
  <si>
    <t>VIRTUAL_SANTACATARINA_RDC - 89249000 (5.51 Km)</t>
  </si>
  <si>
    <t>BASE FATELOG (FITA AZUL) - CAJAMAR</t>
  </si>
  <si>
    <t>531,61 Km</t>
  </si>
  <si>
    <t>ITM2H83</t>
  </si>
  <si>
    <t>VALDOLI ALEXANDRE</t>
  </si>
  <si>
    <t>47144707/2026</t>
  </si>
  <si>
    <t>47144710/2026</t>
  </si>
  <si>
    <t>SANTOS BRASIL X SANTOS BRASIL X CONTRAIL LOGSTICA S/A - 13214205 VIA ANCHIETA</t>
  </si>
  <si>
    <t>JARINU/SP/BRASIL</t>
  </si>
  <si>
    <t>30 Km</t>
  </si>
  <si>
    <t>198,94 Km</t>
  </si>
  <si>
    <t>47144714/2026</t>
  </si>
  <si>
    <t>SANTOS BRASIL - TECON GUARUJA X CONTRAIL LOGSTICA S/A - 13214205 - SP-248/101/SP-160/SP-021/SP-348</t>
  </si>
  <si>
    <t>45 km/h</t>
  </si>
  <si>
    <t>AVENIDA ANTONIO FREDERICO OZANAN, JUNDIAI/SP/BRASIL (0,09 Km)</t>
  </si>
  <si>
    <t>ATO6B41</t>
  </si>
  <si>
    <t>47144732/2026</t>
  </si>
  <si>
    <t>20 km/h</t>
  </si>
  <si>
    <t>R. NITERÓI, JUNDIAI/SP/BRASIL (0,2 Km)</t>
  </si>
  <si>
    <t>EBAZAR.COM.BR. LTDA - 06806400 (1.71 Km)</t>
  </si>
  <si>
    <t>GAV1I92</t>
  </si>
  <si>
    <t>ALEXANDRE ANDRADE</t>
  </si>
  <si>
    <t>47144744/2026</t>
  </si>
  <si>
    <t>SANTOS BRASIL - TECON GUARUJA X CONTRAIL LOGSTICA S/A - 13214205 - SP-248/101/SP-160/SP-021/050</t>
  </si>
  <si>
    <t>168,77 Km</t>
  </si>
  <si>
    <t>6002379 6002588</t>
  </si>
  <si>
    <t>EEM9I49</t>
  </si>
  <si>
    <t>47144753/2026</t>
  </si>
  <si>
    <t>BASE EALE - CAMPINAS (2.89 Km)</t>
  </si>
  <si>
    <t>FAP4B21</t>
  </si>
  <si>
    <t>FLAVIO ALVES PEREIRA</t>
  </si>
  <si>
    <t>6002318 6001537</t>
  </si>
  <si>
    <t>GBD9A60</t>
  </si>
  <si>
    <t>47144759/2026</t>
  </si>
  <si>
    <t>ATHIE WOHNRATH ASSOCIADOS PROJETOS, CONSTRUCAO E GERENCIAMENTO LTDA - 13054709 (4.58 Km)</t>
  </si>
  <si>
    <t>168,75 Km</t>
  </si>
  <si>
    <t>MCP5A99</t>
  </si>
  <si>
    <t>RICARDO TADEU PEDROSO DE MORAES</t>
  </si>
  <si>
    <t>5987427 5994396</t>
  </si>
  <si>
    <t>ONK3D33</t>
  </si>
  <si>
    <t>47144772/2026</t>
  </si>
  <si>
    <t>CABRAL &amp; CABRAL TRANSPORTE DE CARGAS LTDA. (5.39 Km)</t>
  </si>
  <si>
    <t>128 Km</t>
  </si>
  <si>
    <t>GBM1D92</t>
  </si>
  <si>
    <t>ABNER GONÇALVES DE OLIVEIRA</t>
  </si>
  <si>
    <t>6001458 6007650</t>
  </si>
  <si>
    <t>ASN9G20</t>
  </si>
  <si>
    <t>47145883/2026</t>
  </si>
  <si>
    <t>LGSCT X JOI X CWB X LOJAS COLOMBO S/A COM UTILIDADES DOMESTICAS - 81350240</t>
  </si>
  <si>
    <t>ACESSO PARA RODOVIA BR-116, CURITIBA/PR/BRASIL (0,18 Km)</t>
  </si>
  <si>
    <t>TRANSPORTES RODOWAY - MATRIZ (0.65 Km)</t>
  </si>
  <si>
    <t>MATRIZ RODOBRAS - CURITIBA</t>
  </si>
  <si>
    <t>12 Km</t>
  </si>
  <si>
    <t>208,77 Km</t>
  </si>
  <si>
    <t>BEQ1B61</t>
  </si>
  <si>
    <t>ADEMIR ANTONIO MONTEIRO</t>
  </si>
  <si>
    <t>CMAU9863060</t>
  </si>
  <si>
    <t>ORF2A84</t>
  </si>
  <si>
    <t>47147815/2026</t>
  </si>
  <si>
    <t>SANTOS BRASIL - TECON GUARUJA X LG PENSKE - CAJAMAR - 101/SP-160/SP-021/SP-330</t>
  </si>
  <si>
    <t>23 km/h</t>
  </si>
  <si>
    <t>AV SAO PAULO, CAJAMAR/SP/BRASIL (0,07 Km)</t>
  </si>
  <si>
    <t>QJZ4C36</t>
  </si>
  <si>
    <t>LUIS CARLOS LISBOA DA SILVA JUNIOR</t>
  </si>
  <si>
    <t>ONEU1186030</t>
  </si>
  <si>
    <t>47147964/2026</t>
  </si>
  <si>
    <t>BTP SANTOS X PENSKE (VIA ANCHIETA/RODOANEL/ANHANGUERA)</t>
  </si>
  <si>
    <t>ANHANGUERA, CAJAMAR/SP/BRASIL (0,04 Km)</t>
  </si>
  <si>
    <t>BTP - SANTOS</t>
  </si>
  <si>
    <t>125,88 Km</t>
  </si>
  <si>
    <t>QIZ1H49</t>
  </si>
  <si>
    <t>47150987/2026</t>
  </si>
  <si>
    <t>10 km/h</t>
  </si>
  <si>
    <t>AV. ANTÔNIO FREDERICO OZANAN, JUNDIAI/SP/BRASIL (0,03 Km)</t>
  </si>
  <si>
    <t>47150989/2026</t>
  </si>
  <si>
    <t>AV. ANTÔNIO FREDERICO OZANAN, JUNDIAI/SP/BRASIL (0,14 Km)</t>
  </si>
  <si>
    <t>DPC5B43</t>
  </si>
  <si>
    <t>47151001/2026</t>
  </si>
  <si>
    <t>CONTRAIL LOGÍSTICA S/A - 13214205 (5.27 Km)</t>
  </si>
  <si>
    <t>BTR0G89</t>
  </si>
  <si>
    <t>IVAN DE ALMEIDA FERREIRA</t>
  </si>
  <si>
    <t>6009691/6005831</t>
  </si>
  <si>
    <t>QHE0J05</t>
  </si>
  <si>
    <t>47153645/2026</t>
  </si>
  <si>
    <t>LGCAJ X HAVAN LOJAS DE DEPARTAMENTOS LTDA - 88390000</t>
  </si>
  <si>
    <t>HAVAN LOJAS DE DEPARTAMENTOS LTDA - 88390000</t>
  </si>
  <si>
    <t>573,75 Km</t>
  </si>
  <si>
    <t>SXM8B23</t>
  </si>
  <si>
    <t>PAULO DONIZETE  DOS SANTOS</t>
  </si>
  <si>
    <t>EWU8G18</t>
  </si>
  <si>
    <t>47154123/2026</t>
  </si>
  <si>
    <t>CAJ X POA X GLOBAL DISTRIBUICAO DE BENS DE CONSUMO LTDA - 93950000</t>
  </si>
  <si>
    <t>DOIS IRMAOS/RS/BRASIL</t>
  </si>
  <si>
    <t>TRANSOLIVEIRA (BASE PARCEIRA TRANSKING) (5.29 Km)</t>
  </si>
  <si>
    <t>GLOBAL DISTRIBUICAO DE BENS DE CONSUMO LTDA - 93950000</t>
  </si>
  <si>
    <t>ASP2146</t>
  </si>
  <si>
    <t>TONI RODRIGO COSTA DE SOUZA SOUZA</t>
  </si>
  <si>
    <t>5996369 6002337</t>
  </si>
  <si>
    <t>47155272/2026</t>
  </si>
  <si>
    <t>AV. UNIÃO DOS FERROVIÁRIOS, JUNDIAI/SP/BRASIL (0,05 Km)</t>
  </si>
  <si>
    <t>6002517 6002375</t>
  </si>
  <si>
    <t>47155287/2026</t>
  </si>
  <si>
    <t>AV. UNIÃO DOS FERROVIÁRIOS, JUNDIAI/SP/BRASIL (0,03 Km)</t>
  </si>
  <si>
    <t>6001680/5996472 6001764</t>
  </si>
  <si>
    <t>47155346/2026</t>
  </si>
  <si>
    <t>SANTOS BRASIL - TECON GUARUJA X CONTRAIL LOGSTICA S/A - 13214205 - SP-248/101/050/SP-021/SP-348</t>
  </si>
  <si>
    <t>AV. ANTÔNIO FREDERICO OZANAN, JUNDIAI/SP/BRASIL (0,11 Km)</t>
  </si>
  <si>
    <t>166,65 Km</t>
  </si>
  <si>
    <t>6002369 6002510</t>
  </si>
  <si>
    <t>47155356/2026</t>
  </si>
  <si>
    <t>SANTOS BRASIL X CONTRAIL LOGSTICA S/A - 13214205</t>
  </si>
  <si>
    <t>180,78 Km</t>
  </si>
  <si>
    <t>47155873/2026</t>
  </si>
  <si>
    <t>16 km/h</t>
  </si>
  <si>
    <t>AV REGENTE FEIJO, SAO PAULO/SP/BRASIL (0,02 Km)</t>
  </si>
  <si>
    <t>43 Km</t>
  </si>
  <si>
    <t>RHU4B50</t>
  </si>
  <si>
    <t>47159271/2026</t>
  </si>
  <si>
    <t>LGSCT X RAMIRO CAMPELO COMERCIO DE UTILIDADES LTDA - 45400000 - SC-416/101/376/116/SP-021/116/381/040/135/251/116/BA-542</t>
  </si>
  <si>
    <t>VALENCA/BA/BRASIL</t>
  </si>
  <si>
    <t>JADIMO - FILIAL BARUERI (0.00 Km)</t>
  </si>
  <si>
    <t>2330,73 Km</t>
  </si>
  <si>
    <t>RYR7C35</t>
  </si>
  <si>
    <t>DIEGO DAMASCENO RIBEIRO DIOGENES</t>
  </si>
  <si>
    <t>BDG1J97</t>
  </si>
  <si>
    <t>47162522/2026</t>
  </si>
  <si>
    <t>LGCAJ X GRUPO CASAS BAHIA SA(CD1401) - 25255030 - GUARULHOS</t>
  </si>
  <si>
    <t>AV AUTOMOVEL CLUBE, DUQUE DE CAXIAS/RJ/BRASIL (0,07 Km)</t>
  </si>
  <si>
    <t>GRUPO CASAS BAHIA S.A(CD1401) - 25255030 (0.00 Km)</t>
  </si>
  <si>
    <t>460,17 Km</t>
  </si>
  <si>
    <t>EDUARDO DE SOUZA FREIRE</t>
  </si>
  <si>
    <t>47169178/2026</t>
  </si>
  <si>
    <t>RUA VEREADORUA ANGELO BURBELLO, CURITIBA/PR/BRASIL (0,01 Km)</t>
  </si>
  <si>
    <t>AMM7750</t>
  </si>
  <si>
    <t>47169399/2026</t>
  </si>
  <si>
    <t>CONTRAIL LOGSTICA S/A X LGCAJ - 050</t>
  </si>
  <si>
    <t>ESTR DA COPASE, CAJAMAR/SP/BRASIL (0,25 Km)</t>
  </si>
  <si>
    <t>CONTRAIL LOGÍSTICA S/A - 13214205 (5.09 Km)</t>
  </si>
  <si>
    <t>26,46 Km</t>
  </si>
  <si>
    <t>DPC1E81</t>
  </si>
  <si>
    <t>ANTONIO RAFAEL DOS SANTOS</t>
  </si>
  <si>
    <t>EJW2B15</t>
  </si>
  <si>
    <t>47169418/2026</t>
  </si>
  <si>
    <t>CONTRAIL LOGSTICA S/A - 13214205 X LGCAJ - SP-354/050</t>
  </si>
  <si>
    <t>ESTR DA COPASE, CAJAMAR/SP/BRASIL (0,26 Km)</t>
  </si>
  <si>
    <t>31,95 Km</t>
  </si>
  <si>
    <t>TLI7A23</t>
  </si>
  <si>
    <t>GUILHERME SILVA FERNANDES DA SILVA</t>
  </si>
  <si>
    <t>FEH5A30</t>
  </si>
  <si>
    <t>47169431/2026</t>
  </si>
  <si>
    <t>TIJU - CAJAMAR VIA ANHAGUERA</t>
  </si>
  <si>
    <t>JORDANO MENDES, CAJAMAR/SP/BRASIL (0,02 Km)</t>
  </si>
  <si>
    <t>CONTRAIL LOGÍSTICA S/A - 13214205 (1.72 Km)</t>
  </si>
  <si>
    <t>3 Km</t>
  </si>
  <si>
    <t>26,68 Km</t>
  </si>
  <si>
    <t>FCE3F33</t>
  </si>
  <si>
    <t>RAFAEL DA FONSECA BREXO</t>
  </si>
  <si>
    <t>BXG2J37</t>
  </si>
  <si>
    <t>47169741/2026</t>
  </si>
  <si>
    <t>53 km/h</t>
  </si>
  <si>
    <t>RUA NATAL, JUNDIAI/SP/BRASIL (0,2 Km)</t>
  </si>
  <si>
    <t>CACUB (7.29 Km)</t>
  </si>
  <si>
    <t>EFU5E38</t>
  </si>
  <si>
    <t>RONALDO CESAR LERYA</t>
  </si>
  <si>
    <t>47169756/2026</t>
  </si>
  <si>
    <t>RUA CANDIDO JOSE DE OLIVEIRA, JUNDIAI/SP/BRASIL (0,07 Km)</t>
  </si>
  <si>
    <t>Alteração de Entrada/Saída em Ponto</t>
  </si>
  <si>
    <t>UAZ8G48</t>
  </si>
  <si>
    <t>47171163/2026</t>
  </si>
  <si>
    <t>LGSCT X MARTINS COMERCIO E SERVICOS DE DISTRIBUICAO S/A - 38402324 VIA 050</t>
  </si>
  <si>
    <t>RUA SP-70, UBERLANDIA/MG/BRASIL (15,34 Km)</t>
  </si>
  <si>
    <t>3G LOG TRANSPORTES LTDA - UDI (23.07 Km)</t>
  </si>
  <si>
    <t>1194,83 Km</t>
  </si>
  <si>
    <t>UBB6A23</t>
  </si>
  <si>
    <t>JEFERSON PATRICK FABIENSKI</t>
  </si>
  <si>
    <t>MJL8H14</t>
  </si>
  <si>
    <t>47171838/2026</t>
  </si>
  <si>
    <t>DPWORLD - SANTOS X TIJ - 101/050/SP-160/SP-021/050</t>
  </si>
  <si>
    <t>6 km/h</t>
  </si>
  <si>
    <t>TIJÚ (8.43 Km)</t>
  </si>
  <si>
    <t>162,13 Km</t>
  </si>
  <si>
    <t>TKQ6C17</t>
  </si>
  <si>
    <t>THIAGO CARLOS DA SILVA</t>
  </si>
  <si>
    <t>47171862/2026</t>
  </si>
  <si>
    <t>EMU0995</t>
  </si>
  <si>
    <t>FUN8C93</t>
  </si>
  <si>
    <t>47171878/2026</t>
  </si>
  <si>
    <t>DP WORLD BRASIL - 11095710 X LGCAJ - 101/SP-160/SP-021/050</t>
  </si>
  <si>
    <t>ESTR DA COPASE, CAJAMAR/SP/BRASIL (0 Km)</t>
  </si>
  <si>
    <t>BTP - SANTOS (3.31 Km)</t>
  </si>
  <si>
    <t>143,27 Km</t>
  </si>
  <si>
    <t>MCO9B65</t>
  </si>
  <si>
    <t>PETERSON PEREIRA DOS SANTOS</t>
  </si>
  <si>
    <t>EGJ9G88</t>
  </si>
  <si>
    <t>47171898/2026</t>
  </si>
  <si>
    <t>ESTR DA COPASE, CAJAMAR/SP/BRASIL (0,01 Km)</t>
  </si>
  <si>
    <t>BTP - SANTOS (3.32 Km)</t>
  </si>
  <si>
    <t>80 Km</t>
  </si>
  <si>
    <t>UEJ6C09</t>
  </si>
  <si>
    <t>JOSE WELTON DOS SANTOS FONSECA</t>
  </si>
  <si>
    <t>47171931/2026</t>
  </si>
  <si>
    <t>36 km/h</t>
  </si>
  <si>
    <t>RUA BELGICA, JUNDIAI/SP/BRASIL (0,01 Km)</t>
  </si>
  <si>
    <t>6002602 5996478</t>
  </si>
  <si>
    <t>QPQ0J98</t>
  </si>
  <si>
    <t>47171954/2026</t>
  </si>
  <si>
    <t>AV. ANTÔNIO FREDERICO OZANAN, JUNDIAI/SP/BRASIL (0,15 Km)</t>
  </si>
  <si>
    <t>CONTRAIL LOGÍSTICA S/A - 13214205 (2.38 Km)</t>
  </si>
  <si>
    <t>ELW8306</t>
  </si>
  <si>
    <t>RODRIGO SAMPAIO DA SILVA</t>
  </si>
  <si>
    <t>DJF3A86</t>
  </si>
  <si>
    <t>47172403/2026</t>
  </si>
  <si>
    <t>TIJU X PENSKE CAJAMAR VIA MARGINAL</t>
  </si>
  <si>
    <t>ESTR DA COPASE, CAJAMAR/SP/BRASIL (0,15 Km)</t>
  </si>
  <si>
    <t>CONTRAIL LOGÍSTICA S/A - 13214205 (1.81 Km)</t>
  </si>
  <si>
    <t>31,75 Km</t>
  </si>
  <si>
    <t>RXR4C78</t>
  </si>
  <si>
    <t>ANTONIO VITAL FERREIRA MARTINS</t>
  </si>
  <si>
    <t>47173381/2026</t>
  </si>
  <si>
    <t>14 km/h</t>
  </si>
  <si>
    <t>RUA CANDIDO JOSE DE OLIVEIRA, JUNDIAI/SP/BRASIL (0,08 Km)</t>
  </si>
  <si>
    <t>BXG2J21</t>
  </si>
  <si>
    <t>47173411/2026</t>
  </si>
  <si>
    <t>RODOVIA BR-101, JABOATAO DOS GUARARAPES/PE/BRASIL (7,07 Km)</t>
  </si>
  <si>
    <t>RBC3E53</t>
  </si>
  <si>
    <t>GREGORY DARK MARQUES MUNA</t>
  </si>
  <si>
    <t>6007456 6006927 6003587 6001460 6010793</t>
  </si>
  <si>
    <t>NLP1769</t>
  </si>
  <si>
    <t>47173729/2026</t>
  </si>
  <si>
    <t>ANTONIO JOAO ABDALLA, CAJAMAR/SP/BRASIL (0,13 Km)</t>
  </si>
  <si>
    <t>BASE FATELOG (PARCEIRO PANTOS) SAO BERNARDO DO CAMPO (0.40 Km)</t>
  </si>
  <si>
    <t>RLM0J15</t>
  </si>
  <si>
    <t>NILTON CESAR ALVES</t>
  </si>
  <si>
    <t>PXG1H70</t>
  </si>
  <si>
    <t>47173960/2026</t>
  </si>
  <si>
    <t>CACUB (7.14 Km)</t>
  </si>
  <si>
    <t>TKJ2G80</t>
  </si>
  <si>
    <t>CARLOS EDUARDO PEREZ ANDRAUS</t>
  </si>
  <si>
    <t>47174216/2026</t>
  </si>
  <si>
    <t>2 Km</t>
  </si>
  <si>
    <t>GDP9H62</t>
  </si>
  <si>
    <t>47174394/2026</t>
  </si>
  <si>
    <t>TAGLIT LOCACOES DE VEICULOS EIRELI</t>
  </si>
  <si>
    <t>LGCAJ X LOJAS QUERO-QUERO  - CURITIBA</t>
  </si>
  <si>
    <t>CORBELIA/PR/BRASIL</t>
  </si>
  <si>
    <t>LOJAS CEM SA - 13329903 (42.30 Km)</t>
  </si>
  <si>
    <t>GILBERTO AUGUSTINHO</t>
  </si>
  <si>
    <t>47174757/2026</t>
  </si>
  <si>
    <t>TIJU JUNDIAI-SP X PENSKE CAJAMAR-SP</t>
  </si>
  <si>
    <t>ESTR DA COPASE, CAJAMAR/SP/BRASIL (0,22 Km)</t>
  </si>
  <si>
    <t>27,1 Km</t>
  </si>
  <si>
    <t>KXZ8J23</t>
  </si>
  <si>
    <t>47175178/2026</t>
  </si>
  <si>
    <t>CONTRAIL LOGÍSTICA S/A - 13214205 (1.04 Km)</t>
  </si>
  <si>
    <t>24 Km</t>
  </si>
  <si>
    <t>CUA5B52</t>
  </si>
  <si>
    <t>JOSE FABIANO DA SILVA FABIANO DA SILVA</t>
  </si>
  <si>
    <t>FEJ6D59</t>
  </si>
  <si>
    <t>47175300/2026</t>
  </si>
  <si>
    <t>15 km/h</t>
  </si>
  <si>
    <t>AV JORDANO MENDES, CAJAMAR/SP/BRASIL (0,02 Km)</t>
  </si>
  <si>
    <t>VIPE TRANSPORTE E LOGISTICA (6.62 Km)</t>
  </si>
  <si>
    <t>FOR0H21</t>
  </si>
  <si>
    <t>JOSÉ AUGUSTO RIBEIRO DA SILVA</t>
  </si>
  <si>
    <t>CUB3B72</t>
  </si>
  <si>
    <t>47175419/2026</t>
  </si>
  <si>
    <t>CONTRAIL LOGSTICA S/A - 13214205 X WEBCONTINENTAL - CARIACICA (JARINU) -493</t>
  </si>
  <si>
    <t>RUA JOAO GONCALVEZ, CARIACICA/ES/BRASIL (0,38 Km)</t>
  </si>
  <si>
    <t>CONTRAIL LOGÍSTICA S/A - 13214205 (9.45 Km)</t>
  </si>
  <si>
    <t>WEBCONTINENTAL - CARIACICA</t>
  </si>
  <si>
    <t>7 Km</t>
  </si>
  <si>
    <t>998,87 Km</t>
  </si>
  <si>
    <t>FZZ2I35</t>
  </si>
  <si>
    <t>EDSON FREITAS</t>
  </si>
  <si>
    <t>47175681/2026</t>
  </si>
  <si>
    <t>RUA SAO CARLOS, JUNDIAI/SP/BRASIL (0,01 Km)</t>
  </si>
  <si>
    <t>DJB6139</t>
  </si>
  <si>
    <t>HBG1F06</t>
  </si>
  <si>
    <t>47175709/2026</t>
  </si>
  <si>
    <t>JOAO DE GOES, BARUERI/SP/BRASIL (0,42 Km)</t>
  </si>
  <si>
    <t>SAT LOG  (4.61 Km)</t>
  </si>
  <si>
    <t>26 Km</t>
  </si>
  <si>
    <t>ASP2132</t>
  </si>
  <si>
    <t>ANDRE CRISTIAN ALVES DA SILVA</t>
  </si>
  <si>
    <t>47175801/2026</t>
  </si>
  <si>
    <t>ESTR DA COPASE, CAJAMAR/SP/BRASIL (0,24 Km)</t>
  </si>
  <si>
    <t>AUJ0914</t>
  </si>
  <si>
    <t>ADT0989</t>
  </si>
  <si>
    <t>47175875/2026</t>
  </si>
  <si>
    <t>LGSCT X PENSKE LOGISTICS DO BRASIL LTDA - 07775240</t>
  </si>
  <si>
    <t>ESTR DA COPASE, CAJAMAR/SP/BRASIL (0,2 Km)</t>
  </si>
  <si>
    <t>FABRICA LG - FAZENDA RIO GRANDE (3.12 Km)</t>
  </si>
  <si>
    <t>537,58 Km</t>
  </si>
  <si>
    <t>ASP2129</t>
  </si>
  <si>
    <t>EDINO CASTURINO DA SILVA</t>
  </si>
  <si>
    <t>ELW7H09</t>
  </si>
  <si>
    <t>47176147/2026</t>
  </si>
  <si>
    <t>LGCAJ X MUNICIPIO DE CAMPINAS - 13015904</t>
  </si>
  <si>
    <t>RODOVIA ANHANGUERA, SAO PAULO/SP/BRASIL (0 Km)</t>
  </si>
  <si>
    <t>ADORNO TRANSPORTES - CAIEIRAS (10.77 Km)</t>
  </si>
  <si>
    <t>MUNICIPIO DE CAMPINAS - 13015904</t>
  </si>
  <si>
    <t>53 Km</t>
  </si>
  <si>
    <t>63,78 Km</t>
  </si>
  <si>
    <t>FELIPE DE SOUSA MARTINS</t>
  </si>
  <si>
    <t>47177709/2026</t>
  </si>
  <si>
    <t>ANHANGUERA, CAJAMAR/SP/BRASIL (0,02 Km)</t>
  </si>
  <si>
    <t>DAJ8765</t>
  </si>
  <si>
    <t>47177714/2026</t>
  </si>
  <si>
    <t>30 km/h</t>
  </si>
  <si>
    <t>AV. BENTO DO AMARAL GURGEL, JUNDIAI/SP/BRASIL (0,13 Km)</t>
  </si>
  <si>
    <t>JOSE ARAUJO</t>
  </si>
  <si>
    <t>HNG1C57</t>
  </si>
  <si>
    <t>47177885/2026</t>
  </si>
  <si>
    <t>TKC4C10</t>
  </si>
  <si>
    <t>JEFFERSON MATIAS DE JESUS</t>
  </si>
  <si>
    <t>HJZ0F93</t>
  </si>
  <si>
    <t>47178153/2026</t>
  </si>
  <si>
    <t>LGSCT X RAMIRO CAMPELO COMERCIO DE UTILIDADES LTDA - 45400000 - SC-416/101/376/116/SP-021/050/SP-354/SP-065/381/040/135/251/116/420/101/BA-542</t>
  </si>
  <si>
    <t>PATIO COOPERCARGO (FILIAL FEIRA DE SANTANA) - FSA (13.31 Km)</t>
  </si>
  <si>
    <t>2334,47 Km</t>
  </si>
  <si>
    <t>RYT1E21</t>
  </si>
  <si>
    <t>MARCIO AURELIO BATISTA</t>
  </si>
  <si>
    <t>6010780 6010778 6010174 6003686</t>
  </si>
  <si>
    <t>MIK4E15</t>
  </si>
  <si>
    <t>47178220/2026</t>
  </si>
  <si>
    <t>RV ANHANGUERA, SAO PAULO/SP/BRASIL (0,02 Km)</t>
  </si>
  <si>
    <t>MINAS SUL TRANSPORTE LTDA ITAJAI (1.04 Km)</t>
  </si>
  <si>
    <t>13 Km</t>
  </si>
  <si>
    <t>PEDRO NASCIMENTO NETO</t>
  </si>
  <si>
    <t>MSDU6193669</t>
  </si>
  <si>
    <t>47178250/2026</t>
  </si>
  <si>
    <t>BTP - SANTOS X LG PENSKE - CAJAMAR</t>
  </si>
  <si>
    <t>ESTR DA COPASE, CAJAMAR/SP/BRASIL (0,18 Km)</t>
  </si>
  <si>
    <t>111,66 Km</t>
  </si>
  <si>
    <t>NYN3D01</t>
  </si>
  <si>
    <t>BEAU5258438</t>
  </si>
  <si>
    <t>47178280/2026</t>
  </si>
  <si>
    <t>ESTR DA COPASE, CAJAMAR/SP/BRASIL (0,08 Km)</t>
  </si>
  <si>
    <t>47178348/2026</t>
  </si>
  <si>
    <t>47178424/2026</t>
  </si>
  <si>
    <t>LGCAJ X GB CR PARTICIPACOES S/A - 22051012</t>
  </si>
  <si>
    <t>69 km/h</t>
  </si>
  <si>
    <t>RIO DE JANEIRO/RJ/BRASIL</t>
  </si>
  <si>
    <t>GB CR PARTICIPACOES S/A - 22051012</t>
  </si>
  <si>
    <t>472,79 Km</t>
  </si>
  <si>
    <t>CQU6H58</t>
  </si>
  <si>
    <t>47178491/2026</t>
  </si>
  <si>
    <t>EALE LOG</t>
  </si>
  <si>
    <t>LGSCT X BASE EALE SJ DOS PINHAIS</t>
  </si>
  <si>
    <t>RODOVIA PR 25, SAO JOSE DOS PINHAIS/PR/BRASIL (14,46 Km)</t>
  </si>
  <si>
    <t>BASE EALE - SÃO JOSÉ DOS PINHAIS (0.00 Km)</t>
  </si>
  <si>
    <t>BASE EALE - SÃO JOSÉ DOS PINHAIS</t>
  </si>
  <si>
    <t>110,99 Km</t>
  </si>
  <si>
    <t>JOEL ALVES DE ALENCAR</t>
  </si>
  <si>
    <t>RLK3D71</t>
  </si>
  <si>
    <t>47178613/2026</t>
  </si>
  <si>
    <t>LGSCT X LG ELECTRONICS DO BRASIL LTDA - SC-416/376/116/SP-021/SP-070</t>
  </si>
  <si>
    <t>TAUBATE/SP/BRASIL</t>
  </si>
  <si>
    <t>SOLUCIONA (PARCEIRO PANTOS) ARUJÁ (15.72 Km)</t>
  </si>
  <si>
    <t>LG ELECTRONICS DO BRASIL LTDA - 12091000</t>
  </si>
  <si>
    <t>683,75 Km</t>
  </si>
  <si>
    <t>EDUARDO ANTONIO POGAN FERREIRA</t>
  </si>
  <si>
    <t>MDQ1H53</t>
  </si>
  <si>
    <t>47178796/2026</t>
  </si>
  <si>
    <t>DPWORLD - SANTOS X PENSKE LOGISTICS DO BRASIL LTDA - 07775240 - 101/050/SP-021/050</t>
  </si>
  <si>
    <t>ESTR DA COPASE, CAJAMAR/SP/BRASIL (0,14 Km)</t>
  </si>
  <si>
    <t>GARAGEM 5 ESTRADAS/RANTHUM (1.26 Km)</t>
  </si>
  <si>
    <t>141,22 Km</t>
  </si>
  <si>
    <t>FEJ6A08</t>
  </si>
  <si>
    <t>VALDENI MARCHETTI</t>
  </si>
  <si>
    <t>NQX3024</t>
  </si>
  <si>
    <t>47178910/2026</t>
  </si>
  <si>
    <t>37 km/h</t>
  </si>
  <si>
    <t>AV DESEMBARGADOR ALFREDO CABRAL, CARIACICA/ES/BRASIL (12,42 Km)</t>
  </si>
  <si>
    <t>LG ELECTRONICS DO BRASIL LTDA - 12091000 (24.73 Km)</t>
  </si>
  <si>
    <t>BOX2H62</t>
  </si>
  <si>
    <t>PEDRO HENRIQUE MASSA APARECIDO</t>
  </si>
  <si>
    <t>47178934/2026</t>
  </si>
  <si>
    <t>70 km/h</t>
  </si>
  <si>
    <t>ANHANGUERA, CAJAMAR/SP/BRASIL (0,66 Km)</t>
  </si>
  <si>
    <t>EPU9192</t>
  </si>
  <si>
    <t>47179025/2026</t>
  </si>
  <si>
    <t>ESTR DA COPASE, CAJAMAR/SP/BRASIL (0,11 Km)</t>
  </si>
  <si>
    <t>47179402/2026</t>
  </si>
  <si>
    <t>AV. UNIÃO DOS FERROVIÁRIOS, JUNDIAI/SP/BRASIL (0,07 Km)</t>
  </si>
  <si>
    <t>QJX8J15</t>
  </si>
  <si>
    <t>47179443/2026</t>
  </si>
  <si>
    <t>RUA JOSE MARIA MARINHO, JUNDIAI/SP/BRASIL (0,17 Km)</t>
  </si>
  <si>
    <t>LOJAS CEM SA - 13329903 (43.59 Km)</t>
  </si>
  <si>
    <t>GJM7E76</t>
  </si>
  <si>
    <t>EDUARDO POLIZEL</t>
  </si>
  <si>
    <t>6009866 6010704</t>
  </si>
  <si>
    <t>GCX4A63</t>
  </si>
  <si>
    <t>47179946/2026</t>
  </si>
  <si>
    <t>LGCAJ X BASE EALE - OSASCO</t>
  </si>
  <si>
    <t>ARIAM, OSASCO/SP/BRASIL (0,2 Km)</t>
  </si>
  <si>
    <t>BASE EALE - OSASCO (0.00 Km)</t>
  </si>
  <si>
    <t>BASE EALE - OSASCO</t>
  </si>
  <si>
    <t>20,32 Km</t>
  </si>
  <si>
    <t>JOAO EDUARDO VITAL FERREIRA</t>
  </si>
  <si>
    <t>47180055/2026</t>
  </si>
  <si>
    <t>CONTRAIL LOGSTICA S/A - 13214205 XWEBCONTINENTAL - CARIACICA VIA 393</t>
  </si>
  <si>
    <t>AV DESEMBARGADOR ALFREDO CABRAL, CARIACICA/ES/BRASIL (29,78 Km)</t>
  </si>
  <si>
    <t>912,85 Km</t>
  </si>
  <si>
    <t>NLK1I90</t>
  </si>
  <si>
    <t>47180306/2026</t>
  </si>
  <si>
    <t>LGSCT X HAVAN BARRA VELHA</t>
  </si>
  <si>
    <t>-1 km/h</t>
  </si>
  <si>
    <t>GRUPO CASAS BAHIA S.A(CD1624) - 88316001 (4.17 Km)</t>
  </si>
  <si>
    <t>113,7 Km</t>
  </si>
  <si>
    <t>KKT4C16</t>
  </si>
  <si>
    <t>MARCOS VINICIUS TEIXEIRA</t>
  </si>
  <si>
    <t>47180642/2026</t>
  </si>
  <si>
    <t>TIJU X LG CAJAMAR</t>
  </si>
  <si>
    <t>AV JORDANO MENDES, CAJAMAR/SP/BRASIL (0,17 Km)</t>
  </si>
  <si>
    <t>26,26 Km</t>
  </si>
  <si>
    <t>FUZ1F60</t>
  </si>
  <si>
    <t>47180699/2026</t>
  </si>
  <si>
    <t>SANTOS BRASIL - TECON GUARUJA X LGCAJ</t>
  </si>
  <si>
    <t>ESTR DA COPASE, CAJAMAR/SP/BRASIL (0,16 Km)</t>
  </si>
  <si>
    <t>GRUPO CASAS BAHIA S.A(CD1500) - 09790400 (4.67 Km)</t>
  </si>
  <si>
    <t>84 Km</t>
  </si>
  <si>
    <t>135,55 Km</t>
  </si>
  <si>
    <t>BTT4I02</t>
  </si>
  <si>
    <t>MARCOS PEREIRA MATOS</t>
  </si>
  <si>
    <t>6010879/6010878</t>
  </si>
  <si>
    <t>47180998/2026</t>
  </si>
  <si>
    <t>LGSCT X MARTINS COMERCIO E SERVICOS DE DISTRIBUICAO S/A - 38402324 VIA / 050</t>
  </si>
  <si>
    <t>AV ANTÔNIO THOMAS FERREIRA REZENDE, UBERLANDIA/MG/BRASIL (0,1 Km)</t>
  </si>
  <si>
    <t>1222,75 Km</t>
  </si>
  <si>
    <t>TPW6F43</t>
  </si>
  <si>
    <t>EFV9A07</t>
  </si>
  <si>
    <t>47181179/2026</t>
  </si>
  <si>
    <t>LGCAJ X PACIFICO OPERACOES HOSPITALARES SA - 07111000</t>
  </si>
  <si>
    <t>PAULO FACCINI, GUARULHOS/SP/BRASIL (0,01 Km)</t>
  </si>
  <si>
    <t>CD RODOBRAS BARUERI (3.00 Km)</t>
  </si>
  <si>
    <t>PACIFICO OPERACOES HOSPITALARES S.A. - 07111000</t>
  </si>
  <si>
    <t>52,84 Km</t>
  </si>
  <si>
    <t>EDUARDO SOARES SANTOS</t>
  </si>
  <si>
    <t>QJX6F05</t>
  </si>
  <si>
    <t>47181408/2026</t>
  </si>
  <si>
    <t>AV. UNIÃO DOS FERROVIÁRIOS, JUNDIAI/SP/BRASIL (0,04 Km)</t>
  </si>
  <si>
    <t>SEJ6B73</t>
  </si>
  <si>
    <t>ISAIAS RAYMUNDO</t>
  </si>
  <si>
    <t>BQA8E70</t>
  </si>
  <si>
    <t>47181531/2026</t>
  </si>
  <si>
    <t>CONTRAIL LOGÍSTICA S/A - 13214205 (4.35 Km)</t>
  </si>
  <si>
    <t>IEZ8724</t>
  </si>
  <si>
    <t>CLEVERSON APARECIDO FORTUNATO</t>
  </si>
  <si>
    <t>6010922 / 6010923</t>
  </si>
  <si>
    <t>IST1142</t>
  </si>
  <si>
    <t>47181648/2026</t>
  </si>
  <si>
    <t>LGCAJ X SOROCABA REFRESCOS SA - 18052775 X FORMULA INC EMPREENDIMENTOS IMOBILIARIO - 05545190</t>
  </si>
  <si>
    <t>RUA ENG ROBERTO FRADE MONTE, SAO PAULO/SP/BRASIL (0,01 Km)</t>
  </si>
  <si>
    <t>FORMULA INC EMPREENDIMENTOS IMOBILIARIO - 05545190</t>
  </si>
  <si>
    <t>193,01 Km</t>
  </si>
  <si>
    <t>RODRIGO DE SOUSA FREDDI</t>
  </si>
  <si>
    <t>47181756/2026</t>
  </si>
  <si>
    <t>FZI9C75</t>
  </si>
  <si>
    <t>NTX2A30</t>
  </si>
  <si>
    <t>47181838/2026</t>
  </si>
  <si>
    <t>LGSCT X MARTINS COMERCIO E SERVICOS - 376/PR-151/153</t>
  </si>
  <si>
    <t>HIDROLANDIA/GO/BRASIL</t>
  </si>
  <si>
    <t>PMW - TOP CARGAS E LOGISTICA AG (136.12 Km)</t>
  </si>
  <si>
    <t>MARTINS COMERCIO E SERVICOS - 75340000</t>
  </si>
  <si>
    <t>1340,24 Km</t>
  </si>
  <si>
    <t>GILVAN RODRIGUES DE SOUSA</t>
  </si>
  <si>
    <t>GZV7E91</t>
  </si>
  <si>
    <t>47182019/2026</t>
  </si>
  <si>
    <t>DP WORLD BRASIL - 11095710 X LGCAJ - DIADEMA</t>
  </si>
  <si>
    <t>MDK8C67</t>
  </si>
  <si>
    <t>FERNANDO ALMEIDA COUTINHO</t>
  </si>
  <si>
    <t>OYY7F58</t>
  </si>
  <si>
    <t>47182058/2026</t>
  </si>
  <si>
    <t>11 km/h</t>
  </si>
  <si>
    <t>PORTO SANTOS GUARUJÁ - 11460001 (22.71 Km)</t>
  </si>
  <si>
    <t>SWZ6B48</t>
  </si>
  <si>
    <t>ROBERSON CIPRIANO</t>
  </si>
  <si>
    <t>47182102/2026</t>
  </si>
  <si>
    <t>19 km/h</t>
  </si>
  <si>
    <t>R. NITERÓI, JUNDIAI/SP/BRASIL (0,18 Km)</t>
  </si>
  <si>
    <t>47182164/2026</t>
  </si>
  <si>
    <t>47182216/2026</t>
  </si>
  <si>
    <t>TIJU X LG PENSKE</t>
  </si>
  <si>
    <t>26,02 Km</t>
  </si>
  <si>
    <t>EMU5D44</t>
  </si>
  <si>
    <t>47182232/2026</t>
  </si>
  <si>
    <t>SANTOS BRASIL - TECON GUARUJA X LG PENSKE - CAJAMAR - MARIO COVAS</t>
  </si>
  <si>
    <t>BTP - SANTOS (6.30 Km)</t>
  </si>
  <si>
    <t>146,55 Km</t>
  </si>
  <si>
    <t>DJC0079</t>
  </si>
  <si>
    <t>SAMUEL ALVES DE GOIS</t>
  </si>
  <si>
    <t>47182236/2026</t>
  </si>
  <si>
    <t>SANTOS BRASIL - TECON GUARUJA X TIJ - SP-248/101/050/SP-021/050</t>
  </si>
  <si>
    <t>PRAÇA YARA SANTINI, GUARUJA/SP/BRASIL (0,32 Km)</t>
  </si>
  <si>
    <t>167 Km</t>
  </si>
  <si>
    <t>167,47 Km</t>
  </si>
  <si>
    <t>TLM0B72</t>
  </si>
  <si>
    <t>47182255/2026</t>
  </si>
  <si>
    <t>SANTOS BRASIL - TECON GUARUJA X LG PENSKE - CAJAMAR - 101/SP-160/SP-021/050</t>
  </si>
  <si>
    <t>BTP - SANTOS (6.35 Km)</t>
  </si>
  <si>
    <t>149,69 Km</t>
  </si>
  <si>
    <t>TLM0A27</t>
  </si>
  <si>
    <t>PEDRO CHAVES DE OLIVEIRA</t>
  </si>
  <si>
    <t>47182278/2026</t>
  </si>
  <si>
    <t>149,92 Km</t>
  </si>
  <si>
    <t>47182430/2026</t>
  </si>
  <si>
    <t>47182445/2026</t>
  </si>
  <si>
    <t>TLM0B71</t>
  </si>
  <si>
    <t>47182539/2026</t>
  </si>
  <si>
    <t>BTP - SANTOS (6.34 Km)</t>
  </si>
  <si>
    <t>TLM0B81</t>
  </si>
  <si>
    <t>VAGNER DE OLIVEIRA ANDRADE</t>
  </si>
  <si>
    <t>GAF9I89</t>
  </si>
  <si>
    <t>47182558/2026</t>
  </si>
  <si>
    <t>BTP - SANTOS (6.29 Km)</t>
  </si>
  <si>
    <t>EPU9079</t>
  </si>
  <si>
    <t>CARLOS EDUARDO FERNANDES</t>
  </si>
  <si>
    <t>CUA7H00</t>
  </si>
  <si>
    <t>47182571/2026</t>
  </si>
  <si>
    <t>Último sincronismo do Veículo</t>
  </si>
  <si>
    <t>CUA7800</t>
  </si>
  <si>
    <t>REINALDO SOLARES DE SOUZA</t>
  </si>
  <si>
    <t>47182595/2026</t>
  </si>
  <si>
    <t>ESTR DA COPASE, CAJAMAR/SP/BRASIL (0,06 Km)</t>
  </si>
  <si>
    <t>FEI4J08</t>
  </si>
  <si>
    <t>47182603/2026</t>
  </si>
  <si>
    <t>PHENIX - SANTOS (0.28 Km)</t>
  </si>
  <si>
    <t>UEV3G69</t>
  </si>
  <si>
    <t>ROGERIO ANTONIO DE OLIVEIRA</t>
  </si>
  <si>
    <t>FZU5G45</t>
  </si>
  <si>
    <t>47182614/2026</t>
  </si>
  <si>
    <t>CD RODOBRAS BARUERI (12.76 Km)</t>
  </si>
  <si>
    <t>95 Km</t>
  </si>
  <si>
    <t>CUE3C79</t>
  </si>
  <si>
    <t>MICHEL ANDERSON BARRIL</t>
  </si>
  <si>
    <t>FQW3D31</t>
  </si>
  <si>
    <t>47182626/2026</t>
  </si>
  <si>
    <t>TJJ4D70</t>
  </si>
  <si>
    <t>ANTONIO MARCOS RODRIGUES DOS SANTOS</t>
  </si>
  <si>
    <t>BUD7431</t>
  </si>
  <si>
    <t>47182638/2026</t>
  </si>
  <si>
    <t>JADIMO - FILIAL BARUERI (0.11 Km)</t>
  </si>
  <si>
    <t>144 Km</t>
  </si>
  <si>
    <t>DTE2971</t>
  </si>
  <si>
    <t>FABRICIO PEREIRA GOULART</t>
  </si>
  <si>
    <t>47182642/2026</t>
  </si>
  <si>
    <t>4 Km</t>
  </si>
  <si>
    <t>47182657/2026</t>
  </si>
  <si>
    <t>JOZ9249</t>
  </si>
  <si>
    <t>47182703/2026</t>
  </si>
  <si>
    <t>PORTO SUAPE IPOJUCA - HI LOGISTICS - JABOATAO DOS GUARARAPES</t>
  </si>
  <si>
    <t>RUA TREZE DE MAIO, JABOATAO DOS GUARARAPES/PE/BRASIL (0,87 Km)</t>
  </si>
  <si>
    <t>GRUPO CASAS BAHIA S.A(CD1887) - 54510000 (4.13 Km)</t>
  </si>
  <si>
    <t>PORTO SUAPE - IPOJUCA</t>
  </si>
  <si>
    <t>HI LOGISTICS BRASIL - 54355057</t>
  </si>
  <si>
    <t>LX PANTOS SOLUCOES LOGISTICAS DO BRASIL LTDA - 54355057</t>
  </si>
  <si>
    <t>36,46 Km</t>
  </si>
  <si>
    <t>CQH5A56</t>
  </si>
  <si>
    <t>GLEISON JOSE SILVA DE LIMA</t>
  </si>
  <si>
    <t>47183048/2026</t>
  </si>
  <si>
    <t>ESTR DA COPASE, CAJAMAR/SP/BRASIL (0,1 Km)</t>
  </si>
  <si>
    <t>KPK4C12</t>
  </si>
  <si>
    <t>47183321/2026</t>
  </si>
  <si>
    <t>EBAZAR.COM.BR. LTDA - 07750020 (3.93 Km)</t>
  </si>
  <si>
    <t>ELU9G06</t>
  </si>
  <si>
    <t>MARCOS ROBERTO BARBOSA</t>
  </si>
  <si>
    <t>FQH7J50</t>
  </si>
  <si>
    <t>47183453/2026</t>
  </si>
  <si>
    <t>BASE EALE - CAMPINAS (11.13 Km)</t>
  </si>
  <si>
    <t>JBC7G16</t>
  </si>
  <si>
    <t>BRUNO SANTOS TRIGO</t>
  </si>
  <si>
    <t>47184195/2026</t>
  </si>
  <si>
    <t>AV. ANTÔNIO FREDERICO OZANAN, JUNDIAI/SP/BRASIL (0,1 Km)</t>
  </si>
  <si>
    <t>KJJ9D87</t>
  </si>
  <si>
    <t>47184784/2026</t>
  </si>
  <si>
    <t>RUA TREZE DE MAIO, JABOATAO DOS GUARARAPES/PE/BRASIL (0,86 Km)</t>
  </si>
  <si>
    <t>WINDROSE (0.00 Km)</t>
  </si>
  <si>
    <t>BYF4F37</t>
  </si>
  <si>
    <t>DIOGENES ALVES FILHO</t>
  </si>
  <si>
    <t>BWA7160</t>
  </si>
  <si>
    <t>47184797/2026</t>
  </si>
  <si>
    <t>60 km/h</t>
  </si>
  <si>
    <t>RUA SILVANA, JABOATAO DOS GUARARAPES/PE/BRASIL (3,05 Km)</t>
  </si>
  <si>
    <t>SULOG PÁTIO DE TRIAGEM (0.00 Km)</t>
  </si>
  <si>
    <t>9 Km</t>
  </si>
  <si>
    <t>KHC2728</t>
  </si>
  <si>
    <t>JOSE AURELINO DE SOUZA ZACARIAS</t>
  </si>
  <si>
    <t>BEF1H37</t>
  </si>
  <si>
    <t>47184989/2026</t>
  </si>
  <si>
    <t>LGSCT X EUGENIO RAULINO KOERICH S/A COM IND - 88160580</t>
  </si>
  <si>
    <t>52 km/h</t>
  </si>
  <si>
    <t>RODOVIA BR-101, JOINVILLE/SC/BRASIL (0,01 Km)</t>
  </si>
  <si>
    <t>POSTO ESTAÇÃO BONESSI (2.33 Km)</t>
  </si>
  <si>
    <t>EUGENIO RAULINO KOERICH S/A COM IND - 88160580</t>
  </si>
  <si>
    <t>157 Km</t>
  </si>
  <si>
    <t>227,33 Km</t>
  </si>
  <si>
    <t>NCR9G23</t>
  </si>
  <si>
    <t>DALVISSON GADELHA DA COSTA SOBRINHO</t>
  </si>
  <si>
    <t>47186387/2026</t>
  </si>
  <si>
    <t>47186419/2026</t>
  </si>
  <si>
    <t>21 km/h</t>
  </si>
  <si>
    <t>IPOJUCA/PE/BRASIL</t>
  </si>
  <si>
    <t>47186976/2026</t>
  </si>
  <si>
    <t>47186997/2026</t>
  </si>
  <si>
    <t>DP WORLD BRASIL - 11095710 X CONTRAIL LOGSTICA S/A - 13214205 - SAO BERNARDO</t>
  </si>
  <si>
    <t>136,18 Km</t>
  </si>
  <si>
    <t>SJQ2H20</t>
  </si>
  <si>
    <t>47187204/2026</t>
  </si>
  <si>
    <t>LGCAJ X FAST SHOP SERRA ( PADRAO)</t>
  </si>
  <si>
    <t>AV DESEMBARGADOR ALFREDO CABRAL, SERRA/ES/BRASIL (29,85 Km)</t>
  </si>
  <si>
    <t>COMERCIAL GARCAO DERIVADOS PETRÓLEO (17.43 Km)</t>
  </si>
  <si>
    <t>FAST SHOP S.A - 29170740</t>
  </si>
  <si>
    <t>49 Km</t>
  </si>
  <si>
    <t>939,63 Km</t>
  </si>
  <si>
    <t>SGM1I52</t>
  </si>
  <si>
    <t>ADRIANO MARQUES PEREIRA</t>
  </si>
  <si>
    <t>FYA5A34</t>
  </si>
  <si>
    <t>47187428/2026</t>
  </si>
  <si>
    <t>R. WALDEMIRO JOSÉ BORGES, ARAQUARI/SC/BRASIL (17,62 Km)</t>
  </si>
  <si>
    <t>KM CARGO - (BVA) (3.12 Km)</t>
  </si>
  <si>
    <t>EDERSON ELOI FREITAG</t>
  </si>
  <si>
    <t>DPE4994</t>
  </si>
  <si>
    <t>47188581/2026</t>
  </si>
  <si>
    <t>ESTR DA COPASE, CAJAMAR/SP/BRASIL (0,05 Km)</t>
  </si>
  <si>
    <t>CONTRAIL LOGÍSTICA S/A - 13214205 (4.40 Km)</t>
  </si>
  <si>
    <t>22 Km</t>
  </si>
  <si>
    <t>FEI4J06</t>
  </si>
  <si>
    <t>MARIO LUIZ SILVA BASDON</t>
  </si>
  <si>
    <t>47189651/2026</t>
  </si>
  <si>
    <t>SANTOS X LGCAJ VIA IMIGRANTES</t>
  </si>
  <si>
    <t>9 km/h</t>
  </si>
  <si>
    <t>ROD. ANHANGÜERA, CAJAMAR/SP/BRASIL (0,54 Km)</t>
  </si>
  <si>
    <t>6 Km</t>
  </si>
  <si>
    <t>210 Km</t>
  </si>
  <si>
    <t>47189892/2026</t>
  </si>
  <si>
    <t>6003491 6009919</t>
  </si>
  <si>
    <t>PPB3B60</t>
  </si>
  <si>
    <t>47190847/2026</t>
  </si>
  <si>
    <t>LGCAJ X FAST SHOP X SND</t>
  </si>
  <si>
    <t>EST ANTIGA PARA JACUIPE, SERRA/ES/BRASIL (0,06 Km)</t>
  </si>
  <si>
    <t>SND DISTRIBUIÇÃO DE PRODUTOS DE INFORMÁTICA S/A - 29167650</t>
  </si>
  <si>
    <t>UNILOGÍSTICA BASE TRANSBOCAYUVA</t>
  </si>
  <si>
    <t>932,54 Km</t>
  </si>
  <si>
    <t>FREDISON DOS SANTOS OLIVEIRA</t>
  </si>
  <si>
    <t>47190996/2026</t>
  </si>
  <si>
    <t>ANHANGUERA, CAJAMAR/SP/BRASIL (0,15 Km)</t>
  </si>
  <si>
    <t>LWR7932</t>
  </si>
  <si>
    <t>47191031/2026</t>
  </si>
  <si>
    <t>ACESSO PARA RODOVIA BR-116, CURITIBA/PR/BRASIL (0,14 Km)</t>
  </si>
  <si>
    <t>BASE APOIO TRANSKING - 81910072 (3.60 Km)</t>
  </si>
  <si>
    <t>GERSON GERALDO</t>
  </si>
  <si>
    <t>6009864 6003138</t>
  </si>
  <si>
    <t>QRG8B81</t>
  </si>
  <si>
    <t>47192680/2026</t>
  </si>
  <si>
    <t>LGCAJ X DIS COMERCIO DE ELETRODOMESTICOS SA - 29162208 / VOLTA REDONDA - 393</t>
  </si>
  <si>
    <t>EST ANTIGA PARA JACUIPE, SERRA/ES/BRASIL (0,03 Km)</t>
  </si>
  <si>
    <t>DIS COMERCIO DE ELETRODOMESTICOS S.A - 29162208</t>
  </si>
  <si>
    <t>925,45 Km</t>
  </si>
  <si>
    <t>WANDERSON LESSA DO ROSARIO</t>
  </si>
  <si>
    <t>RYB4J26</t>
  </si>
  <si>
    <t>47192926/2026</t>
  </si>
  <si>
    <t>44 km/h</t>
  </si>
  <si>
    <t>GDL TRANSPORTES E ARMAZENS GERAIS S/A (0.76 Km)</t>
  </si>
  <si>
    <t>RDS0I71</t>
  </si>
  <si>
    <t>CLAUDENIR</t>
  </si>
  <si>
    <t>SGI2I26</t>
  </si>
  <si>
    <t>47192949/2026</t>
  </si>
  <si>
    <t>LGSCT X JARINU X FEIRA X 101 CABO</t>
  </si>
  <si>
    <t>RODOVIA BR-101, CABO DE SANTO AGOSTINHO/PE/BRASIL (10,3 Km)</t>
  </si>
  <si>
    <t>BASE (PARCEIRO PANTOS)  (2.12 Km)</t>
  </si>
  <si>
    <t>3151,72 Km</t>
  </si>
  <si>
    <t>MQH6C31</t>
  </si>
  <si>
    <t>BRUNO NEVES DO NASCIMENTO</t>
  </si>
  <si>
    <t>47192972/2026</t>
  </si>
  <si>
    <t>FSI6I47</t>
  </si>
  <si>
    <t>47193069/2026</t>
  </si>
  <si>
    <t>LG ITAPOA X CASAS BAHIA DUQUE ( VIA AUTOMOVEL)116</t>
  </si>
  <si>
    <t>AV AUTOMOVEL CLUBE, DUQUE DE CAXIAS/RJ/BRASIL (0,16 Km)</t>
  </si>
  <si>
    <t>KM CARGO - (BVA) (12.21 Km)</t>
  </si>
  <si>
    <t>950,85 Km</t>
  </si>
  <si>
    <t>GHP3E62</t>
  </si>
  <si>
    <t>FABIO DENIS PIRES</t>
  </si>
  <si>
    <t>KGU4585</t>
  </si>
  <si>
    <t>47193082/2026</t>
  </si>
  <si>
    <t>RODOVIA BR-101, JABOATAO DOS GUARARAPES/PE/BRASIL (14,36 Km)</t>
  </si>
  <si>
    <t>SULOG PÁTIO DE TRIAGEM (0.72 Km)</t>
  </si>
  <si>
    <t>HZN0H30</t>
  </si>
  <si>
    <t>EDILSON SANTOS DA SILVA</t>
  </si>
  <si>
    <t>47193131/2026</t>
  </si>
  <si>
    <t>77 km/h</t>
  </si>
  <si>
    <t>6001680/5996472</t>
  </si>
  <si>
    <t>47193134/2026</t>
  </si>
  <si>
    <t>ESTR DA COPASE, CAJAMAR/SP/BRASIL (0,02 Km)</t>
  </si>
  <si>
    <t>BHJ9H00</t>
  </si>
  <si>
    <t>47193217/2026</t>
  </si>
  <si>
    <t>ROD. DOS BANDEIRANTES, CAJAMAR/SP/BRASIL (0,15 Km)</t>
  </si>
  <si>
    <t>BASE FATELOG (PARCEIRO PANTOS) SAO BERNARDO DO CAMPO (3.67 Km)</t>
  </si>
  <si>
    <t>EPU9C60</t>
  </si>
  <si>
    <t>ROSIVALDO ARAUJO OLIVEIRA</t>
  </si>
  <si>
    <t>6004972 6001500</t>
  </si>
  <si>
    <t>47193460/2026</t>
  </si>
  <si>
    <t>SANTOS BRASIL X CONTRAIL - RODOANEL</t>
  </si>
  <si>
    <t>6004979 6004007</t>
  </si>
  <si>
    <t>47193476/2026</t>
  </si>
  <si>
    <t>GBM5J11</t>
  </si>
  <si>
    <t>KIL4D61</t>
  </si>
  <si>
    <t>47193651/2026</t>
  </si>
  <si>
    <t>PORTO SUAPE (IPOJUCA) - LG RECIFE (HI LOGISTICS)</t>
  </si>
  <si>
    <t>LGREC (0.00 Km)</t>
  </si>
  <si>
    <t>37,67 Km</t>
  </si>
  <si>
    <t>KIA2741</t>
  </si>
  <si>
    <t>SOSTENES DE OLIVEIRA ALCANTARA</t>
  </si>
  <si>
    <t>47193814/2026</t>
  </si>
  <si>
    <t>QJC3I61</t>
  </si>
  <si>
    <t>47194239/2026</t>
  </si>
  <si>
    <t>33 km/h</t>
  </si>
  <si>
    <t>RUA ANGELO NACHETINI, UBERLANDIA/MG/BRASIL (0,02 Km)</t>
  </si>
  <si>
    <t>MARTINS COMERCIO E SERVICOS DE DISTRIBUICAO S/A - 38402324 (2.58 Km)</t>
  </si>
  <si>
    <t>RXL0I26</t>
  </si>
  <si>
    <t>CRISTIAN DIEGO COMPIANI</t>
  </si>
  <si>
    <t>47194310/2026</t>
  </si>
  <si>
    <t>10 Km</t>
  </si>
  <si>
    <t>47195825/2026</t>
  </si>
  <si>
    <t>ANHANGUERA, CAJAMAR/SP/BRASIL (0,98 Km)</t>
  </si>
  <si>
    <t>47196051/2026</t>
  </si>
  <si>
    <t>ONEU5201468</t>
  </si>
  <si>
    <t>47196266/2026</t>
  </si>
  <si>
    <t>ESTR DA COPASE, CAJAMAR/SP/BRASIL (0,23 Km)</t>
  </si>
  <si>
    <t>NYKU8542985</t>
  </si>
  <si>
    <t>47196340/2026</t>
  </si>
  <si>
    <t>SANTOS BRASIL - TECON GUARUJA X LG PENSKE - CAJAMAR - SP-248/101/050/SP-021/050</t>
  </si>
  <si>
    <t>146,01 Km</t>
  </si>
  <si>
    <t>6011617 6011618</t>
  </si>
  <si>
    <t>ETU8G47</t>
  </si>
  <si>
    <t>47196774/2026</t>
  </si>
  <si>
    <t>LTA SOLUCOES</t>
  </si>
  <si>
    <t>LGCAJ X LG ELECTRONICS DO BRASIL LTDA - 12091000 - 050/116</t>
  </si>
  <si>
    <t>GRUPO LTA  (0.00 Km)</t>
  </si>
  <si>
    <t>159,58 Km</t>
  </si>
  <si>
    <t>NSQ0G20</t>
  </si>
  <si>
    <t>MARCOS ROGERIO PEREIRA</t>
  </si>
  <si>
    <t>AZR9H15</t>
  </si>
  <si>
    <t>47196839/2026</t>
  </si>
  <si>
    <t>LGSCT X GRUPO CASAS BAHIA SA(CD1400) - 42816270 - SC-416/101/376/116/SP-021/116/381/040/135/251/116/324/BA-535</t>
  </si>
  <si>
    <t>RUA PATAMARES, CAMACARI/BA/BRASIL (2,32 Km)</t>
  </si>
  <si>
    <t>POSTO DOM PEDRO PARAOPEBA (17.43 Km)</t>
  </si>
  <si>
    <t>2486,49 Km</t>
  </si>
  <si>
    <t>ITC1G83</t>
  </si>
  <si>
    <t>OSMAR CORREIA</t>
  </si>
  <si>
    <t>47198259/2026</t>
  </si>
  <si>
    <t>RODOVIA BR-101, JABOATAO DOS GUARARAPES/PE/BRASIL (14,43 Km)</t>
  </si>
  <si>
    <t>47198703/2026</t>
  </si>
  <si>
    <t>ACESSO PARA RODOVIA SP-330, CAJAMAR/SP/BRASIL (0,01 Km)</t>
  </si>
  <si>
    <t>47198735/2026</t>
  </si>
  <si>
    <t>47198777/2026</t>
  </si>
  <si>
    <t>4 km/h</t>
  </si>
  <si>
    <t>RODOVIA BR-101, JABOATAO DOS GUARARAPES/PE/BRASIL (14,72 Km)</t>
  </si>
  <si>
    <t>CLK0A45</t>
  </si>
  <si>
    <t>47199525/2026</t>
  </si>
  <si>
    <t>LGSCT X JOI X LOJAS UNILAR LTDA - 88140000</t>
  </si>
  <si>
    <t>LOJAS UNILAR LTDA - 88140000</t>
  </si>
  <si>
    <t>233 Km</t>
  </si>
  <si>
    <t>258,18 Km</t>
  </si>
  <si>
    <t>MBR3994</t>
  </si>
  <si>
    <t>JAIR MARIO BOSO</t>
  </si>
  <si>
    <t>LRL8D19</t>
  </si>
  <si>
    <t>47199590/2026</t>
  </si>
  <si>
    <t>LGCAJ X GRU X CWB X HAVAN LOJAS DE DEPARTAMENTOS LTDA - 88390000</t>
  </si>
  <si>
    <t>A. ANGELONI E CIA. LTDA. - 88210000 (2.05 Km)</t>
  </si>
  <si>
    <t>627,27 Km</t>
  </si>
  <si>
    <t>EFW4A01</t>
  </si>
  <si>
    <t>EDER APARECIDO MORETTO</t>
  </si>
  <si>
    <t>6007819 6007820</t>
  </si>
  <si>
    <t>AWH1A56</t>
  </si>
  <si>
    <t>47199951/2026</t>
  </si>
  <si>
    <t>CONTRAIL LOGSTICA S/A - 13214205 X WEBCONTINENTAL - CARIACICA - 116</t>
  </si>
  <si>
    <t>AV DESEMBARGADOR ALFREDO CABRAL, CARIACICA/ES/BRASIL (29,01 Km)</t>
  </si>
  <si>
    <t>CONTRAIL LOGÍSTICA S/A - 13214205 (5.26 Km)</t>
  </si>
  <si>
    <t>972,49 Km</t>
  </si>
  <si>
    <t>FTH9F34</t>
  </si>
  <si>
    <t>CELIO ROBERTO RODRIGUES</t>
  </si>
  <si>
    <t>MJV8H77</t>
  </si>
  <si>
    <t>47200033/2026</t>
  </si>
  <si>
    <t>ITAPOA X GRU X SBC - RODOANEL</t>
  </si>
  <si>
    <t>HUMBERTO GIANNELLA, BARUERI/SP/BRASIL (0,19 Km)</t>
  </si>
  <si>
    <t>BEQ1B53</t>
  </si>
  <si>
    <t>JOEL MEDEIROS</t>
  </si>
  <si>
    <t>47201004/2026</t>
  </si>
  <si>
    <t>TPV</t>
  </si>
  <si>
    <t>LPF5D41</t>
  </si>
  <si>
    <t>47201352/2026</t>
  </si>
  <si>
    <t>ESTR DA COPASE, CAJAMAR/SP/BRASIL (0,21 Km)</t>
  </si>
  <si>
    <t>BASE EALE - CAMPINAS (5.10 Km)</t>
  </si>
  <si>
    <t>CZZ3E84</t>
  </si>
  <si>
    <t>FLAVIO RODRIGUES SANTOS</t>
  </si>
  <si>
    <t>5996095 6000805</t>
  </si>
  <si>
    <t>47201467/2026</t>
  </si>
  <si>
    <t>47201494/2026</t>
  </si>
  <si>
    <t>DP WORLD BRASIL - 11095710 X CONTRAIL LOGSTICA S/A - 13214205 - 101/050/116/SP-348</t>
  </si>
  <si>
    <t>BANDEIRANTES, FRANCO DA ROCHA/SP/BRASIL (0,04 Km)</t>
  </si>
  <si>
    <t>14 Km</t>
  </si>
  <si>
    <t>47201522/2026</t>
  </si>
  <si>
    <t>FQE3H53</t>
  </si>
  <si>
    <t>47201554/2026</t>
  </si>
  <si>
    <t>ANHANGUERA, CAJAMAR/SP/BRASIL (0,07 Km)</t>
  </si>
  <si>
    <t>GRUPO CASAS BAHIA S.A(CD1500) - 09790400 (3.31 Km)</t>
  </si>
  <si>
    <t>DPC8G33</t>
  </si>
  <si>
    <t>LUCIO VENICIO DOS SANTOS</t>
  </si>
  <si>
    <t>KOU2B58</t>
  </si>
  <si>
    <t>47201586/2026</t>
  </si>
  <si>
    <t>GRUPO CASAS BAHIA S.A(CD1500) - 09790400 (3.26 Km)</t>
  </si>
  <si>
    <t>NKT2F84</t>
  </si>
  <si>
    <t>VALDY ALVES DE ARAUJO</t>
  </si>
  <si>
    <t>MJE2A67</t>
  </si>
  <si>
    <t>47201830/2026</t>
  </si>
  <si>
    <t>AV ANTÔNIO THOMAS FERREIRA REZENDE, UBERLANDIA/MG/BRASIL (0,13 Km)</t>
  </si>
  <si>
    <t>HUB_UBI_PATIO CHEGOULOG - PARCEIRO VIA MUNDO (UBERLANDIA-MG) (0.00 Km)</t>
  </si>
  <si>
    <t>RWD6J07</t>
  </si>
  <si>
    <t>EDER PAULO RUPOLO</t>
  </si>
  <si>
    <t>NTO7J94</t>
  </si>
  <si>
    <t>47201867/2026</t>
  </si>
  <si>
    <t>LGCAJ X GRUPO CASAS BAHIA SA(CD1895) (ROTA 348)</t>
  </si>
  <si>
    <t>GRUPO CASAS BAHIA S.A(CD1895) - 75340000 (0.00 Km)</t>
  </si>
  <si>
    <t>856,49 Km</t>
  </si>
  <si>
    <t>CELSO DA SILVA</t>
  </si>
  <si>
    <t>HNG8G93</t>
  </si>
  <si>
    <t>47201984/2026</t>
  </si>
  <si>
    <t>LGCAJ X MAGAZINE LUIZA S/A (CD1100) - 75340000 - 364</t>
  </si>
  <si>
    <t>MAGAZINE LUIZA S/A (CD1100) - 75340000 (0.00 Km)</t>
  </si>
  <si>
    <t>1459,03 Km</t>
  </si>
  <si>
    <t>LUCAS GABRIEL MOURA DE SOUZA  TORRES</t>
  </si>
  <si>
    <t>47202118/2026</t>
  </si>
  <si>
    <t>JAV8G01</t>
  </si>
  <si>
    <t>47202156/2026</t>
  </si>
  <si>
    <t>BEQ1B59</t>
  </si>
  <si>
    <t>DJALMA DOS REIS</t>
  </si>
  <si>
    <t>ATO8J04</t>
  </si>
  <si>
    <t>47202308/2026</t>
  </si>
  <si>
    <t>JOAO DE GOES, BARUERI/SP/BRASIL (0,46 Km)</t>
  </si>
  <si>
    <t>BASE EALE - CAMPINAS (3.46 Km)</t>
  </si>
  <si>
    <t>CD RODOBRAS BARUERI</t>
  </si>
  <si>
    <t>63 Km</t>
  </si>
  <si>
    <t>ASP2091</t>
  </si>
  <si>
    <t>EDENCARLOS GENUDE</t>
  </si>
  <si>
    <t>47202402/2026</t>
  </si>
  <si>
    <t>MQA5026</t>
  </si>
  <si>
    <t>47202855/2026</t>
  </si>
  <si>
    <t>ESTR DA COPASE, CAJAMAR/SP/BRASIL (0,04 Km)</t>
  </si>
  <si>
    <t>EBAZAR.COM.BR. LTDA - 06806400 (7.88 Km)</t>
  </si>
  <si>
    <t>131 Km</t>
  </si>
  <si>
    <t>CXA3922</t>
  </si>
  <si>
    <t>AGNALDO CABRAL GONCALVES</t>
  </si>
  <si>
    <t>47203021/2026</t>
  </si>
  <si>
    <t>47203753/2026</t>
  </si>
  <si>
    <t>RODOVIA BR-101, JABOATAO DOS GUARARAPES/PE/BRASIL (15,57 Km)</t>
  </si>
  <si>
    <t>tiago jonatan dos santos silva</t>
  </si>
  <si>
    <t>MFW3G56</t>
  </si>
  <si>
    <t>47204524/2026</t>
  </si>
  <si>
    <t>RUA PATAMARES, CAMACARI/BA/BRASIL (2,33 Km)</t>
  </si>
  <si>
    <t>POSTO COOPERCEG 2 (9.52 Km)</t>
  </si>
  <si>
    <t>QJH9F55</t>
  </si>
  <si>
    <t>THIAGO TEIXEIRA VIANA</t>
  </si>
  <si>
    <t>FWQ5E48</t>
  </si>
  <si>
    <t>47204541/2026</t>
  </si>
  <si>
    <t>47204576/2026</t>
  </si>
  <si>
    <t>AV SAO PAULO, CAJAMAR/SP/BRASIL (0,1 Km)</t>
  </si>
  <si>
    <t>MHW3B90</t>
  </si>
  <si>
    <t>47204593/2026</t>
  </si>
  <si>
    <t>RUA PATAMARES, CAMACARI/BA/BRASIL (2,41 Km)</t>
  </si>
  <si>
    <t>GRUPO CASAS BAHIA S.A(CD1400) - 42816270 (0.00 Km)</t>
  </si>
  <si>
    <t>CPN0634</t>
  </si>
  <si>
    <t>DIEGO DE FREITAS COSTA</t>
  </si>
  <si>
    <t>MANUTENÇÃO</t>
  </si>
  <si>
    <t>47204605/2026</t>
  </si>
  <si>
    <t>ROD. DOS IMIGRANTES, SAO BERNARDO DO CAMPO/SP/BRASIL (0,06 Km)</t>
  </si>
  <si>
    <t>105 Km</t>
  </si>
  <si>
    <t>47204656/2026</t>
  </si>
  <si>
    <t>47204680/2026</t>
  </si>
  <si>
    <t>AV. UNIÃO DOS FERROVIÁRIOS, JUNDIAI/SP/BRASIL (0,02 Km)</t>
  </si>
  <si>
    <t>PPJ7G44</t>
  </si>
  <si>
    <t>47204782/2026</t>
  </si>
  <si>
    <t>TIJ X PENSKE LOGISTICS DO BRASIL LTDA - 07775240 / CONTRAIL</t>
  </si>
  <si>
    <t>DPE9A82</t>
  </si>
  <si>
    <t>AILSON LISBOA DE MATOS</t>
  </si>
  <si>
    <t>DBC0G84</t>
  </si>
  <si>
    <t>47204803/2026</t>
  </si>
  <si>
    <t>SANTOS BRASIL - TECON GUARUJA/LG PENSKE - CAJAMAR (101/SP160/SP176)</t>
  </si>
  <si>
    <t>137,44 Km</t>
  </si>
  <si>
    <t>CUE9E10</t>
  </si>
  <si>
    <t>JOAO ROBERTO APARECIDO</t>
  </si>
  <si>
    <t>6003728 6006945</t>
  </si>
  <si>
    <t>47204858/2026</t>
  </si>
  <si>
    <t>TIJU X CASAS BAHIA DUQUE DE CAXIAS/RJ</t>
  </si>
  <si>
    <t>AV AUTOMOVEL CLUBE, DUQUE DE CAXIAS/RJ/BRASIL (0,1 Km)</t>
  </si>
  <si>
    <t>471,57 Km</t>
  </si>
  <si>
    <t>47204934/2026</t>
  </si>
  <si>
    <t>ACESSO PARA RODOVIA DOS BANDEIRANTES, JUNDIAI/SP/BRASIL (1,94 Km)</t>
  </si>
  <si>
    <t>47204960/2026</t>
  </si>
  <si>
    <t>47205838/2026</t>
  </si>
  <si>
    <t>47205877/2026</t>
  </si>
  <si>
    <t>AV. ANTÔNIO FREDERICO OZANAN, JUNDIAI/SP/BRASIL (0,24 Km)</t>
  </si>
  <si>
    <t>LLO2F11</t>
  </si>
  <si>
    <t>47206701/2026</t>
  </si>
  <si>
    <t>ACESSO PARA RODOVIA BR-116, CURITIBA/PR/BRASIL (0,13 Km)</t>
  </si>
  <si>
    <t>EBAZAR.COM.BR. LTDA - 06806400 (109.10 Km)</t>
  </si>
  <si>
    <t>433 Km</t>
  </si>
  <si>
    <t>AUJ0908</t>
  </si>
  <si>
    <t>DAIR PEREIRA</t>
  </si>
  <si>
    <t>MLL6J60</t>
  </si>
  <si>
    <t>47206854/2026</t>
  </si>
  <si>
    <t>CD RODOBRAS BARUERI (0.00 Km)</t>
  </si>
  <si>
    <t>ASP2118</t>
  </si>
  <si>
    <t>ANDERSON  RUFINO COSTA</t>
  </si>
  <si>
    <t>47207922/2026</t>
  </si>
  <si>
    <t>TOF9H17</t>
  </si>
  <si>
    <t>47208474/2026</t>
  </si>
  <si>
    <t>LGCAJ X WEBCONTINENTAL LTDA - 29145409 BASE MWM</t>
  </si>
  <si>
    <t>RUA EDMILSON VAREJAO, CARIACICA/ES/BRASIL (0,2 Km)</t>
  </si>
  <si>
    <t>GARAGEM NIKA TRANSPORTES (2.63 Km)</t>
  </si>
  <si>
    <t>WEBCONTINENTAL LTDA - 29145409</t>
  </si>
  <si>
    <t>970,65 Km</t>
  </si>
  <si>
    <t>SGB9F36</t>
  </si>
  <si>
    <t>EMERSON FERREIRA LEOPOLDO</t>
  </si>
  <si>
    <t>47209269/2026</t>
  </si>
  <si>
    <t>ROAN. MARIO COVAS, OSASCO/SP/BRASIL (0,12 Km)</t>
  </si>
  <si>
    <t>47209321/2026</t>
  </si>
  <si>
    <t>47209513/2026</t>
  </si>
  <si>
    <t>47209607/2026</t>
  </si>
  <si>
    <t>Fim / TRATATIVA  INTERNA</t>
  </si>
  <si>
    <t>47209938/2026</t>
  </si>
  <si>
    <t>TIJU X PENSKE CAJAMAR VIA ANHANGUERA</t>
  </si>
  <si>
    <t>12 km/h</t>
  </si>
  <si>
    <t>GEQ7H11</t>
  </si>
  <si>
    <t>47211303/2026</t>
  </si>
  <si>
    <t>LGSCT X GRUPO CASAS BAHIA SA(CD1887) - 54510000 - SC-416/376/116/393/116/101</t>
  </si>
  <si>
    <t>GRUPO CASAS BAHIA S.A(CD1887) - 54510000 (6.30 Km)</t>
  </si>
  <si>
    <t>EFV6F46</t>
  </si>
  <si>
    <t>FRANCINE ANTONIO RODRIGUES DE PONTES</t>
  </si>
  <si>
    <t>DMQ9292</t>
  </si>
  <si>
    <t>47212014/2026</t>
  </si>
  <si>
    <t>CONTRAIL LOGÍSTICA S/A - 13214205 (3.02 Km)</t>
  </si>
  <si>
    <t>JBC7G15</t>
  </si>
  <si>
    <t>ELSON PEREIRA DE ANDRADE</t>
  </si>
  <si>
    <t>47213042/2026</t>
  </si>
  <si>
    <t>RUA DEZOITO, CAMPO LIMPO PAULISTA/SP/BRASIL (9,79 Km)</t>
  </si>
  <si>
    <t>47214124/2026</t>
  </si>
  <si>
    <t>47214220/2026</t>
  </si>
  <si>
    <t>47214289/2026</t>
  </si>
  <si>
    <t>47214963/2026</t>
  </si>
  <si>
    <t>RUA JOSE DO PATROCINIO, JUNDIAI/SP/BRASIL (0,03 Km)</t>
  </si>
  <si>
    <t>23 Km</t>
  </si>
  <si>
    <t>47217328/2026</t>
  </si>
  <si>
    <t>AV. PIRASSUNUNGA, JUNDIAI/SP/BRASIL (0 Km)</t>
  </si>
  <si>
    <t>19 Km</t>
  </si>
  <si>
    <t>47218467/2026</t>
  </si>
  <si>
    <t>18 km/h</t>
  </si>
  <si>
    <t>AVI2A18</t>
  </si>
  <si>
    <t>47218498/2026</t>
  </si>
  <si>
    <t>40 km/h</t>
  </si>
  <si>
    <t>R. NITERÓI, JUNDIAI/SP/BRASIL (0,26 Km)</t>
  </si>
  <si>
    <t>GRUPO CASAS BAHIA S.A(CD1200) - 13203850 (2.20 Km)</t>
  </si>
  <si>
    <t>FVF7D57</t>
  </si>
  <si>
    <t>FABIO PEREIRA BINATTO</t>
  </si>
  <si>
    <t>47219051/2026</t>
  </si>
  <si>
    <t>47219117/2026</t>
  </si>
  <si>
    <t>47219955/2026</t>
  </si>
  <si>
    <t>47220226/2026</t>
  </si>
  <si>
    <t>ESTR DA COPASE, CAJAMAR/SP/BRASIL (0,19 Km)</t>
  </si>
  <si>
    <t>47221343/2026</t>
  </si>
  <si>
    <t>AV SAO PAULO, CAJAMAR/SP/BRASIL (0,08 Km)</t>
  </si>
  <si>
    <t>47221944/2026</t>
  </si>
  <si>
    <t>EZL3E61</t>
  </si>
  <si>
    <t>47222396/2026</t>
  </si>
  <si>
    <t>LGSCT X MAGAZINE LUIZA S/A (CD1500) - 43813400 - SC-416/101/376/116/SP-021/116/381/040/135/251/116/324</t>
  </si>
  <si>
    <t>CANDEIAS/BA/BRASIL</t>
  </si>
  <si>
    <t>MAGAZINE LUIZA S/A (CD1500) - 43813400 (0.00 Km)</t>
  </si>
  <si>
    <t>2458,46 Km</t>
  </si>
  <si>
    <t>FRF8A42</t>
  </si>
  <si>
    <t>MARCOS GOMES DE</t>
  </si>
  <si>
    <t>6003180 6003426</t>
  </si>
  <si>
    <t>47223450/2026</t>
  </si>
  <si>
    <t>GBM0F61</t>
  </si>
  <si>
    <t>6004226 6004146</t>
  </si>
  <si>
    <t>47223515/2026</t>
  </si>
  <si>
    <t>R. NITERÓI, JUNDIAI/SP/BRASIL (0,17 Km)</t>
  </si>
  <si>
    <t>47223546/2026</t>
  </si>
  <si>
    <t>47224290/2026</t>
  </si>
  <si>
    <t>47224888/2026</t>
  </si>
  <si>
    <t>LGCAJ X DELTASSUL UTILIDADES LTDA - 96835660</t>
  </si>
  <si>
    <t>DELTASSUL UTILIDADES LTDA - 96835660</t>
  </si>
  <si>
    <t>1259 Km</t>
  </si>
  <si>
    <t>1281,62 Km</t>
  </si>
  <si>
    <t>TCNU4919892 / NYKU0706233</t>
  </si>
  <si>
    <t>QHG4H17</t>
  </si>
  <si>
    <t>47225214/2026</t>
  </si>
  <si>
    <t>PORTO SANTOS GUARUJÁ - 11460001 (0.00 Km)</t>
  </si>
  <si>
    <t>TPW6F93</t>
  </si>
  <si>
    <t>TRHU4797416 / UETU4033010</t>
  </si>
  <si>
    <t>47225267/2026</t>
  </si>
  <si>
    <t>TPW6G33</t>
  </si>
  <si>
    <t>47225470/2026</t>
  </si>
  <si>
    <t>PLO0F22</t>
  </si>
  <si>
    <t>47225501/2026</t>
  </si>
  <si>
    <t>CONTRAIL LOGSTICA S/A - 13214205 X CONTRAIL LOGSTICA S/A - 13214205 VIA AUTOMOVEL CLUBE</t>
  </si>
  <si>
    <t>27 km/h</t>
  </si>
  <si>
    <t>AV AUTOMOVEL CLUBE, DUQUE DE CAXIAS/RJ/BRASIL (0 Km)</t>
  </si>
  <si>
    <t>FMY0B84</t>
  </si>
  <si>
    <t>CLAYTON SANTOS</t>
  </si>
  <si>
    <t>47226048/2026</t>
  </si>
  <si>
    <t>Evento não foi aceito para geração de WF devido local autorizado</t>
  </si>
  <si>
    <t>HXX9F10</t>
  </si>
  <si>
    <t>47226111/2026</t>
  </si>
  <si>
    <t>RODOPENHA</t>
  </si>
  <si>
    <t>LGREC X WMB SUPERMERCADOS DOBRASIL LTDA (SAMS) - 54335020</t>
  </si>
  <si>
    <t>46 km/h</t>
  </si>
  <si>
    <t>RUA PASTOS BONS, JABOATAO DOS GUARARAPES/PE/BRASIL (0,28 Km)</t>
  </si>
  <si>
    <t>GRUPO CASAS BAHIA S.A(CD1887) - 54510000 (2.96 Km)</t>
  </si>
  <si>
    <t>IMAGEM RECEBIDA</t>
  </si>
  <si>
    <t>LGREC</t>
  </si>
  <si>
    <t>ANDRE REIS PEIXOTO</t>
  </si>
  <si>
    <t>MJA3E81</t>
  </si>
  <si>
    <t>47226159/2026</t>
  </si>
  <si>
    <t>LOJAS CEM SA - 13329903 (41.19 Km)</t>
  </si>
  <si>
    <t>EQU3G71</t>
  </si>
  <si>
    <t>JOSE ROBERTO LAFFRONT</t>
  </si>
  <si>
    <t>CLH3F07</t>
  </si>
  <si>
    <t>47226251/2026</t>
  </si>
  <si>
    <t>LGSCT X GRU X CARREFOUR COM IND LTDA - 06278010</t>
  </si>
  <si>
    <t>JOAO DE GOES, BARUERI/SP/BRASIL (0,45 Km)</t>
  </si>
  <si>
    <t>25 Km</t>
  </si>
  <si>
    <t>556,61 Km</t>
  </si>
  <si>
    <t>MCP4644</t>
  </si>
  <si>
    <t>JOÃO SOBRINHO CARDOSO</t>
  </si>
  <si>
    <t>6013219 6013884 6010690</t>
  </si>
  <si>
    <t>47226333/2026</t>
  </si>
  <si>
    <t>LGSCT X BASE EALE - SAO JOSE DOS PINHAIS</t>
  </si>
  <si>
    <t>ACESSO PARA RODOVIA BR-376, SAO JOSE DOS PINHAIS/PR/BRASIL (0,32 Km)</t>
  </si>
  <si>
    <t>111,02 Km</t>
  </si>
  <si>
    <t>IQV2E89</t>
  </si>
  <si>
    <t>47226494/2026</t>
  </si>
  <si>
    <t>LG ITAPOA X CARREFOUR COMERCIO E INDUSTRIA LTDA - 91060410</t>
  </si>
  <si>
    <t>RUA SERGIO JUNGBLUT DIETERICH, PORTO ALEGRE/RS/BRASIL (0,01 Km)</t>
  </si>
  <si>
    <t>JADIMO - FILIAL GRAVATAI (3.96 Km)</t>
  </si>
  <si>
    <t>673,3 Km</t>
  </si>
  <si>
    <t>JAO5B20</t>
  </si>
  <si>
    <t>JAIRO CESAR DA SILVA VARGAS</t>
  </si>
  <si>
    <t>47226497/2026</t>
  </si>
  <si>
    <t>FJR7B78</t>
  </si>
  <si>
    <t>47226566/2026</t>
  </si>
  <si>
    <t>JOAO DE GOES, BARUERI/SP/BRASIL (0,44 Km)</t>
  </si>
  <si>
    <t>UNIAR COMÉRCIO DE ELETRO-ELETRÔNICOS E SERVIÇOS - EXTREMA (10.95 Km)</t>
  </si>
  <si>
    <t>ARU6775</t>
  </si>
  <si>
    <t>JUDIVAN VIEIRA DA SILVA</t>
  </si>
  <si>
    <t>47226699/2026</t>
  </si>
  <si>
    <t>6013214 6007581</t>
  </si>
  <si>
    <t>GEL4J65</t>
  </si>
  <si>
    <t>47227339/2026</t>
  </si>
  <si>
    <t>34 km/h</t>
  </si>
  <si>
    <t>TO QUILOMETRO DEZOITO, SAO PAULO/SP/BRASIL (0,02 Km)</t>
  </si>
  <si>
    <t>WMB SUPERMERCADOS DOBRASIL LTDA (SAM'S) - 07776700 (0.38 Km)</t>
  </si>
  <si>
    <t>SILVANIO EVANDRO DOS SANTOS</t>
  </si>
  <si>
    <t>47227567/2026</t>
  </si>
  <si>
    <t>AV. UNIÃO DOS FERROVIÁRIOS, JUNDIAI/SP/BRASIL (0,13 Km)</t>
  </si>
  <si>
    <t>PORTO SANTOS GUARUJÁ - 11460001</t>
  </si>
  <si>
    <t>47227592/2026</t>
  </si>
  <si>
    <t>AV. UNIÃO DOS FERROVIÁRIOS, JUNDIAI/SP/BRASIL (0,06 Km)</t>
  </si>
  <si>
    <t>6001168 6003499</t>
  </si>
  <si>
    <t>FPN5E09</t>
  </si>
  <si>
    <t>47227608/2026</t>
  </si>
  <si>
    <t>BASE COOPERCARGO (PARCEIRO PANTOS)  (43.80 Km)</t>
  </si>
  <si>
    <t>FNV2G56</t>
  </si>
  <si>
    <t>LAZARO DOS SANTOS SILVA</t>
  </si>
  <si>
    <t>47227625/2026</t>
  </si>
  <si>
    <t>47227641/2026</t>
  </si>
  <si>
    <t>Carreta vinculada a outra SMP</t>
  </si>
  <si>
    <t>DTB5D37</t>
  </si>
  <si>
    <t>47227729/2026</t>
  </si>
  <si>
    <t>JBC7G14</t>
  </si>
  <si>
    <t>JOZUE JORGE DE OLIVEIRA</t>
  </si>
  <si>
    <t>47227773/2026</t>
  </si>
  <si>
    <t>EGK9958</t>
  </si>
  <si>
    <t>47227794/2026</t>
  </si>
  <si>
    <t>CABRAL &amp; CABRAL TRANSPORTE DE CARGAS LTDA. (21.69 Km)</t>
  </si>
  <si>
    <t>FZG7J46</t>
  </si>
  <si>
    <t>VALDIR EVANGELISTA</t>
  </si>
  <si>
    <t>47227844/2026</t>
  </si>
  <si>
    <t>48 km/h</t>
  </si>
  <si>
    <t>RUA NATAL, JUNDIAI/SP/BRASIL (0,26 Km)</t>
  </si>
  <si>
    <t>47227852/2026</t>
  </si>
  <si>
    <t>32 km/h</t>
  </si>
  <si>
    <t>RUA RECIFE, JUNDIAI/SP/BRASIL (0,17 Km)</t>
  </si>
  <si>
    <t>47227928/2026</t>
  </si>
  <si>
    <t>47228160/2026</t>
  </si>
  <si>
    <t>47228287/2026</t>
  </si>
  <si>
    <t>CVP1E89</t>
  </si>
  <si>
    <t>47228423/2026</t>
  </si>
  <si>
    <t>CONTRAIL LOGÍSTICA S/A - 13214205 (6.44 Km)</t>
  </si>
  <si>
    <t>58 Km</t>
  </si>
  <si>
    <t>TJP4A20</t>
  </si>
  <si>
    <t>ADRIAN EZQUERRO MARQUESIM EZQUERRO</t>
  </si>
  <si>
    <t>MSNU9134551</t>
  </si>
  <si>
    <t>47228591/2026</t>
  </si>
  <si>
    <t>NOA5C60</t>
  </si>
  <si>
    <t>47229076/2026</t>
  </si>
  <si>
    <t>LGCAJ X CARREFOUR COMERCIO E INDUSTRIA LTDA - 54350195 - SC-416/376/116/SP-021/SP-354/381/040/135/251/116/101</t>
  </si>
  <si>
    <t>AV EIXO DE INTEGRACAO, JABOATAO DOS GUARARAPES/PE/BRASIL (0,53 Km)</t>
  </si>
  <si>
    <t>WMB SUPERMERCADOS DOBRASIL LTDA (SAM'S) - 54335020 (0.00 Km)</t>
  </si>
  <si>
    <t>CARREFOUR COMERCIO E INDUSTRIA LTDA - 54350195</t>
  </si>
  <si>
    <t>3146,54 Km</t>
  </si>
  <si>
    <t>PMH1I97</t>
  </si>
  <si>
    <t>EDILSON RODRIGUES PEREIRA</t>
  </si>
  <si>
    <t>47230020/2026</t>
  </si>
  <si>
    <t>ESTR DA COPASE, CAJAMAR/SP/BRASIL (0,03 Km)</t>
  </si>
  <si>
    <t>47230033/2026</t>
  </si>
  <si>
    <t>47230043/2026</t>
  </si>
  <si>
    <t>47230131/2026</t>
  </si>
  <si>
    <t>47230766/2026</t>
  </si>
  <si>
    <t>47230827/2026</t>
  </si>
  <si>
    <t>6009946 6009918 6009148</t>
  </si>
  <si>
    <t>QRL6F57</t>
  </si>
  <si>
    <t>47232214/2026</t>
  </si>
  <si>
    <t>LGCAJ X INGRAM MICRO BRASIL LTDA - SERRA - 050/116/493/101</t>
  </si>
  <si>
    <t>ROD BR 101, SERRA/ES/BRASIL (0,11 Km)</t>
  </si>
  <si>
    <t>INGRAM MICRO BRASIL LTDA - SERRA</t>
  </si>
  <si>
    <t>CDG CONSTRUTORA S/A - 29143018</t>
  </si>
  <si>
    <t>1003,45 Km</t>
  </si>
  <si>
    <t>RENE DA SILVA SOUZA</t>
  </si>
  <si>
    <t>47232730/2026</t>
  </si>
  <si>
    <t>KDI2J82</t>
  </si>
  <si>
    <t>47233165/2026</t>
  </si>
  <si>
    <t>RUA VALENTINA VIEIRA, BIGUACU/SC/BRASIL (0,02 Km)</t>
  </si>
  <si>
    <t>PONTO DE APOIO MINAS SUL - JOINVILLE (13.40 Km)</t>
  </si>
  <si>
    <t>JOAO MARIA GROSS</t>
  </si>
  <si>
    <t>6011816;6011815</t>
  </si>
  <si>
    <t>QTQ3A80</t>
  </si>
  <si>
    <t>47233278/2026</t>
  </si>
  <si>
    <t>RODOVIA BR 1O1, CONDE/PB/BRASIL (4,33 Km)</t>
  </si>
  <si>
    <t>TODOBRASIL TRANSPORTES – JPA (3.10 Km)</t>
  </si>
  <si>
    <t>STL3H28</t>
  </si>
  <si>
    <t>PETRUCIO WENDEL DE LIMA PERES</t>
  </si>
  <si>
    <t>CLU1D83</t>
  </si>
  <si>
    <t>47233741/2026</t>
  </si>
  <si>
    <t>R. PAULO MARIA DE LOURDES MORAES, VARZEA PAULISTA/SP/BRASIL (3,05 Km)</t>
  </si>
  <si>
    <t>ESU6727</t>
  </si>
  <si>
    <t>THIAGO MARQUES MORENO</t>
  </si>
  <si>
    <t>47233800/2026</t>
  </si>
  <si>
    <t>47233867/2026</t>
  </si>
  <si>
    <t>AV. ANTÔNIO FREDERICO OZANAN, JUNDIAI/SP/BRASIL (0,13 Km)</t>
  </si>
  <si>
    <t>47233881/2026</t>
  </si>
  <si>
    <t>PORTO SANTOS GUARUJ - 11460001 X CONTRAIL LOGSTICA S/A - 13214205 - SP-248/101/SP-160/SP-021/SP-348</t>
  </si>
  <si>
    <t>RUA NATAL, JUNDIAI/SP/BRASIL (0,19 Km)</t>
  </si>
  <si>
    <t>47234001/2026</t>
  </si>
  <si>
    <t>LGSCT X HAVAN LOJAS DE DEPARTAMENTOS LTDA - 88390000 - 101/SC-416 / BENDINI</t>
  </si>
  <si>
    <t>ATO8928</t>
  </si>
  <si>
    <t>47234078/2026</t>
  </si>
  <si>
    <t>47234096/2026</t>
  </si>
  <si>
    <t>47234118/2026</t>
  </si>
  <si>
    <t>FTS4E31</t>
  </si>
  <si>
    <t>47234429/2026</t>
  </si>
  <si>
    <t>ITAPOA X GRU X WMB - CAJAMAR</t>
  </si>
  <si>
    <t>JOAQUIM PEREIRA BARBOSA, CAJAMAR/SP/BRASIL (0,38 Km)</t>
  </si>
  <si>
    <t>BASE EALE - CAMPINAS (8.82 Km)</t>
  </si>
  <si>
    <t>571,28 Km</t>
  </si>
  <si>
    <t>GUILHERME DE SOUZA BARBOSA</t>
  </si>
  <si>
    <t>47234646/2026</t>
  </si>
  <si>
    <t>RUA MAURICIO SIROTSKI SOBRINHO, CACHOEIRINHA/RS/BRASIL (0,06 Km)</t>
  </si>
  <si>
    <t>155 Km</t>
  </si>
  <si>
    <t>47235431/2026</t>
  </si>
  <si>
    <t>AV. UNIÃO DOS FERROVIÁRIOS, JUNDIAI/SP/BRASIL (0,16 Km)</t>
  </si>
  <si>
    <t>47236242/2026</t>
  </si>
  <si>
    <t>47237229/2026</t>
  </si>
  <si>
    <t>47237233/2026</t>
  </si>
  <si>
    <t>47238870/2026</t>
  </si>
  <si>
    <t>47238993/2026</t>
  </si>
  <si>
    <t>SAO PAULO, CAJAMAR/SP/BRASIL (0,01 Km)</t>
  </si>
  <si>
    <t>47239093/2026</t>
  </si>
  <si>
    <t>168,76 Km</t>
  </si>
  <si>
    <t>47239112/2026</t>
  </si>
  <si>
    <t>AV. ANTÔNIO FREDERICO OZANAN, JUNDIAI/SP/BRASIL (0,19 Km)</t>
  </si>
  <si>
    <t>47239532/2026</t>
  </si>
  <si>
    <t>ESTR DA COPASE, CAJAMAR/SP/BRASIL (0,07 Km)</t>
  </si>
  <si>
    <t>6003363 6003172</t>
  </si>
  <si>
    <t>47240610/2026</t>
  </si>
  <si>
    <t>20 Km</t>
  </si>
  <si>
    <t>NTS2D92</t>
  </si>
  <si>
    <t>47240669/2026</t>
  </si>
  <si>
    <t>PORTO SANTOS GUARUJ - 11460001 X LGCAJ - SP-248/101/SP-160/SP-021/050</t>
  </si>
  <si>
    <t>ANHANGUERA, CAJAMAR/SP/BRASIL (0,16 Km)</t>
  </si>
  <si>
    <t>GHY4D96</t>
  </si>
  <si>
    <t>47241744/2026</t>
  </si>
  <si>
    <t>LGCAJ X MAGAZINE LUIZA S/A (CD0300) - 13290000</t>
  </si>
  <si>
    <t>RUA JOAO BURCK, LOUVEIRA/SP/BRASIL (2,64 Km)</t>
  </si>
  <si>
    <t>LGCAJ (1.96 Km)</t>
  </si>
  <si>
    <t>MAGAZINE LUIZA S/A (CD0300) - 13290000</t>
  </si>
  <si>
    <t>37,74 Km</t>
  </si>
  <si>
    <t>ADAM FAGNER MARTINS GONCALVES</t>
  </si>
  <si>
    <t>47241794/2026</t>
  </si>
  <si>
    <t>LGSCT X A ANGELONI E CIA LTDA - 88210000</t>
  </si>
  <si>
    <t>RUA TUPI, JOINVILLE/SC/BRASIL (0,04 Km)</t>
  </si>
  <si>
    <t>A. ANGELONI E CIA. LTDA. - 88210000</t>
  </si>
  <si>
    <t>120 Km</t>
  </si>
  <si>
    <t>189,27 Km</t>
  </si>
  <si>
    <t>47242102/2026</t>
  </si>
  <si>
    <t>47242140/2026</t>
  </si>
  <si>
    <t>ANHANGUERA, CAJAMAR/SP/BRASIL (0,03 Km)</t>
  </si>
  <si>
    <t>47242163/2026</t>
  </si>
  <si>
    <t>47242194/2026</t>
  </si>
  <si>
    <t>CMAU8263862</t>
  </si>
  <si>
    <t>NLO6D49</t>
  </si>
  <si>
    <t>47242617/2026</t>
  </si>
  <si>
    <t>BTP - SANTOS (18.62 Km)</t>
  </si>
  <si>
    <t>FYM3G77</t>
  </si>
  <si>
    <t>HIGOR DE CARVALHO</t>
  </si>
  <si>
    <t>APHU7015708</t>
  </si>
  <si>
    <t>FFA7H52</t>
  </si>
  <si>
    <t>47242680/2026</t>
  </si>
  <si>
    <t>SOLUCIONA (PARCEIRO PANTOS) ARUJÁ (11.83 Km)</t>
  </si>
  <si>
    <t>FEI4E67</t>
  </si>
  <si>
    <t>JESSE JOSE DA SILVA</t>
  </si>
  <si>
    <t>47243060/2026</t>
  </si>
  <si>
    <t>47244851/2026</t>
  </si>
  <si>
    <t>SANTOS BRASIL - TECON GUARUJA X TIJ - SP-248/101/SP-160/SP-021/SP-348 / CONTRAIL</t>
  </si>
  <si>
    <t>47245322/2026</t>
  </si>
  <si>
    <t>NFV2B67</t>
  </si>
  <si>
    <t>47246408/2026</t>
  </si>
  <si>
    <t>ITAPOA X GRU X LOUVEIRA</t>
  </si>
  <si>
    <t>MATRIZ RODOBRAS - CURITIBA (0.00 Km)</t>
  </si>
  <si>
    <t>602,1 Km</t>
  </si>
  <si>
    <t>ARILDO CARNEIRO DE SIQUEIRA</t>
  </si>
  <si>
    <t>47246524/2026</t>
  </si>
  <si>
    <t>LGCAJ X GRU X KOCH HIPERMERCADO S/A - 88200000</t>
  </si>
  <si>
    <t>KOCH HIPERMERCADO S/A - 88200000</t>
  </si>
  <si>
    <t>642 Km</t>
  </si>
  <si>
    <t>680,44 Km</t>
  </si>
  <si>
    <t>47246733/2026</t>
  </si>
  <si>
    <t>47247020/2026</t>
  </si>
  <si>
    <t>AV JORDANO MENDES, CAJAMAR/SP/BRASIL (0,11 Km)</t>
  </si>
  <si>
    <t>47247028/2026</t>
  </si>
  <si>
    <t>47247083/2026</t>
  </si>
  <si>
    <t>ROD. ANHANGÜERA, JUNDIAI/SP/BRASIL (0,45 Km)</t>
  </si>
  <si>
    <t>CMAU8317552</t>
  </si>
  <si>
    <t>47247217/2026</t>
  </si>
  <si>
    <t>CMAU8321418</t>
  </si>
  <si>
    <t>47247264/2026</t>
  </si>
  <si>
    <t>AV SAO PAULO, CAJAMAR/SP/BRASIL (0,05 Km)</t>
  </si>
  <si>
    <t>6004441 6006430</t>
  </si>
  <si>
    <t>47247283/2026</t>
  </si>
  <si>
    <t>AV. UNIÃO DOS FERROVIÁRIOS, JUNDIAI/SP/BRASIL (0,01 Km)</t>
  </si>
  <si>
    <t>MAGU4889204</t>
  </si>
  <si>
    <t>47247297/2026</t>
  </si>
  <si>
    <t>ESTR DA COPASE, CAJAMAR/SP/BRASIL (0,17 Km)</t>
  </si>
  <si>
    <t>47247313/2026</t>
  </si>
  <si>
    <t>6002988 6006055</t>
  </si>
  <si>
    <t>47247431/2026</t>
  </si>
  <si>
    <t>3 km/h</t>
  </si>
  <si>
    <t>GCP0E40</t>
  </si>
  <si>
    <t>47247475/2026</t>
  </si>
  <si>
    <t>CONTRAIL LOGÍSTICA S/A - 13214205 (5.33 Km)</t>
  </si>
  <si>
    <t>GDI7I25</t>
  </si>
  <si>
    <t>FABIO MENEZES</t>
  </si>
  <si>
    <t>5973973 5980692</t>
  </si>
  <si>
    <t>47247482/2026</t>
  </si>
  <si>
    <t>SP-354, CAJAMAR/SP/BRASIL (0,04 Km)</t>
  </si>
  <si>
    <t>6004907 6004116</t>
  </si>
  <si>
    <t>47247544/2026</t>
  </si>
  <si>
    <t>FYB6J62</t>
  </si>
  <si>
    <t>47248374/2026</t>
  </si>
  <si>
    <t>47248906/2026</t>
  </si>
  <si>
    <t>LGSCT X GRU X GRUPO CASAS BAHIA SA(CD1500) - 09790400 - RODOANEL</t>
  </si>
  <si>
    <t>ALUISIO DE AZEVEDO, SAO BERNARDO DO CAMPO/SP/BRASIL (0,28 Km)</t>
  </si>
  <si>
    <t>608,25 Km</t>
  </si>
  <si>
    <t>47248977/2026</t>
  </si>
  <si>
    <t>47249043/2026</t>
  </si>
  <si>
    <t>47249179/2026</t>
  </si>
  <si>
    <t>47249936/2026</t>
  </si>
  <si>
    <t>47249965/2026</t>
  </si>
  <si>
    <t>6013207 6013084</t>
  </si>
  <si>
    <t>FWI1F95</t>
  </si>
  <si>
    <t>47250140/2026</t>
  </si>
  <si>
    <t>LGCAJ X AGIS EQUIPAMENTOS E SERVICOS DE INFORMATICA LTDA - 29169832 - SP-354/SP-065/116/393/ES-297/101</t>
  </si>
  <si>
    <t>SAO JOSE DE UBA/RJ/BRASIL</t>
  </si>
  <si>
    <t>BASE SUL CONTINENTAL - ITAPEMIRIM (100.80 Km)</t>
  </si>
  <si>
    <t>283 Km</t>
  </si>
  <si>
    <t>951,59 Km</t>
  </si>
  <si>
    <t>EDUARDO MENDES DOS SANTOS</t>
  </si>
  <si>
    <t>47250364/2026</t>
  </si>
  <si>
    <t>TAX2F93</t>
  </si>
  <si>
    <t>47250479/2026</t>
  </si>
  <si>
    <t>LGSCT X CARREFOUR- DF - 72501100 EMAIL</t>
  </si>
  <si>
    <t>CARREFOUR- DF - 72501100 (89.24 Km)</t>
  </si>
  <si>
    <t>CARREFOUR- DF - 72501100</t>
  </si>
  <si>
    <t>1469,03 Km</t>
  </si>
  <si>
    <t>AOW4J77</t>
  </si>
  <si>
    <t>WILLIAN GABRIEL TABORDA RIBAS</t>
  </si>
  <si>
    <t>47250682/2026</t>
  </si>
  <si>
    <t>AYJ6G71</t>
  </si>
  <si>
    <t>47250715/2026</t>
  </si>
  <si>
    <t>PENSKE LOGIS</t>
  </si>
  <si>
    <t>LGCAJ X SINTESE AGRO SCIENCE LTDA - 87065003</t>
  </si>
  <si>
    <t>49 km/h</t>
  </si>
  <si>
    <t>AV PROJETADA, MARINGA/PR/BRASIL (1,94 Km)</t>
  </si>
  <si>
    <t>MAGAZINE LUIZA S/A (CD0094) - 86072000 (83.38 Km)</t>
  </si>
  <si>
    <t>SINTESE AGRO SCIENCE LTDA - 87065003</t>
  </si>
  <si>
    <t>LUIS CARLOS DA SILVA</t>
  </si>
  <si>
    <t>47250738/2026</t>
  </si>
  <si>
    <t>ACESSO PARA RODOVIA DOS BANDEIRANTES, JUNDIAI/SP/BRASIL (0,94 Km)</t>
  </si>
  <si>
    <t>47250890/2026</t>
  </si>
  <si>
    <t>R. PITANGUEIRAS, JUNDIAI/SP/BRASIL (0,05 Km)</t>
  </si>
  <si>
    <t>KNT3247</t>
  </si>
  <si>
    <t>47250985/2026</t>
  </si>
  <si>
    <t>LGCAJ X WMB SUPERMERCADOS DOBRASIL LTDA (SAMS) - 07776700</t>
  </si>
  <si>
    <t>ANTONIO JOAO ABDALLA, CAJAMAR/SP/BRASIL (0,47 Km)</t>
  </si>
  <si>
    <t>DHL (JANDIRA-SP) (0.84 Km)</t>
  </si>
  <si>
    <t>2,99 Km</t>
  </si>
  <si>
    <t>ALBERTO JOSE DA SILVA</t>
  </si>
  <si>
    <t>47251199/2026</t>
  </si>
  <si>
    <t>47251206/2026</t>
  </si>
  <si>
    <t>6013885 6009248 6013999 6014116</t>
  </si>
  <si>
    <t>47252353/2026</t>
  </si>
  <si>
    <t>ALBERTO JACKSON BYINGTON, OSASCO/SP/BRASIL (0,06 Km)</t>
  </si>
  <si>
    <t>6013074 6013075 6013076 6013882</t>
  </si>
  <si>
    <t>SFP4E65</t>
  </si>
  <si>
    <t>47252813/2026</t>
  </si>
  <si>
    <t>LGSCT X AGIS EQUIPAMENTOS E SERVICOS DE INFORMATICA LTDA - 29169832 - 050/116/493/101</t>
  </si>
  <si>
    <t>RUA JOAO VIEIRA SIMOES, SERRA/ES/BRASIL (16,74 Km)</t>
  </si>
  <si>
    <t>ITAUTEC JUNDIAI - JUNDIAI (4.57 Km)</t>
  </si>
  <si>
    <t>MJO7F77</t>
  </si>
  <si>
    <t>TIAGO ROSA DE SOUZA</t>
  </si>
  <si>
    <t>47253300/2026</t>
  </si>
  <si>
    <t>RUA IGNEZ DE SOUZA SOARES, CURITIBA/PR/BRASIL (0,13 Km)</t>
  </si>
  <si>
    <t>165 Km</t>
  </si>
  <si>
    <t>BBQ0513</t>
  </si>
  <si>
    <t>47253871/2026</t>
  </si>
  <si>
    <t>DTB5354</t>
  </si>
  <si>
    <t>47254054/2026</t>
  </si>
  <si>
    <t>ARZ0461</t>
  </si>
  <si>
    <t>MARCO AURELIO FRANCISCO</t>
  </si>
  <si>
    <t>CUA1048</t>
  </si>
  <si>
    <t>47254139/2026</t>
  </si>
  <si>
    <t>CACUB (37.65 Km)</t>
  </si>
  <si>
    <t>CDM8026</t>
  </si>
  <si>
    <t>LEONIR ANTONIO PEREIRA</t>
  </si>
  <si>
    <t>DVS2C59</t>
  </si>
  <si>
    <t>47254153/2026</t>
  </si>
  <si>
    <t>BTP - SANTOS (3.23 Km)</t>
  </si>
  <si>
    <t>DPC9E67</t>
  </si>
  <si>
    <t>DOUGLAS FERNANDO FARIAS</t>
  </si>
  <si>
    <t>47254201/2026</t>
  </si>
  <si>
    <t>Fim de Viagem - Monitoramento de Jornada / TRATATIVA  INTERNA</t>
  </si>
  <si>
    <t>ARZ0467</t>
  </si>
  <si>
    <t>47254259/2026</t>
  </si>
  <si>
    <t>47254279/2026</t>
  </si>
  <si>
    <t>ARU6774</t>
  </si>
  <si>
    <t>DJC8581</t>
  </si>
  <si>
    <t>47254415/2026</t>
  </si>
  <si>
    <t>HOLANDA CAVALCANTI, SAO BERNARDO DO CAMPO/SP/BRASIL (0,23 Km)</t>
  </si>
  <si>
    <t>DHL (JANDIRA-SP) (4.85 Km)</t>
  </si>
  <si>
    <t>593,12 Km</t>
  </si>
  <si>
    <t>MARCELO EDUARDO CATALOGNI</t>
  </si>
  <si>
    <t>47254509/2026</t>
  </si>
  <si>
    <t>47254560/2026</t>
  </si>
  <si>
    <t>PORTO SANTOS GUARUJ - 11460001 X CONTRAIL LOGSTICA S/A - 13214205</t>
  </si>
  <si>
    <t>151,13 Km</t>
  </si>
  <si>
    <t>47254577/2026</t>
  </si>
  <si>
    <t>AV. BENTO DO AMARAL GURGEL, JUNDIAI/SP/BRASIL (0,12 Km)</t>
  </si>
  <si>
    <t>47254777/2026</t>
  </si>
  <si>
    <t>47254805/2026</t>
  </si>
  <si>
    <t>BANDEIRANTES, CAIEIRAS/SP/BRASIL (0,04 Km)</t>
  </si>
  <si>
    <t>47254840/2026</t>
  </si>
  <si>
    <t>ROD SP-280 CASTELLO BRANCO, ITU/SP/BRASIL (19,99 Km)</t>
  </si>
  <si>
    <t>6013040 6013071</t>
  </si>
  <si>
    <t>LUB2I98</t>
  </si>
  <si>
    <t>47255158/2026</t>
  </si>
  <si>
    <t>LGCAJ X AGIS EQUIPAMENTOS E SERVICOS DE INFORMATICA LTDA - 29169832 - 050/116/393/ES-297/101</t>
  </si>
  <si>
    <t>927,91 Km</t>
  </si>
  <si>
    <t>OVI0B80</t>
  </si>
  <si>
    <t>SIDNEY JOSE MONTEIRO PEREIRA</t>
  </si>
  <si>
    <t>47255441/2026</t>
  </si>
  <si>
    <t>24 km/h</t>
  </si>
  <si>
    <t>R. ITATIBA, JUNDIAI/SP/BRASIL (0,04 Km)</t>
  </si>
  <si>
    <t>110 Km</t>
  </si>
  <si>
    <t>MLG0J71</t>
  </si>
  <si>
    <t>47255751/2026</t>
  </si>
  <si>
    <t>LGSCT X LOJAS SIMONETTI LTDA - 29980000 VIA 393</t>
  </si>
  <si>
    <t>PINHEIROS/ES/BRASIL</t>
  </si>
  <si>
    <t>TRANSOLIVEIRA (BASE PARCEIRA TRANSKING) (47.36 Km)</t>
  </si>
  <si>
    <t>LOJAS SIMONETTI LTDA - 29980000</t>
  </si>
  <si>
    <t>1677,23 Km</t>
  </si>
  <si>
    <t>MDL1B03</t>
  </si>
  <si>
    <t>ELEANDRO</t>
  </si>
  <si>
    <t>EJZ8984</t>
  </si>
  <si>
    <t>47255804/2026</t>
  </si>
  <si>
    <t>8 km/h</t>
  </si>
  <si>
    <t>ROD. ANHANGÜERA - PISTA LATERAL, JUNDIAI/SP/BRASIL (0,81 Km)</t>
  </si>
  <si>
    <t>ANTONIO MARCOS CANDIDO</t>
  </si>
  <si>
    <t>FUN5D41</t>
  </si>
  <si>
    <t>47256605/2026</t>
  </si>
  <si>
    <t>ITAPOA X GRU X CAJAMAR - CARREFOUR</t>
  </si>
  <si>
    <t>SP-354, CAJAMAR/SP/BRASIL (0,26 Km)</t>
  </si>
  <si>
    <t>CARREFOUR COMERCIO E INDUSTRIA LTDA - 07789100 (0.00 Km)</t>
  </si>
  <si>
    <t>CARREFOUR COMERCIO E INDUSTRIA LTDA - 07789100</t>
  </si>
  <si>
    <t>567,63 Km</t>
  </si>
  <si>
    <t>EMERSON MENDES FRANCELINO</t>
  </si>
  <si>
    <t>NTX2350</t>
  </si>
  <si>
    <t>47256674/2026</t>
  </si>
  <si>
    <t>RUA JOAO BURCK, LOUVEIRA/SP/BRASIL (2,61 Km)</t>
  </si>
  <si>
    <t>GARAGEM NIKA TRANSPORTES (7.62 Km)</t>
  </si>
  <si>
    <t>CARLOS ALBERTO DO NASCIMENTO</t>
  </si>
  <si>
    <t>6014927 / 6014107 / 6014108</t>
  </si>
  <si>
    <t>EVI8C94</t>
  </si>
  <si>
    <t>47256748/2026</t>
  </si>
  <si>
    <t>LGCAJ X LG ELECTRONICS DO BRASIL LTDA - 12091000 / DOM PEDRO</t>
  </si>
  <si>
    <t>26 km/h</t>
  </si>
  <si>
    <t>191,48 Km</t>
  </si>
  <si>
    <t>ETU7G95</t>
  </si>
  <si>
    <t>PAULO CARMO DE JESUS</t>
  </si>
  <si>
    <t>6013072 6013073</t>
  </si>
  <si>
    <t>47256957/2026</t>
  </si>
  <si>
    <t>996,81 Km</t>
  </si>
  <si>
    <t>MRG4F75</t>
  </si>
  <si>
    <t>47257254/2026</t>
  </si>
  <si>
    <t>LGCAJ X CWB X VIRTUAL_SANTACATARINA_RDC - 89249000</t>
  </si>
  <si>
    <t>VIRTUAL_SANTACATARINA_RDC - 89249000</t>
  </si>
  <si>
    <t>536 Km</t>
  </si>
  <si>
    <t>562,85 Km</t>
  </si>
  <si>
    <t>BBQ0498</t>
  </si>
  <si>
    <t>47257918/2026</t>
  </si>
  <si>
    <t>47257975/2026</t>
  </si>
  <si>
    <t>47258053/2026</t>
  </si>
  <si>
    <t>47258087/2026</t>
  </si>
  <si>
    <t>RUA JOSE MARIA MARINHO, JUNDIAI/SP/BRASIL (0,16 Km)</t>
  </si>
  <si>
    <t>148,06 Km</t>
  </si>
  <si>
    <t>47258111/2026</t>
  </si>
  <si>
    <t>FKS0I50</t>
  </si>
  <si>
    <t>47258136/2026</t>
  </si>
  <si>
    <t>ESU7186</t>
  </si>
  <si>
    <t>SALVADOR PINGITURO JUNIOR</t>
  </si>
  <si>
    <t>47258172/2026</t>
  </si>
  <si>
    <t>47258198/2026</t>
  </si>
  <si>
    <t>47258203/2026</t>
  </si>
  <si>
    <t>RODOVIA BR-101, JABOATAO DOS GUARARAPES/PE/BRASIL (14,63 Km)</t>
  </si>
  <si>
    <t>47258213/2026</t>
  </si>
  <si>
    <t>RODOVIA BR-101, JABOATAO DOS GUARARAPES/PE/BRASIL (5,49 Km)</t>
  </si>
  <si>
    <t>47258221/2026</t>
  </si>
  <si>
    <t>R. NITERÓI, JUNDIAI/SP/BRASIL (0,25 Km)</t>
  </si>
  <si>
    <t>6006787 6005987</t>
  </si>
  <si>
    <t>47258242/2026</t>
  </si>
  <si>
    <t>6002493 6006061</t>
  </si>
  <si>
    <t>47258260/2026</t>
  </si>
  <si>
    <t>47258381/2026</t>
  </si>
  <si>
    <t>LGCAJ X CWB X KOCH HIPERMERCADO S/A - 88200000</t>
  </si>
  <si>
    <t>ACESSO PARA RODOVIA BR-116, CURITIBA/PR/BRASIL (0,17 Km)</t>
  </si>
  <si>
    <t>245 Km</t>
  </si>
  <si>
    <t>682,17 Km</t>
  </si>
  <si>
    <t>47259082/2026</t>
  </si>
  <si>
    <t>47259128/2026</t>
  </si>
  <si>
    <t>39 km/h</t>
  </si>
  <si>
    <t>AV. ANTÔNIO FREDERICO OZANAN, JUNDIAI/SP/BRASIL (0,09 Km)</t>
  </si>
  <si>
    <t>47260178/2026</t>
  </si>
  <si>
    <t>47261184/2026</t>
  </si>
  <si>
    <t>ROD. ANHANGÜERA - PISTA LATERAL, JUNDIAI/SP/BRASIL (0,06 Km)</t>
  </si>
  <si>
    <t>17 Km</t>
  </si>
  <si>
    <t>47261208/2026</t>
  </si>
  <si>
    <t>AV DR. ANTÔNIO JOAO ABDALLA, CAJAMAR/SP/BRASIL (0 Km)</t>
  </si>
  <si>
    <t>47261237/2026</t>
  </si>
  <si>
    <t>R. LUIZ SALOMÃO, JUNDIAI/SP/BRASIL (0,04 Km)</t>
  </si>
  <si>
    <t>FFAU6685810</t>
  </si>
  <si>
    <t>MKK7F96</t>
  </si>
  <si>
    <t>47261251/2026</t>
  </si>
  <si>
    <t>55 km/h</t>
  </si>
  <si>
    <t>RODOVIA RODOANEL MARIO COVAS, SAO PAULO/SP/BRASIL (0,07 Km)</t>
  </si>
  <si>
    <t>BTP - SANTOS (5.13 Km)</t>
  </si>
  <si>
    <t>18 Km</t>
  </si>
  <si>
    <t>IDY1A23</t>
  </si>
  <si>
    <t>WALTER BALECO</t>
  </si>
  <si>
    <t>RHZ4D40</t>
  </si>
  <si>
    <t>47262170/2026</t>
  </si>
  <si>
    <t>LGSCT X GRUPO CASAS BAHIA SA(CD1760) - 32150240 - 381-116</t>
  </si>
  <si>
    <t>RUA JOSE DE SOUZA ARRUDA, CONTAGEM/MG/BRASIL (0,6 Km)</t>
  </si>
  <si>
    <t>1304,41 Km</t>
  </si>
  <si>
    <t>RDV2D41</t>
  </si>
  <si>
    <t>JOÃO VICTOR ADILSON DALOSSO</t>
  </si>
  <si>
    <t>47262222/2026</t>
  </si>
  <si>
    <t>47262245/2026</t>
  </si>
  <si>
    <t>47262298/2026</t>
  </si>
  <si>
    <t>RUA LUIZ ANTONIO AIELLO FILHO, JUNDIAI/SP/BRASIL (0 Km)</t>
  </si>
  <si>
    <t>EPU9G56</t>
  </si>
  <si>
    <t>47262308/2026</t>
  </si>
  <si>
    <t>BTP - SANTOS (2.35 Km)</t>
  </si>
  <si>
    <t>ELW7423</t>
  </si>
  <si>
    <t>EDSON BATISTA DOS SANTOS</t>
  </si>
  <si>
    <t>47262334/2026</t>
  </si>
  <si>
    <t>47262350/2026</t>
  </si>
  <si>
    <t>6006807 6005087</t>
  </si>
  <si>
    <t>47262392/2026</t>
  </si>
  <si>
    <t>AV. UNIÃO DOS FERROVIÁRIOS, JUNDIAI/SP/BRASIL (0,12 Km)</t>
  </si>
  <si>
    <t>UBJ9C49</t>
  </si>
  <si>
    <t>47262433/2026</t>
  </si>
  <si>
    <t>ROD. DOS BANDEIRANTES, JUNDIAI/SP/BRASIL (0,9 Km)</t>
  </si>
  <si>
    <t>47262451/2026</t>
  </si>
  <si>
    <t>PORTO SANTOS / GUARUJ X TIJ - SP-248/101/SP-160/SP-021/050</t>
  </si>
  <si>
    <t>RUA SETEMBRINA DE QUEIROS TELLES, JUNDIAI/SP/BRASIL (0,3 Km)</t>
  </si>
  <si>
    <t>DAO2I55</t>
  </si>
  <si>
    <t>47263386/2026</t>
  </si>
  <si>
    <t>LGCAJ X ELETROMAR  - 364</t>
  </si>
  <si>
    <t>LUCAS DO RIO VERDE/MT/BRASIL</t>
  </si>
  <si>
    <t>GRUPO CASAS BAHIA S.A(CD1200) - 13203850 (2.18 Km)</t>
  </si>
  <si>
    <t>ELETROMAR MOVEIS E ELETRODOMESTICOS LTDA - 78455000</t>
  </si>
  <si>
    <t>1857,24 Km</t>
  </si>
  <si>
    <t>NELSON TADEU APARECIDO LEME</t>
  </si>
  <si>
    <t>47263684/2026</t>
  </si>
  <si>
    <t>LGSCT X MAGAZINE LUIZA S/A (CD1440) - 92480000</t>
  </si>
  <si>
    <t>MAGAZINE LUIZA S/A (CD1440) - 92480000</t>
  </si>
  <si>
    <t>620 Km</t>
  </si>
  <si>
    <t>689,35 Km</t>
  </si>
  <si>
    <t>6013915 6013913 6013461 6011004 6010994 6013429</t>
  </si>
  <si>
    <t>AHC8016</t>
  </si>
  <si>
    <t>47263700/2026</t>
  </si>
  <si>
    <t>RUA EUGENIA, CAJAMAR/SP/BRASIL (0,08 Km)</t>
  </si>
  <si>
    <t>CARREFOUR COMERCIO E INDUSTRIA LTDA - 07789100 (0.05 Km)</t>
  </si>
  <si>
    <t>PEDRO IVO PADILHA</t>
  </si>
  <si>
    <t>6010781/6007571</t>
  </si>
  <si>
    <t>QHG4797</t>
  </si>
  <si>
    <t>47264231/2026</t>
  </si>
  <si>
    <t>LGSCT X GRUPO CASAS BAHIA SA(CD1760)</t>
  </si>
  <si>
    <t>BR-040, CONTAGEM/MG/BRASIL (0,1 Km)</t>
  </si>
  <si>
    <t>1097,62 Km</t>
  </si>
  <si>
    <t>QHC6D38</t>
  </si>
  <si>
    <t>JACKSON GONÇALVES PENA</t>
  </si>
  <si>
    <t>6013473 6015015</t>
  </si>
  <si>
    <t>47264670/2026</t>
  </si>
  <si>
    <t>LGSCT X LOJAS BECKER LTDA - (101/470)</t>
  </si>
  <si>
    <t>RUA TUPI, JOINVILLE/SC/BRASIL (0,02 Km)</t>
  </si>
  <si>
    <t>858 Km</t>
  </si>
  <si>
    <t>927,24 Km</t>
  </si>
  <si>
    <t>47264820/2026</t>
  </si>
  <si>
    <t>47265304/2026</t>
  </si>
  <si>
    <t>47265925/2026</t>
  </si>
  <si>
    <t>DVS1B60</t>
  </si>
  <si>
    <t>47266393/2026</t>
  </si>
  <si>
    <t>NOVA SANTA RITA/RS/BRASIL</t>
  </si>
  <si>
    <t>MATRIZ SUL CONTINENTAL (9.58 Km)</t>
  </si>
  <si>
    <t>AYM1860</t>
  </si>
  <si>
    <t>JULIANO SILVA</t>
  </si>
  <si>
    <t>47266430/2026</t>
  </si>
  <si>
    <t>RQS4I08</t>
  </si>
  <si>
    <t>47266510/2026</t>
  </si>
  <si>
    <t>LGSCT X LOJAS SIMONETTI LTDA - 29980000</t>
  </si>
  <si>
    <t>COOSSUTRAN - COOPERATIVA UNIDOS DE TRANSPORTE - 29136552 (12.87 Km)</t>
  </si>
  <si>
    <t>1738,3 Km</t>
  </si>
  <si>
    <t>INALDO LINS DE ARAUJO</t>
  </si>
  <si>
    <t>47266692/2026</t>
  </si>
  <si>
    <t>47266704/2026</t>
  </si>
  <si>
    <t>ESTR DA COPASE, CAJAMAR/SP/BRASIL (0,12 Km)</t>
  </si>
  <si>
    <t>UETU7822222</t>
  </si>
  <si>
    <t>47266878/2026</t>
  </si>
  <si>
    <t>UETU4044185</t>
  </si>
  <si>
    <t>47266919/2026</t>
  </si>
  <si>
    <t>NRR0E99</t>
  </si>
  <si>
    <t>47267637/2026</t>
  </si>
  <si>
    <t>51 km/h</t>
  </si>
  <si>
    <t>SP-354, CAJAMAR/SP/BRASIL (0,28 Km)</t>
  </si>
  <si>
    <t>TRANSLUTE TRANSPORTE RODOVIARIO - ITATIAIA (26.23 Km)</t>
  </si>
  <si>
    <t>MJU7F43</t>
  </si>
  <si>
    <t>GERSON MOREIRA DA SILVA MOREIRA</t>
  </si>
  <si>
    <t>47268146/2026</t>
  </si>
  <si>
    <t>67 km/h</t>
  </si>
  <si>
    <t>ANHANGUERA, CAJAMAR/SP/BRASIL (0,05 Km)</t>
  </si>
  <si>
    <t>47268169/2026</t>
  </si>
  <si>
    <t>47268322/2026</t>
  </si>
  <si>
    <t>HUMBERTO GIANNELLA, BARUERI/SP/BRASIL (0,12 Km)</t>
  </si>
  <si>
    <t>36 Km</t>
  </si>
  <si>
    <t>AXO9625</t>
  </si>
  <si>
    <t>ONEU6041600</t>
  </si>
  <si>
    <t>47268402/2026</t>
  </si>
  <si>
    <t>47268738/2026</t>
  </si>
  <si>
    <t>LGSCT X CARREFOUR COM IND LTDA - 06278010</t>
  </si>
  <si>
    <t>VELHA DE JANDIRA, BARUERI/SP/BRASIL (0,31 Km)</t>
  </si>
  <si>
    <t>AXO9611</t>
  </si>
  <si>
    <t>47268823/2026</t>
  </si>
  <si>
    <t>EVO4772</t>
  </si>
  <si>
    <t>47268869/2026</t>
  </si>
  <si>
    <t>50 km/h</t>
  </si>
  <si>
    <t>R. IRMÃ MARIA HERMETA, JUNDIAI/SP/BRASIL (0,04 Km)</t>
  </si>
  <si>
    <t>47268901/2026</t>
  </si>
  <si>
    <t>CONTRAIL LOGÍSTICA S/A - 13214205 (3.16 Km)</t>
  </si>
  <si>
    <t>FLAVIO PEREIRA BINATTO</t>
  </si>
  <si>
    <t>47268939/2026</t>
  </si>
  <si>
    <t>ACESSO PARA RODOVIA SP-330, CAJAMAR/SP/BRASIL (0,07 Km)</t>
  </si>
  <si>
    <t>47268957/2026</t>
  </si>
  <si>
    <t>47269243/2026</t>
  </si>
  <si>
    <t>KIO0982</t>
  </si>
  <si>
    <t>47269430/2026</t>
  </si>
  <si>
    <t>LGREC X MAGAZINE LUIZA S/A (CD0991) - 58320000</t>
  </si>
  <si>
    <t>TODOBRASIL TRANSPORTES – BEL (ADM) (18.68 Km)</t>
  </si>
  <si>
    <t>111,61 Km</t>
  </si>
  <si>
    <t>DPF0I16</t>
  </si>
  <si>
    <t>JOSE FRANCISCO DA SILVA</t>
  </si>
  <si>
    <t>47269607/2026</t>
  </si>
  <si>
    <t>LGCAJ X PRESIDENCIA DA REPUBLICA - 70150900 X JOULE COMERCIO SERVICOS LTDA ME - SP-348/050/153</t>
  </si>
  <si>
    <t>RUA MARACA, GOIANIA/GO/BRASIL (0 Km)</t>
  </si>
  <si>
    <t>JOULE COMERCIO &amp; SERVICOS LTDA ME - 74670630</t>
  </si>
  <si>
    <t>929,18 Km</t>
  </si>
  <si>
    <t>47269910/2026</t>
  </si>
  <si>
    <t>DBC5I84</t>
  </si>
  <si>
    <t>ASJ9D16</t>
  </si>
  <si>
    <t>47270468/2026</t>
  </si>
  <si>
    <t>LGREC X N CLAUDINO - 58105182</t>
  </si>
  <si>
    <t>AV PAULO ROBERTO DE SOUZA, CABEDELO/PB/BRASIL (3,78 Km)</t>
  </si>
  <si>
    <t>N CLAUDINO - 58105182</t>
  </si>
  <si>
    <t>147,19 Km</t>
  </si>
  <si>
    <t>ASZ6327</t>
  </si>
  <si>
    <t>JOSE AUGUSTO TRAJANO SILVA</t>
  </si>
  <si>
    <t>DPC9J80</t>
  </si>
  <si>
    <t>47270489/2026</t>
  </si>
  <si>
    <t>BTP - SANTOS (6.32 Km)</t>
  </si>
  <si>
    <t>DBM6I48</t>
  </si>
  <si>
    <t>47270910/2026</t>
  </si>
  <si>
    <t>47271097/2026</t>
  </si>
  <si>
    <t>RUA ETTORE MATTION, JUNDIAI/SP/BRASIL (0,1 Km)</t>
  </si>
  <si>
    <t>21 Km</t>
  </si>
  <si>
    <t>47271236/2026</t>
  </si>
  <si>
    <t>47271318/2026</t>
  </si>
  <si>
    <t>AV. ANTÔNIO FREDERICO OZANAN, JUNDIAI/SP/BRASIL (0,18 Km)</t>
  </si>
  <si>
    <t>47271355/2026</t>
  </si>
  <si>
    <t>5 km/h</t>
  </si>
  <si>
    <t>AV. ANTÔNIO FREDERICO OZANAN, JUNDIAI/SP/BRASIL (0,17 Km)</t>
  </si>
  <si>
    <t>CMAU8399709 / BMOU6722358</t>
  </si>
  <si>
    <t>MMK3G39</t>
  </si>
  <si>
    <t>47271603/2026</t>
  </si>
  <si>
    <t>TPW6F73</t>
  </si>
  <si>
    <t>JOSE CARLOS DA SILVA</t>
  </si>
  <si>
    <t>6013212 6013883</t>
  </si>
  <si>
    <t>SGC1C49</t>
  </si>
  <si>
    <t>47271991/2026</t>
  </si>
  <si>
    <t>AV MANGUINHOS, SERRA/ES/BRASIL (0,01 Km)</t>
  </si>
  <si>
    <t>93 Km</t>
  </si>
  <si>
    <t>LAFAIETE NUNES</t>
  </si>
  <si>
    <t>47272343/2026</t>
  </si>
  <si>
    <t>AQS8H97</t>
  </si>
  <si>
    <t>6006043 6006058</t>
  </si>
  <si>
    <t>47272818/2026</t>
  </si>
  <si>
    <t>47272845/2026</t>
  </si>
  <si>
    <t>47272876/2026</t>
  </si>
  <si>
    <t>47273372/2026</t>
  </si>
  <si>
    <t>LGCAJ X GRU X CWB X LOJAS COLOMBO S/A COM UTILIDADES DOMESTICAS - 81350240</t>
  </si>
  <si>
    <t>471,36 Km</t>
  </si>
  <si>
    <t>MGF5B81</t>
  </si>
  <si>
    <t>47274411/2026</t>
  </si>
  <si>
    <t>MAGAZINE LUIZA S/A (CD1100) - 75340000 (0.20 Km)</t>
  </si>
  <si>
    <t>AWX7543</t>
  </si>
  <si>
    <t>PAULO SERGIO RIBEIRO</t>
  </si>
  <si>
    <t>6014182 6013881 6013838 6010798 6009605 6003738</t>
  </si>
  <si>
    <t>QJC2E51</t>
  </si>
  <si>
    <t>47275037/2026</t>
  </si>
  <si>
    <t>LGSCT/BASE FATELOG (FITA AZUL) - CAJAMAR ( SEUINGO ROTA PADRO PEQUENO CONTORNO POR (CONTORNO DO SUL)</t>
  </si>
  <si>
    <t>RUA EUGENIA, CAJAMAR/SP/BRASIL (0,12 Km)</t>
  </si>
  <si>
    <t>REA3B91</t>
  </si>
  <si>
    <t>RENAN PAULO DE OLIVEIRA ZIEHLSDORFF</t>
  </si>
  <si>
    <t>47275314/2026</t>
  </si>
  <si>
    <t>47275700/2026</t>
  </si>
  <si>
    <t>SDW8I82</t>
  </si>
  <si>
    <t>47275862/2026</t>
  </si>
  <si>
    <t>RODOVIA BR-262, CAMPO GRANDE/MS/BRASIL (3,1 Km)</t>
  </si>
  <si>
    <t>CENAT PATIO DE CAMINHOES ASSOCIADOS PARCEIRO PANTOS  (3.20 Km)</t>
  </si>
  <si>
    <t>WELDER DE SOUZA REIS</t>
  </si>
  <si>
    <t>47275953/2026</t>
  </si>
  <si>
    <t>6013037 6013078</t>
  </si>
  <si>
    <t>REA0G74</t>
  </si>
  <si>
    <t>47276842/2026</t>
  </si>
  <si>
    <t>LGCAJ/AGIS EQUIPAMENTOS E SERVICOS DE INFORMATICA LTDA - 29169832  (101-116-393)</t>
  </si>
  <si>
    <t>EST ANTIGA PARA JACUIPE, SERRA/ES/BRASIL (0,04 Km)</t>
  </si>
  <si>
    <t>ADORNO TRANSPORTES - CAIEIRAS (6.54 Km)</t>
  </si>
  <si>
    <t>940,73 Km</t>
  </si>
  <si>
    <t>DXO1A71</t>
  </si>
  <si>
    <t>TUNAI DE CARVALHO NUNES</t>
  </si>
  <si>
    <t>47276921/2026</t>
  </si>
  <si>
    <t>6013208 6013209</t>
  </si>
  <si>
    <t>MTC4J15</t>
  </si>
  <si>
    <t>47277104/2026</t>
  </si>
  <si>
    <t>AV DESEMBARGADOR ALFREDO CABRAL, SERRA/ES/BRASIL (23,67 Km)</t>
  </si>
  <si>
    <t>BASE TRANSBOCAYUVA FEU ROSA (0.00 Km)</t>
  </si>
  <si>
    <t>MPB6I04</t>
  </si>
  <si>
    <t>FERNANDO SIPRIANO DE SOUZA</t>
  </si>
  <si>
    <t>6014651 6013036 6013925 6015067</t>
  </si>
  <si>
    <t>47277111/2026</t>
  </si>
  <si>
    <t>ALBERTO JACKSON BYINGTON, OSASCO/SP/BRASIL (0,16 Km)</t>
  </si>
  <si>
    <t>6013081 6013082</t>
  </si>
  <si>
    <t>SGI4B86</t>
  </si>
  <si>
    <t>47277188/2026</t>
  </si>
  <si>
    <t>REVISEO COMERCIO E INDUSTRIA LTDA - 12952361 (3.92 Km)</t>
  </si>
  <si>
    <t>UNILOGÍSTICA - 29172038</t>
  </si>
  <si>
    <t>ITM2I39</t>
  </si>
  <si>
    <t>JOSIMAR DOS SANTOS</t>
  </si>
  <si>
    <t>EGK9J57</t>
  </si>
  <si>
    <t>47277234/2026</t>
  </si>
  <si>
    <t>TIJÚ (5.02 Km)</t>
  </si>
  <si>
    <t>EFS9J07</t>
  </si>
  <si>
    <t>CESAR TOMAZ THOMAZ</t>
  </si>
  <si>
    <t>DPF6675</t>
  </si>
  <si>
    <t>47277327/2026</t>
  </si>
  <si>
    <t>LOJAS CEM SA - 13329903 (25.41 Km)</t>
  </si>
  <si>
    <t>UDU4C53</t>
  </si>
  <si>
    <t>REGINALDO DA VEIGA</t>
  </si>
  <si>
    <t>47277452/2026</t>
  </si>
  <si>
    <t>47277490/2026</t>
  </si>
  <si>
    <t>47277539/2026</t>
  </si>
  <si>
    <t>47277848/2026</t>
  </si>
  <si>
    <t>ANTONIO CANDIDO MACHADO, CAJAMAR/SP/BRASIL (0,1 Km)</t>
  </si>
  <si>
    <t>TCLU4205305</t>
  </si>
  <si>
    <t>47277961/2026</t>
  </si>
  <si>
    <t>47278060/2026</t>
  </si>
  <si>
    <t>ACESSO PARA RODOVIA BR-116, CURITIBA/PR/BRASIL (0,12 Km)</t>
  </si>
  <si>
    <t>11 Km</t>
  </si>
  <si>
    <t>47278105/2026</t>
  </si>
  <si>
    <t>6013080 6013079</t>
  </si>
  <si>
    <t>RBB6H17</t>
  </si>
  <si>
    <t>47278172/2026</t>
  </si>
  <si>
    <t>EST ANTIGA PARA JACUIPE, SERRA/ES/BRASIL (0,05 Km)</t>
  </si>
  <si>
    <t>TRANSWILLY TRANSPORTES (PARCEIRO MWM) (0.01 Km)</t>
  </si>
  <si>
    <t>ODO2B26</t>
  </si>
  <si>
    <t>SAULO DE SOUZA SANTOS</t>
  </si>
  <si>
    <t>6013210 6013211</t>
  </si>
  <si>
    <t>AXG8D02</t>
  </si>
  <si>
    <t>47278216/2026</t>
  </si>
  <si>
    <t>PHENIX - UBERABA (77.19 Km)</t>
  </si>
  <si>
    <t>378 Km</t>
  </si>
  <si>
    <t>GUIONAELTO PEREIRA DOS SANTOS</t>
  </si>
  <si>
    <t>TCLU4273070</t>
  </si>
  <si>
    <t>47278405/2026</t>
  </si>
  <si>
    <t>IJU9B33</t>
  </si>
  <si>
    <t>47278701/2026</t>
  </si>
  <si>
    <t>LGSCT X POA X MAGAZINE LUIZA S/A (CD1440) - 92480000</t>
  </si>
  <si>
    <t>RUA MAURICIO SIROTSKI SOBRINHO, CACHOEIRINHA/RS/BRASIL (0,02 Km)</t>
  </si>
  <si>
    <t>TRANSPORTADORA KUBITZ EIRELI (PARCEIRO RODOBRAS) (141.75 Km)</t>
  </si>
  <si>
    <t>696,42 Km</t>
  </si>
  <si>
    <t>AHP6G44</t>
  </si>
  <si>
    <t>DOUGLAS DE SOUZA DOMINGUES</t>
  </si>
  <si>
    <t>6013227/ 6013921</t>
  </si>
  <si>
    <t>TOF9H24</t>
  </si>
  <si>
    <t>47278992/2026</t>
  </si>
  <si>
    <t>PENSKE X MWM X SND</t>
  </si>
  <si>
    <t>RUA SAMUEL M BRASIL, SERRA/ES/BRASIL (0,12 Km)</t>
  </si>
  <si>
    <t>CD RODOBRAS BARUERI (0.71 Km)</t>
  </si>
  <si>
    <t>SND DISTRIBUICAO DE PRODUTOS - SERRA</t>
  </si>
  <si>
    <t>938,04 Km</t>
  </si>
  <si>
    <t>RBE0C90</t>
  </si>
  <si>
    <t>RODRIGO LOPES VIEIRA</t>
  </si>
  <si>
    <t>FWE6H54</t>
  </si>
  <si>
    <t>47280043/2026</t>
  </si>
  <si>
    <t>LGSCT X LOJAS SIMONETTI LTDA - 29980000- 393</t>
  </si>
  <si>
    <t>RIQUENA NETO AR CONDICIONADO LTDA - 29170740 (194.02 Km)</t>
  </si>
  <si>
    <t>1671,17 Km</t>
  </si>
  <si>
    <t>TPL3H11</t>
  </si>
  <si>
    <t>JEFERSON RODRIGO PEREIRA</t>
  </si>
  <si>
    <t>47281154/2026</t>
  </si>
  <si>
    <t>ACESSO PARA RODOVIA SP-330, CAJAMAR/SP/BRASIL (0,03 Km)</t>
  </si>
  <si>
    <t>MLY9F83</t>
  </si>
  <si>
    <t>47282459/2026</t>
  </si>
  <si>
    <t>LGSCT C CARREFOUR- DF - 72501100 (PONTA GROSSA)</t>
  </si>
  <si>
    <t>CARREFOUR- DF - 72501100 (0.00 Km)</t>
  </si>
  <si>
    <t>1494,8 Km</t>
  </si>
  <si>
    <t>SXO0J58</t>
  </si>
  <si>
    <t>CLAIRTON BUSS ALVES BUSS</t>
  </si>
  <si>
    <t>47282971/2026</t>
  </si>
  <si>
    <t>47283005/2026</t>
  </si>
  <si>
    <t>47284138/2026</t>
  </si>
  <si>
    <t>MQW8I47</t>
  </si>
  <si>
    <t>47285214/2026</t>
  </si>
  <si>
    <t>MAURO LINDEMBERG MONTEIRO, OSASCO/SP/BRASIL (0,08 Km)</t>
  </si>
  <si>
    <t>ARMANDINO ROSA</t>
  </si>
  <si>
    <t>EHH8E65</t>
  </si>
  <si>
    <t>47286387/2026</t>
  </si>
  <si>
    <t>LGSCT X LOJAS BECKER LTDA - 97900000 - 101/290/386/RS-342/285/392</t>
  </si>
  <si>
    <t>RUA MAURICIO SIROTSKI SOBRINHO, CACHOEIRINHA/RS/BRASIL (0,05 Km)</t>
  </si>
  <si>
    <t>VARIEDADES COM DE PLASTICOS LTDA (3.26 Km)</t>
  </si>
  <si>
    <t>LOJAS QUERO QUERO SA - 98960000</t>
  </si>
  <si>
    <t>496 Km</t>
  </si>
  <si>
    <t>1173,11 Km</t>
  </si>
  <si>
    <t>BBQ0496</t>
  </si>
  <si>
    <t>ADENILSON BESCOROVAINE</t>
  </si>
  <si>
    <t>47286568/2026</t>
  </si>
  <si>
    <t>AXO9616</t>
  </si>
  <si>
    <t>47287480/2026</t>
  </si>
  <si>
    <t>AUTO POSTO NOVA UBAENSE LTDA X LGCAJ - 393/116/050</t>
  </si>
  <si>
    <t>AUTO POSTO NOVA UBAENSE LTDA</t>
  </si>
  <si>
    <t>643,95 Km</t>
  </si>
  <si>
    <t>AUGUSTO DOS SANTOS BENTO</t>
  </si>
  <si>
    <t>47287911/2026</t>
  </si>
  <si>
    <t>RHX4B40</t>
  </si>
  <si>
    <t>47288244/2026</t>
  </si>
  <si>
    <t>BASE HOMOLOGADA - PALHOÇA (3.97 Km)</t>
  </si>
  <si>
    <t>RLO6I07</t>
  </si>
  <si>
    <t>RONALDO DE LIMA FONSECA</t>
  </si>
  <si>
    <t>BDK1A24</t>
  </si>
  <si>
    <t>47291400/2026</t>
  </si>
  <si>
    <t>JOAO ANDRE  GARLINI</t>
  </si>
  <si>
    <t>FGE1I82</t>
  </si>
  <si>
    <t>47299487/2026</t>
  </si>
  <si>
    <t>DEVOLUÇÃO</t>
  </si>
  <si>
    <t>BOCAYUVA X LGCAJ</t>
  </si>
  <si>
    <t>976,38 Km</t>
  </si>
  <si>
    <t>47300225/2026</t>
  </si>
  <si>
    <t>47300333/2026</t>
  </si>
  <si>
    <t>6006855 6006136</t>
  </si>
  <si>
    <t>47300422/2026</t>
  </si>
  <si>
    <t>CMAU8402510</t>
  </si>
  <si>
    <t>47301790/2026</t>
  </si>
  <si>
    <t>DRYU4263250</t>
  </si>
  <si>
    <t>47301807/2026</t>
  </si>
  <si>
    <t>DPWORLD - SANTOS X LG PENSKE - CAJAMAR (RODOANEL)</t>
  </si>
  <si>
    <t>145,14 Km</t>
  </si>
  <si>
    <t>BMOU3091984</t>
  </si>
  <si>
    <t>ECT7G51</t>
  </si>
  <si>
    <t>47301841/2026</t>
  </si>
  <si>
    <t>DPW WORLD (GJA) (2.63 Km)</t>
  </si>
  <si>
    <t>BEX7B37</t>
  </si>
  <si>
    <t>VALDECI MOREIRA DOS SANTOS</t>
  </si>
  <si>
    <t>ONEU1120901</t>
  </si>
  <si>
    <t>47302124/2026</t>
  </si>
  <si>
    <t>47305686/2026</t>
  </si>
  <si>
    <t>CONTRAIL LOGSTICA S/A X LGCAJ</t>
  </si>
  <si>
    <t>26,2 Km</t>
  </si>
  <si>
    <t>47306341/2026</t>
  </si>
  <si>
    <t>47306777/2026</t>
  </si>
  <si>
    <t>47306916/2026</t>
  </si>
  <si>
    <t>JORDANO MENDES, CAJAMAR/SP/BRASIL (0,05 Km)</t>
  </si>
  <si>
    <t>47308832/2026</t>
  </si>
  <si>
    <t>47308842/2026</t>
  </si>
  <si>
    <t>47310151/2026</t>
  </si>
  <si>
    <t>47311155/2026</t>
  </si>
  <si>
    <t>EPU9949</t>
  </si>
  <si>
    <t>47311188/2026</t>
  </si>
  <si>
    <t>ALBERTO GRASMANN, ITAPECERICA DA SERRA/SP/BRASIL (0,18 Km)</t>
  </si>
  <si>
    <t>50 Km</t>
  </si>
  <si>
    <t>ESU7372</t>
  </si>
  <si>
    <t>DANILO DA SILVA PEREIRA</t>
  </si>
  <si>
    <t>GCA8F89</t>
  </si>
  <si>
    <t>47311220/2026</t>
  </si>
  <si>
    <t>BTP - SANTOS (6.31 Km)</t>
  </si>
  <si>
    <t>TLM0A20</t>
  </si>
  <si>
    <t>EDILSON FERREIRA DOS SANTOS</t>
  </si>
  <si>
    <t>47311270/2026</t>
  </si>
  <si>
    <t>47311313/2026</t>
  </si>
  <si>
    <t>6015018 6015537</t>
  </si>
  <si>
    <t>BEK2E28</t>
  </si>
  <si>
    <t>47311649/2026</t>
  </si>
  <si>
    <t>RUA JOAO LIPINSKI, SAO JOSE DOS PINHAIS/PR/BRASIL (6,53 Km)</t>
  </si>
  <si>
    <t>GRUPO CASAS BAHIA S.A(CD1475) - 83085058 (0.20 Km)</t>
  </si>
  <si>
    <t>Perda de Sinal não gerado: veículo em LOG com previsão de Início de Viagem válida</t>
  </si>
  <si>
    <t>ALEXANDRE RICARDO FAVARO</t>
  </si>
  <si>
    <t>MJO6E20</t>
  </si>
  <si>
    <t>47311903/2026</t>
  </si>
  <si>
    <t>LGSCT X MAGAZINE LUIZA S/A (CD1500) - 43813400 - SC-416/101/376/116/381/116/324</t>
  </si>
  <si>
    <t>PATIO COOPERCARGO (FILIAL FEIRA DE SANTANA) - FSA (0.00 Km)</t>
  </si>
  <si>
    <t>RYO3B96</t>
  </si>
  <si>
    <t>ALEXANDRO CARDOSO VIEIRA</t>
  </si>
  <si>
    <t>47311996/2026</t>
  </si>
  <si>
    <t>47312181/2026</t>
  </si>
  <si>
    <t>47312209/2026</t>
  </si>
  <si>
    <t>DPWORLD - SANTOS X LG PENSKE - CAJAMAR - 101/SP-160/SP-021/050</t>
  </si>
  <si>
    <t>142,83 Km</t>
  </si>
  <si>
    <t>47312254/2026</t>
  </si>
  <si>
    <t>FDB0F84</t>
  </si>
  <si>
    <t>47312330/2026</t>
  </si>
  <si>
    <t>DP WORLD BRASIL - 11095710 X LGCAJ - 101/050/SP-021/050</t>
  </si>
  <si>
    <t>141,15 Km</t>
  </si>
  <si>
    <t>ESU7363</t>
  </si>
  <si>
    <t>WAGNER SALLES CASTILHO</t>
  </si>
  <si>
    <t>47313014/2026</t>
  </si>
  <si>
    <t>CMAU8322420</t>
  </si>
  <si>
    <t>47313165/2026</t>
  </si>
  <si>
    <t>ACESSO PARA RODOVIA SP-330, CAJAMAR/SP/BRASIL (0,79 Km)</t>
  </si>
  <si>
    <t>TCLU1835764</t>
  </si>
  <si>
    <t>47313213/2026</t>
  </si>
  <si>
    <t>BRAS CUBAS, BARUERI/SP/BRASIL (0,2 Km)</t>
  </si>
  <si>
    <t>CMAU8412098 / MSMU5750107</t>
  </si>
  <si>
    <t>47313305/2026</t>
  </si>
  <si>
    <t>6006368 6005090</t>
  </si>
  <si>
    <t>47313360/2026</t>
  </si>
  <si>
    <t>6015366 6015367</t>
  </si>
  <si>
    <t>47313377/2026</t>
  </si>
  <si>
    <t>LGCAJ X ATHIE WOHNRATH ASSOCIADOS PROJETOS CONSTRUCAO E GERENCIAMENTO LTDA - 13054709 - 050/SP-348 / VIPE</t>
  </si>
  <si>
    <t>ROD. SANTOS DUMONT - PISTA LATERAL, CAMPINAS/SP/BRASIL (0,16 Km)</t>
  </si>
  <si>
    <t>ATHIE WOHNRATH ASSOCIADOS PROJETOS, CONSTRUCAO E GERENCIAMENTO LTDA - 13054709</t>
  </si>
  <si>
    <t>58,98 Km</t>
  </si>
  <si>
    <t>47313559/2026</t>
  </si>
  <si>
    <t>GDH0I24</t>
  </si>
  <si>
    <t>47313805/2026</t>
  </si>
  <si>
    <t>LGSCT X LOJAS BECKER - 95800000</t>
  </si>
  <si>
    <t>VENANCIO AIRES/RS/BRASIL</t>
  </si>
  <si>
    <t>LOJAS BECKER - 95800000</t>
  </si>
  <si>
    <t>794,14 Km</t>
  </si>
  <si>
    <t>RDS1H61</t>
  </si>
  <si>
    <t>CARLOS ROBERTO ROSA</t>
  </si>
  <si>
    <t>47314306/2026</t>
  </si>
  <si>
    <t>47314325/2026</t>
  </si>
  <si>
    <t>AV. UNIÃO DOS FERROVIÁRIOS, JUNDIAI/SP/BRASIL (0,15 Km)</t>
  </si>
  <si>
    <t>47314617/2026</t>
  </si>
  <si>
    <t>47314658/2026</t>
  </si>
  <si>
    <t>13 km/h</t>
  </si>
  <si>
    <t>47314722/2026</t>
  </si>
  <si>
    <t>47314752/2026</t>
  </si>
  <si>
    <t>92 km/h</t>
  </si>
  <si>
    <t>ANHANGUERA, CAJAMAR/SP/BRASIL (0,06 Km)</t>
  </si>
  <si>
    <t>47314774/2026</t>
  </si>
  <si>
    <t>MAURO LINDEMBERG MONTEIRO, OSASCO/SP/BRASIL (0,15 Km)</t>
  </si>
  <si>
    <t>47314780/2026</t>
  </si>
  <si>
    <t>6008103 6007964</t>
  </si>
  <si>
    <t>47314816/2026</t>
  </si>
  <si>
    <t>6008188 6009185</t>
  </si>
  <si>
    <t>47314847/2026</t>
  </si>
  <si>
    <t>6007476 6007390</t>
  </si>
  <si>
    <t>47314864/2026</t>
  </si>
  <si>
    <t>47315022/2026</t>
  </si>
  <si>
    <t>2 km/h</t>
  </si>
  <si>
    <t>TIQ6E48</t>
  </si>
  <si>
    <t>RBE1E87</t>
  </si>
  <si>
    <t>47315156/2026</t>
  </si>
  <si>
    <t>LG CAJAMAR X SERRA VIA 393</t>
  </si>
  <si>
    <t>928,56 Km</t>
  </si>
  <si>
    <t>ALEFF AMORIM DOS SANTOS</t>
  </si>
  <si>
    <t>47315292/2026</t>
  </si>
  <si>
    <t>47315763/2026</t>
  </si>
  <si>
    <t>6014904/6014903</t>
  </si>
  <si>
    <t>MMK4B29</t>
  </si>
  <si>
    <t>47316178/2026</t>
  </si>
  <si>
    <t>LGSCT X CARREFOUR COMERCIO</t>
  </si>
  <si>
    <t>CAJATI/SP/BRASIL</t>
  </si>
  <si>
    <t>254 Km</t>
  </si>
  <si>
    <t>529,91 Km</t>
  </si>
  <si>
    <t>QHC6E98</t>
  </si>
  <si>
    <t>ADAILTON JOSE PUEHLER</t>
  </si>
  <si>
    <t>47316901/2026</t>
  </si>
  <si>
    <t>47317020/2026</t>
  </si>
  <si>
    <t>RUA CANDIDO JOSE DE OLIVEIRA, JUNDIAI/SP/BRASIL (0,12 Km)</t>
  </si>
  <si>
    <t>SGG6I62</t>
  </si>
  <si>
    <t>47317718/2026</t>
  </si>
  <si>
    <t>VIPE TRANSPORTE E LOGISTICA (1.83 Km)</t>
  </si>
  <si>
    <t>JULIANO DA SILVA BATISTA</t>
  </si>
  <si>
    <t>47318111/2026</t>
  </si>
  <si>
    <t>47318329/2026</t>
  </si>
  <si>
    <t>LGSCT X MAGAZINE LUIZA S/A (CD2500) - SC-416/376/116/SP-021/116/493</t>
  </si>
  <si>
    <t>RUA SAO SEBASTIAO DO ALTO, BARRA MANSA/RJ/BRASIL (6,82 Km)</t>
  </si>
  <si>
    <t>MAGAZINE LUIZA S/A (CD2500) - 25225015</t>
  </si>
  <si>
    <t>132 Km</t>
  </si>
  <si>
    <t>1032,59 Km</t>
  </si>
  <si>
    <t>6006935 6006065</t>
  </si>
  <si>
    <t>47318601/2026</t>
  </si>
  <si>
    <t>47318611/2026</t>
  </si>
  <si>
    <t>47318869/2026</t>
  </si>
  <si>
    <t>AV. UNIÃO DOS FERROVIÁRIOS, JUNDIAI/SP/BRASIL (0,14 Km)</t>
  </si>
  <si>
    <t>FRJ4B38</t>
  </si>
  <si>
    <t>47318966/2026</t>
  </si>
  <si>
    <t>RUA JOAO SCABIN, JUNDIAI/SP/BRASIL (0,07 Km)</t>
  </si>
  <si>
    <t>DPC9C27</t>
  </si>
  <si>
    <t>GILBERTO FERREIRA JUNIOR</t>
  </si>
  <si>
    <t>47319202/2026</t>
  </si>
  <si>
    <t>47319233/2026</t>
  </si>
  <si>
    <t>PORTO SANTOS GUARUJ - 11460001 X CONTRAIL LOGSTICA S/A - 13214205- PELO CENTRO 160</t>
  </si>
  <si>
    <t>47319300/2026</t>
  </si>
  <si>
    <t>87 km/h</t>
  </si>
  <si>
    <t>ACESSO PARA RODOVIA DOS BANDEIRANTES, JUNDIAI/SP/BRASIL (0,55 Km)</t>
  </si>
  <si>
    <t>47319670/2026</t>
  </si>
  <si>
    <t>47320327/2026</t>
  </si>
  <si>
    <t>6009982 6014437 6014438</t>
  </si>
  <si>
    <t>47320354/2026</t>
  </si>
  <si>
    <t>ALBERTO JACKSON BYINGTON, OSASCO/SP/BRASIL (0,04 Km)</t>
  </si>
  <si>
    <t>47320360/2026</t>
  </si>
  <si>
    <t>47320371/2026</t>
  </si>
  <si>
    <t>47320436/2026</t>
  </si>
  <si>
    <t>EKH0I62</t>
  </si>
  <si>
    <t>47321027/2026</t>
  </si>
  <si>
    <t>LGCAJ X WMB SUPERMERCADOS DO BRASIL LTDA - 72549901</t>
  </si>
  <si>
    <t>WMB SUPERMERCADOS DO BRASIL LTDA. - 72549901</t>
  </si>
  <si>
    <t>943,35 Km</t>
  </si>
  <si>
    <t>JEFFERSON OLIVEIRA DA SILVA</t>
  </si>
  <si>
    <t>PCH2F15</t>
  </si>
  <si>
    <t>47321264/2026</t>
  </si>
  <si>
    <t>AV PAULO ROBERTO DE SOUZA, CABEDELO/PB/BRASIL (0,71 Km)</t>
  </si>
  <si>
    <t>PATIO NDTEX - JABO (34.54 Km)</t>
  </si>
  <si>
    <t>SVB2F40</t>
  </si>
  <si>
    <t>ANTONIO MAIA FILHO</t>
  </si>
  <si>
    <t>47321662/2026</t>
  </si>
  <si>
    <t>JORDANO MENDES, CAJAMAR/SP/BRASIL (0,01 Km)</t>
  </si>
  <si>
    <t>47322105/2026</t>
  </si>
  <si>
    <t>MAURO LINDEMBERG MONTEIRO, OSASCO/SP/BRASIL (0,04 Km)</t>
  </si>
  <si>
    <t>47322138/2026</t>
  </si>
  <si>
    <t>DTA7E56</t>
  </si>
  <si>
    <t>47322193/2026</t>
  </si>
  <si>
    <t>41 km/h</t>
  </si>
  <si>
    <t>FERNANDO PESSOA, SAO BERNARDO DO CAMPO/SP/BRASIL (0,07 Km)</t>
  </si>
  <si>
    <t>BTP - SANTOS (2.15 Km)</t>
  </si>
  <si>
    <t>BXE2C87</t>
  </si>
  <si>
    <t>RICARDO DOS SANTOS CUNHA</t>
  </si>
  <si>
    <t>47322271/2026</t>
  </si>
  <si>
    <t>LZX0A55</t>
  </si>
  <si>
    <t>47322316/2026</t>
  </si>
  <si>
    <t>VIPE TRANSPORTE E LOGISTICA (2.31 Km)</t>
  </si>
  <si>
    <t>CARLOS ATENOR VIEIRA</t>
  </si>
  <si>
    <t>47322434/2026</t>
  </si>
  <si>
    <t>47322487/2026</t>
  </si>
  <si>
    <t>47322513/2026</t>
  </si>
  <si>
    <t>47322525/2026</t>
  </si>
  <si>
    <t>RUA DEZOITO, CAMPO LIMPO PAULISTA/SP/BRASIL (8,43 Km)</t>
  </si>
  <si>
    <t>47322553/2026</t>
  </si>
  <si>
    <t>47322572/2026</t>
  </si>
  <si>
    <t>GGN5I80</t>
  </si>
  <si>
    <t>47322667/2026</t>
  </si>
  <si>
    <t>BTP - SANTOS (1.50 Km)</t>
  </si>
  <si>
    <t>MIT8J83</t>
  </si>
  <si>
    <t>CESAR BARTANHA</t>
  </si>
  <si>
    <t>47322709/2026</t>
  </si>
  <si>
    <t>47322836/2026</t>
  </si>
  <si>
    <t>ISA0J45</t>
  </si>
  <si>
    <t>47323802/2026</t>
  </si>
  <si>
    <t>PARCEIRO RODOBRAS - LAJEADO RS (76.81 Km)</t>
  </si>
  <si>
    <t>IQX1J10</t>
  </si>
  <si>
    <t>JAIR LUIZ FUCHS</t>
  </si>
  <si>
    <t>MIO9A92</t>
  </si>
  <si>
    <t>47324507/2026</t>
  </si>
  <si>
    <t>38 km/h</t>
  </si>
  <si>
    <t>RUA RECIFE, JUNDIAI/SP/BRASIL (0,16 Km)</t>
  </si>
  <si>
    <t>EBAZAR.COM.BR. LTDA - 06806400 (7.84 Km)</t>
  </si>
  <si>
    <t>UET0C38</t>
  </si>
  <si>
    <t>ALLEN WELLIGTON DA SILVA</t>
  </si>
  <si>
    <t>EGJ7H37</t>
  </si>
  <si>
    <t>47324580/2026</t>
  </si>
  <si>
    <t>LGSCT X CARREFOUR COMERCIO E INDUSTRIA LTDA - 91060410 (SC-108)</t>
  </si>
  <si>
    <t>RODOVIA SC-474, BLUMENAU/SC/BRASIL (1,24 Km)</t>
  </si>
  <si>
    <t>VIPE TRANSPORTE E LOGISTICA (2.82 Km)</t>
  </si>
  <si>
    <t>579 Km</t>
  </si>
  <si>
    <t>721,34 Km</t>
  </si>
  <si>
    <t>TJX2C67</t>
  </si>
  <si>
    <t>JEFFERSON LIMA DE SOUZA</t>
  </si>
  <si>
    <t>MCI2267</t>
  </si>
  <si>
    <t>47324805/2026</t>
  </si>
  <si>
    <t>MARCOS ROBERTO NUNES</t>
  </si>
  <si>
    <t>47325002/2026</t>
  </si>
  <si>
    <t>47325016/2026</t>
  </si>
  <si>
    <t>47325038/2026</t>
  </si>
  <si>
    <t>ROD. DOS BANDEIRANTES, CAJAMAR/SP/BRASIL (0,03 Km)</t>
  </si>
  <si>
    <t>15 Km</t>
  </si>
  <si>
    <t>47325081/2026</t>
  </si>
  <si>
    <t>47328408/2026</t>
  </si>
  <si>
    <t>47329081/2026</t>
  </si>
  <si>
    <t>DTD7B73</t>
  </si>
  <si>
    <t>47329543/2026</t>
  </si>
  <si>
    <t>LGCAJ X ELETROMAR MOVEIS E ELETRODOMESTICOS LTDA - 78455000 050</t>
  </si>
  <si>
    <t>CGB - PHEX TRANSPORTE E TURISMO AG (177.96 Km)</t>
  </si>
  <si>
    <t>1833,25 Km</t>
  </si>
  <si>
    <t>DAVISON RIBEIRO CHAGAS</t>
  </si>
  <si>
    <t>47330181/2026</t>
  </si>
  <si>
    <t>47330225/2026</t>
  </si>
  <si>
    <t>6007551 6007564</t>
  </si>
  <si>
    <t>47330260/2026</t>
  </si>
  <si>
    <t>6007016 6009343</t>
  </si>
  <si>
    <t>47330291/2026</t>
  </si>
  <si>
    <t>47330519/2026</t>
  </si>
  <si>
    <t>47330533/2026</t>
  </si>
  <si>
    <t>47330558/2026</t>
  </si>
  <si>
    <t>47330608/2026</t>
  </si>
  <si>
    <t>47330620/2026</t>
  </si>
  <si>
    <t>47330942/2026</t>
  </si>
  <si>
    <t>IHU0321</t>
  </si>
  <si>
    <t>47332854/2026</t>
  </si>
  <si>
    <t>RODOVIA RS 118, SAPUCAIA DO SUL/RS/BRASIL (0,4 Km)</t>
  </si>
  <si>
    <t>MATRIZ RODOBRAS  (1.23 Km)</t>
  </si>
  <si>
    <t>JTC6823</t>
  </si>
  <si>
    <t>THIAGO DE ASSIS MOREIRA</t>
  </si>
  <si>
    <t>47332924/2026</t>
  </si>
  <si>
    <t>ANHANGUERA, CAJAMAR/SP/BRASIL (0 Km)</t>
  </si>
  <si>
    <t>16 Km</t>
  </si>
  <si>
    <t>47332959/2026</t>
  </si>
  <si>
    <t>47332972/2026</t>
  </si>
  <si>
    <t>47333160/2026</t>
  </si>
  <si>
    <t>47333172/2026</t>
  </si>
  <si>
    <t>LGSCT X GRU X LOJAS CEM SA - 13329903</t>
  </si>
  <si>
    <t>82 Km</t>
  </si>
  <si>
    <t>614,11 Km</t>
  </si>
  <si>
    <t>6006442 6006781</t>
  </si>
  <si>
    <t>47333361/2026</t>
  </si>
  <si>
    <t>PAULO ROBERTO DA SILVA</t>
  </si>
  <si>
    <t>47333780/2026</t>
  </si>
  <si>
    <t>83 Km</t>
  </si>
  <si>
    <t>47333853/2026</t>
  </si>
  <si>
    <t>LGSCT X CWB X LOJAS CEM SA - 13329903</t>
  </si>
  <si>
    <t>ARZ0469</t>
  </si>
  <si>
    <t>47334406/2026</t>
  </si>
  <si>
    <t>281 Km</t>
  </si>
  <si>
    <t>47334484/2026</t>
  </si>
  <si>
    <t>47334496/2026</t>
  </si>
  <si>
    <t>47334974/2026</t>
  </si>
  <si>
    <t>47335339/2026</t>
  </si>
  <si>
    <t>EOE5822</t>
  </si>
  <si>
    <t>47335809/2026</t>
  </si>
  <si>
    <t>LGCAJ X FS DISTRIBUIDORA DE MOVEIS E ELETRODOMESTICOS LTDA - 65917010 - 050/365/153/226/010</t>
  </si>
  <si>
    <t>IMPERATRIZ/MA/BRASIL</t>
  </si>
  <si>
    <t>BASE CABRAL NC TRANSPORTES - SÃO LUÍS/MA (478.31 Km)</t>
  </si>
  <si>
    <t>FS DISTRIBUIDORA DE MOVEIS E ELETRODOMESTICOS LTDA. - 65917010</t>
  </si>
  <si>
    <t>RONALDO SILVA NASCIMENTO</t>
  </si>
  <si>
    <t>FDCU0353029</t>
  </si>
  <si>
    <t>47336034/2026</t>
  </si>
  <si>
    <t>RODOVIA RODOANEL MARIO COVAS, SAO PAULO/SP/BRASIL (0,04 Km)</t>
  </si>
  <si>
    <t>47336173/2026</t>
  </si>
  <si>
    <t>AV. ANTÔNIO FREDERICO OZANAN, JUNDIAI/SP/BRASIL (0,08 Km)</t>
  </si>
  <si>
    <t>6014669/6014668</t>
  </si>
  <si>
    <t>QHG7817</t>
  </si>
  <si>
    <t>47336241/2026</t>
  </si>
  <si>
    <t>SALTO/SP/BRASIL</t>
  </si>
  <si>
    <t>PONTO DE APOIO MINAS SUL - JOINVILLE (0.19 Km)</t>
  </si>
  <si>
    <t>TPW6F13</t>
  </si>
  <si>
    <t>CELSO POSANSKI</t>
  </si>
  <si>
    <t>NYKU4768151</t>
  </si>
  <si>
    <t>47336731/2026</t>
  </si>
  <si>
    <t>TCNU5979068</t>
  </si>
  <si>
    <t>47336750/2026</t>
  </si>
  <si>
    <t>SEKU4391674</t>
  </si>
  <si>
    <t>47336974/2026</t>
  </si>
  <si>
    <t>47337193/2026</t>
  </si>
  <si>
    <t>47337790/2026</t>
  </si>
  <si>
    <t>MSDU7241606</t>
  </si>
  <si>
    <t>47337868/2026</t>
  </si>
  <si>
    <t>ONEU1477102</t>
  </si>
  <si>
    <t>47337900/2026</t>
  </si>
  <si>
    <t>ONEU0490481 / TGBU5604591</t>
  </si>
  <si>
    <t>47337927/2026</t>
  </si>
  <si>
    <t>47338437/2026</t>
  </si>
  <si>
    <t>47338447/2026</t>
  </si>
  <si>
    <t>47338464/2026</t>
  </si>
  <si>
    <t>47338522/2026</t>
  </si>
  <si>
    <t>Início De Viagem / TRATATIVA  INTERNA</t>
  </si>
  <si>
    <t>47338525/2026</t>
  </si>
  <si>
    <t>LGCAJ X LG ELECTRONICS DO BRASIL LTDA - 04583110</t>
  </si>
  <si>
    <t>LG ELECTRONICS DO BRASIL LTDA. - 04583110</t>
  </si>
  <si>
    <t>43,36 Km</t>
  </si>
  <si>
    <t>IYX1546</t>
  </si>
  <si>
    <t>47339150/2026</t>
  </si>
  <si>
    <t>LGCAJ X RAMIRO CAMPELO COMERCIO DE UTILIDADES LTDA - 29173795 - 050/116/101</t>
  </si>
  <si>
    <t>AV. MARGINAL B, SAO JOSE DOS CAMPOS/SP/BRASIL (0,26 Km)</t>
  </si>
  <si>
    <t>POSTO MAXIMUS (214.35 Km)</t>
  </si>
  <si>
    <t>RAMIRO CAMPELO COMERCIO DE UTILIDADES LTDA - 29173795</t>
  </si>
  <si>
    <t>882 Km</t>
  </si>
  <si>
    <t>998,6 Km</t>
  </si>
  <si>
    <t>NSQ1A30</t>
  </si>
  <si>
    <t>IVO ALVES</t>
  </si>
  <si>
    <t>47339156/2026</t>
  </si>
  <si>
    <t>ROAN. CONTORNO SUL, CURITIBA/PR/BRASIL (0 Km)</t>
  </si>
  <si>
    <t>BTR6154</t>
  </si>
  <si>
    <t>47339297/2026</t>
  </si>
  <si>
    <t>EMJ LOGISTIC</t>
  </si>
  <si>
    <t>EBAZAR.COM.BR LTDA. - 05275000 (0.41 Km)</t>
  </si>
  <si>
    <t>LEONARDO GUIMARES DA SILVA</t>
  </si>
  <si>
    <t>LUN8B55</t>
  </si>
  <si>
    <t>47339740/2026</t>
  </si>
  <si>
    <t>LGCAJ X MAZER DISTRIBUIDORA LTDA - 29170740 - SP-354/SP-065/116/493/101</t>
  </si>
  <si>
    <t>RUA J LOPES, SERRA/ES/BRASIL (0,05 Km)</t>
  </si>
  <si>
    <t>1020,29 Km</t>
  </si>
  <si>
    <t>HTS1D77</t>
  </si>
  <si>
    <t>WARLAS LIMA CALDAS</t>
  </si>
  <si>
    <t>47339778/2026</t>
  </si>
  <si>
    <t>47340167/2026</t>
  </si>
  <si>
    <t>47340601/2026</t>
  </si>
  <si>
    <t>LGCAJ X NM KSM LOG 2 EMPREENDIMENTOS LOGISTICOS SPE LTDA - 07175090</t>
  </si>
  <si>
    <t>ESTR CAPUAVA, GUARULHOS/SP/BRASIL (0,02 Km)</t>
  </si>
  <si>
    <t>NM KSM LOG 2 EMPREENDIMENTOS LOGÍSTICOS SPE LTDA - 07175090</t>
  </si>
  <si>
    <t>66,51 Km</t>
  </si>
  <si>
    <t>47341031/2026</t>
  </si>
  <si>
    <t>47341234/2026</t>
  </si>
  <si>
    <t>AZS7C31</t>
  </si>
  <si>
    <t>47341239/2026</t>
  </si>
  <si>
    <t>LGCAJ X CONDOR SUPER CENTER LTDA - 81930165</t>
  </si>
  <si>
    <t>CAMINHO, CURITIBA/PR/BRASIL (47,73 Km)</t>
  </si>
  <si>
    <t>RODOPENHA - MATRIZ (0.36 Km)</t>
  </si>
  <si>
    <t>CONDOR SUPER CENTER LTDA. - 81930165</t>
  </si>
  <si>
    <t>432,07 Km</t>
  </si>
  <si>
    <t>TCO7H40</t>
  </si>
  <si>
    <t>CAIO CESAR COUTINHO LOPES</t>
  </si>
  <si>
    <t>47341388/2026</t>
  </si>
  <si>
    <t>189 Km</t>
  </si>
  <si>
    <t>47341557/2026</t>
  </si>
  <si>
    <t>IDD8963</t>
  </si>
  <si>
    <t>47341834/2026</t>
  </si>
  <si>
    <t>RODOVIA BR 287, SANTA CRUZ DO SUL/RS/BRASIL (7,81 Km)</t>
  </si>
  <si>
    <t>HUB_WMS RS_ CLIENTE_PORTO ALEGRE RS (0.35 Km)</t>
  </si>
  <si>
    <t>IVAN MACHADO SILVEIRA</t>
  </si>
  <si>
    <t>6010936 6014905 6020562 6020562 6020573 5021314</t>
  </si>
  <si>
    <t>47342236/2026</t>
  </si>
  <si>
    <t>ALCEU FELIPE ALMEIDA FRANCO</t>
  </si>
  <si>
    <t>JBH3D90</t>
  </si>
  <si>
    <t>47342649/2026</t>
  </si>
  <si>
    <t>MAGAZINE LUIZA S/A (CD0550) - 88317100 (0.28 Km)</t>
  </si>
  <si>
    <t>QJS4306</t>
  </si>
  <si>
    <t>WALLAN JONES DOS SANTOS</t>
  </si>
  <si>
    <t>47342799/2026</t>
  </si>
  <si>
    <t>6005081 6007387</t>
  </si>
  <si>
    <t>47342826/2026</t>
  </si>
  <si>
    <t>47342857/2026</t>
  </si>
  <si>
    <t>47342898/2026</t>
  </si>
  <si>
    <t>6020793/6020791</t>
  </si>
  <si>
    <t>47343920/2026</t>
  </si>
  <si>
    <t>47344358/2026</t>
  </si>
  <si>
    <t>47344381/2026</t>
  </si>
  <si>
    <t>MFD0D86</t>
  </si>
  <si>
    <t>47344424/2026</t>
  </si>
  <si>
    <t>LGSCT X HAVAN BARRA VELHA 2026</t>
  </si>
  <si>
    <t>WSC MATRIZ - ITAJAÍ/SC (10.35 Km)</t>
  </si>
  <si>
    <t>HAVAN - BARRA VELHA</t>
  </si>
  <si>
    <t>MIZ7561</t>
  </si>
  <si>
    <t>GIOVANNI GOMES DE AZEVEDO</t>
  </si>
  <si>
    <t>QHE1A25</t>
  </si>
  <si>
    <t>47344586/2026</t>
  </si>
  <si>
    <t>LGCAJ X EUGENIO RAULINO KOERICH S/A COM IND - 88160580</t>
  </si>
  <si>
    <t>RUA JOAO PAULO SOUZA, BIGUACU/SC/BRASIL (6,01 Km)</t>
  </si>
  <si>
    <t>PONTO DE APOIO MINAS SUL - JOINVILLE (7.79 Km)</t>
  </si>
  <si>
    <t>687,4 Km</t>
  </si>
  <si>
    <t>MJB6074</t>
  </si>
  <si>
    <t>ANGEL FLORES Y GASPAR</t>
  </si>
  <si>
    <t>47344724/2026</t>
  </si>
  <si>
    <t>168,78 Km</t>
  </si>
  <si>
    <t>47344907/2026</t>
  </si>
  <si>
    <t>6007362 6007479</t>
  </si>
  <si>
    <t>47344960/2026</t>
  </si>
  <si>
    <t>47344990/2026</t>
  </si>
  <si>
    <t>47345170/2026</t>
  </si>
  <si>
    <t>ROD. MÁXIMO JAMUR, ITAPOA/SC/BRASIL (35,45 Km)</t>
  </si>
  <si>
    <t>6013427 6012845</t>
  </si>
  <si>
    <t>47345322/2026</t>
  </si>
  <si>
    <t>LGCAJ X WEBCONTINENTAL X FAST SHOP X KABUM X GPS</t>
  </si>
  <si>
    <t>GPS TEC SISTEMAS ELETRONICOS DE SEGURANCA LTDA - 29066040</t>
  </si>
  <si>
    <t>75 Km</t>
  </si>
  <si>
    <t>1081,79 Km</t>
  </si>
  <si>
    <t>47345634/2026</t>
  </si>
  <si>
    <t>47345739/2026</t>
  </si>
  <si>
    <t>47345777/2026</t>
  </si>
  <si>
    <t>47346627/2026</t>
  </si>
  <si>
    <t>AQR5207</t>
  </si>
  <si>
    <t>47346841/2026</t>
  </si>
  <si>
    <t>47347105/2026</t>
  </si>
  <si>
    <t>LGCAJ/LOJAS CEM SA - 13329903 (SP348)</t>
  </si>
  <si>
    <t>80,91 Km</t>
  </si>
  <si>
    <t>ETU7H12</t>
  </si>
  <si>
    <t>ETU8G43</t>
  </si>
  <si>
    <t>47347120/2026</t>
  </si>
  <si>
    <t>GRUPO LTA  (0.01 Km)</t>
  </si>
  <si>
    <t>JWE5B96</t>
  </si>
  <si>
    <t>JOAO LOPES BATISTA</t>
  </si>
  <si>
    <t>EJC4I69</t>
  </si>
  <si>
    <t>47347676/2026</t>
  </si>
  <si>
    <t>NSK8B75</t>
  </si>
  <si>
    <t>JOSIEL LOPES DA SILVA</t>
  </si>
  <si>
    <t>47347862/2026</t>
  </si>
  <si>
    <t>CAMPINAS, BARUERI/SP/BRASIL (0,1 Km)</t>
  </si>
  <si>
    <t>1819 Km</t>
  </si>
  <si>
    <t>RHT4B40</t>
  </si>
  <si>
    <t>47348148/2026</t>
  </si>
  <si>
    <t>HAVAN - BARRA VELHA (0.00 Km)</t>
  </si>
  <si>
    <t>RLO6I57</t>
  </si>
  <si>
    <t>ABNER CAMPIDELLI</t>
  </si>
  <si>
    <t>47349957/2026</t>
  </si>
  <si>
    <t>QJQ0D01</t>
  </si>
  <si>
    <t>47350887/2026</t>
  </si>
  <si>
    <t>LGCAJ X CWB X A ANGELONI E CIA LTDA - 88210000</t>
  </si>
  <si>
    <t>RUA 334, PORTO BELO/SC/BRASIL (2,14 Km)</t>
  </si>
  <si>
    <t>BS TRUCK CENTER PARCEIRO PANTOS (2.28 Km)</t>
  </si>
  <si>
    <t>GIULIARD JOSE ALBINO</t>
  </si>
  <si>
    <t>47351144/2026</t>
  </si>
  <si>
    <t>47351890/2026</t>
  </si>
  <si>
    <t>47352416/2026</t>
  </si>
  <si>
    <t>TIJU X LGCAJ VIA RUA ABAIXO DA PENSKE</t>
  </si>
  <si>
    <t>ANHANGUERA, CAJAMAR/SP/BRASIL (0,14 Km)</t>
  </si>
  <si>
    <t>28,98 Km</t>
  </si>
  <si>
    <t>47353174/2026</t>
  </si>
  <si>
    <t>47353284/2026</t>
  </si>
  <si>
    <t>RUA JOAO BURCK, LOUVEIRA/SP/BRASIL (2,58 Km)</t>
  </si>
  <si>
    <t>MIL3F25</t>
  </si>
  <si>
    <t>47353493/2026</t>
  </si>
  <si>
    <t>47353718/2026</t>
  </si>
  <si>
    <t>47354562/2026</t>
  </si>
  <si>
    <t>47354567/2026</t>
  </si>
  <si>
    <t>47354595/2026</t>
  </si>
  <si>
    <t>LGSCT X BASE EALE - PALHOA/SC - SC-416/101/282 / EALE</t>
  </si>
  <si>
    <t>RUA GOVERNADOR PEDRO IVO CAMPOS, PALHOCA/SC/BRASIL (0,03 Km)</t>
  </si>
  <si>
    <t>BASE EALE - PALHOÇA/SC</t>
  </si>
  <si>
    <t>DTD0H06</t>
  </si>
  <si>
    <t>47355633/2026</t>
  </si>
  <si>
    <t>RUA IGNEZ DE SOUZA SOARES, CURITIBA/PR/BRASIL (0,15 Km)</t>
  </si>
  <si>
    <t>47355759/2026</t>
  </si>
  <si>
    <t>47356018/2026</t>
  </si>
  <si>
    <t>R. HUMAITÁ, VARZEA PAULISTA/SP/BRASIL (0,98 Km)</t>
  </si>
  <si>
    <t>6007949 6008170</t>
  </si>
  <si>
    <t>47356105/2026</t>
  </si>
  <si>
    <t>RUA GUIDO NANO, JUNDIAI/SP/BRASIL (0,11 Km)</t>
  </si>
  <si>
    <t>47357213/2026</t>
  </si>
  <si>
    <t>TIJU X CONDOR SUPER CENTER CURITIBA (VIA BANDEIRANTES)</t>
  </si>
  <si>
    <t>CAMINHO, CURITIBA/PR/BRASIL (47,71 Km)</t>
  </si>
  <si>
    <t>457,45 Km</t>
  </si>
  <si>
    <t>6021376 6021377</t>
  </si>
  <si>
    <t>ANK9G70</t>
  </si>
  <si>
    <t>47358658/2026</t>
  </si>
  <si>
    <t>LGSCT X REVISEO COMERCIO E INDUSTRIA LTDA - 12952361</t>
  </si>
  <si>
    <t>MUNICIPAL, ATIBAIA/SP/BRASIL (15,7 Km)</t>
  </si>
  <si>
    <t>PENSKE LOGISTICS DO BRASIL LTDA. - 07775240 (0.17 Km)</t>
  </si>
  <si>
    <t>REVISEO COMERCIO E INDUSTRIA LTDA - 12952361</t>
  </si>
  <si>
    <t>AJG7F55</t>
  </si>
  <si>
    <t>LEVI CARDOSO FERREIRA</t>
  </si>
  <si>
    <t>47358922/2026</t>
  </si>
  <si>
    <t>47359282/2026</t>
  </si>
  <si>
    <t>78 km/h</t>
  </si>
  <si>
    <t>ANHANGUERA, CAJAMAR/SP/BRASIL (0,01 Km)</t>
  </si>
  <si>
    <t>47359742/2026</t>
  </si>
  <si>
    <t>LGCAJ X MENTORE BANK LTDA - 06454000 - 050/374 / VIPE</t>
  </si>
  <si>
    <t>RUA HUNGRIA, SAO PAULO/SP/BRASIL (0 Km)</t>
  </si>
  <si>
    <t>MENTORE BANK LTDA - 06454000</t>
  </si>
  <si>
    <t>25,68 Km</t>
  </si>
  <si>
    <t>6013990/6020986</t>
  </si>
  <si>
    <t>47359828/2026</t>
  </si>
  <si>
    <t>47362084/2026</t>
  </si>
  <si>
    <t>47363390/2026</t>
  </si>
  <si>
    <t>47363419/2026</t>
  </si>
  <si>
    <t>6008154 6007424</t>
  </si>
  <si>
    <t>47363869/2026</t>
  </si>
  <si>
    <t>ABZ5A09</t>
  </si>
  <si>
    <t>47363886/2026</t>
  </si>
  <si>
    <t>RODOPENHA - MATRIZ (15.68 Km)</t>
  </si>
  <si>
    <t>FOG1C83</t>
  </si>
  <si>
    <t>JOSENALDO DOS SANTOS OLIVEIRA</t>
  </si>
  <si>
    <t>47364170/2026</t>
  </si>
  <si>
    <t>TIJUCAS/SC/BRASIL</t>
  </si>
  <si>
    <t>47364604/2026</t>
  </si>
  <si>
    <t>LGSCT X JOI X POA X BENOIT ELETRODOMESTICOS LTDA - 95901150</t>
  </si>
  <si>
    <t>BENOIT ELETRODOMESTICOS LTDA - 95901150</t>
  </si>
  <si>
    <t>722 Km</t>
  </si>
  <si>
    <t>791,19 Km</t>
  </si>
  <si>
    <t>ANR1F93</t>
  </si>
  <si>
    <t>47364983/2026</t>
  </si>
  <si>
    <t>79379491002399 (0.84 Km)</t>
  </si>
  <si>
    <t>LXX3G54</t>
  </si>
  <si>
    <t>FABIANO ROQUE DECOL</t>
  </si>
  <si>
    <t>47365438/2026</t>
  </si>
  <si>
    <t>RODOVIA BR-101, CABO DE SANTO AGOSTINHO/PE/BRASIL (12,06 Km)</t>
  </si>
  <si>
    <t>6010493 6010471</t>
  </si>
  <si>
    <t>47365474/2026</t>
  </si>
  <si>
    <t>6007344 6009723</t>
  </si>
  <si>
    <t>47365478/2026</t>
  </si>
  <si>
    <t>47365674/2026</t>
  </si>
  <si>
    <t>47365953/2026</t>
  </si>
  <si>
    <t>47366006/2026</t>
  </si>
  <si>
    <t>47366039/2026</t>
  </si>
  <si>
    <t>ROD. ANHANGÜERA, JUNDIAI/SP/BRASIL (0,02 Km)</t>
  </si>
  <si>
    <t>47366102/2026</t>
  </si>
  <si>
    <t>MGR4D96</t>
  </si>
  <si>
    <t>47366366/2026</t>
  </si>
  <si>
    <t>LGSCT X LG ELECTRONICS DO BRASIL LTDA - 12091000</t>
  </si>
  <si>
    <t>VIVA GLOBAL CARGO SERVICOS LOGÍSTICOS (5.67 Km)</t>
  </si>
  <si>
    <t>MLV6C67</t>
  </si>
  <si>
    <t>THIAGO SCOZ</t>
  </si>
  <si>
    <t>GGK3E53</t>
  </si>
  <si>
    <t>47366684/2026</t>
  </si>
  <si>
    <t>EST.VELHA DO BARIGUI, CURITIBA/PR/BRASIL (0,01 Km)</t>
  </si>
  <si>
    <t>TRANSPORTES RODOWAY - MATRIZ (0.00 Km)</t>
  </si>
  <si>
    <t>TBJ4J32</t>
  </si>
  <si>
    <t>HELIO JOSE DA SILVA</t>
  </si>
  <si>
    <t>47366909/2026</t>
  </si>
  <si>
    <t>47367019/2026</t>
  </si>
  <si>
    <t>47367258/2026</t>
  </si>
  <si>
    <t>RUA ADELINO MACHADO, BIGUACU/SC/BRASIL (0,01 Km)</t>
  </si>
  <si>
    <t>47367379/2026</t>
  </si>
  <si>
    <t>47367462/2026</t>
  </si>
  <si>
    <t>ROAN. MARIO COVAS, OSASCO/SP/BRASIL (0,15 Km)</t>
  </si>
  <si>
    <t>101 Km</t>
  </si>
  <si>
    <t>ARZ0471</t>
  </si>
  <si>
    <t>47367683/2026</t>
  </si>
  <si>
    <t>CERRO LARGO/RS/BRASIL</t>
  </si>
  <si>
    <t>ASP3757</t>
  </si>
  <si>
    <t>47368121/2026</t>
  </si>
  <si>
    <t>47368287/2026</t>
  </si>
  <si>
    <t>ASP3758</t>
  </si>
  <si>
    <t>6015024 6021359 6021660</t>
  </si>
  <si>
    <t>GFZ6E45</t>
  </si>
  <si>
    <t>47368912/2026</t>
  </si>
  <si>
    <t>MAURICIO JOSE COSTA NUNES</t>
  </si>
  <si>
    <t>SXK1J73</t>
  </si>
  <si>
    <t>47369145/2026</t>
  </si>
  <si>
    <t>66 km/h</t>
  </si>
  <si>
    <t>BALNEARIO PICARRAS/SC/BRASIL</t>
  </si>
  <si>
    <t>MATRIZ BENDINI - 88385000 (0.00 Km)</t>
  </si>
  <si>
    <t>SXW7C02</t>
  </si>
  <si>
    <t>GERALDO</t>
  </si>
  <si>
    <t>47369199/2026</t>
  </si>
  <si>
    <t>47369327/2026</t>
  </si>
  <si>
    <t>LGCAJ X GRU X CWB X LOJAS COLOMBO SA COMERCIO DE UTILIDADES DOMESTICAS - 92480000</t>
  </si>
  <si>
    <t>JOAO DE GOES, BARUERI/SP/BRASIL (0,48 Km)</t>
  </si>
  <si>
    <t>LOJAS COLOMBO SA COMERCIO DE UTILIDADES DOMESTICAS - 92480000</t>
  </si>
  <si>
    <t>1166 Km</t>
  </si>
  <si>
    <t>1205,35 Km</t>
  </si>
  <si>
    <t>AUJ0919</t>
  </si>
  <si>
    <t>47369689/2026</t>
  </si>
  <si>
    <t>PORTO SANTOS GUARUJ - 11460001 X CONTRAIL LOGSTICA S/A - 13214205- POR CAJAMAR</t>
  </si>
  <si>
    <t>47369727/2026</t>
  </si>
  <si>
    <t>LGCAJ X CWB X LOJAS COLOMBO SA COMERCIO DE UTILIDADES DOMESTICAS - 92480000</t>
  </si>
  <si>
    <t>CAMINHO, CURITIBA/PR/BRASIL (48,95 Km)</t>
  </si>
  <si>
    <t>47370199/2026</t>
  </si>
  <si>
    <t>RXX8D64</t>
  </si>
  <si>
    <t>47370606/2026</t>
  </si>
  <si>
    <t>EBAZAR.COM.BR. LTDA - 06806400 (3.28 Km)</t>
  </si>
  <si>
    <t>QUILION BARBOSA DE SOUSA</t>
  </si>
  <si>
    <t>47370610/2026</t>
  </si>
  <si>
    <t>SANTO AMARO DA IMPERATRIZ/SC/BRASIL</t>
  </si>
  <si>
    <t>47370676/2026</t>
  </si>
  <si>
    <t>47371187/2026</t>
  </si>
  <si>
    <t>PPN4E87</t>
  </si>
  <si>
    <t>47371213/2026</t>
  </si>
  <si>
    <t>LEIDIMAR DOS SANTOS SEVERO</t>
  </si>
  <si>
    <t>47371266/2026</t>
  </si>
  <si>
    <t>47371577/2026</t>
  </si>
  <si>
    <t>JAS5J16</t>
  </si>
  <si>
    <t>47372509/2026</t>
  </si>
  <si>
    <t>744 Km</t>
  </si>
  <si>
    <t>ACIR SANDESKI</t>
  </si>
  <si>
    <t>47373250/2026</t>
  </si>
  <si>
    <t>47373356/2026</t>
  </si>
  <si>
    <t>47373369/2026</t>
  </si>
  <si>
    <t>47373380/2026</t>
  </si>
  <si>
    <t>47373401/2026</t>
  </si>
  <si>
    <t>47373419/2026</t>
  </si>
  <si>
    <t>JEFFERSON ROLIM DE SIQUEIRA</t>
  </si>
  <si>
    <t>47374785/2026</t>
  </si>
  <si>
    <t>AV SAO PAULO, CAJAMAR/SP/BRASIL (0,06 Km)</t>
  </si>
  <si>
    <t>KKD3A19</t>
  </si>
  <si>
    <t>47374840/2026</t>
  </si>
  <si>
    <t>RODOVIA BR-101, CABO DE SANTO AGOSTINHO/PE/BRASIL (11,44 Km)</t>
  </si>
  <si>
    <t>SULOG PÁTIO DE TRIAGEM (0.01 Km)</t>
  </si>
  <si>
    <t>MMS0790</t>
  </si>
  <si>
    <t>MAURICIO TOMAZ DOS SANTOS</t>
  </si>
  <si>
    <t>47376039/2026</t>
  </si>
  <si>
    <t>47376348/2026</t>
  </si>
  <si>
    <t>47376828/2026</t>
  </si>
  <si>
    <t>AV. BENTO DO AMARAL GURGEL, JUNDIAI/SP/BRASIL (0,15 Km)</t>
  </si>
  <si>
    <t>47377481/2026</t>
  </si>
  <si>
    <t>PORTO SANTOS GUARUJ - 11460001 X LGCAJ (POR DENTRO DE SAO PAULO)</t>
  </si>
  <si>
    <t>R. RICARDO CÉSAR FAVARO, JUNDIAI/SP/BRASIL (0,34 Km)</t>
  </si>
  <si>
    <t>133,65 Km</t>
  </si>
  <si>
    <t>47377732/2026</t>
  </si>
  <si>
    <t>ROD. DOS IMIGRANTES, SAO BERNARDO DO CAMPO/SP/BRASIL (1,88 Km)</t>
  </si>
  <si>
    <t>104 Km</t>
  </si>
  <si>
    <t>47377759/2026</t>
  </si>
  <si>
    <t>QHG4G97</t>
  </si>
  <si>
    <t>47377982/2026</t>
  </si>
  <si>
    <t>QHC6D88</t>
  </si>
  <si>
    <t>LUIS LOPEZ</t>
  </si>
  <si>
    <t>UBF4F50</t>
  </si>
  <si>
    <t>47378613/2026</t>
  </si>
  <si>
    <t>RUA IGNEZ DE SOUZA SOARES, CURITIBA/PR/BRASIL (0,22 Km)</t>
  </si>
  <si>
    <t>500 Km</t>
  </si>
  <si>
    <t>636,22 Km</t>
  </si>
  <si>
    <t>ATO8979</t>
  </si>
  <si>
    <t>CLAUDIR LUIZ PALHANO</t>
  </si>
  <si>
    <t>47378724/2026</t>
  </si>
  <si>
    <t>47378744/2026</t>
  </si>
  <si>
    <t>6010490 6010499</t>
  </si>
  <si>
    <t>47378784/2026</t>
  </si>
  <si>
    <t>6011399 6010496</t>
  </si>
  <si>
    <t>47378813/2026</t>
  </si>
  <si>
    <t>47378993/2026</t>
  </si>
  <si>
    <t>47379509/2026</t>
  </si>
  <si>
    <t>EST.VELHA DO BARIGUI, CURITIBA/PR/BRASIL (0,04 Km)</t>
  </si>
  <si>
    <t>TRANSPORTES RODOWAY - MATRIZ</t>
  </si>
  <si>
    <t>505 Km</t>
  </si>
  <si>
    <t>TBL5A63</t>
  </si>
  <si>
    <t>47379741/2026</t>
  </si>
  <si>
    <t>6020689, 6013428</t>
  </si>
  <si>
    <t>47380288/2026</t>
  </si>
  <si>
    <t>RUA JOAO LIPINSKI, SAO JOSE DOS PINHAIS/PR/BRASIL (6,43 Km)</t>
  </si>
  <si>
    <t>47380563/2026</t>
  </si>
  <si>
    <t>ASP3759</t>
  </si>
  <si>
    <t>47380690/2026</t>
  </si>
  <si>
    <t>AXO9613</t>
  </si>
  <si>
    <t>47382267/2026</t>
  </si>
  <si>
    <t>47382289/2026</t>
  </si>
  <si>
    <t>6009717 6010484</t>
  </si>
  <si>
    <t>AQE7D63</t>
  </si>
  <si>
    <t>47382431/2026</t>
  </si>
  <si>
    <t>RXR6A78</t>
  </si>
  <si>
    <t>CARLOS ALBERTO DA SILVA BITENCOURT</t>
  </si>
  <si>
    <t>STL3J10</t>
  </si>
  <si>
    <t>47382434/2026</t>
  </si>
  <si>
    <t>NIKA</t>
  </si>
  <si>
    <t>LGCAJ X CASAS BAHIA DUQUE</t>
  </si>
  <si>
    <t>AV AUTOMOVEL CLUBE, DUQUE DE CAXIAS/RJ/BRASIL (0,06 Km)</t>
  </si>
  <si>
    <t>MAGAZINE LUIZA S/A (CD2500) - 25225015 (0.00 Km)</t>
  </si>
  <si>
    <t>470,04 Km</t>
  </si>
  <si>
    <t>SVN7B54</t>
  </si>
  <si>
    <t>RODRIGO DE OLIVEIRA DA SILVA</t>
  </si>
  <si>
    <t>47382457/2026</t>
  </si>
  <si>
    <t>47382654/2026</t>
  </si>
  <si>
    <t>47383187/2026</t>
  </si>
  <si>
    <t>47383498/2026</t>
  </si>
  <si>
    <t>BCP1677</t>
  </si>
  <si>
    <t>47383681/2026</t>
  </si>
  <si>
    <t>LGSCT X LOJAS CEM SA - 13329903 -116</t>
  </si>
  <si>
    <t>79 Km</t>
  </si>
  <si>
    <t>597,91 Km</t>
  </si>
  <si>
    <t>BBQ0497</t>
  </si>
  <si>
    <t>LUIZ HENRIQUE CORREIA DE LIMA</t>
  </si>
  <si>
    <t>47384449/2026</t>
  </si>
  <si>
    <t>47384725/2026</t>
  </si>
  <si>
    <t>47384764/2026</t>
  </si>
  <si>
    <t>6010522 6015428</t>
  </si>
  <si>
    <t>47385070/2026</t>
  </si>
  <si>
    <t>RUA TUPI, JOINVILLE/SC/BRASIL (0,05 Km)</t>
  </si>
  <si>
    <t>BENOIT ELETRODOMÉSTICOS LTDA - 88904020</t>
  </si>
  <si>
    <t>RFB8B12</t>
  </si>
  <si>
    <t>47385192/2026</t>
  </si>
  <si>
    <t>LGCAJ X MAIRIPORA INCORPORADORA LTDA - 04711901</t>
  </si>
  <si>
    <t>RUA JOAO PEIXOTO DOS SANTOS, SAO PAULO/SP/BRASIL (0 Km)</t>
  </si>
  <si>
    <t>ADORNO TRANSPORTES - CAIEIRAS (12.24 Km)</t>
  </si>
  <si>
    <t>MAIRIPORA INCORPORADORA LTDA - 04711901</t>
  </si>
  <si>
    <t>45,92 Km</t>
  </si>
  <si>
    <t>FRANCISCO MARTINS DA SILVA</t>
  </si>
  <si>
    <t>6010439 6010641</t>
  </si>
  <si>
    <t>47386419/2026</t>
  </si>
  <si>
    <t>AYZ4E76</t>
  </si>
  <si>
    <t>47386433/2026</t>
  </si>
  <si>
    <t>PORTO PARANAGUA/PR (125.12 Km)</t>
  </si>
  <si>
    <t>PEDRO AXIONOV FILHO</t>
  </si>
  <si>
    <t>47386622/2026</t>
  </si>
  <si>
    <t>30,83 Km</t>
  </si>
  <si>
    <t>47386640/2026</t>
  </si>
  <si>
    <t>47386665/2026</t>
  </si>
  <si>
    <t>47386700/2026</t>
  </si>
  <si>
    <t>47386722/2026</t>
  </si>
  <si>
    <t>6022245 6013226</t>
  </si>
  <si>
    <t>47386763/2026</t>
  </si>
  <si>
    <t>LG CAJAMAR X SND DISTRIBUIO DE PRODUTOS DE INFORMTICA S/A  -493</t>
  </si>
  <si>
    <t>ROD BR 101, SERRA/ES/BRASIL (0,12 Km)</t>
  </si>
  <si>
    <t>SCANSOURCE BRASIL DISTRIBUIDORA DE TECNOLOGIAS LTDA - 29175706</t>
  </si>
  <si>
    <t>995,71 Km</t>
  </si>
  <si>
    <t>47386794/2026</t>
  </si>
  <si>
    <t>47386809/2026</t>
  </si>
  <si>
    <t>47387101/2026</t>
  </si>
  <si>
    <t>JOAO DE GOES, BARUERI/SP/BRASIL (0,43 Km)</t>
  </si>
  <si>
    <t>47387385/2026</t>
  </si>
  <si>
    <t>AV JUSCELINO KUBITSCHEK DE OLIVEIRA LE, CURITIBA/PR/BRASIL (0,02 Km)</t>
  </si>
  <si>
    <t>693 Km</t>
  </si>
  <si>
    <t>TBJ4J28</t>
  </si>
  <si>
    <t>47387523/2026</t>
  </si>
  <si>
    <t>QUY8H54</t>
  </si>
  <si>
    <t>47387556/2026</t>
  </si>
  <si>
    <t>EST.VELHA DO BARIGUI, CURITIBA/PR/BRASIL (0,03 Km)</t>
  </si>
  <si>
    <t>GRUPO CASAS BAHIA S.A(CD1624) - 88316001 (0.00 Km)</t>
  </si>
  <si>
    <t>BDZ0J50</t>
  </si>
  <si>
    <t>GUILHERME ROMOALDO APARECIDO DA SILVA</t>
  </si>
  <si>
    <t>47387620/2026</t>
  </si>
  <si>
    <t>LGSCT X JOI X LOJAS CEM SA - 13329903</t>
  </si>
  <si>
    <t>487 Km</t>
  </si>
  <si>
    <t>666,21 Km</t>
  </si>
  <si>
    <t>TBH6E84</t>
  </si>
  <si>
    <t>47387747/2026</t>
  </si>
  <si>
    <t>CARREFOUR COMERCIO E INDUSTRIA LTDA X CD RODOBRAS BARUERI</t>
  </si>
  <si>
    <t>38,06 Km</t>
  </si>
  <si>
    <t>GESU6653964</t>
  </si>
  <si>
    <t>47387939/2026</t>
  </si>
  <si>
    <t>47388486/2026</t>
  </si>
  <si>
    <t>ACESSO PARA RODOVIA BR-116, CURITIBA/PR/BRASIL (0,16 Km)</t>
  </si>
  <si>
    <t>241 Km</t>
  </si>
  <si>
    <t>675,39 Km</t>
  </si>
  <si>
    <t>DVT1977</t>
  </si>
  <si>
    <t>47388676/2026</t>
  </si>
  <si>
    <t>47388711/2026</t>
  </si>
  <si>
    <t>ONEU1744385 / ECMU4667350</t>
  </si>
  <si>
    <t>47388772/2026</t>
  </si>
  <si>
    <t>TPW6G03</t>
  </si>
  <si>
    <t>PPC0B73</t>
  </si>
  <si>
    <t>47388775/2026</t>
  </si>
  <si>
    <t>AV DESEMBARGADOR ALFREDO CABRAL, SERRA/ES/BRASIL (29,59 Km)</t>
  </si>
  <si>
    <t>DOUGLAS DO CARMO SANTANA</t>
  </si>
  <si>
    <t>47389146/2026</t>
  </si>
  <si>
    <t>29 km/h</t>
  </si>
  <si>
    <t>47389348/2026</t>
  </si>
  <si>
    <t>47389833/2026</t>
  </si>
  <si>
    <t>47390042/2026</t>
  </si>
  <si>
    <t>47390267/2026</t>
  </si>
  <si>
    <t>169,91 Km</t>
  </si>
  <si>
    <t>IPX6I41</t>
  </si>
  <si>
    <t>47391514/2026</t>
  </si>
  <si>
    <t>LGSCT X GRU X POA X BENOIT ELETRODOMESTICOS LTDA - 95901150</t>
  </si>
  <si>
    <t>RUA MAURICIO SIROTSKI SOBRINHO, CACHOEIRINHA/RS/BRASIL (0,07 Km)</t>
  </si>
  <si>
    <t>CROSS RODOBRAS CACHOEIRINHA (0.00 Km)</t>
  </si>
  <si>
    <t>CROSS RODOBRAS CACHOEIRINHA</t>
  </si>
  <si>
    <t>121 Km</t>
  </si>
  <si>
    <t>1765,62 Km</t>
  </si>
  <si>
    <t>JCW5B37</t>
  </si>
  <si>
    <t>ANDERSON MEURER PARMA</t>
  </si>
  <si>
    <t>6009859 6009714</t>
  </si>
  <si>
    <t>47391817/2026</t>
  </si>
  <si>
    <t>6010528 6009728</t>
  </si>
  <si>
    <t>47391876/2026</t>
  </si>
  <si>
    <t>47392942/2026</t>
  </si>
  <si>
    <t>AV ARUJA, CAJAMAR/SP/BRASIL (0,31 Km)</t>
  </si>
  <si>
    <t>47393148/2026</t>
  </si>
  <si>
    <t>ITAPOA X JOI X ANGELONI</t>
  </si>
  <si>
    <t>RUA 336, PORTO BELO/SC/BRASIL (3,74 Km)</t>
  </si>
  <si>
    <t>189,31 Km</t>
  </si>
  <si>
    <t>AVI3881</t>
  </si>
  <si>
    <t>47394132/2026</t>
  </si>
  <si>
    <t>ACESSO PARA RODOVIA BR-116, CURITIBA/PR/BRASIL (0,19 Km)</t>
  </si>
  <si>
    <t>JACIR MAINARDES</t>
  </si>
  <si>
    <t>47394849/2026</t>
  </si>
  <si>
    <t>AVENIDA DAS AMOREIRAS, CAMPINAS/SP/BRASIL (0,04 Km)</t>
  </si>
  <si>
    <t>47394961/2026</t>
  </si>
  <si>
    <t>47394977/2026</t>
  </si>
  <si>
    <t>47395060/2026</t>
  </si>
  <si>
    <t>47395183/2026</t>
  </si>
  <si>
    <t>47395212/2026</t>
  </si>
  <si>
    <t>47395222/2026</t>
  </si>
  <si>
    <t>47395231/2026</t>
  </si>
  <si>
    <t>47395236/2026</t>
  </si>
  <si>
    <t>47395241/2026</t>
  </si>
  <si>
    <t>47395243/2026</t>
  </si>
  <si>
    <t>47395249/2026</t>
  </si>
  <si>
    <t>47395272/2026</t>
  </si>
  <si>
    <t>MINAS GERAIS, COTIA/SP/BRASIL (0,05 Km)</t>
  </si>
  <si>
    <t>38 Km</t>
  </si>
  <si>
    <t>47395278/2026</t>
  </si>
  <si>
    <t>6007011 6009754</t>
  </si>
  <si>
    <t>47395287/2026</t>
  </si>
  <si>
    <t>6008151 6008109</t>
  </si>
  <si>
    <t>47395292/2026</t>
  </si>
  <si>
    <t>47395454/2026</t>
  </si>
  <si>
    <t>47395532/2026</t>
  </si>
  <si>
    <t>R. PAULO MARIA DE LOURDES MORAES, VARZEA PAULISTA/SP/BRASIL (3,02 Km)</t>
  </si>
  <si>
    <t>47397029/2026</t>
  </si>
  <si>
    <t>GBR0H53</t>
  </si>
  <si>
    <t>47397136/2026</t>
  </si>
  <si>
    <t>ROTA JARINU</t>
  </si>
  <si>
    <t>EXTREMA/MG/BRASIL</t>
  </si>
  <si>
    <t>GRUPO CASAS BAHIA S.A(CD1200) - 13203850 (2.12 Km)</t>
  </si>
  <si>
    <t>BHP ENGENHARIA TERMICA E COMERCIO LTDA - 37640000</t>
  </si>
  <si>
    <t>102,42 Km</t>
  </si>
  <si>
    <t>CLAUDEMIR BEZERRA DO NASCIMENTO</t>
  </si>
  <si>
    <t>47397324/2026</t>
  </si>
  <si>
    <t>47397523/2026</t>
  </si>
  <si>
    <t>PEDRO RINATTO, CAJAMAR/SP/BRASIL (0,1 Km)</t>
  </si>
  <si>
    <t>47397678/2026</t>
  </si>
  <si>
    <t>47398776/2026</t>
  </si>
  <si>
    <t>47398809/2026</t>
  </si>
  <si>
    <t>47400357/2026</t>
  </si>
  <si>
    <t>47401734/2026</t>
  </si>
  <si>
    <t>LGSCT X MAGAZINE LUIZA S/A (CD0590) - 07232151 - 116/376/SC-416 / RODOBRAS</t>
  </si>
  <si>
    <t>EST.VELHA DO BARIGUI, CURITIBA/PR/BRASIL (0,02 Km)</t>
  </si>
  <si>
    <t>470 Km</t>
  </si>
  <si>
    <t>580,87 Km</t>
  </si>
  <si>
    <t>TAP6E78</t>
  </si>
  <si>
    <t>47401834/2026</t>
  </si>
  <si>
    <t>408 Km</t>
  </si>
  <si>
    <t>TBH6E85</t>
  </si>
  <si>
    <t>47401893/2026</t>
  </si>
  <si>
    <t>440 Km</t>
  </si>
  <si>
    <t>TAL4B84</t>
  </si>
  <si>
    <t>47402601/2026</t>
  </si>
  <si>
    <t>47403402/2026</t>
  </si>
  <si>
    <t>47404246/2026</t>
  </si>
  <si>
    <t>LGCAJ X CH3 CONSTRUTORA E INCORPORADORA LTDA - 01309010 - 050/116 / VIPE</t>
  </si>
  <si>
    <t>RUA AUGUSTA, SAO PAULO/SP/BRASIL (0,01 Km)</t>
  </si>
  <si>
    <t>CH3 CONSTRUTORA E INCORPORADORA LTDA - 01309010</t>
  </si>
  <si>
    <t>42,27 Km</t>
  </si>
  <si>
    <t>47405542/2026</t>
  </si>
  <si>
    <t>ACESSO PARA RODOVIA BR-116, CURITIBA/PR/BRASIL (0,1 Km)</t>
  </si>
  <si>
    <t>518,86 Km</t>
  </si>
  <si>
    <t>ATO8985</t>
  </si>
  <si>
    <t>6007439 6009340</t>
  </si>
  <si>
    <t>47405548/2026</t>
  </si>
  <si>
    <t>RUA NATAL, JUNDIAI/SP/BRASIL (0,22 Km)</t>
  </si>
  <si>
    <t>47405598/2026</t>
  </si>
  <si>
    <t>47405684/2026</t>
  </si>
  <si>
    <t>47405844/2026</t>
  </si>
  <si>
    <t>47405936/2026</t>
  </si>
  <si>
    <t>RUA DEZOITO, CAMPO LIMPO PAULISTA/SP/BRASIL (8,84 Km)</t>
  </si>
  <si>
    <t>47405949/2026</t>
  </si>
  <si>
    <t>47405962/2026</t>
  </si>
  <si>
    <t>LGCAJ X DAYCOVAL LEASING SOCIEDADE DE ARRENDAMENTO MERCANTIL SA - 01333000 - 050/116 / VIPE</t>
  </si>
  <si>
    <t>43 km/h</t>
  </si>
  <si>
    <t>RUA CARAVELAS, SAO PAULO/SP/BRASIL (0,02 Km)</t>
  </si>
  <si>
    <t>DAYCOVAL LEASING SOCIEDADE DE ARRENDAMENTO MERCANTIL S.A. - 01333000</t>
  </si>
  <si>
    <t>42,53 Km</t>
  </si>
  <si>
    <t>TRLU8644080</t>
  </si>
  <si>
    <t>QHE0915</t>
  </si>
  <si>
    <t>47408754/2026</t>
  </si>
  <si>
    <t>JOSEMAR LIMA DE OLIVEIRA</t>
  </si>
  <si>
    <t>GSPU4364207</t>
  </si>
  <si>
    <t>47408804/2026</t>
  </si>
  <si>
    <t>47408889/2026</t>
  </si>
  <si>
    <t>LGCAJ X CWB X BENOIT ELETRODOMESTICOS LTDA - 95901150 - BR101</t>
  </si>
  <si>
    <t>ACESSO PARA RODOVIA BR-116, CURITIBA/PR/BRASIL (0 Km)</t>
  </si>
  <si>
    <t>47410114/2026</t>
  </si>
  <si>
    <t>47411337/2026</t>
  </si>
  <si>
    <t>47411447/2026</t>
  </si>
  <si>
    <t>47411959/2026</t>
  </si>
  <si>
    <t>634 Km</t>
  </si>
  <si>
    <t>47413709/2026</t>
  </si>
  <si>
    <t>LGSCT X MAGAZINE LUIZA S/A (CD0094) - 86072000 / NEW LOG</t>
  </si>
  <si>
    <t>MAGAZINE LUIZA S/A (CD0094) - 86072000</t>
  </si>
  <si>
    <t>387 Km</t>
  </si>
  <si>
    <t>519,8 Km</t>
  </si>
  <si>
    <t>TBJ4J24</t>
  </si>
  <si>
    <t>6020567 6020772 6022048 6022235</t>
  </si>
  <si>
    <t>47413739/2026</t>
  </si>
  <si>
    <t>ALBERTO JACKSON BYINGTON, OSASCO/SP/BRASIL (0,05 Km)</t>
  </si>
  <si>
    <t>Pré-SMP</t>
  </si>
  <si>
    <t>47404671/2026</t>
  </si>
  <si>
    <t>NICOLAU MAYEVSKY, JANDIRA/SP/BRASIL (0,03 Km)</t>
  </si>
  <si>
    <t>ALTERAÇÃO DE DADOS DA SMP: RASTREADORES</t>
  </si>
  <si>
    <t>47405465/2026</t>
  </si>
  <si>
    <t>LGCAJ X AMAZON SERVICOS DEVAREJO DO BRASIL LTDA (XCV) - 07789100</t>
  </si>
  <si>
    <t>AMAZON SERVICOS DEVAREJO DO BRASIL LTDA (XCV) - 07789100</t>
  </si>
  <si>
    <t>2,7 Km</t>
  </si>
  <si>
    <t>NSK8155</t>
  </si>
  <si>
    <t>ESMERINDO RAMOS LUIZ</t>
  </si>
  <si>
    <t>47406476/2026</t>
  </si>
  <si>
    <t>AV. MARGINAL B, SAO JOSE DOS CAMPOS/SP/BRASIL (0,25 Km)</t>
  </si>
  <si>
    <t>ETU7H03</t>
  </si>
  <si>
    <t>PRÉ-SMP</t>
  </si>
  <si>
    <t>IYX1561</t>
  </si>
  <si>
    <t>47406548/2026</t>
  </si>
  <si>
    <t>GRUPO LTA  (0.02 Km)</t>
  </si>
  <si>
    <t>JOSE RODOLFO DA SILVA RODOLFO DA SILVA</t>
  </si>
  <si>
    <t>EVZ0D39</t>
  </si>
  <si>
    <t>47410384/2026</t>
  </si>
  <si>
    <t>LGCAJ X 050 X 364 X FRUTAL X 153 X GOIANIA X 153 X226 X 135 X SO LUIZ</t>
  </si>
  <si>
    <t>AV. SANTO CEOLIN, JUNDIAI/SP/BRASIL (0,07 Km)</t>
  </si>
  <si>
    <t>GARAGEM 5 ESTRADAS/RANTHUM (2.46 Km)</t>
  </si>
  <si>
    <t>ARMAZEM MATEUS S/A - 65099090</t>
  </si>
  <si>
    <t>2838 Km</t>
  </si>
  <si>
    <t>2852,93 Km</t>
  </si>
  <si>
    <t>JEFERSON SOARES MENDES SILVA</t>
  </si>
  <si>
    <t>47411741/2026</t>
  </si>
  <si>
    <t>LGCAJ X FUJIOKA ELETRO IMAGEM S/A - 74675690</t>
  </si>
  <si>
    <t>874 Km</t>
  </si>
  <si>
    <t>876,47 Km</t>
  </si>
  <si>
    <t>ATX8J70</t>
  </si>
  <si>
    <t>47414606/2026</t>
  </si>
  <si>
    <t>PONTO DE APOIO MINAS SUL - JOINVILLE (13.27 Km)</t>
  </si>
  <si>
    <t>951 Km</t>
  </si>
  <si>
    <t>LYR7039</t>
  </si>
  <si>
    <t>ANDERSON FAGUNDES PEREIRA</t>
  </si>
  <si>
    <t>MLI3G86</t>
  </si>
  <si>
    <t>47415478/2026</t>
  </si>
  <si>
    <t>2655 Km</t>
  </si>
  <si>
    <t>KHP4360</t>
  </si>
  <si>
    <t>LUIZ HENRIQUE HONORIO DE SOUSA</t>
  </si>
  <si>
    <t>Documento Nível 1</t>
  </si>
  <si>
    <t>Previsão Início</t>
  </si>
  <si>
    <t>Data Liberação</t>
  </si>
  <si>
    <t>Início Real</t>
  </si>
  <si>
    <t>Previsão Fim</t>
  </si>
  <si>
    <t>Fim Real</t>
  </si>
  <si>
    <t>Evento Não Iniciado</t>
  </si>
  <si>
    <t>Evento Pedido Parado</t>
  </si>
  <si>
    <t>Previsão Finalização Online</t>
  </si>
  <si>
    <t>Progressão do documento</t>
  </si>
  <si>
    <t>Tempo Prev. de Viagem Doc.</t>
  </si>
  <si>
    <t>Tempo Atual do Doc.</t>
  </si>
  <si>
    <t>Número SMP/Ano SMP</t>
  </si>
  <si>
    <t>Placa Cavalo</t>
  </si>
  <si>
    <t>Status SMP</t>
  </si>
  <si>
    <t>Km Previsto</t>
  </si>
  <si>
    <t>Km Realizado</t>
  </si>
  <si>
    <t>CPF</t>
  </si>
  <si>
    <t>Tipo Operação</t>
  </si>
  <si>
    <t>Frota</t>
  </si>
  <si>
    <t>Valor Carga</t>
  </si>
  <si>
    <t>Ponto Origem Doc</t>
  </si>
  <si>
    <t>Cidade Origem</t>
  </si>
  <si>
    <t>Uf Origem</t>
  </si>
  <si>
    <t>Ponto  Origem SMP</t>
  </si>
  <si>
    <t>Cidade Destino</t>
  </si>
  <si>
    <t>Uf Destino</t>
  </si>
  <si>
    <t>Documentos Nível 2</t>
  </si>
  <si>
    <t>Entrada Efetiva Ponto</t>
  </si>
  <si>
    <t>Saída Efetiva Ponto</t>
  </si>
  <si>
    <t>Data/Hora de Entrada Origem</t>
  </si>
  <si>
    <t>TV</t>
  </si>
  <si>
    <t>Meta Viagem</t>
  </si>
  <si>
    <t>TA Efetivo Viagem</t>
  </si>
  <si>
    <t>TP Carga</t>
  </si>
  <si>
    <t>Valor Total SMP</t>
  </si>
  <si>
    <t>Meta Doc.</t>
  </si>
  <si>
    <t>TV Doc</t>
  </si>
  <si>
    <t>Ponto Destino Doc</t>
  </si>
  <si>
    <t>Ponto  Destino SMP</t>
  </si>
  <si>
    <t>Não iniciado</t>
  </si>
  <si>
    <t>No Prazo</t>
  </si>
  <si>
    <t>Sim</t>
  </si>
  <si>
    <t>Não</t>
  </si>
  <si>
    <t>0km</t>
  </si>
  <si>
    <t>######</t>
  </si>
  <si>
    <t>DOMESTILAR LTDA - 68902905</t>
  </si>
  <si>
    <t>No prazo</t>
  </si>
  <si>
    <t>Finalizado</t>
  </si>
  <si>
    <t>100% No Prazo</t>
  </si>
  <si>
    <t>1020km</t>
  </si>
  <si>
    <t>966km</t>
  </si>
  <si>
    <t>CAJAMAR</t>
  </si>
  <si>
    <t>SP</t>
  </si>
  <si>
    <t>SERRA</t>
  </si>
  <si>
    <t>ES</t>
  </si>
  <si>
    <t>MAZER DISTRIBUIDORA LTDA - 29170740</t>
  </si>
  <si>
    <t>WARLAS</t>
  </si>
  <si>
    <t>TRANSBOCAYUVA</t>
  </si>
  <si>
    <t>LG ELECTR</t>
  </si>
  <si>
    <t>100% Atrasado</t>
  </si>
  <si>
    <t>573km</t>
  </si>
  <si>
    <t>527km</t>
  </si>
  <si>
    <t>BARRA VELHA</t>
  </si>
  <si>
    <t>SC</t>
  </si>
  <si>
    <t>Andamento</t>
  </si>
  <si>
    <t>Atrasado</t>
  </si>
  <si>
    <t>1102km</t>
  </si>
  <si>
    <t>94km</t>
  </si>
  <si>
    <t>ITAPOA</t>
  </si>
  <si>
    <t>UBERLANDIA</t>
  </si>
  <si>
    <t>MG</t>
  </si>
  <si>
    <t>Parado</t>
  </si>
  <si>
    <t>791km</t>
  </si>
  <si>
    <t>LAJEADO</t>
  </si>
  <si>
    <t>RS</t>
  </si>
  <si>
    <t>1765km</t>
  </si>
  <si>
    <t>670km</t>
  </si>
  <si>
    <t>33km</t>
  </si>
  <si>
    <t>470km</t>
  </si>
  <si>
    <t>442km</t>
  </si>
  <si>
    <t>DUQUE DE CAXIAS</t>
  </si>
  <si>
    <t>RJ</t>
  </si>
  <si>
    <t>MAGAZINE LUIZA S/A (CD0050) - 14093170</t>
  </si>
  <si>
    <t>50% No Prazo</t>
  </si>
  <si>
    <t>20km</t>
  </si>
  <si>
    <t>OSASCO</t>
  </si>
  <si>
    <t>EALE</t>
  </si>
  <si>
    <t>947km</t>
  </si>
  <si>
    <t>31km</t>
  </si>
  <si>
    <t>518km</t>
  </si>
  <si>
    <t>480km</t>
  </si>
  <si>
    <t>117km</t>
  </si>
  <si>
    <t>EDINO</t>
  </si>
  <si>
    <t>RODOBRAS - MTZ</t>
  </si>
  <si>
    <t>67km</t>
  </si>
  <si>
    <t>SEBASTIAO</t>
  </si>
  <si>
    <t>580km</t>
  </si>
  <si>
    <t>116km</t>
  </si>
  <si>
    <t>HELIO</t>
  </si>
  <si>
    <t>GUARULHOS</t>
  </si>
  <si>
    <t>570km</t>
  </si>
  <si>
    <t>182km</t>
  </si>
  <si>
    <t>47390990/2026</t>
  </si>
  <si>
    <t>RHR4B40</t>
  </si>
  <si>
    <t>Cancelada</t>
  </si>
  <si>
    <t>89km</t>
  </si>
  <si>
    <t>2km</t>
  </si>
  <si>
    <t>2334km</t>
  </si>
  <si>
    <t>499km</t>
  </si>
  <si>
    <t>VALENCA</t>
  </si>
  <si>
    <t>BA</t>
  </si>
  <si>
    <t>1308km</t>
  </si>
  <si>
    <t>32km</t>
  </si>
  <si>
    <t>HIDROLANDIA</t>
  </si>
  <si>
    <t>GO</t>
  </si>
  <si>
    <t>432km</t>
  </si>
  <si>
    <t>378km</t>
  </si>
  <si>
    <t>CURITIBA</t>
  </si>
  <si>
    <t>PR</t>
  </si>
  <si>
    <t>CAIO</t>
  </si>
  <si>
    <t>2727km</t>
  </si>
  <si>
    <t>80km</t>
  </si>
  <si>
    <t>ALHANDRA</t>
  </si>
  <si>
    <t>PB</t>
  </si>
  <si>
    <t>47390560/2026</t>
  </si>
  <si>
    <t>APX5J60</t>
  </si>
  <si>
    <t>NCK7E46</t>
  </si>
  <si>
    <t>SANDOVAL NASCIMENTO DA SILVA</t>
  </si>
  <si>
    <t>47391816/2026</t>
  </si>
  <si>
    <t>47409056/2026</t>
  </si>
  <si>
    <t>82km</t>
  </si>
  <si>
    <t>2752km</t>
  </si>
  <si>
    <t>264km</t>
  </si>
  <si>
    <t>2600km</t>
  </si>
  <si>
    <t>1369km</t>
  </si>
  <si>
    <t>CABO DE SANTO AGOSTINHO</t>
  </si>
  <si>
    <t>PE</t>
  </si>
  <si>
    <t>47366024/2026</t>
  </si>
  <si>
    <t>MIGUEL NAZARIO</t>
  </si>
  <si>
    <t>2750km</t>
  </si>
  <si>
    <t>2023km</t>
  </si>
  <si>
    <t>1235km</t>
  </si>
  <si>
    <t>MAGAZINE LUIZA S/A (CD2900) - 83704530</t>
  </si>
  <si>
    <t>MAGAZINE LUIZA S/A (CD1800) - 78098410</t>
  </si>
  <si>
    <t>519km</t>
  </si>
  <si>
    <t>119km</t>
  </si>
  <si>
    <t>LONDRINA</t>
  </si>
  <si>
    <t>920km</t>
  </si>
  <si>
    <t>705km</t>
  </si>
  <si>
    <t>VITORIA</t>
  </si>
  <si>
    <t>47322739/2026</t>
  </si>
  <si>
    <t>1081km</t>
  </si>
  <si>
    <t>88km</t>
  </si>
  <si>
    <t>1134km</t>
  </si>
  <si>
    <t>939km</t>
  </si>
  <si>
    <t>PORTO ALEGRE</t>
  </si>
  <si>
    <t>PORTO BELO</t>
  </si>
  <si>
    <t>47346521/2026</t>
  </si>
  <si>
    <t>AUTONOMO</t>
  </si>
  <si>
    <t>581km</t>
  </si>
  <si>
    <t>2614km</t>
  </si>
  <si>
    <t>662km</t>
  </si>
  <si>
    <t>JABOATAO DOS GUARARAPES</t>
  </si>
  <si>
    <t>902km</t>
  </si>
  <si>
    <t>351km</t>
  </si>
  <si>
    <t>VILA VELHA</t>
  </si>
  <si>
    <t>438km</t>
  </si>
  <si>
    <t>208km</t>
  </si>
  <si>
    <t>JOAO</t>
  </si>
  <si>
    <t>F74</t>
  </si>
  <si>
    <t>471km</t>
  </si>
  <si>
    <t>GUILHERME</t>
  </si>
  <si>
    <t>387km</t>
  </si>
  <si>
    <t>JACIR</t>
  </si>
  <si>
    <t>RASTREADOR</t>
  </si>
  <si>
    <t>NOVA SANTA RITA</t>
  </si>
  <si>
    <t>47369104/2026</t>
  </si>
  <si>
    <t>408km</t>
  </si>
  <si>
    <t>1205km</t>
  </si>
  <si>
    <t>1km</t>
  </si>
  <si>
    <t>995km</t>
  </si>
  <si>
    <t>839km</t>
  </si>
  <si>
    <t>SAO JOSE DOS PINHAIS</t>
  </si>
  <si>
    <t>47378873/2026</t>
  </si>
  <si>
    <t>110km</t>
  </si>
  <si>
    <t>96km</t>
  </si>
  <si>
    <t>JOEL</t>
  </si>
  <si>
    <t>928km</t>
  </si>
  <si>
    <t>884km</t>
  </si>
  <si>
    <t>997km</t>
  </si>
  <si>
    <t>772km</t>
  </si>
  <si>
    <t>47384982/2026</t>
  </si>
  <si>
    <t>LUIZ</t>
  </si>
  <si>
    <t>FH 540 6X4T</t>
  </si>
  <si>
    <t>72km</t>
  </si>
  <si>
    <t>56km</t>
  </si>
  <si>
    <t>CORBELIA</t>
  </si>
  <si>
    <t>687km</t>
  </si>
  <si>
    <t>843km</t>
  </si>
  <si>
    <t>BIGUACU</t>
  </si>
  <si>
    <t>3151km</t>
  </si>
  <si>
    <t>47386255/2026</t>
  </si>
  <si>
    <t>EVERSON</t>
  </si>
  <si>
    <t>47407897/2026</t>
  </si>
  <si>
    <t>9948km</t>
  </si>
  <si>
    <t>15km</t>
  </si>
  <si>
    <t>38km</t>
  </si>
  <si>
    <t>39km</t>
  </si>
  <si>
    <t>BARUERI</t>
  </si>
  <si>
    <t>567km</t>
  </si>
  <si>
    <t>987km</t>
  </si>
  <si>
    <t>ANDERSON</t>
  </si>
  <si>
    <t>113km</t>
  </si>
  <si>
    <t>155km</t>
  </si>
  <si>
    <t>Cancelado</t>
  </si>
  <si>
    <t>512km</t>
  </si>
  <si>
    <t>627km</t>
  </si>
  <si>
    <t>566km</t>
  </si>
  <si>
    <t>185km</t>
  </si>
  <si>
    <t>47322932/2026</t>
  </si>
  <si>
    <t>RXR9B97</t>
  </si>
  <si>
    <t>415km</t>
  </si>
  <si>
    <t>47365752/2026</t>
  </si>
  <si>
    <t>553km</t>
  </si>
  <si>
    <t>330km</t>
  </si>
  <si>
    <t>157km</t>
  </si>
  <si>
    <t>SANDRO</t>
  </si>
  <si>
    <t>TERCEIRO</t>
  </si>
  <si>
    <t>429km</t>
  </si>
  <si>
    <t>322km</t>
  </si>
  <si>
    <t>47371612/2026</t>
  </si>
  <si>
    <t>352km</t>
  </si>
  <si>
    <t>957km</t>
  </si>
  <si>
    <t>2609km</t>
  </si>
  <si>
    <t>295km</t>
  </si>
  <si>
    <t>TERESINA</t>
  </si>
  <si>
    <t>PI</t>
  </si>
  <si>
    <t>LUIS</t>
  </si>
  <si>
    <t>121km</t>
  </si>
  <si>
    <t>JOSE RODOLFO DA SILVA</t>
  </si>
  <si>
    <t>148km</t>
  </si>
  <si>
    <t>675km</t>
  </si>
  <si>
    <t>47415241/2026</t>
  </si>
  <si>
    <t>Não aprovada</t>
  </si>
  <si>
    <t>189km</t>
  </si>
  <si>
    <t>614km</t>
  </si>
  <si>
    <t>494km</t>
  </si>
  <si>
    <t>SALTO</t>
  </si>
  <si>
    <t>83km</t>
  </si>
  <si>
    <t>718km</t>
  </si>
  <si>
    <t>175km</t>
  </si>
  <si>
    <t>564km</t>
  </si>
  <si>
    <t>150% No Prazo</t>
  </si>
  <si>
    <t>47333983/2026</t>
  </si>
  <si>
    <t>804km</t>
  </si>
  <si>
    <t>891km</t>
  </si>
  <si>
    <t>636km</t>
  </si>
  <si>
    <t>958km</t>
  </si>
  <si>
    <t>EDENCARLOS</t>
  </si>
  <si>
    <t>RODOBRAS LOTAÇÃO</t>
  </si>
  <si>
    <t>984km</t>
  </si>
  <si>
    <t>550km</t>
  </si>
  <si>
    <t>118km</t>
  </si>
  <si>
    <t>CLODIMAR</t>
  </si>
  <si>
    <t>556km</t>
  </si>
  <si>
    <t>108km</t>
  </si>
  <si>
    <t>2852km</t>
  </si>
  <si>
    <t>SAO LUIS</t>
  </si>
  <si>
    <t>MA</t>
  </si>
  <si>
    <t>2570km</t>
  </si>
  <si>
    <t>1656km</t>
  </si>
  <si>
    <t>CAVALO TERCEIRO</t>
  </si>
  <si>
    <t>2655km</t>
  </si>
  <si>
    <t>306km</t>
  </si>
  <si>
    <t>195km</t>
  </si>
  <si>
    <t>727km</t>
  </si>
  <si>
    <t>25km</t>
  </si>
  <si>
    <t>RICARDO</t>
  </si>
  <si>
    <t>AGREGADO</t>
  </si>
  <si>
    <t>IPAMERI</t>
  </si>
  <si>
    <t>258km</t>
  </si>
  <si>
    <t>36km</t>
  </si>
  <si>
    <t>SANTO AMARO DA IMPERATRIZ</t>
  </si>
  <si>
    <t>165km</t>
  </si>
  <si>
    <t>47340657/2026</t>
  </si>
  <si>
    <t>47340841/2026</t>
  </si>
  <si>
    <t>136km</t>
  </si>
  <si>
    <t>47332570/2026</t>
  </si>
  <si>
    <t>47367935/2026</t>
  </si>
  <si>
    <t>16km</t>
  </si>
  <si>
    <t>400km</t>
  </si>
  <si>
    <t>998km</t>
  </si>
  <si>
    <t>132km</t>
  </si>
  <si>
    <t>IVO</t>
  </si>
  <si>
    <t>544km</t>
  </si>
  <si>
    <t>EDNO</t>
  </si>
  <si>
    <t>COMOTINI PARTICIPACOES SOCIEDADE UNIPESSOAL LIMITADA - 05432000</t>
  </si>
  <si>
    <t>EBM ENGENHARIA LTDA - 04675010</t>
  </si>
  <si>
    <t>716km</t>
  </si>
  <si>
    <t>233km</t>
  </si>
  <si>
    <t>19km</t>
  </si>
  <si>
    <t>FAGUNDEZ DISTRIBUICAO LTDA - 83324442</t>
  </si>
  <si>
    <t>994km</t>
  </si>
  <si>
    <t>938km</t>
  </si>
  <si>
    <t>LKT INSTALACOES DE AR CONDICIONADO LTDA - 04676110</t>
  </si>
  <si>
    <t>43km</t>
  </si>
  <si>
    <t>SAO PAULO</t>
  </si>
  <si>
    <t>47340946/2026</t>
  </si>
  <si>
    <t>160km</t>
  </si>
  <si>
    <t>562km</t>
  </si>
  <si>
    <t>569km</t>
  </si>
  <si>
    <t>1133km</t>
  </si>
  <si>
    <t>174km</t>
  </si>
  <si>
    <t>SAPIRANGA</t>
  </si>
  <si>
    <t>652km</t>
  </si>
  <si>
    <t>44km</t>
  </si>
  <si>
    <t>TIJUCAS</t>
  </si>
  <si>
    <t>47365208/2026</t>
  </si>
  <si>
    <t>RAF9I72</t>
  </si>
  <si>
    <t>GUSTAVO</t>
  </si>
  <si>
    <t>682km</t>
  </si>
  <si>
    <t>606km</t>
  </si>
  <si>
    <t>LEIDIMAR</t>
  </si>
  <si>
    <t>680km</t>
  </si>
  <si>
    <t>613km</t>
  </si>
  <si>
    <t>1257km</t>
  </si>
  <si>
    <t>CONTINENTAL CONSTRUCOES LTDA - 87164340</t>
  </si>
  <si>
    <t>JHSF MALLS S.A. - 05676120</t>
  </si>
  <si>
    <t>927km</t>
  </si>
  <si>
    <t>788km</t>
  </si>
  <si>
    <t>DOUGLAS</t>
  </si>
  <si>
    <t>450km</t>
  </si>
  <si>
    <t>VALMOR</t>
  </si>
  <si>
    <t>SOCIEDADE BENEFICENTE ISRAELITA BRAS. HOSP ALBERT EISNTEIN - 05521200</t>
  </si>
  <si>
    <t>50% Atrasado</t>
  </si>
  <si>
    <t>TAUBATE</t>
  </si>
  <si>
    <t>47341443/2026</t>
  </si>
  <si>
    <t>JOSIEL</t>
  </si>
  <si>
    <t>159km</t>
  </si>
  <si>
    <t>63km</t>
  </si>
  <si>
    <t>CABRAL &amp; CAB</t>
  </si>
  <si>
    <t>FURBTECH ELETROELETRONICOS LTDA. - 18023000</t>
  </si>
  <si>
    <t>MORUMBY HOTEIS LTDA - 04794000</t>
  </si>
  <si>
    <t>EXTREMA</t>
  </si>
  <si>
    <t>47381029/2026</t>
  </si>
  <si>
    <t>102km</t>
  </si>
  <si>
    <t>141km</t>
  </si>
  <si>
    <t>DUCTBUSTERS ENGENHARIA LTDA - 01109010</t>
  </si>
  <si>
    <t>1781km</t>
  </si>
  <si>
    <t>CUIABA</t>
  </si>
  <si>
    <t>MT</t>
  </si>
  <si>
    <t>47413236/2026</t>
  </si>
  <si>
    <t>PREVENT SENIOR PRIVATE OPERADORA DE SAUDE LTDA - 03315000</t>
  </si>
  <si>
    <t>533km</t>
  </si>
  <si>
    <t>62km</t>
  </si>
  <si>
    <t>3132km</t>
  </si>
  <si>
    <t>137km</t>
  </si>
  <si>
    <t>66km</t>
  </si>
  <si>
    <t>194km</t>
  </si>
  <si>
    <t>FELIPE</t>
  </si>
  <si>
    <t>ATIBAIA</t>
  </si>
  <si>
    <t>47382442/2026</t>
  </si>
  <si>
    <t>45km</t>
  </si>
  <si>
    <t>1006km</t>
  </si>
  <si>
    <t>645km</t>
  </si>
  <si>
    <t>508km</t>
  </si>
  <si>
    <t>634km</t>
  </si>
  <si>
    <t>42km</t>
  </si>
  <si>
    <t>ITAJAI</t>
  </si>
  <si>
    <t>47421936/2026</t>
  </si>
  <si>
    <t>GRUPO CASAS BAHIA S.A(CD1877) - 61935180</t>
  </si>
  <si>
    <t>47345891/2026</t>
  </si>
  <si>
    <t>DIONECLEI</t>
  </si>
  <si>
    <t>534km</t>
  </si>
  <si>
    <t>612km</t>
  </si>
  <si>
    <t>484km</t>
  </si>
  <si>
    <t>168km</t>
  </si>
  <si>
    <t>FAGNER</t>
  </si>
  <si>
    <t>460km</t>
  </si>
  <si>
    <t>273km</t>
  </si>
  <si>
    <t>CONTAGEM</t>
  </si>
  <si>
    <t>200km</t>
  </si>
  <si>
    <t>GOIANIA</t>
  </si>
  <si>
    <t>876km</t>
  </si>
  <si>
    <t>916km</t>
  </si>
  <si>
    <t>353km</t>
  </si>
  <si>
    <t>CEZAR</t>
  </si>
  <si>
    <t>538km</t>
  </si>
  <si>
    <t>917km</t>
  </si>
  <si>
    <t>344km</t>
  </si>
  <si>
    <t>496km</t>
  </si>
  <si>
    <t>147km</t>
  </si>
  <si>
    <t>1005km</t>
  </si>
  <si>
    <t>478km</t>
  </si>
  <si>
    <t>100km</t>
  </si>
  <si>
    <t>70km</t>
  </si>
  <si>
    <t>47378680/2026</t>
  </si>
  <si>
    <t>TAP6E79</t>
  </si>
  <si>
    <t>597km</t>
  </si>
  <si>
    <t>522km</t>
  </si>
  <si>
    <t>106km</t>
  </si>
  <si>
    <t>516km</t>
  </si>
  <si>
    <t>666km</t>
  </si>
  <si>
    <t>CLAUDIR</t>
  </si>
  <si>
    <t>404km</t>
  </si>
  <si>
    <t>PEDRO</t>
  </si>
  <si>
    <t>490km</t>
  </si>
  <si>
    <t>71km</t>
  </si>
  <si>
    <t>12km</t>
  </si>
  <si>
    <t>960km</t>
  </si>
  <si>
    <t>103km</t>
  </si>
  <si>
    <t>549km</t>
  </si>
  <si>
    <t>SAO BERNARDO DO CAMPO</t>
  </si>
  <si>
    <t>46km</t>
  </si>
  <si>
    <t>1126km</t>
  </si>
  <si>
    <t>CAMPO GRANDE</t>
  </si>
  <si>
    <t>MS</t>
  </si>
  <si>
    <t>47410286/2026</t>
  </si>
  <si>
    <t>55km</t>
  </si>
  <si>
    <t>583km</t>
  </si>
  <si>
    <t>152km</t>
  </si>
  <si>
    <t>JUNDIAI</t>
  </si>
  <si>
    <t>551km</t>
  </si>
  <si>
    <t>545km</t>
  </si>
  <si>
    <t>47405883/2026</t>
  </si>
  <si>
    <t>47411269/2026</t>
  </si>
  <si>
    <t>617km</t>
  </si>
  <si>
    <t>109km</t>
  </si>
  <si>
    <t>WANDERSON</t>
  </si>
  <si>
    <t>151km</t>
  </si>
  <si>
    <t>GRUPO CASAS BAHIA S.A(CD1624) - 88316001</t>
  </si>
  <si>
    <t>2485km</t>
  </si>
  <si>
    <t>75km</t>
  </si>
  <si>
    <t>CAMACARI</t>
  </si>
  <si>
    <t>MARIO</t>
  </si>
  <si>
    <t>2560km</t>
  </si>
  <si>
    <t>34km</t>
  </si>
  <si>
    <t>2623km</t>
  </si>
  <si>
    <t>144km</t>
  </si>
  <si>
    <t>3155km</t>
  </si>
  <si>
    <t>1372km</t>
  </si>
  <si>
    <t>OSMAR</t>
  </si>
  <si>
    <t>124km</t>
  </si>
  <si>
    <t>107km</t>
  </si>
  <si>
    <t>671km</t>
  </si>
  <si>
    <t>134km</t>
  </si>
  <si>
    <t>CACHOEIRINHA</t>
  </si>
  <si>
    <t>47406445/2026</t>
  </si>
  <si>
    <t>NATHAN</t>
  </si>
  <si>
    <t>1813km</t>
  </si>
  <si>
    <t>49km</t>
  </si>
  <si>
    <t>ALINOR</t>
  </si>
  <si>
    <t>47404847/2026</t>
  </si>
  <si>
    <t>1103km</t>
  </si>
  <si>
    <t>84km</t>
  </si>
  <si>
    <t>EMERSON</t>
  </si>
  <si>
    <t>1097km</t>
  </si>
  <si>
    <t>58km</t>
  </si>
  <si>
    <t>MAGAZINE LUIZA S/A (CD2650) - 68795000</t>
  </si>
  <si>
    <t>JONATAN</t>
  </si>
  <si>
    <t>48km</t>
  </si>
  <si>
    <t>CERRO LARGO</t>
  </si>
  <si>
    <t>47414112/2026</t>
  </si>
  <si>
    <t>900km</t>
  </si>
  <si>
    <t>665km</t>
  </si>
  <si>
    <t>427km</t>
  </si>
  <si>
    <t>GRAVATAI</t>
  </si>
  <si>
    <t>95km</t>
  </si>
  <si>
    <t>NOTRE DAME INTERMEDICA SAUDE S.A. - 03371000</t>
  </si>
  <si>
    <t>NOTRE DAME INTERMEDICA SAUDE S.A. - 06754090</t>
  </si>
  <si>
    <t>628km</t>
  </si>
  <si>
    <t>254km</t>
  </si>
  <si>
    <t>GRUPO CASAS BAHIA S.A(CD2241) - 67200000</t>
  </si>
  <si>
    <t>UNIAR COMÉRCIO DE ELETRO-ELETRÔNICOS E SERVIÇOS LTDA - 37640000</t>
  </si>
  <si>
    <t>JRX TRANSPOR</t>
  </si>
  <si>
    <t>BALTIMORE INVESTIMENTOS IMOBILIARIOS LTDA. - 01416000</t>
  </si>
  <si>
    <t>129km</t>
  </si>
  <si>
    <t>77km</t>
  </si>
  <si>
    <t>563km</t>
  </si>
  <si>
    <t>524km</t>
  </si>
  <si>
    <t>HESA 183 INVEST IMOB LTDA - 04711030</t>
  </si>
  <si>
    <t>EMBU DAS ARTES</t>
  </si>
  <si>
    <t>FRANQUINEI</t>
  </si>
  <si>
    <t>ADAO</t>
  </si>
  <si>
    <t>RODOBRAS</t>
  </si>
  <si>
    <t>APZU4777256</t>
  </si>
  <si>
    <t>BMOU3140100</t>
  </si>
  <si>
    <t>CMAU7418152</t>
  </si>
  <si>
    <t>CMAU9128770</t>
  </si>
  <si>
    <t>ECMU4667350</t>
  </si>
  <si>
    <t>149km</t>
  </si>
  <si>
    <t>140km</t>
  </si>
  <si>
    <t>GUARUJA</t>
  </si>
  <si>
    <t>DIVERSOS</t>
  </si>
  <si>
    <t>FFAU7388483</t>
  </si>
  <si>
    <t>139km</t>
  </si>
  <si>
    <t>MSBU7702423</t>
  </si>
  <si>
    <t>MSBU7846879</t>
  </si>
  <si>
    <t>125km</t>
  </si>
  <si>
    <t>SANTOS</t>
  </si>
  <si>
    <t>MSMU4035608</t>
  </si>
  <si>
    <t>ONEU0490481</t>
  </si>
  <si>
    <t>133km</t>
  </si>
  <si>
    <t>ONEU0882841</t>
  </si>
  <si>
    <t>ONEU5668386</t>
  </si>
  <si>
    <t>ONEU5923753</t>
  </si>
  <si>
    <t>TCKU4527407</t>
  </si>
  <si>
    <t>TCKU4612520</t>
  </si>
  <si>
    <t>TCLU4297852</t>
  </si>
  <si>
    <t>TCNU6857803</t>
  </si>
  <si>
    <t>TGBU5604591</t>
  </si>
  <si>
    <t>TLLU5591598</t>
  </si>
  <si>
    <t>184km</t>
  </si>
  <si>
    <t>Total de Registros:</t>
  </si>
  <si>
    <t>Data da Impressão:</t>
  </si>
  <si>
    <t>Página -1 de 1</t>
  </si>
  <si>
    <t>Pedido</t>
  </si>
  <si>
    <t>Progressão</t>
  </si>
  <si>
    <t>Status Carregamento</t>
  </si>
  <si>
    <t>Prev. Início</t>
  </si>
  <si>
    <t>Prev. Tempo Doc</t>
  </si>
  <si>
    <t>Tempo Atual Doc</t>
  </si>
  <si>
    <t>Data/Hora Localização</t>
  </si>
  <si>
    <t>Valor Total SMPs</t>
  </si>
  <si>
    <t>Cidade/UF/País Origem</t>
  </si>
  <si>
    <t>Cidade/UF/País Destino</t>
  </si>
  <si>
    <t>Previsão de Chegada</t>
  </si>
  <si>
    <t>Prev. de Cheg. Online Pont. Atual</t>
  </si>
  <si>
    <t>Prev. Fim Últ. SMP</t>
  </si>
  <si>
    <t>Tempo Meta Doc.</t>
  </si>
  <si>
    <t>Faturamento</t>
  </si>
  <si>
    <t>Separação</t>
  </si>
  <si>
    <t>1% No Prazo</t>
  </si>
  <si>
    <t>Saida do WH</t>
  </si>
  <si>
    <t>CAJAMAR/SP/BRASIL</t>
  </si>
  <si>
    <t>GOIANIA/GO/BRASIL</t>
  </si>
  <si>
    <t>0% Atrasado</t>
  </si>
  <si>
    <t>DUQUE DE CAXIAS/RJ/BRASIL</t>
  </si>
  <si>
    <t>JABOATAO DOS GUARARAPES/PE/BRASIL</t>
  </si>
  <si>
    <t>CAMACARI/BA/BRASIL</t>
  </si>
  <si>
    <t>PORTO ALEGRE/RS/BRASIL</t>
  </si>
  <si>
    <t>GUARUJA/SP/BRASIL</t>
  </si>
  <si>
    <t>SANTOS/SP/BRASIL</t>
  </si>
  <si>
    <t>1% Atrasado</t>
  </si>
  <si>
    <t>MARACANAU/CE/BRASIL</t>
  </si>
  <si>
    <t>CABO DE SANTO AGOSTINHO/PE/BRASIL</t>
  </si>
  <si>
    <t>SAO LUIS/MA/BRASIL</t>
  </si>
  <si>
    <t>CABEDELO/PB/BRASIL</t>
  </si>
  <si>
    <t>IPAMERI/GO/BRASIL</t>
  </si>
  <si>
    <t>LAJEADO/RS/BRASIL</t>
  </si>
  <si>
    <t>CURITIBA/PR/BRASIL</t>
  </si>
  <si>
    <t>JUNDIAI/SP/BRASIL</t>
  </si>
  <si>
    <t>BRASILIA/DF/BRASIL</t>
  </si>
  <si>
    <t>SERRA/ES/BRASIL</t>
  </si>
  <si>
    <t>SAO BERNARDO DO CAMPO/SP/BRASIL</t>
  </si>
  <si>
    <t>CONTAGEM/MG/BRASIL</t>
  </si>
  <si>
    <t>VILA VELHA/ES/BRASIL</t>
  </si>
  <si>
    <t>CACHOEIRINHA/RS/BRASIL</t>
  </si>
  <si>
    <t>0% No Prazo</t>
  </si>
  <si>
    <t>OSASCO/SP/BRASIL</t>
  </si>
  <si>
    <t>MARITUBA/PA/BRASIL</t>
  </si>
  <si>
    <t>BENEVIDES/PA/BRASIL</t>
  </si>
  <si>
    <t>Patio</t>
  </si>
  <si>
    <t>SAPIRANGA/RS/BRASIL</t>
  </si>
  <si>
    <t>GUARULHOS/SP/BRASIL</t>
  </si>
  <si>
    <t>ITAJAI/SC/BRASIL</t>
  </si>
  <si>
    <t>Pendente</t>
  </si>
  <si>
    <t>EMBU DAS ARTES/SP/BRASIL</t>
  </si>
  <si>
    <t>SAO JOSE DOS PINHAIS/PR/BRASIL</t>
  </si>
  <si>
    <t>6023026 6021659</t>
  </si>
  <si>
    <t>BIGUACU/SC/BRASIL</t>
  </si>
  <si>
    <t>CUIABA/MT/BRASIL</t>
  </si>
  <si>
    <t>CAMPO GRANDE/MS/BRASIL</t>
  </si>
  <si>
    <t>GRAVATAI/RS/BRASIL</t>
  </si>
  <si>
    <t>SAO PAULO/SP/BRASIL</t>
  </si>
  <si>
    <t>LONDRINA/PR/BRASIL</t>
  </si>
  <si>
    <t>6022171 6022227 6023014</t>
  </si>
  <si>
    <t>6022619 6022618 6023446 6023036 6021328</t>
  </si>
  <si>
    <t>ARAUCARIA/PR/BRASIL</t>
  </si>
  <si>
    <t>UBERLANDIA/MG/BRASIL</t>
  </si>
  <si>
    <t>PINHAIS/PR/BRASIL</t>
  </si>
  <si>
    <t>MANDAGUACU/PR/BRASIL</t>
  </si>
  <si>
    <t>EM VIAGEM</t>
  </si>
  <si>
    <t>OK - NO PRAZO</t>
  </si>
  <si>
    <t>CARREGADO - SEM SMP</t>
  </si>
  <si>
    <t>ATRASADO CARREGAMENTO - SEM SMP</t>
  </si>
  <si>
    <t>NA CLIF - COM SMP - AGUARDANDO SAÍDA</t>
  </si>
  <si>
    <t>ATRASADO ENTREGA - SEM SMP</t>
  </si>
  <si>
    <t>SAO PAULO/SP</t>
  </si>
  <si>
    <t>NA PENSKE - COM SMP - AGUARDANDO SAÍDA</t>
  </si>
  <si>
    <t>CONTAGEM/MG</t>
  </si>
  <si>
    <t>DUQUE DE CAXIAS/RJ</t>
  </si>
  <si>
    <t>CAMACARI/BA</t>
  </si>
  <si>
    <t>SAO BERNARDO DO CAMPO/SP</t>
  </si>
  <si>
    <t>BARRA VELHA/SC</t>
  </si>
  <si>
    <t>ARAUCARIA/PR</t>
  </si>
  <si>
    <t>JUNDIAI/SP</t>
  </si>
  <si>
    <t>OSASCO/SP</t>
  </si>
  <si>
    <t>UBERLANDIA/MG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</si>
</sst>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_-[$R$-416]\ * #,##0.00_-;\-[$R$-416]\ * #,##0.00_-;_-[$R$-416]\ * &quot;-&quot;??_-;_-@_-"/>
    <numFmt numFmtId="167" formatCode="dd/mm/yy;@"/>
    <numFmt numFmtId="168" formatCode="[$-416]d\-mmm\-yy;@"/>
    <numFmt numFmtId="169" formatCode="[$-416]d\-mmm;@"/>
    <numFmt numFmtId="170" formatCode="[$-F400]h:mm:ss\ AM/PM"/>
  </numFmts>
  <fonts count="2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F4E79"/>
      <name val="Arial"/>
      <charset val="1"/>
    </font>
    <font>
      <sz val="10"/>
      <name val="Arial"/>
      <charset val="1"/>
    </font>
    <font>
      <sz val="11"/>
      <color theme="1"/>
      <name val="Calibri"/>
      <family val="2"/>
      <charset val="1"/>
    </font>
    <font>
      <sz val="10"/>
      <color indexed="8"/>
      <name val="ARIAL"/>
      <charset val="1"/>
    </font>
    <font>
      <sz val="10"/>
      <name val="Arial"/>
      <family val="2"/>
    </font>
    <font>
      <b/>
      <sz val="9"/>
      <color rgb="FFFFFFFF"/>
      <name val="Arial"/>
      <family val="2"/>
    </font>
    <font>
      <b/>
      <i/>
      <sz val="10"/>
      <color rgb="FF595959"/>
      <name val="Arial"/>
      <family val="2"/>
    </font>
    <font>
      <sz val="10"/>
      <name val="Arial"/>
    </font>
    <font>
      <i/>
      <sz val="9"/>
      <color rgb="FF444444"/>
      <name val="Arial"/>
      <charset val="1"/>
    </font>
    <font>
      <b/>
      <sz val="11"/>
      <color theme="0"/>
      <name val="Arial"/>
      <charset val="1"/>
    </font>
    <font>
      <b/>
      <sz val="13"/>
      <color theme="0"/>
      <name val="Arial"/>
      <charset val="1"/>
    </font>
    <font>
      <b/>
      <sz val="9"/>
      <color rgb="FF1F4E79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  <family val="2"/>
    </font>
    <font>
      <sz val="10"/>
      <color rgb="FF000000"/>
      <name val="ARIAL"/>
      <charset val="1"/>
    </font>
    <font>
      <sz val="16"/>
      <color theme="1"/>
      <name val="Calibri"/>
      <family val="2"/>
      <charset val="1"/>
    </font>
    <font>
      <b/>
      <i/>
      <sz val="10"/>
      <color rgb="FF59595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BF8F00"/>
        <bgColor rgb="FFFF6600"/>
      </patternFill>
    </fill>
    <fill>
      <patternFill patternType="solid">
        <fgColor rgb="FFC00000"/>
        <bgColor rgb="FF8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E75B6"/>
        <bgColor rgb="FF000000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5">
    <xf numFmtId="0" fontId="0" fillId="0" borderId="0"/>
    <xf numFmtId="165" fontId="5" fillId="0" borderId="0" applyFont="0" applyFill="0" applyBorder="0" applyAlignment="0" applyProtection="0"/>
    <xf numFmtId="0" fontId="6" fillId="0" borderId="0">
      <alignment vertical="top"/>
    </xf>
    <xf numFmtId="0" fontId="4" fillId="0" borderId="0">
      <alignment wrapText="1"/>
    </xf>
    <xf numFmtId="0" fontId="7" fillId="0" borderId="0">
      <alignment wrapText="1"/>
    </xf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2" fontId="2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2" applyFont="1" applyAlignment="1">
      <alignment horizontal="center" vertical="center"/>
    </xf>
    <xf numFmtId="22" fontId="7" fillId="0" borderId="0" xfId="2" applyNumberFormat="1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166" fontId="7" fillId="0" borderId="0" xfId="2" applyNumberFormat="1" applyFon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22" fontId="8" fillId="4" borderId="1" xfId="0" applyNumberFormat="1" applyFont="1" applyFill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9" fontId="8" fillId="2" borderId="1" xfId="0" applyNumberFormat="1" applyFont="1" applyFill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2" fontId="2" fillId="4" borderId="1" xfId="0" applyNumberFormat="1" applyFont="1" applyFill="1" applyBorder="1" applyAlignment="1">
      <alignment horizontal="center" vertical="center" wrapText="1"/>
    </xf>
    <xf numFmtId="22" fontId="10" fillId="0" borderId="0" xfId="2" applyNumberFormat="1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0" fillId="0" borderId="0" xfId="0" applyFont="1" applyAlignment="1">
      <alignment readingOrder="1"/>
    </xf>
    <xf numFmtId="164" fontId="10" fillId="0" borderId="0" xfId="0" applyNumberFormat="1" applyFont="1" applyAlignment="1">
      <alignment readingOrder="1"/>
    </xf>
    <xf numFmtId="22" fontId="10" fillId="0" borderId="0" xfId="0" applyNumberFormat="1" applyFont="1" applyAlignment="1">
      <alignment readingOrder="1"/>
    </xf>
    <xf numFmtId="46" fontId="10" fillId="0" borderId="0" xfId="0" applyNumberFormat="1" applyFont="1" applyAlignment="1">
      <alignment readingOrder="1"/>
    </xf>
    <xf numFmtId="21" fontId="10" fillId="0" borderId="0" xfId="0" applyNumberFormat="1" applyFont="1" applyAlignment="1">
      <alignment readingOrder="1"/>
    </xf>
    <xf numFmtId="0" fontId="12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6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readingOrder="1"/>
    </xf>
    <xf numFmtId="0" fontId="0" fillId="0" borderId="2" xfId="0" applyBorder="1" applyAlignment="1">
      <alignment horizontal="left" wrapText="1"/>
    </xf>
    <xf numFmtId="22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 vertical="center"/>
    </xf>
    <xf numFmtId="22" fontId="0" fillId="0" borderId="2" xfId="0" applyNumberFormat="1" applyBorder="1" applyAlignment="1">
      <alignment horizontal="left" vertical="center"/>
    </xf>
    <xf numFmtId="22" fontId="0" fillId="0" borderId="0" xfId="0" applyNumberFormat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3" xfId="0" applyBorder="1" applyAlignment="1">
      <alignment horizontal="left"/>
    </xf>
    <xf numFmtId="164" fontId="4" fillId="0" borderId="0" xfId="0" applyNumberFormat="1" applyFont="1" applyAlignment="1">
      <alignment readingOrder="1"/>
    </xf>
    <xf numFmtId="22" fontId="4" fillId="0" borderId="0" xfId="0" applyNumberFormat="1" applyFont="1" applyAlignment="1">
      <alignment readingOrder="1"/>
    </xf>
    <xf numFmtId="46" fontId="4" fillId="0" borderId="0" xfId="0" applyNumberFormat="1" applyFont="1" applyAlignment="1">
      <alignment readingOrder="1"/>
    </xf>
    <xf numFmtId="0" fontId="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7" borderId="2" xfId="0" applyFont="1" applyFill="1" applyBorder="1" applyAlignment="1">
      <alignment horizontal="center" vertical="center" wrapText="1"/>
    </xf>
    <xf numFmtId="22" fontId="17" fillId="7" borderId="2" xfId="0" applyNumberFormat="1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8" fillId="0" borderId="0" xfId="0" applyFont="1"/>
    <xf numFmtId="22" fontId="18" fillId="0" borderId="0" xfId="0" applyNumberFormat="1" applyFont="1"/>
    <xf numFmtId="46" fontId="18" fillId="0" borderId="0" xfId="0" applyNumberFormat="1" applyFont="1"/>
    <xf numFmtId="21" fontId="18" fillId="0" borderId="0" xfId="0" applyNumberFormat="1" applyFont="1"/>
    <xf numFmtId="3" fontId="18" fillId="0" borderId="0" xfId="0" applyNumberFormat="1" applyFont="1"/>
    <xf numFmtId="21" fontId="4" fillId="0" borderId="0" xfId="0" applyNumberFormat="1" applyFont="1" applyAlignment="1">
      <alignment readingOrder="1"/>
    </xf>
    <xf numFmtId="20" fontId="4" fillId="0" borderId="0" xfId="0" applyNumberFormat="1" applyFont="1" applyAlignment="1">
      <alignment readingOrder="1"/>
    </xf>
    <xf numFmtId="0" fontId="4" fillId="0" borderId="0" xfId="0" quotePrefix="1" applyFont="1" applyAlignment="1">
      <alignment readingOrder="1"/>
    </xf>
    <xf numFmtId="17" fontId="4" fillId="0" borderId="0" xfId="0" applyNumberFormat="1" applyFont="1" applyAlignment="1">
      <alignment readingOrder="1"/>
    </xf>
    <xf numFmtId="0" fontId="16" fillId="7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0" xfId="0" applyAlignment="1">
      <alignment wrapText="1"/>
    </xf>
    <xf numFmtId="167" fontId="20" fillId="3" borderId="4" xfId="0" applyNumberFormat="1" applyFont="1" applyFill="1" applyBorder="1" applyAlignment="1">
      <alignment horizontal="center" vertical="center" wrapText="1"/>
    </xf>
    <xf numFmtId="167" fontId="15" fillId="2" borderId="0" xfId="0" applyNumberFormat="1" applyFont="1" applyFill="1" applyAlignment="1">
      <alignment horizontal="center" vertical="center" wrapText="1"/>
    </xf>
  </cellXfs>
  <cellStyles count="5">
    <cellStyle name="Moeda" xfId="1" builtinId="4"/>
    <cellStyle name="Normal" xfId="0" builtinId="0"/>
    <cellStyle name="Normal 2" xfId="2" xr:uid="{6FBAFB9A-3A05-425A-B612-0B6326455652}"/>
    <cellStyle name="Normal 3" xfId="3" xr:uid="{716CD216-8AFF-46D7-9E69-273BF5CD2582}"/>
    <cellStyle name="Normal 4" xfId="4" xr:uid="{EFC8E356-E735-479E-A487-D6A125E98C61}"/>
  </cellStyles>
  <dxfs count="5">
    <dxf>
      <font>
        <b/>
        <sz val="9"/>
        <color rgb="FFC00000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C6EFCE"/>
        </patternFill>
      </fill>
    </dxf>
    <dxf>
      <font>
        <b/>
        <i val="0"/>
        <color theme="7" tint="-0.499984740745262"/>
      </font>
      <fill>
        <patternFill patternType="solid">
          <bgColor theme="7" tint="0.59999389629810485"/>
        </patternFill>
      </fill>
    </dxf>
    <dxf>
      <font>
        <b/>
        <sz val="9"/>
        <color rgb="FF595959"/>
        <name val="Arial"/>
        <charset val="1"/>
      </font>
      <fill>
        <patternFill>
          <bgColor rgb="FFD9D9D9"/>
        </patternFill>
      </fill>
    </dxf>
    <dxf>
      <font>
        <b/>
        <sz val="9"/>
        <color rgb="FF7F60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F2F2F2"/>
      <rgbColor rgb="FFFFE0E0"/>
      <rgbColor rgb="FFCC99FF"/>
      <rgbColor rgb="FFFFCCCC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EA32D0-0238-4FCF-AE78-512579DF9FBC}" name="TB_POWER_AUTOMATE" displayName="TB_POWER_AUTOMATE" ref="A1:K119" totalsRowShown="0">
  <autoFilter ref="A1:K119" xr:uid="{73EA32D0-0238-4FCF-AE78-512579DF9FBC}"/>
  <tableColumns count="11">
    <tableColumn id="1" xr3:uid="{CBFF036D-698E-4A44-8481-703525F149F8}" name="Nº Pedido / LOAD."/>
    <tableColumn id="2" xr3:uid="{1C0C1D0E-91CA-4366-B1C3-B6E817790C64}" name="⚠ ALERTA COBRANÇA"/>
    <tableColumn id="3" xr3:uid="{B3E447CC-A48C-44A2-B6E2-46F34C7B7D4C}" name="Transportadora"/>
    <tableColumn id="4" xr3:uid="{3A95061A-AD52-4166-AB7A-05B0F8522655}" name="Origem"/>
    <tableColumn id="5" xr3:uid="{03A0D3B5-4982-4C3C-9B81-DEDDAE5A40EC}" name="Data limite de inicio_x000a_da viagem"/>
    <tableColumn id="6" xr3:uid="{45B59D3C-6783-4B62-ABB9-CC370867AB8C}" name="Janela de carregamento"/>
    <tableColumn id="7" xr3:uid="{285E279A-4203-4866-ABAE-130EE286983B}" name="Data Entrega"/>
    <tableColumn id="8" xr3:uid="{8B601B59-4C01-487D-A9FA-853CA51ABA4B}" name="Cliente"/>
    <tableColumn id="9" xr3:uid="{AC881E23-FF47-4C12-9702-B19F59D20A05}" name="Destino"/>
    <tableColumn id="10" xr3:uid="{306E871F-85B6-47F4-AB84-D23EBD0BB07E}" name="LOCALIZAÇÃO DO VEICULO"/>
    <tableColumn id="11" xr3:uid="{BE348370-F696-4B11-9C6D-E053388FF737}" name="PLA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W498"/>
  <sheetViews>
    <sheetView zoomScaleNormal="100" workbookViewId="0">
      <pane ySplit="3" topLeftCell="M107" activePane="bottomLeft" state="frozen"/>
      <selection pane="bottomLeft" activeCell="T108" sqref="T108"/>
    </sheetView>
  </sheetViews>
  <sheetFormatPr defaultColWidth="0" defaultRowHeight="15" customHeight="1" zeroHeight="1"/>
  <cols>
    <col min="1" max="1" width="18.5703125" style="16" customWidth="1"/>
    <col min="2" max="2" width="15.140625" style="4" customWidth="1"/>
    <col min="3" max="3" width="62" style="4" customWidth="1"/>
    <col min="4" max="4" width="22.7109375" style="4" customWidth="1"/>
    <col min="5" max="5" width="18.140625" style="4" customWidth="1"/>
    <col min="6" max="6" width="29" style="4" customWidth="1"/>
    <col min="7" max="7" width="16.5703125" style="4" customWidth="1"/>
    <col min="8" max="8" width="14" style="4" customWidth="1"/>
    <col min="9" max="10" width="22" style="4" customWidth="1"/>
    <col min="11" max="11" width="18.42578125" style="11" customWidth="1"/>
    <col min="12" max="13" width="21" style="7" customWidth="1"/>
    <col min="14" max="14" width="20.42578125" style="7" customWidth="1"/>
    <col min="15" max="16" width="22" style="7" customWidth="1"/>
    <col min="17" max="17" width="8" style="4" customWidth="1"/>
    <col min="18" max="18" width="70.42578125" style="4" customWidth="1"/>
    <col min="19" max="19" width="62.85546875" style="4" customWidth="1"/>
    <col min="20" max="20" width="29.7109375" style="4" customWidth="1"/>
    <col min="21" max="22" width="8.7109375" style="4" customWidth="1"/>
    <col min="23" max="23" width="0" style="4" hidden="1" customWidth="1"/>
    <col min="24" max="16384" width="8.7109375" style="4" hidden="1"/>
  </cols>
  <sheetData>
    <row r="1" spans="1:20" ht="27.75" customHeight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50"/>
      <c r="N1" s="50"/>
      <c r="O1" s="50"/>
      <c r="P1" s="50"/>
      <c r="Q1" s="50"/>
      <c r="R1" s="50"/>
      <c r="S1" s="50"/>
      <c r="T1" s="50"/>
    </row>
    <row r="2" spans="1:20" ht="27.75" customHeight="1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51"/>
      <c r="O2" s="51"/>
      <c r="P2" s="51"/>
      <c r="Q2" s="51"/>
      <c r="R2" s="51"/>
      <c r="S2" s="51"/>
      <c r="T2" s="51"/>
    </row>
    <row r="3" spans="1:20" ht="42" customHeight="1">
      <c r="A3" s="1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2" t="s">
        <v>8</v>
      </c>
      <c r="H3" s="1" t="s">
        <v>9</v>
      </c>
      <c r="I3" s="8" t="s">
        <v>10</v>
      </c>
      <c r="J3" s="8" t="s">
        <v>11</v>
      </c>
      <c r="K3" s="9" t="s">
        <v>12</v>
      </c>
      <c r="L3" s="12" t="s">
        <v>13</v>
      </c>
      <c r="M3" s="12" t="s">
        <v>14</v>
      </c>
      <c r="N3" s="3" t="s">
        <v>15</v>
      </c>
      <c r="O3" s="12" t="s">
        <v>16</v>
      </c>
      <c r="P3" s="19" t="s">
        <v>17</v>
      </c>
      <c r="Q3" s="2" t="s">
        <v>18</v>
      </c>
      <c r="R3" s="2" t="s">
        <v>19</v>
      </c>
      <c r="S3" s="1" t="s">
        <v>20</v>
      </c>
      <c r="T3" s="1" t="s">
        <v>21</v>
      </c>
    </row>
    <row r="4" spans="1:20">
      <c r="A4" s="14">
        <f t="shared" ref="A4:A68" si="0">IF(M4="","",INT(M4))</f>
        <v>46157</v>
      </c>
      <c r="B4" s="5" cm="1">
        <f t="array" ref="B4:B149">_xlfn._xlws.FILTER( 'LOCALIZAÇÃO DE CARGA'!A2:A1702, ( (('LOCALIZAÇÃO DE CARGA'!F2:F1702="não iniciado")+ ('LOCALIZAÇÃO DE CARGA'!F2:F1702="Andamento"))&gt;0 ) * (ISNUMBER(VALUE('LOCALIZAÇÃO DE CARGA'!A2:A1702))), "Sem pedidos" )</f>
        <v>6022063</v>
      </c>
      <c r="C4" s="45" t="str">
        <f ca="1">IFERROR(
IF(B4="","",
IF(I4="Encerrada",
"VERIFICAR SMP EM ANDAMENTO",
IF(VALUE(SUBSTITUTE(K4,".",""))&lt;100000,
"DESCONSIDERA, VALOR NÃO RASTREADO",
IF(AND(I4="EM VIAGEM",ISNUMBER(FIND("CAJAMAR/SP",S4))),
IF(E4="Patio",
"NA PENSKE - COM SMP - AGUARDANDO CARREGAMENTO",
"NA PENSKE - COM SMP - AGUARDANDO SAÍDA"),
IF(AND(I4="Pré-SMP",ISNUMBER(FIND("CAJAMAR/SP",S4))),
IF(E4="Patio",
"NA PENSKE - PRÉ-SMP - AGUARDANDO CARREGAMENTO",
"NA PENSKE - PRÉ-SMP - AGUARDANDO SAÍDA"),
IF(AND(I4="EM VIAGEM",ISNUMBER(FIND("ITAPOA/SC",S4))),
"NA CLIF - COM SMP - AGUARDANDO SAÍDA",
IF(AND(I4="Pré-SMP",ISNUMBER(FIND("ITAPOA/SC",S4))),
"NA CLIF - PRÉ-SMP - AGUARDANDO SAÍDA",
IF(I4="EM VIAGEM",
"EM VIAGEM",
IF(OR(L4="",N4=""),
IF(I4="EM VIAGEM","SEM PREVISAO - COM SMP",
IF(I4="Pré-SMP","SEM PREVISAO - PRÉ-SMP",
"SEM PREVISAO - SEM SMP")),
IF(M4&gt;L4,
IF(NOW()&gt;N4,
IF(E4="Finalizado",
IF(I4="EM VIAGEM","CARREGADO - COM SMP",
IF(I4="Pré-SMP","CARREGADO - PRÉ-SMP",
"CARREGADO - SEM SMP")),
IF(I4="EM VIAGEM","ATRASADO CARREGAMENTO - COM SMP - VERIFICAR AGENDAMENTO",
IF(I4="Pré-SMP","ATRASADO CARREGAMENTO - PRÉ-SMP - VERIFICAR AGENDAMENTO",
"ATRASADO CARREGAMENTO - SEM SMP - VERIFICAR AGENDAMENTO"))),
IF(NOW()&gt;L4,
IF(I4="EM VIAGEM","ATRASADO ENTREGA - COM SMP - VERIFICAR AGENDAMENTO",
IF(I4="Pré-SMP","ATRASADO ENTREGA - PRÉ-SMP - VERIFICAR AGENDAMENTO",
"ATRASADO ENTREGA - SEM SMP - VERIFICAR AGENDAMENTO")),
"OK NO PRAZO - VERIFICAR AGENDAMENTO")),
IF(NOW()&gt;L4,
IF(I4="EM VIAGEM","ATRASADO ENTREGA - COM SMP",
IF(I4="Pré-SMP","ATRASADO ENTREGA - PRÉ-SMP",
"ATRASADO ENTREGA - SEM SMP")),
IF(NOW()&gt;N4,
IF(E4="Finalizado",
IF(I4="EM VIAGEM","CARREGADO - COM SMP",
IF(I4="Pré-SMP","CARREGADO - PRÉ-SMP",
"CARREGADO - SEM SMP")),
IF(I4="EM VIAGEM","ATRASADO CARREGAMENTO - COM SMP",
IF(I4="Pré-SMP","ATRASADO CARREGAMENTO - PRÉ-SMP",
"ATRASADO CARREGAMENTO - SEM SMP"))),
IF(L4-NOW()&lt;=1,
"ATENCAO - PROXIMO",
"OK - NO PRAZO"
))))))))))))),"")</f>
        <v>EM VIAGEM</v>
      </c>
      <c r="D4" s="28"/>
      <c r="E4" s="28" t="str">
        <f>IFERROR(
IF(
_xlfn.XLOOKUP(
B4,
'LOCALIZAÇÃO DE CARGA'!$A$2:$A$702,
'LOCALIZAÇÃO DE CARGA'!$D$2:$D$702
)="",
"",
_xlfn.XLOOKUP(
B4,
'LOCALIZAÇÃO DE CARGA'!$A$2:$A$702,
'LOCALIZAÇÃO DE CARGA'!$D$2:$D$702
)
),
""
)</f>
        <v>Saida do WH</v>
      </c>
      <c r="F4" s="5" t="str">
        <f>IFERROR(
IF(
_xlfn.XLOOKUP(
B4,
'LOCALIZAÇÃO DE CARGA'!$A$2:$A$702,
'LOCALIZAÇÃO DE CARGA'!$H$2:$H$702
)="",
"",
_xlfn.XLOOKUP(
B4,
'LOCALIZAÇÃO DE CARGA'!$A$2:$A$702,
'LOCALIZAÇÃO DE CARGA'!$H$2:$H$702
)
),
""
)</f>
        <v>TR RAMTHUN</v>
      </c>
      <c r="G4" s="5" t="str">
        <f>IFERROR(
IF(
_xlfn.XLOOKUP(
B4,
'LOCALIZAÇÃO DE CARGA'!$A$2:$A$702,
'LOCALIZAÇÃO DE CARGA'!$I$2:$I$702
)="",
"",
_xlfn.XLOOKUP(
B4,
'LOCALIZAÇÃO DE CARGA'!$A$2:$A$702,
'LOCALIZAÇÃO DE CARGA'!$I$2:$I$702
)
),
""
)</f>
        <v>LGCAJ</v>
      </c>
      <c r="H4" s="5" t="str">
        <f>IFERROR(
IF(
_xlfn.XLOOKUP(
B4,
'LOCALIZAÇÃO DE CARGA'!$A$2:$A$702,
'LOCALIZAÇÃO DE CARGA'!$F$2:$F$702
)="",
"",
_xlfn.XLOOKUP(
B4,
'LOCALIZAÇÃO DE CARGA'!$A$2:$A$702,
'LOCALIZAÇÃO DE CARGA'!$F$2:$F$702
)
),
""
)</f>
        <v>Andamento</v>
      </c>
      <c r="I4" s="5" t="str" cm="1">
        <f t="array" ref="I4">IFERROR(
IF(
OR(
INDEX(
'VISÃO LOGISTICA'!$C$2:$C$525,
MATCH(
TRUE,
ISNUMBER(FIND(B4,'VISÃO LOGISTICA'!$A$2:$A$525)),
0
)
)="Em espera",
INDEX(
'VISÃO LOGISTICA'!$C$2:$C$525,
MATCH(
TRUE,
ISNUMBER(FIND(B4,'VISÃO LOGISTICA'!$A$2:$A$525)),
0
)
)=""
),
"",
INDEX(
'VISÃO LOGISTICA'!$C$2:$C$525,
MATCH(
TRUE,
ISNUMBER(FIND(B4,'VISÃO LOGISTICA'!$A$2:$A$525)),
0
)
)
),
""
)</f>
        <v>Em Viagem</v>
      </c>
      <c r="J4" s="5" t="str" cm="1">
        <f t="array" ref="J4">IFERROR(
IF(
OR(
INDEX(
'VISÃO LOGISTICA'!$C$2:$C$2000,
MATCH(
TRUE,
ISNUMBER(FIND(B4,'VISÃO LOGISTICA'!$A$2:$A$2000)),
0
)
)="Em espera",
INDEX(
'VISÃO LOGISTICA'!$C$2:$C$2000,
MATCH(
TRUE,
ISNUMBER(FIND(B4,'VISÃO LOGISTICA'!$A$2:$A$2000)),
0
)
)=""
),
"",
INDEX(
'VISÃO LOGISTICA'!$D$2:$D$2000,
MATCH(
TRUE,
ISNUMBER(FIND(B4,'VISÃO LOGISTICA'!$A$2:$A$2000)),
0
)
)
),
""
)</f>
        <v>QHG5H17</v>
      </c>
      <c r="K4" s="10">
        <f>IFERROR(
IF(
_xlfn.XLOOKUP(
B4,
'LOCALIZAÇÃO DE CARGA'!$A$2:$A$702,
'LOCALIZAÇÃO DE CARGA'!$E$2:$E$702)="",
"",
_xlfn.XLOOKUP(
B4,
'LOCALIZAÇÃO DE CARGA'!$A$2:$A$702,
'LOCALIZAÇÃO DE CARGA'!$E$2:$E$702)
),
""
)</f>
        <v>1341079.3</v>
      </c>
      <c r="L4" s="6" cm="1">
        <f t="array" ref="L4">IFERROR(
_xlfn.LET(
_xlpm.res,_xlfn.XLOOKUP(B4,'LOCALIZAÇÃO DE CARGA'!$A$2:$A$2000,'LOCALIZAÇÃO DE CARGA'!$G$2:$G$2000),
IF(_xlpm.res="","",_xlpm.res)
),
""
)</f>
        <v>46157.333333333336</v>
      </c>
      <c r="M4" s="6" cm="1">
        <f t="array" ref="M4">IFERROR(
_xlfn.LET(
_xlpm.load,_xlfn.XLOOKUP(B4,'LOCALIZAÇÃO DE CARGA'!$A$2:$A$2000,'LOCALIZAÇÃO DE CARGA'!$A$2:$A$2000),
_xlpm.res,_xlfn.XLOOKUP(_xlpm.load,DOCUMENTOS!$A$2:$A$2000,DOCUMENTOS!$D$2:$D$2000),
IF(_xlpm.res="","",_xlpm.res)
),
""
)</f>
        <v>46157.333333333336</v>
      </c>
      <c r="N4" s="6">
        <f>IFERROR(IF(M4="","",M4-TIME(1,0,0)),"")</f>
        <v>46157.291666666672</v>
      </c>
      <c r="O4" s="6" cm="1">
        <f t="array" ref="O4">IFERROR(
_xlfn.LET(
_xlpm.res,_xlfn.XLOOKUP(B4,'LOCALIZAÇÃO DE CARGA'!$A$2:$A$2000,'LOCALIZAÇÃO DE CARGA'!$S$2:$S$2000),
IF(_xlpm.res="","",_xlpm.res)
),
""
)</f>
        <v>46161.291666666664</v>
      </c>
      <c r="P4" s="6" cm="1">
        <f t="array" ref="P4">IFERROR(
_xlfn.LET(
_xlpm.res,_xlfn.XLOOKUP(B4,'LOCALIZAÇÃO DE CARGA'!$A$2:$A$702,'LOCALIZAÇÃO DE CARGA'!$T$2:$T$702),
IF(_xlpm.res="","",_xlpm.res)
),
""
)</f>
        <v>46158.892361111109</v>
      </c>
      <c r="Q4" s="5" t="str">
        <f>IFERROR(
IF(
_xlfn.XLOOKUP(
B4,
'LOCALIZAÇÃO DE CARGA'!$A$2:$A$702,
'LOCALIZAÇÃO DE CARGA'!$K$2:$K$702
)="",
"",
_xlfn.XLOOKUP(
B4,
'LOCALIZAÇÃO DE CARGA'!$A$2:$A$702,
'LOCALIZAÇÃO DE CARGA'!$K$2:$K$702
)
),
""
)</f>
        <v>FUJIOKA ELETRO IMAGEM S/A - 74675690</v>
      </c>
      <c r="R4" s="5" t="str">
        <f>IF(Q4="","",TRIM(IFERROR(LEFT(LEFT(Q4,FIND(" - ",Q4)-1),FIND("(",LEFT(Q4,FIND(" - ",Q4)-1))-1),LEFT(Q4,FIND(" - ",Q4)-1))))</f>
        <v>FUJIOKA ELETRO IMAGEM S/A</v>
      </c>
      <c r="S4" s="5" t="str" cm="1">
        <f t="array" ref="S4">IF(B4="","",IFERROR(
INDEX(
'VISÃO LOGISTICA'!$L$2:$L$525,
MATCH(
TRUE,
ISNUMBER(FIND(B4,'VISÃO LOGISTICA'!$A$2:$A$525)),
0
)
),
""
))</f>
        <v>RODOVIA ANHANGUERA, RIBEIRAO PRETO/SP/BRASIL (0,01 Km)</v>
      </c>
      <c r="T4" s="5" t="str">
        <f>IFERROR(
_xlfn.LET(
_xlpm.res,_xlfn.XLOOKUP(B4,'LOCALIZAÇÃO DE CARGA'!$A$2:$A$702,'LOCALIZAÇÃO DE CARGA'!$R$2:$R$702),
IF(_xlpm.res="","",_xlpm.res)
),
""
)</f>
        <v>GOIANIA/GO/BRASIL</v>
      </c>
    </row>
    <row r="5" spans="1:20" ht="18" customHeight="1">
      <c r="A5" s="14">
        <f t="shared" si="0"/>
        <v>46157</v>
      </c>
      <c r="B5" s="5">
        <v>6022062</v>
      </c>
      <c r="C5" s="45" t="str">
        <f t="shared" ref="C5:C68" ca="1" si="1">IFERROR(
IF(B5="","",
IF(I5="Encerrada",
"VERIFICAR SMP EM ANDAMENTO",
IF(VALUE(SUBSTITUTE(K5,".",""))&lt;100000,
"DESCONSIDERA, VALOR NÃO RASTREADO",
IF(AND(I5="EM VIAGEM",ISNUMBER(FIND("CAJAMAR/SP",S5))),
IF(E5="Patio",
"NA PENSKE - COM SMP - AGUARDANDO CARREGAMENTO",
"NA PENSKE - COM SMP - AGUARDANDO SAÍDA"),
IF(AND(I5="Pré-SMP",ISNUMBER(FIND("CAJAMAR/SP",S5))),
IF(E5="Patio",
"NA PENSKE - PRÉ-SMP - AGUARDANDO CARREGAMENTO",
"NA PENSKE - PRÉ-SMP - AGUARDANDO SAÍDA"),
IF(AND(I5="EM VIAGEM",ISNUMBER(FIND("ITAPOA/SC",S5))),
"NA CLIF - COM SMP - AGUARDANDO SAÍDA",
IF(AND(I5="Pré-SMP",ISNUMBER(FIND("ITAPOA/SC",S5))),
"NA CLIF - PRÉ-SMP - AGUARDANDO SAÍDA",
IF(I5="EM VIAGEM",
"EM VIAGEM",
IF(OR(L5="",N5=""),
IF(I5="EM VIAGEM","SEM PREVISAO - COM SMP",
IF(I5="Pré-SMP","SEM PREVISAO - PRÉ-SMP",
"SEM PREVISAO - SEM SMP")),
IF(M5&gt;L5,
IF(NOW()&gt;N5,
IF(E5="Finalizado",
IF(I5="EM VIAGEM","CARREGADO - COM SMP",
IF(I5="Pré-SMP","CARREGADO - PRÉ-SMP",
"CARREGADO - SEM SMP")),
IF(I5="EM VIAGEM","ATRASADO CARREGAMENTO - COM SMP - VERIFICAR AGENDAMENTO",
IF(I5="Pré-SMP","ATRASADO CARREGAMENTO - PRÉ-SMP - VERIFICAR AGENDAMENTO",
"ATRASADO CARREGAMENTO - SEM SMP - VERIFICAR AGENDAMENTO"))),
IF(NOW()&gt;L5,
IF(I5="EM VIAGEM","ATRASADO ENTREGA - COM SMP - VERIFICAR AGENDAMENTO",
IF(I5="Pré-SMP","ATRASADO ENTREGA - PRÉ-SMP - VERIFICAR AGENDAMENTO",
"ATRASADO ENTREGA - SEM SMP - VERIFICAR AGENDAMENTO")),
"OK NO PRAZO - VERIFICAR AGENDAMENTO")),
IF(NOW()&gt;L5,
IF(I5="EM VIAGEM","ATRASADO ENTREGA - COM SMP",
IF(I5="Pré-SMP","ATRASADO ENTREGA - PRÉ-SMP",
"ATRASADO ENTREGA - SEM SMP")),
IF(NOW()&gt;N5,
IF(E5="Finalizado",
IF(I5="EM VIAGEM","CARREGADO - COM SMP",
IF(I5="Pré-SMP","CARREGADO - PRÉ-SMP",
"CARREGADO - SEM SMP")),
IF(I5="EM VIAGEM","ATRASADO CARREGAMENTO - COM SMP",
IF(I5="Pré-SMP","ATRASADO CARREGAMENTO - PRÉ-SMP",
"ATRASADO CARREGAMENTO - SEM SMP"))),
IF(L5-NOW()&lt;=1,
"ATENCAO - PROXIMO",
"OK - NO PRAZO"
))))))))))))),"")</f>
        <v>EM VIAGEM</v>
      </c>
      <c r="D5" s="28"/>
      <c r="E5" s="28" t="str">
        <f>IFERROR(
IF(
_xlfn.XLOOKUP(
B5,
'LOCALIZAÇÃO DE CARGA'!$A$2:$A$702,
'LOCALIZAÇÃO DE CARGA'!$D$2:$D$702
)="",
"",
_xlfn.XLOOKUP(
B5,
'LOCALIZAÇÃO DE CARGA'!$A$2:$A$702,
'LOCALIZAÇÃO DE CARGA'!$D$2:$D$702
)
),
""
)</f>
        <v>Saida do WH</v>
      </c>
      <c r="F5" s="13" t="str">
        <f>IFERROR(
IF(
_xlfn.XLOOKUP(
B5,
'LOCALIZAÇÃO DE CARGA'!$A$2:$A$702,
'LOCALIZAÇÃO DE CARGA'!$H$2:$H$702
)="",
"",
_xlfn.XLOOKUP(
B5,
'LOCALIZAÇÃO DE CARGA'!$A$2:$A$702,
'LOCALIZAÇÃO DE CARGA'!$H$2:$H$702
)
),
""
)</f>
        <v>TR RAMTHUN</v>
      </c>
      <c r="G5" s="5" t="str">
        <f>IFERROR(
IF(
_xlfn.XLOOKUP(
B5,
'LOCALIZAÇÃO DE CARGA'!$A$2:$A$702,
'LOCALIZAÇÃO DE CARGA'!$I$2:$I$702
)="",
"",
_xlfn.XLOOKUP(
B5,
'LOCALIZAÇÃO DE CARGA'!$A$2:$A$702,
'LOCALIZAÇÃO DE CARGA'!$I$2:$I$702
)
),
""
)</f>
        <v>LGCAJ</v>
      </c>
      <c r="H5" s="5" t="str">
        <f>IFERROR(
IF(
_xlfn.XLOOKUP(
B5,
'LOCALIZAÇÃO DE CARGA'!$A$2:$A$702,
'LOCALIZAÇÃO DE CARGA'!$F$2:$F$702
)="",
"",
_xlfn.XLOOKUP(
B5,
'LOCALIZAÇÃO DE CARGA'!$A$2:$A$702,
'LOCALIZAÇÃO DE CARGA'!$F$2:$F$702
)
),
""
)</f>
        <v>Andamento</v>
      </c>
      <c r="I5" s="13" t="str" cm="1">
        <f t="array" ref="I5">IFERROR(
IF(
INDEX(
'VISÃO LOGISTICA'!$C$2:$C$525,
MATCH(
TRUE,
ISNUMBER(FIND(B5,'VISÃO LOGISTICA'!$A$2:$A$525)),
0
)
)="Em espera",
"",
INDEX(
'VISÃO LOGISTICA'!$C$2:$C$525,
MATCH(
TRUE,
ISNUMBER(FIND(B5,'VISÃO LOGISTICA'!$A$2:$A$525)),
0
)
)
),
""
)</f>
        <v>Em Viagem</v>
      </c>
      <c r="J5" s="5" t="str" cm="1">
        <f t="array" ref="J5">IFERROR(
IF(
OR(
INDEX(
'VISÃO LOGISTICA'!$C$2:$C$2000,
MATCH(
TRUE,
ISNUMBER(FIND(B5,'VISÃO LOGISTICA'!$A$2:$A$2000)),
0
)
)="Em espera",
INDEX(
'VISÃO LOGISTICA'!$C$2:$C$2000,
MATCH(
TRUE,
ISNUMBER(FIND(B5,'VISÃO LOGISTICA'!$A$2:$A$2000)),
0
)
)=""
),
"",
INDEX(
'VISÃO LOGISTICA'!$D$2:$D$2000,
MATCH(
TRUE,
ISNUMBER(FIND(B5,'VISÃO LOGISTICA'!$A$2:$A$2000)),
0
)
)
),
""
)</f>
        <v>QHG5H17</v>
      </c>
      <c r="K5" s="10">
        <f>IFERROR(
IF(
_xlfn.XLOOKUP(
B5,
'LOCALIZAÇÃO DE CARGA'!$A$2:$A$702,
'LOCALIZAÇÃO DE CARGA'!$E$2:$E$702)="",
"",
_xlfn.XLOOKUP(
B5,
'LOCALIZAÇÃO DE CARGA'!$A$2:$A$702,
'LOCALIZAÇÃO DE CARGA'!$E$2:$E$702)
),
""
)</f>
        <v>1341079.3</v>
      </c>
      <c r="L5" s="6" cm="1">
        <f t="array" ref="L5">IFERROR(
_xlfn.LET(
_xlpm.res,_xlfn.XLOOKUP(B5,'LOCALIZAÇÃO DE CARGA'!$A$2:$A$2000,'LOCALIZAÇÃO DE CARGA'!$G$2:$G$2000),
IF(_xlpm.res="","",_xlpm.res)
),
""
)</f>
        <v>46157.333333333336</v>
      </c>
      <c r="M5" s="20" cm="1">
        <f t="array" ref="M5">IFERROR(
_xlfn.LET(
_xlpm.load,_xlfn.XLOOKUP(B5,'LOCALIZAÇÃO DE CARGA'!$A$2:$A$2000,'LOCALIZAÇÃO DE CARGA'!$A$2:$A$2000),
_xlpm.res,_xlfn.XLOOKUP(_xlpm.load,DOCUMENTOS!$A$2:$A$2000,DOCUMENTOS!$D$2:$D$2000),
IF(_xlpm.res="","",_xlpm.res)
),
""
)</f>
        <v>46157.333333333336</v>
      </c>
      <c r="N5" s="6">
        <f>IFERROR(IF(M5="","",M5-TIME(1,0,0)),"")</f>
        <v>46157.291666666672</v>
      </c>
      <c r="O5" s="6" cm="1">
        <f t="array" ref="O5">IFERROR(
_xlfn.LET(
_xlpm.res,_xlfn.XLOOKUP(B5,'LOCALIZAÇÃO DE CARGA'!$A$2:$A$2000,'LOCALIZAÇÃO DE CARGA'!$S$2:$S$2000),
IF(_xlpm.res="","",_xlpm.res)
),
""
)</f>
        <v>46161.291666666664</v>
      </c>
      <c r="P5" s="6" cm="1">
        <f t="array" ref="P5">IFERROR(
_xlfn.LET(
_xlpm.res,_xlfn.XLOOKUP(B5,'LOCALIZAÇÃO DE CARGA'!$A$2:$A$702,'LOCALIZAÇÃO DE CARGA'!$T$2:$T$702),
IF(_xlpm.res="","",_xlpm.res)
),
""
)</f>
        <v>46158.892361111109</v>
      </c>
      <c r="Q5" s="5" t="str">
        <f>IFERROR(
IF(
_xlfn.XLOOKUP(
B5,
'LOCALIZAÇÃO DE CARGA'!$A$2:$A$702,
'LOCALIZAÇÃO DE CARGA'!$K$2:$K$702
)="",
"",
_xlfn.XLOOKUP(
B5,
'LOCALIZAÇÃO DE CARGA'!$A$2:$A$702,
'LOCALIZAÇÃO DE CARGA'!$K$2:$K$702
)
),
""
)</f>
        <v>FUJIOKA ELETRO IMAGEM S/A - 74675690</v>
      </c>
      <c r="R5" s="5" t="str">
        <f t="shared" ref="R5:R68" si="2">IF(Q5="","",TRIM(IFERROR(LEFT(LEFT(Q5,FIND(" - ",Q5)-1),FIND("(",LEFT(Q5,FIND(" - ",Q5)-1))-1),LEFT(Q5,FIND(" - ",Q5)-1))))</f>
        <v>FUJIOKA ELETRO IMAGEM S/A</v>
      </c>
      <c r="S5" s="5" t="str" cm="1">
        <f t="array" ref="S5">IF(B5="","",IFERROR(
INDEX(
'VISÃO LOGISTICA'!$L$2:$L$525,
MATCH(
TRUE,
ISNUMBER(FIND(B5,'VISÃO LOGISTICA'!$A$2:$A$525)),
0
)
),
""
))</f>
        <v>RODOVIA ANHANGUERA, RIBEIRAO PRETO/SP/BRASIL (0,01 Km)</v>
      </c>
      <c r="T5" s="5" t="str">
        <f>IFERROR(
_xlfn.LET(
_xlpm.res,_xlfn.XLOOKUP(B5,'LOCALIZAÇÃO DE CARGA'!$A$2:$A$702,'LOCALIZAÇÃO DE CARGA'!$R$2:$R$702),
IF(_xlpm.res="","",_xlpm.res)
),
""
)</f>
        <v>GOIANIA/GO/BRASIL</v>
      </c>
    </row>
    <row r="6" spans="1:20" ht="18" customHeight="1">
      <c r="A6" s="14">
        <f t="shared" si="0"/>
        <v>46157</v>
      </c>
      <c r="B6" s="5">
        <v>6022065</v>
      </c>
      <c r="C6" s="45" t="str">
        <f t="shared" ca="1" si="1"/>
        <v>EM VIAGEM</v>
      </c>
      <c r="D6" s="28"/>
      <c r="E6" s="28" t="str">
        <f>IFERROR(
IF(
_xlfn.XLOOKUP(
B6,
'LOCALIZAÇÃO DE CARGA'!$A$2:$A$702,
'LOCALIZAÇÃO DE CARGA'!$D$2:$D$702
)="",
"",
_xlfn.XLOOKUP(
B6,
'LOCALIZAÇÃO DE CARGA'!$A$2:$A$702,
'LOCALIZAÇÃO DE CARGA'!$D$2:$D$702
)
),
""
)</f>
        <v>Saida do WH</v>
      </c>
      <c r="F6" s="13" t="str">
        <f>IFERROR(
IF(
_xlfn.XLOOKUP(
B6,
'LOCALIZAÇÃO DE CARGA'!$A$2:$A$702,
'LOCALIZAÇÃO DE CARGA'!$H$2:$H$702
)="",
"",
_xlfn.XLOOKUP(
B6,
'LOCALIZAÇÃO DE CARGA'!$A$2:$A$702,
'LOCALIZAÇÃO DE CARGA'!$H$2:$H$702
)
),
""
)</f>
        <v>LX PANTOS</v>
      </c>
      <c r="G6" s="5" t="str">
        <f>IFERROR(
IF(
_xlfn.XLOOKUP(
B6,
'LOCALIZAÇÃO DE CARGA'!$A$2:$A$702,
'LOCALIZAÇÃO DE CARGA'!$I$2:$I$702
)="",
"",
_xlfn.XLOOKUP(
B6,
'LOCALIZAÇÃO DE CARGA'!$A$2:$A$702,
'LOCALIZAÇÃO DE CARGA'!$I$2:$I$702
)
),
""
)</f>
        <v>LGCAJ</v>
      </c>
      <c r="H6" s="5" t="str">
        <f>IFERROR(
IF(
_xlfn.XLOOKUP(
B6,
'LOCALIZAÇÃO DE CARGA'!$A$2:$A$702,
'LOCALIZAÇÃO DE CARGA'!$F$2:$F$702
)="",
"",
_xlfn.XLOOKUP(
B6,
'LOCALIZAÇÃO DE CARGA'!$A$2:$A$702,
'LOCALIZAÇÃO DE CARGA'!$F$2:$F$702
)
),
""
)</f>
        <v>Andamento</v>
      </c>
      <c r="I6" s="13" t="str" cm="1">
        <f t="array" ref="I6">IFERROR(
IF(
INDEX(
'VISÃO LOGISTICA'!$C$2:$C$525,
MATCH(
TRUE,
ISNUMBER(FIND(B6,'VISÃO LOGISTICA'!$A$2:$A$525)),
0
)
)="Em espera",
"",
INDEX(
'VISÃO LOGISTICA'!$C$2:$C$525,
MATCH(
TRUE,
ISNUMBER(FIND(B6,'VISÃO LOGISTICA'!$A$2:$A$525)),
0
)
)
),
""
)</f>
        <v>Em Viagem</v>
      </c>
      <c r="J6" s="5" t="str" cm="1">
        <f t="array" ref="J6">IFERROR(
IF(
OR(
INDEX(
'VISÃO LOGISTICA'!$C$2:$C$2000,
MATCH(
TRUE,
ISNUMBER(FIND(B6,'VISÃO LOGISTICA'!$A$2:$A$2000)),
0
)
)="Em espera",
INDEX(
'VISÃO LOGISTICA'!$C$2:$C$2000,
MATCH(
TRUE,
ISNUMBER(FIND(B6,'VISÃO LOGISTICA'!$A$2:$A$2000)),
0
)
)=""
),
"",
INDEX(
'VISÃO LOGISTICA'!$D$2:$D$2000,
MATCH(
TRUE,
ISNUMBER(FIND(B6,'VISÃO LOGISTICA'!$A$2:$A$2000)),
0
)
)
),
""
)</f>
        <v>NVQ2B29</v>
      </c>
      <c r="K6" s="10">
        <f>IFERROR(
IF(
_xlfn.XLOOKUP(
B6,
'LOCALIZAÇÃO DE CARGA'!$A$2:$A$702,
'LOCALIZAÇÃO DE CARGA'!$E$2:$E$702)="",
"",
_xlfn.XLOOKUP(
B6,
'LOCALIZAÇÃO DE CARGA'!$A$2:$A$702,
'LOCALIZAÇÃO DE CARGA'!$E$2:$E$702)
),
""
)</f>
        <v>1335205.96</v>
      </c>
      <c r="L6" s="20" cm="1">
        <f t="array" ref="L6">IFERROR(
_xlfn.LET(
_xlpm.res,_xlfn.XLOOKUP(B6,'LOCALIZAÇÃO DE CARGA'!$A$2:$A$2000,'LOCALIZAÇÃO DE CARGA'!$G$2:$G$2000),
IF(_xlpm.res="","",_xlpm.res)
),
""
)</f>
        <v>46160.174305555556</v>
      </c>
      <c r="M6" s="20" cm="1">
        <f t="array" ref="M6">IFERROR(
_xlfn.LET(
_xlpm.load,_xlfn.XLOOKUP(B6,'LOCALIZAÇÃO DE CARGA'!$A$2:$A$2000,'LOCALIZAÇÃO DE CARGA'!$A$2:$A$2000),
_xlpm.res,_xlfn.XLOOKUP(_xlpm.load,DOCUMENTOS!$A$2:$A$2000,DOCUMENTOS!$D$2:$D$2000),
IF(_xlpm.res="","",_xlpm.res)
),
""
)</f>
        <v>46157.833333333336</v>
      </c>
      <c r="N6" s="6">
        <f>IFERROR(IF(M6="","",M6-TIME(1,0,0)),"")</f>
        <v>46157.791666666672</v>
      </c>
      <c r="O6" s="6" cm="1">
        <f t="array" ref="O6">IFERROR(
_xlfn.LET(
_xlpm.res,_xlfn.XLOOKUP(B6,'LOCALIZAÇÃO DE CARGA'!$A$2:$A$2000,'LOCALIZAÇÃO DE CARGA'!$S$2:$S$2000),
IF(_xlpm.res="","",_xlpm.res)
),
""
)</f>
        <v>46161.291666666664</v>
      </c>
      <c r="P6" s="6" cm="1">
        <f t="array" ref="P6">IFERROR(
_xlfn.LET(
_xlpm.res,_xlfn.XLOOKUP(B6,'LOCALIZAÇÃO DE CARGA'!$A$2:$A$702,'LOCALIZAÇÃO DE CARGA'!$T$2:$T$702),
IF(_xlpm.res="","",_xlpm.res)
),
""
)</f>
        <v>46158.843055555553</v>
      </c>
      <c r="Q6" s="5" t="str">
        <f>IFERROR(
IF(
_xlfn.XLOOKUP(
B6,
'LOCALIZAÇÃO DE CARGA'!$A$2:$A$702,
'LOCALIZAÇÃO DE CARGA'!$K$2:$K$702
)="",
"",
_xlfn.XLOOKUP(
B6,
'LOCALIZAÇÃO DE CARGA'!$A$2:$A$702,
'LOCALIZAÇÃO DE CARGA'!$K$2:$K$702
)
),
""
)</f>
        <v>FUJIOKA ELETRO IMAGEM S/A - 74675690</v>
      </c>
      <c r="R6" s="5" t="str">
        <f t="shared" si="2"/>
        <v>FUJIOKA ELETRO IMAGEM S/A</v>
      </c>
      <c r="S6" s="5" t="str" cm="1">
        <f t="array" ref="S6">IF(B6="","",IFERROR(
INDEX(
'VISÃO LOGISTICA'!$L$2:$L$525,
MATCH(
TRUE,
ISNUMBER(FIND(B6,'VISÃO LOGISTICA'!$A$2:$A$525)),
0
)
),
""
))</f>
        <v>RODOVIA ANHANGUERA, ORLANDIA/SP/BRASIL (4,98 Km)</v>
      </c>
      <c r="T6" s="5" t="str">
        <f>IFERROR(
_xlfn.LET(
_xlpm.res,_xlfn.XLOOKUP(B6,'LOCALIZAÇÃO DE CARGA'!$A$2:$A$702,'LOCALIZAÇÃO DE CARGA'!$R$2:$R$702),
IF(_xlpm.res="","",_xlpm.res)
),
""
)</f>
        <v>GOIANIA/GO/BRASIL</v>
      </c>
    </row>
    <row r="7" spans="1:20" ht="18" customHeight="1">
      <c r="A7" s="14">
        <f t="shared" si="0"/>
        <v>46157</v>
      </c>
      <c r="B7" s="5">
        <v>6022064</v>
      </c>
      <c r="C7" s="45" t="str">
        <f t="shared" ca="1" si="1"/>
        <v>EM VIAGEM</v>
      </c>
      <c r="D7" s="28"/>
      <c r="E7" s="28" t="str">
        <f>IFERROR(
IF(
_xlfn.XLOOKUP(
B7,
'LOCALIZAÇÃO DE CARGA'!$A$2:$A$702,
'LOCALIZAÇÃO DE CARGA'!$D$2:$D$702
)="",
"",
_xlfn.XLOOKUP(
B7,
'LOCALIZAÇÃO DE CARGA'!$A$2:$A$702,
'LOCALIZAÇÃO DE CARGA'!$D$2:$D$702
)
),
""
)</f>
        <v>Atrasado</v>
      </c>
      <c r="F7" s="13" t="str">
        <f>IFERROR(
IF(
_xlfn.XLOOKUP(
B7,
'LOCALIZAÇÃO DE CARGA'!$A$2:$A$702,
'LOCALIZAÇÃO DE CARGA'!$H$2:$H$702
)="",
"",
_xlfn.XLOOKUP(
B7,
'LOCALIZAÇÃO DE CARGA'!$A$2:$A$702,
'LOCALIZAÇÃO DE CARGA'!$H$2:$H$702
)
),
""
)</f>
        <v>MINAS SUL</v>
      </c>
      <c r="G7" s="5" t="str">
        <f>IFERROR(
IF(
_xlfn.XLOOKUP(
B7,
'LOCALIZAÇÃO DE CARGA'!$A$2:$A$702,
'LOCALIZAÇÃO DE CARGA'!$I$2:$I$702
)="",
"",
_xlfn.XLOOKUP(
B7,
'LOCALIZAÇÃO DE CARGA'!$A$2:$A$702,
'LOCALIZAÇÃO DE CARGA'!$I$2:$I$702
)
),
""
)</f>
        <v>LGCAJ</v>
      </c>
      <c r="H7" s="5" t="str">
        <f>IFERROR(
IF(
_xlfn.XLOOKUP(
B7,
'LOCALIZAÇÃO DE CARGA'!$A$2:$A$702,
'LOCALIZAÇÃO DE CARGA'!$F$2:$F$702
)="",
"",
_xlfn.XLOOKUP(
B7,
'LOCALIZAÇÃO DE CARGA'!$A$2:$A$702,
'LOCALIZAÇÃO DE CARGA'!$F$2:$F$702
)
),
""
)</f>
        <v>Andamento</v>
      </c>
      <c r="I7" s="13" t="str" cm="1">
        <f t="array" ref="I7">IFERROR(
IF(
INDEX(
'VISÃO LOGISTICA'!$C$2:$C$525,
MATCH(
TRUE,
ISNUMBER(FIND(B7,'VISÃO LOGISTICA'!$A$2:$A$525)),
0
)
)="Em espera",
"",
INDEX(
'VISÃO LOGISTICA'!$C$2:$C$525,
MATCH(
TRUE,
ISNUMBER(FIND(B7,'VISÃO LOGISTICA'!$A$2:$A$525)),
0
)
)
),
""
)</f>
        <v>Em Viagem</v>
      </c>
      <c r="J7" s="5" t="str" cm="1">
        <f t="array" ref="J7">IFERROR(
IF(
OR(
INDEX(
'VISÃO LOGISTICA'!$C$2:$C$2000,
MATCH(
TRUE,
ISNUMBER(FIND(B7,'VISÃO LOGISTICA'!$A$2:$A$2000)),
0
)
)="Em espera",
INDEX(
'VISÃO LOGISTICA'!$C$2:$C$2000,
MATCH(
TRUE,
ISNUMBER(FIND(B7,'VISÃO LOGISTICA'!$A$2:$A$2000)),
0
)
)=""
),
"",
INDEX(
'VISÃO LOGISTICA'!$D$2:$D$2000,
MATCH(
TRUE,
ISNUMBER(FIND(B7,'VISÃO LOGISTICA'!$A$2:$A$2000)),
0
)
)
),
""
)</f>
        <v>DBM2B52</v>
      </c>
      <c r="K7" s="10">
        <f>IFERROR(
IF(
_xlfn.XLOOKUP(
B7,
'LOCALIZAÇÃO DE CARGA'!$A$2:$A$702,
'LOCALIZAÇÃO DE CARGA'!$E$2:$E$702)="",
"",
_xlfn.XLOOKUP(
B7,
'LOCALIZAÇÃO DE CARGA'!$A$2:$A$702,
'LOCALIZAÇÃO DE CARGA'!$E$2:$E$702)
),
""
)</f>
        <v>1307797.04</v>
      </c>
      <c r="L7" s="20" cm="1">
        <f t="array" ref="L7">IFERROR(
_xlfn.LET(
_xlpm.res,_xlfn.XLOOKUP(B7,'LOCALIZAÇÃO DE CARGA'!$A$2:$A$2000,'LOCALIZAÇÃO DE CARGA'!$G$2:$G$2000),
IF(_xlpm.res="","",_xlpm.res)
),
""
)</f>
        <v>46160.174305555556</v>
      </c>
      <c r="M7" s="20" cm="1">
        <f t="array" ref="M7">IFERROR(
_xlfn.LET(
_xlpm.load,_xlfn.XLOOKUP(B7,'LOCALIZAÇÃO DE CARGA'!$A$2:$A$2000,'LOCALIZAÇÃO DE CARGA'!$A$2:$A$2000),
_xlpm.res,_xlfn.XLOOKUP(_xlpm.load,DOCUMENTOS!$A$2:$A$2000,DOCUMENTOS!$D$2:$D$2000),
IF(_xlpm.res="","",_xlpm.res)
),
""
)</f>
        <v>46157.875</v>
      </c>
      <c r="N7" s="6">
        <f>IFERROR(IF(M7="","",M7-TIME(1,0,0)),"")</f>
        <v>46157.833333333336</v>
      </c>
      <c r="O7" s="6" cm="1">
        <f t="array" ref="O7">IFERROR(
_xlfn.LET(
_xlpm.res,_xlfn.XLOOKUP(B7,'LOCALIZAÇÃO DE CARGA'!$A$2:$A$2000,'LOCALIZAÇÃO DE CARGA'!$S$2:$S$2000),
IF(_xlpm.res="","",_xlpm.res)
),
""
)</f>
        <v>46161.291666666664</v>
      </c>
      <c r="P7" s="6" cm="1">
        <f t="array" ref="P7">IFERROR(
_xlfn.LET(
_xlpm.res,_xlfn.XLOOKUP(B7,'LOCALIZAÇÃO DE CARGA'!$A$2:$A$702,'LOCALIZAÇÃO DE CARGA'!$T$2:$T$702),
IF(_xlpm.res="","",_xlpm.res)
),
""
)</f>
        <v>46158.697916666664</v>
      </c>
      <c r="Q7" s="5" t="str">
        <f>IFERROR(
IF(
_xlfn.XLOOKUP(
B7,
'LOCALIZAÇÃO DE CARGA'!$A$2:$A$702,
'LOCALIZAÇÃO DE CARGA'!$K$2:$K$702
)="",
"",
_xlfn.XLOOKUP(
B7,
'LOCALIZAÇÃO DE CARGA'!$A$2:$A$702,
'LOCALIZAÇÃO DE CARGA'!$K$2:$K$702
)
),
""
)</f>
        <v>FUJIOKA ELETRO IMAGEM S/A - 74675690</v>
      </c>
      <c r="R7" s="5" t="str">
        <f t="shared" si="2"/>
        <v>FUJIOKA ELETRO IMAGEM S/A</v>
      </c>
      <c r="S7" s="5" t="str" cm="1">
        <f t="array" ref="S7">IF(B7="","",IFERROR(
INDEX(
'VISÃO LOGISTICA'!$L$2:$L$525,
MATCH(
TRUE,
ISNUMBER(FIND(B7,'VISÃO LOGISTICA'!$A$2:$A$525)),
0
)
),
""
))</f>
        <v>AV CORONEL JOSE TEOFILO, UBERLANDIA/MG/BRASIL (0,19 Km)</v>
      </c>
      <c r="T7" s="5" t="str">
        <f>IFERROR(
_xlfn.LET(
_xlpm.res,_xlfn.XLOOKUP(B7,'LOCALIZAÇÃO DE CARGA'!$A$2:$A$702,'LOCALIZAÇÃO DE CARGA'!$R$2:$R$702),
IF(_xlpm.res="","",_xlpm.res)
),
""
)</f>
        <v>GOIANIA/GO/BRASIL</v>
      </c>
    </row>
    <row r="8" spans="1:20" ht="18" customHeight="1">
      <c r="A8" s="14">
        <f t="shared" si="0"/>
        <v>46160</v>
      </c>
      <c r="B8" s="5">
        <v>6021677</v>
      </c>
      <c r="C8" s="45" t="str">
        <f t="shared" ca="1" si="1"/>
        <v>OK - NO PRAZO</v>
      </c>
      <c r="D8" s="28"/>
      <c r="E8" s="28" t="str">
        <f>IFERROR(
IF(
_xlfn.XLOOKUP(
B8,
'LOCALIZAÇÃO DE CARGA'!$A$2:$A$702,
'LOCALIZAÇÃO DE CARGA'!$D$2:$D$702
)="",
"",
_xlfn.XLOOKUP(
B8,
'LOCALIZAÇÃO DE CARGA'!$A$2:$A$702,
'LOCALIZAÇÃO DE CARGA'!$D$2:$D$702
)
),
""
)</f>
        <v/>
      </c>
      <c r="F8" s="13" t="str">
        <f>IFERROR(
IF(
_xlfn.XLOOKUP(
B8,
'LOCALIZAÇÃO DE CARGA'!$A$2:$A$702,
'LOCALIZAÇÃO DE CARGA'!$H$2:$H$702
)="",
"",
_xlfn.XLOOKUP(
B8,
'LOCALIZAÇÃO DE CARGA'!$A$2:$A$702,
'LOCALIZAÇÃO DE CARGA'!$H$2:$H$702
)
),
""
)</f>
        <v>LTA SOLUCOES</v>
      </c>
      <c r="G8" s="5" t="str">
        <f>IFERROR(
IF(
_xlfn.XLOOKUP(
B8,
'LOCALIZAÇÃO DE CARGA'!$A$2:$A$702,
'LOCALIZAÇÃO DE CARGA'!$I$2:$I$702
)="",
"",
_xlfn.XLOOKUP(
B8,
'LOCALIZAÇÃO DE CARGA'!$A$2:$A$702,
'LOCALIZAÇÃO DE CARGA'!$I$2:$I$702
)
),
""
)</f>
        <v>LGCAJ</v>
      </c>
      <c r="H8" s="5" t="str">
        <f>IFERROR(
IF(
_xlfn.XLOOKUP(
B8,
'LOCALIZAÇÃO DE CARGA'!$A$2:$A$702,
'LOCALIZAÇÃO DE CARGA'!$F$2:$F$702
)="",
"",
_xlfn.XLOOKUP(
B8,
'LOCALIZAÇÃO DE CARGA'!$A$2:$A$702,
'LOCALIZAÇÃO DE CARGA'!$F$2:$F$702
)
),
""
)</f>
        <v>Não iniciado</v>
      </c>
      <c r="I8" s="13" t="str" cm="1">
        <f t="array" ref="I8">IFERROR(
IF(
INDEX(
'VISÃO LOGISTICA'!$C$2:$C$525,
MATCH(
TRUE,
ISNUMBER(FIND(B8,'VISÃO LOGISTICA'!$A$2:$A$525)),
0
)
)="Em espera",
"",
INDEX(
'VISÃO LOGISTICA'!$C$2:$C$525,
MATCH(
TRUE,
ISNUMBER(FIND(B8,'VISÃO LOGISTICA'!$A$2:$A$525)),
0
)
)
),
""
)</f>
        <v/>
      </c>
      <c r="J8" s="5" t="str" cm="1">
        <f t="array" ref="J8">IFERROR(
IF(
OR(
INDEX(
'VISÃO LOGISTICA'!$C$2:$C$2000,
MATCH(
TRUE,
ISNUMBER(FIND(B8,'VISÃO LOGISTICA'!$A$2:$A$2000)),
0
)
)="Em espera",
INDEX(
'VISÃO LOGISTICA'!$C$2:$C$2000,
MATCH(
TRUE,
ISNUMBER(FIND(B8,'VISÃO LOGISTICA'!$A$2:$A$2000)),
0
)
)=""
),
"",
INDEX(
'VISÃO LOGISTICA'!$D$2:$D$2000,
MATCH(
TRUE,
ISNUMBER(FIND(B8,'VISÃO LOGISTICA'!$A$2:$A$2000)),
0
)
)
),
""
)</f>
        <v/>
      </c>
      <c r="K8" s="10">
        <f>IFERROR(
IF(
_xlfn.XLOOKUP(
B8,
'LOCALIZAÇÃO DE CARGA'!$A$2:$A$702,
'LOCALIZAÇÃO DE CARGA'!$E$2:$E$702)="",
"",
_xlfn.XLOOKUP(
B8,
'LOCALIZAÇÃO DE CARGA'!$A$2:$A$702,
'LOCALIZAÇÃO DE CARGA'!$E$2:$E$702)
),
""
)</f>
        <v>1296572.3700000001</v>
      </c>
      <c r="L8" s="20" cm="1">
        <f t="array" ref="L8">IFERROR(
_xlfn.LET(
_xlpm.res,_xlfn.XLOOKUP(B8,'LOCALIZAÇÃO DE CARGA'!$A$2:$A$2000,'LOCALIZAÇÃO DE CARGA'!$G$2:$G$2000),
IF(_xlpm.res="","",_xlpm.res)
),
""
)</f>
        <v>46160.783333333333</v>
      </c>
      <c r="M8" s="20" cm="1">
        <f t="array" ref="M8">IFERROR(
_xlfn.LET(
_xlpm.load,_xlfn.XLOOKUP(B8,'LOCALIZAÇÃO DE CARGA'!$A$2:$A$2000,'LOCALIZAÇÃO DE CARGA'!$A$2:$A$2000),
_xlpm.res,_xlfn.XLOOKUP(_xlpm.load,DOCUMENTOS!$A$2:$A$2000,DOCUMENTOS!$D$2:$D$2000),
IF(_xlpm.res="","",_xlpm.res)
),
""
)</f>
        <v>46160.375</v>
      </c>
      <c r="N8" s="6">
        <f>IFERROR(IF(M8="","",M8-TIME(1,0,0)),"")</f>
        <v>46160.333333333336</v>
      </c>
      <c r="O8" s="6" cm="1">
        <f t="array" ref="O8">IFERROR(
_xlfn.LET(
_xlpm.res,_xlfn.XLOOKUP(B8,'LOCALIZAÇÃO DE CARGA'!$A$2:$A$2000,'LOCALIZAÇÃO DE CARGA'!$S$2:$S$2000),
IF(_xlpm.res="","",_xlpm.res)
),
""
)</f>
        <v>46161.25</v>
      </c>
      <c r="P8" s="6" t="str" cm="1">
        <f t="array" ref="P8">IFERROR(
_xlfn.LET(
_xlpm.res,_xlfn.XLOOKUP(B8,'LOCALIZAÇÃO DE CARGA'!$A$2:$A$702,'LOCALIZAÇÃO DE CARGA'!$T$2:$T$702),
IF(_xlpm.res="","",_xlpm.res)
),
""
)</f>
        <v/>
      </c>
      <c r="Q8" s="5" t="str">
        <f>IFERROR(
IF(
_xlfn.XLOOKUP(
B8,
'LOCALIZAÇÃO DE CARGA'!$A$2:$A$702,
'LOCALIZAÇÃO DE CARGA'!$K$2:$K$702
)="",
"",
_xlfn.XLOOKUP(
B8,
'LOCALIZAÇÃO DE CARGA'!$A$2:$A$702,
'LOCALIZAÇÃO DE CARGA'!$K$2:$K$702
)
),
""
)</f>
        <v>GRUPO CASAS BAHIA S.A(CD1401) - 25255030</v>
      </c>
      <c r="R8" s="5" t="str">
        <f t="shared" si="2"/>
        <v>GRUPO CASAS BAHIA S.A</v>
      </c>
      <c r="S8" s="5" t="str" cm="1">
        <f t="array" ref="S8">IF(B8="","",IFERROR(
INDEX(
'VISÃO LOGISTICA'!$L$2:$L$525,
MATCH(
TRUE,
ISNUMBER(FIND(B8,'VISÃO LOGISTICA'!$A$2:$A$525)),
0
)
),
""
))</f>
        <v/>
      </c>
      <c r="T8" s="5" t="str">
        <f>IFERROR(
_xlfn.LET(
_xlpm.res,_xlfn.XLOOKUP(B8,'LOCALIZAÇÃO DE CARGA'!$A$2:$A$702,'LOCALIZAÇÃO DE CARGA'!$R$2:$R$702),
IF(_xlpm.res="","",_xlpm.res)
),
""
)</f>
        <v>DUQUE DE CAXIAS/RJ/BRASIL</v>
      </c>
    </row>
    <row r="9" spans="1:20" ht="18" customHeight="1">
      <c r="A9" s="14">
        <f t="shared" si="0"/>
        <v>46160</v>
      </c>
      <c r="B9" s="5">
        <v>6021733</v>
      </c>
      <c r="C9" s="45" t="str">
        <f t="shared" ca="1" si="1"/>
        <v>OK - NO PRAZO</v>
      </c>
      <c r="D9" s="46"/>
      <c r="E9" s="28" t="str">
        <f>IFERROR(
IF(
_xlfn.XLOOKUP(
B9,
'LOCALIZAÇÃO DE CARGA'!$A$2:$A$702,
'LOCALIZAÇÃO DE CARGA'!$D$2:$D$702
)="",
"",
_xlfn.XLOOKUP(
B9,
'LOCALIZAÇÃO DE CARGA'!$A$2:$A$702,
'LOCALIZAÇÃO DE CARGA'!$D$2:$D$702
)
),
""
)</f>
        <v/>
      </c>
      <c r="F9" s="13" t="str">
        <f>IFERROR(
IF(
_xlfn.XLOOKUP(
B9,
'LOCALIZAÇÃO DE CARGA'!$A$2:$A$702,
'LOCALIZAÇÃO DE CARGA'!$H$2:$H$702
)="",
"",
_xlfn.XLOOKUP(
B9,
'LOCALIZAÇÃO DE CARGA'!$A$2:$A$702,
'LOCALIZAÇÃO DE CARGA'!$H$2:$H$702
)
),
""
)</f>
        <v>CABRAL &amp; CAB</v>
      </c>
      <c r="G9" s="5" t="str">
        <f>IFERROR(
IF(
_xlfn.XLOOKUP(
B9,
'LOCALIZAÇÃO DE CARGA'!$A$2:$A$702,
'LOCALIZAÇÃO DE CARGA'!$I$2:$I$702
)="",
"",
_xlfn.XLOOKUP(
B9,
'LOCALIZAÇÃO DE CARGA'!$A$2:$A$702,
'LOCALIZAÇÃO DE CARGA'!$I$2:$I$702
)
),
""
)</f>
        <v>LGREC</v>
      </c>
      <c r="H9" s="5" t="str">
        <f>IFERROR(
IF(
_xlfn.XLOOKUP(
B9,
'LOCALIZAÇÃO DE CARGA'!$A$2:$A$702,
'LOCALIZAÇÃO DE CARGA'!$F$2:$F$702
)="",
"",
_xlfn.XLOOKUP(
B9,
'LOCALIZAÇÃO DE CARGA'!$A$2:$A$702,
'LOCALIZAÇÃO DE CARGA'!$F$2:$F$702
)
),
""
)</f>
        <v>Não iniciado</v>
      </c>
      <c r="I9" s="13" t="str" cm="1">
        <f t="array" ref="I9">IFERROR(
IF(
INDEX(
'VISÃO LOGISTICA'!$C$2:$C$525,
MATCH(
TRUE,
ISNUMBER(FIND(B9,'VISÃO LOGISTICA'!$A$2:$A$525)),
0
)
)="Em espera",
"",
INDEX(
'VISÃO LOGISTICA'!$C$2:$C$525,
MATCH(
TRUE,
ISNUMBER(FIND(B9,'VISÃO LOGISTICA'!$A$2:$A$525)),
0
)
)
),
""
)</f>
        <v/>
      </c>
      <c r="J9" s="5" t="str" cm="1">
        <f t="array" ref="J9">IFERROR(
IF(
OR(
INDEX(
'VISÃO LOGISTICA'!$C$2:$C$2000,
MATCH(
TRUE,
ISNUMBER(FIND(B9,'VISÃO LOGISTICA'!$A$2:$A$2000)),
0
)
)="Em espera",
INDEX(
'VISÃO LOGISTICA'!$C$2:$C$2000,
MATCH(
TRUE,
ISNUMBER(FIND(B9,'VISÃO LOGISTICA'!$A$2:$A$2000)),
0
)
)=""
),
"",
INDEX(
'VISÃO LOGISTICA'!$D$2:$D$2000,
MATCH(
TRUE,
ISNUMBER(FIND(B9,'VISÃO LOGISTICA'!$A$2:$A$2000)),
0
)
)
),
""
)</f>
        <v/>
      </c>
      <c r="K9" s="10">
        <f>IFERROR(
IF(
_xlfn.XLOOKUP(
B9,
'LOCALIZAÇÃO DE CARGA'!$A$2:$A$702,
'LOCALIZAÇÃO DE CARGA'!$E$2:$E$702)="",
"",
_xlfn.XLOOKUP(
B9,
'LOCALIZAÇÃO DE CARGA'!$A$2:$A$702,
'LOCALIZAÇÃO DE CARGA'!$E$2:$E$702)
),
""
)</f>
        <v>1257605</v>
      </c>
      <c r="L9" s="20" cm="1">
        <f t="array" ref="L9">IFERROR(
_xlfn.LET(
_xlpm.res,_xlfn.XLOOKUP(B9,'LOCALIZAÇÃO DE CARGA'!$A$2:$A$2000,'LOCALIZAÇÃO DE CARGA'!$G$2:$G$2000),
IF(_xlpm.res="","",_xlpm.res)
),
""
)</f>
        <v>46160.854166666664</v>
      </c>
      <c r="M9" s="20" cm="1">
        <f t="array" ref="M9">IFERROR(
_xlfn.LET(
_xlpm.load,_xlfn.XLOOKUP(B9,'LOCALIZAÇÃO DE CARGA'!$A$2:$A$2000,'LOCALIZAÇÃO DE CARGA'!$A$2:$A$2000),
_xlpm.res,_xlfn.XLOOKUP(_xlpm.load,DOCUMENTOS!$A$2:$A$2000,DOCUMENTOS!$D$2:$D$2000),
IF(_xlpm.res="","",_xlpm.res)
),
""
)</f>
        <v>46160.854166666664</v>
      </c>
      <c r="N9" s="6">
        <f>IFERROR(IF(M9="","",M9-TIME(1,0,0)),"")</f>
        <v>46160.8125</v>
      </c>
      <c r="O9" s="6" cm="1">
        <f t="array" ref="O9">IFERROR(
_xlfn.LET(
_xlpm.res,_xlfn.XLOOKUP(B9,'LOCALIZAÇÃO DE CARGA'!$A$2:$A$2000,'LOCALIZAÇÃO DE CARGA'!$S$2:$S$2000),
IF(_xlpm.res="","",_xlpm.res)
),
""
)</f>
        <v>46162.25</v>
      </c>
      <c r="P9" s="6" t="str" cm="1">
        <f t="array" ref="P9">IFERROR(
_xlfn.LET(
_xlpm.res,_xlfn.XLOOKUP(B9,'LOCALIZAÇÃO DE CARGA'!$A$2:$A$702,'LOCALIZAÇÃO DE CARGA'!$T$2:$T$702),
IF(_xlpm.res="","",_xlpm.res)
),
""
)</f>
        <v/>
      </c>
      <c r="Q9" s="5" t="str">
        <f>IFERROR(
IF(
_xlfn.XLOOKUP(
B9,
'LOCALIZAÇÃO DE CARGA'!$A$2:$A$702,
'LOCALIZAÇÃO DE CARGA'!$K$2:$K$702
)="",
"",
_xlfn.XLOOKUP(
B9,
'LOCALIZAÇÃO DE CARGA'!$A$2:$A$702,
'LOCALIZAÇÃO DE CARGA'!$K$2:$K$702
)
),
""
)</f>
        <v>GRUPO CASAS BAHIA S.A(CD1400) - 42816270</v>
      </c>
      <c r="R9" s="5" t="str">
        <f t="shared" si="2"/>
        <v>GRUPO CASAS BAHIA S.A</v>
      </c>
      <c r="S9" s="5" t="str" cm="1">
        <f t="array" ref="S9">IF(B9="","",IFERROR(
INDEX(
'VISÃO LOGISTICA'!$L$2:$L$525,
MATCH(
TRUE,
ISNUMBER(FIND(B9,'VISÃO LOGISTICA'!$A$2:$A$525)),
0
)
),
""
))</f>
        <v/>
      </c>
      <c r="T9" s="5" t="str">
        <f>IFERROR(
_xlfn.LET(
_xlpm.res,_xlfn.XLOOKUP(B9,'LOCALIZAÇÃO DE CARGA'!$A$2:$A$702,'LOCALIZAÇÃO DE CARGA'!$R$2:$R$702),
IF(_xlpm.res="","",_xlpm.res)
),
""
)</f>
        <v>CAMACARI/BA/BRASIL</v>
      </c>
    </row>
    <row r="10" spans="1:20" ht="18" customHeight="1">
      <c r="A10" s="14">
        <f t="shared" si="0"/>
        <v>46160</v>
      </c>
      <c r="B10" s="5">
        <v>6021734</v>
      </c>
      <c r="C10" s="45" t="str">
        <f t="shared" ca="1" si="1"/>
        <v>OK - NO PRAZO</v>
      </c>
      <c r="D10" s="28"/>
      <c r="E10" s="28" t="str">
        <f>IFERROR(
IF(
_xlfn.XLOOKUP(
B10,
'LOCALIZAÇÃO DE CARGA'!$A$2:$A$702,
'LOCALIZAÇÃO DE CARGA'!$D$2:$D$702
)="",
"",
_xlfn.XLOOKUP(
B10,
'LOCALIZAÇÃO DE CARGA'!$A$2:$A$702,
'LOCALIZAÇÃO DE CARGA'!$D$2:$D$702
)
),
""
)</f>
        <v/>
      </c>
      <c r="F10" s="13" t="str">
        <f>IFERROR(
IF(
_xlfn.XLOOKUP(
B10,
'LOCALIZAÇÃO DE CARGA'!$A$2:$A$702,
'LOCALIZAÇÃO DE CARGA'!$H$2:$H$702
)="",
"",
_xlfn.XLOOKUP(
B10,
'LOCALIZAÇÃO DE CARGA'!$A$2:$A$702,
'LOCALIZAÇÃO DE CARGA'!$H$2:$H$702
)
),
""
)</f>
        <v>RODOPENHA</v>
      </c>
      <c r="G10" s="5" t="str">
        <f>IFERROR(
IF(
_xlfn.XLOOKUP(
B10,
'LOCALIZAÇÃO DE CARGA'!$A$2:$A$702,
'LOCALIZAÇÃO DE CARGA'!$I$2:$I$702
)="",
"",
_xlfn.XLOOKUP(
B10,
'LOCALIZAÇÃO DE CARGA'!$A$2:$A$702,
'LOCALIZAÇÃO DE CARGA'!$I$2:$I$702
)
),
""
)</f>
        <v>LGREC</v>
      </c>
      <c r="H10" s="5" t="str">
        <f>IFERROR(
IF(
_xlfn.XLOOKUP(
B10,
'LOCALIZAÇÃO DE CARGA'!$A$2:$A$702,
'LOCALIZAÇÃO DE CARGA'!$F$2:$F$702
)="",
"",
_xlfn.XLOOKUP(
B10,
'LOCALIZAÇÃO DE CARGA'!$A$2:$A$702,
'LOCALIZAÇÃO DE CARGA'!$F$2:$F$702
)
),
""
)</f>
        <v>Não iniciado</v>
      </c>
      <c r="I10" s="13" t="str" cm="1">
        <f t="array" ref="I10">IFERROR(
IF(
INDEX(
'VISÃO LOGISTICA'!$C$2:$C$525,
MATCH(
TRUE,
ISNUMBER(FIND(B10,'VISÃO LOGISTICA'!$A$2:$A$525)),
0
)
)="Em espera",
"",
INDEX(
'VISÃO LOGISTICA'!$C$2:$C$525,
MATCH(
TRUE,
ISNUMBER(FIND(B10,'VISÃO LOGISTICA'!$A$2:$A$525)),
0
)
)
),
""
)</f>
        <v/>
      </c>
      <c r="J10" s="5" t="str" cm="1">
        <f t="array" ref="J10">IFERROR(
IF(
OR(
INDEX(
'VISÃO LOGISTICA'!$C$2:$C$2000,
MATCH(
TRUE,
ISNUMBER(FIND(B10,'VISÃO LOGISTICA'!$A$2:$A$2000)),
0
)
)="Em espera",
INDEX(
'VISÃO LOGISTICA'!$C$2:$C$2000,
MATCH(
TRUE,
ISNUMBER(FIND(B10,'VISÃO LOGISTICA'!$A$2:$A$2000)),
0
)
)=""
),
"",
INDEX(
'VISÃO LOGISTICA'!$D$2:$D$2000,
MATCH(
TRUE,
ISNUMBER(FIND(B10,'VISÃO LOGISTICA'!$A$2:$A$2000)),
0
)
)
),
""
)</f>
        <v/>
      </c>
      <c r="K10" s="10">
        <f>IFERROR(
IF(
_xlfn.XLOOKUP(
B10,
'LOCALIZAÇÃO DE CARGA'!$A$2:$A$702,
'LOCALIZAÇÃO DE CARGA'!$E$2:$E$702)="",
"",
_xlfn.XLOOKUP(
B10,
'LOCALIZAÇÃO DE CARGA'!$A$2:$A$702,
'LOCALIZAÇÃO DE CARGA'!$E$2:$E$702)
),
""
)</f>
        <v>1197980.5</v>
      </c>
      <c r="L10" s="20" cm="1">
        <f t="array" ref="L10">IFERROR(
_xlfn.LET(
_xlpm.res,_xlfn.XLOOKUP(B10,'LOCALIZAÇÃO DE CARGA'!$A$2:$A$2000,'LOCALIZAÇÃO DE CARGA'!$G$2:$G$2000),
IF(_xlpm.res="","",_xlpm.res)
),
""
)</f>
        <v>46160.854166666664</v>
      </c>
      <c r="M10" s="20" cm="1">
        <f t="array" ref="M10">IFERROR(
_xlfn.LET(
_xlpm.load,_xlfn.XLOOKUP(B10,'LOCALIZAÇÃO DE CARGA'!$A$2:$A$2000,'LOCALIZAÇÃO DE CARGA'!$A$2:$A$2000),
_xlpm.res,_xlfn.XLOOKUP(_xlpm.load,DOCUMENTOS!$A$2:$A$2000,DOCUMENTOS!$D$2:$D$2000),
IF(_xlpm.res="","",_xlpm.res)
),
""
)</f>
        <v>46160.854166666664</v>
      </c>
      <c r="N10" s="6">
        <f>IFERROR(IF(M10="","",M10-TIME(1,0,0)),"")</f>
        <v>46160.8125</v>
      </c>
      <c r="O10" s="6" cm="1">
        <f t="array" ref="O10">IFERROR(
_xlfn.LET(
_xlpm.res,_xlfn.XLOOKUP(B10,'LOCALIZAÇÃO DE CARGA'!$A$2:$A$2000,'LOCALIZAÇÃO DE CARGA'!$S$2:$S$2000),
IF(_xlpm.res="","",_xlpm.res)
),
""
)</f>
        <v>46162.25</v>
      </c>
      <c r="P10" s="6" t="str" cm="1">
        <f t="array" ref="P10">IFERROR(
_xlfn.LET(
_xlpm.res,_xlfn.XLOOKUP(B10,'LOCALIZAÇÃO DE CARGA'!$A$2:$A$702,'LOCALIZAÇÃO DE CARGA'!$T$2:$T$702),
IF(_xlpm.res="","",_xlpm.res)
),
""
)</f>
        <v/>
      </c>
      <c r="Q10" s="5" t="str">
        <f>IFERROR(
IF(
_xlfn.XLOOKUP(
B10,
'LOCALIZAÇÃO DE CARGA'!$A$2:$A$702,
'LOCALIZAÇÃO DE CARGA'!$K$2:$K$702
)="",
"",
_xlfn.XLOOKUP(
B10,
'LOCALIZAÇÃO DE CARGA'!$A$2:$A$702,
'LOCALIZAÇÃO DE CARGA'!$K$2:$K$702
)
),
""
)</f>
        <v>GRUPO CASAS BAHIA S.A(CD1400) - 42816270</v>
      </c>
      <c r="R10" s="5" t="str">
        <f t="shared" si="2"/>
        <v>GRUPO CASAS BAHIA S.A</v>
      </c>
      <c r="S10" s="5" t="str" cm="1">
        <f t="array" ref="S10">IF(B10="","",IFERROR(
INDEX(
'VISÃO LOGISTICA'!$L$2:$L$525,
MATCH(
TRUE,
ISNUMBER(FIND(B10,'VISÃO LOGISTICA'!$A$2:$A$525)),
0
)
),
""
))</f>
        <v/>
      </c>
      <c r="T10" s="5" t="str">
        <f>IFERROR(
_xlfn.LET(
_xlpm.res,_xlfn.XLOOKUP(B10,'LOCALIZAÇÃO DE CARGA'!$A$2:$A$702,'LOCALIZAÇÃO DE CARGA'!$R$2:$R$702),
IF(_xlpm.res="","",_xlpm.res)
),
""
)</f>
        <v>CAMACARI/BA/BRASIL</v>
      </c>
    </row>
    <row r="11" spans="1:20" ht="18" customHeight="1">
      <c r="A11" s="14">
        <f t="shared" si="0"/>
        <v>46157</v>
      </c>
      <c r="B11" s="5">
        <v>6022337</v>
      </c>
      <c r="C11" s="45" t="str">
        <f t="shared" ca="1" si="1"/>
        <v>EM VIAGEM</v>
      </c>
      <c r="D11" s="28"/>
      <c r="E11" s="28" t="str">
        <f>IFERROR(
IF(
_xlfn.XLOOKUP(
B11,
'LOCALIZAÇÃO DE CARGA'!$A$2:$A$702,
'LOCALIZAÇÃO DE CARGA'!$D$2:$D$702
)="",
"",
_xlfn.XLOOKUP(
B11,
'LOCALIZAÇÃO DE CARGA'!$A$2:$A$702,
'LOCALIZAÇÃO DE CARGA'!$D$2:$D$702
)
),
""
)</f>
        <v>Saida do WH</v>
      </c>
      <c r="F11" s="13" t="str">
        <f>IFERROR(
IF(
_xlfn.XLOOKUP(
B11,
'LOCALIZAÇÃO DE CARGA'!$A$2:$A$702,
'LOCALIZAÇÃO DE CARGA'!$H$2:$H$702
)="",
"",
_xlfn.XLOOKUP(
B11,
'LOCALIZAÇÃO DE CARGA'!$A$2:$A$702,
'LOCALIZAÇÃO DE CARGA'!$H$2:$H$702
)
),
""
)</f>
        <v>RODOBRAS TR</v>
      </c>
      <c r="G11" s="5" t="str">
        <f>IFERROR(
IF(
_xlfn.XLOOKUP(
B11,
'LOCALIZAÇÃO DE CARGA'!$A$2:$A$702,
'LOCALIZAÇÃO DE CARGA'!$I$2:$I$702
)="",
"",
_xlfn.XLOOKUP(
B11,
'LOCALIZAÇÃO DE CARGA'!$A$2:$A$702,
'LOCALIZAÇÃO DE CARGA'!$I$2:$I$702
)
),
""
)</f>
        <v>LGCAJ</v>
      </c>
      <c r="H11" s="5" t="str">
        <f>IFERROR(
IF(
_xlfn.XLOOKUP(
B11,
'LOCALIZAÇÃO DE CARGA'!$A$2:$A$702,
'LOCALIZAÇÃO DE CARGA'!$F$2:$F$702
)="",
"",
_xlfn.XLOOKUP(
B11,
'LOCALIZAÇÃO DE CARGA'!$A$2:$A$702,
'LOCALIZAÇÃO DE CARGA'!$F$2:$F$702
)
),
""
)</f>
        <v>Andamento</v>
      </c>
      <c r="I11" s="13" t="str" cm="1">
        <f t="array" ref="I11">IFERROR(
IF(
INDEX(
'VISÃO LOGISTICA'!$C$2:$C$525,
MATCH(
TRUE,
ISNUMBER(FIND(B11,'VISÃO LOGISTICA'!$A$2:$A$525)),
0
)
)="Em espera",
"",
INDEX(
'VISÃO LOGISTICA'!$C$2:$C$525,
MATCH(
TRUE,
ISNUMBER(FIND(B11,'VISÃO LOGISTICA'!$A$2:$A$525)),
0
)
)
),
""
)</f>
        <v>Em Viagem</v>
      </c>
      <c r="J11" s="5" t="str" cm="1">
        <f t="array" ref="J11">IFERROR(
IF(
OR(
INDEX(
'VISÃO LOGISTICA'!$C$2:$C$2000,
MATCH(
TRUE,
ISNUMBER(FIND(B11,'VISÃO LOGISTICA'!$A$2:$A$2000)),
0
)
)="Em espera",
INDEX(
'VISÃO LOGISTICA'!$C$2:$C$2000,
MATCH(
TRUE,
ISNUMBER(FIND(B11,'VISÃO LOGISTICA'!$A$2:$A$2000)),
0
)
)=""
),
"",
INDEX(
'VISÃO LOGISTICA'!$D$2:$D$2000,
MATCH(
TRUE,
ISNUMBER(FIND(B11,'VISÃO LOGISTICA'!$A$2:$A$2000)),
0
)
)
),
""
)</f>
        <v>JBY4D00</v>
      </c>
      <c r="K11" s="10">
        <f>IFERROR(
IF(
_xlfn.XLOOKUP(
B11,
'LOCALIZAÇÃO DE CARGA'!$A$2:$A$702,
'LOCALIZAÇÃO DE CARGA'!$E$2:$E$702)="",
"",
_xlfn.XLOOKUP(
B11,
'LOCALIZAÇÃO DE CARGA'!$A$2:$A$702,
'LOCALIZAÇÃO DE CARGA'!$E$2:$E$702)
),
""
)</f>
        <v>1140398</v>
      </c>
      <c r="L11" s="20" cm="1">
        <f t="array" ref="L11">IFERROR(
_xlfn.LET(
_xlpm.res,_xlfn.XLOOKUP(B11,'LOCALIZAÇÃO DE CARGA'!$A$2:$A$2000,'LOCALIZAÇÃO DE CARGA'!$G$2:$G$2000),
IF(_xlpm.res="","",_xlpm.res)
),
""
)</f>
        <v>46159.990277777775</v>
      </c>
      <c r="M11" s="20" cm="1">
        <f t="array" ref="M11">IFERROR(
_xlfn.LET(
_xlpm.load,_xlfn.XLOOKUP(B11,'LOCALIZAÇÃO DE CARGA'!$A$2:$A$2000,'LOCALIZAÇÃO DE CARGA'!$A$2:$A$2000),
_xlpm.res,_xlfn.XLOOKUP(_xlpm.load,DOCUMENTOS!$A$2:$A$2000,DOCUMENTOS!$D$2:$D$2000),
IF(_xlpm.res="","",_xlpm.res)
),
""
)</f>
        <v>46157.583333333336</v>
      </c>
      <c r="N11" s="6">
        <f>IFERROR(IF(M11="","",M11-TIME(1,0,0)),"")</f>
        <v>46157.541666666672</v>
      </c>
      <c r="O11" s="6" cm="1">
        <f t="array" ref="O11">IFERROR(
_xlfn.LET(
_xlpm.res,_xlfn.XLOOKUP(B11,'LOCALIZAÇÃO DE CARGA'!$A$2:$A$2000,'LOCALIZAÇÃO DE CARGA'!$S$2:$S$2000),
IF(_xlpm.res="","",_xlpm.res)
),
""
)</f>
        <v>46161.25</v>
      </c>
      <c r="P11" s="6" cm="1">
        <f t="array" ref="P11">IFERROR(
_xlfn.LET(
_xlpm.res,_xlfn.XLOOKUP(B11,'LOCALIZAÇÃO DE CARGA'!$A$2:$A$702,'LOCALIZAÇÃO DE CARGA'!$T$2:$T$702),
IF(_xlpm.res="","",_xlpm.res)
),
""
)</f>
        <v>46159.027083333334</v>
      </c>
      <c r="Q11" s="5" t="str">
        <f>IFERROR(
IF(
_xlfn.XLOOKUP(
B11,
'LOCALIZAÇÃO DE CARGA'!$A$2:$A$702,
'LOCALIZAÇÃO DE CARGA'!$K$2:$K$702
)="",
"",
_xlfn.XLOOKUP(
B11,
'LOCALIZAÇÃO DE CARGA'!$A$2:$A$702,
'LOCALIZAÇÃO DE CARGA'!$K$2:$K$702
)
),
""
)</f>
        <v>CARREFOUR COMERCIO E INDUSTRIA LTDA - 91060410</v>
      </c>
      <c r="R11" s="5" t="str">
        <f t="shared" si="2"/>
        <v>CARREFOUR COMERCIO E INDUSTRIA LTDA</v>
      </c>
      <c r="S11" s="5" t="str" cm="1">
        <f t="array" ref="S11">IF(B11="","",IFERROR(
INDEX(
'VISÃO LOGISTICA'!$L$2:$L$525,
MATCH(
TRUE,
ISNUMBER(FIND(B11,'VISÃO LOGISTICA'!$A$2:$A$525)),
0
)
),
""
))</f>
        <v>REPRESA, COTIA/SP/BRASIL (0,1 Km)</v>
      </c>
      <c r="T11" s="5" t="str">
        <f>IFERROR(
_xlfn.LET(
_xlpm.res,_xlfn.XLOOKUP(B11,'LOCALIZAÇÃO DE CARGA'!$A$2:$A$702,'LOCALIZAÇÃO DE CARGA'!$R$2:$R$702),
IF(_xlpm.res="","",_xlpm.res)
),
""
)</f>
        <v>PORTO ALEGRE/RS/BRASIL</v>
      </c>
    </row>
    <row r="12" spans="1:20" ht="18" customHeight="1">
      <c r="A12" s="14">
        <f t="shared" si="0"/>
        <v>46157</v>
      </c>
      <c r="B12" s="5">
        <v>6022057</v>
      </c>
      <c r="C12" s="45" t="str">
        <f t="shared" ca="1" si="1"/>
        <v>EM VIAGEM</v>
      </c>
      <c r="D12" s="46"/>
      <c r="E12" s="28" t="str">
        <f>IFERROR(
IF(
_xlfn.XLOOKUP(
B12,
'LOCALIZAÇÃO DE CARGA'!$A$2:$A$702,
'LOCALIZAÇÃO DE CARGA'!$D$2:$D$702
)="",
"",
_xlfn.XLOOKUP(
B12,
'LOCALIZAÇÃO DE CARGA'!$A$2:$A$702,
'LOCALIZAÇÃO DE CARGA'!$D$2:$D$702
)
),
""
)</f>
        <v>Saida do WH</v>
      </c>
      <c r="F12" s="13" t="str">
        <f>IFERROR(
IF(
_xlfn.XLOOKUP(
B12,
'LOCALIZAÇÃO DE CARGA'!$A$2:$A$702,
'LOCALIZAÇÃO DE CARGA'!$H$2:$H$702
)="",
"",
_xlfn.XLOOKUP(
B12,
'LOCALIZAÇÃO DE CARGA'!$A$2:$A$702,
'LOCALIZAÇÃO DE CARGA'!$H$2:$H$702
)
),
""
)</f>
        <v>TR RAMTHUN</v>
      </c>
      <c r="G12" s="5" t="str">
        <f>IFERROR(
IF(
_xlfn.XLOOKUP(
B12,
'LOCALIZAÇÃO DE CARGA'!$A$2:$A$702,
'LOCALIZAÇÃO DE CARGA'!$I$2:$I$702
)="",
"",
_xlfn.XLOOKUP(
B12,
'LOCALIZAÇÃO DE CARGA'!$A$2:$A$702,
'LOCALIZAÇÃO DE CARGA'!$I$2:$I$702
)
),
""
)</f>
        <v>LGCAJ</v>
      </c>
      <c r="H12" s="5" t="str">
        <f>IFERROR(
IF(
_xlfn.XLOOKUP(
B12,
'LOCALIZAÇÃO DE CARGA'!$A$2:$A$702,
'LOCALIZAÇÃO DE CARGA'!$F$2:$F$702
)="",
"",
_xlfn.XLOOKUP(
B12,
'LOCALIZAÇÃO DE CARGA'!$A$2:$A$702,
'LOCALIZAÇÃO DE CARGA'!$F$2:$F$702
)
),
""
)</f>
        <v>Andamento</v>
      </c>
      <c r="I12" s="13" t="str" cm="1">
        <f t="array" ref="I12">IFERROR(
IF(
INDEX(
'VISÃO LOGISTICA'!$C$2:$C$525,
MATCH(
TRUE,
ISNUMBER(FIND(B12,'VISÃO LOGISTICA'!$A$2:$A$525)),
0
)
)="Em espera",
"",
INDEX(
'VISÃO LOGISTICA'!$C$2:$C$525,
MATCH(
TRUE,
ISNUMBER(FIND(B12,'VISÃO LOGISTICA'!$A$2:$A$525)),
0
)
)
),
""
)</f>
        <v>Em Viagem</v>
      </c>
      <c r="J12" s="5" t="str" cm="1">
        <f t="array" ref="J12">IFERROR(
IF(
OR(
INDEX(
'VISÃO LOGISTICA'!$C$2:$C$2000,
MATCH(
TRUE,
ISNUMBER(FIND(B12,'VISÃO LOGISTICA'!$A$2:$A$2000)),
0
)
)="Em espera",
INDEX(
'VISÃO LOGISTICA'!$C$2:$C$2000,
MATCH(
TRUE,
ISNUMBER(FIND(B12,'VISÃO LOGISTICA'!$A$2:$A$2000)),
0
)
)=""
),
"",
INDEX(
'VISÃO LOGISTICA'!$D$2:$D$2000,
MATCH(
TRUE,
ISNUMBER(FIND(B12,'VISÃO LOGISTICA'!$A$2:$A$2000)),
0
)
)
),
""
)</f>
        <v>QHG5687</v>
      </c>
      <c r="K12" s="10">
        <f>IFERROR(
IF(
_xlfn.XLOOKUP(
B12,
'LOCALIZAÇÃO DE CARGA'!$A$2:$A$702,
'LOCALIZAÇÃO DE CARGA'!$E$2:$E$702)="",
"",
_xlfn.XLOOKUP(
B12,
'LOCALIZAÇÃO DE CARGA'!$A$2:$A$702,
'LOCALIZAÇÃO DE CARGA'!$E$2:$E$702)
),
""
)</f>
        <v>983763.28</v>
      </c>
      <c r="L12" s="20" cm="1">
        <f t="array" ref="L12">IFERROR(
_xlfn.LET(
_xlpm.res,_xlfn.XLOOKUP(B12,'LOCALIZAÇÃO DE CARGA'!$A$2:$A$2000,'LOCALIZAÇÃO DE CARGA'!$G$2:$G$2000),
IF(_xlpm.res="","",_xlpm.res)
),
""
)</f>
        <v>46157.291666666664</v>
      </c>
      <c r="M12" s="20" cm="1">
        <f t="array" ref="M12">IFERROR(
_xlfn.LET(
_xlpm.load,_xlfn.XLOOKUP(B12,'LOCALIZAÇÃO DE CARGA'!$A$2:$A$2000,'LOCALIZAÇÃO DE CARGA'!$A$2:$A$2000),
_xlpm.res,_xlfn.XLOOKUP(_xlpm.load,DOCUMENTOS!$A$2:$A$2000,DOCUMENTOS!$D$2:$D$2000),
IF(_xlpm.res="","",_xlpm.res)
),
""
)</f>
        <v>46157.291666666664</v>
      </c>
      <c r="N12" s="6">
        <f>IFERROR(IF(M12="","",M12-TIME(1,0,0)),"")</f>
        <v>46157.25</v>
      </c>
      <c r="O12" s="6" cm="1">
        <f t="array" ref="O12">IFERROR(
_xlfn.LET(
_xlpm.res,_xlfn.XLOOKUP(B12,'LOCALIZAÇÃO DE CARGA'!$A$2:$A$2000,'LOCALIZAÇÃO DE CARGA'!$S$2:$S$2000),
IF(_xlpm.res="","",_xlpm.res)
),
""
)</f>
        <v>46160.291666666664</v>
      </c>
      <c r="P12" s="6" cm="1">
        <f t="array" ref="P12">IFERROR(
_xlfn.LET(
_xlpm.res,_xlfn.XLOOKUP(B12,'LOCALIZAÇÃO DE CARGA'!$A$2:$A$702,'LOCALIZAÇÃO DE CARGA'!$T$2:$T$702),
IF(_xlpm.res="","",_xlpm.res)
),
""
)</f>
        <v>46158.875</v>
      </c>
      <c r="Q12" s="5" t="str">
        <f>IFERROR(
IF(
_xlfn.XLOOKUP(
B12,
'LOCALIZAÇÃO DE CARGA'!$A$2:$A$702,
'LOCALIZAÇÃO DE CARGA'!$K$2:$K$702
)="",
"",
_xlfn.XLOOKUP(
B12,
'LOCALIZAÇÃO DE CARGA'!$A$2:$A$702,
'LOCALIZAÇÃO DE CARGA'!$K$2:$K$702
)
),
""
)</f>
        <v>FUJIOKA ELETRO IMAGEM S/A - 74675690</v>
      </c>
      <c r="R12" s="5" t="str">
        <f t="shared" si="2"/>
        <v>FUJIOKA ELETRO IMAGEM S/A</v>
      </c>
      <c r="S12" s="5" t="str" cm="1">
        <f t="array" ref="S12">IF(B12="","",IFERROR(
INDEX(
'VISÃO LOGISTICA'!$L$2:$L$525,
MATCH(
TRUE,
ISNUMBER(FIND(B12,'VISÃO LOGISTICA'!$A$2:$A$525)),
0
)
),
""
))</f>
        <v>SANTA CRUZ DA CONCEICAO/SP/BRASIL</v>
      </c>
      <c r="T12" s="5" t="str">
        <f>IFERROR(
_xlfn.LET(
_xlpm.res,_xlfn.XLOOKUP(B12,'LOCALIZAÇÃO DE CARGA'!$A$2:$A$702,'LOCALIZAÇÃO DE CARGA'!$R$2:$R$702),
IF(_xlpm.res="","",_xlpm.res)
),
""
)</f>
        <v>GOIANIA/GO/BRASIL</v>
      </c>
    </row>
    <row r="13" spans="1:20" ht="18" customHeight="1">
      <c r="A13" s="14">
        <f t="shared" si="0"/>
        <v>46157</v>
      </c>
      <c r="B13" s="5">
        <v>6021910</v>
      </c>
      <c r="C13" s="45" t="str">
        <f t="shared" ca="1" si="1"/>
        <v>EM VIAGEM</v>
      </c>
      <c r="D13" s="28"/>
      <c r="E13" s="28" t="str">
        <f>IFERROR(
IF(
_xlfn.XLOOKUP(
B13,
'LOCALIZAÇÃO DE CARGA'!$A$2:$A$702,
'LOCALIZAÇÃO DE CARGA'!$D$2:$D$702
)="",
"",
_xlfn.XLOOKUP(
B13,
'LOCALIZAÇÃO DE CARGA'!$A$2:$A$702,
'LOCALIZAÇÃO DE CARGA'!$D$2:$D$702
)
),
""
)</f>
        <v/>
      </c>
      <c r="F13" s="13" t="str">
        <f>IFERROR(
IF(
_xlfn.XLOOKUP(
B13,
'LOCALIZAÇÃO DE CARGA'!$A$2:$A$702,
'LOCALIZAÇÃO DE CARGA'!$H$2:$H$702
)="",
"",
_xlfn.XLOOKUP(
B13,
'LOCALIZAÇÃO DE CARGA'!$A$2:$A$702,
'LOCALIZAÇÃO DE CARGA'!$H$2:$H$702
)
),
""
)</f>
        <v>TRANSBOCAYUV</v>
      </c>
      <c r="G13" s="5" t="str">
        <f>IFERROR(
IF(
_xlfn.XLOOKUP(
B13,
'LOCALIZAÇÃO DE CARGA'!$A$2:$A$702,
'LOCALIZAÇÃO DE CARGA'!$I$2:$I$702
)="",
"",
_xlfn.XLOOKUP(
B13,
'LOCALIZAÇÃO DE CARGA'!$A$2:$A$702,
'LOCALIZAÇÃO DE CARGA'!$I$2:$I$702
)
),
""
)</f>
        <v>LGCAJ</v>
      </c>
      <c r="H13" s="5" t="str">
        <f>IFERROR(
IF(
_xlfn.XLOOKUP(
B13,
'LOCALIZAÇÃO DE CARGA'!$A$2:$A$702,
'LOCALIZAÇÃO DE CARGA'!$F$2:$F$702
)="",
"",
_xlfn.XLOOKUP(
B13,
'LOCALIZAÇÃO DE CARGA'!$A$2:$A$702,
'LOCALIZAÇÃO DE CARGA'!$F$2:$F$702
)
),
""
)</f>
        <v>Andamento</v>
      </c>
      <c r="I13" s="13" t="str" cm="1">
        <f t="array" ref="I13">IFERROR(
IF(
INDEX(
'VISÃO LOGISTICA'!$C$2:$C$525,
MATCH(
TRUE,
ISNUMBER(FIND(B13,'VISÃO LOGISTICA'!$A$2:$A$525)),
0
)
)="Em espera",
"",
INDEX(
'VISÃO LOGISTICA'!$C$2:$C$525,
MATCH(
TRUE,
ISNUMBER(FIND(B13,'VISÃO LOGISTICA'!$A$2:$A$525)),
0
)
)
),
""
)</f>
        <v>Em Viagem</v>
      </c>
      <c r="J13" s="5" t="str" cm="1">
        <f t="array" ref="J13">IFERROR(
IF(
OR(
INDEX(
'VISÃO LOGISTICA'!$C$2:$C$2000,
MATCH(
TRUE,
ISNUMBER(FIND(B13,'VISÃO LOGISTICA'!$A$2:$A$2000)),
0
)
)="Em espera",
INDEX(
'VISÃO LOGISTICA'!$C$2:$C$2000,
MATCH(
TRUE,
ISNUMBER(FIND(B13,'VISÃO LOGISTICA'!$A$2:$A$2000)),
0
)
)=""
),
"",
INDEX(
'VISÃO LOGISTICA'!$D$2:$D$2000,
MATCH(
TRUE,
ISNUMBER(FIND(B13,'VISÃO LOGISTICA'!$A$2:$A$2000)),
0
)
)
),
""
)</f>
        <v>LUL7I53</v>
      </c>
      <c r="K13" s="10">
        <f>IFERROR(
IF(
_xlfn.XLOOKUP(
B13,
'LOCALIZAÇÃO DE CARGA'!$A$2:$A$702,
'LOCALIZAÇÃO DE CARGA'!$E$2:$E$702)="",
"",
_xlfn.XLOOKUP(
B13,
'LOCALIZAÇÃO DE CARGA'!$A$2:$A$702,
'LOCALIZAÇÃO DE CARGA'!$E$2:$E$702)
),
""
)</f>
        <v>962790.79</v>
      </c>
      <c r="L13" s="20" cm="1">
        <f t="array" ref="L13">IFERROR(
_xlfn.LET(
_xlpm.res,_xlfn.XLOOKUP(B13,'LOCALIZAÇÃO DE CARGA'!$A$2:$A$2000,'LOCALIZAÇÃO DE CARGA'!$G$2:$G$2000),
IF(_xlpm.res="","",_xlpm.res)
),
""
)</f>
        <v>46159.783333333333</v>
      </c>
      <c r="M13" s="20" cm="1">
        <f t="array" ref="M13">IFERROR(
_xlfn.LET(
_xlpm.load,_xlfn.XLOOKUP(B13,'LOCALIZAÇÃO DE CARGA'!$A$2:$A$2000,'LOCALIZAÇÃO DE CARGA'!$A$2:$A$2000),
_xlpm.res,_xlfn.XLOOKUP(_xlpm.load,DOCUMENTOS!$A$2:$A$2000,DOCUMENTOS!$D$2:$D$2000),
IF(_xlpm.res="","",_xlpm.res)
),
""
)</f>
        <v>46157.708333333336</v>
      </c>
      <c r="N13" s="6">
        <f>IFERROR(IF(M13="","",M13-TIME(1,0,0)),"")</f>
        <v>46157.666666666672</v>
      </c>
      <c r="O13" s="6" cm="1">
        <f t="array" ref="O13">IFERROR(
_xlfn.LET(
_xlpm.res,_xlfn.XLOOKUP(B13,'LOCALIZAÇÃO DE CARGA'!$A$2:$A$2000,'LOCALIZAÇÃO DE CARGA'!$S$2:$S$2000),
IF(_xlpm.res="","",_xlpm.res)
),
""
)</f>
        <v>46160.25</v>
      </c>
      <c r="P13" s="6" cm="1">
        <f t="array" ref="P13">IFERROR(
_xlfn.LET(
_xlpm.res,_xlfn.XLOOKUP(B13,'LOCALIZAÇÃO DE CARGA'!$A$2:$A$702,'LOCALIZAÇÃO DE CARGA'!$T$2:$T$702),
IF(_xlpm.res="","",_xlpm.res)
),
""
)</f>
        <v>46158.62222222222</v>
      </c>
      <c r="Q13" s="5" t="str">
        <f>IFERROR(
IF(
_xlfn.XLOOKUP(
B13,
'LOCALIZAÇÃO DE CARGA'!$A$2:$A$702,
'LOCALIZAÇÃO DE CARGA'!$K$2:$K$702
)="",
"",
_xlfn.XLOOKUP(
B13,
'LOCALIZAÇÃO DE CARGA'!$A$2:$A$702,
'LOCALIZAÇÃO DE CARGA'!$K$2:$K$702
)
),
""
)</f>
        <v>GRUPO CASAS BAHIA S.A(CD1401) - 25255030</v>
      </c>
      <c r="R13" s="5" t="str">
        <f t="shared" si="2"/>
        <v>GRUPO CASAS BAHIA S.A</v>
      </c>
      <c r="S13" s="5" t="str" cm="1">
        <f t="array" ref="S13">IF(B13="","",IFERROR(
INDEX(
'VISÃO LOGISTICA'!$L$2:$L$525,
MATCH(
TRUE,
ISNUMBER(FIND(B13,'VISÃO LOGISTICA'!$A$2:$A$525)),
0
)
),
""
))</f>
        <v>ROSEIRA/SP/BRASIL</v>
      </c>
      <c r="T13" s="5" t="str">
        <f>IFERROR(
_xlfn.LET(
_xlpm.res,_xlfn.XLOOKUP(B13,'LOCALIZAÇÃO DE CARGA'!$A$2:$A$702,'LOCALIZAÇÃO DE CARGA'!$R$2:$R$702),
IF(_xlpm.res="","",_xlpm.res)
),
""
)</f>
        <v>DUQUE DE CAXIAS/RJ/BRASIL</v>
      </c>
    </row>
    <row r="14" spans="1:20" ht="18" customHeight="1">
      <c r="A14" s="14">
        <f t="shared" si="0"/>
        <v>46157</v>
      </c>
      <c r="B14" s="5">
        <v>6022058</v>
      </c>
      <c r="C14" s="45" t="str">
        <f t="shared" ca="1" si="1"/>
        <v>EM VIAGEM</v>
      </c>
      <c r="D14" s="28"/>
      <c r="E14" s="28" t="str">
        <f>IFERROR(
IF(
_xlfn.XLOOKUP(
B14,
'LOCALIZAÇÃO DE CARGA'!$A$2:$A$702,
'LOCALIZAÇÃO DE CARGA'!$D$2:$D$702
)="",
"",
_xlfn.XLOOKUP(
B14,
'LOCALIZAÇÃO DE CARGA'!$A$2:$A$702,
'LOCALIZAÇÃO DE CARGA'!$D$2:$D$702
)
),
""
)</f>
        <v>Saida do WH</v>
      </c>
      <c r="F14" s="13" t="str">
        <f>IFERROR(
IF(
_xlfn.XLOOKUP(
B14,
'LOCALIZAÇÃO DE CARGA'!$A$2:$A$702,
'LOCALIZAÇÃO DE CARGA'!$H$2:$H$702
)="",
"",
_xlfn.XLOOKUP(
B14,
'LOCALIZAÇÃO DE CARGA'!$A$2:$A$702,
'LOCALIZAÇÃO DE CARGA'!$H$2:$H$702
)
),
""
)</f>
        <v>TR RAMTHUN</v>
      </c>
      <c r="G14" s="5" t="str">
        <f>IFERROR(
IF(
_xlfn.XLOOKUP(
B14,
'LOCALIZAÇÃO DE CARGA'!$A$2:$A$702,
'LOCALIZAÇÃO DE CARGA'!$I$2:$I$702
)="",
"",
_xlfn.XLOOKUP(
B14,
'LOCALIZAÇÃO DE CARGA'!$A$2:$A$702,
'LOCALIZAÇÃO DE CARGA'!$I$2:$I$702
)
),
""
)</f>
        <v>LGCAJ</v>
      </c>
      <c r="H14" s="5" t="str">
        <f>IFERROR(
IF(
_xlfn.XLOOKUP(
B14,
'LOCALIZAÇÃO DE CARGA'!$A$2:$A$702,
'LOCALIZAÇÃO DE CARGA'!$F$2:$F$702
)="",
"",
_xlfn.XLOOKUP(
B14,
'LOCALIZAÇÃO DE CARGA'!$A$2:$A$702,
'LOCALIZAÇÃO DE CARGA'!$F$2:$F$702
)
),
""
)</f>
        <v>Andamento</v>
      </c>
      <c r="I14" s="13" t="str" cm="1">
        <f t="array" ref="I14">IFERROR(
IF(
INDEX(
'VISÃO LOGISTICA'!$C$2:$C$525,
MATCH(
TRUE,
ISNUMBER(FIND(B14,'VISÃO LOGISTICA'!$A$2:$A$525)),
0
)
)="Em espera",
"",
INDEX(
'VISÃO LOGISTICA'!$C$2:$C$525,
MATCH(
TRUE,
ISNUMBER(FIND(B14,'VISÃO LOGISTICA'!$A$2:$A$525)),
0
)
)
),
""
)</f>
        <v>Em Viagem</v>
      </c>
      <c r="J14" s="5" t="str" cm="1">
        <f t="array" ref="J14">IFERROR(
IF(
OR(
INDEX(
'VISÃO LOGISTICA'!$C$2:$C$2000,
MATCH(
TRUE,
ISNUMBER(FIND(B14,'VISÃO LOGISTICA'!$A$2:$A$2000)),
0
)
)="Em espera",
INDEX(
'VISÃO LOGISTICA'!$C$2:$C$2000,
MATCH(
TRUE,
ISNUMBER(FIND(B14,'VISÃO LOGISTICA'!$A$2:$A$2000)),
0
)
)=""
),
"",
INDEX(
'VISÃO LOGISTICA'!$D$2:$D$2000,
MATCH(
TRUE,
ISNUMBER(FIND(B14,'VISÃO LOGISTICA'!$A$2:$A$2000)),
0
)
)
),
""
)</f>
        <v>QHG5687</v>
      </c>
      <c r="K14" s="10">
        <f>IFERROR(
IF(
_xlfn.XLOOKUP(
B14,
'LOCALIZAÇÃO DE CARGA'!$A$2:$A$702,
'LOCALIZAÇÃO DE CARGA'!$E$2:$E$702)="",
"",
_xlfn.XLOOKUP(
B14,
'LOCALIZAÇÃO DE CARGA'!$A$2:$A$702,
'LOCALIZAÇÃO DE CARGA'!$E$2:$E$702)
),
""
)</f>
        <v>961503.55</v>
      </c>
      <c r="L14" s="6" cm="1">
        <f t="array" ref="L14">IFERROR(
_xlfn.LET(
_xlpm.res,_xlfn.XLOOKUP(B14,'LOCALIZAÇÃO DE CARGA'!$A$2:$A$2000,'LOCALIZAÇÃO DE CARGA'!$G$2:$G$2000),
IF(_xlpm.res="","",_xlpm.res)
),
""
)</f>
        <v>46157.291666666664</v>
      </c>
      <c r="M14" s="20" cm="1">
        <f t="array" ref="M14">IFERROR(
_xlfn.LET(
_xlpm.load,_xlfn.XLOOKUP(B14,'LOCALIZAÇÃO DE CARGA'!$A$2:$A$2000,'LOCALIZAÇÃO DE CARGA'!$A$2:$A$2000),
_xlpm.res,_xlfn.XLOOKUP(_xlpm.load,DOCUMENTOS!$A$2:$A$2000,DOCUMENTOS!$D$2:$D$2000),
IF(_xlpm.res="","",_xlpm.res)
),
""
)</f>
        <v>46157.291666666664</v>
      </c>
      <c r="N14" s="6">
        <f>IFERROR(IF(M14="","",M14-TIME(1,0,0)),"")</f>
        <v>46157.25</v>
      </c>
      <c r="O14" s="6" cm="1">
        <f t="array" ref="O14">IFERROR(
_xlfn.LET(
_xlpm.res,_xlfn.XLOOKUP(B14,'LOCALIZAÇÃO DE CARGA'!$A$2:$A$2000,'LOCALIZAÇÃO DE CARGA'!$S$2:$S$2000),
IF(_xlpm.res="","",_xlpm.res)
),
""
)</f>
        <v>46160.291666666664</v>
      </c>
      <c r="P14" s="6" cm="1">
        <f t="array" ref="P14">IFERROR(
_xlfn.LET(
_xlpm.res,_xlfn.XLOOKUP(B14,'LOCALIZAÇÃO DE CARGA'!$A$2:$A$702,'LOCALIZAÇÃO DE CARGA'!$T$2:$T$702),
IF(_xlpm.res="","",_xlpm.res)
),
""
)</f>
        <v>46158.875</v>
      </c>
      <c r="Q14" s="5" t="str">
        <f>IFERROR(
IF(
_xlfn.XLOOKUP(
B14,
'LOCALIZAÇÃO DE CARGA'!$A$2:$A$702,
'LOCALIZAÇÃO DE CARGA'!$K$2:$K$702
)="",
"",
_xlfn.XLOOKUP(
B14,
'LOCALIZAÇÃO DE CARGA'!$A$2:$A$702,
'LOCALIZAÇÃO DE CARGA'!$K$2:$K$702
)
),
""
)</f>
        <v>FUJIOKA ELETRO IMAGEM S/A - 74675690</v>
      </c>
      <c r="R14" s="5" t="str">
        <f t="shared" si="2"/>
        <v>FUJIOKA ELETRO IMAGEM S/A</v>
      </c>
      <c r="S14" s="5" t="str" cm="1">
        <f t="array" ref="S14">IF(B14="","",IFERROR(
INDEX(
'VISÃO LOGISTICA'!$L$2:$L$525,
MATCH(
TRUE,
ISNUMBER(FIND(B14,'VISÃO LOGISTICA'!$A$2:$A$525)),
0
)
),
""
))</f>
        <v>SANTA CRUZ DA CONCEICAO/SP/BRASIL</v>
      </c>
      <c r="T14" s="5" t="str">
        <f>IFERROR(
_xlfn.LET(
_xlpm.res,_xlfn.XLOOKUP(B14,'LOCALIZAÇÃO DE CARGA'!$A$2:$A$702,'LOCALIZAÇÃO DE CARGA'!$R$2:$R$702),
IF(_xlpm.res="","",_xlpm.res)
),
""
)</f>
        <v>GOIANIA/GO/BRASIL</v>
      </c>
    </row>
    <row r="15" spans="1:20" ht="18" customHeight="1">
      <c r="A15" s="14">
        <f t="shared" si="0"/>
        <v>46157</v>
      </c>
      <c r="B15" s="5">
        <v>6022059</v>
      </c>
      <c r="C15" s="45" t="str">
        <f t="shared" ca="1" si="1"/>
        <v>CARREGADO - SEM SMP</v>
      </c>
      <c r="D15" s="28"/>
      <c r="E15" s="28" t="str">
        <f>IFERROR(
IF(
_xlfn.XLOOKUP(
B15,
'LOCALIZAÇÃO DE CARGA'!$A$2:$A$702,
'LOCALIZAÇÃO DE CARGA'!$D$2:$D$702
)="",
"",
_xlfn.XLOOKUP(
B15,
'LOCALIZAÇÃO DE CARGA'!$A$2:$A$702,
'LOCALIZAÇÃO DE CARGA'!$D$2:$D$702
)
),
""
)</f>
        <v>Finalizado</v>
      </c>
      <c r="F15" s="13" t="str">
        <f>IFERROR(
IF(
_xlfn.XLOOKUP(
B15,
'LOCALIZAÇÃO DE CARGA'!$A$2:$A$702,
'LOCALIZAÇÃO DE CARGA'!$H$2:$H$702
)="",
"",
_xlfn.XLOOKUP(
B15,
'LOCALIZAÇÃO DE CARGA'!$A$2:$A$702,
'LOCALIZAÇÃO DE CARGA'!$H$2:$H$702
)
),
""
)</f>
        <v>VIPE TRANSPO</v>
      </c>
      <c r="G15" s="5" t="str">
        <f>IFERROR(
IF(
_xlfn.XLOOKUP(
B15,
'LOCALIZAÇÃO DE CARGA'!$A$2:$A$702,
'LOCALIZAÇÃO DE CARGA'!$I$2:$I$702
)="",
"",
_xlfn.XLOOKUP(
B15,
'LOCALIZAÇÃO DE CARGA'!$A$2:$A$702,
'LOCALIZAÇÃO DE CARGA'!$I$2:$I$702
)
),
""
)</f>
        <v>LGCAJ</v>
      </c>
      <c r="H15" s="5" t="str">
        <f>IFERROR(
IF(
_xlfn.XLOOKUP(
B15,
'LOCALIZAÇÃO DE CARGA'!$A$2:$A$702,
'LOCALIZAÇÃO DE CARGA'!$F$2:$F$702
)="",
"",
_xlfn.XLOOKUP(
B15,
'LOCALIZAÇÃO DE CARGA'!$A$2:$A$702,
'LOCALIZAÇÃO DE CARGA'!$F$2:$F$702
)
),
""
)</f>
        <v>Andamento</v>
      </c>
      <c r="I15" s="13" t="str" cm="1">
        <f t="array" ref="I15">IFERROR(
IF(
INDEX(
'VISÃO LOGISTICA'!$C$2:$C$525,
MATCH(
TRUE,
ISNUMBER(FIND(B15,'VISÃO LOGISTICA'!$A$2:$A$525)),
0
)
)="Em espera",
"",
INDEX(
'VISÃO LOGISTICA'!$C$2:$C$525,
MATCH(
TRUE,
ISNUMBER(FIND(B15,'VISÃO LOGISTICA'!$A$2:$A$525)),
0
)
)
),
""
)</f>
        <v/>
      </c>
      <c r="J15" s="5" t="str" cm="1">
        <f t="array" ref="J15">IFERROR(
IF(
OR(
INDEX(
'VISÃO LOGISTICA'!$C$2:$C$2000,
MATCH(
TRUE,
ISNUMBER(FIND(B15,'VISÃO LOGISTICA'!$A$2:$A$2000)),
0
)
)="Em espera",
INDEX(
'VISÃO LOGISTICA'!$C$2:$C$2000,
MATCH(
TRUE,
ISNUMBER(FIND(B15,'VISÃO LOGISTICA'!$A$2:$A$2000)),
0
)
)=""
),
"",
INDEX(
'VISÃO LOGISTICA'!$D$2:$D$2000,
MATCH(
TRUE,
ISNUMBER(FIND(B15,'VISÃO LOGISTICA'!$A$2:$A$2000)),
0
)
)
),
""
)</f>
        <v>IST1142</v>
      </c>
      <c r="K15" s="10">
        <f>IFERROR(
IF(
_xlfn.XLOOKUP(
B15,
'LOCALIZAÇÃO DE CARGA'!$A$2:$A$702,
'LOCALIZAÇÃO DE CARGA'!$E$2:$E$702)="",
"",
_xlfn.XLOOKUP(
B15,
'LOCALIZAÇÃO DE CARGA'!$A$2:$A$702,
'LOCALIZAÇÃO DE CARGA'!$E$2:$E$702)
),
""
)</f>
        <v>912092.35</v>
      </c>
      <c r="L15" s="20" cm="1">
        <f t="array" ref="L15">IFERROR(
_xlfn.LET(
_xlpm.res,_xlfn.XLOOKUP(B15,'LOCALIZAÇÃO DE CARGA'!$A$2:$A$2000,'LOCALIZAÇÃO DE CARGA'!$G$2:$G$2000),
IF(_xlpm.res="","",_xlpm.res)
),
""
)</f>
        <v>46159.174305555556</v>
      </c>
      <c r="M15" s="20" cm="1">
        <f t="array" ref="M15">IFERROR(
_xlfn.LET(
_xlpm.load,_xlfn.XLOOKUP(B15,'LOCALIZAÇÃO DE CARGA'!$A$2:$A$2000,'LOCALIZAÇÃO DE CARGA'!$A$2:$A$2000),
_xlpm.res,_xlfn.XLOOKUP(_xlpm.load,DOCUMENTOS!$A$2:$A$2000,DOCUMENTOS!$D$2:$D$2000),
IF(_xlpm.res="","",_xlpm.res)
),
""
)</f>
        <v>46157.625</v>
      </c>
      <c r="N15" s="6">
        <f>IFERROR(IF(M15="","",M15-TIME(1,0,0)),"")</f>
        <v>46157.583333333336</v>
      </c>
      <c r="O15" s="6" cm="1">
        <f t="array" ref="O15">IFERROR(
_xlfn.LET(
_xlpm.res,_xlfn.XLOOKUP(B15,'LOCALIZAÇÃO DE CARGA'!$A$2:$A$2000,'LOCALIZAÇÃO DE CARGA'!$S$2:$S$2000),
IF(_xlpm.res="","",_xlpm.res)
),
""
)</f>
        <v>46160.291666666664</v>
      </c>
      <c r="P15" s="6" cm="1">
        <f t="array" ref="P15">IFERROR(
_xlfn.LET(
_xlpm.res,_xlfn.XLOOKUP(B15,'LOCALIZAÇÃO DE CARGA'!$A$2:$A$702,'LOCALIZAÇÃO DE CARGA'!$T$2:$T$702),
IF(_xlpm.res="","",_xlpm.res)
),
""
)</f>
        <v>46157.793749999997</v>
      </c>
      <c r="Q15" s="5" t="str">
        <f>IFERROR(
IF(
_xlfn.XLOOKUP(
B15,
'LOCALIZAÇÃO DE CARGA'!$A$2:$A$702,
'LOCALIZAÇÃO DE CARGA'!$K$2:$K$702
)="",
"",
_xlfn.XLOOKUP(
B15,
'LOCALIZAÇÃO DE CARGA'!$A$2:$A$702,
'LOCALIZAÇÃO DE CARGA'!$K$2:$K$702
)
),
""
)</f>
        <v>FUJIOKA ELETRO IMAGEM S/A - 74675690</v>
      </c>
      <c r="R15" s="5" t="str">
        <f t="shared" si="2"/>
        <v>FUJIOKA ELETRO IMAGEM S/A</v>
      </c>
      <c r="S15" s="5" t="str" cm="1">
        <f t="array" ref="S15">IF(B15="","",IFERROR(
INDEX(
'VISÃO LOGISTICA'!$L$2:$L$525,
MATCH(
TRUE,
ISNUMBER(FIND(B15,'VISÃO LOGISTICA'!$A$2:$A$525)),
0
)
),
""
))</f>
        <v/>
      </c>
      <c r="T15" s="5" t="str">
        <f>IFERROR(
_xlfn.LET(
_xlpm.res,_xlfn.XLOOKUP(B15,'LOCALIZAÇÃO DE CARGA'!$A$2:$A$702,'LOCALIZAÇÃO DE CARGA'!$R$2:$R$702),
IF(_xlpm.res="","",_xlpm.res)
),
""
)</f>
        <v>GOIANIA/GO/BRASIL</v>
      </c>
    </row>
    <row r="16" spans="1:20" ht="18" customHeight="1">
      <c r="A16" s="14">
        <f t="shared" si="0"/>
        <v>46160</v>
      </c>
      <c r="B16" s="5">
        <v>6021731</v>
      </c>
      <c r="C16" s="45" t="str">
        <f t="shared" ca="1" si="1"/>
        <v>OK - NO PRAZO</v>
      </c>
      <c r="D16" s="28"/>
      <c r="E16" s="28" t="str">
        <f>IFERROR(
IF(
_xlfn.XLOOKUP(
B16,
'LOCALIZAÇÃO DE CARGA'!$A$2:$A$702,
'LOCALIZAÇÃO DE CARGA'!$D$2:$D$702
)="",
"",
_xlfn.XLOOKUP(
B16,
'LOCALIZAÇÃO DE CARGA'!$A$2:$A$702,
'LOCALIZAÇÃO DE CARGA'!$D$2:$D$702
)
),
""
)</f>
        <v/>
      </c>
      <c r="F16" s="13" t="str">
        <f>IFERROR(
IF(
_xlfn.XLOOKUP(
B16,
'LOCALIZAÇÃO DE CARGA'!$A$2:$A$702,
'LOCALIZAÇÃO DE CARGA'!$H$2:$H$702
)="",
"",
_xlfn.XLOOKUP(
B16,
'LOCALIZAÇÃO DE CARGA'!$A$2:$A$702,
'LOCALIZAÇÃO DE CARGA'!$H$2:$H$702
)
),
""
)</f>
        <v>BACHMANN TR</v>
      </c>
      <c r="G16" s="5" t="str">
        <f>IFERROR(
IF(
_xlfn.XLOOKUP(
B16,
'LOCALIZAÇÃO DE CARGA'!$A$2:$A$702,
'LOCALIZAÇÃO DE CARGA'!$I$2:$I$702
)="",
"",
_xlfn.XLOOKUP(
B16,
'LOCALIZAÇÃO DE CARGA'!$A$2:$A$702,
'LOCALIZAÇÃO DE CARGA'!$I$2:$I$702
)
),
""
)</f>
        <v>LGREC</v>
      </c>
      <c r="H16" s="5" t="str">
        <f>IFERROR(
IF(
_xlfn.XLOOKUP(
B16,
'LOCALIZAÇÃO DE CARGA'!$A$2:$A$702,
'LOCALIZAÇÃO DE CARGA'!$F$2:$F$702
)="",
"",
_xlfn.XLOOKUP(
B16,
'LOCALIZAÇÃO DE CARGA'!$A$2:$A$702,
'LOCALIZAÇÃO DE CARGA'!$F$2:$F$702
)
),
""
)</f>
        <v>Não iniciado</v>
      </c>
      <c r="I16" s="13" t="str" cm="1">
        <f t="array" ref="I16">IFERROR(
IF(
INDEX(
'VISÃO LOGISTICA'!$C$2:$C$525,
MATCH(
TRUE,
ISNUMBER(FIND(B16,'VISÃO LOGISTICA'!$A$2:$A$525)),
0
)
)="Em espera",
"",
INDEX(
'VISÃO LOGISTICA'!$C$2:$C$525,
MATCH(
TRUE,
ISNUMBER(FIND(B16,'VISÃO LOGISTICA'!$A$2:$A$525)),
0
)
)
),
""
)</f>
        <v/>
      </c>
      <c r="J16" s="5" t="str" cm="1">
        <f t="array" ref="J16">IFERROR(
IF(
OR(
INDEX(
'VISÃO LOGISTICA'!$C$2:$C$2000,
MATCH(
TRUE,
ISNUMBER(FIND(B16,'VISÃO LOGISTICA'!$A$2:$A$2000)),
0
)
)="Em espera",
INDEX(
'VISÃO LOGISTICA'!$C$2:$C$2000,
MATCH(
TRUE,
ISNUMBER(FIND(B16,'VISÃO LOGISTICA'!$A$2:$A$2000)),
0
)
)=""
),
"",
INDEX(
'VISÃO LOGISTICA'!$D$2:$D$2000,
MATCH(
TRUE,
ISNUMBER(FIND(B16,'VISÃO LOGISTICA'!$A$2:$A$2000)),
0
)
)
),
""
)</f>
        <v/>
      </c>
      <c r="K16" s="10">
        <f>IFERROR(
IF(
_xlfn.XLOOKUP(
B16,
'LOCALIZAÇÃO DE CARGA'!$A$2:$A$702,
'LOCALIZAÇÃO DE CARGA'!$E$2:$E$702)="",
"",
_xlfn.XLOOKUP(
B16,
'LOCALIZAÇÃO DE CARGA'!$A$2:$A$702,
'LOCALIZAÇÃO DE CARGA'!$E$2:$E$702)
),
""
)</f>
        <v>898487</v>
      </c>
      <c r="L16" s="20" cm="1">
        <f t="array" ref="L16">IFERROR(
_xlfn.LET(
_xlpm.res,_xlfn.XLOOKUP(B16,'LOCALIZAÇÃO DE CARGA'!$A$2:$A$2000,'LOCALIZAÇÃO DE CARGA'!$G$2:$G$2000),
IF(_xlpm.res="","",_xlpm.res)
),
""
)</f>
        <v>46160.895833333336</v>
      </c>
      <c r="M16" s="20" cm="1">
        <f t="array" ref="M16">IFERROR(
_xlfn.LET(
_xlpm.load,_xlfn.XLOOKUP(B16,'LOCALIZAÇÃO DE CARGA'!$A$2:$A$2000,'LOCALIZAÇÃO DE CARGA'!$A$2:$A$2000),
_xlpm.res,_xlfn.XLOOKUP(_xlpm.load,DOCUMENTOS!$A$2:$A$2000,DOCUMENTOS!$D$2:$D$2000),
IF(_xlpm.res="","",_xlpm.res)
),
""
)</f>
        <v>46160.895833333336</v>
      </c>
      <c r="N16" s="6">
        <f>IFERROR(IF(M16="","",M16-TIME(1,0,0)),"")</f>
        <v>46160.854166666672</v>
      </c>
      <c r="O16" s="6" cm="1">
        <f t="array" ref="O16">IFERROR(
_xlfn.LET(
_xlpm.res,_xlfn.XLOOKUP(B16,'LOCALIZAÇÃO DE CARGA'!$A$2:$A$2000,'LOCALIZAÇÃO DE CARGA'!$S$2:$S$2000),
IF(_xlpm.res="","",_xlpm.res)
),
""
)</f>
        <v>46162.25</v>
      </c>
      <c r="P16" s="6" t="str" cm="1">
        <f t="array" ref="P16">IFERROR(
_xlfn.LET(
_xlpm.res,_xlfn.XLOOKUP(B16,'LOCALIZAÇÃO DE CARGA'!$A$2:$A$702,'LOCALIZAÇÃO DE CARGA'!$T$2:$T$702),
IF(_xlpm.res="","",_xlpm.res)
),
""
)</f>
        <v/>
      </c>
      <c r="Q16" s="5" t="str">
        <f>IFERROR(
IF(
_xlfn.XLOOKUP(
B16,
'LOCALIZAÇÃO DE CARGA'!$A$2:$A$702,
'LOCALIZAÇÃO DE CARGA'!$K$2:$K$702
)="",
"",
_xlfn.XLOOKUP(
B16,
'LOCALIZAÇÃO DE CARGA'!$A$2:$A$702,
'LOCALIZAÇÃO DE CARGA'!$K$2:$K$702
)
),
""
)</f>
        <v>GRUPO CASAS BAHIA S.A(CD1877) - 61935180</v>
      </c>
      <c r="R16" s="5" t="str">
        <f t="shared" si="2"/>
        <v>GRUPO CASAS BAHIA S.A</v>
      </c>
      <c r="S16" s="5" t="str" cm="1">
        <f t="array" ref="S16">IF(B16="","",IFERROR(
INDEX(
'VISÃO LOGISTICA'!$L$2:$L$525,
MATCH(
TRUE,
ISNUMBER(FIND(B16,'VISÃO LOGISTICA'!$A$2:$A$525)),
0
)
),
""
))</f>
        <v/>
      </c>
      <c r="T16" s="5" t="str">
        <f>IFERROR(
_xlfn.LET(
_xlpm.res,_xlfn.XLOOKUP(B16,'LOCALIZAÇÃO DE CARGA'!$A$2:$A$702,'LOCALIZAÇÃO DE CARGA'!$R$2:$R$702),
IF(_xlpm.res="","",_xlpm.res)
),
""
)</f>
        <v>MARACANAU/CE/BRASIL</v>
      </c>
    </row>
    <row r="17" spans="1:20" ht="18" customHeight="1">
      <c r="A17" s="14">
        <f t="shared" si="0"/>
        <v>46157</v>
      </c>
      <c r="B17" s="5">
        <v>6014898</v>
      </c>
      <c r="C17" s="45" t="str">
        <f t="shared" ca="1" si="1"/>
        <v>ATRASADO CARREGAMENTO - SEM SMP</v>
      </c>
      <c r="D17" s="28"/>
      <c r="E17" s="28" t="str">
        <f>IFERROR(
IF(
_xlfn.XLOOKUP(
B17,
'LOCALIZAÇÃO DE CARGA'!$A$2:$A$702,
'LOCALIZAÇÃO DE CARGA'!$D$2:$D$702
)="",
"",
_xlfn.XLOOKUP(
B17,
'LOCALIZAÇÃO DE CARGA'!$A$2:$A$702,
'LOCALIZAÇÃO DE CARGA'!$D$2:$D$702
)
),
""
)</f>
        <v>Atrasado</v>
      </c>
      <c r="F17" s="13" t="str">
        <f>IFERROR(
IF(
_xlfn.XLOOKUP(
B17,
'LOCALIZAÇÃO DE CARGA'!$A$2:$A$702,
'LOCALIZAÇÃO DE CARGA'!$H$2:$H$702
)="",
"",
_xlfn.XLOOKUP(
B17,
'LOCALIZAÇÃO DE CARGA'!$A$2:$A$702,
'LOCALIZAÇÃO DE CARGA'!$H$2:$H$702
)
),
""
)</f>
        <v>TRANSKING</v>
      </c>
      <c r="G17" s="5" t="str">
        <f>IFERROR(
IF(
_xlfn.XLOOKUP(
B17,
'LOCALIZAÇÃO DE CARGA'!$A$2:$A$702,
'LOCALIZAÇÃO DE CARGA'!$I$2:$I$702
)="",
"",
_xlfn.XLOOKUP(
B17,
'LOCALIZAÇÃO DE CARGA'!$A$2:$A$702,
'LOCALIZAÇÃO DE CARGA'!$I$2:$I$702
)
),
""
)</f>
        <v>LGCAJ</v>
      </c>
      <c r="H17" s="5" t="str">
        <f>IFERROR(
IF(
_xlfn.XLOOKUP(
B17,
'LOCALIZAÇÃO DE CARGA'!$A$2:$A$702,
'LOCALIZAÇÃO DE CARGA'!$F$2:$F$702
)="",
"",
_xlfn.XLOOKUP(
B17,
'LOCALIZAÇÃO DE CARGA'!$A$2:$A$702,
'LOCALIZAÇÃO DE CARGA'!$F$2:$F$702
)
),
""
)</f>
        <v>Andamento</v>
      </c>
      <c r="I17" s="13" t="str" cm="1">
        <f t="array" ref="I17">IFERROR(
IF(
INDEX(
'VISÃO LOGISTICA'!$C$2:$C$525,
MATCH(
TRUE,
ISNUMBER(FIND(B17,'VISÃO LOGISTICA'!$A$2:$A$525)),
0
)
)="Em espera",
"",
INDEX(
'VISÃO LOGISTICA'!$C$2:$C$525,
MATCH(
TRUE,
ISNUMBER(FIND(B17,'VISÃO LOGISTICA'!$A$2:$A$525)),
0
)
)
),
""
)</f>
        <v/>
      </c>
      <c r="J17" s="5" t="str" cm="1">
        <f t="array" ref="J17">IFERROR(
IF(
OR(
INDEX(
'VISÃO LOGISTICA'!$C$2:$C$2000,
MATCH(
TRUE,
ISNUMBER(FIND(B17,'VISÃO LOGISTICA'!$A$2:$A$2000)),
0
)
)="Em espera",
INDEX(
'VISÃO LOGISTICA'!$C$2:$C$2000,
MATCH(
TRUE,
ISNUMBER(FIND(B17,'VISÃO LOGISTICA'!$A$2:$A$2000)),
0
)
)=""
),
"",
INDEX(
'VISÃO LOGISTICA'!$D$2:$D$2000,
MATCH(
TRUE,
ISNUMBER(FIND(B17,'VISÃO LOGISTICA'!$A$2:$A$2000)),
0
)
)
),
""
)</f>
        <v>MLI3G86</v>
      </c>
      <c r="K17" s="10">
        <f>IFERROR(
IF(
_xlfn.XLOOKUP(
B17,
'LOCALIZAÇÃO DE CARGA'!$A$2:$A$702,
'LOCALIZAÇÃO DE CARGA'!$E$2:$E$702)="",
"",
_xlfn.XLOOKUP(
B17,
'LOCALIZAÇÃO DE CARGA'!$A$2:$A$702,
'LOCALIZAÇÃO DE CARGA'!$E$2:$E$702)
),
""
)</f>
        <v>865084.12</v>
      </c>
      <c r="L17" s="20" cm="1">
        <f t="array" ref="L17">IFERROR(
_xlfn.LET(
_xlpm.res,_xlfn.XLOOKUP(B17,'LOCALIZAÇÃO DE CARGA'!$A$2:$A$2000,'LOCALIZAÇÃO DE CARGA'!$G$2:$G$2000),
IF(_xlpm.res="","",_xlpm.res)
),
""
)</f>
        <v>46159.823611111111</v>
      </c>
      <c r="M17" s="20" cm="1">
        <f t="array" ref="M17">IFERROR(
_xlfn.LET(
_xlpm.load,_xlfn.XLOOKUP(B17,'LOCALIZAÇÃO DE CARGA'!$A$2:$A$2000,'LOCALIZAÇÃO DE CARGA'!$A$2:$A$2000),
_xlpm.res,_xlfn.XLOOKUP(_xlpm.load,DOCUMENTOS!$A$2:$A$2000,DOCUMENTOS!$D$2:$D$2000),
IF(_xlpm.res="","",_xlpm.res)
),
""
)</f>
        <v>46157.708333333336</v>
      </c>
      <c r="N17" s="6">
        <f>IFERROR(IF(M17="","",M17-TIME(1,0,0)),"")</f>
        <v>46157.666666666672</v>
      </c>
      <c r="O17" s="6" cm="1">
        <f t="array" ref="O17">IFERROR(
_xlfn.LET(
_xlpm.res,_xlfn.XLOOKUP(B17,'LOCALIZAÇÃO DE CARGA'!$A$2:$A$2000,'LOCALIZAÇÃO DE CARGA'!$S$2:$S$2000),
IF(_xlpm.res="","",_xlpm.res)
),
""
)</f>
        <v>46163.25</v>
      </c>
      <c r="P17" s="6" cm="1">
        <f t="array" ref="P17">IFERROR(
_xlfn.LET(
_xlpm.res,_xlfn.XLOOKUP(B17,'LOCALIZAÇÃO DE CARGA'!$A$2:$A$702,'LOCALIZAÇÃO DE CARGA'!$T$2:$T$702),
IF(_xlpm.res="","",_xlpm.res)
),
""
)</f>
        <v>46158.344444444447</v>
      </c>
      <c r="Q17" s="5" t="str">
        <f>IFERROR(
IF(
_xlfn.XLOOKUP(
B17,
'LOCALIZAÇÃO DE CARGA'!$A$2:$A$702,
'LOCALIZAÇÃO DE CARGA'!$K$2:$K$702
)="",
"",
_xlfn.XLOOKUP(
B17,
'LOCALIZAÇÃO DE CARGA'!$A$2:$A$702,
'LOCALIZAÇÃO DE CARGA'!$K$2:$K$702
)
),
""
)</f>
        <v>ARMAZEM MATEUS S.A - 54503010</v>
      </c>
      <c r="R17" s="5" t="str">
        <f t="shared" si="2"/>
        <v>ARMAZEM MATEUS S.A</v>
      </c>
      <c r="S17" s="5" t="str" cm="1">
        <f t="array" ref="S17">IF(B17="","",IFERROR(
INDEX(
'VISÃO LOGISTICA'!$L$2:$L$525,
MATCH(
TRUE,
ISNUMBER(FIND(B17,'VISÃO LOGISTICA'!$A$2:$A$525)),
0
)
),
""
))</f>
        <v/>
      </c>
      <c r="T17" s="5" t="str">
        <f>IFERROR(
_xlfn.LET(
_xlpm.res,_xlfn.XLOOKUP(B17,'LOCALIZAÇÃO DE CARGA'!$A$2:$A$702,'LOCALIZAÇÃO DE CARGA'!$R$2:$R$702),
IF(_xlpm.res="","",_xlpm.res)
),
""
)</f>
        <v>CABO DE SANTO AGOSTINHO/PE/BRASIL</v>
      </c>
    </row>
    <row r="18" spans="1:20" ht="18" customHeight="1">
      <c r="A18" s="14">
        <f t="shared" si="0"/>
        <v>46157</v>
      </c>
      <c r="B18" s="5">
        <v>6011814</v>
      </c>
      <c r="C18" s="45" t="str">
        <f t="shared" ca="1" si="1"/>
        <v>EM VIAGEM</v>
      </c>
      <c r="D18" s="28"/>
      <c r="E18" s="28" t="str">
        <f>IFERROR(
IF(
_xlfn.XLOOKUP(
B18,
'LOCALIZAÇÃO DE CARGA'!$A$2:$A$702,
'LOCALIZAÇÃO DE CARGA'!$D$2:$D$702
)="",
"",
_xlfn.XLOOKUP(
B18,
'LOCALIZAÇÃO DE CARGA'!$A$2:$A$702,
'LOCALIZAÇÃO DE CARGA'!$D$2:$D$702
)
),
""
)</f>
        <v>Saida do WH</v>
      </c>
      <c r="F18" s="13" t="str">
        <f>IFERROR(
IF(
_xlfn.XLOOKUP(
B18,
'LOCALIZAÇÃO DE CARGA'!$A$2:$A$702,
'LOCALIZAÇÃO DE CARGA'!$H$2:$H$702
)="",
"",
_xlfn.XLOOKUP(
B18,
'LOCALIZAÇÃO DE CARGA'!$A$2:$A$702,
'LOCALIZAÇÃO DE CARGA'!$H$2:$H$702
)
),
""
)</f>
        <v>VIPE TRANSPO</v>
      </c>
      <c r="G18" s="5" t="str">
        <f>IFERROR(
IF(
_xlfn.XLOOKUP(
B18,
'LOCALIZAÇÃO DE CARGA'!$A$2:$A$702,
'LOCALIZAÇÃO DE CARGA'!$I$2:$I$702
)="",
"",
_xlfn.XLOOKUP(
B18,
'LOCALIZAÇÃO DE CARGA'!$A$2:$A$702,
'LOCALIZAÇÃO DE CARGA'!$I$2:$I$702
)
),
""
)</f>
        <v>LGCAJ</v>
      </c>
      <c r="H18" s="5" t="str">
        <f>IFERROR(
IF(
_xlfn.XLOOKUP(
B18,
'LOCALIZAÇÃO DE CARGA'!$A$2:$A$702,
'LOCALIZAÇÃO DE CARGA'!$F$2:$F$702
)="",
"",
_xlfn.XLOOKUP(
B18,
'LOCALIZAÇÃO DE CARGA'!$A$2:$A$702,
'LOCALIZAÇÃO DE CARGA'!$F$2:$F$702
)
),
""
)</f>
        <v>Andamento</v>
      </c>
      <c r="I18" s="13" t="str" cm="1">
        <f t="array" ref="I18">IFERROR(
IF(
INDEX(
'VISÃO LOGISTICA'!$C$2:$C$525,
MATCH(
TRUE,
ISNUMBER(FIND(B18,'VISÃO LOGISTICA'!$A$2:$A$525)),
0
)
)="Em espera",
"",
INDEX(
'VISÃO LOGISTICA'!$C$2:$C$525,
MATCH(
TRUE,
ISNUMBER(FIND(B18,'VISÃO LOGISTICA'!$A$2:$A$525)),
0
)
)
),
""
)</f>
        <v>Em Viagem</v>
      </c>
      <c r="J18" s="5" t="str" cm="1">
        <f t="array" ref="J18">IFERROR(
IF(
OR(
INDEX(
'VISÃO LOGISTICA'!$C$2:$C$2000,
MATCH(
TRUE,
ISNUMBER(FIND(B18,'VISÃO LOGISTICA'!$A$2:$A$2000)),
0
)
)="Em espera",
INDEX(
'VISÃO LOGISTICA'!$C$2:$C$2000,
MATCH(
TRUE,
ISNUMBER(FIND(B18,'VISÃO LOGISTICA'!$A$2:$A$2000)),
0
)
)=""
),
"",
INDEX(
'VISÃO LOGISTICA'!$D$2:$D$2000,
MATCH(
TRUE,
ISNUMBER(FIND(B18,'VISÃO LOGISTICA'!$A$2:$A$2000)),
0
)
)
),
""
)</f>
        <v>CVN9E16</v>
      </c>
      <c r="K18" s="10">
        <f>IFERROR(
IF(
_xlfn.XLOOKUP(
B18,
'LOCALIZAÇÃO DE CARGA'!$A$2:$A$702,
'LOCALIZAÇÃO DE CARGA'!$E$2:$E$702)="",
"",
_xlfn.XLOOKUP(
B18,
'LOCALIZAÇÃO DE CARGA'!$A$2:$A$702,
'LOCALIZAÇÃO DE CARGA'!$E$2:$E$702)
),
""
)</f>
        <v>859859.88</v>
      </c>
      <c r="L18" s="20" cm="1">
        <f t="array" ref="L18">IFERROR(
_xlfn.LET(
_xlpm.res,_xlfn.XLOOKUP(B18,'LOCALIZAÇÃO DE CARGA'!$A$2:$A$2000,'LOCALIZAÇÃO DE CARGA'!$G$2:$G$2000),
IF(_xlpm.res="","",_xlpm.res)
),
""
)</f>
        <v>46160.654861111114</v>
      </c>
      <c r="M18" s="20" cm="1">
        <f t="array" ref="M18">IFERROR(
_xlfn.LET(
_xlpm.load,_xlfn.XLOOKUP(B18,'LOCALIZAÇÃO DE CARGA'!$A$2:$A$2000,'LOCALIZAÇÃO DE CARGA'!$A$2:$A$2000),
_xlpm.res,_xlfn.XLOOKUP(_xlpm.load,DOCUMENTOS!$A$2:$A$2000,DOCUMENTOS!$D$2:$D$2000),
IF(_xlpm.res="","",_xlpm.res)
),
""
)</f>
        <v>46157.625</v>
      </c>
      <c r="N18" s="6">
        <f>IFERROR(IF(M18="","",M18-TIME(1,0,0)),"")</f>
        <v>46157.583333333336</v>
      </c>
      <c r="O18" s="6" cm="1">
        <f t="array" ref="O18">IFERROR(
_xlfn.LET(
_xlpm.res,_xlfn.XLOOKUP(B18,'LOCALIZAÇÃO DE CARGA'!$A$2:$A$2000,'LOCALIZAÇÃO DE CARGA'!$S$2:$S$2000),
IF(_xlpm.res="","",_xlpm.res)
),
""
)</f>
        <v>46164.25</v>
      </c>
      <c r="P18" s="6" cm="1">
        <f t="array" ref="P18">IFERROR(
_xlfn.LET(
_xlpm.res,_xlfn.XLOOKUP(B18,'LOCALIZAÇÃO DE CARGA'!$A$2:$A$702,'LOCALIZAÇÃO DE CARGA'!$T$2:$T$702),
IF(_xlpm.res="","",_xlpm.res)
),
""
)</f>
        <v>46159.811111111114</v>
      </c>
      <c r="Q18" s="5" t="str">
        <f>IFERROR(
IF(
_xlfn.XLOOKUP(
B18,
'LOCALIZAÇÃO DE CARGA'!$A$2:$A$702,
'LOCALIZAÇÃO DE CARGA'!$K$2:$K$702
)="",
"",
_xlfn.XLOOKUP(
B18,
'LOCALIZAÇÃO DE CARGA'!$A$2:$A$702,
'LOCALIZAÇÃO DE CARGA'!$K$2:$K$702
)
),
""
)</f>
        <v>FERREIRA COSTA &amp; CIA LTDA - 58320000</v>
      </c>
      <c r="R18" s="5" t="str">
        <f t="shared" si="2"/>
        <v>FERREIRA COSTA &amp; CIA LTDA</v>
      </c>
      <c r="S18" s="5" t="str" cm="1">
        <f t="array" ref="S18">IF(B18="","",IFERROR(
INDEX(
'VISÃO LOGISTICA'!$L$2:$L$525,
MATCH(
TRUE,
ISNUMBER(FIND(B18,'VISÃO LOGISTICA'!$A$2:$A$525)),
0
)
),
""
))</f>
        <v>ITATIAIA/RJ/BRASIL</v>
      </c>
      <c r="T18" s="5" t="str">
        <f>IFERROR(
_xlfn.LET(
_xlpm.res,_xlfn.XLOOKUP(B18,'LOCALIZAÇÃO DE CARGA'!$A$2:$A$702,'LOCALIZAÇÃO DE CARGA'!$R$2:$R$702),
IF(_xlpm.res="","",_xlpm.res)
),
""
)</f>
        <v>ALHANDRA/PB/BRASIL</v>
      </c>
    </row>
    <row r="19" spans="1:20" ht="18" customHeight="1">
      <c r="A19" s="14">
        <f t="shared" si="0"/>
        <v>46157</v>
      </c>
      <c r="B19" s="5">
        <v>6022060</v>
      </c>
      <c r="C19" s="45" t="str">
        <f t="shared" ca="1" si="1"/>
        <v>ATRASADO CARREGAMENTO - SEM SMP</v>
      </c>
      <c r="D19" s="28"/>
      <c r="E19" s="28" t="str">
        <f>IFERROR(
IF(
_xlfn.XLOOKUP(
B19,
'LOCALIZAÇÃO DE CARGA'!$A$2:$A$702,
'LOCALIZAÇÃO DE CARGA'!$D$2:$D$702
)="",
"",
_xlfn.XLOOKUP(
B19,
'LOCALIZAÇÃO DE CARGA'!$A$2:$A$702,
'LOCALIZAÇÃO DE CARGA'!$D$2:$D$702
)
),
""
)</f>
        <v>Saida do WH</v>
      </c>
      <c r="F19" s="13" t="str">
        <f>IFERROR(
IF(
_xlfn.XLOOKUP(
B19,
'LOCALIZAÇÃO DE CARGA'!$A$2:$A$702,
'LOCALIZAÇÃO DE CARGA'!$H$2:$H$702
)="",
"",
_xlfn.XLOOKUP(
B19,
'LOCALIZAÇÃO DE CARGA'!$A$2:$A$702,
'LOCALIZAÇÃO DE CARGA'!$H$2:$H$702
)
),
""
)</f>
        <v>WSC</v>
      </c>
      <c r="G19" s="5" t="str">
        <f>IFERROR(
IF(
_xlfn.XLOOKUP(
B19,
'LOCALIZAÇÃO DE CARGA'!$A$2:$A$702,
'LOCALIZAÇÃO DE CARGA'!$I$2:$I$702
)="",
"",
_xlfn.XLOOKUP(
B19,
'LOCALIZAÇÃO DE CARGA'!$A$2:$A$702,
'LOCALIZAÇÃO DE CARGA'!$I$2:$I$702
)
),
""
)</f>
        <v>LGCAJ</v>
      </c>
      <c r="H19" s="5" t="str">
        <f>IFERROR(
IF(
_xlfn.XLOOKUP(
B19,
'LOCALIZAÇÃO DE CARGA'!$A$2:$A$702,
'LOCALIZAÇÃO DE CARGA'!$F$2:$F$702
)="",
"",
_xlfn.XLOOKUP(
B19,
'LOCALIZAÇÃO DE CARGA'!$A$2:$A$702,
'LOCALIZAÇÃO DE CARGA'!$F$2:$F$702
)
),
""
)</f>
        <v>Não iniciado</v>
      </c>
      <c r="I19" s="13" t="str" cm="1">
        <f t="array" ref="I19">IFERROR(
IF(
INDEX(
'VISÃO LOGISTICA'!$C$2:$C$525,
MATCH(
TRUE,
ISNUMBER(FIND(B19,'VISÃO LOGISTICA'!$A$2:$A$525)),
0
)
)="Em espera",
"",
INDEX(
'VISÃO LOGISTICA'!$C$2:$C$525,
MATCH(
TRUE,
ISNUMBER(FIND(B19,'VISÃO LOGISTICA'!$A$2:$A$525)),
0
)
)
),
""
)</f>
        <v/>
      </c>
      <c r="J19" s="5" t="str" cm="1">
        <f t="array" ref="J19">IFERROR(
IF(
OR(
INDEX(
'VISÃO LOGISTICA'!$C$2:$C$2000,
MATCH(
TRUE,
ISNUMBER(FIND(B19,'VISÃO LOGISTICA'!$A$2:$A$2000)),
0
)
)="Em espera",
INDEX(
'VISÃO LOGISTICA'!$C$2:$C$2000,
MATCH(
TRUE,
ISNUMBER(FIND(B19,'VISÃO LOGISTICA'!$A$2:$A$2000)),
0
)
)=""
),
"",
INDEX(
'VISÃO LOGISTICA'!$D$2:$D$2000,
MATCH(
TRUE,
ISNUMBER(FIND(B19,'VISÃO LOGISTICA'!$A$2:$A$2000)),
0
)
)
),
""
)</f>
        <v/>
      </c>
      <c r="K19" s="10">
        <f>IFERROR(
IF(
_xlfn.XLOOKUP(
B19,
'LOCALIZAÇÃO DE CARGA'!$A$2:$A$702,
'LOCALIZAÇÃO DE CARGA'!$E$2:$E$702)="",
"",
_xlfn.XLOOKUP(
B19,
'LOCALIZAÇÃO DE CARGA'!$A$2:$A$702,
'LOCALIZAÇÃO DE CARGA'!$E$2:$E$702)
),
""
)</f>
        <v>853140.41</v>
      </c>
      <c r="L19" s="20" cm="1">
        <f t="array" ref="L19">IFERROR(
_xlfn.LET(
_xlpm.res,_xlfn.XLOOKUP(B19,'LOCALIZAÇÃO DE CARGA'!$A$2:$A$2000,'LOCALIZAÇÃO DE CARGA'!$G$2:$G$2000),
IF(_xlpm.res="","",_xlpm.res)
),
""
)</f>
        <v>46159.174305555556</v>
      </c>
      <c r="M19" s="20" cm="1">
        <f t="array" ref="M19">IFERROR(
_xlfn.LET(
_xlpm.load,_xlfn.XLOOKUP(B19,'LOCALIZAÇÃO DE CARGA'!$A$2:$A$2000,'LOCALIZAÇÃO DE CARGA'!$A$2:$A$2000),
_xlpm.res,_xlfn.XLOOKUP(_xlpm.load,DOCUMENTOS!$A$2:$A$2000,DOCUMENTOS!$D$2:$D$2000),
IF(_xlpm.res="","",_xlpm.res)
),
""
)</f>
        <v>46157.833333333336</v>
      </c>
      <c r="N19" s="6">
        <f>IFERROR(IF(M19="","",M19-TIME(1,0,0)),"")</f>
        <v>46157.791666666672</v>
      </c>
      <c r="O19" s="6" cm="1">
        <f t="array" ref="O19">IFERROR(
_xlfn.LET(
_xlpm.res,_xlfn.XLOOKUP(B19,'LOCALIZAÇÃO DE CARGA'!$A$2:$A$2000,'LOCALIZAÇÃO DE CARGA'!$S$2:$S$2000),
IF(_xlpm.res="","",_xlpm.res)
),
""
)</f>
        <v>46160.291666666664</v>
      </c>
      <c r="P19" s="6" t="str" cm="1">
        <f t="array" ref="P19">IFERROR(
_xlfn.LET(
_xlpm.res,_xlfn.XLOOKUP(B19,'LOCALIZAÇÃO DE CARGA'!$A$2:$A$702,'LOCALIZAÇÃO DE CARGA'!$T$2:$T$702),
IF(_xlpm.res="","",_xlpm.res)
),
""
)</f>
        <v/>
      </c>
      <c r="Q19" s="5" t="str">
        <f>IFERROR(
IF(
_xlfn.XLOOKUP(
B19,
'LOCALIZAÇÃO DE CARGA'!$A$2:$A$702,
'LOCALIZAÇÃO DE CARGA'!$K$2:$K$702
)="",
"",
_xlfn.XLOOKUP(
B19,
'LOCALIZAÇÃO DE CARGA'!$A$2:$A$702,
'LOCALIZAÇÃO DE CARGA'!$K$2:$K$702
)
),
""
)</f>
        <v>FUJIOKA ELETRO IMAGEM S/A - 74675690</v>
      </c>
      <c r="R19" s="5" t="str">
        <f t="shared" si="2"/>
        <v>FUJIOKA ELETRO IMAGEM S/A</v>
      </c>
      <c r="S19" s="5" t="str" cm="1">
        <f t="array" ref="S19">IF(B19="","",IFERROR(
INDEX(
'VISÃO LOGISTICA'!$L$2:$L$525,
MATCH(
TRUE,
ISNUMBER(FIND(B19,'VISÃO LOGISTICA'!$A$2:$A$525)),
0
)
),
""
))</f>
        <v/>
      </c>
      <c r="T19" s="5" t="str">
        <f>IFERROR(
_xlfn.LET(
_xlpm.res,_xlfn.XLOOKUP(B19,'LOCALIZAÇÃO DE CARGA'!$A$2:$A$702,'LOCALIZAÇÃO DE CARGA'!$R$2:$R$702),
IF(_xlpm.res="","",_xlpm.res)
),
""
)</f>
        <v>GOIANIA/GO/BRASIL</v>
      </c>
    </row>
    <row r="20" spans="1:20" ht="18" customHeight="1">
      <c r="A20" s="14">
        <f t="shared" si="0"/>
        <v>46160</v>
      </c>
      <c r="B20" s="5">
        <v>6021675</v>
      </c>
      <c r="C20" s="45" t="str">
        <f t="shared" ca="1" si="1"/>
        <v>OK - NO PRAZO</v>
      </c>
      <c r="D20" s="28"/>
      <c r="E20" s="28" t="str">
        <f>IFERROR(
IF(
_xlfn.XLOOKUP(
B20,
'LOCALIZAÇÃO DE CARGA'!$A$2:$A$702,
'LOCALIZAÇÃO DE CARGA'!$D$2:$D$702
)="",
"",
_xlfn.XLOOKUP(
B20,
'LOCALIZAÇÃO DE CARGA'!$A$2:$A$702,
'LOCALIZAÇÃO DE CARGA'!$D$2:$D$702
)
),
""
)</f>
        <v/>
      </c>
      <c r="F20" s="13" t="str">
        <f>IFERROR(
IF(
_xlfn.XLOOKUP(
B20,
'LOCALIZAÇÃO DE CARGA'!$A$2:$A$702,
'LOCALIZAÇÃO DE CARGA'!$H$2:$H$702
)="",
"",
_xlfn.XLOOKUP(
B20,
'LOCALIZAÇÃO DE CARGA'!$A$2:$A$702,
'LOCALIZAÇÃO DE CARGA'!$H$2:$H$702
)
),
""
)</f>
        <v>NIKA</v>
      </c>
      <c r="G20" s="5" t="str">
        <f>IFERROR(
IF(
_xlfn.XLOOKUP(
B20,
'LOCALIZAÇÃO DE CARGA'!$A$2:$A$702,
'LOCALIZAÇÃO DE CARGA'!$I$2:$I$702
)="",
"",
_xlfn.XLOOKUP(
B20,
'LOCALIZAÇÃO DE CARGA'!$A$2:$A$702,
'LOCALIZAÇÃO DE CARGA'!$I$2:$I$702
)
),
""
)</f>
        <v>LGCAJ</v>
      </c>
      <c r="H20" s="5" t="str">
        <f>IFERROR(
IF(
_xlfn.XLOOKUP(
B20,
'LOCALIZAÇÃO DE CARGA'!$A$2:$A$702,
'LOCALIZAÇÃO DE CARGA'!$F$2:$F$702
)="",
"",
_xlfn.XLOOKUP(
B20,
'LOCALIZAÇÃO DE CARGA'!$A$2:$A$702,
'LOCALIZAÇÃO DE CARGA'!$F$2:$F$702
)
),
""
)</f>
        <v>Não iniciado</v>
      </c>
      <c r="I20" s="13" t="str" cm="1">
        <f t="array" ref="I20">IFERROR(
IF(
INDEX(
'VISÃO LOGISTICA'!$C$2:$C$525,
MATCH(
TRUE,
ISNUMBER(FIND(B20,'VISÃO LOGISTICA'!$A$2:$A$525)),
0
)
)="Em espera",
"",
INDEX(
'VISÃO LOGISTICA'!$C$2:$C$525,
MATCH(
TRUE,
ISNUMBER(FIND(B20,'VISÃO LOGISTICA'!$A$2:$A$525)),
0
)
)
),
""
)</f>
        <v/>
      </c>
      <c r="J20" s="5" t="str" cm="1">
        <f t="array" ref="J20">IFERROR(
IF(
OR(
INDEX(
'VISÃO LOGISTICA'!$C$2:$C$2000,
MATCH(
TRUE,
ISNUMBER(FIND(B20,'VISÃO LOGISTICA'!$A$2:$A$2000)),
0
)
)="Em espera",
INDEX(
'VISÃO LOGISTICA'!$C$2:$C$2000,
MATCH(
TRUE,
ISNUMBER(FIND(B20,'VISÃO LOGISTICA'!$A$2:$A$2000)),
0
)
)=""
),
"",
INDEX(
'VISÃO LOGISTICA'!$D$2:$D$2000,
MATCH(
TRUE,
ISNUMBER(FIND(B20,'VISÃO LOGISTICA'!$A$2:$A$2000)),
0
)
)
),
""
)</f>
        <v/>
      </c>
      <c r="K20" s="10">
        <f>IFERROR(
IF(
_xlfn.XLOOKUP(
B20,
'LOCALIZAÇÃO DE CARGA'!$A$2:$A$702,
'LOCALIZAÇÃO DE CARGA'!$E$2:$E$702)="",
"",
_xlfn.XLOOKUP(
B20,
'LOCALIZAÇÃO DE CARGA'!$A$2:$A$702,
'LOCALIZAÇÃO DE CARGA'!$E$2:$E$702)
),
""
)</f>
        <v>816463.95</v>
      </c>
      <c r="L20" s="20" cm="1">
        <f t="array" ref="L20">IFERROR(
_xlfn.LET(
_xlpm.res,_xlfn.XLOOKUP(B20,'LOCALIZAÇÃO DE CARGA'!$A$2:$A$2000,'LOCALIZAÇÃO DE CARGA'!$G$2:$G$2000),
IF(_xlpm.res="","",_xlpm.res)
),
""
)</f>
        <v>46160.871527777781</v>
      </c>
      <c r="M20" s="20" cm="1">
        <f t="array" ref="M20">IFERROR(
_xlfn.LET(
_xlpm.load,_xlfn.XLOOKUP(B20,'LOCALIZAÇÃO DE CARGA'!$A$2:$A$2000,'LOCALIZAÇÃO DE CARGA'!$A$2:$A$2000),
_xlpm.res,_xlfn.XLOOKUP(_xlpm.load,DOCUMENTOS!$A$2:$A$2000,DOCUMENTOS!$D$2:$D$2000),
IF(_xlpm.res="","",_xlpm.res)
),
""
)</f>
        <v>46160.666666666664</v>
      </c>
      <c r="N20" s="6">
        <f>IFERROR(IF(M20="","",M20-TIME(1,0,0)),"")</f>
        <v>46160.625</v>
      </c>
      <c r="O20" s="6" cm="1">
        <f t="array" ref="O20">IFERROR(
_xlfn.LET(
_xlpm.res,_xlfn.XLOOKUP(B20,'LOCALIZAÇÃO DE CARGA'!$A$2:$A$2000,'LOCALIZAÇÃO DE CARGA'!$S$2:$S$2000),
IF(_xlpm.res="","",_xlpm.res)
),
""
)</f>
        <v>46161.25</v>
      </c>
      <c r="P20" s="6" t="str" cm="1">
        <f t="array" ref="P20">IFERROR(
_xlfn.LET(
_xlpm.res,_xlfn.XLOOKUP(B20,'LOCALIZAÇÃO DE CARGA'!$A$2:$A$702,'LOCALIZAÇÃO DE CARGA'!$T$2:$T$702),
IF(_xlpm.res="","",_xlpm.res)
),
""
)</f>
        <v/>
      </c>
      <c r="Q20" s="5" t="str">
        <f>IFERROR(
IF(
_xlfn.XLOOKUP(
B20,
'LOCALIZAÇÃO DE CARGA'!$A$2:$A$702,
'LOCALIZAÇÃO DE CARGA'!$K$2:$K$702
)="",
"",
_xlfn.XLOOKUP(
B20,
'LOCALIZAÇÃO DE CARGA'!$A$2:$A$702,
'LOCALIZAÇÃO DE CARGA'!$K$2:$K$702
)
),
""
)</f>
        <v>GRUPO CASAS BAHIA S.A(CD1401) - 25255030</v>
      </c>
      <c r="R20" s="5" t="str">
        <f t="shared" si="2"/>
        <v>GRUPO CASAS BAHIA S.A</v>
      </c>
      <c r="S20" s="5" t="str" cm="1">
        <f t="array" ref="S20">IF(B20="","",IFERROR(
INDEX(
'VISÃO LOGISTICA'!$L$2:$L$525,
MATCH(
TRUE,
ISNUMBER(FIND(B20,'VISÃO LOGISTICA'!$A$2:$A$525)),
0
)
),
""
))</f>
        <v/>
      </c>
      <c r="T20" s="5" t="str">
        <f>IFERROR(
_xlfn.LET(
_xlpm.res,_xlfn.XLOOKUP(B20,'LOCALIZAÇÃO DE CARGA'!$A$2:$A$702,'LOCALIZAÇÃO DE CARGA'!$R$2:$R$702),
IF(_xlpm.res="","",_xlpm.res)
),
""
)</f>
        <v>DUQUE DE CAXIAS/RJ/BRASIL</v>
      </c>
    </row>
    <row r="21" spans="1:20" ht="18" customHeight="1">
      <c r="A21" s="14">
        <f t="shared" si="0"/>
        <v>46157</v>
      </c>
      <c r="B21" s="5">
        <v>6022061</v>
      </c>
      <c r="C21" s="45" t="str">
        <f t="shared" ca="1" si="1"/>
        <v>ATRASADO CARREGAMENTO - SEM SMP</v>
      </c>
      <c r="D21" s="28"/>
      <c r="E21" s="28" t="str">
        <f>IFERROR(
IF(
_xlfn.XLOOKUP(
B21,
'LOCALIZAÇÃO DE CARGA'!$A$2:$A$702,
'LOCALIZAÇÃO DE CARGA'!$D$2:$D$702
)="",
"",
_xlfn.XLOOKUP(
B21,
'LOCALIZAÇÃO DE CARGA'!$A$2:$A$702,
'LOCALIZAÇÃO DE CARGA'!$D$2:$D$702
)
),
""
)</f>
        <v>Atrasado</v>
      </c>
      <c r="F21" s="13" t="str">
        <f>IFERROR(
IF(
_xlfn.XLOOKUP(
B21,
'LOCALIZAÇÃO DE CARGA'!$A$2:$A$702,
'LOCALIZAÇÃO DE CARGA'!$H$2:$H$702
)="",
"",
_xlfn.XLOOKUP(
B21,
'LOCALIZAÇÃO DE CARGA'!$A$2:$A$702,
'LOCALIZAÇÃO DE CARGA'!$H$2:$H$702
)
),
""
)</f>
        <v>WSC</v>
      </c>
      <c r="G21" s="5" t="str">
        <f>IFERROR(
IF(
_xlfn.XLOOKUP(
B21,
'LOCALIZAÇÃO DE CARGA'!$A$2:$A$702,
'LOCALIZAÇÃO DE CARGA'!$I$2:$I$702
)="",
"",
_xlfn.XLOOKUP(
B21,
'LOCALIZAÇÃO DE CARGA'!$A$2:$A$702,
'LOCALIZAÇÃO DE CARGA'!$I$2:$I$702
)
),
""
)</f>
        <v>LGCAJ</v>
      </c>
      <c r="H21" s="5" t="str">
        <f>IFERROR(
IF(
_xlfn.XLOOKUP(
B21,
'LOCALIZAÇÃO DE CARGA'!$A$2:$A$702,
'LOCALIZAÇÃO DE CARGA'!$F$2:$F$702
)="",
"",
_xlfn.XLOOKUP(
B21,
'LOCALIZAÇÃO DE CARGA'!$A$2:$A$702,
'LOCALIZAÇÃO DE CARGA'!$F$2:$F$702
)
),
""
)</f>
        <v>Não iniciado</v>
      </c>
      <c r="I21" s="13" t="str" cm="1">
        <f t="array" ref="I21">IFERROR(
IF(
INDEX(
'VISÃO LOGISTICA'!$C$2:$C$525,
MATCH(
TRUE,
ISNUMBER(FIND(B21,'VISÃO LOGISTICA'!$A$2:$A$525)),
0
)
)="Em espera",
"",
INDEX(
'VISÃO LOGISTICA'!$C$2:$C$525,
MATCH(
TRUE,
ISNUMBER(FIND(B21,'VISÃO LOGISTICA'!$A$2:$A$525)),
0
)
)
),
""
)</f>
        <v/>
      </c>
      <c r="J21" s="5" t="str" cm="1">
        <f t="array" ref="J21">IFERROR(
IF(
OR(
INDEX(
'VISÃO LOGISTICA'!$C$2:$C$2000,
MATCH(
TRUE,
ISNUMBER(FIND(B21,'VISÃO LOGISTICA'!$A$2:$A$2000)),
0
)
)="Em espera",
INDEX(
'VISÃO LOGISTICA'!$C$2:$C$2000,
MATCH(
TRUE,
ISNUMBER(FIND(B21,'VISÃO LOGISTICA'!$A$2:$A$2000)),
0
)
)=""
),
"",
INDEX(
'VISÃO LOGISTICA'!$D$2:$D$2000,
MATCH(
TRUE,
ISNUMBER(FIND(B21,'VISÃO LOGISTICA'!$A$2:$A$2000)),
0
)
)
),
""
)</f>
        <v/>
      </c>
      <c r="K21" s="10">
        <f>IFERROR(
IF(
_xlfn.XLOOKUP(
B21,
'LOCALIZAÇÃO DE CARGA'!$A$2:$A$702,
'LOCALIZAÇÃO DE CARGA'!$E$2:$E$702)="",
"",
_xlfn.XLOOKUP(
B21,
'LOCALIZAÇÃO DE CARGA'!$A$2:$A$702,
'LOCALIZAÇÃO DE CARGA'!$E$2:$E$702)
),
""
)</f>
        <v>814058.82</v>
      </c>
      <c r="L21" s="20" cm="1">
        <f t="array" ref="L21">IFERROR(
_xlfn.LET(
_xlpm.res,_xlfn.XLOOKUP(B21,'LOCALIZAÇÃO DE CARGA'!$A$2:$A$2000,'LOCALIZAÇÃO DE CARGA'!$G$2:$G$2000),
IF(_xlpm.res="","",_xlpm.res)
),
""
)</f>
        <v>46159.174305555556</v>
      </c>
      <c r="M21" s="20" cm="1">
        <f t="array" ref="M21">IFERROR(
_xlfn.LET(
_xlpm.load,_xlfn.XLOOKUP(B21,'LOCALIZAÇÃO DE CARGA'!$A$2:$A$2000,'LOCALIZAÇÃO DE CARGA'!$A$2:$A$2000),
_xlpm.res,_xlfn.XLOOKUP(_xlpm.load,DOCUMENTOS!$A$2:$A$2000,DOCUMENTOS!$D$2:$D$2000),
IF(_xlpm.res="","",_xlpm.res)
),
""
)</f>
        <v>46157.833333333336</v>
      </c>
      <c r="N21" s="6">
        <f>IFERROR(IF(M21="","",M21-TIME(1,0,0)),"")</f>
        <v>46157.791666666672</v>
      </c>
      <c r="O21" s="6" cm="1">
        <f t="array" ref="O21">IFERROR(
_xlfn.LET(
_xlpm.res,_xlfn.XLOOKUP(B21,'LOCALIZAÇÃO DE CARGA'!$A$2:$A$2000,'LOCALIZAÇÃO DE CARGA'!$S$2:$S$2000),
IF(_xlpm.res="","",_xlpm.res)
),
""
)</f>
        <v>46160.291666666664</v>
      </c>
      <c r="P21" s="6" t="str" cm="1">
        <f t="array" ref="P21">IFERROR(
_xlfn.LET(
_xlpm.res,_xlfn.XLOOKUP(B21,'LOCALIZAÇÃO DE CARGA'!$A$2:$A$702,'LOCALIZAÇÃO DE CARGA'!$T$2:$T$702),
IF(_xlpm.res="","",_xlpm.res)
),
""
)</f>
        <v/>
      </c>
      <c r="Q21" s="5" t="str">
        <f>IFERROR(
IF(
_xlfn.XLOOKUP(
B21,
'LOCALIZAÇÃO DE CARGA'!$A$2:$A$702,
'LOCALIZAÇÃO DE CARGA'!$K$2:$K$702
)="",
"",
_xlfn.XLOOKUP(
B21,
'LOCALIZAÇÃO DE CARGA'!$A$2:$A$702,
'LOCALIZAÇÃO DE CARGA'!$K$2:$K$702
)
),
""
)</f>
        <v>FUJIOKA ELETRO IMAGEM S/A - 74675690</v>
      </c>
      <c r="R21" s="5" t="str">
        <f t="shared" si="2"/>
        <v>FUJIOKA ELETRO IMAGEM S/A</v>
      </c>
      <c r="S21" s="5" t="str" cm="1">
        <f t="array" ref="S21">IF(B21="","",IFERROR(
INDEX(
'VISÃO LOGISTICA'!$L$2:$L$525,
MATCH(
TRUE,
ISNUMBER(FIND(B21,'VISÃO LOGISTICA'!$A$2:$A$525)),
0
)
),
""
))</f>
        <v/>
      </c>
      <c r="T21" s="5" t="str">
        <f>IFERROR(
_xlfn.LET(
_xlpm.res,_xlfn.XLOOKUP(B21,'LOCALIZAÇÃO DE CARGA'!$A$2:$A$702,'LOCALIZAÇÃO DE CARGA'!$R$2:$R$702),
IF(_xlpm.res="","",_xlpm.res)
),
""
)</f>
        <v>GOIANIA/GO/BRASIL</v>
      </c>
    </row>
    <row r="22" spans="1:20" ht="18" customHeight="1">
      <c r="A22" s="14">
        <f t="shared" si="0"/>
        <v>46157</v>
      </c>
      <c r="B22" s="5">
        <v>6014892</v>
      </c>
      <c r="C22" s="45" t="str">
        <f t="shared" ca="1" si="1"/>
        <v>ATRASADO CARREGAMENTO - SEM SMP</v>
      </c>
      <c r="D22" s="28"/>
      <c r="E22" s="28" t="str">
        <f>IFERROR(
IF(
_xlfn.XLOOKUP(
B22,
'LOCALIZAÇÃO DE CARGA'!$A$2:$A$702,
'LOCALIZAÇÃO DE CARGA'!$D$2:$D$702
)="",
"",
_xlfn.XLOOKUP(
B22,
'LOCALIZAÇÃO DE CARGA'!$A$2:$A$702,
'LOCALIZAÇÃO DE CARGA'!$D$2:$D$702
)
),
""
)</f>
        <v>Atrasado</v>
      </c>
      <c r="F22" s="13" t="str">
        <f>IFERROR(
IF(
_xlfn.XLOOKUP(
B22,
'LOCALIZAÇÃO DE CARGA'!$A$2:$A$702,
'LOCALIZAÇÃO DE CARGA'!$H$2:$H$702
)="",
"",
_xlfn.XLOOKUP(
B22,
'LOCALIZAÇÃO DE CARGA'!$A$2:$A$702,
'LOCALIZAÇÃO DE CARGA'!$H$2:$H$702
)
),
""
)</f>
        <v>TRANSKING</v>
      </c>
      <c r="G22" s="5" t="str">
        <f>IFERROR(
IF(
_xlfn.XLOOKUP(
B22,
'LOCALIZAÇÃO DE CARGA'!$A$2:$A$702,
'LOCALIZAÇÃO DE CARGA'!$I$2:$I$702
)="",
"",
_xlfn.XLOOKUP(
B22,
'LOCALIZAÇÃO DE CARGA'!$A$2:$A$702,
'LOCALIZAÇÃO DE CARGA'!$I$2:$I$702
)
),
""
)</f>
        <v>LGCAJ</v>
      </c>
      <c r="H22" s="5" t="str">
        <f>IFERROR(
IF(
_xlfn.XLOOKUP(
B22,
'LOCALIZAÇÃO DE CARGA'!$A$2:$A$702,
'LOCALIZAÇÃO DE CARGA'!$F$2:$F$702
)="",
"",
_xlfn.XLOOKUP(
B22,
'LOCALIZAÇÃO DE CARGA'!$A$2:$A$702,
'LOCALIZAÇÃO DE CARGA'!$F$2:$F$702
)
),
""
)</f>
        <v>Andamento</v>
      </c>
      <c r="I22" s="13" t="str" cm="1">
        <f t="array" ref="I22">IFERROR(
IF(
INDEX(
'VISÃO LOGISTICA'!$C$2:$C$525,
MATCH(
TRUE,
ISNUMBER(FIND(B22,'VISÃO LOGISTICA'!$A$2:$A$525)),
0
)
)="Em espera",
"",
INDEX(
'VISÃO LOGISTICA'!$C$2:$C$525,
MATCH(
TRUE,
ISNUMBER(FIND(B22,'VISÃO LOGISTICA'!$A$2:$A$525)),
0
)
)
),
""
)</f>
        <v/>
      </c>
      <c r="J22" s="5" t="str" cm="1">
        <f t="array" ref="J22">IFERROR(
IF(
OR(
INDEX(
'VISÃO LOGISTICA'!$C$2:$C$2000,
MATCH(
TRUE,
ISNUMBER(FIND(B22,'VISÃO LOGISTICA'!$A$2:$A$2000)),
0
)
)="Em espera",
INDEX(
'VISÃO LOGISTICA'!$C$2:$C$2000,
MATCH(
TRUE,
ISNUMBER(FIND(B22,'VISÃO LOGISTICA'!$A$2:$A$2000)),
0
)
)=""
),
"",
INDEX(
'VISÃO LOGISTICA'!$D$2:$D$2000,
MATCH(
TRUE,
ISNUMBER(FIND(B22,'VISÃO LOGISTICA'!$A$2:$A$2000)),
0
)
)
),
""
)</f>
        <v>EVZ0D39</v>
      </c>
      <c r="K22" s="10">
        <f>IFERROR(
IF(
_xlfn.XLOOKUP(
B22,
'LOCALIZAÇÃO DE CARGA'!$A$2:$A$702,
'LOCALIZAÇÃO DE CARGA'!$E$2:$E$702)="",
"",
_xlfn.XLOOKUP(
B22,
'LOCALIZAÇÃO DE CARGA'!$A$2:$A$702,
'LOCALIZAÇÃO DE CARGA'!$E$2:$E$702)
),
""
)</f>
        <v>753403.2</v>
      </c>
      <c r="L22" s="20" cm="1">
        <f t="array" ref="L22">IFERROR(
_xlfn.LET(
_xlpm.res,_xlfn.XLOOKUP(B22,'LOCALIZAÇÃO DE CARGA'!$A$2:$A$2000,'LOCALIZAÇÃO DE CARGA'!$G$2:$G$2000),
IF(_xlpm.res="","",_xlpm.res)
),
""
)</f>
        <v>46160.316666666666</v>
      </c>
      <c r="M22" s="20" cm="1">
        <f t="array" ref="M22">IFERROR(
_xlfn.LET(
_xlpm.load,_xlfn.XLOOKUP(B22,'LOCALIZAÇÃO DE CARGA'!$A$2:$A$2000,'LOCALIZAÇÃO DE CARGA'!$A$2:$A$2000),
_xlpm.res,_xlfn.XLOOKUP(_xlpm.load,DOCUMENTOS!$A$2:$A$2000,DOCUMENTOS!$D$2:$D$2000),
IF(_xlpm.res="","",_xlpm.res)
),
""
)</f>
        <v>46157.708333333336</v>
      </c>
      <c r="N22" s="6">
        <f>IFERROR(IF(M22="","",M22-TIME(1,0,0)),"")</f>
        <v>46157.666666666672</v>
      </c>
      <c r="O22" s="6" cm="1">
        <f t="array" ref="O22">IFERROR(
_xlfn.LET(
_xlpm.res,_xlfn.XLOOKUP(B22,'LOCALIZAÇÃO DE CARGA'!$A$2:$A$2000,'LOCALIZAÇÃO DE CARGA'!$S$2:$S$2000),
IF(_xlpm.res="","",_xlpm.res)
),
""
)</f>
        <v>46163.25</v>
      </c>
      <c r="P22" s="6" cm="1">
        <f t="array" ref="P22">IFERROR(
_xlfn.LET(
_xlpm.res,_xlfn.XLOOKUP(B22,'LOCALIZAÇÃO DE CARGA'!$A$2:$A$702,'LOCALIZAÇÃO DE CARGA'!$T$2:$T$702),
IF(_xlpm.res="","",_xlpm.res)
),
""
)</f>
        <v>46158.433333333334</v>
      </c>
      <c r="Q22" s="5" t="str">
        <f>IFERROR(
IF(
_xlfn.XLOOKUP(
B22,
'LOCALIZAÇÃO DE CARGA'!$A$2:$A$702,
'LOCALIZAÇÃO DE CARGA'!$K$2:$K$702
)="",
"",
_xlfn.XLOOKUP(
B22,
'LOCALIZAÇÃO DE CARGA'!$A$2:$A$702,
'LOCALIZAÇÃO DE CARGA'!$K$2:$K$702
)
),
""
)</f>
        <v>ARMAZEM MATEUS S/A - 65099090</v>
      </c>
      <c r="R22" s="5" t="str">
        <f t="shared" si="2"/>
        <v>ARMAZEM MATEUS S/A</v>
      </c>
      <c r="S22" s="5" t="str" cm="1">
        <f t="array" ref="S22">IF(B22="","",IFERROR(
INDEX(
'VISÃO LOGISTICA'!$L$2:$L$525,
MATCH(
TRUE,
ISNUMBER(FIND(B22,'VISÃO LOGISTICA'!$A$2:$A$525)),
0
)
),
""
))</f>
        <v/>
      </c>
      <c r="T22" s="5" t="str">
        <f>IFERROR(
_xlfn.LET(
_xlpm.res,_xlfn.XLOOKUP(B22,'LOCALIZAÇÃO DE CARGA'!$A$2:$A$702,'LOCALIZAÇÃO DE CARGA'!$R$2:$R$702),
IF(_xlpm.res="","",_xlpm.res)
),
""
)</f>
        <v>SAO LUIS/MA/BRASIL</v>
      </c>
    </row>
    <row r="23" spans="1:20" ht="18" customHeight="1">
      <c r="A23" s="14">
        <f t="shared" si="0"/>
        <v>46160</v>
      </c>
      <c r="B23" s="5">
        <v>6023170</v>
      </c>
      <c r="C23" s="45" t="str">
        <f t="shared" ca="1" si="1"/>
        <v>OK - NO PRAZO</v>
      </c>
      <c r="D23" s="28"/>
      <c r="E23" s="28" t="str">
        <f>IFERROR(
IF(
_xlfn.XLOOKUP(
B23,
'LOCALIZAÇÃO DE CARGA'!$A$2:$A$702,
'LOCALIZAÇÃO DE CARGA'!$D$2:$D$702
)="",
"",
_xlfn.XLOOKUP(
B23,
'LOCALIZAÇÃO DE CARGA'!$A$2:$A$702,
'LOCALIZAÇÃO DE CARGA'!$D$2:$D$702
)
),
""
)</f>
        <v/>
      </c>
      <c r="F23" s="13" t="str">
        <f>IFERROR(
IF(
_xlfn.XLOOKUP(
B23,
'LOCALIZAÇÃO DE CARGA'!$A$2:$A$702,
'LOCALIZAÇÃO DE CARGA'!$H$2:$H$702
)="",
"",
_xlfn.XLOOKUP(
B23,
'LOCALIZAÇÃO DE CARGA'!$A$2:$A$702,
'LOCALIZAÇÃO DE CARGA'!$H$2:$H$702
)
),
""
)</f>
        <v>MINAS SUL</v>
      </c>
      <c r="G23" s="5" t="str">
        <f>IFERROR(
IF(
_xlfn.XLOOKUP(
B23,
'LOCALIZAÇÃO DE CARGA'!$A$2:$A$702,
'LOCALIZAÇÃO DE CARGA'!$I$2:$I$702
)="",
"",
_xlfn.XLOOKUP(
B23,
'LOCALIZAÇÃO DE CARGA'!$A$2:$A$702,
'LOCALIZAÇÃO DE CARGA'!$I$2:$I$702
)
),
""
)</f>
        <v>LGCAJ</v>
      </c>
      <c r="H23" s="5" t="str">
        <f>IFERROR(
IF(
_xlfn.XLOOKUP(
B23,
'LOCALIZAÇÃO DE CARGA'!$A$2:$A$702,
'LOCALIZAÇÃO DE CARGA'!$F$2:$F$702
)="",
"",
_xlfn.XLOOKUP(
B23,
'LOCALIZAÇÃO DE CARGA'!$A$2:$A$702,
'LOCALIZAÇÃO DE CARGA'!$F$2:$F$702
)
),
""
)</f>
        <v>Não iniciado</v>
      </c>
      <c r="I23" s="13" t="str" cm="1">
        <f t="array" ref="I23">IFERROR(
IF(
INDEX(
'VISÃO LOGISTICA'!$C$2:$C$525,
MATCH(
TRUE,
ISNUMBER(FIND(B23,'VISÃO LOGISTICA'!$A$2:$A$525)),
0
)
)="Em espera",
"",
INDEX(
'VISÃO LOGISTICA'!$C$2:$C$525,
MATCH(
TRUE,
ISNUMBER(FIND(B23,'VISÃO LOGISTICA'!$A$2:$A$525)),
0
)
)
),
""
)</f>
        <v/>
      </c>
      <c r="J23" s="5" t="str" cm="1">
        <f t="array" ref="J23">IFERROR(
IF(
OR(
INDEX(
'VISÃO LOGISTICA'!$C$2:$C$2000,
MATCH(
TRUE,
ISNUMBER(FIND(B23,'VISÃO LOGISTICA'!$A$2:$A$2000)),
0
)
)="Em espera",
INDEX(
'VISÃO LOGISTICA'!$C$2:$C$2000,
MATCH(
TRUE,
ISNUMBER(FIND(B23,'VISÃO LOGISTICA'!$A$2:$A$2000)),
0
)
)=""
),
"",
INDEX(
'VISÃO LOGISTICA'!$D$2:$D$2000,
MATCH(
TRUE,
ISNUMBER(FIND(B23,'VISÃO LOGISTICA'!$A$2:$A$2000)),
0
)
)
),
""
)</f>
        <v/>
      </c>
      <c r="K23" s="10">
        <f>IFERROR(
IF(
_xlfn.XLOOKUP(
B23,
'LOCALIZAÇÃO DE CARGA'!$A$2:$A$702,
'LOCALIZAÇÃO DE CARGA'!$E$2:$E$702)="",
"",
_xlfn.XLOOKUP(
B23,
'LOCALIZAÇÃO DE CARGA'!$A$2:$A$702,
'LOCALIZAÇÃO DE CARGA'!$E$2:$E$702)
),
""
)</f>
        <v>736734.87</v>
      </c>
      <c r="L23" s="20" cm="1">
        <f t="array" ref="L23">IFERROR(
_xlfn.LET(
_xlpm.res,_xlfn.XLOOKUP(B23,'LOCALIZAÇÃO DE CARGA'!$A$2:$A$2000,'LOCALIZAÇÃO DE CARGA'!$G$2:$G$2000),
IF(_xlpm.res="","",_xlpm.res)
),
""
)</f>
        <v>46161.2</v>
      </c>
      <c r="M23" s="20" cm="1">
        <f t="array" ref="M23">IFERROR(
_xlfn.LET(
_xlpm.load,_xlfn.XLOOKUP(B23,'LOCALIZAÇÃO DE CARGA'!$A$2:$A$2000,'LOCALIZAÇÃO DE CARGA'!$A$2:$A$2000),
_xlpm.res,_xlfn.XLOOKUP(_xlpm.load,DOCUMENTOS!$A$2:$A$2000,DOCUMENTOS!$D$2:$D$2000),
IF(_xlpm.res="","",_xlpm.res)
),
""
)</f>
        <v>46160.833333333336</v>
      </c>
      <c r="N23" s="6">
        <f>IFERROR(IF(M23="","",M23-TIME(1,0,0)),"")</f>
        <v>46160.791666666672</v>
      </c>
      <c r="O23" s="6" cm="1">
        <f t="array" ref="O23">IFERROR(
_xlfn.LET(
_xlpm.res,_xlfn.XLOOKUP(B23,'LOCALIZAÇÃO DE CARGA'!$A$2:$A$2000,'LOCALIZAÇÃO DE CARGA'!$S$2:$S$2000),
IF(_xlpm.res="","",_xlpm.res)
),
""
)</f>
        <v>46161.333333333336</v>
      </c>
      <c r="P23" s="6" t="str" cm="1">
        <f t="array" ref="P23">IFERROR(
_xlfn.LET(
_xlpm.res,_xlfn.XLOOKUP(B23,'LOCALIZAÇÃO DE CARGA'!$A$2:$A$702,'LOCALIZAÇÃO DE CARGA'!$T$2:$T$702),
IF(_xlpm.res="","",_xlpm.res)
),
""
)</f>
        <v/>
      </c>
      <c r="Q23" s="5" t="str">
        <f>IFERROR(
IF(
_xlfn.XLOOKUP(
B23,
'LOCALIZAÇÃO DE CARGA'!$A$2:$A$702,
'LOCALIZAÇÃO DE CARGA'!$K$2:$K$702
)="",
"",
_xlfn.XLOOKUP(
B23,
'LOCALIZAÇÃO DE CARGA'!$A$2:$A$702,
'LOCALIZAÇÃO DE CARGA'!$K$2:$K$702
)
),
""
)</f>
        <v>UNIAR COMÉRCIO DE ELETRO-ELETRÔNICOS E SERVIÇOS LTDA - 37640000</v>
      </c>
      <c r="R23" s="5" t="str">
        <f t="shared" si="2"/>
        <v>UNIAR COMÉRCIO DE ELETRO-ELETRÔNICOS E SERVIÇOS LTDA</v>
      </c>
      <c r="S23" s="5" t="str" cm="1">
        <f t="array" ref="S23">IF(B23="","",IFERROR(
INDEX(
'VISÃO LOGISTICA'!$L$2:$L$525,
MATCH(
TRUE,
ISNUMBER(FIND(B23,'VISÃO LOGISTICA'!$A$2:$A$525)),
0
)
),
""
))</f>
        <v/>
      </c>
      <c r="T23" s="5" t="str">
        <f>IFERROR(
_xlfn.LET(
_xlpm.res,_xlfn.XLOOKUP(B23,'LOCALIZAÇÃO DE CARGA'!$A$2:$A$702,'LOCALIZAÇÃO DE CARGA'!$R$2:$R$702),
IF(_xlpm.res="","",_xlpm.res)
),
""
)</f>
        <v>EXTREMA/MG/BRASIL</v>
      </c>
    </row>
    <row r="24" spans="1:20" ht="18" customHeight="1">
      <c r="A24" s="14">
        <f t="shared" si="0"/>
        <v>46157</v>
      </c>
      <c r="B24" s="5">
        <v>6011820</v>
      </c>
      <c r="C24" s="45" t="str">
        <f t="shared" ca="1" si="1"/>
        <v>ATRASADO CARREGAMENTO - SEM SMP</v>
      </c>
      <c r="D24" s="28"/>
      <c r="E24" s="28" t="str">
        <f>IFERROR(
IF(
_xlfn.XLOOKUP(
B24,
'LOCALIZAÇÃO DE CARGA'!$A$2:$A$702,
'LOCALIZAÇÃO DE CARGA'!$D$2:$D$702
)="",
"",
_xlfn.XLOOKUP(
B24,
'LOCALIZAÇÃO DE CARGA'!$A$2:$A$702,
'LOCALIZAÇÃO DE CARGA'!$D$2:$D$702
)
),
""
)</f>
        <v>Atrasado</v>
      </c>
      <c r="F24" s="13" t="str">
        <f>IFERROR(
IF(
_xlfn.XLOOKUP(
B24,
'LOCALIZAÇÃO DE CARGA'!$A$2:$A$702,
'LOCALIZAÇÃO DE CARGA'!$H$2:$H$702
)="",
"",
_xlfn.XLOOKUP(
B24,
'LOCALIZAÇÃO DE CARGA'!$A$2:$A$702,
'LOCALIZAÇÃO DE CARGA'!$H$2:$H$702
)
),
""
)</f>
        <v>WSC</v>
      </c>
      <c r="G24" s="5" t="str">
        <f>IFERROR(
IF(
_xlfn.XLOOKUP(
B24,
'LOCALIZAÇÃO DE CARGA'!$A$2:$A$702,
'LOCALIZAÇÃO DE CARGA'!$I$2:$I$702
)="",
"",
_xlfn.XLOOKUP(
B24,
'LOCALIZAÇÃO DE CARGA'!$A$2:$A$702,
'LOCALIZAÇÃO DE CARGA'!$I$2:$I$702
)
),
""
)</f>
        <v>LGCAJ</v>
      </c>
      <c r="H24" s="5" t="str">
        <f>IFERROR(
IF(
_xlfn.XLOOKUP(
B24,
'LOCALIZAÇÃO DE CARGA'!$A$2:$A$702,
'LOCALIZAÇÃO DE CARGA'!$F$2:$F$702
)="",
"",
_xlfn.XLOOKUP(
B24,
'LOCALIZAÇÃO DE CARGA'!$A$2:$A$702,
'LOCALIZAÇÃO DE CARGA'!$F$2:$F$702
)
),
""
)</f>
        <v>Não iniciado</v>
      </c>
      <c r="I24" s="13" t="str" cm="1">
        <f t="array" ref="I24">IFERROR(
IF(
INDEX(
'VISÃO LOGISTICA'!$C$2:$C$525,
MATCH(
TRUE,
ISNUMBER(FIND(B24,'VISÃO LOGISTICA'!$A$2:$A$525)),
0
)
)="Em espera",
"",
INDEX(
'VISÃO LOGISTICA'!$C$2:$C$525,
MATCH(
TRUE,
ISNUMBER(FIND(B24,'VISÃO LOGISTICA'!$A$2:$A$525)),
0
)
)
),
""
)</f>
        <v/>
      </c>
      <c r="J24" s="5" t="str" cm="1">
        <f t="array" ref="J24">IFERROR(
IF(
OR(
INDEX(
'VISÃO LOGISTICA'!$C$2:$C$2000,
MATCH(
TRUE,
ISNUMBER(FIND(B24,'VISÃO LOGISTICA'!$A$2:$A$2000)),
0
)
)="Em espera",
INDEX(
'VISÃO LOGISTICA'!$C$2:$C$2000,
MATCH(
TRUE,
ISNUMBER(FIND(B24,'VISÃO LOGISTICA'!$A$2:$A$2000)),
0
)
)=""
),
"",
INDEX(
'VISÃO LOGISTICA'!$D$2:$D$2000,
MATCH(
TRUE,
ISNUMBER(FIND(B24,'VISÃO LOGISTICA'!$A$2:$A$2000)),
0
)
)
),
""
)</f>
        <v/>
      </c>
      <c r="K24" s="10">
        <f>IFERROR(
IF(
_xlfn.XLOOKUP(
B24,
'LOCALIZAÇÃO DE CARGA'!$A$2:$A$702,
'LOCALIZAÇÃO DE CARGA'!$E$2:$E$702)="",
"",
_xlfn.XLOOKUP(
B24,
'LOCALIZAÇÃO DE CARGA'!$A$2:$A$702,
'LOCALIZAÇÃO DE CARGA'!$E$2:$E$702)
),
""
)</f>
        <v>734149.28</v>
      </c>
      <c r="L24" s="20" cm="1">
        <f t="array" ref="L24">IFERROR(
_xlfn.LET(
_xlpm.res,_xlfn.XLOOKUP(B24,'LOCALIZAÇÃO DE CARGA'!$A$2:$A$2000,'LOCALIZAÇÃO DE CARGA'!$G$2:$G$2000),
IF(_xlpm.res="","",_xlpm.res)
),
""
)</f>
        <v>46160.654861111114</v>
      </c>
      <c r="M24" s="20" cm="1">
        <f t="array" ref="M24">IFERROR(
_xlfn.LET(
_xlpm.load,_xlfn.XLOOKUP(B24,'LOCALIZAÇÃO DE CARGA'!$A$2:$A$2000,'LOCALIZAÇÃO DE CARGA'!$A$2:$A$2000),
_xlpm.res,_xlfn.XLOOKUP(_xlpm.load,DOCUMENTOS!$A$2:$A$2000,DOCUMENTOS!$D$2:$D$2000),
IF(_xlpm.res="","",_xlpm.res)
),
""
)</f>
        <v>46157.833333333336</v>
      </c>
      <c r="N24" s="6">
        <f>IFERROR(IF(M24="","",M24-TIME(1,0,0)),"")</f>
        <v>46157.791666666672</v>
      </c>
      <c r="O24" s="6" cm="1">
        <f t="array" ref="O24">IFERROR(
_xlfn.LET(
_xlpm.res,_xlfn.XLOOKUP(B24,'LOCALIZAÇÃO DE CARGA'!$A$2:$A$2000,'LOCALIZAÇÃO DE CARGA'!$S$2:$S$2000),
IF(_xlpm.res="","",_xlpm.res)
),
""
)</f>
        <v>46164.25</v>
      </c>
      <c r="P24" s="6" t="str" cm="1">
        <f t="array" ref="P24">IFERROR(
_xlfn.LET(
_xlpm.res,_xlfn.XLOOKUP(B24,'LOCALIZAÇÃO DE CARGA'!$A$2:$A$702,'LOCALIZAÇÃO DE CARGA'!$T$2:$T$702),
IF(_xlpm.res="","",_xlpm.res)
),
""
)</f>
        <v/>
      </c>
      <c r="Q24" s="5" t="str">
        <f>IFERROR(
IF(
_xlfn.XLOOKUP(
B24,
'LOCALIZAÇÃO DE CARGA'!$A$2:$A$702,
'LOCALIZAÇÃO DE CARGA'!$K$2:$K$702
)="",
"",
_xlfn.XLOOKUP(
B24,
'LOCALIZAÇÃO DE CARGA'!$A$2:$A$702,
'LOCALIZAÇÃO DE CARGA'!$K$2:$K$702
)
),
""
)</f>
        <v>FERREIRA COSTA &amp; CIA LTDA - 58320000</v>
      </c>
      <c r="R24" s="5" t="str">
        <f t="shared" si="2"/>
        <v>FERREIRA COSTA &amp; CIA LTDA</v>
      </c>
      <c r="S24" s="5" t="str" cm="1">
        <f t="array" ref="S24">IF(B24="","",IFERROR(
INDEX(
'VISÃO LOGISTICA'!$L$2:$L$525,
MATCH(
TRUE,
ISNUMBER(FIND(B24,'VISÃO LOGISTICA'!$A$2:$A$525)),
0
)
),
""
))</f>
        <v/>
      </c>
      <c r="T24" s="5" t="str">
        <f>IFERROR(
_xlfn.LET(
_xlpm.res,_xlfn.XLOOKUP(B24,'LOCALIZAÇÃO DE CARGA'!$A$2:$A$702,'LOCALIZAÇÃO DE CARGA'!$R$2:$R$702),
IF(_xlpm.res="","",_xlpm.res)
),
""
)</f>
        <v>ALHANDRA/PB/BRASIL</v>
      </c>
    </row>
    <row r="25" spans="1:20" ht="18" customHeight="1">
      <c r="A25" s="14">
        <f t="shared" si="0"/>
        <v>46157</v>
      </c>
      <c r="B25" s="5">
        <v>6012861</v>
      </c>
      <c r="C25" s="45" t="str">
        <f t="shared" ca="1" si="1"/>
        <v>EM VIAGEM</v>
      </c>
      <c r="D25" s="28"/>
      <c r="E25" s="28" t="str">
        <f>IFERROR(
IF(
_xlfn.XLOOKUP(
B25,
'LOCALIZAÇÃO DE CARGA'!$A$2:$A$702,
'LOCALIZAÇÃO DE CARGA'!$D$2:$D$702
)="",
"",
_xlfn.XLOOKUP(
B25,
'LOCALIZAÇÃO DE CARGA'!$A$2:$A$702,
'LOCALIZAÇÃO DE CARGA'!$D$2:$D$702
)
),
""
)</f>
        <v>Saida do WH</v>
      </c>
      <c r="F25" s="13" t="str">
        <f>IFERROR(
IF(
_xlfn.XLOOKUP(
B25,
'LOCALIZAÇÃO DE CARGA'!$A$2:$A$702,
'LOCALIZAÇÃO DE CARGA'!$H$2:$H$702
)="",
"",
_xlfn.XLOOKUP(
B25,
'LOCALIZAÇÃO DE CARGA'!$A$2:$A$702,
'LOCALIZAÇÃO DE CARGA'!$H$2:$H$702
)
),
""
)</f>
        <v>NEW LOG</v>
      </c>
      <c r="G25" s="5" t="str">
        <f>IFERROR(
IF(
_xlfn.XLOOKUP(
B25,
'LOCALIZAÇÃO DE CARGA'!$A$2:$A$702,
'LOCALIZAÇÃO DE CARGA'!$I$2:$I$702
)="",
"",
_xlfn.XLOOKUP(
B25,
'LOCALIZAÇÃO DE CARGA'!$A$2:$A$702,
'LOCALIZAÇÃO DE CARGA'!$I$2:$I$702
)
),
""
)</f>
        <v>LGCAJ</v>
      </c>
      <c r="H25" s="5" t="str">
        <f>IFERROR(
IF(
_xlfn.XLOOKUP(
B25,
'LOCALIZAÇÃO DE CARGA'!$A$2:$A$702,
'LOCALIZAÇÃO DE CARGA'!$F$2:$F$702
)="",
"",
_xlfn.XLOOKUP(
B25,
'LOCALIZAÇÃO DE CARGA'!$A$2:$A$702,
'LOCALIZAÇÃO DE CARGA'!$F$2:$F$702
)
),
""
)</f>
        <v>Andamento</v>
      </c>
      <c r="I25" s="13" t="str" cm="1">
        <f t="array" ref="I25">IFERROR(
IF(
INDEX(
'VISÃO LOGISTICA'!$C$2:$C$525,
MATCH(
TRUE,
ISNUMBER(FIND(B25,'VISÃO LOGISTICA'!$A$2:$A$525)),
0
)
)="Em espera",
"",
INDEX(
'VISÃO LOGISTICA'!$C$2:$C$525,
MATCH(
TRUE,
ISNUMBER(FIND(B25,'VISÃO LOGISTICA'!$A$2:$A$525)),
0
)
)
),
""
)</f>
        <v>Em Viagem</v>
      </c>
      <c r="J25" s="5" t="str" cm="1">
        <f t="array" ref="J25">IFERROR(
IF(
OR(
INDEX(
'VISÃO LOGISTICA'!$C$2:$C$2000,
MATCH(
TRUE,
ISNUMBER(FIND(B25,'VISÃO LOGISTICA'!$A$2:$A$2000)),
0
)
)="Em espera",
INDEX(
'VISÃO LOGISTICA'!$C$2:$C$2000,
MATCH(
TRUE,
ISNUMBER(FIND(B25,'VISÃO LOGISTICA'!$A$2:$A$2000)),
0
)
)=""
),
"",
INDEX(
'VISÃO LOGISTICA'!$D$2:$D$2000,
MATCH(
TRUE,
ISNUMBER(FIND(B25,'VISÃO LOGISTICA'!$A$2:$A$2000)),
0
)
)
),
""
)</f>
        <v>FDZ0G55</v>
      </c>
      <c r="K25" s="10">
        <f>IFERROR(
IF(
_xlfn.XLOOKUP(
B25,
'LOCALIZAÇÃO DE CARGA'!$A$2:$A$702,
'LOCALIZAÇÃO DE CARGA'!$E$2:$E$702)="",
"",
_xlfn.XLOOKUP(
B25,
'LOCALIZAÇÃO DE CARGA'!$A$2:$A$702,
'LOCALIZAÇÃO DE CARGA'!$E$2:$E$702)
),
""
)</f>
        <v>732864.32</v>
      </c>
      <c r="L25" s="20" cm="1">
        <f t="array" ref="L25">IFERROR(
_xlfn.LET(
_xlpm.res,_xlfn.XLOOKUP(B25,'LOCALIZAÇÃO DE CARGA'!$A$2:$A$2000,'LOCALIZAÇÃO DE CARGA'!$G$2:$G$2000),
IF(_xlpm.res="","",_xlpm.res)
),
""
)</f>
        <v>46159.031944444447</v>
      </c>
      <c r="M25" s="20" cm="1">
        <f t="array" ref="M25">IFERROR(
_xlfn.LET(
_xlpm.load,_xlfn.XLOOKUP(B25,'LOCALIZAÇÃO DE CARGA'!$A$2:$A$2000,'LOCALIZAÇÃO DE CARGA'!$A$2:$A$2000),
_xlpm.res,_xlfn.XLOOKUP(_xlpm.load,DOCUMENTOS!$A$2:$A$2000,DOCUMENTOS!$D$2:$D$2000),
IF(_xlpm.res="","",_xlpm.res)
),
""
)</f>
        <v>46157.541666666664</v>
      </c>
      <c r="N25" s="6">
        <f>IFERROR(IF(M25="","",M25-TIME(1,0,0)),"")</f>
        <v>46157.5</v>
      </c>
      <c r="O25" s="6" cm="1">
        <f t="array" ref="O25">IFERROR(
_xlfn.LET(
_xlpm.res,_xlfn.XLOOKUP(B25,'LOCALIZAÇÃO DE CARGA'!$A$2:$A$2000,'LOCALIZAÇÃO DE CARGA'!$S$2:$S$2000),
IF(_xlpm.res="","",_xlpm.res)
),
""
)</f>
        <v>46160.291666666664</v>
      </c>
      <c r="P25" s="6" cm="1">
        <f t="array" ref="P25">IFERROR(
_xlfn.LET(
_xlpm.res,_xlfn.XLOOKUP(B25,'LOCALIZAÇÃO DE CARGA'!$A$2:$A$702,'LOCALIZAÇÃO DE CARGA'!$T$2:$T$702),
IF(_xlpm.res="","",_xlpm.res)
),
""
)</f>
        <v>46158.51458333333</v>
      </c>
      <c r="Q25" s="5" t="str">
        <f>IFERROR(
IF(
_xlfn.XLOOKUP(
B25,
'LOCALIZAÇÃO DE CARGA'!$A$2:$A$702,
'LOCALIZAÇÃO DE CARGA'!$K$2:$K$702
)="",
"",
_xlfn.XLOOKUP(
B25,
'LOCALIZAÇÃO DE CARGA'!$A$2:$A$702,
'LOCALIZAÇÃO DE CARGA'!$K$2:$K$702
)
),
""
)</f>
        <v>CIA ZAFFARI COMERCIO E INDUSTRIA - 91040382</v>
      </c>
      <c r="R25" s="5" t="str">
        <f t="shared" si="2"/>
        <v>CIA ZAFFARI COMERCIO E INDUSTRIA</v>
      </c>
      <c r="S25" s="5" t="str" cm="1">
        <f t="array" ref="S25">IF(B25="","",IFERROR(
INDEX(
'VISÃO LOGISTICA'!$L$2:$L$525,
MATCH(
TRUE,
ISNUMBER(FIND(B25,'VISÃO LOGISTICA'!$A$2:$A$525)),
0
)
),
""
))</f>
        <v>MAQUINE/RS/BRASIL</v>
      </c>
      <c r="T25" s="5" t="str">
        <f>IFERROR(
_xlfn.LET(
_xlpm.res,_xlfn.XLOOKUP(B25,'LOCALIZAÇÃO DE CARGA'!$A$2:$A$702,'LOCALIZAÇÃO DE CARGA'!$R$2:$R$702),
IF(_xlpm.res="","",_xlpm.res)
),
""
)</f>
        <v>PORTO ALEGRE/RS/BRASIL</v>
      </c>
    </row>
    <row r="26" spans="1:20" ht="18" customHeight="1">
      <c r="A26" s="14">
        <f t="shared" si="0"/>
        <v>46161</v>
      </c>
      <c r="B26" s="5">
        <v>6013093</v>
      </c>
      <c r="C26" s="45" t="str">
        <f t="shared" ca="1" si="1"/>
        <v>OK - NO PRAZO</v>
      </c>
      <c r="D26" s="28"/>
      <c r="E26" s="28" t="str">
        <f>IFERROR(
IF(
_xlfn.XLOOKUP(
B26,
'LOCALIZAÇÃO DE CARGA'!$A$2:$A$702,
'LOCALIZAÇÃO DE CARGA'!$D$2:$D$702
)="",
"",
_xlfn.XLOOKUP(
B26,
'LOCALIZAÇÃO DE CARGA'!$A$2:$A$702,
'LOCALIZAÇÃO DE CARGA'!$D$2:$D$702
)
),
""
)</f>
        <v/>
      </c>
      <c r="F26" s="13" t="str">
        <f>IFERROR(
IF(
_xlfn.XLOOKUP(
B26,
'LOCALIZAÇÃO DE CARGA'!$A$2:$A$702,
'LOCALIZAÇÃO DE CARGA'!$H$2:$H$702
)="",
"",
_xlfn.XLOOKUP(
B26,
'LOCALIZAÇÃO DE CARGA'!$A$2:$A$702,
'LOCALIZAÇÃO DE CARGA'!$H$2:$H$702
)
),
""
)</f>
        <v>RODOPENHA</v>
      </c>
      <c r="G26" s="5" t="str">
        <f>IFERROR(
IF(
_xlfn.XLOOKUP(
B26,
'LOCALIZAÇÃO DE CARGA'!$A$2:$A$702,
'LOCALIZAÇÃO DE CARGA'!$I$2:$I$702
)="",
"",
_xlfn.XLOOKUP(
B26,
'LOCALIZAÇÃO DE CARGA'!$A$2:$A$702,
'LOCALIZAÇÃO DE CARGA'!$I$2:$I$702
)
),
""
)</f>
        <v>LGREC</v>
      </c>
      <c r="H26" s="5" t="str">
        <f>IFERROR(
IF(
_xlfn.XLOOKUP(
B26,
'LOCALIZAÇÃO DE CARGA'!$A$2:$A$702,
'LOCALIZAÇÃO DE CARGA'!$F$2:$F$702
)="",
"",
_xlfn.XLOOKUP(
B26,
'LOCALIZAÇÃO DE CARGA'!$A$2:$A$702,
'LOCALIZAÇÃO DE CARGA'!$F$2:$F$702
)
),
""
)</f>
        <v>Não iniciado</v>
      </c>
      <c r="I26" s="13" t="str" cm="1">
        <f t="array" ref="I26">IFERROR(
IF(
INDEX(
'VISÃO LOGISTICA'!$C$2:$C$525,
MATCH(
TRUE,
ISNUMBER(FIND(B26,'VISÃO LOGISTICA'!$A$2:$A$525)),
0
)
)="Em espera",
"",
INDEX(
'VISÃO LOGISTICA'!$C$2:$C$525,
MATCH(
TRUE,
ISNUMBER(FIND(B26,'VISÃO LOGISTICA'!$A$2:$A$525)),
0
)
)
),
""
)</f>
        <v/>
      </c>
      <c r="J26" s="5" t="str" cm="1">
        <f t="array" ref="J26">IFERROR(
IF(
OR(
INDEX(
'VISÃO LOGISTICA'!$C$2:$C$2000,
MATCH(
TRUE,
ISNUMBER(FIND(B26,'VISÃO LOGISTICA'!$A$2:$A$2000)),
0
)
)="Em espera",
INDEX(
'VISÃO LOGISTICA'!$C$2:$C$2000,
MATCH(
TRUE,
ISNUMBER(FIND(B26,'VISÃO LOGISTICA'!$A$2:$A$2000)),
0
)
)=""
),
"",
INDEX(
'VISÃO LOGISTICA'!$D$2:$D$2000,
MATCH(
TRUE,
ISNUMBER(FIND(B26,'VISÃO LOGISTICA'!$A$2:$A$2000)),
0
)
)
),
""
)</f>
        <v/>
      </c>
      <c r="K26" s="10">
        <f>IFERROR(
IF(
_xlfn.XLOOKUP(
B26,
'LOCALIZAÇÃO DE CARGA'!$A$2:$A$702,
'LOCALIZAÇÃO DE CARGA'!$E$2:$E$702)="",
"",
_xlfn.XLOOKUP(
B26,
'LOCALIZAÇÃO DE CARGA'!$A$2:$A$702,
'LOCALIZAÇÃO DE CARGA'!$E$2:$E$702)
),
""
)</f>
        <v>716346.65</v>
      </c>
      <c r="L26" s="20" cm="1">
        <f t="array" ref="L26">IFERROR(
_xlfn.LET(
_xlpm.res,_xlfn.XLOOKUP(B26,'LOCALIZAÇÃO DE CARGA'!$A$2:$A$2000,'LOCALIZAÇÃO DE CARGA'!$G$2:$G$2000),
IF(_xlpm.res="","",_xlpm.res)
),
""
)</f>
        <v>46161.0625</v>
      </c>
      <c r="M26" s="20" cm="1">
        <f t="array" ref="M26">IFERROR(
_xlfn.LET(
_xlpm.load,_xlfn.XLOOKUP(B26,'LOCALIZAÇÃO DE CARGA'!$A$2:$A$2000,'LOCALIZAÇÃO DE CARGA'!$A$2:$A$2000),
_xlpm.res,_xlfn.XLOOKUP(_xlpm.load,DOCUMENTOS!$A$2:$A$2000,DOCUMENTOS!$D$2:$D$2000),
IF(_xlpm.res="","",_xlpm.res)
),
""
)</f>
        <v>46161.0625</v>
      </c>
      <c r="N26" s="6">
        <f>IFERROR(IF(M26="","",M26-TIME(1,0,0)),"")</f>
        <v>46161.020833333336</v>
      </c>
      <c r="O26" s="6" cm="1">
        <f t="array" ref="O26">IFERROR(
_xlfn.LET(
_xlpm.res,_xlfn.XLOOKUP(B26,'LOCALIZAÇÃO DE CARGA'!$A$2:$A$2000,'LOCALIZAÇÃO DE CARGA'!$S$2:$S$2000),
IF(_xlpm.res="","",_xlpm.res)
),
""
)</f>
        <v>46161.25</v>
      </c>
      <c r="P26" s="6" t="str" cm="1">
        <f t="array" ref="P26">IFERROR(
_xlfn.LET(
_xlpm.res,_xlfn.XLOOKUP(B26,'LOCALIZAÇÃO DE CARGA'!$A$2:$A$702,'LOCALIZAÇÃO DE CARGA'!$T$2:$T$702),
IF(_xlpm.res="","",_xlpm.res)
),
""
)</f>
        <v/>
      </c>
      <c r="Q26" s="5" t="str">
        <f>IFERROR(
IF(
_xlfn.XLOOKUP(
B26,
'LOCALIZAÇÃO DE CARGA'!$A$2:$A$702,
'LOCALIZAÇÃO DE CARGA'!$K$2:$K$702
)="",
"",
_xlfn.XLOOKUP(
B26,
'LOCALIZAÇÃO DE CARGA'!$A$2:$A$702,
'LOCALIZAÇÃO DE CARGA'!$K$2:$K$702
)
),
""
)</f>
        <v>N CLAUDINO - 58105182</v>
      </c>
      <c r="R26" s="5" t="str">
        <f t="shared" si="2"/>
        <v>N CLAUDINO</v>
      </c>
      <c r="S26" s="5" t="str" cm="1">
        <f t="array" ref="S26">IF(B26="","",IFERROR(
INDEX(
'VISÃO LOGISTICA'!$L$2:$L$525,
MATCH(
TRUE,
ISNUMBER(FIND(B26,'VISÃO LOGISTICA'!$A$2:$A$525)),
0
)
),
""
))</f>
        <v/>
      </c>
      <c r="T26" s="5" t="str">
        <f>IFERROR(
_xlfn.LET(
_xlpm.res,_xlfn.XLOOKUP(B26,'LOCALIZAÇÃO DE CARGA'!$A$2:$A$702,'LOCALIZAÇÃO DE CARGA'!$R$2:$R$702),
IF(_xlpm.res="","",_xlpm.res)
),
""
)</f>
        <v>CABEDELO/PB/BRASIL</v>
      </c>
    </row>
    <row r="27" spans="1:20" ht="18" customHeight="1">
      <c r="A27" s="14">
        <f t="shared" si="0"/>
        <v>46157</v>
      </c>
      <c r="B27" s="5">
        <v>6014907</v>
      </c>
      <c r="C27" s="45" t="str">
        <f t="shared" ca="1" si="1"/>
        <v>EM VIAGEM</v>
      </c>
      <c r="D27" s="28"/>
      <c r="E27" s="28" t="str">
        <f>IFERROR(
IF(
_xlfn.XLOOKUP(
B27,
'LOCALIZAÇÃO DE CARGA'!$A$2:$A$702,
'LOCALIZAÇÃO DE CARGA'!$D$2:$D$702
)="",
"",
_xlfn.XLOOKUP(
B27,
'LOCALIZAÇÃO DE CARGA'!$A$2:$A$702,
'LOCALIZAÇÃO DE CARGA'!$D$2:$D$702
)
),
""
)</f>
        <v>Atrasado</v>
      </c>
      <c r="F27" s="13" t="str">
        <f>IFERROR(
IF(
_xlfn.XLOOKUP(
B27,
'LOCALIZAÇÃO DE CARGA'!$A$2:$A$702,
'LOCALIZAÇÃO DE CARGA'!$H$2:$H$702
)="",
"",
_xlfn.XLOOKUP(
B27,
'LOCALIZAÇÃO DE CARGA'!$A$2:$A$702,
'LOCALIZAÇÃO DE CARGA'!$H$2:$H$702
)
),
""
)</f>
        <v>TRANSKING</v>
      </c>
      <c r="G27" s="5" t="str">
        <f>IFERROR(
IF(
_xlfn.XLOOKUP(
B27,
'LOCALIZAÇÃO DE CARGA'!$A$2:$A$702,
'LOCALIZAÇÃO DE CARGA'!$I$2:$I$702
)="",
"",
_xlfn.XLOOKUP(
B27,
'LOCALIZAÇÃO DE CARGA'!$A$2:$A$702,
'LOCALIZAÇÃO DE CARGA'!$I$2:$I$702
)
),
""
)</f>
        <v>LGCAJ</v>
      </c>
      <c r="H27" s="5" t="str">
        <f>IFERROR(
IF(
_xlfn.XLOOKUP(
B27,
'LOCALIZAÇÃO DE CARGA'!$A$2:$A$702,
'LOCALIZAÇÃO DE CARGA'!$F$2:$F$702
)="",
"",
_xlfn.XLOOKUP(
B27,
'LOCALIZAÇÃO DE CARGA'!$A$2:$A$702,
'LOCALIZAÇÃO DE CARGA'!$F$2:$F$702
)
),
""
)</f>
        <v>Andamento</v>
      </c>
      <c r="I27" s="13" t="str" cm="1">
        <f t="array" ref="I27">IFERROR(
IF(
INDEX(
'VISÃO LOGISTICA'!$C$2:$C$525,
MATCH(
TRUE,
ISNUMBER(FIND(B27,'VISÃO LOGISTICA'!$A$2:$A$525)),
0
)
)="Em espera",
"",
INDEX(
'VISÃO LOGISTICA'!$C$2:$C$525,
MATCH(
TRUE,
ISNUMBER(FIND(B27,'VISÃO LOGISTICA'!$A$2:$A$525)),
0
)
)
),
""
)</f>
        <v>Em Viagem</v>
      </c>
      <c r="J27" s="5" t="str" cm="1">
        <f t="array" ref="J27">IFERROR(
IF(
OR(
INDEX(
'VISÃO LOGISTICA'!$C$2:$C$2000,
MATCH(
TRUE,
ISNUMBER(FIND(B27,'VISÃO LOGISTICA'!$A$2:$A$2000)),
0
)
)="Em espera",
INDEX(
'VISÃO LOGISTICA'!$C$2:$C$2000,
MATCH(
TRUE,
ISNUMBER(FIND(B27,'VISÃO LOGISTICA'!$A$2:$A$2000)),
0
)
)=""
),
"",
INDEX(
'VISÃO LOGISTICA'!$D$2:$D$2000,
MATCH(
TRUE,
ISNUMBER(FIND(B27,'VISÃO LOGISTICA'!$A$2:$A$2000)),
0
)
)
),
""
)</f>
        <v>NRF5D59</v>
      </c>
      <c r="K27" s="10">
        <f>IFERROR(
IF(
_xlfn.XLOOKUP(
B27,
'LOCALIZAÇÃO DE CARGA'!$A$2:$A$702,
'LOCALIZAÇÃO DE CARGA'!$E$2:$E$702)="",
"",
_xlfn.XLOOKUP(
B27,
'LOCALIZAÇÃO DE CARGA'!$A$2:$A$702,
'LOCALIZAÇÃO DE CARGA'!$E$2:$E$702)
),
""
)</f>
        <v>711872.6</v>
      </c>
      <c r="L27" s="20" cm="1">
        <f t="array" ref="L27">IFERROR(
_xlfn.LET(
_xlpm.res,_xlfn.XLOOKUP(B27,'LOCALIZAÇÃO DE CARGA'!$A$2:$A$2000,'LOCALIZAÇÃO DE CARGA'!$G$2:$G$2000),
IF(_xlpm.res="","",_xlpm.res)
),
""
)</f>
        <v>46160.184027777781</v>
      </c>
      <c r="M27" s="20" cm="1">
        <f t="array" ref="M27">IFERROR(
_xlfn.LET(
_xlpm.load,_xlfn.XLOOKUP(B27,'LOCALIZAÇÃO DE CARGA'!$A$2:$A$2000,'LOCALIZAÇÃO DE CARGA'!$A$2:$A$2000),
_xlpm.res,_xlfn.XLOOKUP(_xlpm.load,DOCUMENTOS!$A$2:$A$2000,DOCUMENTOS!$D$2:$D$2000),
IF(_xlpm.res="","",_xlpm.res)
),
""
)</f>
        <v>46157.833333333336</v>
      </c>
      <c r="N27" s="6">
        <f>IFERROR(IF(M27="","",M27-TIME(1,0,0)),"")</f>
        <v>46157.791666666672</v>
      </c>
      <c r="O27" s="6" cm="1">
        <f t="array" ref="O27">IFERROR(
_xlfn.LET(
_xlpm.res,_xlfn.XLOOKUP(B27,'LOCALIZAÇÃO DE CARGA'!$A$2:$A$2000,'LOCALIZAÇÃO DE CARGA'!$S$2:$S$2000),
IF(_xlpm.res="","",_xlpm.res)
),
""
)</f>
        <v>46161.25</v>
      </c>
      <c r="P27" s="6" cm="1">
        <f t="array" ref="P27">IFERROR(
_xlfn.LET(
_xlpm.res,_xlfn.XLOOKUP(B27,'LOCALIZAÇÃO DE CARGA'!$A$2:$A$702,'LOCALIZAÇÃO DE CARGA'!$T$2:$T$702),
IF(_xlpm.res="","",_xlpm.res)
),
""
)</f>
        <v>46158.955555555556</v>
      </c>
      <c r="Q27" s="5" t="str">
        <f>IFERROR(
IF(
_xlfn.XLOOKUP(
B27,
'LOCALIZAÇÃO DE CARGA'!$A$2:$A$702,
'LOCALIZAÇÃO DE CARGA'!$K$2:$K$702
)="",
"",
_xlfn.XLOOKUP(
B27,
'LOCALIZAÇÃO DE CARGA'!$A$2:$A$702,
'LOCALIZAÇÃO DE CARGA'!$K$2:$K$702
)
),
""
)</f>
        <v>GAZIN ATACADO CENTRO-OESTE LTD - 75780000</v>
      </c>
      <c r="R27" s="5" t="str">
        <f t="shared" si="2"/>
        <v>GAZIN ATACADO CENTRO-OESTE LTD</v>
      </c>
      <c r="S27" s="5" t="str" cm="1">
        <f t="array" ref="S27">IF(B27="","",IFERROR(
INDEX(
'VISÃO LOGISTICA'!$L$2:$L$525,
MATCH(
TRUE,
ISNUMBER(FIND(B27,'VISÃO LOGISTICA'!$A$2:$A$525)),
0
)
),
""
))</f>
        <v>PILAR DO SUL, CARAPICUIBA/SP/BRASIL (0,1 Km)</v>
      </c>
      <c r="T27" s="5" t="str">
        <f>IFERROR(
_xlfn.LET(
_xlpm.res,_xlfn.XLOOKUP(B27,'LOCALIZAÇÃO DE CARGA'!$A$2:$A$702,'LOCALIZAÇÃO DE CARGA'!$R$2:$R$702),
IF(_xlpm.res="","",_xlpm.res)
),
""
)</f>
        <v>IPAMERI/GO/BRASIL</v>
      </c>
    </row>
    <row r="28" spans="1:20" ht="18" customHeight="1">
      <c r="A28" s="14">
        <f t="shared" si="0"/>
        <v>46157</v>
      </c>
      <c r="B28" s="5">
        <v>6013221</v>
      </c>
      <c r="C28" s="45" t="str">
        <f t="shared" ca="1" si="1"/>
        <v>EM VIAGEM</v>
      </c>
      <c r="D28" s="28"/>
      <c r="E28" s="28" t="str">
        <f>IFERROR(
IF(
_xlfn.XLOOKUP(
B28,
'LOCALIZAÇÃO DE CARGA'!$A$2:$A$702,
'LOCALIZAÇÃO DE CARGA'!$D$2:$D$702
)="",
"",
_xlfn.XLOOKUP(
B28,
'LOCALIZAÇÃO DE CARGA'!$A$2:$A$702,
'LOCALIZAÇÃO DE CARGA'!$D$2:$D$702
)
),
""
)</f>
        <v>Saida do WH</v>
      </c>
      <c r="F28" s="13" t="str">
        <f>IFERROR(
IF(
_xlfn.XLOOKUP(
B28,
'LOCALIZAÇÃO DE CARGA'!$A$2:$A$702,
'LOCALIZAÇÃO DE CARGA'!$H$2:$H$702
)="",
"",
_xlfn.XLOOKUP(
B28,
'LOCALIZAÇÃO DE CARGA'!$A$2:$A$702,
'LOCALIZAÇÃO DE CARGA'!$H$2:$H$702
)
),
""
)</f>
        <v>BENDINI LOGI</v>
      </c>
      <c r="G28" s="5" t="str">
        <f>IFERROR(
IF(
_xlfn.XLOOKUP(
B28,
'LOCALIZAÇÃO DE CARGA'!$A$2:$A$702,
'LOCALIZAÇÃO DE CARGA'!$I$2:$I$702
)="",
"",
_xlfn.XLOOKUP(
B28,
'LOCALIZAÇÃO DE CARGA'!$A$2:$A$702,
'LOCALIZAÇÃO DE CARGA'!$I$2:$I$702
)
),
""
)</f>
        <v>LGCAJ</v>
      </c>
      <c r="H28" s="5" t="str">
        <f>IFERROR(
IF(
_xlfn.XLOOKUP(
B28,
'LOCALIZAÇÃO DE CARGA'!$A$2:$A$702,
'LOCALIZAÇÃO DE CARGA'!$F$2:$F$702
)="",
"",
_xlfn.XLOOKUP(
B28,
'LOCALIZAÇÃO DE CARGA'!$A$2:$A$702,
'LOCALIZAÇÃO DE CARGA'!$F$2:$F$702
)
),
""
)</f>
        <v>Andamento</v>
      </c>
      <c r="I28" s="13" t="str" cm="1">
        <f t="array" ref="I28">IFERROR(
IF(
INDEX(
'VISÃO LOGISTICA'!$C$2:$C$525,
MATCH(
TRUE,
ISNUMBER(FIND(B28,'VISÃO LOGISTICA'!$A$2:$A$525)),
0
)
)="Em espera",
"",
INDEX(
'VISÃO LOGISTICA'!$C$2:$C$525,
MATCH(
TRUE,
ISNUMBER(FIND(B28,'VISÃO LOGISTICA'!$A$2:$A$525)),
0
)
)
),
""
)</f>
        <v>Em Viagem</v>
      </c>
      <c r="J28" s="5" t="str" cm="1">
        <f t="array" ref="J28">IFERROR(
IF(
OR(
INDEX(
'VISÃO LOGISTICA'!$C$2:$C$2000,
MATCH(
TRUE,
ISNUMBER(FIND(B28,'VISÃO LOGISTICA'!$A$2:$A$2000)),
0
)
)="Em espera",
INDEX(
'VISÃO LOGISTICA'!$C$2:$C$2000,
MATCH(
TRUE,
ISNUMBER(FIND(B28,'VISÃO LOGISTICA'!$A$2:$A$2000)),
0
)
)=""
),
"",
INDEX(
'VISÃO LOGISTICA'!$D$2:$D$2000,
MATCH(
TRUE,
ISNUMBER(FIND(B28,'VISÃO LOGISTICA'!$A$2:$A$2000)),
0
)
)
),
""
)</f>
        <v>RYL4J67</v>
      </c>
      <c r="K28" s="10">
        <f>IFERROR(
IF(
_xlfn.XLOOKUP(
B28,
'LOCALIZAÇÃO DE CARGA'!$A$2:$A$702,
'LOCALIZAÇÃO DE CARGA'!$E$2:$E$702)="",
"",
_xlfn.XLOOKUP(
B28,
'LOCALIZAÇÃO DE CARGA'!$A$2:$A$702,
'LOCALIZAÇÃO DE CARGA'!$E$2:$E$702)
),
""
)</f>
        <v>704253</v>
      </c>
      <c r="L28" s="20" cm="1">
        <f t="array" ref="L28">IFERROR(
_xlfn.LET(
_xlpm.res,_xlfn.XLOOKUP(B28,'LOCALIZAÇÃO DE CARGA'!$A$2:$A$2000,'LOCALIZAÇÃO DE CARGA'!$G$2:$G$2000),
IF(_xlpm.res="","",_xlpm.res)
),
""
)</f>
        <v>46160.897222222222</v>
      </c>
      <c r="M28" s="20" cm="1">
        <f t="array" ref="M28">IFERROR(
_xlfn.LET(
_xlpm.load,_xlfn.XLOOKUP(B28,'LOCALIZAÇÃO DE CARGA'!$A$2:$A$2000,'LOCALIZAÇÃO DE CARGA'!$A$2:$A$2000),
_xlpm.res,_xlfn.XLOOKUP(_xlpm.load,DOCUMENTOS!$A$2:$A$2000,DOCUMENTOS!$D$2:$D$2000),
IF(_xlpm.res="","",_xlpm.res)
),
""
)</f>
        <v>46157.541666666664</v>
      </c>
      <c r="N28" s="6">
        <f>IFERROR(IF(M28="","",M28-TIME(1,0,0)),"")</f>
        <v>46157.5</v>
      </c>
      <c r="O28" s="6" cm="1">
        <f t="array" ref="O28">IFERROR(
_xlfn.LET(
_xlpm.res,_xlfn.XLOOKUP(B28,'LOCALIZAÇÃO DE CARGA'!$A$2:$A$2000,'LOCALIZAÇÃO DE CARGA'!$S$2:$S$2000),
IF(_xlpm.res="","",_xlpm.res)
),
""
)</f>
        <v>46161.25</v>
      </c>
      <c r="P28" s="6" cm="1">
        <f t="array" ref="P28">IFERROR(
_xlfn.LET(
_xlpm.res,_xlfn.XLOOKUP(B28,'LOCALIZAÇÃO DE CARGA'!$A$2:$A$702,'LOCALIZAÇÃO DE CARGA'!$T$2:$T$702),
IF(_xlpm.res="","",_xlpm.res)
),
""
)</f>
        <v>46158.584027777775</v>
      </c>
      <c r="Q28" s="5" t="str">
        <f>IFERROR(
IF(
_xlfn.XLOOKUP(
B28,
'LOCALIZAÇÃO DE CARGA'!$A$2:$A$702,
'LOCALIZAÇÃO DE CARGA'!$K$2:$K$702
)="",
"",
_xlfn.XLOOKUP(
B28,
'LOCALIZAÇÃO DE CARGA'!$A$2:$A$702,
'LOCALIZAÇÃO DE CARGA'!$K$2:$K$702
)
),
""
)</f>
        <v>LOJAS COLOMBO S/A COM UTILIDADES DOMESTICAS - 81350240</v>
      </c>
      <c r="R28" s="5" t="str">
        <f t="shared" si="2"/>
        <v>LOJAS COLOMBO S/A COM UTILIDADES DOMESTICAS</v>
      </c>
      <c r="S28" s="5" t="str" cm="1">
        <f t="array" ref="S28">IF(B28="","",IFERROR(
INDEX(
'VISÃO LOGISTICA'!$L$2:$L$525,
MATCH(
TRUE,
ISNUMBER(FIND(B28,'VISÃO LOGISTICA'!$A$2:$A$525)),
0
)
),
""
))</f>
        <v>JACUPIRANGA/SP/BRASIL</v>
      </c>
      <c r="T28" s="5" t="str">
        <f>IFERROR(
_xlfn.LET(
_xlpm.res,_xlfn.XLOOKUP(B28,'LOCALIZAÇÃO DE CARGA'!$A$2:$A$702,'LOCALIZAÇÃO DE CARGA'!$R$2:$R$702),
IF(_xlpm.res="","",_xlpm.res)
),
""
)</f>
        <v>CURITIBA/PR/BRASIL</v>
      </c>
    </row>
    <row r="29" spans="1:20" ht="18" customHeight="1">
      <c r="A29" s="14">
        <f t="shared" si="0"/>
        <v>46160</v>
      </c>
      <c r="B29" s="5">
        <v>6021676</v>
      </c>
      <c r="C29" s="45" t="str">
        <f t="shared" ca="1" si="1"/>
        <v>OK - NO PRAZO</v>
      </c>
      <c r="D29" s="28"/>
      <c r="E29" s="28" t="str">
        <f>IFERROR(
IF(
_xlfn.XLOOKUP(
B29,
'LOCALIZAÇÃO DE CARGA'!$A$2:$A$702,
'LOCALIZAÇÃO DE CARGA'!$D$2:$D$702
)="",
"",
_xlfn.XLOOKUP(
B29,
'LOCALIZAÇÃO DE CARGA'!$A$2:$A$702,
'LOCALIZAÇÃO DE CARGA'!$D$2:$D$702
)
),
""
)</f>
        <v/>
      </c>
      <c r="F29" s="13" t="str">
        <f>IFERROR(
IF(
_xlfn.XLOOKUP(
B29,
'LOCALIZAÇÃO DE CARGA'!$A$2:$A$702,
'LOCALIZAÇÃO DE CARGA'!$H$2:$H$702
)="",
"",
_xlfn.XLOOKUP(
B29,
'LOCALIZAÇÃO DE CARGA'!$A$2:$A$702,
'LOCALIZAÇÃO DE CARGA'!$H$2:$H$702
)
),
""
)</f>
        <v>NIKA</v>
      </c>
      <c r="G29" s="5" t="str">
        <f>IFERROR(
IF(
_xlfn.XLOOKUP(
B29,
'LOCALIZAÇÃO DE CARGA'!$A$2:$A$702,
'LOCALIZAÇÃO DE CARGA'!$I$2:$I$702
)="",
"",
_xlfn.XLOOKUP(
B29,
'LOCALIZAÇÃO DE CARGA'!$A$2:$A$702,
'LOCALIZAÇÃO DE CARGA'!$I$2:$I$702
)
),
""
)</f>
        <v>LGCAJ</v>
      </c>
      <c r="H29" s="5" t="str">
        <f>IFERROR(
IF(
_xlfn.XLOOKUP(
B29,
'LOCALIZAÇÃO DE CARGA'!$A$2:$A$702,
'LOCALIZAÇÃO DE CARGA'!$F$2:$F$702
)="",
"",
_xlfn.XLOOKUP(
B29,
'LOCALIZAÇÃO DE CARGA'!$A$2:$A$702,
'LOCALIZAÇÃO DE CARGA'!$F$2:$F$702
)
),
""
)</f>
        <v>Não iniciado</v>
      </c>
      <c r="I29" s="13" t="str" cm="1">
        <f t="array" ref="I29">IFERROR(
IF(
INDEX(
'VISÃO LOGISTICA'!$C$2:$C$525,
MATCH(
TRUE,
ISNUMBER(FIND(B29,'VISÃO LOGISTICA'!$A$2:$A$525)),
0
)
)="Em espera",
"",
INDEX(
'VISÃO LOGISTICA'!$C$2:$C$525,
MATCH(
TRUE,
ISNUMBER(FIND(B29,'VISÃO LOGISTICA'!$A$2:$A$525)),
0
)
)
),
""
)</f>
        <v/>
      </c>
      <c r="J29" s="5" t="str" cm="1">
        <f t="array" ref="J29">IFERROR(
IF(
OR(
INDEX(
'VISÃO LOGISTICA'!$C$2:$C$2000,
MATCH(
TRUE,
ISNUMBER(FIND(B29,'VISÃO LOGISTICA'!$A$2:$A$2000)),
0
)
)="Em espera",
INDEX(
'VISÃO LOGISTICA'!$C$2:$C$2000,
MATCH(
TRUE,
ISNUMBER(FIND(B29,'VISÃO LOGISTICA'!$A$2:$A$2000)),
0
)
)=""
),
"",
INDEX(
'VISÃO LOGISTICA'!$D$2:$D$2000,
MATCH(
TRUE,
ISNUMBER(FIND(B29,'VISÃO LOGISTICA'!$A$2:$A$2000)),
0
)
)
),
""
)</f>
        <v/>
      </c>
      <c r="K29" s="10">
        <f>IFERROR(
IF(
_xlfn.XLOOKUP(
B29,
'LOCALIZAÇÃO DE CARGA'!$A$2:$A$702,
'LOCALIZAÇÃO DE CARGA'!$E$2:$E$702)="",
"",
_xlfn.XLOOKUP(
B29,
'LOCALIZAÇÃO DE CARGA'!$A$2:$A$702,
'LOCALIZAÇÃO DE CARGA'!$E$2:$E$702)
),
""
)</f>
        <v>681458.1</v>
      </c>
      <c r="L29" s="20" cm="1">
        <f t="array" ref="L29">IFERROR(
_xlfn.LET(
_xlpm.res,_xlfn.XLOOKUP(B29,'LOCALIZAÇÃO DE CARGA'!$A$2:$A$2000,'LOCALIZAÇÃO DE CARGA'!$G$2:$G$2000),
IF(_xlpm.res="","",_xlpm.res)
),
""
)</f>
        <v>46160.783333333333</v>
      </c>
      <c r="M29" s="20" cm="1">
        <f t="array" ref="M29">IFERROR(
_xlfn.LET(
_xlpm.load,_xlfn.XLOOKUP(B29,'LOCALIZAÇÃO DE CARGA'!$A$2:$A$2000,'LOCALIZAÇÃO DE CARGA'!$A$2:$A$2000),
_xlpm.res,_xlfn.XLOOKUP(_xlpm.load,DOCUMENTOS!$A$2:$A$2000,DOCUMENTOS!$D$2:$D$2000),
IF(_xlpm.res="","",_xlpm.res)
),
""
)</f>
        <v>46160.666666666664</v>
      </c>
      <c r="N29" s="6">
        <f>IFERROR(IF(M29="","",M29-TIME(1,0,0)),"")</f>
        <v>46160.625</v>
      </c>
      <c r="O29" s="6" cm="1">
        <f t="array" ref="O29">IFERROR(
_xlfn.LET(
_xlpm.res,_xlfn.XLOOKUP(B29,'LOCALIZAÇÃO DE CARGA'!$A$2:$A$2000,'LOCALIZAÇÃO DE CARGA'!$S$2:$S$2000),
IF(_xlpm.res="","",_xlpm.res)
),
""
)</f>
        <v>46161.25</v>
      </c>
      <c r="P29" s="6" t="str" cm="1">
        <f t="array" ref="P29">IFERROR(
_xlfn.LET(
_xlpm.res,_xlfn.XLOOKUP(B29,'LOCALIZAÇÃO DE CARGA'!$A$2:$A$702,'LOCALIZAÇÃO DE CARGA'!$T$2:$T$702),
IF(_xlpm.res="","",_xlpm.res)
),
""
)</f>
        <v/>
      </c>
      <c r="Q29" s="5" t="str">
        <f>IFERROR(
IF(
_xlfn.XLOOKUP(
B29,
'LOCALIZAÇÃO DE CARGA'!$A$2:$A$702,
'LOCALIZAÇÃO DE CARGA'!$K$2:$K$702
)="",
"",
_xlfn.XLOOKUP(
B29,
'LOCALIZAÇÃO DE CARGA'!$A$2:$A$702,
'LOCALIZAÇÃO DE CARGA'!$K$2:$K$702
)
),
""
)</f>
        <v>GRUPO CASAS BAHIA S.A(CD1401) - 25255030</v>
      </c>
      <c r="R29" s="5" t="str">
        <f t="shared" si="2"/>
        <v>GRUPO CASAS BAHIA S.A</v>
      </c>
      <c r="S29" s="5" t="str" cm="1">
        <f t="array" ref="S29">IF(B29="","",IFERROR(
INDEX(
'VISÃO LOGISTICA'!$L$2:$L$525,
MATCH(
TRUE,
ISNUMBER(FIND(B29,'VISÃO LOGISTICA'!$A$2:$A$525)),
0
)
),
""
))</f>
        <v/>
      </c>
      <c r="T29" s="5" t="str">
        <f>IFERROR(
_xlfn.LET(
_xlpm.res,_xlfn.XLOOKUP(B29,'LOCALIZAÇÃO DE CARGA'!$A$2:$A$702,'LOCALIZAÇÃO DE CARGA'!$R$2:$R$702),
IF(_xlpm.res="","",_xlpm.res)
),
""
)</f>
        <v>DUQUE DE CAXIAS/RJ/BRASIL</v>
      </c>
    </row>
    <row r="30" spans="1:20" ht="18" customHeight="1">
      <c r="A30" s="14">
        <f t="shared" si="0"/>
        <v>46160</v>
      </c>
      <c r="B30" s="5">
        <v>6023024</v>
      </c>
      <c r="C30" s="45" t="str">
        <f t="shared" ca="1" si="1"/>
        <v>OK - NO PRAZO</v>
      </c>
      <c r="D30" s="28"/>
      <c r="E30" s="28" t="str">
        <f>IFERROR(
IF(
_xlfn.XLOOKUP(
B30,
'LOCALIZAÇÃO DE CARGA'!$A$2:$A$702,
'LOCALIZAÇÃO DE CARGA'!$D$2:$D$702
)="",
"",
_xlfn.XLOOKUP(
B30,
'LOCALIZAÇÃO DE CARGA'!$A$2:$A$702,
'LOCALIZAÇÃO DE CARGA'!$D$2:$D$702
)
),
""
)</f>
        <v/>
      </c>
      <c r="F30" s="13" t="str">
        <f>IFERROR(
IF(
_xlfn.XLOOKUP(
B30,
'LOCALIZAÇÃO DE CARGA'!$A$2:$A$702,
'LOCALIZAÇÃO DE CARGA'!$H$2:$H$702
)="",
"",
_xlfn.XLOOKUP(
B30,
'LOCALIZAÇÃO DE CARGA'!$A$2:$A$702,
'LOCALIZAÇÃO DE CARGA'!$H$2:$H$702
)
),
""
)</f>
        <v>RODOBRAS TR</v>
      </c>
      <c r="G30" s="5" t="str">
        <f>IFERROR(
IF(
_xlfn.XLOOKUP(
B30,
'LOCALIZAÇÃO DE CARGA'!$A$2:$A$702,
'LOCALIZAÇÃO DE CARGA'!$I$2:$I$702
)="",
"",
_xlfn.XLOOKUP(
B30,
'LOCALIZAÇÃO DE CARGA'!$A$2:$A$702,
'LOCALIZAÇÃO DE CARGA'!$I$2:$I$702
)
),
""
)</f>
        <v>LGSCT</v>
      </c>
      <c r="H30" s="5" t="str">
        <f>IFERROR(
IF(
_xlfn.XLOOKUP(
B30,
'LOCALIZAÇÃO DE CARGA'!$A$2:$A$702,
'LOCALIZAÇÃO DE CARGA'!$F$2:$F$702
)="",
"",
_xlfn.XLOOKUP(
B30,
'LOCALIZAÇÃO DE CARGA'!$A$2:$A$702,
'LOCALIZAÇÃO DE CARGA'!$F$2:$F$702
)
),
""
)</f>
        <v>Não iniciado</v>
      </c>
      <c r="I30" s="13" t="str" cm="1">
        <f t="array" ref="I30">IFERROR(
IF(
INDEX(
'VISÃO LOGISTICA'!$C$2:$C$525,
MATCH(
TRUE,
ISNUMBER(FIND(B30,'VISÃO LOGISTICA'!$A$2:$A$525)),
0
)
)="Em espera",
"",
INDEX(
'VISÃO LOGISTICA'!$C$2:$C$525,
MATCH(
TRUE,
ISNUMBER(FIND(B30,'VISÃO LOGISTICA'!$A$2:$A$525)),
0
)
)
),
""
)</f>
        <v/>
      </c>
      <c r="J30" s="5" t="str" cm="1">
        <f t="array" ref="J30">IFERROR(
IF(
OR(
INDEX(
'VISÃO LOGISTICA'!$C$2:$C$2000,
MATCH(
TRUE,
ISNUMBER(FIND(B30,'VISÃO LOGISTICA'!$A$2:$A$2000)),
0
)
)="Em espera",
INDEX(
'VISÃO LOGISTICA'!$C$2:$C$2000,
MATCH(
TRUE,
ISNUMBER(FIND(B30,'VISÃO LOGISTICA'!$A$2:$A$2000)),
0
)
)=""
),
"",
INDEX(
'VISÃO LOGISTICA'!$D$2:$D$2000,
MATCH(
TRUE,
ISNUMBER(FIND(B30,'VISÃO LOGISTICA'!$A$2:$A$2000)),
0
)
)
),
""
)</f>
        <v/>
      </c>
      <c r="K30" s="10">
        <f>IFERROR(
IF(
_xlfn.XLOOKUP(
B30,
'LOCALIZAÇÃO DE CARGA'!$A$2:$A$702,
'LOCALIZAÇÃO DE CARGA'!$E$2:$E$702)="",
"",
_xlfn.XLOOKUP(
B30,
'LOCALIZAÇÃO DE CARGA'!$A$2:$A$702,
'LOCALIZAÇÃO DE CARGA'!$E$2:$E$702)
),
""
)</f>
        <v>638710.6</v>
      </c>
      <c r="L30" s="20" cm="1">
        <f t="array" ref="L30">IFERROR(
_xlfn.LET(
_xlpm.res,_xlfn.XLOOKUP(B30,'LOCALIZAÇÃO DE CARGA'!$A$2:$A$2000,'LOCALIZAÇÃO DE CARGA'!$G$2:$G$2000),
IF(_xlpm.res="","",_xlpm.res)
),
""
)</f>
        <v>46161.826388888891</v>
      </c>
      <c r="M30" s="20" cm="1">
        <f t="array" ref="M30">IFERROR(
_xlfn.LET(
_xlpm.load,_xlfn.XLOOKUP(B30,'LOCALIZAÇÃO DE CARGA'!$A$2:$A$2000,'LOCALIZAÇÃO DE CARGA'!$A$2:$A$2000),
_xlpm.res,_xlfn.XLOOKUP(_xlpm.load,DOCUMENTOS!$A$2:$A$2000,DOCUMENTOS!$D$2:$D$2000),
IF(_xlpm.res="","",_xlpm.res)
),
""
)</f>
        <v>46160.458333333336</v>
      </c>
      <c r="N30" s="6">
        <f>IFERROR(IF(M30="","",M30-TIME(1,0,0)),"")</f>
        <v>46160.416666666672</v>
      </c>
      <c r="O30" s="6" cm="1">
        <f t="array" ref="O30">IFERROR(
_xlfn.LET(
_xlpm.res,_xlfn.XLOOKUP(B30,'LOCALIZAÇÃO DE CARGA'!$A$2:$A$2000,'LOCALIZAÇÃO DE CARGA'!$S$2:$S$2000),
IF(_xlpm.res="","",_xlpm.res)
),
""
)</f>
        <v>46162.25</v>
      </c>
      <c r="P30" s="6" t="str" cm="1">
        <f t="array" ref="P30">IFERROR(
_xlfn.LET(
_xlpm.res,_xlfn.XLOOKUP(B30,'LOCALIZAÇÃO DE CARGA'!$A$2:$A$702,'LOCALIZAÇÃO DE CARGA'!$T$2:$T$702),
IF(_xlpm.res="","",_xlpm.res)
),
""
)</f>
        <v/>
      </c>
      <c r="Q30" s="5" t="str">
        <f>IFERROR(
IF(
_xlfn.XLOOKUP(
B30,
'LOCALIZAÇÃO DE CARGA'!$A$2:$A$702,
'LOCALIZAÇÃO DE CARGA'!$K$2:$K$702
)="",
"",
_xlfn.XLOOKUP(
B30,
'LOCALIZAÇÃO DE CARGA'!$A$2:$A$702,
'LOCALIZAÇÃO DE CARGA'!$K$2:$K$702
)
),
""
)</f>
        <v>GRUPO CASAS BAHIA S.A(CD1200) - 13203850</v>
      </c>
      <c r="R30" s="5" t="str">
        <f t="shared" si="2"/>
        <v>GRUPO CASAS BAHIA S.A</v>
      </c>
      <c r="S30" s="5" t="str" cm="1">
        <f t="array" ref="S30">IF(B30="","",IFERROR(
INDEX(
'VISÃO LOGISTICA'!$L$2:$L$525,
MATCH(
TRUE,
ISNUMBER(FIND(B30,'VISÃO LOGISTICA'!$A$2:$A$525)),
0
)
),
""
))</f>
        <v/>
      </c>
      <c r="T30" s="5" t="str">
        <f>IFERROR(
_xlfn.LET(
_xlpm.res,_xlfn.XLOOKUP(B30,'LOCALIZAÇÃO DE CARGA'!$A$2:$A$702,'LOCALIZAÇÃO DE CARGA'!$R$2:$R$702),
IF(_xlpm.res="","",_xlpm.res)
),
""
)</f>
        <v>JUNDIAI/SP/BRASIL</v>
      </c>
    </row>
    <row r="31" spans="1:20" ht="18" customHeight="1">
      <c r="A31" s="14">
        <f t="shared" si="0"/>
        <v>46160</v>
      </c>
      <c r="B31" s="5">
        <v>6022338</v>
      </c>
      <c r="C31" s="45" t="str">
        <f t="shared" ca="1" si="1"/>
        <v>OK - NO PRAZO</v>
      </c>
      <c r="D31" s="28"/>
      <c r="E31" s="28" t="str">
        <f>IFERROR(
IF(
_xlfn.XLOOKUP(
B31,
'LOCALIZAÇÃO DE CARGA'!$A$2:$A$702,
'LOCALIZAÇÃO DE CARGA'!$D$2:$D$702
)="",
"",
_xlfn.XLOOKUP(
B31,
'LOCALIZAÇÃO DE CARGA'!$A$2:$A$702,
'LOCALIZAÇÃO DE CARGA'!$D$2:$D$702
)
),
""
)</f>
        <v/>
      </c>
      <c r="F31" s="13" t="str">
        <f>IFERROR(
IF(
_xlfn.XLOOKUP(
B31,
'LOCALIZAÇÃO DE CARGA'!$A$2:$A$702,
'LOCALIZAÇÃO DE CARGA'!$H$2:$H$702
)="",
"",
_xlfn.XLOOKUP(
B31,
'LOCALIZAÇÃO DE CARGA'!$A$2:$A$702,
'LOCALIZAÇÃO DE CARGA'!$H$2:$H$702
)
),
""
)</f>
        <v>MINAS SUL</v>
      </c>
      <c r="G31" s="5" t="str">
        <f>IFERROR(
IF(
_xlfn.XLOOKUP(
B31,
'LOCALIZAÇÃO DE CARGA'!$A$2:$A$702,
'LOCALIZAÇÃO DE CARGA'!$I$2:$I$702
)="",
"",
_xlfn.XLOOKUP(
B31,
'LOCALIZAÇÃO DE CARGA'!$A$2:$A$702,
'LOCALIZAÇÃO DE CARGA'!$I$2:$I$702
)
),
""
)</f>
        <v>LGCAJ</v>
      </c>
      <c r="H31" s="5" t="str">
        <f>IFERROR(
IF(
_xlfn.XLOOKUP(
B31,
'LOCALIZAÇÃO DE CARGA'!$A$2:$A$702,
'LOCALIZAÇÃO DE CARGA'!$F$2:$F$702
)="",
"",
_xlfn.XLOOKUP(
B31,
'LOCALIZAÇÃO DE CARGA'!$A$2:$A$702,
'LOCALIZAÇÃO DE CARGA'!$F$2:$F$702
)
),
""
)</f>
        <v>Não iniciado</v>
      </c>
      <c r="I31" s="13" t="str" cm="1">
        <f t="array" ref="I31">IFERROR(
IF(
INDEX(
'VISÃO LOGISTICA'!$C$2:$C$525,
MATCH(
TRUE,
ISNUMBER(FIND(B31,'VISÃO LOGISTICA'!$A$2:$A$525)),
0
)
)="Em espera",
"",
INDEX(
'VISÃO LOGISTICA'!$C$2:$C$525,
MATCH(
TRUE,
ISNUMBER(FIND(B31,'VISÃO LOGISTICA'!$A$2:$A$525)),
0
)
)
),
""
)</f>
        <v/>
      </c>
      <c r="J31" s="5" t="str" cm="1">
        <f t="array" ref="J31">IFERROR(
IF(
OR(
INDEX(
'VISÃO LOGISTICA'!$C$2:$C$2000,
MATCH(
TRUE,
ISNUMBER(FIND(B31,'VISÃO LOGISTICA'!$A$2:$A$2000)),
0
)
)="Em espera",
INDEX(
'VISÃO LOGISTICA'!$C$2:$C$2000,
MATCH(
TRUE,
ISNUMBER(FIND(B31,'VISÃO LOGISTICA'!$A$2:$A$2000)),
0
)
)=""
),
"",
INDEX(
'VISÃO LOGISTICA'!$D$2:$D$2000,
MATCH(
TRUE,
ISNUMBER(FIND(B31,'VISÃO LOGISTICA'!$A$2:$A$2000)),
0
)
)
),
""
)</f>
        <v/>
      </c>
      <c r="K31" s="10">
        <f>IFERROR(
IF(
_xlfn.XLOOKUP(
B31,
'LOCALIZAÇÃO DE CARGA'!$A$2:$A$702,
'LOCALIZAÇÃO DE CARGA'!$E$2:$E$702)="",
"",
_xlfn.XLOOKUP(
B31,
'LOCALIZAÇÃO DE CARGA'!$A$2:$A$702,
'LOCALIZAÇÃO DE CARGA'!$E$2:$E$702)
),
""
)</f>
        <v>632785</v>
      </c>
      <c r="L31" s="20" cm="1">
        <f t="array" ref="L31">IFERROR(
_xlfn.LET(
_xlpm.res,_xlfn.XLOOKUP(B31,'LOCALIZAÇÃO DE CARGA'!$A$2:$A$2000,'LOCALIZAÇÃO DE CARGA'!$G$2:$G$2000),
IF(_xlpm.res="","",_xlpm.res)
),
""
)</f>
        <v>46161.118055555555</v>
      </c>
      <c r="M31" s="20" cm="1">
        <f t="array" ref="M31">IFERROR(
_xlfn.LET(
_xlpm.load,_xlfn.XLOOKUP(B31,'LOCALIZAÇÃO DE CARGA'!$A$2:$A$2000,'LOCALIZAÇÃO DE CARGA'!$A$2:$A$2000),
_xlpm.res,_xlfn.XLOOKUP(_xlpm.load,DOCUMENTOS!$A$2:$A$2000,DOCUMENTOS!$D$2:$D$2000),
IF(_xlpm.res="","",_xlpm.res)
),
""
)</f>
        <v>46160.75</v>
      </c>
      <c r="N31" s="6">
        <f>IFERROR(IF(M31="","",M31-TIME(1,0,0)),"")</f>
        <v>46160.708333333336</v>
      </c>
      <c r="O31" s="6" cm="1">
        <f t="array" ref="O31">IFERROR(
_xlfn.LET(
_xlpm.res,_xlfn.XLOOKUP(B31,'LOCALIZAÇÃO DE CARGA'!$A$2:$A$2000,'LOCALIZAÇÃO DE CARGA'!$S$2:$S$2000),
IF(_xlpm.res="","",_xlpm.res)
),
""
)</f>
        <v>46162.333333333336</v>
      </c>
      <c r="P31" s="6" t="str" cm="1">
        <f t="array" ref="P31">IFERROR(
_xlfn.LET(
_xlpm.res,_xlfn.XLOOKUP(B31,'LOCALIZAÇÃO DE CARGA'!$A$2:$A$702,'LOCALIZAÇÃO DE CARGA'!$T$2:$T$702),
IF(_xlpm.res="","",_xlpm.res)
),
""
)</f>
        <v/>
      </c>
      <c r="Q31" s="5" t="str">
        <f>IFERROR(
IF(
_xlfn.XLOOKUP(
B31,
'LOCALIZAÇÃO DE CARGA'!$A$2:$A$702,
'LOCALIZAÇÃO DE CARGA'!$K$2:$K$702
)="",
"",
_xlfn.XLOOKUP(
B31,
'LOCALIZAÇÃO DE CARGA'!$A$2:$A$702,
'LOCALIZAÇÃO DE CARGA'!$K$2:$K$702
)
),
""
)</f>
        <v>CARREFOUR- DF - 72501100</v>
      </c>
      <c r="R31" s="5" t="str">
        <f t="shared" si="2"/>
        <v>CARREFOUR- DF</v>
      </c>
      <c r="S31" s="5" t="str" cm="1">
        <f t="array" ref="S31">IF(B31="","",IFERROR(
INDEX(
'VISÃO LOGISTICA'!$L$2:$L$525,
MATCH(
TRUE,
ISNUMBER(FIND(B31,'VISÃO LOGISTICA'!$A$2:$A$525)),
0
)
),
""
))</f>
        <v/>
      </c>
      <c r="T31" s="5" t="str">
        <f>IFERROR(
_xlfn.LET(
_xlpm.res,_xlfn.XLOOKUP(B31,'LOCALIZAÇÃO DE CARGA'!$A$2:$A$702,'LOCALIZAÇÃO DE CARGA'!$R$2:$R$702),
IF(_xlpm.res="","",_xlpm.res)
),
""
)</f>
        <v>BRASILIA/DF/BRASIL</v>
      </c>
    </row>
    <row r="32" spans="1:20" ht="18" customHeight="1">
      <c r="A32" s="14">
        <f t="shared" si="0"/>
        <v>46157</v>
      </c>
      <c r="B32" s="5">
        <v>6011813</v>
      </c>
      <c r="C32" s="45" t="str">
        <f t="shared" ca="1" si="1"/>
        <v>ATRASADO CARREGAMENTO - SEM SMP</v>
      </c>
      <c r="D32" s="28"/>
      <c r="E32" s="28" t="str">
        <f>IFERROR(
IF(
_xlfn.XLOOKUP(
B32,
'LOCALIZAÇÃO DE CARGA'!$A$2:$A$702,
'LOCALIZAÇÃO DE CARGA'!$D$2:$D$702
)="",
"",
_xlfn.XLOOKUP(
B32,
'LOCALIZAÇÃO DE CARGA'!$A$2:$A$702,
'LOCALIZAÇÃO DE CARGA'!$D$2:$D$702
)
),
""
)</f>
        <v>Atrasado</v>
      </c>
      <c r="F32" s="13" t="str">
        <f>IFERROR(
IF(
_xlfn.XLOOKUP(
B32,
'LOCALIZAÇÃO DE CARGA'!$A$2:$A$702,
'LOCALIZAÇÃO DE CARGA'!$H$2:$H$702
)="",
"",
_xlfn.XLOOKUP(
B32,
'LOCALIZAÇÃO DE CARGA'!$A$2:$A$702,
'LOCALIZAÇÃO DE CARGA'!$H$2:$H$702
)
),
""
)</f>
        <v>WSC</v>
      </c>
      <c r="G32" s="5" t="str">
        <f>IFERROR(
IF(
_xlfn.XLOOKUP(
B32,
'LOCALIZAÇÃO DE CARGA'!$A$2:$A$702,
'LOCALIZAÇÃO DE CARGA'!$I$2:$I$702
)="",
"",
_xlfn.XLOOKUP(
B32,
'LOCALIZAÇÃO DE CARGA'!$A$2:$A$702,
'LOCALIZAÇÃO DE CARGA'!$I$2:$I$702
)
),
""
)</f>
        <v>LGCAJ</v>
      </c>
      <c r="H32" s="5" t="str">
        <f>IFERROR(
IF(
_xlfn.XLOOKUP(
B32,
'LOCALIZAÇÃO DE CARGA'!$A$2:$A$702,
'LOCALIZAÇÃO DE CARGA'!$F$2:$F$702
)="",
"",
_xlfn.XLOOKUP(
B32,
'LOCALIZAÇÃO DE CARGA'!$A$2:$A$702,
'LOCALIZAÇÃO DE CARGA'!$F$2:$F$702
)
),
""
)</f>
        <v>Não iniciado</v>
      </c>
      <c r="I32" s="13" t="str" cm="1">
        <f t="array" ref="I32">IFERROR(
IF(
INDEX(
'VISÃO LOGISTICA'!$C$2:$C$525,
MATCH(
TRUE,
ISNUMBER(FIND(B32,'VISÃO LOGISTICA'!$A$2:$A$525)),
0
)
)="Em espera",
"",
INDEX(
'VISÃO LOGISTICA'!$C$2:$C$525,
MATCH(
TRUE,
ISNUMBER(FIND(B32,'VISÃO LOGISTICA'!$A$2:$A$525)),
0
)
)
),
""
)</f>
        <v/>
      </c>
      <c r="J32" s="5" t="str" cm="1">
        <f t="array" ref="J32">IFERROR(
IF(
OR(
INDEX(
'VISÃO LOGISTICA'!$C$2:$C$2000,
MATCH(
TRUE,
ISNUMBER(FIND(B32,'VISÃO LOGISTICA'!$A$2:$A$2000)),
0
)
)="Em espera",
INDEX(
'VISÃO LOGISTICA'!$C$2:$C$2000,
MATCH(
TRUE,
ISNUMBER(FIND(B32,'VISÃO LOGISTICA'!$A$2:$A$2000)),
0
)
)=""
),
"",
INDEX(
'VISÃO LOGISTICA'!$D$2:$D$2000,
MATCH(
TRUE,
ISNUMBER(FIND(B32,'VISÃO LOGISTICA'!$A$2:$A$2000)),
0
)
)
),
""
)</f>
        <v/>
      </c>
      <c r="K32" s="10">
        <f>IFERROR(
IF(
_xlfn.XLOOKUP(
B32,
'LOCALIZAÇÃO DE CARGA'!$A$2:$A$702,
'LOCALIZAÇÃO DE CARGA'!$E$2:$E$702)="",
"",
_xlfn.XLOOKUP(
B32,
'LOCALIZAÇÃO DE CARGA'!$A$2:$A$702,
'LOCALIZAÇÃO DE CARGA'!$E$2:$E$702)
),
""
)</f>
        <v>574919.31999999995</v>
      </c>
      <c r="L32" s="20" cm="1">
        <f t="array" ref="L32">IFERROR(
_xlfn.LET(
_xlpm.res,_xlfn.XLOOKUP(B32,'LOCALIZAÇÃO DE CARGA'!$A$2:$A$2000,'LOCALIZAÇÃO DE CARGA'!$G$2:$G$2000),
IF(_xlpm.res="","",_xlpm.res)
),
""
)</f>
        <v>46159.654861111114</v>
      </c>
      <c r="M32" s="20" cm="1">
        <f t="array" ref="M32">IFERROR(
_xlfn.LET(
_xlpm.load,_xlfn.XLOOKUP(B32,'LOCALIZAÇÃO DE CARGA'!$A$2:$A$2000,'LOCALIZAÇÃO DE CARGA'!$A$2:$A$2000),
_xlpm.res,_xlfn.XLOOKUP(_xlpm.load,DOCUMENTOS!$A$2:$A$2000,DOCUMENTOS!$D$2:$D$2000),
IF(_xlpm.res="","",_xlpm.res)
),
""
)</f>
        <v>46157.833333333336</v>
      </c>
      <c r="N32" s="6">
        <f>IFERROR(IF(M32="","",M32-TIME(1,0,0)),"")</f>
        <v>46157.791666666672</v>
      </c>
      <c r="O32" s="6" cm="1">
        <f t="array" ref="O32">IFERROR(
_xlfn.LET(
_xlpm.res,_xlfn.XLOOKUP(B32,'LOCALIZAÇÃO DE CARGA'!$A$2:$A$2000,'LOCALIZAÇÃO DE CARGA'!$S$2:$S$2000),
IF(_xlpm.res="","",_xlpm.res)
),
""
)</f>
        <v>46163.25</v>
      </c>
      <c r="P32" s="6" t="str" cm="1">
        <f t="array" ref="P32">IFERROR(
_xlfn.LET(
_xlpm.res,_xlfn.XLOOKUP(B32,'LOCALIZAÇÃO DE CARGA'!$A$2:$A$702,'LOCALIZAÇÃO DE CARGA'!$T$2:$T$702),
IF(_xlpm.res="","",_xlpm.res)
),
""
)</f>
        <v/>
      </c>
      <c r="Q32" s="5" t="str">
        <f>IFERROR(
IF(
_xlfn.XLOOKUP(
B32,
'LOCALIZAÇÃO DE CARGA'!$A$2:$A$702,
'LOCALIZAÇÃO DE CARGA'!$K$2:$K$702
)="",
"",
_xlfn.XLOOKUP(
B32,
'LOCALIZAÇÃO DE CARGA'!$A$2:$A$702,
'LOCALIZAÇÃO DE CARGA'!$K$2:$K$702
)
),
""
)</f>
        <v>FERREIRA COSTA &amp; CIA LTDA - 58320000</v>
      </c>
      <c r="R32" s="5" t="str">
        <f t="shared" si="2"/>
        <v>FERREIRA COSTA &amp; CIA LTDA</v>
      </c>
      <c r="S32" s="5" t="str" cm="1">
        <f t="array" ref="S32">IF(B32="","",IFERROR(
INDEX(
'VISÃO LOGISTICA'!$L$2:$L$525,
MATCH(
TRUE,
ISNUMBER(FIND(B32,'VISÃO LOGISTICA'!$A$2:$A$525)),
0
)
),
""
))</f>
        <v/>
      </c>
      <c r="T32" s="5" t="str">
        <f>IFERROR(
_xlfn.LET(
_xlpm.res,_xlfn.XLOOKUP(B32,'LOCALIZAÇÃO DE CARGA'!$A$2:$A$702,'LOCALIZAÇÃO DE CARGA'!$R$2:$R$702),
IF(_xlpm.res="","",_xlpm.res)
),
""
)</f>
        <v>ALHANDRA/PB/BRASIL</v>
      </c>
    </row>
    <row r="33" spans="1:20" ht="18" customHeight="1">
      <c r="A33" s="14">
        <f t="shared" si="0"/>
        <v>46157</v>
      </c>
      <c r="B33" s="5">
        <v>6023445</v>
      </c>
      <c r="C33" s="45" t="str">
        <f t="shared" ca="1" si="1"/>
        <v>EM VIAGEM</v>
      </c>
      <c r="D33" s="28"/>
      <c r="E33" s="28" t="str">
        <f>IFERROR(
IF(
_xlfn.XLOOKUP(
B33,
'LOCALIZAÇÃO DE CARGA'!$A$2:$A$702,
'LOCALIZAÇÃO DE CARGA'!$D$2:$D$702
)="",
"",
_xlfn.XLOOKUP(
B33,
'LOCALIZAÇÃO DE CARGA'!$A$2:$A$702,
'LOCALIZAÇÃO DE CARGA'!$D$2:$D$702
)
),
""
)</f>
        <v/>
      </c>
      <c r="F33" s="13" t="str">
        <f>IFERROR(
IF(
_xlfn.XLOOKUP(
B33,
'LOCALIZAÇÃO DE CARGA'!$A$2:$A$702,
'LOCALIZAÇÃO DE CARGA'!$H$2:$H$702
)="",
"",
_xlfn.XLOOKUP(
B33,
'LOCALIZAÇÃO DE CARGA'!$A$2:$A$702,
'LOCALIZAÇÃO DE CARGA'!$H$2:$H$702
)
),
""
)</f>
        <v>RODOBRAS TR</v>
      </c>
      <c r="G33" s="5" t="str">
        <f>IFERROR(
IF(
_xlfn.XLOOKUP(
B33,
'LOCALIZAÇÃO DE CARGA'!$A$2:$A$702,
'LOCALIZAÇÃO DE CARGA'!$I$2:$I$702
)="",
"",
_xlfn.XLOOKUP(
B33,
'LOCALIZAÇÃO DE CARGA'!$A$2:$A$702,
'LOCALIZAÇÃO DE CARGA'!$I$2:$I$702
)
),
""
)</f>
        <v>LGSCT</v>
      </c>
      <c r="H33" s="5" t="str">
        <f>IFERROR(
IF(
_xlfn.XLOOKUP(
B33,
'LOCALIZAÇÃO DE CARGA'!$A$2:$A$702,
'LOCALIZAÇÃO DE CARGA'!$F$2:$F$702
)="",
"",
_xlfn.XLOOKUP(
B33,
'LOCALIZAÇÃO DE CARGA'!$A$2:$A$702,
'LOCALIZAÇÃO DE CARGA'!$F$2:$F$702
)
),
""
)</f>
        <v>Andamento</v>
      </c>
      <c r="I33" s="13" t="str" cm="1">
        <f t="array" ref="I33">IFERROR(
IF(
INDEX(
'VISÃO LOGISTICA'!$C$2:$C$525,
MATCH(
TRUE,
ISNUMBER(FIND(B33,'VISÃO LOGISTICA'!$A$2:$A$525)),
0
)
)="Em espera",
"",
INDEX(
'VISÃO LOGISTICA'!$C$2:$C$525,
MATCH(
TRUE,
ISNUMBER(FIND(B33,'VISÃO LOGISTICA'!$A$2:$A$525)),
0
)
)
),
""
)</f>
        <v>Em Viagem</v>
      </c>
      <c r="J33" s="5" t="str" cm="1">
        <f t="array" ref="J33">IFERROR(
IF(
OR(
INDEX(
'VISÃO LOGISTICA'!$C$2:$C$2000,
MATCH(
TRUE,
ISNUMBER(FIND(B33,'VISÃO LOGISTICA'!$A$2:$A$2000)),
0
)
)="Em espera",
INDEX(
'VISÃO LOGISTICA'!$C$2:$C$2000,
MATCH(
TRUE,
ISNUMBER(FIND(B33,'VISÃO LOGISTICA'!$A$2:$A$2000)),
0
)
)=""
),
"",
INDEX(
'VISÃO LOGISTICA'!$D$2:$D$2000,
MATCH(
TRUE,
ISNUMBER(FIND(B33,'VISÃO LOGISTICA'!$A$2:$A$2000)),
0
)
)
),
""
)</f>
        <v>EFU2E26</v>
      </c>
      <c r="K33" s="10">
        <f>IFERROR(
IF(
_xlfn.XLOOKUP(
B33,
'LOCALIZAÇÃO DE CARGA'!$A$2:$A$702,
'LOCALIZAÇÃO DE CARGA'!$E$2:$E$702)="",
"",
_xlfn.XLOOKUP(
B33,
'LOCALIZAÇÃO DE CARGA'!$A$2:$A$702,
'LOCALIZAÇÃO DE CARGA'!$E$2:$E$702)
),
""
)</f>
        <v>573679.12</v>
      </c>
      <c r="L33" s="20" cm="1">
        <f t="array" ref="L33">IFERROR(
_xlfn.LET(
_xlpm.res,_xlfn.XLOOKUP(B33,'LOCALIZAÇÃO DE CARGA'!$A$2:$A$2000,'LOCALIZAÇÃO DE CARGA'!$G$2:$G$2000),
IF(_xlpm.res="","",_xlpm.res)
),
""
)</f>
        <v>46162.515972222223</v>
      </c>
      <c r="M33" s="20" cm="1">
        <f t="array" ref="M33">IFERROR(
_xlfn.LET(
_xlpm.load,_xlfn.XLOOKUP(B33,'LOCALIZAÇÃO DE CARGA'!$A$2:$A$2000,'LOCALIZAÇÃO DE CARGA'!$A$2:$A$2000),
_xlpm.res,_xlfn.XLOOKUP(_xlpm.load,DOCUMENTOS!$A$2:$A$2000,DOCUMENTOS!$D$2:$D$2000),
IF(_xlpm.res="","",_xlpm.res)
),
""
)</f>
        <v>46157.645833333336</v>
      </c>
      <c r="N33" s="6">
        <f>IFERROR(IF(M33="","",M33-TIME(1,0,0)),"")</f>
        <v>46157.604166666672</v>
      </c>
      <c r="O33" s="6" cm="1">
        <f t="array" ref="O33">IFERROR(
_xlfn.LET(
_xlpm.res,_xlfn.XLOOKUP(B33,'LOCALIZAÇÃO DE CARGA'!$A$2:$A$2000,'LOCALIZAÇÃO DE CARGA'!$S$2:$S$2000),
IF(_xlpm.res="","",_xlpm.res)
),
""
)</f>
        <v>46162.958333333336</v>
      </c>
      <c r="P33" s="6" cm="1">
        <f t="array" ref="P33">IFERROR(
_xlfn.LET(
_xlpm.res,_xlfn.XLOOKUP(B33,'LOCALIZAÇÃO DE CARGA'!$A$2:$A$702,'LOCALIZAÇÃO DE CARGA'!$T$2:$T$702),
IF(_xlpm.res="","",_xlpm.res)
),
""
)</f>
        <v>46158.489583333336</v>
      </c>
      <c r="Q33" s="5" t="str">
        <f>IFERROR(
IF(
_xlfn.XLOOKUP(
B33,
'LOCALIZAÇÃO DE CARGA'!$A$2:$A$702,
'LOCALIZAÇÃO DE CARGA'!$K$2:$K$702
)="",
"",
_xlfn.XLOOKUP(
B33,
'LOCALIZAÇÃO DE CARGA'!$A$2:$A$702,
'LOCALIZAÇÃO DE CARGA'!$K$2:$K$702
)
),
""
)</f>
        <v>PENSKE LOGISTICS DO BRASIL LTDA. - 07775240</v>
      </c>
      <c r="R33" s="5" t="str">
        <f t="shared" si="2"/>
        <v>PENSKE LOGISTICS DO BRASIL LTDA.</v>
      </c>
      <c r="S33" s="5" t="str" cm="1">
        <f t="array" ref="S33">IF(B33="","",IFERROR(
INDEX(
'VISÃO LOGISTICA'!$L$2:$L$525,
MATCH(
TRUE,
ISNUMBER(FIND(B33,'VISÃO LOGISTICA'!$A$2:$A$525)),
0
)
),
""
))</f>
        <v>RODOANEL MARIO COVAS, EMBU DAS ARTES/SP/BRASIL (0,04 Km)</v>
      </c>
      <c r="T33" s="5" t="str">
        <f>IFERROR(
_xlfn.LET(
_xlpm.res,_xlfn.XLOOKUP(B33,'LOCALIZAÇÃO DE CARGA'!$A$2:$A$702,'LOCALIZAÇÃO DE CARGA'!$R$2:$R$702),
IF(_xlpm.res="","",_xlpm.res)
),
""
)</f>
        <v>CAJAMAR/SP/BRASIL</v>
      </c>
    </row>
    <row r="34" spans="1:20" ht="18" customHeight="1">
      <c r="A34" s="14">
        <f t="shared" si="0"/>
        <v>46160</v>
      </c>
      <c r="B34" s="5">
        <v>6023023</v>
      </c>
      <c r="C34" s="45" t="str">
        <f t="shared" ca="1" si="1"/>
        <v>OK - NO PRAZO</v>
      </c>
      <c r="D34" s="28"/>
      <c r="E34" s="28" t="str">
        <f>IFERROR(
IF(
_xlfn.XLOOKUP(
B34,
'LOCALIZAÇÃO DE CARGA'!$A$2:$A$702,
'LOCALIZAÇÃO DE CARGA'!$D$2:$D$702
)="",
"",
_xlfn.XLOOKUP(
B34,
'LOCALIZAÇÃO DE CARGA'!$A$2:$A$702,
'LOCALIZAÇÃO DE CARGA'!$D$2:$D$702
)
),
""
)</f>
        <v/>
      </c>
      <c r="F34" s="13" t="str">
        <f>IFERROR(
IF(
_xlfn.XLOOKUP(
B34,
'LOCALIZAÇÃO DE CARGA'!$A$2:$A$702,
'LOCALIZAÇÃO DE CARGA'!$H$2:$H$702
)="",
"",
_xlfn.XLOOKUP(
B34,
'LOCALIZAÇÃO DE CARGA'!$A$2:$A$702,
'LOCALIZAÇÃO DE CARGA'!$H$2:$H$702
)
),
""
)</f>
        <v>RODOBRAS TR</v>
      </c>
      <c r="G34" s="5" t="str">
        <f>IFERROR(
IF(
_xlfn.XLOOKUP(
B34,
'LOCALIZAÇÃO DE CARGA'!$A$2:$A$702,
'LOCALIZAÇÃO DE CARGA'!$I$2:$I$702
)="",
"",
_xlfn.XLOOKUP(
B34,
'LOCALIZAÇÃO DE CARGA'!$A$2:$A$702,
'LOCALIZAÇÃO DE CARGA'!$I$2:$I$702
)
),
""
)</f>
        <v>LGSCT</v>
      </c>
      <c r="H34" s="5" t="str">
        <f>IFERROR(
IF(
_xlfn.XLOOKUP(
B34,
'LOCALIZAÇÃO DE CARGA'!$A$2:$A$702,
'LOCALIZAÇÃO DE CARGA'!$F$2:$F$702
)="",
"",
_xlfn.XLOOKUP(
B34,
'LOCALIZAÇÃO DE CARGA'!$A$2:$A$702,
'LOCALIZAÇÃO DE CARGA'!$F$2:$F$702
)
),
""
)</f>
        <v>Não iniciado</v>
      </c>
      <c r="I34" s="13" t="str" cm="1">
        <f t="array" ref="I34">IFERROR(
IF(
INDEX(
'VISÃO LOGISTICA'!$C$2:$C$525,
MATCH(
TRUE,
ISNUMBER(FIND(B34,'VISÃO LOGISTICA'!$A$2:$A$525)),
0
)
)="Em espera",
"",
INDEX(
'VISÃO LOGISTICA'!$C$2:$C$525,
MATCH(
TRUE,
ISNUMBER(FIND(B34,'VISÃO LOGISTICA'!$A$2:$A$525)),
0
)
)
),
""
)</f>
        <v/>
      </c>
      <c r="J34" s="5" t="str" cm="1">
        <f t="array" ref="J34">IFERROR(
IF(
OR(
INDEX(
'VISÃO LOGISTICA'!$C$2:$C$2000,
MATCH(
TRUE,
ISNUMBER(FIND(B34,'VISÃO LOGISTICA'!$A$2:$A$2000)),
0
)
)="Em espera",
INDEX(
'VISÃO LOGISTICA'!$C$2:$C$2000,
MATCH(
TRUE,
ISNUMBER(FIND(B34,'VISÃO LOGISTICA'!$A$2:$A$2000)),
0
)
)=""
),
"",
INDEX(
'VISÃO LOGISTICA'!$D$2:$D$2000,
MATCH(
TRUE,
ISNUMBER(FIND(B34,'VISÃO LOGISTICA'!$A$2:$A$2000)),
0
)
)
),
""
)</f>
        <v/>
      </c>
      <c r="K34" s="10">
        <f>IFERROR(
IF(
_xlfn.XLOOKUP(
B34,
'LOCALIZAÇÃO DE CARGA'!$A$2:$A$702,
'LOCALIZAÇÃO DE CARGA'!$E$2:$E$702)="",
"",
_xlfn.XLOOKUP(
B34,
'LOCALIZAÇÃO DE CARGA'!$A$2:$A$702,
'LOCALIZAÇÃO DE CARGA'!$E$2:$E$702)
),
""
)</f>
        <v>566371.80000000005</v>
      </c>
      <c r="L34" s="20" cm="1">
        <f t="array" ref="L34">IFERROR(
_xlfn.LET(
_xlpm.res,_xlfn.XLOOKUP(B34,'LOCALIZAÇÃO DE CARGA'!$A$2:$A$2000,'LOCALIZAÇÃO DE CARGA'!$G$2:$G$2000),
IF(_xlpm.res="","",_xlpm.res)
),
""
)</f>
        <v>46161.826388888891</v>
      </c>
      <c r="M34" s="20" cm="1">
        <f t="array" ref="M34">IFERROR(
_xlfn.LET(
_xlpm.load,_xlfn.XLOOKUP(B34,'LOCALIZAÇÃO DE CARGA'!$A$2:$A$2000,'LOCALIZAÇÃO DE CARGA'!$A$2:$A$2000),
_xlpm.res,_xlfn.XLOOKUP(_xlpm.load,DOCUMENTOS!$A$2:$A$2000,DOCUMENTOS!$D$2:$D$2000),
IF(_xlpm.res="","",_xlpm.res)
),
""
)</f>
        <v>46160.5</v>
      </c>
      <c r="N34" s="6">
        <f>IFERROR(IF(M34="","",M34-TIME(1,0,0)),"")</f>
        <v>46160.458333333336</v>
      </c>
      <c r="O34" s="6" cm="1">
        <f t="array" ref="O34">IFERROR(
_xlfn.LET(
_xlpm.res,_xlfn.XLOOKUP(B34,'LOCALIZAÇÃO DE CARGA'!$A$2:$A$2000,'LOCALIZAÇÃO DE CARGA'!$S$2:$S$2000),
IF(_xlpm.res="","",_xlpm.res)
),
""
)</f>
        <v>46162.25</v>
      </c>
      <c r="P34" s="6" t="str" cm="1">
        <f t="array" ref="P34">IFERROR(
_xlfn.LET(
_xlpm.res,_xlfn.XLOOKUP(B34,'LOCALIZAÇÃO DE CARGA'!$A$2:$A$702,'LOCALIZAÇÃO DE CARGA'!$T$2:$T$702),
IF(_xlpm.res="","",_xlpm.res)
),
""
)</f>
        <v/>
      </c>
      <c r="Q34" s="5" t="str">
        <f>IFERROR(
IF(
_xlfn.XLOOKUP(
B34,
'LOCALIZAÇÃO DE CARGA'!$A$2:$A$702,
'LOCALIZAÇÃO DE CARGA'!$K$2:$K$702
)="",
"",
_xlfn.XLOOKUP(
B34,
'LOCALIZAÇÃO DE CARGA'!$A$2:$A$702,
'LOCALIZAÇÃO DE CARGA'!$K$2:$K$702
)
),
""
)</f>
        <v>GRUPO CASAS BAHIA S.A(CD1200) - 13203850</v>
      </c>
      <c r="R34" s="5" t="str">
        <f t="shared" si="2"/>
        <v>GRUPO CASAS BAHIA S.A</v>
      </c>
      <c r="S34" s="5" t="str" cm="1">
        <f t="array" ref="S34">IF(B34="","",IFERROR(
INDEX(
'VISÃO LOGISTICA'!$L$2:$L$525,
MATCH(
TRUE,
ISNUMBER(FIND(B34,'VISÃO LOGISTICA'!$A$2:$A$525)),
0
)
),
""
))</f>
        <v/>
      </c>
      <c r="T34" s="5" t="str">
        <f>IFERROR(
_xlfn.LET(
_xlpm.res,_xlfn.XLOOKUP(B34,'LOCALIZAÇÃO DE CARGA'!$A$2:$A$702,'LOCALIZAÇÃO DE CARGA'!$R$2:$R$702),
IF(_xlpm.res="","",_xlpm.res)
),
""
)</f>
        <v>JUNDIAI/SP/BRASIL</v>
      </c>
    </row>
    <row r="35" spans="1:20" ht="18" customHeight="1">
      <c r="A35" s="14">
        <f t="shared" si="0"/>
        <v>46157</v>
      </c>
      <c r="B35" s="5">
        <v>6021539</v>
      </c>
      <c r="C35" s="45" t="str">
        <f t="shared" ca="1" si="1"/>
        <v>EM VIAGEM</v>
      </c>
      <c r="D35" s="28"/>
      <c r="E35" s="28" t="str">
        <f>IFERROR(
IF(
_xlfn.XLOOKUP(
B35,
'LOCALIZAÇÃO DE CARGA'!$A$2:$A$702,
'LOCALIZAÇÃO DE CARGA'!$D$2:$D$702
)="",
"",
_xlfn.XLOOKUP(
B35,
'LOCALIZAÇÃO DE CARGA'!$A$2:$A$702,
'LOCALIZAÇÃO DE CARGA'!$D$2:$D$702
)
),
""
)</f>
        <v>Saida do WH</v>
      </c>
      <c r="F35" s="13" t="str">
        <f>IFERROR(
IF(
_xlfn.XLOOKUP(
B35,
'LOCALIZAÇÃO DE CARGA'!$A$2:$A$702,
'LOCALIZAÇÃO DE CARGA'!$H$2:$H$702
)="",
"",
_xlfn.XLOOKUP(
B35,
'LOCALIZAÇÃO DE CARGA'!$A$2:$A$702,
'LOCALIZAÇÃO DE CARGA'!$H$2:$H$702
)
),
""
)</f>
        <v>TRANSBOCAYUV</v>
      </c>
      <c r="G35" s="5" t="str">
        <f>IFERROR(
IF(
_xlfn.XLOOKUP(
B35,
'LOCALIZAÇÃO DE CARGA'!$A$2:$A$702,
'LOCALIZAÇÃO DE CARGA'!$I$2:$I$702
)="",
"",
_xlfn.XLOOKUP(
B35,
'LOCALIZAÇÃO DE CARGA'!$A$2:$A$702,
'LOCALIZAÇÃO DE CARGA'!$I$2:$I$702
)
),
""
)</f>
        <v>LGCAJ</v>
      </c>
      <c r="H35" s="5" t="str">
        <f>IFERROR(
IF(
_xlfn.XLOOKUP(
B35,
'LOCALIZAÇÃO DE CARGA'!$A$2:$A$702,
'LOCALIZAÇÃO DE CARGA'!$F$2:$F$702
)="",
"",
_xlfn.XLOOKUP(
B35,
'LOCALIZAÇÃO DE CARGA'!$A$2:$A$702,
'LOCALIZAÇÃO DE CARGA'!$F$2:$F$702
)
),
""
)</f>
        <v>Andamento</v>
      </c>
      <c r="I35" s="13" t="str" cm="1">
        <f t="array" ref="I35">IFERROR(
IF(
INDEX(
'VISÃO LOGISTICA'!$C$2:$C$525,
MATCH(
TRUE,
ISNUMBER(FIND(B35,'VISÃO LOGISTICA'!$A$2:$A$525)),
0
)
)="Em espera",
"",
INDEX(
'VISÃO LOGISTICA'!$C$2:$C$525,
MATCH(
TRUE,
ISNUMBER(FIND(B35,'VISÃO LOGISTICA'!$A$2:$A$525)),
0
)
)
),
""
)</f>
        <v>Em Viagem</v>
      </c>
      <c r="J35" s="5" t="str" cm="1">
        <f t="array" ref="J35">IFERROR(
IF(
OR(
INDEX(
'VISÃO LOGISTICA'!$C$2:$C$2000,
MATCH(
TRUE,
ISNUMBER(FIND(B35,'VISÃO LOGISTICA'!$A$2:$A$2000)),
0
)
)="Em espera",
INDEX(
'VISÃO LOGISTICA'!$C$2:$C$2000,
MATCH(
TRUE,
ISNUMBER(FIND(B35,'VISÃO LOGISTICA'!$A$2:$A$2000)),
0
)
)=""
),
"",
INDEX(
'VISÃO LOGISTICA'!$D$2:$D$2000,
MATCH(
TRUE,
ISNUMBER(FIND(B35,'VISÃO LOGISTICA'!$A$2:$A$2000)),
0
)
)
),
""
)</f>
        <v>SFR1A52</v>
      </c>
      <c r="K35" s="10">
        <f>IFERROR(
IF(
_xlfn.XLOOKUP(
B35,
'LOCALIZAÇÃO DE CARGA'!$A$2:$A$702,
'LOCALIZAÇÃO DE CARGA'!$E$2:$E$702)="",
"",
_xlfn.XLOOKUP(
B35,
'LOCALIZAÇÃO DE CARGA'!$A$2:$A$702,
'LOCALIZAÇÃO DE CARGA'!$E$2:$E$702)
),
""
)</f>
        <v>554640.56999999995</v>
      </c>
      <c r="L35" s="20" cm="1">
        <f t="array" ref="L35">IFERROR(
_xlfn.LET(
_xlpm.res,_xlfn.XLOOKUP(B35,'LOCALIZAÇÃO DE CARGA'!$A$2:$A$2000,'LOCALIZAÇÃO DE CARGA'!$G$2:$G$2000),
IF(_xlpm.res="","",_xlpm.res)
),
""
)</f>
        <v>46159.238194444442</v>
      </c>
      <c r="M35" s="20" cm="1">
        <f t="array" ref="M35">IFERROR(
_xlfn.LET(
_xlpm.load,_xlfn.XLOOKUP(B35,'LOCALIZAÇÃO DE CARGA'!$A$2:$A$2000,'LOCALIZAÇÃO DE CARGA'!$A$2:$A$2000),
_xlpm.res,_xlfn.XLOOKUP(_xlpm.load,DOCUMENTOS!$A$2:$A$2000,DOCUMENTOS!$D$2:$D$2000),
IF(_xlpm.res="","",_xlpm.res)
),
""
)</f>
        <v>46157.333333333336</v>
      </c>
      <c r="N35" s="6">
        <f>IFERROR(IF(M35="","",M35-TIME(1,0,0)),"")</f>
        <v>46157.291666666672</v>
      </c>
      <c r="O35" s="6" cm="1">
        <f t="array" ref="O35">IFERROR(
_xlfn.LET(
_xlpm.res,_xlfn.XLOOKUP(B35,'LOCALIZAÇÃO DE CARGA'!$A$2:$A$2000,'LOCALIZAÇÃO DE CARGA'!$S$2:$S$2000),
IF(_xlpm.res="","",_xlpm.res)
),
""
)</f>
        <v>46160.291666666664</v>
      </c>
      <c r="P35" s="6" cm="1">
        <f t="array" ref="P35">IFERROR(
_xlfn.LET(
_xlpm.res,_xlfn.XLOOKUP(B35,'LOCALIZAÇÃO DE CARGA'!$A$2:$A$702,'LOCALIZAÇÃO DE CARGA'!$T$2:$T$702),
IF(_xlpm.res="","",_xlpm.res)
),
""
)</f>
        <v>46158.584027777775</v>
      </c>
      <c r="Q35" s="5" t="str">
        <f>IFERROR(
IF(
_xlfn.XLOOKUP(
B35,
'LOCALIZAÇÃO DE CARGA'!$A$2:$A$702,
'LOCALIZAÇÃO DE CARGA'!$K$2:$K$702
)="",
"",
_xlfn.XLOOKUP(
B35,
'LOCALIZAÇÃO DE CARGA'!$A$2:$A$702,
'LOCALIZAÇÃO DE CARGA'!$K$2:$K$702
)
),
""
)</f>
        <v>AGIS EQUIPAMENTOS E SERVICOS DE INFORMATICA LTDA. - 29169832</v>
      </c>
      <c r="R35" s="5" t="str">
        <f t="shared" si="2"/>
        <v>AGIS EQUIPAMENTOS E SERVICOS DE INFORMATICA LTDA.</v>
      </c>
      <c r="S35" s="5" t="str" cm="1">
        <f t="array" ref="S35">IF(B35="","",IFERROR(
INDEX(
'VISÃO LOGISTICA'!$L$2:$L$525,
MATCH(
TRUE,
ISNUMBER(FIND(B35,'VISÃO LOGISTICA'!$A$2:$A$525)),
0
)
),
""
))</f>
        <v>ALAMEDA ARABE, CAMPOS DOS GOYTACAZES/RJ/BRASIL (28,52 Km)</v>
      </c>
      <c r="T35" s="5" t="str">
        <f>IFERROR(
_xlfn.LET(
_xlpm.res,_xlfn.XLOOKUP(B35,'LOCALIZAÇÃO DE CARGA'!$A$2:$A$702,'LOCALIZAÇÃO DE CARGA'!$R$2:$R$702),
IF(_xlpm.res="","",_xlpm.res)
),
""
)</f>
        <v>SERRA/ES/BRASIL</v>
      </c>
    </row>
    <row r="36" spans="1:20" ht="18" customHeight="1">
      <c r="A36" s="14">
        <f t="shared" si="0"/>
        <v>46157</v>
      </c>
      <c r="B36" s="5">
        <v>6023015</v>
      </c>
      <c r="C36" s="45" t="str">
        <f t="shared" ca="1" si="1"/>
        <v>NA CLIF - COM SMP - AGUARDANDO SAÍDA</v>
      </c>
      <c r="D36" s="28"/>
      <c r="E36" s="28" t="str">
        <f>IFERROR(
IF(
_xlfn.XLOOKUP(
B36,
'LOCALIZAÇÃO DE CARGA'!$A$2:$A$702,
'LOCALIZAÇÃO DE CARGA'!$D$2:$D$702
)="",
"",
_xlfn.XLOOKUP(
B36,
'LOCALIZAÇÃO DE CARGA'!$A$2:$A$702,
'LOCALIZAÇÃO DE CARGA'!$D$2:$D$702
)
),
""
)</f>
        <v/>
      </c>
      <c r="F36" s="13" t="str">
        <f>IFERROR(
IF(
_xlfn.XLOOKUP(
B36,
'LOCALIZAÇÃO DE CARGA'!$A$2:$A$702,
'LOCALIZAÇÃO DE CARGA'!$H$2:$H$702
)="",
"",
_xlfn.XLOOKUP(
B36,
'LOCALIZAÇÃO DE CARGA'!$A$2:$A$702,
'LOCALIZAÇÃO DE CARGA'!$H$2:$H$702
)
),
""
)</f>
        <v>RODOBRAS TR</v>
      </c>
      <c r="G36" s="5" t="str">
        <f>IFERROR(
IF(
_xlfn.XLOOKUP(
B36,
'LOCALIZAÇÃO DE CARGA'!$A$2:$A$702,
'LOCALIZAÇÃO DE CARGA'!$I$2:$I$702
)="",
"",
_xlfn.XLOOKUP(
B36,
'LOCALIZAÇÃO DE CARGA'!$A$2:$A$702,
'LOCALIZAÇÃO DE CARGA'!$I$2:$I$702
)
),
""
)</f>
        <v>LGSCT</v>
      </c>
      <c r="H36" s="5" t="str">
        <f>IFERROR(
IF(
_xlfn.XLOOKUP(
B36,
'LOCALIZAÇÃO DE CARGA'!$A$2:$A$702,
'LOCALIZAÇÃO DE CARGA'!$F$2:$F$702
)="",
"",
_xlfn.XLOOKUP(
B36,
'LOCALIZAÇÃO DE CARGA'!$A$2:$A$702,
'LOCALIZAÇÃO DE CARGA'!$F$2:$F$702
)
),
""
)</f>
        <v>Andamento</v>
      </c>
      <c r="I36" s="13" t="str" cm="1">
        <f t="array" ref="I36">IFERROR(
IF(
INDEX(
'VISÃO LOGISTICA'!$C$2:$C$525,
MATCH(
TRUE,
ISNUMBER(FIND(B36,'VISÃO LOGISTICA'!$A$2:$A$525)),
0
)
)="Em espera",
"",
INDEX(
'VISÃO LOGISTICA'!$C$2:$C$525,
MATCH(
TRUE,
ISNUMBER(FIND(B36,'VISÃO LOGISTICA'!$A$2:$A$525)),
0
)
)
),
""
)</f>
        <v>Em Viagem</v>
      </c>
      <c r="J36" s="5" t="str" cm="1">
        <f t="array" ref="J36">IFERROR(
IF(
OR(
INDEX(
'VISÃO LOGISTICA'!$C$2:$C$2000,
MATCH(
TRUE,
ISNUMBER(FIND(B36,'VISÃO LOGISTICA'!$A$2:$A$2000)),
0
)
)="Em espera",
INDEX(
'VISÃO LOGISTICA'!$C$2:$C$2000,
MATCH(
TRUE,
ISNUMBER(FIND(B36,'VISÃO LOGISTICA'!$A$2:$A$2000)),
0
)
)=""
),
"",
INDEX(
'VISÃO LOGISTICA'!$D$2:$D$2000,
MATCH(
TRUE,
ISNUMBER(FIND(B36,'VISÃO LOGISTICA'!$A$2:$A$2000)),
0
)
)
),
""
)</f>
        <v>TBJ7E66</v>
      </c>
      <c r="K36" s="10">
        <f>IFERROR(
IF(
_xlfn.XLOOKUP(
B36,
'LOCALIZAÇÃO DE CARGA'!$A$2:$A$702,
'LOCALIZAÇÃO DE CARGA'!$E$2:$E$702)="",
"",
_xlfn.XLOOKUP(
B36,
'LOCALIZAÇÃO DE CARGA'!$A$2:$A$702,
'LOCALIZAÇÃO DE CARGA'!$E$2:$E$702)
),
""
)</f>
        <v>553601.42000000004</v>
      </c>
      <c r="L36" s="20" cm="1">
        <f t="array" ref="L36">IFERROR(
_xlfn.LET(
_xlpm.res,_xlfn.XLOOKUP(B36,'LOCALIZAÇÃO DE CARGA'!$A$2:$A$2000,'LOCALIZAÇÃO DE CARGA'!$G$2:$G$2000),
IF(_xlpm.res="","",_xlpm.res)
),
""
)</f>
        <v>46157.625</v>
      </c>
      <c r="M36" s="20" cm="1">
        <f t="array" ref="M36">IFERROR(
_xlfn.LET(
_xlpm.load,_xlfn.XLOOKUP(B36,'LOCALIZAÇÃO DE CARGA'!$A$2:$A$2000,'LOCALIZAÇÃO DE CARGA'!$A$2:$A$2000),
_xlpm.res,_xlfn.XLOOKUP(_xlpm.load,DOCUMENTOS!$A$2:$A$2000,DOCUMENTOS!$D$2:$D$2000),
IF(_xlpm.res="","",_xlpm.res)
),
""
)</f>
        <v>46157.625</v>
      </c>
      <c r="N36" s="6">
        <f>IFERROR(IF(M36="","",M36-TIME(1,0,0)),"")</f>
        <v>46157.583333333336</v>
      </c>
      <c r="O36" s="6" cm="1">
        <f t="array" ref="O36">IFERROR(
_xlfn.LET(
_xlpm.res,_xlfn.XLOOKUP(B36,'LOCALIZAÇÃO DE CARGA'!$A$2:$A$2000,'LOCALIZAÇÃO DE CARGA'!$S$2:$S$2000),
IF(_xlpm.res="","",_xlpm.res)
),
""
)</f>
        <v>46161.958333333336</v>
      </c>
      <c r="P36" s="6" cm="1">
        <f t="array" ref="P36">IFERROR(
_xlfn.LET(
_xlpm.res,_xlfn.XLOOKUP(B36,'LOCALIZAÇÃO DE CARGA'!$A$2:$A$702,'LOCALIZAÇÃO DE CARGA'!$T$2:$T$702),
IF(_xlpm.res="","",_xlpm.res)
),
""
)</f>
        <v>46158.888194444444</v>
      </c>
      <c r="Q36" s="5" t="str">
        <f>IFERROR(
IF(
_xlfn.XLOOKUP(
B36,
'LOCALIZAÇÃO DE CARGA'!$A$2:$A$702,
'LOCALIZAÇÃO DE CARGA'!$K$2:$K$702
)="",
"",
_xlfn.XLOOKUP(
B36,
'LOCALIZAÇÃO DE CARGA'!$A$2:$A$702,
'LOCALIZAÇÃO DE CARGA'!$K$2:$K$702
)
),
""
)</f>
        <v>GRUPO CASAS BAHIA S.A(CD1500) - 09790400</v>
      </c>
      <c r="R36" s="5" t="str">
        <f t="shared" si="2"/>
        <v>GRUPO CASAS BAHIA S.A</v>
      </c>
      <c r="S36" s="5" t="str" cm="1">
        <f t="array" ref="S36">IF(B36="","",IFERROR(
INDEX(
'VISÃO LOGISTICA'!$L$2:$L$525,
MATCH(
TRUE,
ISNUMBER(FIND(B36,'VISÃO LOGISTICA'!$A$2:$A$525)),
0
)
),
""
))</f>
        <v>ITAPOA/SC/BRASIL</v>
      </c>
      <c r="T36" s="5" t="str">
        <f>IFERROR(
_xlfn.LET(
_xlpm.res,_xlfn.XLOOKUP(B36,'LOCALIZAÇÃO DE CARGA'!$A$2:$A$702,'LOCALIZAÇÃO DE CARGA'!$R$2:$R$702),
IF(_xlpm.res="","",_xlpm.res)
),
""
)</f>
        <v>SAO BERNARDO DO CAMPO/SP/BRASIL</v>
      </c>
    </row>
    <row r="37" spans="1:20" ht="18" customHeight="1">
      <c r="A37" s="14">
        <f t="shared" si="0"/>
        <v>46157</v>
      </c>
      <c r="B37" s="5">
        <v>6023020</v>
      </c>
      <c r="C37" s="45" t="str">
        <f t="shared" ca="1" si="1"/>
        <v>EM VIAGEM</v>
      </c>
      <c r="D37" s="28"/>
      <c r="E37" s="28" t="str">
        <f>IFERROR(
IF(
_xlfn.XLOOKUP(
B37,
'LOCALIZAÇÃO DE CARGA'!$A$2:$A$702,
'LOCALIZAÇÃO DE CARGA'!$D$2:$D$702
)="",
"",
_xlfn.XLOOKUP(
B37,
'LOCALIZAÇÃO DE CARGA'!$A$2:$A$702,
'LOCALIZAÇÃO DE CARGA'!$D$2:$D$702
)
),
""
)</f>
        <v/>
      </c>
      <c r="F37" s="13" t="str">
        <f>IFERROR(
IF(
_xlfn.XLOOKUP(
B37,
'LOCALIZAÇÃO DE CARGA'!$A$2:$A$702,
'LOCALIZAÇÃO DE CARGA'!$H$2:$H$702
)="",
"",
_xlfn.XLOOKUP(
B37,
'LOCALIZAÇÃO DE CARGA'!$A$2:$A$702,
'LOCALIZAÇÃO DE CARGA'!$H$2:$H$702
)
),
""
)</f>
        <v>RODOBRAS TR</v>
      </c>
      <c r="G37" s="5" t="str">
        <f>IFERROR(
IF(
_xlfn.XLOOKUP(
B37,
'LOCALIZAÇÃO DE CARGA'!$A$2:$A$702,
'LOCALIZAÇÃO DE CARGA'!$I$2:$I$702
)="",
"",
_xlfn.XLOOKUP(
B37,
'LOCALIZAÇÃO DE CARGA'!$A$2:$A$702,
'LOCALIZAÇÃO DE CARGA'!$I$2:$I$702
)
),
""
)</f>
        <v>LGSCT</v>
      </c>
      <c r="H37" s="5" t="str">
        <f>IFERROR(
IF(
_xlfn.XLOOKUP(
B37,
'LOCALIZAÇÃO DE CARGA'!$A$2:$A$702,
'LOCALIZAÇÃO DE CARGA'!$F$2:$F$702
)="",
"",
_xlfn.XLOOKUP(
B37,
'LOCALIZAÇÃO DE CARGA'!$A$2:$A$702,
'LOCALIZAÇÃO DE CARGA'!$F$2:$F$702
)
),
""
)</f>
        <v>Andamento</v>
      </c>
      <c r="I37" s="13" t="str" cm="1">
        <f t="array" ref="I37">IFERROR(
IF(
INDEX(
'VISÃO LOGISTICA'!$C$2:$C$525,
MATCH(
TRUE,
ISNUMBER(FIND(B37,'VISÃO LOGISTICA'!$A$2:$A$525)),
0
)
)="Em espera",
"",
INDEX(
'VISÃO LOGISTICA'!$C$2:$C$525,
MATCH(
TRUE,
ISNUMBER(FIND(B37,'VISÃO LOGISTICA'!$A$2:$A$525)),
0
)
)
),
""
)</f>
        <v>Em Viagem</v>
      </c>
      <c r="J37" s="5" t="str" cm="1">
        <f t="array" ref="J37">IFERROR(
IF(
OR(
INDEX(
'VISÃO LOGISTICA'!$C$2:$C$2000,
MATCH(
TRUE,
ISNUMBER(FIND(B37,'VISÃO LOGISTICA'!$A$2:$A$2000)),
0
)
)="Em espera",
INDEX(
'VISÃO LOGISTICA'!$C$2:$C$2000,
MATCH(
TRUE,
ISNUMBER(FIND(B37,'VISÃO LOGISTICA'!$A$2:$A$2000)),
0
)
)=""
),
"",
INDEX(
'VISÃO LOGISTICA'!$D$2:$D$2000,
MATCH(
TRUE,
ISNUMBER(FIND(B37,'VISÃO LOGISTICA'!$A$2:$A$2000)),
0
)
)
),
""
)</f>
        <v>EEU9G69</v>
      </c>
      <c r="K37" s="10">
        <f>IFERROR(
IF(
_xlfn.XLOOKUP(
B37,
'LOCALIZAÇÃO DE CARGA'!$A$2:$A$702,
'LOCALIZAÇÃO DE CARGA'!$E$2:$E$702)="",
"",
_xlfn.XLOOKUP(
B37,
'LOCALIZAÇÃO DE CARGA'!$A$2:$A$702,
'LOCALIZAÇÃO DE CARGA'!$E$2:$E$702)
),
""
)</f>
        <v>553601.31999999995</v>
      </c>
      <c r="L37" s="20" cm="1">
        <f t="array" ref="L37">IFERROR(
_xlfn.LET(
_xlpm.res,_xlfn.XLOOKUP(B37,'LOCALIZAÇÃO DE CARGA'!$A$2:$A$2000,'LOCALIZAÇÃO DE CARGA'!$G$2:$G$2000),
IF(_xlpm.res="","",_xlpm.res)
),
""
)</f>
        <v>46157</v>
      </c>
      <c r="M37" s="20" cm="1">
        <f t="array" ref="M37">IFERROR(
_xlfn.LET(
_xlpm.load,_xlfn.XLOOKUP(B37,'LOCALIZAÇÃO DE CARGA'!$A$2:$A$2000,'LOCALIZAÇÃO DE CARGA'!$A$2:$A$2000),
_xlpm.res,_xlfn.XLOOKUP(_xlpm.load,DOCUMENTOS!$A$2:$A$2000,DOCUMENTOS!$D$2:$D$2000),
IF(_xlpm.res="","",_xlpm.res)
),
""
)</f>
        <v>46157.583333333336</v>
      </c>
      <c r="N37" s="6">
        <f>IFERROR(IF(M37="","",M37-TIME(1,0,0)),"")</f>
        <v>46157.541666666672</v>
      </c>
      <c r="O37" s="6" cm="1">
        <f t="array" ref="O37">IFERROR(
_xlfn.LET(
_xlpm.res,_xlfn.XLOOKUP(B37,'LOCALIZAÇÃO DE CARGA'!$A$2:$A$2000,'LOCALIZAÇÃO DE CARGA'!$S$2:$S$2000),
IF(_xlpm.res="","",_xlpm.res)
),
""
)</f>
        <v>46162.25</v>
      </c>
      <c r="P37" s="6" cm="1">
        <f t="array" ref="P37">IFERROR(
_xlfn.LET(
_xlpm.res,_xlfn.XLOOKUP(B37,'LOCALIZAÇÃO DE CARGA'!$A$2:$A$702,'LOCALIZAÇÃO DE CARGA'!$T$2:$T$702),
IF(_xlpm.res="","",_xlpm.res)
),
""
)</f>
        <v>46158.784722222219</v>
      </c>
      <c r="Q37" s="5" t="str">
        <f>IFERROR(
IF(
_xlfn.XLOOKUP(
B37,
'LOCALIZAÇÃO DE CARGA'!$A$2:$A$702,
'LOCALIZAÇÃO DE CARGA'!$K$2:$K$702
)="",
"",
_xlfn.XLOOKUP(
B37,
'LOCALIZAÇÃO DE CARGA'!$A$2:$A$702,
'LOCALIZAÇÃO DE CARGA'!$K$2:$K$702
)
),
""
)</f>
        <v>GRUPO CASAS BAHIA S.A(CD1200) - 13203850</v>
      </c>
      <c r="R37" s="5" t="str">
        <f t="shared" si="2"/>
        <v>GRUPO CASAS BAHIA S.A</v>
      </c>
      <c r="S37" s="5" t="str" cm="1">
        <f t="array" ref="S37">IF(B37="","",IFERROR(
INDEX(
'VISÃO LOGISTICA'!$L$2:$L$525,
MATCH(
TRUE,
ISNUMBER(FIND(B37,'VISÃO LOGISTICA'!$A$2:$A$525)),
0
)
),
""
))</f>
        <v>RUA IGNEZ DE SOUZA SOARES, CURITIBA/PR/BRASIL (0,18 Km)</v>
      </c>
      <c r="T37" s="5" t="str">
        <f>IFERROR(
_xlfn.LET(
_xlpm.res,_xlfn.XLOOKUP(B37,'LOCALIZAÇÃO DE CARGA'!$A$2:$A$702,'LOCALIZAÇÃO DE CARGA'!$R$2:$R$702),
IF(_xlpm.res="","",_xlpm.res)
),
""
)</f>
        <v>JUNDIAI/SP/BRASIL</v>
      </c>
    </row>
    <row r="38" spans="1:20" ht="18" customHeight="1">
      <c r="A38" s="14">
        <f t="shared" si="0"/>
        <v>46160</v>
      </c>
      <c r="B38" s="5">
        <v>6023168</v>
      </c>
      <c r="C38" s="45" t="str">
        <f t="shared" ca="1" si="1"/>
        <v>OK - NO PRAZO</v>
      </c>
      <c r="D38" s="28"/>
      <c r="E38" s="28" t="str">
        <f>IFERROR(
IF(
_xlfn.XLOOKUP(
B38,
'LOCALIZAÇÃO DE CARGA'!$A$2:$A$702,
'LOCALIZAÇÃO DE CARGA'!$D$2:$D$702
)="",
"",
_xlfn.XLOOKUP(
B38,
'LOCALIZAÇÃO DE CARGA'!$A$2:$A$702,
'LOCALIZAÇÃO DE CARGA'!$D$2:$D$702
)
),
""
)</f>
        <v/>
      </c>
      <c r="F38" s="13" t="str">
        <f>IFERROR(
IF(
_xlfn.XLOOKUP(
B38,
'LOCALIZAÇÃO DE CARGA'!$A$2:$A$702,
'LOCALIZAÇÃO DE CARGA'!$H$2:$H$702
)="",
"",
_xlfn.XLOOKUP(
B38,
'LOCALIZAÇÃO DE CARGA'!$A$2:$A$702,
'LOCALIZAÇÃO DE CARGA'!$H$2:$H$702
)
),
""
)</f>
        <v>JRX TRANSPOR</v>
      </c>
      <c r="G38" s="5" t="str">
        <f>IFERROR(
IF(
_xlfn.XLOOKUP(
B38,
'LOCALIZAÇÃO DE CARGA'!$A$2:$A$702,
'LOCALIZAÇÃO DE CARGA'!$I$2:$I$702
)="",
"",
_xlfn.XLOOKUP(
B38,
'LOCALIZAÇÃO DE CARGA'!$A$2:$A$702,
'LOCALIZAÇÃO DE CARGA'!$I$2:$I$702
)
),
""
)</f>
        <v>LGCAJ</v>
      </c>
      <c r="H38" s="5" t="str">
        <f>IFERROR(
IF(
_xlfn.XLOOKUP(
B38,
'LOCALIZAÇÃO DE CARGA'!$A$2:$A$702,
'LOCALIZAÇÃO DE CARGA'!$F$2:$F$702
)="",
"",
_xlfn.XLOOKUP(
B38,
'LOCALIZAÇÃO DE CARGA'!$A$2:$A$702,
'LOCALIZAÇÃO DE CARGA'!$F$2:$F$702
)
),
""
)</f>
        <v>Não iniciado</v>
      </c>
      <c r="I38" s="13" t="str" cm="1">
        <f t="array" ref="I38">IFERROR(
IF(
INDEX(
'VISÃO LOGISTICA'!$C$2:$C$525,
MATCH(
TRUE,
ISNUMBER(FIND(B38,'VISÃO LOGISTICA'!$A$2:$A$525)),
0
)
)="Em espera",
"",
INDEX(
'VISÃO LOGISTICA'!$C$2:$C$525,
MATCH(
TRUE,
ISNUMBER(FIND(B38,'VISÃO LOGISTICA'!$A$2:$A$525)),
0
)
)
),
""
)</f>
        <v/>
      </c>
      <c r="J38" s="5" t="str" cm="1">
        <f t="array" ref="J38">IFERROR(
IF(
OR(
INDEX(
'VISÃO LOGISTICA'!$C$2:$C$2000,
MATCH(
TRUE,
ISNUMBER(FIND(B38,'VISÃO LOGISTICA'!$A$2:$A$2000)),
0
)
)="Em espera",
INDEX(
'VISÃO LOGISTICA'!$C$2:$C$2000,
MATCH(
TRUE,
ISNUMBER(FIND(B38,'VISÃO LOGISTICA'!$A$2:$A$2000)),
0
)
)=""
),
"",
INDEX(
'VISÃO LOGISTICA'!$D$2:$D$2000,
MATCH(
TRUE,
ISNUMBER(FIND(B38,'VISÃO LOGISTICA'!$A$2:$A$2000)),
0
)
)
),
""
)</f>
        <v/>
      </c>
      <c r="K38" s="10">
        <f>IFERROR(
IF(
_xlfn.XLOOKUP(
B38,
'LOCALIZAÇÃO DE CARGA'!$A$2:$A$702,
'LOCALIZAÇÃO DE CARGA'!$E$2:$E$702)="",
"",
_xlfn.XLOOKUP(
B38,
'LOCALIZAÇÃO DE CARGA'!$A$2:$A$702,
'LOCALIZAÇÃO DE CARGA'!$E$2:$E$702)
),
""
)</f>
        <v>550728.43999999994</v>
      </c>
      <c r="L38" s="20" cm="1">
        <f t="array" ref="L38">IFERROR(
_xlfn.LET(
_xlpm.res,_xlfn.XLOOKUP(B38,'LOCALIZAÇÃO DE CARGA'!$A$2:$A$2000,'LOCALIZAÇÃO DE CARGA'!$G$2:$G$2000),
IF(_xlpm.res="","",_xlpm.res)
),
""
)</f>
        <v>46161.179166666669</v>
      </c>
      <c r="M38" s="20" cm="1">
        <f t="array" ref="M38">IFERROR(
_xlfn.LET(
_xlpm.load,_xlfn.XLOOKUP(B38,'LOCALIZAÇÃO DE CARGA'!$A$2:$A$2000,'LOCALIZAÇÃO DE CARGA'!$A$2:$A$2000),
_xlpm.res,_xlfn.XLOOKUP(_xlpm.load,DOCUMENTOS!$A$2:$A$2000,DOCUMENTOS!$D$2:$D$2000),
IF(_xlpm.res="","",_xlpm.res)
),
""
)</f>
        <v>46160.666666666664</v>
      </c>
      <c r="N38" s="6">
        <f>IFERROR(IF(M38="","",M38-TIME(1,0,0)),"")</f>
        <v>46160.625</v>
      </c>
      <c r="O38" s="6" cm="1">
        <f t="array" ref="O38">IFERROR(
_xlfn.LET(
_xlpm.res,_xlfn.XLOOKUP(B38,'LOCALIZAÇÃO DE CARGA'!$A$2:$A$2000,'LOCALIZAÇÃO DE CARGA'!$S$2:$S$2000),
IF(_xlpm.res="","",_xlpm.res)
),
""
)</f>
        <v>46161.333333333336</v>
      </c>
      <c r="P38" s="6" t="str" cm="1">
        <f t="array" ref="P38">IFERROR(
_xlfn.LET(
_xlpm.res,_xlfn.XLOOKUP(B38,'LOCALIZAÇÃO DE CARGA'!$A$2:$A$702,'LOCALIZAÇÃO DE CARGA'!$T$2:$T$702),
IF(_xlpm.res="","",_xlpm.res)
),
""
)</f>
        <v/>
      </c>
      <c r="Q38" s="5" t="str">
        <f>IFERROR(
IF(
_xlfn.XLOOKUP(
B38,
'LOCALIZAÇÃO DE CARGA'!$A$2:$A$702,
'LOCALIZAÇÃO DE CARGA'!$K$2:$K$702
)="",
"",
_xlfn.XLOOKUP(
B38,
'LOCALIZAÇÃO DE CARGA'!$A$2:$A$702,
'LOCALIZAÇÃO DE CARGA'!$K$2:$K$702
)
),
""
)</f>
        <v>UNIAR COMÉRCIO DE ELETRO-ELETRÔNICOS E SERVIÇOS LTDA - 37640000</v>
      </c>
      <c r="R38" s="5" t="str">
        <f t="shared" si="2"/>
        <v>UNIAR COMÉRCIO DE ELETRO-ELETRÔNICOS E SERVIÇOS LTDA</v>
      </c>
      <c r="S38" s="5" t="str" cm="1">
        <f t="array" ref="S38">IF(B38="","",IFERROR(
INDEX(
'VISÃO LOGISTICA'!$L$2:$L$525,
MATCH(
TRUE,
ISNUMBER(FIND(B38,'VISÃO LOGISTICA'!$A$2:$A$525)),
0
)
),
""
))</f>
        <v/>
      </c>
      <c r="T38" s="5" t="str">
        <f>IFERROR(
_xlfn.LET(
_xlpm.res,_xlfn.XLOOKUP(B38,'LOCALIZAÇÃO DE CARGA'!$A$2:$A$702,'LOCALIZAÇÃO DE CARGA'!$R$2:$R$702),
IF(_xlpm.res="","",_xlpm.res)
),
""
)</f>
        <v>EXTREMA/MG/BRASIL</v>
      </c>
    </row>
    <row r="39" spans="1:20" ht="18" customHeight="1">
      <c r="A39" s="14">
        <f t="shared" si="0"/>
        <v>46160</v>
      </c>
      <c r="B39" s="5">
        <v>6014055</v>
      </c>
      <c r="C39" s="45" t="str">
        <f t="shared" ca="1" si="1"/>
        <v>OK - NO PRAZO</v>
      </c>
      <c r="D39" s="28"/>
      <c r="E39" s="28" t="str">
        <f>IFERROR(
IF(
_xlfn.XLOOKUP(
B39,
'LOCALIZAÇÃO DE CARGA'!$A$2:$A$702,
'LOCALIZAÇÃO DE CARGA'!$D$2:$D$702
)="",
"",
_xlfn.XLOOKUP(
B39,
'LOCALIZAÇÃO DE CARGA'!$A$2:$A$702,
'LOCALIZAÇÃO DE CARGA'!$D$2:$D$702
)
),
""
)</f>
        <v/>
      </c>
      <c r="F39" s="13" t="str">
        <f>IFERROR(
IF(
_xlfn.XLOOKUP(
B39,
'LOCALIZAÇÃO DE CARGA'!$A$2:$A$702,
'LOCALIZAÇÃO DE CARGA'!$H$2:$H$702
)="",
"",
_xlfn.XLOOKUP(
B39,
'LOCALIZAÇÃO DE CARGA'!$A$2:$A$702,
'LOCALIZAÇÃO DE CARGA'!$H$2:$H$702
)
),
""
)</f>
        <v>TRANSKING</v>
      </c>
      <c r="G39" s="5" t="str">
        <f>IFERROR(
IF(
_xlfn.XLOOKUP(
B39,
'LOCALIZAÇÃO DE CARGA'!$A$2:$A$702,
'LOCALIZAÇÃO DE CARGA'!$I$2:$I$702
)="",
"",
_xlfn.XLOOKUP(
B39,
'LOCALIZAÇÃO DE CARGA'!$A$2:$A$702,
'LOCALIZAÇÃO DE CARGA'!$I$2:$I$702
)
),
""
)</f>
        <v>LGCAJ</v>
      </c>
      <c r="H39" s="5" t="str">
        <f>IFERROR(
IF(
_xlfn.XLOOKUP(
B39,
'LOCALIZAÇÃO DE CARGA'!$A$2:$A$702,
'LOCALIZAÇÃO DE CARGA'!$F$2:$F$702
)="",
"",
_xlfn.XLOOKUP(
B39,
'LOCALIZAÇÃO DE CARGA'!$A$2:$A$702,
'LOCALIZAÇÃO DE CARGA'!$F$2:$F$702
)
),
""
)</f>
        <v>Não iniciado</v>
      </c>
      <c r="I39" s="13" t="str" cm="1">
        <f t="array" ref="I39">IFERROR(
IF(
INDEX(
'VISÃO LOGISTICA'!$C$2:$C$525,
MATCH(
TRUE,
ISNUMBER(FIND(B39,'VISÃO LOGISTICA'!$A$2:$A$525)),
0
)
)="Em espera",
"",
INDEX(
'VISÃO LOGISTICA'!$C$2:$C$525,
MATCH(
TRUE,
ISNUMBER(FIND(B39,'VISÃO LOGISTICA'!$A$2:$A$525)),
0
)
)
),
""
)</f>
        <v/>
      </c>
      <c r="J39" s="5" t="str" cm="1">
        <f t="array" ref="J39">IFERROR(
IF(
OR(
INDEX(
'VISÃO LOGISTICA'!$C$2:$C$2000,
MATCH(
TRUE,
ISNUMBER(FIND(B39,'VISÃO LOGISTICA'!$A$2:$A$2000)),
0
)
)="Em espera",
INDEX(
'VISÃO LOGISTICA'!$C$2:$C$2000,
MATCH(
TRUE,
ISNUMBER(FIND(B39,'VISÃO LOGISTICA'!$A$2:$A$2000)),
0
)
)=""
),
"",
INDEX(
'VISÃO LOGISTICA'!$D$2:$D$2000,
MATCH(
TRUE,
ISNUMBER(FIND(B39,'VISÃO LOGISTICA'!$A$2:$A$2000)),
0
)
)
),
""
)</f>
        <v/>
      </c>
      <c r="K39" s="10">
        <f>IFERROR(
IF(
_xlfn.XLOOKUP(
B39,
'LOCALIZAÇÃO DE CARGA'!$A$2:$A$702,
'LOCALIZAÇÃO DE CARGA'!$E$2:$E$702)="",
"",
_xlfn.XLOOKUP(
B39,
'LOCALIZAÇÃO DE CARGA'!$A$2:$A$702,
'LOCALIZAÇÃO DE CARGA'!$E$2:$E$702)
),
""
)</f>
        <v>522953.5</v>
      </c>
      <c r="L39" s="20" cm="1">
        <f t="array" ref="L39">IFERROR(
_xlfn.LET(
_xlpm.res,_xlfn.XLOOKUP(B39,'LOCALIZAÇÃO DE CARGA'!$A$2:$A$2000,'LOCALIZAÇÃO DE CARGA'!$G$2:$G$2000),
IF(_xlpm.res="","",_xlpm.res)
),
""
)</f>
        <v>46161.520833333336</v>
      </c>
      <c r="M39" s="20" cm="1">
        <f t="array" ref="M39">IFERROR(
_xlfn.LET(
_xlpm.load,_xlfn.XLOOKUP(B39,'LOCALIZAÇÃO DE CARGA'!$A$2:$A$2000,'LOCALIZAÇÃO DE CARGA'!$A$2:$A$2000),
_xlpm.res,_xlfn.XLOOKUP(_xlpm.load,DOCUMENTOS!$A$2:$A$2000,DOCUMENTOS!$D$2:$D$2000),
IF(_xlpm.res="","",_xlpm.res)
),
""
)</f>
        <v>46160.708333333336</v>
      </c>
      <c r="N39" s="6">
        <f>IFERROR(IF(M39="","",M39-TIME(1,0,0)),"")</f>
        <v>46160.666666666672</v>
      </c>
      <c r="O39" s="6" cm="1">
        <f t="array" ref="O39">IFERROR(
_xlfn.LET(
_xlpm.res,_xlfn.XLOOKUP(B39,'LOCALIZAÇÃO DE CARGA'!$A$2:$A$2000,'LOCALIZAÇÃO DE CARGA'!$S$2:$S$2000),
IF(_xlpm.res="","",_xlpm.res)
),
""
)</f>
        <v>46163.333333333336</v>
      </c>
      <c r="P39" s="6" t="str" cm="1">
        <f t="array" ref="P39">IFERROR(
_xlfn.LET(
_xlpm.res,_xlfn.XLOOKUP(B39,'LOCALIZAÇÃO DE CARGA'!$A$2:$A$702,'LOCALIZAÇÃO DE CARGA'!$T$2:$T$702),
IF(_xlpm.res="","",_xlpm.res)
),
""
)</f>
        <v/>
      </c>
      <c r="Q39" s="5" t="str">
        <f>IFERROR(
IF(
_xlfn.XLOOKUP(
B39,
'LOCALIZAÇÃO DE CARGA'!$A$2:$A$702,
'LOCALIZAÇÃO DE CARGA'!$K$2:$K$702
)="",
"",
_xlfn.XLOOKUP(
B39,
'LOCALIZAÇÃO DE CARGA'!$A$2:$A$702,
'LOCALIZAÇÃO DE CARGA'!$K$2:$K$702
)
),
""
)</f>
        <v>LOJAS BECKER LTDA - 97900000</v>
      </c>
      <c r="R39" s="5" t="str">
        <f t="shared" si="2"/>
        <v>LOJAS BECKER LTDA</v>
      </c>
      <c r="S39" s="5" t="str" cm="1">
        <f t="array" ref="S39">IF(B39="","",IFERROR(
INDEX(
'VISÃO LOGISTICA'!$L$2:$L$525,
MATCH(
TRUE,
ISNUMBER(FIND(B39,'VISÃO LOGISTICA'!$A$2:$A$525)),
0
)
),
""
))</f>
        <v/>
      </c>
      <c r="T39" s="5" t="str">
        <f>IFERROR(
_xlfn.LET(
_xlpm.res,_xlfn.XLOOKUP(B39,'LOCALIZAÇÃO DE CARGA'!$A$2:$A$702,'LOCALIZAÇÃO DE CARGA'!$R$2:$R$702),
IF(_xlpm.res="","",_xlpm.res)
),
""
)</f>
        <v>CERRO LARGO/RS/BRASIL</v>
      </c>
    </row>
    <row r="40" spans="1:20" ht="18" customHeight="1">
      <c r="A40" s="14">
        <f t="shared" si="0"/>
        <v>46157</v>
      </c>
      <c r="B40" s="5">
        <v>6022158</v>
      </c>
      <c r="C40" s="45" t="str">
        <f t="shared" ca="1" si="1"/>
        <v>EM VIAGEM</v>
      </c>
      <c r="D40" s="28"/>
      <c r="E40" s="28" t="str">
        <f>IFERROR(
IF(
_xlfn.XLOOKUP(
B40,
'LOCALIZAÇÃO DE CARGA'!$A$2:$A$702,
'LOCALIZAÇÃO DE CARGA'!$D$2:$D$702
)="",
"",
_xlfn.XLOOKUP(
B40,
'LOCALIZAÇÃO DE CARGA'!$A$2:$A$702,
'LOCALIZAÇÃO DE CARGA'!$D$2:$D$702
)
),
""
)</f>
        <v/>
      </c>
      <c r="F40" s="13" t="str">
        <f>IFERROR(
IF(
_xlfn.XLOOKUP(
B40,
'LOCALIZAÇÃO DE CARGA'!$A$2:$A$702,
'LOCALIZAÇÃO DE CARGA'!$H$2:$H$702
)="",
"",
_xlfn.XLOOKUP(
B40,
'LOCALIZAÇÃO DE CARGA'!$A$2:$A$702,
'LOCALIZAÇÃO DE CARGA'!$H$2:$H$702
)
),
""
)</f>
        <v>TRANSBOCAYUV</v>
      </c>
      <c r="G40" s="5" t="str">
        <f>IFERROR(
IF(
_xlfn.XLOOKUP(
B40,
'LOCALIZAÇÃO DE CARGA'!$A$2:$A$702,
'LOCALIZAÇÃO DE CARGA'!$I$2:$I$702
)="",
"",
_xlfn.XLOOKUP(
B40,
'LOCALIZAÇÃO DE CARGA'!$A$2:$A$702,
'LOCALIZAÇÃO DE CARGA'!$I$2:$I$702
)
),
""
)</f>
        <v>LGSCT</v>
      </c>
      <c r="H40" s="5" t="str">
        <f>IFERROR(
IF(
_xlfn.XLOOKUP(
B40,
'LOCALIZAÇÃO DE CARGA'!$A$2:$A$702,
'LOCALIZAÇÃO DE CARGA'!$F$2:$F$702
)="",
"",
_xlfn.XLOOKUP(
B40,
'LOCALIZAÇÃO DE CARGA'!$A$2:$A$702,
'LOCALIZAÇÃO DE CARGA'!$F$2:$F$702
)
),
""
)</f>
        <v>Andamento</v>
      </c>
      <c r="I40" s="13" t="str" cm="1">
        <f t="array" ref="I40">IFERROR(
IF(
INDEX(
'VISÃO LOGISTICA'!$C$2:$C$525,
MATCH(
TRUE,
ISNUMBER(FIND(B40,'VISÃO LOGISTICA'!$A$2:$A$525)),
0
)
)="Em espera",
"",
INDEX(
'VISÃO LOGISTICA'!$C$2:$C$525,
MATCH(
TRUE,
ISNUMBER(FIND(B40,'VISÃO LOGISTICA'!$A$2:$A$525)),
0
)
)
),
""
)</f>
        <v>Em Viagem</v>
      </c>
      <c r="J40" s="5" t="str" cm="1">
        <f t="array" ref="J40">IFERROR(
IF(
OR(
INDEX(
'VISÃO LOGISTICA'!$C$2:$C$2000,
MATCH(
TRUE,
ISNUMBER(FIND(B40,'VISÃO LOGISTICA'!$A$2:$A$2000)),
0
)
)="Em espera",
INDEX(
'VISÃO LOGISTICA'!$C$2:$C$2000,
MATCH(
TRUE,
ISNUMBER(FIND(B40,'VISÃO LOGISTICA'!$A$2:$A$2000)),
0
)
)=""
),
"",
INDEX(
'VISÃO LOGISTICA'!$D$2:$D$2000,
MATCH(
TRUE,
ISNUMBER(FIND(B40,'VISÃO LOGISTICA'!$A$2:$A$2000)),
0
)
)
),
""
)</f>
        <v>OKH7C14</v>
      </c>
      <c r="K40" s="10">
        <f>IFERROR(
IF(
_xlfn.XLOOKUP(
B40,
'LOCALIZAÇÃO DE CARGA'!$A$2:$A$702,
'LOCALIZAÇÃO DE CARGA'!$E$2:$E$702)="",
"",
_xlfn.XLOOKUP(
B40,
'LOCALIZAÇÃO DE CARGA'!$A$2:$A$702,
'LOCALIZAÇÃO DE CARGA'!$E$2:$E$702)
),
""
)</f>
        <v>503455.26</v>
      </c>
      <c r="L40" s="20" cm="1">
        <f t="array" ref="L40">IFERROR(
_xlfn.LET(
_xlpm.res,_xlfn.XLOOKUP(B40,'LOCALIZAÇÃO DE CARGA'!$A$2:$A$2000,'LOCALIZAÇÃO DE CARGA'!$G$2:$G$2000),
IF(_xlpm.res="","",_xlpm.res)
),
""
)</f>
        <v>46159.138888888891</v>
      </c>
      <c r="M40" s="20" cm="1">
        <f t="array" ref="M40">IFERROR(
_xlfn.LET(
_xlpm.load,_xlfn.XLOOKUP(B40,'LOCALIZAÇÃO DE CARGA'!$A$2:$A$2000,'LOCALIZAÇÃO DE CARGA'!$A$2:$A$2000),
_xlpm.res,_xlfn.XLOOKUP(_xlpm.load,DOCUMENTOS!$A$2:$A$2000,DOCUMENTOS!$D$2:$D$2000),
IF(_xlpm.res="","",_xlpm.res)
),
""
)</f>
        <v>46157.479166666664</v>
      </c>
      <c r="N40" s="6">
        <f>IFERROR(IF(M40="","",M40-TIME(1,0,0)),"")</f>
        <v>46157.4375</v>
      </c>
      <c r="O40" s="6" cm="1">
        <f t="array" ref="O40">IFERROR(
_xlfn.LET(
_xlpm.res,_xlfn.XLOOKUP(B40,'LOCALIZAÇÃO DE CARGA'!$A$2:$A$2000,'LOCALIZAÇÃO DE CARGA'!$S$2:$S$2000),
IF(_xlpm.res="","",_xlpm.res)
),
""
)</f>
        <v>46160.25</v>
      </c>
      <c r="P40" s="6" cm="1">
        <f t="array" ref="P40">IFERROR(
_xlfn.LET(
_xlpm.res,_xlfn.XLOOKUP(B40,'LOCALIZAÇÃO DE CARGA'!$A$2:$A$702,'LOCALIZAÇÃO DE CARGA'!$T$2:$T$702),
IF(_xlpm.res="","",_xlpm.res)
),
""
)</f>
        <v>46159.081250000003</v>
      </c>
      <c r="Q40" s="5" t="str">
        <f>IFERROR(
IF(
_xlfn.XLOOKUP(
B40,
'LOCALIZAÇÃO DE CARGA'!$A$2:$A$702,
'LOCALIZAÇÃO DE CARGA'!$K$2:$K$702
)="",
"",
_xlfn.XLOOKUP(
B40,
'LOCALIZAÇÃO DE CARGA'!$A$2:$A$702,
'LOCALIZAÇÃO DE CARGA'!$K$2:$K$702
)
),
""
)</f>
        <v>GRUPO CASAS BAHIA S.A(CD1401) - 25255030</v>
      </c>
      <c r="R40" s="5" t="str">
        <f t="shared" si="2"/>
        <v>GRUPO CASAS BAHIA S.A</v>
      </c>
      <c r="S40" s="5" t="str" cm="1">
        <f t="array" ref="S40">IF(B40="","",IFERROR(
INDEX(
'VISÃO LOGISTICA'!$L$2:$L$525,
MATCH(
TRUE,
ISNUMBER(FIND(B40,'VISÃO LOGISTICA'!$A$2:$A$525)),
0
)
),
""
))</f>
        <v>TIJUCAS DO SUL/PR/BRASIL</v>
      </c>
      <c r="T40" s="5" t="str">
        <f>IFERROR(
_xlfn.LET(
_xlpm.res,_xlfn.XLOOKUP(B40,'LOCALIZAÇÃO DE CARGA'!$A$2:$A$702,'LOCALIZAÇÃO DE CARGA'!$R$2:$R$702),
IF(_xlpm.res="","",_xlpm.res)
),
""
)</f>
        <v>DUQUE DE CAXIAS/RJ/BRASIL</v>
      </c>
    </row>
    <row r="41" spans="1:20" ht="18" customHeight="1">
      <c r="A41" s="14">
        <f t="shared" si="0"/>
        <v>46160</v>
      </c>
      <c r="B41" s="5">
        <v>6023009</v>
      </c>
      <c r="C41" s="45" t="str">
        <f t="shared" ca="1" si="1"/>
        <v>OK - NO PRAZO</v>
      </c>
      <c r="D41" s="28"/>
      <c r="E41" s="28" t="str">
        <f>IFERROR(
IF(
_xlfn.XLOOKUP(
B41,
'LOCALIZAÇÃO DE CARGA'!$A$2:$A$702,
'LOCALIZAÇÃO DE CARGA'!$D$2:$D$702
)="",
"",
_xlfn.XLOOKUP(
B41,
'LOCALIZAÇÃO DE CARGA'!$A$2:$A$702,
'LOCALIZAÇÃO DE CARGA'!$D$2:$D$702
)
),
""
)</f>
        <v/>
      </c>
      <c r="F41" s="13" t="str">
        <f>IFERROR(
IF(
_xlfn.XLOOKUP(
B41,
'LOCALIZAÇÃO DE CARGA'!$A$2:$A$702,
'LOCALIZAÇÃO DE CARGA'!$H$2:$H$702
)="",
"",
_xlfn.XLOOKUP(
B41,
'LOCALIZAÇÃO DE CARGA'!$A$2:$A$702,
'LOCALIZAÇÃO DE CARGA'!$H$2:$H$702
)
),
""
)</f>
        <v>EMJ LOGISTIC</v>
      </c>
      <c r="G41" s="5" t="str">
        <f>IFERROR(
IF(
_xlfn.XLOOKUP(
B41,
'LOCALIZAÇÃO DE CARGA'!$A$2:$A$702,
'LOCALIZAÇÃO DE CARGA'!$I$2:$I$702
)="",
"",
_xlfn.XLOOKUP(
B41,
'LOCALIZAÇÃO DE CARGA'!$A$2:$A$702,
'LOCALIZAÇÃO DE CARGA'!$I$2:$I$702
)
),
""
)</f>
        <v>LGCAJ</v>
      </c>
      <c r="H41" s="5" t="str">
        <f>IFERROR(
IF(
_xlfn.XLOOKUP(
B41,
'LOCALIZAÇÃO DE CARGA'!$A$2:$A$702,
'LOCALIZAÇÃO DE CARGA'!$F$2:$F$702
)="",
"",
_xlfn.XLOOKUP(
B41,
'LOCALIZAÇÃO DE CARGA'!$A$2:$A$702,
'LOCALIZAÇÃO DE CARGA'!$F$2:$F$702
)
),
""
)</f>
        <v>Não iniciado</v>
      </c>
      <c r="I41" s="13" t="str" cm="1">
        <f t="array" ref="I41">IFERROR(
IF(
INDEX(
'VISÃO LOGISTICA'!$C$2:$C$525,
MATCH(
TRUE,
ISNUMBER(FIND(B41,'VISÃO LOGISTICA'!$A$2:$A$525)),
0
)
)="Em espera",
"",
INDEX(
'VISÃO LOGISTICA'!$C$2:$C$525,
MATCH(
TRUE,
ISNUMBER(FIND(B41,'VISÃO LOGISTICA'!$A$2:$A$525)),
0
)
)
),
""
)</f>
        <v/>
      </c>
      <c r="J41" s="5" t="str" cm="1">
        <f t="array" ref="J41">IFERROR(
IF(
OR(
INDEX(
'VISÃO LOGISTICA'!$C$2:$C$2000,
MATCH(
TRUE,
ISNUMBER(FIND(B41,'VISÃO LOGISTICA'!$A$2:$A$2000)),
0
)
)="Em espera",
INDEX(
'VISÃO LOGISTICA'!$C$2:$C$2000,
MATCH(
TRUE,
ISNUMBER(FIND(B41,'VISÃO LOGISTICA'!$A$2:$A$2000)),
0
)
)=""
),
"",
INDEX(
'VISÃO LOGISTICA'!$D$2:$D$2000,
MATCH(
TRUE,
ISNUMBER(FIND(B41,'VISÃO LOGISTICA'!$A$2:$A$2000)),
0
)
)
),
""
)</f>
        <v/>
      </c>
      <c r="K41" s="10">
        <f>IFERROR(
IF(
_xlfn.XLOOKUP(
B41,
'LOCALIZAÇÃO DE CARGA'!$A$2:$A$702,
'LOCALIZAÇÃO DE CARGA'!$E$2:$E$702)="",
"",
_xlfn.XLOOKUP(
B41,
'LOCALIZAÇÃO DE CARGA'!$A$2:$A$702,
'LOCALIZAÇÃO DE CARGA'!$E$2:$E$702)
),
""
)</f>
        <v>493797.84</v>
      </c>
      <c r="L41" s="20" cm="1">
        <f t="array" ref="L41">IFERROR(
_xlfn.LET(
_xlpm.res,_xlfn.XLOOKUP(B41,'LOCALIZAÇÃO DE CARGA'!$A$2:$A$2000,'LOCALIZAÇÃO DE CARGA'!$G$2:$G$2000),
IF(_xlpm.res="","",_xlpm.res)
),
""
)</f>
        <v>46161.365277777775</v>
      </c>
      <c r="M41" s="20" cm="1">
        <f t="array" ref="M41">IFERROR(
_xlfn.LET(
_xlpm.load,_xlfn.XLOOKUP(B41,'LOCALIZAÇÃO DE CARGA'!$A$2:$A$2000,'LOCALIZAÇÃO DE CARGA'!$A$2:$A$2000),
_xlpm.res,_xlfn.XLOOKUP(_xlpm.load,DOCUMENTOS!$A$2:$A$2000,DOCUMENTOS!$D$2:$D$2000),
IF(_xlpm.res="","",_xlpm.res)
),
""
)</f>
        <v>46160.833333333336</v>
      </c>
      <c r="N41" s="6">
        <f>IFERROR(IF(M41="","",M41-TIME(1,0,0)),"")</f>
        <v>46160.791666666672</v>
      </c>
      <c r="O41" s="6" cm="1">
        <f t="array" ref="O41">IFERROR(
_xlfn.LET(
_xlpm.res,_xlfn.XLOOKUP(B41,'LOCALIZAÇÃO DE CARGA'!$A$2:$A$2000,'LOCALIZAÇÃO DE CARGA'!$S$2:$S$2000),
IF(_xlpm.res="","",_xlpm.res)
),
""
)</f>
        <v>46162.25</v>
      </c>
      <c r="P41" s="6" t="str" cm="1">
        <f t="array" ref="P41">IFERROR(
_xlfn.LET(
_xlpm.res,_xlfn.XLOOKUP(B41,'LOCALIZAÇÃO DE CARGA'!$A$2:$A$702,'LOCALIZAÇÃO DE CARGA'!$T$2:$T$702),
IF(_xlpm.res="","",_xlpm.res)
),
""
)</f>
        <v/>
      </c>
      <c r="Q41" s="5" t="str">
        <f>IFERROR(
IF(
_xlfn.XLOOKUP(
B41,
'LOCALIZAÇÃO DE CARGA'!$A$2:$A$702,
'LOCALIZAÇÃO DE CARGA'!$K$2:$K$702
)="",
"",
_xlfn.XLOOKUP(
B41,
'LOCALIZAÇÃO DE CARGA'!$A$2:$A$702,
'LOCALIZAÇÃO DE CARGA'!$K$2:$K$702
)
),
""
)</f>
        <v>GRUPO CASAS BAHIA S.A(CD1760) - 32150240</v>
      </c>
      <c r="R41" s="5" t="str">
        <f t="shared" si="2"/>
        <v>GRUPO CASAS BAHIA S.A</v>
      </c>
      <c r="S41" s="5" t="str" cm="1">
        <f t="array" ref="S41">IF(B41="","",IFERROR(
INDEX(
'VISÃO LOGISTICA'!$L$2:$L$525,
MATCH(
TRUE,
ISNUMBER(FIND(B41,'VISÃO LOGISTICA'!$A$2:$A$525)),
0
)
),
""
))</f>
        <v/>
      </c>
      <c r="T41" s="5" t="str">
        <f>IFERROR(
_xlfn.LET(
_xlpm.res,_xlfn.XLOOKUP(B41,'LOCALIZAÇÃO DE CARGA'!$A$2:$A$702,'LOCALIZAÇÃO DE CARGA'!$R$2:$R$702),
IF(_xlpm.res="","",_xlpm.res)
),
""
)</f>
        <v>CONTAGEM/MG/BRASIL</v>
      </c>
    </row>
    <row r="42" spans="1:20" ht="18" customHeight="1">
      <c r="A42" s="14">
        <f t="shared" si="0"/>
        <v>46158</v>
      </c>
      <c r="B42" s="5">
        <v>6023297</v>
      </c>
      <c r="C42" s="45" t="str">
        <f t="shared" ca="1" si="1"/>
        <v>ATRASADO CARREGAMENTO - SEM SMP</v>
      </c>
      <c r="D42" s="28"/>
      <c r="E42" s="28" t="str">
        <f>IFERROR(
IF(
_xlfn.XLOOKUP(
B42,
'LOCALIZAÇÃO DE CARGA'!$A$2:$A$702,
'LOCALIZAÇÃO DE CARGA'!$D$2:$D$702
)="",
"",
_xlfn.XLOOKUP(
B42,
'LOCALIZAÇÃO DE CARGA'!$A$2:$A$702,
'LOCALIZAÇÃO DE CARGA'!$D$2:$D$702
)
),
""
)</f>
        <v/>
      </c>
      <c r="F42" s="13" t="str">
        <f>IFERROR(
IF(
_xlfn.XLOOKUP(
B42,
'LOCALIZAÇÃO DE CARGA'!$A$2:$A$702,
'LOCALIZAÇÃO DE CARGA'!$H$2:$H$702
)="",
"",
_xlfn.XLOOKUP(
B42,
'LOCALIZAÇÃO DE CARGA'!$A$2:$A$702,
'LOCALIZAÇÃO DE CARGA'!$H$2:$H$702
)
),
""
)</f>
        <v>TRANSP RODOWAY LTDA</v>
      </c>
      <c r="G42" s="5" t="str">
        <f>IFERROR(
IF(
_xlfn.XLOOKUP(
B42,
'LOCALIZAÇÃO DE CARGA'!$A$2:$A$702,
'LOCALIZAÇÃO DE CARGA'!$I$2:$I$702
)="",
"",
_xlfn.XLOOKUP(
B42,
'LOCALIZAÇÃO DE CARGA'!$A$2:$A$702,
'LOCALIZAÇÃO DE CARGA'!$I$2:$I$702
)
),
""
)</f>
        <v>LGSCT</v>
      </c>
      <c r="H42" s="5" t="str">
        <f>IFERROR(
IF(
_xlfn.XLOOKUP(
B42,
'LOCALIZAÇÃO DE CARGA'!$A$2:$A$702,
'LOCALIZAÇÃO DE CARGA'!$F$2:$F$702
)="",
"",
_xlfn.XLOOKUP(
B42,
'LOCALIZAÇÃO DE CARGA'!$A$2:$A$702,
'LOCALIZAÇÃO DE CARGA'!$F$2:$F$702
)
),
""
)</f>
        <v>Não iniciado</v>
      </c>
      <c r="I42" s="13" t="str" cm="1">
        <f t="array" ref="I42">IFERROR(
IF(
INDEX(
'VISÃO LOGISTICA'!$C$2:$C$525,
MATCH(
TRUE,
ISNUMBER(FIND(B42,'VISÃO LOGISTICA'!$A$2:$A$525)),
0
)
)="Em espera",
"",
INDEX(
'VISÃO LOGISTICA'!$C$2:$C$525,
MATCH(
TRUE,
ISNUMBER(FIND(B42,'VISÃO LOGISTICA'!$A$2:$A$525)),
0
)
)
),
""
)</f>
        <v/>
      </c>
      <c r="J42" s="5" t="str" cm="1">
        <f t="array" ref="J42">IFERROR(
IF(
OR(
INDEX(
'VISÃO LOGISTICA'!$C$2:$C$2000,
MATCH(
TRUE,
ISNUMBER(FIND(B42,'VISÃO LOGISTICA'!$A$2:$A$2000)),
0
)
)="Em espera",
INDEX(
'VISÃO LOGISTICA'!$C$2:$C$2000,
MATCH(
TRUE,
ISNUMBER(FIND(B42,'VISÃO LOGISTICA'!$A$2:$A$2000)),
0
)
)=""
),
"",
INDEX(
'VISÃO LOGISTICA'!$D$2:$D$2000,
MATCH(
TRUE,
ISNUMBER(FIND(B42,'VISÃO LOGISTICA'!$A$2:$A$2000)),
0
)
)
),
""
)</f>
        <v/>
      </c>
      <c r="K42" s="10">
        <f>IFERROR(
IF(
_xlfn.XLOOKUP(
B42,
'LOCALIZAÇÃO DE CARGA'!$A$2:$A$702,
'LOCALIZAÇÃO DE CARGA'!$E$2:$E$702)="",
"",
_xlfn.XLOOKUP(
B42,
'LOCALIZAÇÃO DE CARGA'!$A$2:$A$702,
'LOCALIZAÇÃO DE CARGA'!$E$2:$E$702)
),
""
)</f>
        <v>492315.42</v>
      </c>
      <c r="L42" s="20" cm="1">
        <f t="array" ref="L42">IFERROR(
_xlfn.LET(
_xlpm.res,_xlfn.XLOOKUP(B42,'LOCALIZAÇÃO DE CARGA'!$A$2:$A$2000,'LOCALIZAÇÃO DE CARGA'!$G$2:$G$2000),
IF(_xlpm.res="","",_xlpm.res)
),
""
)</f>
        <v>46160.833333333336</v>
      </c>
      <c r="M42" s="20" cm="1">
        <f t="array" ref="M42">IFERROR(
_xlfn.LET(
_xlpm.load,_xlfn.XLOOKUP(B42,'LOCALIZAÇÃO DE CARGA'!$A$2:$A$2000,'LOCALIZAÇÃO DE CARGA'!$A$2:$A$2000),
_xlpm.res,_xlfn.XLOOKUP(_xlpm.load,DOCUMENTOS!$A$2:$A$2000,DOCUMENTOS!$D$2:$D$2000),
IF(_xlpm.res="","",_xlpm.res)
),
""
)</f>
        <v>46158.458333333336</v>
      </c>
      <c r="N42" s="6">
        <f>IFERROR(IF(M42="","",M42-TIME(1,0,0)),"")</f>
        <v>46158.416666666672</v>
      </c>
      <c r="O42" s="6" cm="1">
        <f t="array" ref="O42">IFERROR(
_xlfn.LET(
_xlpm.res,_xlfn.XLOOKUP(B42,'LOCALIZAÇÃO DE CARGA'!$A$2:$A$2000,'LOCALIZAÇÃO DE CARGA'!$S$2:$S$2000),
IF(_xlpm.res="","",_xlpm.res)
),
""
)</f>
        <v>46161.25</v>
      </c>
      <c r="P42" s="6" t="str" cm="1">
        <f t="array" ref="P42">IFERROR(
_xlfn.LET(
_xlpm.res,_xlfn.XLOOKUP(B42,'LOCALIZAÇÃO DE CARGA'!$A$2:$A$702,'LOCALIZAÇÃO DE CARGA'!$T$2:$T$702),
IF(_xlpm.res="","",_xlpm.res)
),
""
)</f>
        <v/>
      </c>
      <c r="Q42" s="5" t="str">
        <f>IFERROR(
IF(
_xlfn.XLOOKUP(
B42,
'LOCALIZAÇÃO DE CARGA'!$A$2:$A$702,
'LOCALIZAÇÃO DE CARGA'!$K$2:$K$702
)="",
"",
_xlfn.XLOOKUP(
B42,
'LOCALIZAÇÃO DE CARGA'!$A$2:$A$702,
'LOCALIZAÇÃO DE CARGA'!$K$2:$K$702
)
),
""
)</f>
        <v>LOJAS COLOMBO SA COMERCIO DE UTILIDADES DOMESTICAS - 92480000</v>
      </c>
      <c r="R42" s="5" t="str">
        <f t="shared" si="2"/>
        <v>LOJAS COLOMBO SA COMERCIO DE UTILIDADES DOMESTICAS</v>
      </c>
      <c r="S42" s="5" t="str" cm="1">
        <f t="array" ref="S42">IF(B42="","",IFERROR(
INDEX(
'VISÃO LOGISTICA'!$L$2:$L$525,
MATCH(
TRUE,
ISNUMBER(FIND(B42,'VISÃO LOGISTICA'!$A$2:$A$525)),
0
)
),
""
))</f>
        <v/>
      </c>
      <c r="T42" s="5" t="str">
        <f>IFERROR(
_xlfn.LET(
_xlpm.res,_xlfn.XLOOKUP(B42,'LOCALIZAÇÃO DE CARGA'!$A$2:$A$702,'LOCALIZAÇÃO DE CARGA'!$R$2:$R$702),
IF(_xlpm.res="","",_xlpm.res)
),
""
)</f>
        <v>NOVA SANTA RITA/RS/BRASIL</v>
      </c>
    </row>
    <row r="43" spans="1:20" ht="18" customHeight="1">
      <c r="A43" s="14">
        <f t="shared" si="0"/>
        <v>46157</v>
      </c>
      <c r="B43" s="5">
        <v>6021313</v>
      </c>
      <c r="C43" s="45" t="str">
        <f t="shared" ca="1" si="1"/>
        <v>EM VIAGEM</v>
      </c>
      <c r="D43" s="28"/>
      <c r="E43" s="28" t="str">
        <f>IFERROR(
IF(
_xlfn.XLOOKUP(
B43,
'LOCALIZAÇÃO DE CARGA'!$A$2:$A$702,
'LOCALIZAÇÃO DE CARGA'!$D$2:$D$702
)="",
"",
_xlfn.XLOOKUP(
B43,
'LOCALIZAÇÃO DE CARGA'!$A$2:$A$702,
'LOCALIZAÇÃO DE CARGA'!$D$2:$D$702
)
),
""
)</f>
        <v/>
      </c>
      <c r="F43" s="13" t="str">
        <f>IFERROR(
IF(
_xlfn.XLOOKUP(
B43,
'LOCALIZAÇÃO DE CARGA'!$A$2:$A$702,
'LOCALIZAÇÃO DE CARGA'!$H$2:$H$702
)="",
"",
_xlfn.XLOOKUP(
B43,
'LOCALIZAÇÃO DE CARGA'!$A$2:$A$702,
'LOCALIZAÇÃO DE CARGA'!$H$2:$H$702
)
),
""
)</f>
        <v>MWM TRANSPORTES</v>
      </c>
      <c r="G43" s="5" t="str">
        <f>IFERROR(
IF(
_xlfn.XLOOKUP(
B43,
'LOCALIZAÇÃO DE CARGA'!$A$2:$A$702,
'LOCALIZAÇÃO DE CARGA'!$I$2:$I$702
)="",
"",
_xlfn.XLOOKUP(
B43,
'LOCALIZAÇÃO DE CARGA'!$A$2:$A$702,
'LOCALIZAÇÃO DE CARGA'!$I$2:$I$702
)
),
""
)</f>
        <v>LGCAJ</v>
      </c>
      <c r="H43" s="5" t="str">
        <f>IFERROR(
IF(
_xlfn.XLOOKUP(
B43,
'LOCALIZAÇÃO DE CARGA'!$A$2:$A$702,
'LOCALIZAÇÃO DE CARGA'!$F$2:$F$702
)="",
"",
_xlfn.XLOOKUP(
B43,
'LOCALIZAÇÃO DE CARGA'!$A$2:$A$702,
'LOCALIZAÇÃO DE CARGA'!$F$2:$F$702
)
),
""
)</f>
        <v>Andamento</v>
      </c>
      <c r="I43" s="13" t="str" cm="1">
        <f t="array" ref="I43">IFERROR(
IF(
INDEX(
'VISÃO LOGISTICA'!$C$2:$C$525,
MATCH(
TRUE,
ISNUMBER(FIND(B43,'VISÃO LOGISTICA'!$A$2:$A$525)),
0
)
)="Em espera",
"",
INDEX(
'VISÃO LOGISTICA'!$C$2:$C$525,
MATCH(
TRUE,
ISNUMBER(FIND(B43,'VISÃO LOGISTICA'!$A$2:$A$525)),
0
)
)
),
""
)</f>
        <v>Em Viagem</v>
      </c>
      <c r="J43" s="5" t="str" cm="1">
        <f t="array" ref="J43">IFERROR(
IF(
OR(
INDEX(
'VISÃO LOGISTICA'!$C$2:$C$2000,
MATCH(
TRUE,
ISNUMBER(FIND(B43,'VISÃO LOGISTICA'!$A$2:$A$2000)),
0
)
)="Em espera",
INDEX(
'VISÃO LOGISTICA'!$C$2:$C$2000,
MATCH(
TRUE,
ISNUMBER(FIND(B43,'VISÃO LOGISTICA'!$A$2:$A$2000)),
0
)
)=""
),
"",
INDEX(
'VISÃO LOGISTICA'!$D$2:$D$2000,
MATCH(
TRUE,
ISNUMBER(FIND(B43,'VISÃO LOGISTICA'!$A$2:$A$2000)),
0
)
)
),
""
)</f>
        <v>TOF4J05</v>
      </c>
      <c r="K43" s="10">
        <f>IFERROR(
IF(
_xlfn.XLOOKUP(
B43,
'LOCALIZAÇÃO DE CARGA'!$A$2:$A$702,
'LOCALIZAÇÃO DE CARGA'!$E$2:$E$702)="",
"",
_xlfn.XLOOKUP(
B43,
'LOCALIZAÇÃO DE CARGA'!$A$2:$A$702,
'LOCALIZAÇÃO DE CARGA'!$E$2:$E$702)
),
""
)</f>
        <v>481955.9</v>
      </c>
      <c r="L43" s="20" cm="1">
        <f t="array" ref="L43">IFERROR(
_xlfn.LET(
_xlpm.res,_xlfn.XLOOKUP(B43,'LOCALIZAÇÃO DE CARGA'!$A$2:$A$2000,'LOCALIZAÇÃO DE CARGA'!$G$2:$G$2000),
IF(_xlpm.res="","",_xlpm.res)
),
""
)</f>
        <v>46159.704861111109</v>
      </c>
      <c r="M43" s="20" cm="1">
        <f t="array" ref="M43">IFERROR(
_xlfn.LET(
_xlpm.load,_xlfn.XLOOKUP(B43,'LOCALIZAÇÃO DE CARGA'!$A$2:$A$2000,'LOCALIZAÇÃO DE CARGA'!$A$2:$A$2000),
_xlpm.res,_xlfn.XLOOKUP(_xlpm.load,DOCUMENTOS!$A$2:$A$2000,DOCUMENTOS!$D$2:$D$2000),
IF(_xlpm.res="","",_xlpm.res)
),
""
)</f>
        <v>46157.833333333336</v>
      </c>
      <c r="N43" s="6">
        <f>IFERROR(IF(M43="","",M43-TIME(1,0,0)),"")</f>
        <v>46157.791666666672</v>
      </c>
      <c r="O43" s="6" cm="1">
        <f t="array" ref="O43">IFERROR(
_xlfn.LET(
_xlpm.res,_xlfn.XLOOKUP(B43,'LOCALIZAÇÃO DE CARGA'!$A$2:$A$2000,'LOCALIZAÇÃO DE CARGA'!$S$2:$S$2000),
IF(_xlpm.res="","",_xlpm.res)
),
""
)</f>
        <v>46161.277777777781</v>
      </c>
      <c r="P43" s="6" cm="1">
        <f t="array" ref="P43">IFERROR(
_xlfn.LET(
_xlpm.res,_xlfn.XLOOKUP(B43,'LOCALIZAÇÃO DE CARGA'!$A$2:$A$702,'LOCALIZAÇÃO DE CARGA'!$T$2:$T$702),
IF(_xlpm.res="","",_xlpm.res)
),
""
)</f>
        <v>46158.953472222223</v>
      </c>
      <c r="Q43" s="5" t="str">
        <f>IFERROR(
IF(
_xlfn.XLOOKUP(
B43,
'LOCALIZAÇÃO DE CARGA'!$A$2:$A$702,
'LOCALIZAÇÃO DE CARGA'!$K$2:$K$702
)="",
"",
_xlfn.XLOOKUP(
B43,
'LOCALIZAÇÃO DE CARGA'!$A$2:$A$702,
'LOCALIZAÇÃO DE CARGA'!$K$2:$K$702
)
),
""
)</f>
        <v>REFRIGELO CLIMATIZAÇÃO DE AMBIENTES S.A - 29104491</v>
      </c>
      <c r="R43" s="5" t="str">
        <f t="shared" si="2"/>
        <v>REFRIGELO CLIMATIZAÇÃO DE AMBIENTES S.A</v>
      </c>
      <c r="S43" s="5" t="str" cm="1">
        <f t="array" ref="S43">IF(B43="","",IFERROR(
INDEX(
'VISÃO LOGISTICA'!$L$2:$L$525,
MATCH(
TRUE,
ISNUMBER(FIND(B43,'VISÃO LOGISTICA'!$A$2:$A$525)),
0
)
),
""
))</f>
        <v>PINDAMONHANGABA/SP/BRASIL</v>
      </c>
      <c r="T43" s="5" t="str">
        <f>IFERROR(
_xlfn.LET(
_xlpm.res,_xlfn.XLOOKUP(B43,'LOCALIZAÇÃO DE CARGA'!$A$2:$A$702,'LOCALIZAÇÃO DE CARGA'!$R$2:$R$702),
IF(_xlpm.res="","",_xlpm.res)
),
""
)</f>
        <v>VILA VELHA/ES/BRASIL</v>
      </c>
    </row>
    <row r="44" spans="1:20" ht="18" customHeight="1">
      <c r="A44" s="14">
        <f t="shared" si="0"/>
        <v>46157</v>
      </c>
      <c r="B44" s="5">
        <v>6014900</v>
      </c>
      <c r="C44" s="45" t="str">
        <f t="shared" ca="1" si="1"/>
        <v>EM VIAGEM</v>
      </c>
      <c r="D44" s="28"/>
      <c r="E44" s="28" t="str">
        <f>IFERROR(
IF(
_xlfn.XLOOKUP(
B44,
'LOCALIZAÇÃO DE CARGA'!$A$2:$A$702,
'LOCALIZAÇÃO DE CARGA'!$D$2:$D$702
)="",
"",
_xlfn.XLOOKUP(
B44,
'LOCALIZAÇÃO DE CARGA'!$A$2:$A$702,
'LOCALIZAÇÃO DE CARGA'!$D$2:$D$702
)
),
""
)</f>
        <v>Saida do WH</v>
      </c>
      <c r="F44" s="13" t="str">
        <f>IFERROR(
IF(
_xlfn.XLOOKUP(
B44,
'LOCALIZAÇÃO DE CARGA'!$A$2:$A$702,
'LOCALIZAÇÃO DE CARGA'!$H$2:$H$702
)="",
"",
_xlfn.XLOOKUP(
B44,
'LOCALIZAÇÃO DE CARGA'!$A$2:$A$702,
'LOCALIZAÇÃO DE CARGA'!$H$2:$H$702
)
),
""
)</f>
        <v>TRANSKING</v>
      </c>
      <c r="G44" s="5" t="str">
        <f>IFERROR(
IF(
_xlfn.XLOOKUP(
B44,
'LOCALIZAÇÃO DE CARGA'!$A$2:$A$702,
'LOCALIZAÇÃO DE CARGA'!$I$2:$I$702
)="",
"",
_xlfn.XLOOKUP(
B44,
'LOCALIZAÇÃO DE CARGA'!$A$2:$A$702,
'LOCALIZAÇÃO DE CARGA'!$I$2:$I$702
)
),
""
)</f>
        <v>LGCAJ</v>
      </c>
      <c r="H44" s="5" t="str">
        <f>IFERROR(
IF(
_xlfn.XLOOKUP(
B44,
'LOCALIZAÇÃO DE CARGA'!$A$2:$A$702,
'LOCALIZAÇÃO DE CARGA'!$F$2:$F$702
)="",
"",
_xlfn.XLOOKUP(
B44,
'LOCALIZAÇÃO DE CARGA'!$A$2:$A$702,
'LOCALIZAÇÃO DE CARGA'!$F$2:$F$702
)
),
""
)</f>
        <v>Andamento</v>
      </c>
      <c r="I44" s="13" t="str" cm="1">
        <f t="array" ref="I44">IFERROR(
IF(
INDEX(
'VISÃO LOGISTICA'!$C$2:$C$525,
MATCH(
TRUE,
ISNUMBER(FIND(B44,'VISÃO LOGISTICA'!$A$2:$A$525)),
0
)
)="Em espera",
"",
INDEX(
'VISÃO LOGISTICA'!$C$2:$C$525,
MATCH(
TRUE,
ISNUMBER(FIND(B44,'VISÃO LOGISTICA'!$A$2:$A$525)),
0
)
)
),
""
)</f>
        <v>Em Viagem</v>
      </c>
      <c r="J44" s="5" t="str" cm="1">
        <f t="array" ref="J44">IFERROR(
IF(
OR(
INDEX(
'VISÃO LOGISTICA'!$C$2:$C$2000,
MATCH(
TRUE,
ISNUMBER(FIND(B44,'VISÃO LOGISTICA'!$A$2:$A$2000)),
0
)
)="Em espera",
INDEX(
'VISÃO LOGISTICA'!$C$2:$C$2000,
MATCH(
TRUE,
ISNUMBER(FIND(B44,'VISÃO LOGISTICA'!$A$2:$A$2000)),
0
)
)=""
),
"",
INDEX(
'VISÃO LOGISTICA'!$D$2:$D$2000,
MATCH(
TRUE,
ISNUMBER(FIND(B44,'VISÃO LOGISTICA'!$A$2:$A$2000)),
0
)
)
),
""
)</f>
        <v>DPE0I50</v>
      </c>
      <c r="K44" s="10">
        <f>IFERROR(
IF(
_xlfn.XLOOKUP(
B44,
'LOCALIZAÇÃO DE CARGA'!$A$2:$A$702,
'LOCALIZAÇÃO DE CARGA'!$E$2:$E$702)="",
"",
_xlfn.XLOOKUP(
B44,
'LOCALIZAÇÃO DE CARGA'!$A$2:$A$702,
'LOCALIZAÇÃO DE CARGA'!$E$2:$E$702)
),
""
)</f>
        <v>476350.7</v>
      </c>
      <c r="L44" s="20" cm="1">
        <f t="array" ref="L44">IFERROR(
_xlfn.LET(
_xlpm.res,_xlfn.XLOOKUP(B44,'LOCALIZAÇÃO DE CARGA'!$A$2:$A$2000,'LOCALIZAÇÃO DE CARGA'!$G$2:$G$2000),
IF(_xlpm.res="","",_xlpm.res)
),
""
)</f>
        <v>46159.823611111111</v>
      </c>
      <c r="M44" s="20" cm="1">
        <f t="array" ref="M44">IFERROR(
_xlfn.LET(
_xlpm.load,_xlfn.XLOOKUP(B44,'LOCALIZAÇÃO DE CARGA'!$A$2:$A$2000,'LOCALIZAÇÃO DE CARGA'!$A$2:$A$2000),
_xlpm.res,_xlfn.XLOOKUP(_xlpm.load,DOCUMENTOS!$A$2:$A$2000,DOCUMENTOS!$D$2:$D$2000),
IF(_xlpm.res="","",_xlpm.res)
),
""
)</f>
        <v>46157.708333333336</v>
      </c>
      <c r="N44" s="6">
        <f>IFERROR(IF(M44="","",M44-TIME(1,0,0)),"")</f>
        <v>46157.666666666672</v>
      </c>
      <c r="O44" s="6" cm="1">
        <f t="array" ref="O44">IFERROR(
_xlfn.LET(
_xlpm.res,_xlfn.XLOOKUP(B44,'LOCALIZAÇÃO DE CARGA'!$A$2:$A$2000,'LOCALIZAÇÃO DE CARGA'!$S$2:$S$2000),
IF(_xlpm.res="","",_xlpm.res)
),
""
)</f>
        <v>46163.25</v>
      </c>
      <c r="P44" s="6" cm="1">
        <f t="array" ref="P44">IFERROR(
_xlfn.LET(
_xlpm.res,_xlfn.XLOOKUP(B44,'LOCALIZAÇÃO DE CARGA'!$A$2:$A$702,'LOCALIZAÇÃO DE CARGA'!$T$2:$T$702),
IF(_xlpm.res="","",_xlpm.res)
),
""
)</f>
        <v>46159.588194444441</v>
      </c>
      <c r="Q44" s="5" t="str">
        <f>IFERROR(
IF(
_xlfn.XLOOKUP(
B44,
'LOCALIZAÇÃO DE CARGA'!$A$2:$A$702,
'LOCALIZAÇÃO DE CARGA'!$K$2:$K$702
)="",
"",
_xlfn.XLOOKUP(
B44,
'LOCALIZAÇÃO DE CARGA'!$A$2:$A$702,
'LOCALIZAÇÃO DE CARGA'!$K$2:$K$702
)
),
""
)</f>
        <v>ARMAZEM MATEUS S.A - 54503010</v>
      </c>
      <c r="R44" s="5" t="str">
        <f t="shared" si="2"/>
        <v>ARMAZEM MATEUS S.A</v>
      </c>
      <c r="S44" s="5" t="str" cm="1">
        <f t="array" ref="S44">IF(B44="","",IFERROR(
INDEX(
'VISÃO LOGISTICA'!$L$2:$L$525,
MATCH(
TRUE,
ISNUMBER(FIND(B44,'VISÃO LOGISTICA'!$A$2:$A$525)),
0
)
),
""
))</f>
        <v>SAO SEBASTIAO DA BELA VISTA/MG/BRASIL</v>
      </c>
      <c r="T44" s="5" t="str">
        <f>IFERROR(
_xlfn.LET(
_xlpm.res,_xlfn.XLOOKUP(B44,'LOCALIZAÇÃO DE CARGA'!$A$2:$A$702,'LOCALIZAÇÃO DE CARGA'!$R$2:$R$702),
IF(_xlpm.res="","",_xlpm.res)
),
""
)</f>
        <v>CABO DE SANTO AGOSTINHO/PE/BRASIL</v>
      </c>
    </row>
    <row r="45" spans="1:20">
      <c r="A45" s="14">
        <f t="shared" si="0"/>
        <v>46158</v>
      </c>
      <c r="B45" s="5">
        <v>6023296</v>
      </c>
      <c r="C45" s="45" t="str">
        <f t="shared" ca="1" si="1"/>
        <v>NA CLIF - COM SMP - AGUARDANDO SAÍDA</v>
      </c>
      <c r="D45" s="28"/>
      <c r="E45" s="28" t="str">
        <f>IFERROR(
IF(
_xlfn.XLOOKUP(
B45,
'LOCALIZAÇÃO DE CARGA'!$A$2:$A$702,
'LOCALIZAÇÃO DE CARGA'!$D$2:$D$702
)="",
"",
_xlfn.XLOOKUP(
B45,
'LOCALIZAÇÃO DE CARGA'!$A$2:$A$702,
'LOCALIZAÇÃO DE CARGA'!$D$2:$D$702
)
),
""
)</f>
        <v/>
      </c>
      <c r="F45" s="13" t="str">
        <f>IFERROR(
IF(
_xlfn.XLOOKUP(
B45,
'LOCALIZAÇÃO DE CARGA'!$A$2:$A$702,
'LOCALIZAÇÃO DE CARGA'!$H$2:$H$702
)="",
"",
_xlfn.XLOOKUP(
B45,
'LOCALIZAÇÃO DE CARGA'!$A$2:$A$702,
'LOCALIZAÇÃO DE CARGA'!$H$2:$H$702
)
),
""
)</f>
        <v>TRANSP RODOWAY LTDA</v>
      </c>
      <c r="G45" s="5" t="str">
        <f>IFERROR(
IF(
_xlfn.XLOOKUP(
B45,
'LOCALIZAÇÃO DE CARGA'!$A$2:$A$702,
'LOCALIZAÇÃO DE CARGA'!$I$2:$I$702
)="",
"",
_xlfn.XLOOKUP(
B45,
'LOCALIZAÇÃO DE CARGA'!$A$2:$A$702,
'LOCALIZAÇÃO DE CARGA'!$I$2:$I$702
)
),
""
)</f>
        <v>LGSCT</v>
      </c>
      <c r="H45" s="5" t="str">
        <f>IFERROR(
IF(
_xlfn.XLOOKUP(
B45,
'LOCALIZAÇÃO DE CARGA'!$A$2:$A$702,
'LOCALIZAÇÃO DE CARGA'!$F$2:$F$702
)="",
"",
_xlfn.XLOOKUP(
B45,
'LOCALIZAÇÃO DE CARGA'!$A$2:$A$702,
'LOCALIZAÇÃO DE CARGA'!$F$2:$F$702
)
),
""
)</f>
        <v>Andamento</v>
      </c>
      <c r="I45" s="13" t="str" cm="1">
        <f t="array" ref="I45">IFERROR(
IF(
INDEX(
'VISÃO LOGISTICA'!$C$2:$C$525,
MATCH(
TRUE,
ISNUMBER(FIND(B45,'VISÃO LOGISTICA'!$A$2:$A$525)),
0
)
)="Em espera",
"",
INDEX(
'VISÃO LOGISTICA'!$C$2:$C$525,
MATCH(
TRUE,
ISNUMBER(FIND(B45,'VISÃO LOGISTICA'!$A$2:$A$525)),
0
)
)
),
""
)</f>
        <v>Em Viagem</v>
      </c>
      <c r="J45" s="5" t="str" cm="1">
        <f t="array" ref="J45">IFERROR(
IF(
OR(
INDEX(
'VISÃO LOGISTICA'!$C$2:$C$2000,
MATCH(
TRUE,
ISNUMBER(FIND(B45,'VISÃO LOGISTICA'!$A$2:$A$2000)),
0
)
)="Em espera",
INDEX(
'VISÃO LOGISTICA'!$C$2:$C$2000,
MATCH(
TRUE,
ISNUMBER(FIND(B45,'VISÃO LOGISTICA'!$A$2:$A$2000)),
0
)
)=""
),
"",
INDEX(
'VISÃO LOGISTICA'!$D$2:$D$2000,
MATCH(
TRUE,
ISNUMBER(FIND(B45,'VISÃO LOGISTICA'!$A$2:$A$2000)),
0
)
)
),
""
)</f>
        <v>QJZ2D94</v>
      </c>
      <c r="K45" s="10">
        <f>IFERROR(
IF(
_xlfn.XLOOKUP(
B45,
'LOCALIZAÇÃO DE CARGA'!$A$2:$A$702,
'LOCALIZAÇÃO DE CARGA'!$E$2:$E$702)="",
"",
_xlfn.XLOOKUP(
B45,
'LOCALIZAÇÃO DE CARGA'!$A$2:$A$702,
'LOCALIZAÇÃO DE CARGA'!$E$2:$E$702)
),
""
)</f>
        <v>471173.04</v>
      </c>
      <c r="L45" s="20" cm="1">
        <f t="array" ref="L45">IFERROR(
_xlfn.LET(
_xlpm.res,_xlfn.XLOOKUP(B45,'LOCALIZAÇÃO DE CARGA'!$A$2:$A$2000,'LOCALIZAÇÃO DE CARGA'!$G$2:$G$2000),
IF(_xlpm.res="","",_xlpm.res)
),
""
)</f>
        <v>46160.11041666667</v>
      </c>
      <c r="M45" s="20" cm="1">
        <f t="array" ref="M45">IFERROR(
_xlfn.LET(
_xlpm.load,_xlfn.XLOOKUP(B45,'LOCALIZAÇÃO DE CARGA'!$A$2:$A$2000,'LOCALIZAÇÃO DE CARGA'!$A$2:$A$2000),
_xlpm.res,_xlfn.XLOOKUP(_xlpm.load,DOCUMENTOS!$A$2:$A$2000,DOCUMENTOS!$D$2:$D$2000),
IF(_xlpm.res="","",_xlpm.res)
),
""
)</f>
        <v>46158.395833333336</v>
      </c>
      <c r="N45" s="6">
        <f>IFERROR(IF(M45="","",M45-TIME(1,0,0)),"")</f>
        <v>46158.354166666672</v>
      </c>
      <c r="O45" s="6" cm="1">
        <f t="array" ref="O45">IFERROR(
_xlfn.LET(
_xlpm.res,_xlfn.XLOOKUP(B45,'LOCALIZAÇÃO DE CARGA'!$A$2:$A$2000,'LOCALIZAÇÃO DE CARGA'!$S$2:$S$2000),
IF(_xlpm.res="","",_xlpm.res)
),
""
)</f>
        <v>46160.25</v>
      </c>
      <c r="P45" s="6" cm="1">
        <f t="array" ref="P45">IFERROR(
_xlfn.LET(
_xlpm.res,_xlfn.XLOOKUP(B45,'LOCALIZAÇÃO DE CARGA'!$A$2:$A$702,'LOCALIZAÇÃO DE CARGA'!$T$2:$T$702),
IF(_xlpm.res="","",_xlpm.res)
),
""
)</f>
        <v>46158.69027777778</v>
      </c>
      <c r="Q45" s="5" t="str">
        <f>IFERROR(
IF(
_xlfn.XLOOKUP(
B45,
'LOCALIZAÇÃO DE CARGA'!$A$2:$A$702,
'LOCALIZAÇÃO DE CARGA'!$K$2:$K$702
)="",
"",
_xlfn.XLOOKUP(
B45,
'LOCALIZAÇÃO DE CARGA'!$A$2:$A$702,
'LOCALIZAÇÃO DE CARGA'!$K$2:$K$702
)
),
""
)</f>
        <v>LOJAS COLOMBO S/A COM UTILIDADES DOMESTICAS - 81350240</v>
      </c>
      <c r="R45" s="5" t="str">
        <f t="shared" si="2"/>
        <v>LOJAS COLOMBO S/A COM UTILIDADES DOMESTICAS</v>
      </c>
      <c r="S45" s="5" t="str" cm="1">
        <f t="array" ref="S45">IF(B45="","",IFERROR(
INDEX(
'VISÃO LOGISTICA'!$L$2:$L$525,
MATCH(
TRUE,
ISNUMBER(FIND(B45,'VISÃO LOGISTICA'!$A$2:$A$525)),
0
)
),
""
))</f>
        <v>ITAPOA/SC/BRASIL</v>
      </c>
      <c r="T45" s="5" t="str">
        <f>IFERROR(
_xlfn.LET(
_xlpm.res,_xlfn.XLOOKUP(B45,'LOCALIZAÇÃO DE CARGA'!$A$2:$A$702,'LOCALIZAÇÃO DE CARGA'!$R$2:$R$702),
IF(_xlpm.res="","",_xlpm.res)
),
""
)</f>
        <v>CURITIBA/PR/BRASIL</v>
      </c>
    </row>
    <row r="46" spans="1:20">
      <c r="A46" s="14">
        <f t="shared" si="0"/>
        <v>46157</v>
      </c>
      <c r="B46" s="5">
        <v>6022339</v>
      </c>
      <c r="C46" s="45" t="str">
        <f t="shared" ca="1" si="1"/>
        <v>NA CLIF - COM SMP - AGUARDANDO SAÍDA</v>
      </c>
      <c r="D46" s="28"/>
      <c r="E46" s="28" t="str">
        <f>IFERROR(
IF(
_xlfn.XLOOKUP(
B46,
'LOCALIZAÇÃO DE CARGA'!$A$2:$A$702,
'LOCALIZAÇÃO DE CARGA'!$D$2:$D$702
)="",
"",
_xlfn.XLOOKUP(
B46,
'LOCALIZAÇÃO DE CARGA'!$A$2:$A$702,
'LOCALIZAÇÃO DE CARGA'!$D$2:$D$702
)
),
""
)</f>
        <v/>
      </c>
      <c r="F46" s="13" t="str">
        <f>IFERROR(
IF(
_xlfn.XLOOKUP(
B46,
'LOCALIZAÇÃO DE CARGA'!$A$2:$A$702,
'LOCALIZAÇÃO DE CARGA'!$H$2:$H$702
)="",
"",
_xlfn.XLOOKUP(
B46,
'LOCALIZAÇÃO DE CARGA'!$A$2:$A$702,
'LOCALIZAÇÃO DE CARGA'!$H$2:$H$702
)
),
""
)</f>
        <v>TRANSP RODOWAY LTDA</v>
      </c>
      <c r="G46" s="5" t="str">
        <f>IFERROR(
IF(
_xlfn.XLOOKUP(
B46,
'LOCALIZAÇÃO DE CARGA'!$A$2:$A$702,
'LOCALIZAÇÃO DE CARGA'!$I$2:$I$702
)="",
"",
_xlfn.XLOOKUP(
B46,
'LOCALIZAÇÃO DE CARGA'!$A$2:$A$702,
'LOCALIZAÇÃO DE CARGA'!$I$2:$I$702
)
),
""
)</f>
        <v>LGSCT</v>
      </c>
      <c r="H46" s="5" t="str">
        <f>IFERROR(
IF(
_xlfn.XLOOKUP(
B46,
'LOCALIZAÇÃO DE CARGA'!$A$2:$A$702,
'LOCALIZAÇÃO DE CARGA'!$F$2:$F$702
)="",
"",
_xlfn.XLOOKUP(
B46,
'LOCALIZAÇÃO DE CARGA'!$A$2:$A$702,
'LOCALIZAÇÃO DE CARGA'!$F$2:$F$702
)
),
""
)</f>
        <v>Andamento</v>
      </c>
      <c r="I46" s="13" t="str" cm="1">
        <f t="array" ref="I46">IFERROR(
IF(
INDEX(
'VISÃO LOGISTICA'!$C$2:$C$525,
MATCH(
TRUE,
ISNUMBER(FIND(B46,'VISÃO LOGISTICA'!$A$2:$A$525)),
0
)
)="Em espera",
"",
INDEX(
'VISÃO LOGISTICA'!$C$2:$C$525,
MATCH(
TRUE,
ISNUMBER(FIND(B46,'VISÃO LOGISTICA'!$A$2:$A$525)),
0
)
)
),
""
)</f>
        <v>Em Viagem</v>
      </c>
      <c r="J46" s="5" t="str" cm="1">
        <f t="array" ref="J46">IFERROR(
IF(
OR(
INDEX(
'VISÃO LOGISTICA'!$C$2:$C$2000,
MATCH(
TRUE,
ISNUMBER(FIND(B46,'VISÃO LOGISTICA'!$A$2:$A$2000)),
0
)
)="Em espera",
INDEX(
'VISÃO LOGISTICA'!$C$2:$C$2000,
MATCH(
TRUE,
ISNUMBER(FIND(B46,'VISÃO LOGISTICA'!$A$2:$A$2000)),
0
)
)=""
),
"",
INDEX(
'VISÃO LOGISTICA'!$D$2:$D$2000,
MATCH(
TRUE,
ISNUMBER(FIND(B46,'VISÃO LOGISTICA'!$A$2:$A$2000)),
0
)
)
),
""
)</f>
        <v>AUK5C54</v>
      </c>
      <c r="K46" s="10">
        <f>IFERROR(
IF(
_xlfn.XLOOKUP(
B46,
'LOCALIZAÇÃO DE CARGA'!$A$2:$A$702,
'LOCALIZAÇÃO DE CARGA'!$E$2:$E$702)="",
"",
_xlfn.XLOOKUP(
B46,
'LOCALIZAÇÃO DE CARGA'!$A$2:$A$702,
'LOCALIZAÇÃO DE CARGA'!$E$2:$E$702)
),
""
)</f>
        <v>466803</v>
      </c>
      <c r="L46" s="20" cm="1">
        <f t="array" ref="L46">IFERROR(
_xlfn.LET(
_xlpm.res,_xlfn.XLOOKUP(B46,'LOCALIZAÇÃO DE CARGA'!$A$2:$A$2000,'LOCALIZAÇÃO DE CARGA'!$G$2:$G$2000),
IF(_xlpm.res="","",_xlpm.res)
),
""
)</f>
        <v>46159.245138888888</v>
      </c>
      <c r="M46" s="20" cm="1">
        <f t="array" ref="M46">IFERROR(
_xlfn.LET(
_xlpm.load,_xlfn.XLOOKUP(B46,'LOCALIZAÇÃO DE CARGA'!$A$2:$A$2000,'LOCALIZAÇÃO DE CARGA'!$A$2:$A$2000),
_xlpm.res,_xlfn.XLOOKUP(_xlpm.load,DOCUMENTOS!$A$2:$A$2000,DOCUMENTOS!$D$2:$D$2000),
IF(_xlpm.res="","",_xlpm.res)
),
""
)</f>
        <v>46157.416666666664</v>
      </c>
      <c r="N46" s="6">
        <f>IFERROR(IF(M46="","",M46-TIME(1,0,0)),"")</f>
        <v>46157.375</v>
      </c>
      <c r="O46" s="6" cm="1">
        <f t="array" ref="O46">IFERROR(
_xlfn.LET(
_xlpm.res,_xlfn.XLOOKUP(B46,'LOCALIZAÇÃO DE CARGA'!$A$2:$A$2000,'LOCALIZAÇÃO DE CARGA'!$S$2:$S$2000),
IF(_xlpm.res="","",_xlpm.res)
),
""
)</f>
        <v>46160.291666666664</v>
      </c>
      <c r="P46" s="6" cm="1">
        <f t="array" ref="P46">IFERROR(
_xlfn.LET(
_xlpm.res,_xlfn.XLOOKUP(B46,'LOCALIZAÇÃO DE CARGA'!$A$2:$A$702,'LOCALIZAÇÃO DE CARGA'!$T$2:$T$702),
IF(_xlpm.res="","",_xlpm.res)
),
""
)</f>
        <v>46159.045138888891</v>
      </c>
      <c r="Q46" s="5" t="str">
        <f>IFERROR(
IF(
_xlfn.XLOOKUP(
B46,
'LOCALIZAÇÃO DE CARGA'!$A$2:$A$702,
'LOCALIZAÇÃO DE CARGA'!$K$2:$K$702
)="",
"",
_xlfn.XLOOKUP(
B46,
'LOCALIZAÇÃO DE CARGA'!$A$2:$A$702,
'LOCALIZAÇÃO DE CARGA'!$K$2:$K$702
)
),
""
)</f>
        <v>LOJAS BECKER LTDA - 97900000</v>
      </c>
      <c r="R46" s="5" t="str">
        <f t="shared" si="2"/>
        <v>LOJAS BECKER LTDA</v>
      </c>
      <c r="S46" s="5" t="str" cm="1">
        <f t="array" ref="S46">IF(B46="","",IFERROR(
INDEX(
'VISÃO LOGISTICA'!$L$2:$L$525,
MATCH(
TRUE,
ISNUMBER(FIND(B46,'VISÃO LOGISTICA'!$A$2:$A$525)),
0
)
),
""
))</f>
        <v>ITAPOA/SC/BRASIL</v>
      </c>
      <c r="T46" s="5" t="str">
        <f>IFERROR(
_xlfn.LET(
_xlpm.res,_xlfn.XLOOKUP(B46,'LOCALIZAÇÃO DE CARGA'!$A$2:$A$702,'LOCALIZAÇÃO DE CARGA'!$R$2:$R$702),
IF(_xlpm.res="","",_xlpm.res)
),
""
)</f>
        <v>CERRO LARGO/RS/BRASIL</v>
      </c>
    </row>
    <row r="47" spans="1:20">
      <c r="A47" s="14">
        <f t="shared" si="0"/>
        <v>46160</v>
      </c>
      <c r="B47" s="5">
        <v>6021735</v>
      </c>
      <c r="C47" s="45" t="str">
        <f t="shared" ca="1" si="1"/>
        <v>OK - NO PRAZO</v>
      </c>
      <c r="D47" s="28"/>
      <c r="E47" s="28" t="str">
        <f>IFERROR(
IF(
_xlfn.XLOOKUP(
B47,
'LOCALIZAÇÃO DE CARGA'!$A$2:$A$702,
'LOCALIZAÇÃO DE CARGA'!$D$2:$D$702
)="",
"",
_xlfn.XLOOKUP(
B47,
'LOCALIZAÇÃO DE CARGA'!$A$2:$A$702,
'LOCALIZAÇÃO DE CARGA'!$D$2:$D$702
)
),
""
)</f>
        <v/>
      </c>
      <c r="F47" s="13" t="str">
        <f>IFERROR(
IF(
_xlfn.XLOOKUP(
B47,
'LOCALIZAÇÃO DE CARGA'!$A$2:$A$702,
'LOCALIZAÇÃO DE CARGA'!$H$2:$H$702
)="",
"",
_xlfn.XLOOKUP(
B47,
'LOCALIZAÇÃO DE CARGA'!$A$2:$A$702,
'LOCALIZAÇÃO DE CARGA'!$H$2:$H$702
)
),
""
)</f>
        <v>RODOPENHA</v>
      </c>
      <c r="G47" s="5" t="str">
        <f>IFERROR(
IF(
_xlfn.XLOOKUP(
B47,
'LOCALIZAÇÃO DE CARGA'!$A$2:$A$702,
'LOCALIZAÇÃO DE CARGA'!$I$2:$I$702
)="",
"",
_xlfn.XLOOKUP(
B47,
'LOCALIZAÇÃO DE CARGA'!$A$2:$A$702,
'LOCALIZAÇÃO DE CARGA'!$I$2:$I$702
)
),
""
)</f>
        <v>LGREC</v>
      </c>
      <c r="H47" s="5" t="str">
        <f>IFERROR(
IF(
_xlfn.XLOOKUP(
B47,
'LOCALIZAÇÃO DE CARGA'!$A$2:$A$702,
'LOCALIZAÇÃO DE CARGA'!$F$2:$F$702
)="",
"",
_xlfn.XLOOKUP(
B47,
'LOCALIZAÇÃO DE CARGA'!$A$2:$A$702,
'LOCALIZAÇÃO DE CARGA'!$F$2:$F$702
)
),
""
)</f>
        <v>Não iniciado</v>
      </c>
      <c r="I47" s="13" t="str" cm="1">
        <f t="array" ref="I47">IFERROR(
IF(
INDEX(
'VISÃO LOGISTICA'!$C$2:$C$525,
MATCH(
TRUE,
ISNUMBER(FIND(B47,'VISÃO LOGISTICA'!$A$2:$A$525)),
0
)
)="Em espera",
"",
INDEX(
'VISÃO LOGISTICA'!$C$2:$C$525,
MATCH(
TRUE,
ISNUMBER(FIND(B47,'VISÃO LOGISTICA'!$A$2:$A$525)),
0
)
)
),
""
)</f>
        <v/>
      </c>
      <c r="J47" s="5" t="str" cm="1">
        <f t="array" ref="J47">IFERROR(
IF(
OR(
INDEX(
'VISÃO LOGISTICA'!$C$2:$C$2000,
MATCH(
TRUE,
ISNUMBER(FIND(B47,'VISÃO LOGISTICA'!$A$2:$A$2000)),
0
)
)="Em espera",
INDEX(
'VISÃO LOGISTICA'!$C$2:$C$2000,
MATCH(
TRUE,
ISNUMBER(FIND(B47,'VISÃO LOGISTICA'!$A$2:$A$2000)),
0
)
)=""
),
"",
INDEX(
'VISÃO LOGISTICA'!$D$2:$D$2000,
MATCH(
TRUE,
ISNUMBER(FIND(B47,'VISÃO LOGISTICA'!$A$2:$A$2000)),
0
)
)
),
""
)</f>
        <v/>
      </c>
      <c r="K47" s="10">
        <f>IFERROR(
IF(
_xlfn.XLOOKUP(
B47,
'LOCALIZAÇÃO DE CARGA'!$A$2:$A$702,
'LOCALIZAÇÃO DE CARGA'!$E$2:$E$702)="",
"",
_xlfn.XLOOKUP(
B47,
'LOCALIZAÇÃO DE CARGA'!$A$2:$A$702,
'LOCALIZAÇÃO DE CARGA'!$E$2:$E$702)
),
""
)</f>
        <v>461311.14</v>
      </c>
      <c r="L47" s="20" cm="1">
        <f t="array" ref="L47">IFERROR(
_xlfn.LET(
_xlpm.res,_xlfn.XLOOKUP(B47,'LOCALIZAÇÃO DE CARGA'!$A$2:$A$2000,'LOCALIZAÇÃO DE CARGA'!$G$2:$G$2000),
IF(_xlpm.res="","",_xlpm.res)
),
""
)</f>
        <v>46160.854166666664</v>
      </c>
      <c r="M47" s="6" cm="1">
        <f t="array" ref="M47">IFERROR(
_xlfn.LET(
_xlpm.load,_xlfn.XLOOKUP(B47,'LOCALIZAÇÃO DE CARGA'!$A$2:$A$2000,'LOCALIZAÇÃO DE CARGA'!$A$2:$A$2000),
_xlpm.res,_xlfn.XLOOKUP(_xlpm.load,DOCUMENTOS!$A$2:$A$2000,DOCUMENTOS!$D$2:$D$2000),
IF(_xlpm.res="","",_xlpm.res)
),
""
)</f>
        <v>46160.854166666664</v>
      </c>
      <c r="N47" s="6">
        <f>IFERROR(IF(M47="","",M47-TIME(1,0,0)),"")</f>
        <v>46160.8125</v>
      </c>
      <c r="O47" s="6" cm="1">
        <f t="array" ref="O47">IFERROR(
_xlfn.LET(
_xlpm.res,_xlfn.XLOOKUP(B47,'LOCALIZAÇÃO DE CARGA'!$A$2:$A$2000,'LOCALIZAÇÃO DE CARGA'!$S$2:$S$2000),
IF(_xlpm.res="","",_xlpm.res)
),
""
)</f>
        <v>46162.25</v>
      </c>
      <c r="P47" s="6" t="str" cm="1">
        <f t="array" ref="P47">IFERROR(
_xlfn.LET(
_xlpm.res,_xlfn.XLOOKUP(B47,'LOCALIZAÇÃO DE CARGA'!$A$2:$A$702,'LOCALIZAÇÃO DE CARGA'!$T$2:$T$702),
IF(_xlpm.res="","",_xlpm.res)
),
""
)</f>
        <v/>
      </c>
      <c r="Q47" s="5" t="str">
        <f>IFERROR(
IF(
_xlfn.XLOOKUP(
B47,
'LOCALIZAÇÃO DE CARGA'!$A$2:$A$702,
'LOCALIZAÇÃO DE CARGA'!$K$2:$K$702
)="",
"",
_xlfn.XLOOKUP(
B47,
'LOCALIZAÇÃO DE CARGA'!$A$2:$A$702,
'LOCALIZAÇÃO DE CARGA'!$K$2:$K$702
)
),
""
)</f>
        <v>GRUPO CASAS BAHIA S.A(CD1400) - 42816270</v>
      </c>
      <c r="R47" s="5" t="str">
        <f t="shared" si="2"/>
        <v>GRUPO CASAS BAHIA S.A</v>
      </c>
      <c r="S47" s="5" t="str" cm="1">
        <f t="array" ref="S47">IF(B47="","",IFERROR(
INDEX(
'VISÃO LOGISTICA'!$L$2:$L$525,
MATCH(
TRUE,
ISNUMBER(FIND(B47,'VISÃO LOGISTICA'!$A$2:$A$525)),
0
)
),
""
))</f>
        <v/>
      </c>
      <c r="T47" s="5" t="str">
        <f>IFERROR(
_xlfn.LET(
_xlpm.res,_xlfn.XLOOKUP(B47,'LOCALIZAÇÃO DE CARGA'!$A$2:$A$702,'LOCALIZAÇÃO DE CARGA'!$R$2:$R$702),
IF(_xlpm.res="","",_xlpm.res)
),
""
)</f>
        <v>CAMACARI/BA/BRASIL</v>
      </c>
    </row>
    <row r="48" spans="1:20">
      <c r="A48" s="14">
        <f t="shared" si="0"/>
        <v>46157</v>
      </c>
      <c r="B48" s="5">
        <v>6022203</v>
      </c>
      <c r="C48" s="45" t="str">
        <f t="shared" ca="1" si="1"/>
        <v>NA CLIF - COM SMP - AGUARDANDO SAÍDA</v>
      </c>
      <c r="D48" s="28"/>
      <c r="E48" s="28" t="str">
        <f>IFERROR(
IF(
_xlfn.XLOOKUP(
B48,
'LOCALIZAÇÃO DE CARGA'!$A$2:$A$702,
'LOCALIZAÇÃO DE CARGA'!$D$2:$D$702
)="",
"",
_xlfn.XLOOKUP(
B48,
'LOCALIZAÇÃO DE CARGA'!$A$2:$A$702,
'LOCALIZAÇÃO DE CARGA'!$D$2:$D$702
)
),
""
)</f>
        <v/>
      </c>
      <c r="F48" s="13" t="str">
        <f>IFERROR(
IF(
_xlfn.XLOOKUP(
B48,
'LOCALIZAÇÃO DE CARGA'!$A$2:$A$702,
'LOCALIZAÇÃO DE CARGA'!$H$2:$H$702
)="",
"",
_xlfn.XLOOKUP(
B48,
'LOCALIZAÇÃO DE CARGA'!$A$2:$A$702,
'LOCALIZAÇÃO DE CARGA'!$H$2:$H$702
)
),
""
)</f>
        <v>VIPE TRANSPO</v>
      </c>
      <c r="G48" s="5" t="str">
        <f>IFERROR(
IF(
_xlfn.XLOOKUP(
B48,
'LOCALIZAÇÃO DE CARGA'!$A$2:$A$702,
'LOCALIZAÇÃO DE CARGA'!$I$2:$I$702
)="",
"",
_xlfn.XLOOKUP(
B48,
'LOCALIZAÇÃO DE CARGA'!$A$2:$A$702,
'LOCALIZAÇÃO DE CARGA'!$I$2:$I$702
)
),
""
)</f>
        <v>LGSCT</v>
      </c>
      <c r="H48" s="5" t="str">
        <f>IFERROR(
IF(
_xlfn.XLOOKUP(
B48,
'LOCALIZAÇÃO DE CARGA'!$A$2:$A$702,
'LOCALIZAÇÃO DE CARGA'!$F$2:$F$702
)="",
"",
_xlfn.XLOOKUP(
B48,
'LOCALIZAÇÃO DE CARGA'!$A$2:$A$702,
'LOCALIZAÇÃO DE CARGA'!$F$2:$F$702
)
),
""
)</f>
        <v>Andamento</v>
      </c>
      <c r="I48" s="13" t="str" cm="1">
        <f t="array" ref="I48">IFERROR(
IF(
INDEX(
'VISÃO LOGISTICA'!$C$2:$C$525,
MATCH(
TRUE,
ISNUMBER(FIND(B48,'VISÃO LOGISTICA'!$A$2:$A$525)),
0
)
)="Em espera",
"",
INDEX(
'VISÃO LOGISTICA'!$C$2:$C$525,
MATCH(
TRUE,
ISNUMBER(FIND(B48,'VISÃO LOGISTICA'!$A$2:$A$525)),
0
)
)
),
""
)</f>
        <v>Em Viagem</v>
      </c>
      <c r="J48" s="5" t="str" cm="1">
        <f t="array" ref="J48">IFERROR(
IF(
OR(
INDEX(
'VISÃO LOGISTICA'!$C$2:$C$2000,
MATCH(
TRUE,
ISNUMBER(FIND(B48,'VISÃO LOGISTICA'!$A$2:$A$2000)),
0
)
)="Em espera",
INDEX(
'VISÃO LOGISTICA'!$C$2:$C$2000,
MATCH(
TRUE,
ISNUMBER(FIND(B48,'VISÃO LOGISTICA'!$A$2:$A$2000)),
0
)
)=""
),
"",
INDEX(
'VISÃO LOGISTICA'!$D$2:$D$2000,
MATCH(
TRUE,
ISNUMBER(FIND(B48,'VISÃO LOGISTICA'!$A$2:$A$2000)),
0
)
)
),
""
)</f>
        <v>GCV2B82</v>
      </c>
      <c r="K48" s="10">
        <f>IFERROR(
IF(
_xlfn.XLOOKUP(
B48,
'LOCALIZAÇÃO DE CARGA'!$A$2:$A$702,
'LOCALIZAÇÃO DE CARGA'!$E$2:$E$702)="",
"",
_xlfn.XLOOKUP(
B48,
'LOCALIZAÇÃO DE CARGA'!$A$2:$A$702,
'LOCALIZAÇÃO DE CARGA'!$E$2:$E$702)
),
""
)</f>
        <v>446027.76</v>
      </c>
      <c r="L48" s="20" cm="1">
        <f t="array" ref="L48">IFERROR(
_xlfn.LET(
_xlpm.res,_xlfn.XLOOKUP(B48,'LOCALIZAÇÃO DE CARGA'!$A$2:$A$2000,'LOCALIZAÇÃO DE CARGA'!$G$2:$G$2000),
IF(_xlpm.res="","",_xlpm.res)
),
""
)</f>
        <v>46157.25</v>
      </c>
      <c r="M48" s="20" cm="1">
        <f t="array" ref="M48">IFERROR(
_xlfn.LET(
_xlpm.load,_xlfn.XLOOKUP(B48,'LOCALIZAÇÃO DE CARGA'!$A$2:$A$2000,'LOCALIZAÇÃO DE CARGA'!$A$2:$A$2000),
_xlpm.res,_xlfn.XLOOKUP(_xlpm.load,DOCUMENTOS!$A$2:$A$2000,DOCUMENTOS!$D$2:$D$2000),
IF(_xlpm.res="","",_xlpm.res)
),
""
)</f>
        <v>46157.25</v>
      </c>
      <c r="N48" s="6">
        <f>IFERROR(IF(M48="","",M48-TIME(1,0,0)),"")</f>
        <v>46157.208333333336</v>
      </c>
      <c r="O48" s="6" cm="1">
        <f t="array" ref="O48">IFERROR(
_xlfn.LET(
_xlpm.res,_xlfn.XLOOKUP(B48,'LOCALIZAÇÃO DE CARGA'!$A$2:$A$2000,'LOCALIZAÇÃO DE CARGA'!$S$2:$S$2000),
IF(_xlpm.res="","",_xlpm.res)
),
""
)</f>
        <v>46160.958333333336</v>
      </c>
      <c r="P48" s="6" cm="1">
        <f t="array" ref="P48">IFERROR(
_xlfn.LET(
_xlpm.res,_xlfn.XLOOKUP(B48,'LOCALIZAÇÃO DE CARGA'!$A$2:$A$702,'LOCALIZAÇÃO DE CARGA'!$T$2:$T$702),
IF(_xlpm.res="","",_xlpm.res)
),
""
)</f>
        <v>46158.82916666667</v>
      </c>
      <c r="Q48" s="5" t="str">
        <f>IFERROR(
IF(
_xlfn.XLOOKUP(
B48,
'LOCALIZAÇÃO DE CARGA'!$A$2:$A$702,
'LOCALIZAÇÃO DE CARGA'!$K$2:$K$702
)="",
"",
_xlfn.XLOOKUP(
B48,
'LOCALIZAÇÃO DE CARGA'!$A$2:$A$702,
'LOCALIZAÇÃO DE CARGA'!$K$2:$K$702
)
),
""
)</f>
        <v>GRUPO CASAS BAHIA S.A(CD1200) - 13203850</v>
      </c>
      <c r="R48" s="5" t="str">
        <f t="shared" si="2"/>
        <v>GRUPO CASAS BAHIA S.A</v>
      </c>
      <c r="S48" s="5" t="str" cm="1">
        <f t="array" ref="S48">IF(B48="","",IFERROR(
INDEX(
'VISÃO LOGISTICA'!$L$2:$L$525,
MATCH(
TRUE,
ISNUMBER(FIND(B48,'VISÃO LOGISTICA'!$A$2:$A$525)),
0
)
),
""
))</f>
        <v>ITAPOA/SC/BRASIL</v>
      </c>
      <c r="T48" s="5" t="str">
        <f>IFERROR(
_xlfn.LET(
_xlpm.res,_xlfn.XLOOKUP(B48,'LOCALIZAÇÃO DE CARGA'!$A$2:$A$702,'LOCALIZAÇÃO DE CARGA'!$R$2:$R$702),
IF(_xlpm.res="","",_xlpm.res)
),
""
)</f>
        <v>JUNDIAI/SP/BRASIL</v>
      </c>
    </row>
    <row r="49" spans="1:20">
      <c r="A49" s="14">
        <f t="shared" si="0"/>
        <v>46157</v>
      </c>
      <c r="B49" s="5">
        <v>6022219</v>
      </c>
      <c r="C49" s="45" t="str">
        <f t="shared" ca="1" si="1"/>
        <v>NA CLIF - COM SMP - AGUARDANDO SAÍDA</v>
      </c>
      <c r="D49" s="28"/>
      <c r="E49" s="28" t="str">
        <f>IFERROR(
IF(
_xlfn.XLOOKUP(
B49,
'LOCALIZAÇÃO DE CARGA'!$A$2:$A$702,
'LOCALIZAÇÃO DE CARGA'!$D$2:$D$702
)="",
"",
_xlfn.XLOOKUP(
B49,
'LOCALIZAÇÃO DE CARGA'!$A$2:$A$702,
'LOCALIZAÇÃO DE CARGA'!$D$2:$D$702
)
),
""
)</f>
        <v/>
      </c>
      <c r="F49" s="13" t="str">
        <f>IFERROR(
IF(
_xlfn.XLOOKUP(
B49,
'LOCALIZAÇÃO DE CARGA'!$A$2:$A$702,
'LOCALIZAÇÃO DE CARGA'!$H$2:$H$702
)="",
"",
_xlfn.XLOOKUP(
B49,
'LOCALIZAÇÃO DE CARGA'!$A$2:$A$702,
'LOCALIZAÇÃO DE CARGA'!$H$2:$H$702
)
),
""
)</f>
        <v>NEW LOG</v>
      </c>
      <c r="G49" s="5" t="str">
        <f>IFERROR(
IF(
_xlfn.XLOOKUP(
B49,
'LOCALIZAÇÃO DE CARGA'!$A$2:$A$702,
'LOCALIZAÇÃO DE CARGA'!$I$2:$I$702
)="",
"",
_xlfn.XLOOKUP(
B49,
'LOCALIZAÇÃO DE CARGA'!$A$2:$A$702,
'LOCALIZAÇÃO DE CARGA'!$I$2:$I$702
)
),
""
)</f>
        <v>LGSCT</v>
      </c>
      <c r="H49" s="5" t="str">
        <f>IFERROR(
IF(
_xlfn.XLOOKUP(
B49,
'LOCALIZAÇÃO DE CARGA'!$A$2:$A$702,
'LOCALIZAÇÃO DE CARGA'!$F$2:$F$702
)="",
"",
_xlfn.XLOOKUP(
B49,
'LOCALIZAÇÃO DE CARGA'!$A$2:$A$702,
'LOCALIZAÇÃO DE CARGA'!$F$2:$F$702
)
),
""
)</f>
        <v>Andamento</v>
      </c>
      <c r="I49" s="13" t="str" cm="1">
        <f t="array" ref="I49">IFERROR(
IF(
INDEX(
'VISÃO LOGISTICA'!$C$2:$C$525,
MATCH(
TRUE,
ISNUMBER(FIND(B49,'VISÃO LOGISTICA'!$A$2:$A$525)),
0
)
)="Em espera",
"",
INDEX(
'VISÃO LOGISTICA'!$C$2:$C$525,
MATCH(
TRUE,
ISNUMBER(FIND(B49,'VISÃO LOGISTICA'!$A$2:$A$525)),
0
)
)
),
""
)</f>
        <v>Em Viagem</v>
      </c>
      <c r="J49" s="5" t="str" cm="1">
        <f t="array" ref="J49">IFERROR(
IF(
OR(
INDEX(
'VISÃO LOGISTICA'!$C$2:$C$2000,
MATCH(
TRUE,
ISNUMBER(FIND(B49,'VISÃO LOGISTICA'!$A$2:$A$2000)),
0
)
)="Em espera",
INDEX(
'VISÃO LOGISTICA'!$C$2:$C$2000,
MATCH(
TRUE,
ISNUMBER(FIND(B49,'VISÃO LOGISTICA'!$A$2:$A$2000)),
0
)
)=""
),
"",
INDEX(
'VISÃO LOGISTICA'!$D$2:$D$2000,
MATCH(
TRUE,
ISNUMBER(FIND(B49,'VISÃO LOGISTICA'!$A$2:$A$2000)),
0
)
)
),
""
)</f>
        <v>AFI1D52</v>
      </c>
      <c r="K49" s="10">
        <f>IFERROR(
IF(
_xlfn.XLOOKUP(
B49,
'LOCALIZAÇÃO DE CARGA'!$A$2:$A$702,
'LOCALIZAÇÃO DE CARGA'!$E$2:$E$702)="",
"",
_xlfn.XLOOKUP(
B49,
'LOCALIZAÇÃO DE CARGA'!$A$2:$A$702,
'LOCALIZAÇÃO DE CARGA'!$E$2:$E$702)
),
""
)</f>
        <v>440059.46</v>
      </c>
      <c r="L49" s="20" cm="1">
        <f t="array" ref="L49">IFERROR(
_xlfn.LET(
_xlpm.res,_xlfn.XLOOKUP(B49,'LOCALIZAÇÃO DE CARGA'!$A$2:$A$2000,'LOCALIZAÇÃO DE CARGA'!$G$2:$G$2000),
IF(_xlpm.res="","",_xlpm.res)
),
""
)</f>
        <v>46157.25</v>
      </c>
      <c r="M49" s="20" cm="1">
        <f t="array" ref="M49">IFERROR(
_xlfn.LET(
_xlpm.load,_xlfn.XLOOKUP(B49,'LOCALIZAÇÃO DE CARGA'!$A$2:$A$2000,'LOCALIZAÇÃO DE CARGA'!$A$2:$A$2000),
_xlpm.res,_xlfn.XLOOKUP(_xlpm.load,DOCUMENTOS!$A$2:$A$2000,DOCUMENTOS!$D$2:$D$2000),
IF(_xlpm.res="","",_xlpm.res)
),
""
)</f>
        <v>46157.25</v>
      </c>
      <c r="N49" s="6">
        <f>IFERROR(IF(M49="","",M49-TIME(1,0,0)),"")</f>
        <v>46157.208333333336</v>
      </c>
      <c r="O49" s="6" cm="1">
        <f t="array" ref="O49">IFERROR(
_xlfn.LET(
_xlpm.res,_xlfn.XLOOKUP(B49,'LOCALIZAÇÃO DE CARGA'!$A$2:$A$2000,'LOCALIZAÇÃO DE CARGA'!$S$2:$S$2000),
IF(_xlpm.res="","",_xlpm.res)
),
""
)</f>
        <v>46160.958333333336</v>
      </c>
      <c r="P49" s="6" cm="1">
        <f t="array" ref="P49">IFERROR(
_xlfn.LET(
_xlpm.res,_xlfn.XLOOKUP(B49,'LOCALIZAÇÃO DE CARGA'!$A$2:$A$702,'LOCALIZAÇÃO DE CARGA'!$T$2:$T$702),
IF(_xlpm.res="","",_xlpm.res)
),
""
)</f>
        <v>46158.911111111112</v>
      </c>
      <c r="Q49" s="5" t="str">
        <f>IFERROR(
IF(
_xlfn.XLOOKUP(
B49,
'LOCALIZAÇÃO DE CARGA'!$A$2:$A$702,
'LOCALIZAÇÃO DE CARGA'!$K$2:$K$702
)="",
"",
_xlfn.XLOOKUP(
B49,
'LOCALIZAÇÃO DE CARGA'!$A$2:$A$702,
'LOCALIZAÇÃO DE CARGA'!$K$2:$K$702
)
),
""
)</f>
        <v>GRUPO CASAS BAHIA S.A(CD1445) - 94931350</v>
      </c>
      <c r="R49" s="5" t="str">
        <f t="shared" si="2"/>
        <v>GRUPO CASAS BAHIA S.A</v>
      </c>
      <c r="S49" s="5" t="str" cm="1">
        <f t="array" ref="S49">IF(B49="","",IFERROR(
INDEX(
'VISÃO LOGISTICA'!$L$2:$L$525,
MATCH(
TRUE,
ISNUMBER(FIND(B49,'VISÃO LOGISTICA'!$A$2:$A$525)),
0
)
),
""
))</f>
        <v>ITAPOA/SC/BRASIL</v>
      </c>
      <c r="T49" s="5" t="str">
        <f>IFERROR(
_xlfn.LET(
_xlpm.res,_xlfn.XLOOKUP(B49,'LOCALIZAÇÃO DE CARGA'!$A$2:$A$702,'LOCALIZAÇÃO DE CARGA'!$R$2:$R$702),
IF(_xlpm.res="","",_xlpm.res)
),
""
)</f>
        <v>CACHOEIRINHA/RS/BRASIL</v>
      </c>
    </row>
    <row r="50" spans="1:20">
      <c r="A50" s="14">
        <f t="shared" si="0"/>
        <v>46157</v>
      </c>
      <c r="B50" s="5">
        <v>6014918</v>
      </c>
      <c r="C50" s="45" t="str">
        <f t="shared" ca="1" si="1"/>
        <v>ATRASADO CARREGAMENTO - SEM SMP</v>
      </c>
      <c r="D50" s="28"/>
      <c r="E50" s="28" t="str">
        <f>IFERROR(
IF(
_xlfn.XLOOKUP(
B50,
'LOCALIZAÇÃO DE CARGA'!$A$2:$A$702,
'LOCALIZAÇÃO DE CARGA'!$D$2:$D$702
)="",
"",
_xlfn.XLOOKUP(
B50,
'LOCALIZAÇÃO DE CARGA'!$A$2:$A$702,
'LOCALIZAÇÃO DE CARGA'!$D$2:$D$702
)
),
""
)</f>
        <v/>
      </c>
      <c r="F50" s="13" t="str">
        <f>IFERROR(
IF(
_xlfn.XLOOKUP(
B50,
'LOCALIZAÇÃO DE CARGA'!$A$2:$A$702,
'LOCALIZAÇÃO DE CARGA'!$H$2:$H$702
)="",
"",
_xlfn.XLOOKUP(
B50,
'LOCALIZAÇÃO DE CARGA'!$A$2:$A$702,
'LOCALIZAÇÃO DE CARGA'!$H$2:$H$702
)
),
""
)</f>
        <v>TRANSBOCAYUV</v>
      </c>
      <c r="G50" s="5" t="str">
        <f>IFERROR(
IF(
_xlfn.XLOOKUP(
B50,
'LOCALIZAÇÃO DE CARGA'!$A$2:$A$702,
'LOCALIZAÇÃO DE CARGA'!$I$2:$I$702
)="",
"",
_xlfn.XLOOKUP(
B50,
'LOCALIZAÇÃO DE CARGA'!$A$2:$A$702,
'LOCALIZAÇÃO DE CARGA'!$I$2:$I$702
)
),
""
)</f>
        <v>LGSCT</v>
      </c>
      <c r="H50" s="5" t="str">
        <f>IFERROR(
IF(
_xlfn.XLOOKUP(
B50,
'LOCALIZAÇÃO DE CARGA'!$A$2:$A$702,
'LOCALIZAÇÃO DE CARGA'!$F$2:$F$702
)="",
"",
_xlfn.XLOOKUP(
B50,
'LOCALIZAÇÃO DE CARGA'!$A$2:$A$702,
'LOCALIZAÇÃO DE CARGA'!$F$2:$F$702
)
),
""
)</f>
        <v>Não iniciado</v>
      </c>
      <c r="I50" s="13" t="str" cm="1">
        <f t="array" ref="I50">IFERROR(
IF(
INDEX(
'VISÃO LOGISTICA'!$C$2:$C$525,
MATCH(
TRUE,
ISNUMBER(FIND(B50,'VISÃO LOGISTICA'!$A$2:$A$525)),
0
)
)="Em espera",
"",
INDEX(
'VISÃO LOGISTICA'!$C$2:$C$525,
MATCH(
TRUE,
ISNUMBER(FIND(B50,'VISÃO LOGISTICA'!$A$2:$A$525)),
0
)
)
),
""
)</f>
        <v/>
      </c>
      <c r="J50" s="5" t="str" cm="1">
        <f t="array" ref="J50">IFERROR(
IF(
OR(
INDEX(
'VISÃO LOGISTICA'!$C$2:$C$2000,
MATCH(
TRUE,
ISNUMBER(FIND(B50,'VISÃO LOGISTICA'!$A$2:$A$2000)),
0
)
)="Em espera",
INDEX(
'VISÃO LOGISTICA'!$C$2:$C$2000,
MATCH(
TRUE,
ISNUMBER(FIND(B50,'VISÃO LOGISTICA'!$A$2:$A$2000)),
0
)
)=""
),
"",
INDEX(
'VISÃO LOGISTICA'!$D$2:$D$2000,
MATCH(
TRUE,
ISNUMBER(FIND(B50,'VISÃO LOGISTICA'!$A$2:$A$2000)),
0
)
)
),
""
)</f>
        <v/>
      </c>
      <c r="K50" s="10">
        <f>IFERROR(
IF(
_xlfn.XLOOKUP(
B50,
'LOCALIZAÇÃO DE CARGA'!$A$2:$A$702,
'LOCALIZAÇÃO DE CARGA'!$E$2:$E$702)="",
"",
_xlfn.XLOOKUP(
B50,
'LOCALIZAÇÃO DE CARGA'!$A$2:$A$702,
'LOCALIZAÇÃO DE CARGA'!$E$2:$E$702)
),
""
)</f>
        <v>436262.86</v>
      </c>
      <c r="L50" s="20" cm="1">
        <f t="array" ref="L50">IFERROR(
_xlfn.LET(
_xlpm.res,_xlfn.XLOOKUP(B50,'LOCALIZAÇÃO DE CARGA'!$A$2:$A$2000,'LOCALIZAÇÃO DE CARGA'!$G$2:$G$2000),
IF(_xlpm.res="","",_xlpm.res)
),
""
)</f>
        <v>46158.958333333336</v>
      </c>
      <c r="M50" s="20" cm="1">
        <f t="array" ref="M50">IFERROR(
_xlfn.LET(
_xlpm.load,_xlfn.XLOOKUP(B50,'LOCALIZAÇÃO DE CARGA'!$A$2:$A$2000,'LOCALIZAÇÃO DE CARGA'!$A$2:$A$2000),
_xlpm.res,_xlfn.XLOOKUP(_xlpm.load,DOCUMENTOS!$A$2:$A$2000,DOCUMENTOS!$D$2:$D$2000),
IF(_xlpm.res="","",_xlpm.res)
),
""
)</f>
        <v>46157.4375</v>
      </c>
      <c r="N50" s="6">
        <f>IFERROR(IF(M50="","",M50-TIME(1,0,0)),"")</f>
        <v>46157.395833333336</v>
      </c>
      <c r="O50" s="6" cm="1">
        <f t="array" ref="O50">IFERROR(
_xlfn.LET(
_xlpm.res,_xlfn.XLOOKUP(B50,'LOCALIZAÇÃO DE CARGA'!$A$2:$A$2000,'LOCALIZAÇÃO DE CARGA'!$S$2:$S$2000),
IF(_xlpm.res="","",_xlpm.res)
),
""
)</f>
        <v>46163.291666666664</v>
      </c>
      <c r="P50" s="6" t="str" cm="1">
        <f t="array" ref="P50">IFERROR(
_xlfn.LET(
_xlpm.res,_xlfn.XLOOKUP(B50,'LOCALIZAÇÃO DE CARGA'!$A$2:$A$702,'LOCALIZAÇÃO DE CARGA'!$T$2:$T$702),
IF(_xlpm.res="","",_xlpm.res)
),
""
)</f>
        <v/>
      </c>
      <c r="Q50" s="5" t="str">
        <f>IFERROR(
IF(
_xlfn.XLOOKUP(
B50,
'LOCALIZAÇÃO DE CARGA'!$A$2:$A$702,
'LOCALIZAÇÃO DE CARGA'!$K$2:$K$702
)="",
"",
_xlfn.XLOOKUP(
B50,
'LOCALIZAÇÃO DE CARGA'!$A$2:$A$702,
'LOCALIZAÇÃO DE CARGA'!$K$2:$K$702
)
),
""
)</f>
        <v>WMB SUPERMERCADOS DOBRASIL LTDA (SAM'S) - 54335020</v>
      </c>
      <c r="R50" s="5" t="str">
        <f t="shared" si="2"/>
        <v>WMB SUPERMERCADOS DOBRASIL LTDA</v>
      </c>
      <c r="S50" s="5" t="str" cm="1">
        <f t="array" ref="S50">IF(B50="","",IFERROR(
INDEX(
'VISÃO LOGISTICA'!$L$2:$L$525,
MATCH(
TRUE,
ISNUMBER(FIND(B50,'VISÃO LOGISTICA'!$A$2:$A$525)),
0
)
),
""
))</f>
        <v/>
      </c>
      <c r="T50" s="5" t="str">
        <f>IFERROR(
_xlfn.LET(
_xlpm.res,_xlfn.XLOOKUP(B50,'LOCALIZAÇÃO DE CARGA'!$A$2:$A$702,'LOCALIZAÇÃO DE CARGA'!$R$2:$R$702),
IF(_xlpm.res="","",_xlpm.res)
),
""
)</f>
        <v>JABOATAO DOS GUARARAPES/PE/BRASIL</v>
      </c>
    </row>
    <row r="51" spans="1:20">
      <c r="A51" s="14">
        <f t="shared" si="0"/>
        <v>46157</v>
      </c>
      <c r="B51" s="5">
        <v>6022206</v>
      </c>
      <c r="C51" s="45" t="str">
        <f t="shared" ca="1" si="1"/>
        <v>NA CLIF - COM SMP - AGUARDANDO SAÍDA</v>
      </c>
      <c r="D51" s="28"/>
      <c r="E51" s="28" t="str">
        <f>IFERROR(
IF(
_xlfn.XLOOKUP(
B51,
'LOCALIZAÇÃO DE CARGA'!$A$2:$A$702,
'LOCALIZAÇÃO DE CARGA'!$D$2:$D$702
)="",
"",
_xlfn.XLOOKUP(
B51,
'LOCALIZAÇÃO DE CARGA'!$A$2:$A$702,
'LOCALIZAÇÃO DE CARGA'!$D$2:$D$702
)
),
""
)</f>
        <v/>
      </c>
      <c r="F51" s="13" t="str">
        <f>IFERROR(
IF(
_xlfn.XLOOKUP(
B51,
'LOCALIZAÇÃO DE CARGA'!$A$2:$A$702,
'LOCALIZAÇÃO DE CARGA'!$H$2:$H$702
)="",
"",
_xlfn.XLOOKUP(
B51,
'LOCALIZAÇÃO DE CARGA'!$A$2:$A$702,
'LOCALIZAÇÃO DE CARGA'!$H$2:$H$702
)
),
""
)</f>
        <v>TRANSBOCAYUV</v>
      </c>
      <c r="G51" s="5" t="str">
        <f>IFERROR(
IF(
_xlfn.XLOOKUP(
B51,
'LOCALIZAÇÃO DE CARGA'!$A$2:$A$702,
'LOCALIZAÇÃO DE CARGA'!$I$2:$I$702
)="",
"",
_xlfn.XLOOKUP(
B51,
'LOCALIZAÇÃO DE CARGA'!$A$2:$A$702,
'LOCALIZAÇÃO DE CARGA'!$I$2:$I$702
)
),
""
)</f>
        <v>LGSCT</v>
      </c>
      <c r="H51" s="5" t="str">
        <f>IFERROR(
IF(
_xlfn.XLOOKUP(
B51,
'LOCALIZAÇÃO DE CARGA'!$A$2:$A$702,
'LOCALIZAÇÃO DE CARGA'!$F$2:$F$702
)="",
"",
_xlfn.XLOOKUP(
B51,
'LOCALIZAÇÃO DE CARGA'!$A$2:$A$702,
'LOCALIZAÇÃO DE CARGA'!$F$2:$F$702
)
),
""
)</f>
        <v>Andamento</v>
      </c>
      <c r="I51" s="13" t="str" cm="1">
        <f t="array" ref="I51">IFERROR(
IF(
INDEX(
'VISÃO LOGISTICA'!$C$2:$C$525,
MATCH(
TRUE,
ISNUMBER(FIND(B51,'VISÃO LOGISTICA'!$A$2:$A$525)),
0
)
)="Em espera",
"",
INDEX(
'VISÃO LOGISTICA'!$C$2:$C$525,
MATCH(
TRUE,
ISNUMBER(FIND(B51,'VISÃO LOGISTICA'!$A$2:$A$525)),
0
)
)
),
""
)</f>
        <v>Em Viagem</v>
      </c>
      <c r="J51" s="5" t="str" cm="1">
        <f t="array" ref="J51">IFERROR(
IF(
OR(
INDEX(
'VISÃO LOGISTICA'!$C$2:$C$2000,
MATCH(
TRUE,
ISNUMBER(FIND(B51,'VISÃO LOGISTICA'!$A$2:$A$2000)),
0
)
)="Em espera",
INDEX(
'VISÃO LOGISTICA'!$C$2:$C$2000,
MATCH(
TRUE,
ISNUMBER(FIND(B51,'VISÃO LOGISTICA'!$A$2:$A$2000)),
0
)
)=""
),
"",
INDEX(
'VISÃO LOGISTICA'!$D$2:$D$2000,
MATCH(
TRUE,
ISNUMBER(FIND(B51,'VISÃO LOGISTICA'!$A$2:$A$2000)),
0
)
)
),
""
)</f>
        <v>BAP3B31</v>
      </c>
      <c r="K51" s="10">
        <f>IFERROR(
IF(
_xlfn.XLOOKUP(
B51,
'LOCALIZAÇÃO DE CARGA'!$A$2:$A$702,
'LOCALIZAÇÃO DE CARGA'!$E$2:$E$702)="",
"",
_xlfn.XLOOKUP(
B51,
'LOCALIZAÇÃO DE CARGA'!$A$2:$A$702,
'LOCALIZAÇÃO DE CARGA'!$E$2:$E$702)
),
""
)</f>
        <v>434652.79</v>
      </c>
      <c r="L51" s="20" cm="1">
        <f t="array" ref="L51">IFERROR(
_xlfn.LET(
_xlpm.res,_xlfn.XLOOKUP(B51,'LOCALIZAÇÃO DE CARGA'!$A$2:$A$2000,'LOCALIZAÇÃO DE CARGA'!$G$2:$G$2000),
IF(_xlpm.res="","",_xlpm.res)
),
""
)</f>
        <v>46159.654861111114</v>
      </c>
      <c r="M51" s="20" cm="1">
        <f t="array" ref="M51">IFERROR(
_xlfn.LET(
_xlpm.load,_xlfn.XLOOKUP(B51,'LOCALIZAÇÃO DE CARGA'!$A$2:$A$2000,'LOCALIZAÇÃO DE CARGA'!$A$2:$A$2000),
_xlpm.res,_xlfn.XLOOKUP(_xlpm.load,DOCUMENTOS!$A$2:$A$2000,DOCUMENTOS!$D$2:$D$2000),
IF(_xlpm.res="","",_xlpm.res)
),
""
)</f>
        <v>46157.458333333336</v>
      </c>
      <c r="N51" s="6">
        <f>IFERROR(IF(M51="","",M51-TIME(1,0,0)),"")</f>
        <v>46157.416666666672</v>
      </c>
      <c r="O51" s="6" cm="1">
        <f t="array" ref="O51">IFERROR(
_xlfn.LET(
_xlpm.res,_xlfn.XLOOKUP(B51,'LOCALIZAÇÃO DE CARGA'!$A$2:$A$2000,'LOCALIZAÇÃO DE CARGA'!$S$2:$S$2000),
IF(_xlpm.res="","",_xlpm.res)
),
""
)</f>
        <v>46163.25</v>
      </c>
      <c r="P51" s="6" cm="1">
        <f t="array" ref="P51">IFERROR(
_xlfn.LET(
_xlpm.res,_xlfn.XLOOKUP(B51,'LOCALIZAÇÃO DE CARGA'!$A$2:$A$702,'LOCALIZAÇÃO DE CARGA'!$T$2:$T$702),
IF(_xlpm.res="","",_xlpm.res)
),
""
)</f>
        <v>46160.177777777775</v>
      </c>
      <c r="Q51" s="5" t="str">
        <f>IFERROR(
IF(
_xlfn.XLOOKUP(
B51,
'LOCALIZAÇÃO DE CARGA'!$A$2:$A$702,
'LOCALIZAÇÃO DE CARGA'!$K$2:$K$702
)="",
"",
_xlfn.XLOOKUP(
B51,
'LOCALIZAÇÃO DE CARGA'!$A$2:$A$702,
'LOCALIZAÇÃO DE CARGA'!$K$2:$K$702
)
),
""
)</f>
        <v>GRUPO CASAS BAHIA S.A(CD1400) - 42816270</v>
      </c>
      <c r="R51" s="5" t="str">
        <f t="shared" si="2"/>
        <v>GRUPO CASAS BAHIA S.A</v>
      </c>
      <c r="S51" s="5" t="str" cm="1">
        <f t="array" ref="S51">IF(B51="","",IFERROR(
INDEX(
'VISÃO LOGISTICA'!$L$2:$L$525,
MATCH(
TRUE,
ISNUMBER(FIND(B51,'VISÃO LOGISTICA'!$A$2:$A$525)),
0
)
),
""
))</f>
        <v>ITAPOA/SC/BRASIL</v>
      </c>
      <c r="T51" s="5" t="str">
        <f>IFERROR(
_xlfn.LET(
_xlpm.res,_xlfn.XLOOKUP(B51,'LOCALIZAÇÃO DE CARGA'!$A$2:$A$702,'LOCALIZAÇÃO DE CARGA'!$R$2:$R$702),
IF(_xlpm.res="","",_xlpm.res)
),
""
)</f>
        <v>CAMACARI/BA/BRASIL</v>
      </c>
    </row>
    <row r="52" spans="1:20">
      <c r="A52" s="14">
        <f t="shared" si="0"/>
        <v>46157</v>
      </c>
      <c r="B52" s="5">
        <v>6022190</v>
      </c>
      <c r="C52" s="45" t="str">
        <f t="shared" ca="1" si="1"/>
        <v>NA CLIF - COM SMP - AGUARDANDO SAÍDA</v>
      </c>
      <c r="D52" s="28"/>
      <c r="E52" s="28" t="str">
        <f>IFERROR(
IF(
_xlfn.XLOOKUP(
B52,
'LOCALIZAÇÃO DE CARGA'!$A$2:$A$702,
'LOCALIZAÇÃO DE CARGA'!$D$2:$D$702
)="",
"",
_xlfn.XLOOKUP(
B52,
'LOCALIZAÇÃO DE CARGA'!$A$2:$A$702,
'LOCALIZAÇÃO DE CARGA'!$D$2:$D$702
)
),
""
)</f>
        <v/>
      </c>
      <c r="F52" s="13" t="str">
        <f>IFERROR(
IF(
_xlfn.XLOOKUP(
B52,
'LOCALIZAÇÃO DE CARGA'!$A$2:$A$702,
'LOCALIZAÇÃO DE CARGA'!$H$2:$H$702
)="",
"",
_xlfn.XLOOKUP(
B52,
'LOCALIZAÇÃO DE CARGA'!$A$2:$A$702,
'LOCALIZAÇÃO DE CARGA'!$H$2:$H$702
)
),
""
)</f>
        <v>VIPE TRANSPO</v>
      </c>
      <c r="G52" s="5" t="str">
        <f>IFERROR(
IF(
_xlfn.XLOOKUP(
B52,
'LOCALIZAÇÃO DE CARGA'!$A$2:$A$702,
'LOCALIZAÇÃO DE CARGA'!$I$2:$I$702
)="",
"",
_xlfn.XLOOKUP(
B52,
'LOCALIZAÇÃO DE CARGA'!$A$2:$A$702,
'LOCALIZAÇÃO DE CARGA'!$I$2:$I$702
)
),
""
)</f>
        <v>LGSCT</v>
      </c>
      <c r="H52" s="5" t="str">
        <f>IFERROR(
IF(
_xlfn.XLOOKUP(
B52,
'LOCALIZAÇÃO DE CARGA'!$A$2:$A$702,
'LOCALIZAÇÃO DE CARGA'!$F$2:$F$702
)="",
"",
_xlfn.XLOOKUP(
B52,
'LOCALIZAÇÃO DE CARGA'!$A$2:$A$702,
'LOCALIZAÇÃO DE CARGA'!$F$2:$F$702
)
),
""
)</f>
        <v>Andamento</v>
      </c>
      <c r="I52" s="13" t="str" cm="1">
        <f t="array" ref="I52">IFERROR(
IF(
INDEX(
'VISÃO LOGISTICA'!$C$2:$C$525,
MATCH(
TRUE,
ISNUMBER(FIND(B52,'VISÃO LOGISTICA'!$A$2:$A$525)),
0
)
)="Em espera",
"",
INDEX(
'VISÃO LOGISTICA'!$C$2:$C$525,
MATCH(
TRUE,
ISNUMBER(FIND(B52,'VISÃO LOGISTICA'!$A$2:$A$525)),
0
)
)
),
""
)</f>
        <v>Em Viagem</v>
      </c>
      <c r="J52" s="5" t="str" cm="1">
        <f t="array" ref="J52">IFERROR(
IF(
OR(
INDEX(
'VISÃO LOGISTICA'!$C$2:$C$2000,
MATCH(
TRUE,
ISNUMBER(FIND(B52,'VISÃO LOGISTICA'!$A$2:$A$2000)),
0
)
)="Em espera",
INDEX(
'VISÃO LOGISTICA'!$C$2:$C$2000,
MATCH(
TRUE,
ISNUMBER(FIND(B52,'VISÃO LOGISTICA'!$A$2:$A$2000)),
0
)
)=""
),
"",
INDEX(
'VISÃO LOGISTICA'!$D$2:$D$2000,
MATCH(
TRUE,
ISNUMBER(FIND(B52,'VISÃO LOGISTICA'!$A$2:$A$2000)),
0
)
)
),
""
)</f>
        <v>SXQ8A69</v>
      </c>
      <c r="K52" s="10">
        <f>IFERROR(
IF(
_xlfn.XLOOKUP(
B52,
'LOCALIZAÇÃO DE CARGA'!$A$2:$A$702,
'LOCALIZAÇÃO DE CARGA'!$E$2:$E$702)="",
"",
_xlfn.XLOOKUP(
B52,
'LOCALIZAÇÃO DE CARGA'!$A$2:$A$702,
'LOCALIZAÇÃO DE CARGA'!$E$2:$E$702)
),
""
)</f>
        <v>433205.35</v>
      </c>
      <c r="L52" s="20" cm="1">
        <f t="array" ref="L52">IFERROR(
_xlfn.LET(
_xlpm.res,_xlfn.XLOOKUP(B52,'LOCALIZAÇÃO DE CARGA'!$A$2:$A$2000,'LOCALIZAÇÃO DE CARGA'!$G$2:$G$2000),
IF(_xlpm.res="","",_xlpm.res)
),
""
)</f>
        <v>46157.25</v>
      </c>
      <c r="M52" s="20" cm="1">
        <f t="array" ref="M52">IFERROR(
_xlfn.LET(
_xlpm.load,_xlfn.XLOOKUP(B52,'LOCALIZAÇÃO DE CARGA'!$A$2:$A$2000,'LOCALIZAÇÃO DE CARGA'!$A$2:$A$2000),
_xlpm.res,_xlfn.XLOOKUP(_xlpm.load,DOCUMENTOS!$A$2:$A$2000,DOCUMENTOS!$D$2:$D$2000),
IF(_xlpm.res="","",_xlpm.res)
),
""
)</f>
        <v>46157.25</v>
      </c>
      <c r="N52" s="6">
        <f>IFERROR(IF(M52="","",M52-TIME(1,0,0)),"")</f>
        <v>46157.208333333336</v>
      </c>
      <c r="O52" s="6" cm="1">
        <f t="array" ref="O52">IFERROR(
_xlfn.LET(
_xlpm.res,_xlfn.XLOOKUP(B52,'LOCALIZAÇÃO DE CARGA'!$A$2:$A$2000,'LOCALIZAÇÃO DE CARGA'!$S$2:$S$2000),
IF(_xlpm.res="","",_xlpm.res)
),
""
)</f>
        <v>46160.958333333336</v>
      </c>
      <c r="P52" s="6" cm="1">
        <f t="array" ref="P52">IFERROR(
_xlfn.LET(
_xlpm.res,_xlfn.XLOOKUP(B52,'LOCALIZAÇÃO DE CARGA'!$A$2:$A$702,'LOCALIZAÇÃO DE CARGA'!$T$2:$T$702),
IF(_xlpm.res="","",_xlpm.res)
),
""
)</f>
        <v>46158.958333333336</v>
      </c>
      <c r="Q52" s="5" t="str">
        <f>IFERROR(
IF(
_xlfn.XLOOKUP(
B52,
'LOCALIZAÇÃO DE CARGA'!$A$2:$A$702,
'LOCALIZAÇÃO DE CARGA'!$K$2:$K$702
)="",
"",
_xlfn.XLOOKUP(
B52,
'LOCALIZAÇÃO DE CARGA'!$A$2:$A$702,
'LOCALIZAÇÃO DE CARGA'!$K$2:$K$702
)
),
""
)</f>
        <v>GRUPO CASAS BAHIA S.A(CD1200) - 13203850</v>
      </c>
      <c r="R52" s="5" t="str">
        <f t="shared" si="2"/>
        <v>GRUPO CASAS BAHIA S.A</v>
      </c>
      <c r="S52" s="5" t="str" cm="1">
        <f t="array" ref="S52">IF(B52="","",IFERROR(
INDEX(
'VISÃO LOGISTICA'!$L$2:$L$525,
MATCH(
TRUE,
ISNUMBER(FIND(B52,'VISÃO LOGISTICA'!$A$2:$A$525)),
0
)
),
""
))</f>
        <v>ITAPOA/SC/BRASIL</v>
      </c>
      <c r="T52" s="5" t="str">
        <f>IFERROR(
_xlfn.LET(
_xlpm.res,_xlfn.XLOOKUP(B52,'LOCALIZAÇÃO DE CARGA'!$A$2:$A$702,'LOCALIZAÇÃO DE CARGA'!$R$2:$R$702),
IF(_xlpm.res="","",_xlpm.res)
),
""
)</f>
        <v>JUNDIAI/SP/BRASIL</v>
      </c>
    </row>
    <row r="53" spans="1:20">
      <c r="A53" s="14">
        <f t="shared" si="0"/>
        <v>46160</v>
      </c>
      <c r="B53" s="5">
        <v>6021732</v>
      </c>
      <c r="C53" s="45" t="str">
        <f t="shared" ca="1" si="1"/>
        <v>OK - NO PRAZO</v>
      </c>
      <c r="D53" s="28"/>
      <c r="E53" s="28" t="str">
        <f>IFERROR(
IF(
_xlfn.XLOOKUP(
B53,
'LOCALIZAÇÃO DE CARGA'!$A$2:$A$702,
'LOCALIZAÇÃO DE CARGA'!$D$2:$D$702
)="",
"",
_xlfn.XLOOKUP(
B53,
'LOCALIZAÇÃO DE CARGA'!$A$2:$A$702,
'LOCALIZAÇÃO DE CARGA'!$D$2:$D$702
)
),
""
)</f>
        <v/>
      </c>
      <c r="F53" s="13" t="str">
        <f>IFERROR(
IF(
_xlfn.XLOOKUP(
B53,
'LOCALIZAÇÃO DE CARGA'!$A$2:$A$702,
'LOCALIZAÇÃO DE CARGA'!$H$2:$H$702
)="",
"",
_xlfn.XLOOKUP(
B53,
'LOCALIZAÇÃO DE CARGA'!$A$2:$A$702,
'LOCALIZAÇÃO DE CARGA'!$H$2:$H$702
)
),
""
)</f>
        <v>RODOPENHA</v>
      </c>
      <c r="G53" s="5" t="str">
        <f>IFERROR(
IF(
_xlfn.XLOOKUP(
B53,
'LOCALIZAÇÃO DE CARGA'!$A$2:$A$702,
'LOCALIZAÇÃO DE CARGA'!$I$2:$I$702
)="",
"",
_xlfn.XLOOKUP(
B53,
'LOCALIZAÇÃO DE CARGA'!$A$2:$A$702,
'LOCALIZAÇÃO DE CARGA'!$I$2:$I$702
)
),
""
)</f>
        <v>LGREC</v>
      </c>
      <c r="H53" s="5" t="str">
        <f>IFERROR(
IF(
_xlfn.XLOOKUP(
B53,
'LOCALIZAÇÃO DE CARGA'!$A$2:$A$702,
'LOCALIZAÇÃO DE CARGA'!$F$2:$F$702
)="",
"",
_xlfn.XLOOKUP(
B53,
'LOCALIZAÇÃO DE CARGA'!$A$2:$A$702,
'LOCALIZAÇÃO DE CARGA'!$F$2:$F$702
)
),
""
)</f>
        <v>Não iniciado</v>
      </c>
      <c r="I53" s="13" t="str" cm="1">
        <f t="array" ref="I53">IFERROR(
IF(
INDEX(
'VISÃO LOGISTICA'!$C$2:$C$525,
MATCH(
TRUE,
ISNUMBER(FIND(B53,'VISÃO LOGISTICA'!$A$2:$A$525)),
0
)
)="Em espera",
"",
INDEX(
'VISÃO LOGISTICA'!$C$2:$C$525,
MATCH(
TRUE,
ISNUMBER(FIND(B53,'VISÃO LOGISTICA'!$A$2:$A$525)),
0
)
)
),
""
)</f>
        <v/>
      </c>
      <c r="J53" s="5" t="str" cm="1">
        <f t="array" ref="J53">IFERROR(
IF(
OR(
INDEX(
'VISÃO LOGISTICA'!$C$2:$C$2000,
MATCH(
TRUE,
ISNUMBER(FIND(B53,'VISÃO LOGISTICA'!$A$2:$A$2000)),
0
)
)="Em espera",
INDEX(
'VISÃO LOGISTICA'!$C$2:$C$2000,
MATCH(
TRUE,
ISNUMBER(FIND(B53,'VISÃO LOGISTICA'!$A$2:$A$2000)),
0
)
)=""
),
"",
INDEX(
'VISÃO LOGISTICA'!$D$2:$D$2000,
MATCH(
TRUE,
ISNUMBER(FIND(B53,'VISÃO LOGISTICA'!$A$2:$A$2000)),
0
)
)
),
""
)</f>
        <v/>
      </c>
      <c r="K53" s="10">
        <f>IFERROR(
IF(
_xlfn.XLOOKUP(
B53,
'LOCALIZAÇÃO DE CARGA'!$A$2:$A$702,
'LOCALIZAÇÃO DE CARGA'!$E$2:$E$702)="",
"",
_xlfn.XLOOKUP(
B53,
'LOCALIZAÇÃO DE CARGA'!$A$2:$A$702,
'LOCALIZAÇÃO DE CARGA'!$E$2:$E$702)
),
""
)</f>
        <v>433156</v>
      </c>
      <c r="L53" s="20" cm="1">
        <f t="array" ref="L53">IFERROR(
_xlfn.LET(
_xlpm.res,_xlfn.XLOOKUP(B53,'LOCALIZAÇÃO DE CARGA'!$A$2:$A$2000,'LOCALIZAÇÃO DE CARGA'!$G$2:$G$2000),
IF(_xlpm.res="","",_xlpm.res)
),
""
)</f>
        <v>46160.895833333336</v>
      </c>
      <c r="M53" s="20" cm="1">
        <f t="array" ref="M53">IFERROR(
_xlfn.LET(
_xlpm.load,_xlfn.XLOOKUP(B53,'LOCALIZAÇÃO DE CARGA'!$A$2:$A$2000,'LOCALIZAÇÃO DE CARGA'!$A$2:$A$2000),
_xlpm.res,_xlfn.XLOOKUP(_xlpm.load,DOCUMENTOS!$A$2:$A$2000,DOCUMENTOS!$D$2:$D$2000),
IF(_xlpm.res="","",_xlpm.res)
),
""
)</f>
        <v>46160.895833333336</v>
      </c>
      <c r="N53" s="6">
        <f>IFERROR(IF(M53="","",M53-TIME(1,0,0)),"")</f>
        <v>46160.854166666672</v>
      </c>
      <c r="O53" s="6" cm="1">
        <f t="array" ref="O53">IFERROR(
_xlfn.LET(
_xlpm.res,_xlfn.XLOOKUP(B53,'LOCALIZAÇÃO DE CARGA'!$A$2:$A$2000,'LOCALIZAÇÃO DE CARGA'!$S$2:$S$2000),
IF(_xlpm.res="","",_xlpm.res)
),
""
)</f>
        <v>46162.25</v>
      </c>
      <c r="P53" s="6" t="str" cm="1">
        <f t="array" ref="P53">IFERROR(
_xlfn.LET(
_xlpm.res,_xlfn.XLOOKUP(B53,'LOCALIZAÇÃO DE CARGA'!$A$2:$A$702,'LOCALIZAÇÃO DE CARGA'!$T$2:$T$702),
IF(_xlpm.res="","",_xlpm.res)
),
""
)</f>
        <v/>
      </c>
      <c r="Q53" s="5" t="str">
        <f>IFERROR(
IF(
_xlfn.XLOOKUP(
B53,
'LOCALIZAÇÃO DE CARGA'!$A$2:$A$702,
'LOCALIZAÇÃO DE CARGA'!$K$2:$K$702
)="",
"",
_xlfn.XLOOKUP(
B53,
'LOCALIZAÇÃO DE CARGA'!$A$2:$A$702,
'LOCALIZAÇÃO DE CARGA'!$K$2:$K$702
)
),
""
)</f>
        <v>GRUPO CASAS BAHIA S.A(CD1877) - 61935180</v>
      </c>
      <c r="R53" s="5" t="str">
        <f t="shared" si="2"/>
        <v>GRUPO CASAS BAHIA S.A</v>
      </c>
      <c r="S53" s="5" t="str" cm="1">
        <f t="array" ref="S53">IF(B53="","",IFERROR(
INDEX(
'VISÃO LOGISTICA'!$L$2:$L$525,
MATCH(
TRUE,
ISNUMBER(FIND(B53,'VISÃO LOGISTICA'!$A$2:$A$525)),
0
)
),
""
))</f>
        <v/>
      </c>
      <c r="T53" s="5" t="str">
        <f>IFERROR(
_xlfn.LET(
_xlpm.res,_xlfn.XLOOKUP(B53,'LOCALIZAÇÃO DE CARGA'!$A$2:$A$702,'LOCALIZAÇÃO DE CARGA'!$R$2:$R$702),
IF(_xlpm.res="","",_xlpm.res)
),
""
)</f>
        <v>MARACANAU/CE/BRASIL</v>
      </c>
    </row>
    <row r="54" spans="1:20">
      <c r="A54" s="14">
        <f t="shared" si="0"/>
        <v>46157</v>
      </c>
      <c r="B54" s="5">
        <v>6022204</v>
      </c>
      <c r="C54" s="45" t="str">
        <f t="shared" ca="1" si="1"/>
        <v>EM VIAGEM</v>
      </c>
      <c r="D54" s="28"/>
      <c r="E54" s="28" t="str">
        <f>IFERROR(
IF(
_xlfn.XLOOKUP(
B54,
'LOCALIZAÇÃO DE CARGA'!$A$2:$A$702,
'LOCALIZAÇÃO DE CARGA'!$D$2:$D$702
)="",
"",
_xlfn.XLOOKUP(
B54,
'LOCALIZAÇÃO DE CARGA'!$A$2:$A$702,
'LOCALIZAÇÃO DE CARGA'!$D$2:$D$702
)
),
""
)</f>
        <v/>
      </c>
      <c r="F54" s="13" t="str">
        <f>IFERROR(
IF(
_xlfn.XLOOKUP(
B54,
'LOCALIZAÇÃO DE CARGA'!$A$2:$A$702,
'LOCALIZAÇÃO DE CARGA'!$H$2:$H$702
)="",
"",
_xlfn.XLOOKUP(
B54,
'LOCALIZAÇÃO DE CARGA'!$A$2:$A$702,
'LOCALIZAÇÃO DE CARGA'!$H$2:$H$702
)
),
""
)</f>
        <v>TRANSBOCAYUV</v>
      </c>
      <c r="G54" s="5" t="str">
        <f>IFERROR(
IF(
_xlfn.XLOOKUP(
B54,
'LOCALIZAÇÃO DE CARGA'!$A$2:$A$702,
'LOCALIZAÇÃO DE CARGA'!$I$2:$I$702
)="",
"",
_xlfn.XLOOKUP(
B54,
'LOCALIZAÇÃO DE CARGA'!$A$2:$A$702,
'LOCALIZAÇÃO DE CARGA'!$I$2:$I$702
)
),
""
)</f>
        <v>LGSCT</v>
      </c>
      <c r="H54" s="5" t="str">
        <f>IFERROR(
IF(
_xlfn.XLOOKUP(
B54,
'LOCALIZAÇÃO DE CARGA'!$A$2:$A$702,
'LOCALIZAÇÃO DE CARGA'!$F$2:$F$702
)="",
"",
_xlfn.XLOOKUP(
B54,
'LOCALIZAÇÃO DE CARGA'!$A$2:$A$702,
'LOCALIZAÇÃO DE CARGA'!$F$2:$F$702
)
),
""
)</f>
        <v>Andamento</v>
      </c>
      <c r="I54" s="13" t="str" cm="1">
        <f t="array" ref="I54">IFERROR(
IF(
INDEX(
'VISÃO LOGISTICA'!$C$2:$C$525,
MATCH(
TRUE,
ISNUMBER(FIND(B54,'VISÃO LOGISTICA'!$A$2:$A$525)),
0
)
)="Em espera",
"",
INDEX(
'VISÃO LOGISTICA'!$C$2:$C$525,
MATCH(
TRUE,
ISNUMBER(FIND(B54,'VISÃO LOGISTICA'!$A$2:$A$525)),
0
)
)
),
""
)</f>
        <v>Em Viagem</v>
      </c>
      <c r="J54" s="5" t="str" cm="1">
        <f t="array" ref="J54">IFERROR(
IF(
OR(
INDEX(
'VISÃO LOGISTICA'!$C$2:$C$2000,
MATCH(
TRUE,
ISNUMBER(FIND(B54,'VISÃO LOGISTICA'!$A$2:$A$2000)),
0
)
)="Em espera",
INDEX(
'VISÃO LOGISTICA'!$C$2:$C$2000,
MATCH(
TRUE,
ISNUMBER(FIND(B54,'VISÃO LOGISTICA'!$A$2:$A$2000)),
0
)
)=""
),
"",
INDEX(
'VISÃO LOGISTICA'!$D$2:$D$2000,
MATCH(
TRUE,
ISNUMBER(FIND(B54,'VISÃO LOGISTICA'!$A$2:$A$2000)),
0
)
)
),
""
)</f>
        <v>SEK2F38</v>
      </c>
      <c r="K54" s="10">
        <f>IFERROR(
IF(
_xlfn.XLOOKUP(
B54,
'LOCALIZAÇÃO DE CARGA'!$A$2:$A$702,
'LOCALIZAÇÃO DE CARGA'!$E$2:$E$702)="",
"",
_xlfn.XLOOKUP(
B54,
'LOCALIZAÇÃO DE CARGA'!$A$2:$A$702,
'LOCALIZAÇÃO DE CARGA'!$E$2:$E$702)
),
""
)</f>
        <v>432627</v>
      </c>
      <c r="L54" s="20" cm="1">
        <f t="array" ref="L54">IFERROR(
_xlfn.LET(
_xlpm.res,_xlfn.XLOOKUP(B54,'LOCALIZAÇÃO DE CARGA'!$A$2:$A$2000,'LOCALIZAÇÃO DE CARGA'!$G$2:$G$2000),
IF(_xlpm.res="","",_xlpm.res)
),
""
)</f>
        <v>46159.826388888891</v>
      </c>
      <c r="M54" s="20" cm="1">
        <f t="array" ref="M54">IFERROR(
_xlfn.LET(
_xlpm.load,_xlfn.XLOOKUP(B54,'LOCALIZAÇÃO DE CARGA'!$A$2:$A$2000,'LOCALIZAÇÃO DE CARGA'!$A$2:$A$2000),
_xlpm.res,_xlfn.XLOOKUP(_xlpm.load,DOCUMENTOS!$A$2:$A$2000,DOCUMENTOS!$D$2:$D$2000),
IF(_xlpm.res="","",_xlpm.res)
),
""
)</f>
        <v>46157.625</v>
      </c>
      <c r="N54" s="6">
        <f>IFERROR(IF(M54="","",M54-TIME(1,0,0)),"")</f>
        <v>46157.583333333336</v>
      </c>
      <c r="O54" s="6" cm="1">
        <f t="array" ref="O54">IFERROR(
_xlfn.LET(
_xlpm.res,_xlfn.XLOOKUP(B54,'LOCALIZAÇÃO DE CARGA'!$A$2:$A$2000,'LOCALIZAÇÃO DE CARGA'!$S$2:$S$2000),
IF(_xlpm.res="","",_xlpm.res)
),
""
)</f>
        <v>46160.25</v>
      </c>
      <c r="P54" s="6" cm="1">
        <f t="array" ref="P54">IFERROR(
_xlfn.LET(
_xlpm.res,_xlfn.XLOOKUP(B54,'LOCALIZAÇÃO DE CARGA'!$A$2:$A$702,'LOCALIZAÇÃO DE CARGA'!$T$2:$T$702),
IF(_xlpm.res="","",_xlpm.res)
),
""
)</f>
        <v>46158.897222222222</v>
      </c>
      <c r="Q54" s="5" t="str">
        <f>IFERROR(
IF(
_xlfn.XLOOKUP(
B54,
'LOCALIZAÇÃO DE CARGA'!$A$2:$A$702,
'LOCALIZAÇÃO DE CARGA'!$K$2:$K$702
)="",
"",
_xlfn.XLOOKUP(
B54,
'LOCALIZAÇÃO DE CARGA'!$A$2:$A$702,
'LOCALIZAÇÃO DE CARGA'!$K$2:$K$702
)
),
""
)</f>
        <v>GRUPO CASAS BAHIA S.A(CD1200) - 13203850</v>
      </c>
      <c r="R54" s="5" t="str">
        <f t="shared" si="2"/>
        <v>GRUPO CASAS BAHIA S.A</v>
      </c>
      <c r="S54" s="5" t="str" cm="1">
        <f t="array" ref="S54">IF(B54="","",IFERROR(
INDEX(
'VISÃO LOGISTICA'!$L$2:$L$525,
MATCH(
TRUE,
ISNUMBER(FIND(B54,'VISÃO LOGISTICA'!$A$2:$A$525)),
0
)
),
""
))</f>
        <v>ESTRADA MUNICIPAL, QUATRO BARRAS/PR/BRASIL (1,37 Km)</v>
      </c>
      <c r="T54" s="5" t="str">
        <f>IFERROR(
_xlfn.LET(
_xlpm.res,_xlfn.XLOOKUP(B54,'LOCALIZAÇÃO DE CARGA'!$A$2:$A$702,'LOCALIZAÇÃO DE CARGA'!$R$2:$R$702),
IF(_xlpm.res="","",_xlpm.res)
),
""
)</f>
        <v>JUNDIAI/SP/BRASIL</v>
      </c>
    </row>
    <row r="55" spans="1:20">
      <c r="A55" s="14">
        <f t="shared" si="0"/>
        <v>46157</v>
      </c>
      <c r="B55" s="5">
        <v>6014913</v>
      </c>
      <c r="C55" s="45" t="str">
        <f t="shared" ca="1" si="1"/>
        <v>EM VIAGEM</v>
      </c>
      <c r="D55" s="28"/>
      <c r="E55" s="28" t="str">
        <f>IFERROR(
IF(
_xlfn.XLOOKUP(
B55,
'LOCALIZAÇÃO DE CARGA'!$A$2:$A$702,
'LOCALIZAÇÃO DE CARGA'!$D$2:$D$702
)="",
"",
_xlfn.XLOOKUP(
B55,
'LOCALIZAÇÃO DE CARGA'!$A$2:$A$702,
'LOCALIZAÇÃO DE CARGA'!$D$2:$D$702
)
),
""
)</f>
        <v/>
      </c>
      <c r="F55" s="13" t="str">
        <f>IFERROR(
IF(
_xlfn.XLOOKUP(
B55,
'LOCALIZAÇÃO DE CARGA'!$A$2:$A$702,
'LOCALIZAÇÃO DE CARGA'!$H$2:$H$702
)="",
"",
_xlfn.XLOOKUP(
B55,
'LOCALIZAÇÃO DE CARGA'!$A$2:$A$702,
'LOCALIZAÇÃO DE CARGA'!$H$2:$H$702
)
),
""
)</f>
        <v>TR RAMTHUN</v>
      </c>
      <c r="G55" s="5" t="str">
        <f>IFERROR(
IF(
_xlfn.XLOOKUP(
B55,
'LOCALIZAÇÃO DE CARGA'!$A$2:$A$702,
'LOCALIZAÇÃO DE CARGA'!$I$2:$I$702
)="",
"",
_xlfn.XLOOKUP(
B55,
'LOCALIZAÇÃO DE CARGA'!$A$2:$A$702,
'LOCALIZAÇÃO DE CARGA'!$I$2:$I$702
)
),
""
)</f>
        <v>LGSCT</v>
      </c>
      <c r="H55" s="5" t="str">
        <f>IFERROR(
IF(
_xlfn.XLOOKUP(
B55,
'LOCALIZAÇÃO DE CARGA'!$A$2:$A$702,
'LOCALIZAÇÃO DE CARGA'!$F$2:$F$702
)="",
"",
_xlfn.XLOOKUP(
B55,
'LOCALIZAÇÃO DE CARGA'!$A$2:$A$702,
'LOCALIZAÇÃO DE CARGA'!$F$2:$F$702
)
),
""
)</f>
        <v>Andamento</v>
      </c>
      <c r="I55" s="13" t="str" cm="1">
        <f t="array" ref="I55">IFERROR(
IF(
INDEX(
'VISÃO LOGISTICA'!$C$2:$C$525,
MATCH(
TRUE,
ISNUMBER(FIND(B55,'VISÃO LOGISTICA'!$A$2:$A$525)),
0
)
)="Em espera",
"",
INDEX(
'VISÃO LOGISTICA'!$C$2:$C$525,
MATCH(
TRUE,
ISNUMBER(FIND(B55,'VISÃO LOGISTICA'!$A$2:$A$525)),
0
)
)
),
""
)</f>
        <v>Em Viagem</v>
      </c>
      <c r="J55" s="5" t="str" cm="1">
        <f t="array" ref="J55">IFERROR(
IF(
OR(
INDEX(
'VISÃO LOGISTICA'!$C$2:$C$2000,
MATCH(
TRUE,
ISNUMBER(FIND(B55,'VISÃO LOGISTICA'!$A$2:$A$2000)),
0
)
)="Em espera",
INDEX(
'VISÃO LOGISTICA'!$C$2:$C$2000,
MATCH(
TRUE,
ISNUMBER(FIND(B55,'VISÃO LOGISTICA'!$A$2:$A$2000)),
0
)
)=""
),
"",
INDEX(
'VISÃO LOGISTICA'!$D$2:$D$2000,
MATCH(
TRUE,
ISNUMBER(FIND(B55,'VISÃO LOGISTICA'!$A$2:$A$2000)),
0
)
)
),
""
)</f>
        <v>MMJ4976</v>
      </c>
      <c r="K55" s="10">
        <f>IFERROR(
IF(
_xlfn.XLOOKUP(
B55,
'LOCALIZAÇÃO DE CARGA'!$A$2:$A$702,
'LOCALIZAÇÃO DE CARGA'!$E$2:$E$702)="",
"",
_xlfn.XLOOKUP(
B55,
'LOCALIZAÇÃO DE CARGA'!$A$2:$A$702,
'LOCALIZAÇÃO DE CARGA'!$E$2:$E$702)
),
""
)</f>
        <v>419888.46</v>
      </c>
      <c r="L55" s="20" cm="1">
        <f t="array" ref="L55">IFERROR(
_xlfn.LET(
_xlpm.res,_xlfn.XLOOKUP(B55,'LOCALIZAÇÃO DE CARGA'!$A$2:$A$2000,'LOCALIZAÇÃO DE CARGA'!$G$2:$G$2000),
IF(_xlpm.res="","",_xlpm.res)
),
""
)</f>
        <v>46160.890972222223</v>
      </c>
      <c r="M55" s="20" cm="1">
        <f t="array" ref="M55">IFERROR(
_xlfn.LET(
_xlpm.load,_xlfn.XLOOKUP(B55,'LOCALIZAÇÃO DE CARGA'!$A$2:$A$2000,'LOCALIZAÇÃO DE CARGA'!$A$2:$A$2000),
_xlpm.res,_xlfn.XLOOKUP(_xlpm.load,DOCUMENTOS!$A$2:$A$2000,DOCUMENTOS!$D$2:$D$2000),
IF(_xlpm.res="","",_xlpm.res)
),
""
)</f>
        <v>46157.75</v>
      </c>
      <c r="N55" s="6">
        <f>IFERROR(IF(M55="","",M55-TIME(1,0,0)),"")</f>
        <v>46157.708333333336</v>
      </c>
      <c r="O55" s="6" cm="1">
        <f t="array" ref="O55">IFERROR(
_xlfn.LET(
_xlpm.res,_xlfn.XLOOKUP(B55,'LOCALIZAÇÃO DE CARGA'!$A$2:$A$2000,'LOCALIZAÇÃO DE CARGA'!$S$2:$S$2000),
IF(_xlpm.res="","",_xlpm.res)
),
""
)</f>
        <v>46161.333333333336</v>
      </c>
      <c r="P55" s="6" cm="1">
        <f t="array" ref="P55">IFERROR(
_xlfn.LET(
_xlpm.res,_xlfn.XLOOKUP(B55,'LOCALIZAÇÃO DE CARGA'!$A$2:$A$702,'LOCALIZAÇÃO DE CARGA'!$T$2:$T$702),
IF(_xlpm.res="","",_xlpm.res)
),
""
)</f>
        <v>46158.847222222219</v>
      </c>
      <c r="Q55" s="5" t="str">
        <f>IFERROR(
IF(
_xlfn.XLOOKUP(
B55,
'LOCALIZAÇÃO DE CARGA'!$A$2:$A$702,
'LOCALIZAÇÃO DE CARGA'!$K$2:$K$702
)="",
"",
_xlfn.XLOOKUP(
B55,
'LOCALIZAÇÃO DE CARGA'!$A$2:$A$702,
'LOCALIZAÇÃO DE CARGA'!$K$2:$K$702
)
),
""
)</f>
        <v>WMB SUPERMERCADOS DOBRASIL LTDA (SAM'S) - 07776700</v>
      </c>
      <c r="R55" s="5" t="str">
        <f t="shared" si="2"/>
        <v>WMB SUPERMERCADOS DOBRASIL LTDA</v>
      </c>
      <c r="S55" s="5" t="str" cm="1">
        <f t="array" ref="S55">IF(B55="","",IFERROR(
INDEX(
'VISÃO LOGISTICA'!$L$2:$L$525,
MATCH(
TRUE,
ISNUMBER(FIND(B55,'VISÃO LOGISTICA'!$A$2:$A$525)),
0
)
),
""
))</f>
        <v>RUA JOAO LIPINSKI, SAO JOSE DOS PINHAIS/PR/BRASIL (4,18 Km)</v>
      </c>
      <c r="T55" s="5" t="str">
        <f>IFERROR(
_xlfn.LET(
_xlpm.res,_xlfn.XLOOKUP(B55,'LOCALIZAÇÃO DE CARGA'!$A$2:$A$702,'LOCALIZAÇÃO DE CARGA'!$R$2:$R$702),
IF(_xlpm.res="","",_xlpm.res)
),
""
)</f>
        <v>CAJAMAR/SP/BRASIL</v>
      </c>
    </row>
    <row r="56" spans="1:20">
      <c r="A56" s="14">
        <f t="shared" si="0"/>
        <v>46160</v>
      </c>
      <c r="B56" s="5">
        <v>6022045</v>
      </c>
      <c r="C56" s="45" t="str">
        <f t="shared" ca="1" si="1"/>
        <v>OK - NO PRAZO</v>
      </c>
      <c r="D56" s="28"/>
      <c r="E56" s="28" t="str">
        <f>IFERROR(
IF(
_xlfn.XLOOKUP(
B56,
'LOCALIZAÇÃO DE CARGA'!$A$2:$A$702,
'LOCALIZAÇÃO DE CARGA'!$D$2:$D$702
)="",
"",
_xlfn.XLOOKUP(
B56,
'LOCALIZAÇÃO DE CARGA'!$A$2:$A$702,
'LOCALIZAÇÃO DE CARGA'!$D$2:$D$702
)
),
""
)</f>
        <v/>
      </c>
      <c r="F56" s="13" t="str">
        <f>IFERROR(
IF(
_xlfn.XLOOKUP(
B56,
'LOCALIZAÇÃO DE CARGA'!$A$2:$A$702,
'LOCALIZAÇÃO DE CARGA'!$H$2:$H$702
)="",
"",
_xlfn.XLOOKUP(
B56,
'LOCALIZAÇÃO DE CARGA'!$A$2:$A$702,
'LOCALIZAÇÃO DE CARGA'!$H$2:$H$702
)
),
""
)</f>
        <v>LTA SOLUCOES</v>
      </c>
      <c r="G56" s="5" t="str">
        <f>IFERROR(
IF(
_xlfn.XLOOKUP(
B56,
'LOCALIZAÇÃO DE CARGA'!$A$2:$A$702,
'LOCALIZAÇÃO DE CARGA'!$I$2:$I$702
)="",
"",
_xlfn.XLOOKUP(
B56,
'LOCALIZAÇÃO DE CARGA'!$A$2:$A$702,
'LOCALIZAÇÃO DE CARGA'!$I$2:$I$702
)
),
""
)</f>
        <v>LGCAJ</v>
      </c>
      <c r="H56" s="5" t="str">
        <f>IFERROR(
IF(
_xlfn.XLOOKUP(
B56,
'LOCALIZAÇÃO DE CARGA'!$A$2:$A$702,
'LOCALIZAÇÃO DE CARGA'!$F$2:$F$702
)="",
"",
_xlfn.XLOOKUP(
B56,
'LOCALIZAÇÃO DE CARGA'!$A$2:$A$702,
'LOCALIZAÇÃO DE CARGA'!$F$2:$F$702
)
),
""
)</f>
        <v>Não iniciado</v>
      </c>
      <c r="I56" s="13" t="str" cm="1">
        <f t="array" ref="I56">IFERROR(
IF(
INDEX(
'VISÃO LOGISTICA'!$C$2:$C$525,
MATCH(
TRUE,
ISNUMBER(FIND(B56,'VISÃO LOGISTICA'!$A$2:$A$525)),
0
)
)="Em espera",
"",
INDEX(
'VISÃO LOGISTICA'!$C$2:$C$525,
MATCH(
TRUE,
ISNUMBER(FIND(B56,'VISÃO LOGISTICA'!$A$2:$A$525)),
0
)
)
),
""
)</f>
        <v/>
      </c>
      <c r="J56" s="5" t="str" cm="1">
        <f t="array" ref="J56">IFERROR(
IF(
OR(
INDEX(
'VISÃO LOGISTICA'!$C$2:$C$2000,
MATCH(
TRUE,
ISNUMBER(FIND(B56,'VISÃO LOGISTICA'!$A$2:$A$2000)),
0
)
)="Em espera",
INDEX(
'VISÃO LOGISTICA'!$C$2:$C$2000,
MATCH(
TRUE,
ISNUMBER(FIND(B56,'VISÃO LOGISTICA'!$A$2:$A$2000)),
0
)
)=""
),
"",
INDEX(
'VISÃO LOGISTICA'!$D$2:$D$2000,
MATCH(
TRUE,
ISNUMBER(FIND(B56,'VISÃO LOGISTICA'!$A$2:$A$2000)),
0
)
)
),
""
)</f>
        <v/>
      </c>
      <c r="K56" s="10">
        <f>IFERROR(
IF(
_xlfn.XLOOKUP(
B56,
'LOCALIZAÇÃO DE CARGA'!$A$2:$A$702,
'LOCALIZAÇÃO DE CARGA'!$E$2:$E$702)="",
"",
_xlfn.XLOOKUP(
B56,
'LOCALIZAÇÃO DE CARGA'!$A$2:$A$702,
'LOCALIZAÇÃO DE CARGA'!$E$2:$E$702)
),
""
)</f>
        <v>418714.72</v>
      </c>
      <c r="L56" s="20" cm="1">
        <f t="array" ref="L56">IFERROR(
_xlfn.LET(
_xlpm.res,_xlfn.XLOOKUP(B56,'LOCALIZAÇÃO DE CARGA'!$A$2:$A$2000,'LOCALIZAÇÃO DE CARGA'!$G$2:$G$2000),
IF(_xlpm.res="","",_xlpm.res)
),
""
)</f>
        <v>46161.154166666667</v>
      </c>
      <c r="M56" s="20" cm="1">
        <f t="array" ref="M56">IFERROR(
_xlfn.LET(
_xlpm.load,_xlfn.XLOOKUP(B56,'LOCALIZAÇÃO DE CARGA'!$A$2:$A$2000,'LOCALIZAÇÃO DE CARGA'!$A$2:$A$2000),
_xlpm.res,_xlfn.XLOOKUP(_xlpm.load,DOCUMENTOS!$A$2:$A$2000,DOCUMENTOS!$D$2:$D$2000),
IF(_xlpm.res="","",_xlpm.res)
),
""
)</f>
        <v>46160.416666666664</v>
      </c>
      <c r="N56" s="6">
        <f>IFERROR(IF(M56="","",M56-TIME(1,0,0)),"")</f>
        <v>46160.375</v>
      </c>
      <c r="O56" s="6" cm="1">
        <f t="array" ref="O56">IFERROR(
_xlfn.LET(
_xlpm.res,_xlfn.XLOOKUP(B56,'LOCALIZAÇÃO DE CARGA'!$A$2:$A$2000,'LOCALIZAÇÃO DE CARGA'!$S$2:$S$2000),
IF(_xlpm.res="","",_xlpm.res)
),
""
)</f>
        <v>46161.25</v>
      </c>
      <c r="P56" s="6" t="str" cm="1">
        <f t="array" ref="P56">IFERROR(
_xlfn.LET(
_xlpm.res,_xlfn.XLOOKUP(B56,'LOCALIZAÇÃO DE CARGA'!$A$2:$A$702,'LOCALIZAÇÃO DE CARGA'!$T$2:$T$702),
IF(_xlpm.res="","",_xlpm.res)
),
""
)</f>
        <v/>
      </c>
      <c r="Q56" s="5" t="str">
        <f>IFERROR(
IF(
_xlfn.XLOOKUP(
B56,
'LOCALIZAÇÃO DE CARGA'!$A$2:$A$702,
'LOCALIZAÇÃO DE CARGA'!$K$2:$K$702
)="",
"",
_xlfn.XLOOKUP(
B56,
'LOCALIZAÇÃO DE CARGA'!$A$2:$A$702,
'LOCALIZAÇÃO DE CARGA'!$K$2:$K$702
)
),
""
)</f>
        <v>GRUPO CASAS BAHIA S.A(CD1200) - 13203850</v>
      </c>
      <c r="R56" s="5" t="str">
        <f t="shared" si="2"/>
        <v>GRUPO CASAS BAHIA S.A</v>
      </c>
      <c r="S56" s="5" t="str" cm="1">
        <f t="array" ref="S56">IF(B56="","",IFERROR(
INDEX(
'VISÃO LOGISTICA'!$L$2:$L$525,
MATCH(
TRUE,
ISNUMBER(FIND(B56,'VISÃO LOGISTICA'!$A$2:$A$525)),
0
)
),
""
))</f>
        <v/>
      </c>
      <c r="T56" s="5" t="str">
        <f>IFERROR(
_xlfn.LET(
_xlpm.res,_xlfn.XLOOKUP(B56,'LOCALIZAÇÃO DE CARGA'!$A$2:$A$702,'LOCALIZAÇÃO DE CARGA'!$R$2:$R$702),
IF(_xlpm.res="","",_xlpm.res)
),
""
)</f>
        <v>JUNDIAI/SP/BRASIL</v>
      </c>
    </row>
    <row r="57" spans="1:20">
      <c r="A57" s="14">
        <f t="shared" si="0"/>
        <v>46157</v>
      </c>
      <c r="B57" s="5">
        <v>6022260</v>
      </c>
      <c r="C57" s="45" t="str">
        <f t="shared" ca="1" si="1"/>
        <v>ATRASADO CARREGAMENTO - SEM SMP</v>
      </c>
      <c r="D57" s="28"/>
      <c r="E57" s="28" t="str">
        <f>IFERROR(
IF(
_xlfn.XLOOKUP(
B57,
'LOCALIZAÇÃO DE CARGA'!$A$2:$A$702,
'LOCALIZAÇÃO DE CARGA'!$D$2:$D$702
)="",
"",
_xlfn.XLOOKUP(
B57,
'LOCALIZAÇÃO DE CARGA'!$A$2:$A$702,
'LOCALIZAÇÃO DE CARGA'!$D$2:$D$702
)
),
""
)</f>
        <v/>
      </c>
      <c r="F57" s="13" t="str">
        <f>IFERROR(
IF(
_xlfn.XLOOKUP(
B57,
'LOCALIZAÇÃO DE CARGA'!$A$2:$A$702,
'LOCALIZAÇÃO DE CARGA'!$H$2:$H$702
)="",
"",
_xlfn.XLOOKUP(
B57,
'LOCALIZAÇÃO DE CARGA'!$A$2:$A$702,
'LOCALIZAÇÃO DE CARGA'!$H$2:$H$702
)
),
""
)</f>
        <v>TRANSBOCAYUV</v>
      </c>
      <c r="G57" s="5" t="str">
        <f>IFERROR(
IF(
_xlfn.XLOOKUP(
B57,
'LOCALIZAÇÃO DE CARGA'!$A$2:$A$702,
'LOCALIZAÇÃO DE CARGA'!$I$2:$I$702
)="",
"",
_xlfn.XLOOKUP(
B57,
'LOCALIZAÇÃO DE CARGA'!$A$2:$A$702,
'LOCALIZAÇÃO DE CARGA'!$I$2:$I$702
)
),
""
)</f>
        <v>LGSCT</v>
      </c>
      <c r="H57" s="5" t="str">
        <f>IFERROR(
IF(
_xlfn.XLOOKUP(
B57,
'LOCALIZAÇÃO DE CARGA'!$A$2:$A$702,
'LOCALIZAÇÃO DE CARGA'!$F$2:$F$702
)="",
"",
_xlfn.XLOOKUP(
B57,
'LOCALIZAÇÃO DE CARGA'!$A$2:$A$702,
'LOCALIZAÇÃO DE CARGA'!$F$2:$F$702
)
),
""
)</f>
        <v>Não iniciado</v>
      </c>
      <c r="I57" s="13" t="str" cm="1">
        <f t="array" ref="I57">IFERROR(
IF(
INDEX(
'VISÃO LOGISTICA'!$C$2:$C$525,
MATCH(
TRUE,
ISNUMBER(FIND(B57,'VISÃO LOGISTICA'!$A$2:$A$525)),
0
)
)="Em espera",
"",
INDEX(
'VISÃO LOGISTICA'!$C$2:$C$525,
MATCH(
TRUE,
ISNUMBER(FIND(B57,'VISÃO LOGISTICA'!$A$2:$A$525)),
0
)
)
),
""
)</f>
        <v/>
      </c>
      <c r="J57" s="5" t="str" cm="1">
        <f t="array" ref="J57">IFERROR(
IF(
OR(
INDEX(
'VISÃO LOGISTICA'!$C$2:$C$2000,
MATCH(
TRUE,
ISNUMBER(FIND(B57,'VISÃO LOGISTICA'!$A$2:$A$2000)),
0
)
)="Em espera",
INDEX(
'VISÃO LOGISTICA'!$C$2:$C$2000,
MATCH(
TRUE,
ISNUMBER(FIND(B57,'VISÃO LOGISTICA'!$A$2:$A$2000)),
0
)
)=""
),
"",
INDEX(
'VISÃO LOGISTICA'!$D$2:$D$2000,
MATCH(
TRUE,
ISNUMBER(FIND(B57,'VISÃO LOGISTICA'!$A$2:$A$2000)),
0
)
)
),
""
)</f>
        <v/>
      </c>
      <c r="K57" s="10">
        <f>IFERROR(
IF(
_xlfn.XLOOKUP(
B57,
'LOCALIZAÇÃO DE CARGA'!$A$2:$A$702,
'LOCALIZAÇÃO DE CARGA'!$E$2:$E$702)="",
"",
_xlfn.XLOOKUP(
B57,
'LOCALIZAÇÃO DE CARGA'!$A$2:$A$702,
'LOCALIZAÇÃO DE CARGA'!$E$2:$E$702)
),
""
)</f>
        <v>412808.61</v>
      </c>
      <c r="L57" s="20" cm="1">
        <f t="array" ref="L57">IFERROR(
_xlfn.LET(
_xlpm.res,_xlfn.XLOOKUP(B57,'LOCALIZAÇÃO DE CARGA'!$A$2:$A$2000,'LOCALIZAÇÃO DE CARGA'!$G$2:$G$2000),
IF(_xlpm.res="","",_xlpm.res)
),
""
)</f>
        <v>46159.747916666667</v>
      </c>
      <c r="M57" s="20" cm="1">
        <f t="array" ref="M57">IFERROR(
_xlfn.LET(
_xlpm.load,_xlfn.XLOOKUP(B57,'LOCALIZAÇÃO DE CARGA'!$A$2:$A$2000,'LOCALIZAÇÃO DE CARGA'!$A$2:$A$2000),
_xlpm.res,_xlfn.XLOOKUP(_xlpm.load,DOCUMENTOS!$A$2:$A$2000,DOCUMENTOS!$D$2:$D$2000),
IF(_xlpm.res="","",_xlpm.res)
),
""
)</f>
        <v>46157.4375</v>
      </c>
      <c r="N57" s="6">
        <f>IFERROR(IF(M57="","",M57-TIME(1,0,0)),"")</f>
        <v>46157.395833333336</v>
      </c>
      <c r="O57" s="6" cm="1">
        <f t="array" ref="O57">IFERROR(
_xlfn.LET(
_xlpm.res,_xlfn.XLOOKUP(B57,'LOCALIZAÇÃO DE CARGA'!$A$2:$A$2000,'LOCALIZAÇÃO DE CARGA'!$S$2:$S$2000),
IF(_xlpm.res="","",_xlpm.res)
),
""
)</f>
        <v>46164.25</v>
      </c>
      <c r="P57" s="6" t="str" cm="1">
        <f t="array" ref="P57">IFERROR(
_xlfn.LET(
_xlpm.res,_xlfn.XLOOKUP(B57,'LOCALIZAÇÃO DE CARGA'!$A$2:$A$702,'LOCALIZAÇÃO DE CARGA'!$T$2:$T$702),
IF(_xlpm.res="","",_xlpm.res)
),
""
)</f>
        <v/>
      </c>
      <c r="Q57" s="5" t="str">
        <f>IFERROR(
IF(
_xlfn.XLOOKUP(
B57,
'LOCALIZAÇÃO DE CARGA'!$A$2:$A$702,
'LOCALIZAÇÃO DE CARGA'!$K$2:$K$702
)="",
"",
_xlfn.XLOOKUP(
B57,
'LOCALIZAÇÃO DE CARGA'!$A$2:$A$702,
'LOCALIZAÇÃO DE CARGA'!$K$2:$K$702
)
),
""
)</f>
        <v>MAGAZINE LUIZA S/A (CD0991) - 58320000</v>
      </c>
      <c r="R57" s="5" t="str">
        <f t="shared" si="2"/>
        <v>MAGAZINE LUIZA S/A</v>
      </c>
      <c r="S57" s="5" t="str" cm="1">
        <f t="array" ref="S57">IF(B57="","",IFERROR(
INDEX(
'VISÃO LOGISTICA'!$L$2:$L$525,
MATCH(
TRUE,
ISNUMBER(FIND(B57,'VISÃO LOGISTICA'!$A$2:$A$525)),
0
)
),
""
))</f>
        <v/>
      </c>
      <c r="T57" s="5" t="str">
        <f>IFERROR(
_xlfn.LET(
_xlpm.res,_xlfn.XLOOKUP(B57,'LOCALIZAÇÃO DE CARGA'!$A$2:$A$702,'LOCALIZAÇÃO DE CARGA'!$R$2:$R$702),
IF(_xlpm.res="","",_xlpm.res)
),
""
)</f>
        <v>ALHANDRA/PB/BRASIL</v>
      </c>
    </row>
    <row r="58" spans="1:20">
      <c r="A58" s="14">
        <f t="shared" si="0"/>
        <v>46158</v>
      </c>
      <c r="B58" s="5">
        <v>6015357</v>
      </c>
      <c r="C58" s="45" t="str">
        <f t="shared" ca="1" si="1"/>
        <v>ATRASADO CARREGAMENTO - SEM SMP</v>
      </c>
      <c r="D58" s="28"/>
      <c r="E58" s="28" t="str">
        <f>IFERROR(
IF(
_xlfn.XLOOKUP(
B58,
'LOCALIZAÇÃO DE CARGA'!$A$2:$A$702,
'LOCALIZAÇÃO DE CARGA'!$D$2:$D$702
)="",
"",
_xlfn.XLOOKUP(
B58,
'LOCALIZAÇÃO DE CARGA'!$A$2:$A$702,
'LOCALIZAÇÃO DE CARGA'!$D$2:$D$702
)
),
""
)</f>
        <v/>
      </c>
      <c r="F58" s="13" t="str">
        <f>IFERROR(
IF(
_xlfn.XLOOKUP(
B58,
'LOCALIZAÇÃO DE CARGA'!$A$2:$A$702,
'LOCALIZAÇÃO DE CARGA'!$H$2:$H$702
)="",
"",
_xlfn.XLOOKUP(
B58,
'LOCALIZAÇÃO DE CARGA'!$A$2:$A$702,
'LOCALIZAÇÃO DE CARGA'!$H$2:$H$702
)
),
""
)</f>
        <v>MINAS SUL</v>
      </c>
      <c r="G58" s="5" t="str">
        <f>IFERROR(
IF(
_xlfn.XLOOKUP(
B58,
'LOCALIZAÇÃO DE CARGA'!$A$2:$A$702,
'LOCALIZAÇÃO DE CARGA'!$I$2:$I$702
)="",
"",
_xlfn.XLOOKUP(
B58,
'LOCALIZAÇÃO DE CARGA'!$A$2:$A$702,
'LOCALIZAÇÃO DE CARGA'!$I$2:$I$702
)
),
""
)</f>
        <v>LGSCT</v>
      </c>
      <c r="H58" s="5" t="str">
        <f>IFERROR(
IF(
_xlfn.XLOOKUP(
B58,
'LOCALIZAÇÃO DE CARGA'!$A$2:$A$702,
'LOCALIZAÇÃO DE CARGA'!$F$2:$F$702
)="",
"",
_xlfn.XLOOKUP(
B58,
'LOCALIZAÇÃO DE CARGA'!$A$2:$A$702,
'LOCALIZAÇÃO DE CARGA'!$F$2:$F$702
)
),
""
)</f>
        <v>Não iniciado</v>
      </c>
      <c r="I58" s="13" t="str" cm="1">
        <f t="array" ref="I58">IFERROR(
IF(
INDEX(
'VISÃO LOGISTICA'!$C$2:$C$525,
MATCH(
TRUE,
ISNUMBER(FIND(B58,'VISÃO LOGISTICA'!$A$2:$A$525)),
0
)
)="Em espera",
"",
INDEX(
'VISÃO LOGISTICA'!$C$2:$C$525,
MATCH(
TRUE,
ISNUMBER(FIND(B58,'VISÃO LOGISTICA'!$A$2:$A$525)),
0
)
)
),
""
)</f>
        <v/>
      </c>
      <c r="J58" s="5" t="str" cm="1">
        <f t="array" ref="J58">IFERROR(
IF(
OR(
INDEX(
'VISÃO LOGISTICA'!$C$2:$C$2000,
MATCH(
TRUE,
ISNUMBER(FIND(B58,'VISÃO LOGISTICA'!$A$2:$A$2000)),
0
)
)="Em espera",
INDEX(
'VISÃO LOGISTICA'!$C$2:$C$2000,
MATCH(
TRUE,
ISNUMBER(FIND(B58,'VISÃO LOGISTICA'!$A$2:$A$2000)),
0
)
)=""
),
"",
INDEX(
'VISÃO LOGISTICA'!$D$2:$D$2000,
MATCH(
TRUE,
ISNUMBER(FIND(B58,'VISÃO LOGISTICA'!$A$2:$A$2000)),
0
)
)
),
""
)</f>
        <v/>
      </c>
      <c r="K58" s="10">
        <f>IFERROR(
IF(
_xlfn.XLOOKUP(
B58,
'LOCALIZAÇÃO DE CARGA'!$A$2:$A$702,
'LOCALIZAÇÃO DE CARGA'!$E$2:$E$702)="",
"",
_xlfn.XLOOKUP(
B58,
'LOCALIZAÇÃO DE CARGA'!$A$2:$A$702,
'LOCALIZAÇÃO DE CARGA'!$E$2:$E$702)
),
""
)</f>
        <v>411341.04</v>
      </c>
      <c r="L58" s="20" cm="1">
        <f t="array" ref="L58">IFERROR(
_xlfn.LET(
_xlpm.res,_xlfn.XLOOKUP(B58,'LOCALIZAÇÃO DE CARGA'!$A$2:$A$2000,'LOCALIZAÇÃO DE CARGA'!$G$2:$G$2000),
IF(_xlpm.res="","",_xlpm.res)
),
""
)</f>
        <v>46159.52847222222</v>
      </c>
      <c r="M58" s="20" cm="1">
        <f t="array" ref="M58">IFERROR(
_xlfn.LET(
_xlpm.load,_xlfn.XLOOKUP(B58,'LOCALIZAÇÃO DE CARGA'!$A$2:$A$2000,'LOCALIZAÇÃO DE CARGA'!$A$2:$A$2000),
_xlpm.res,_xlfn.XLOOKUP(_xlpm.load,DOCUMENTOS!$A$2:$A$2000,DOCUMENTOS!$D$2:$D$2000),
IF(_xlpm.res="","",_xlpm.res)
),
""
)</f>
        <v>46158.416666666664</v>
      </c>
      <c r="N58" s="6">
        <f>IFERROR(IF(M58="","",M58-TIME(1,0,0)),"")</f>
        <v>46158.375</v>
      </c>
      <c r="O58" s="6" cm="1">
        <f t="array" ref="O58">IFERROR(
_xlfn.LET(
_xlpm.res,_xlfn.XLOOKUP(B58,'LOCALIZAÇÃO DE CARGA'!$A$2:$A$2000,'LOCALIZAÇÃO DE CARGA'!$S$2:$S$2000),
IF(_xlpm.res="","",_xlpm.res)
),
""
)</f>
        <v>46159.958333333336</v>
      </c>
      <c r="P58" s="6" t="str" cm="1">
        <f t="array" ref="P58">IFERROR(
_xlfn.LET(
_xlpm.res,_xlfn.XLOOKUP(B58,'LOCALIZAÇÃO DE CARGA'!$A$2:$A$702,'LOCALIZAÇÃO DE CARGA'!$T$2:$T$702),
IF(_xlpm.res="","",_xlpm.res)
),
""
)</f>
        <v/>
      </c>
      <c r="Q58" s="5" t="str">
        <f>IFERROR(
IF(
_xlfn.XLOOKUP(
B58,
'LOCALIZAÇÃO DE CARGA'!$A$2:$A$702,
'LOCALIZAÇÃO DE CARGA'!$K$2:$K$702
)="",
"",
_xlfn.XLOOKUP(
B58,
'LOCALIZAÇÃO DE CARGA'!$A$2:$A$702,
'LOCALIZAÇÃO DE CARGA'!$K$2:$K$702
)
),
""
)</f>
        <v>CARREFOUR COM IND LTDA - 06278010</v>
      </c>
      <c r="R58" s="5" t="str">
        <f t="shared" si="2"/>
        <v>CARREFOUR COM IND LTDA</v>
      </c>
      <c r="S58" s="5" t="str" cm="1">
        <f t="array" ref="S58">IF(B58="","",IFERROR(
INDEX(
'VISÃO LOGISTICA'!$L$2:$L$525,
MATCH(
TRUE,
ISNUMBER(FIND(B58,'VISÃO LOGISTICA'!$A$2:$A$525)),
0
)
),
""
))</f>
        <v/>
      </c>
      <c r="T58" s="5" t="str">
        <f>IFERROR(
_xlfn.LET(
_xlpm.res,_xlfn.XLOOKUP(B58,'LOCALIZAÇÃO DE CARGA'!$A$2:$A$702,'LOCALIZAÇÃO DE CARGA'!$R$2:$R$702),
IF(_xlpm.res="","",_xlpm.res)
),
""
)</f>
        <v>OSASCO/SP/BRASIL</v>
      </c>
    </row>
    <row r="59" spans="1:20">
      <c r="A59" s="14">
        <f t="shared" si="0"/>
        <v>46157</v>
      </c>
      <c r="B59" s="5">
        <v>6021540</v>
      </c>
      <c r="C59" s="45" t="str">
        <f t="shared" ca="1" si="1"/>
        <v>EM VIAGEM</v>
      </c>
      <c r="D59" s="28"/>
      <c r="E59" s="28" t="str">
        <f>IFERROR(
IF(
_xlfn.XLOOKUP(
B59,
'LOCALIZAÇÃO DE CARGA'!$A$2:$A$702,
'LOCALIZAÇÃO DE CARGA'!$D$2:$D$702
)="",
"",
_xlfn.XLOOKUP(
B59,
'LOCALIZAÇÃO DE CARGA'!$A$2:$A$702,
'LOCALIZAÇÃO DE CARGA'!$D$2:$D$702
)
),
""
)</f>
        <v>Saida do WH</v>
      </c>
      <c r="F59" s="13" t="str">
        <f>IFERROR(
IF(
_xlfn.XLOOKUP(
B59,
'LOCALIZAÇÃO DE CARGA'!$A$2:$A$702,
'LOCALIZAÇÃO DE CARGA'!$H$2:$H$702
)="",
"",
_xlfn.XLOOKUP(
B59,
'LOCALIZAÇÃO DE CARGA'!$A$2:$A$702,
'LOCALIZAÇÃO DE CARGA'!$H$2:$H$702
)
),
""
)</f>
        <v>TRANSBOCAYUV</v>
      </c>
      <c r="G59" s="5" t="str">
        <f>IFERROR(
IF(
_xlfn.XLOOKUP(
B59,
'LOCALIZAÇÃO DE CARGA'!$A$2:$A$702,
'LOCALIZAÇÃO DE CARGA'!$I$2:$I$702
)="",
"",
_xlfn.XLOOKUP(
B59,
'LOCALIZAÇÃO DE CARGA'!$A$2:$A$702,
'LOCALIZAÇÃO DE CARGA'!$I$2:$I$702
)
),
""
)</f>
        <v>LGCAJ</v>
      </c>
      <c r="H59" s="5" t="str">
        <f>IFERROR(
IF(
_xlfn.XLOOKUP(
B59,
'LOCALIZAÇÃO DE CARGA'!$A$2:$A$702,
'LOCALIZAÇÃO DE CARGA'!$F$2:$F$702
)="",
"",
_xlfn.XLOOKUP(
B59,
'LOCALIZAÇÃO DE CARGA'!$A$2:$A$702,
'LOCALIZAÇÃO DE CARGA'!$F$2:$F$702
)
),
""
)</f>
        <v>Andamento</v>
      </c>
      <c r="I59" s="13" t="str" cm="1">
        <f t="array" ref="I59">IFERROR(
IF(
INDEX(
'VISÃO LOGISTICA'!$C$2:$C$525,
MATCH(
TRUE,
ISNUMBER(FIND(B59,'VISÃO LOGISTICA'!$A$2:$A$525)),
0
)
)="Em espera",
"",
INDEX(
'VISÃO LOGISTICA'!$C$2:$C$525,
MATCH(
TRUE,
ISNUMBER(FIND(B59,'VISÃO LOGISTICA'!$A$2:$A$525)),
0
)
)
),
""
)</f>
        <v>Em Viagem</v>
      </c>
      <c r="J59" s="5" t="str" cm="1">
        <f t="array" ref="J59">IFERROR(
IF(
OR(
INDEX(
'VISÃO LOGISTICA'!$C$2:$C$2000,
MATCH(
TRUE,
ISNUMBER(FIND(B59,'VISÃO LOGISTICA'!$A$2:$A$2000)),
0
)
)="Em espera",
INDEX(
'VISÃO LOGISTICA'!$C$2:$C$2000,
MATCH(
TRUE,
ISNUMBER(FIND(B59,'VISÃO LOGISTICA'!$A$2:$A$2000)),
0
)
)=""
),
"",
INDEX(
'VISÃO LOGISTICA'!$D$2:$D$2000,
MATCH(
TRUE,
ISNUMBER(FIND(B59,'VISÃO LOGISTICA'!$A$2:$A$2000)),
0
)
)
),
""
)</f>
        <v>SFR1A52</v>
      </c>
      <c r="K59" s="10">
        <f>IFERROR(
IF(
_xlfn.XLOOKUP(
B59,
'LOCALIZAÇÃO DE CARGA'!$A$2:$A$702,
'LOCALIZAÇÃO DE CARGA'!$E$2:$E$702)="",
"",
_xlfn.XLOOKUP(
B59,
'LOCALIZAÇÃO DE CARGA'!$A$2:$A$702,
'LOCALIZAÇÃO DE CARGA'!$E$2:$E$702)
),
""
)</f>
        <v>410268.53</v>
      </c>
      <c r="L59" s="20" cm="1">
        <f t="array" ref="L59">IFERROR(
_xlfn.LET(
_xlpm.res,_xlfn.XLOOKUP(B59,'LOCALIZAÇÃO DE CARGA'!$A$2:$A$2000,'LOCALIZAÇÃO DE CARGA'!$G$2:$G$2000),
IF(_xlpm.res="","",_xlpm.res)
),
""
)</f>
        <v>46159.238194444442</v>
      </c>
      <c r="M59" s="20" cm="1">
        <f t="array" ref="M59">IFERROR(
_xlfn.LET(
_xlpm.load,_xlfn.XLOOKUP(B59,'LOCALIZAÇÃO DE CARGA'!$A$2:$A$2000,'LOCALIZAÇÃO DE CARGA'!$A$2:$A$2000),
_xlpm.res,_xlfn.XLOOKUP(_xlpm.load,DOCUMENTOS!$A$2:$A$2000,DOCUMENTOS!$D$2:$D$2000),
IF(_xlpm.res="","",_xlpm.res)
),
""
)</f>
        <v>46157.333333333336</v>
      </c>
      <c r="N59" s="6">
        <f>IFERROR(IF(M59="","",M59-TIME(1,0,0)),"")</f>
        <v>46157.291666666672</v>
      </c>
      <c r="O59" s="6" cm="1">
        <f t="array" ref="O59">IFERROR(
_xlfn.LET(
_xlpm.res,_xlfn.XLOOKUP(B59,'LOCALIZAÇÃO DE CARGA'!$A$2:$A$2000,'LOCALIZAÇÃO DE CARGA'!$S$2:$S$2000),
IF(_xlpm.res="","",_xlpm.res)
),
""
)</f>
        <v>46160.291666666664</v>
      </c>
      <c r="P59" s="6" cm="1">
        <f t="array" ref="P59">IFERROR(
_xlfn.LET(
_xlpm.res,_xlfn.XLOOKUP(B59,'LOCALIZAÇÃO DE CARGA'!$A$2:$A$702,'LOCALIZAÇÃO DE CARGA'!$T$2:$T$702),
IF(_xlpm.res="","",_xlpm.res)
),
""
)</f>
        <v>46158.584027777775</v>
      </c>
      <c r="Q59" s="5" t="str">
        <f>IFERROR(
IF(
_xlfn.XLOOKUP(
B59,
'LOCALIZAÇÃO DE CARGA'!$A$2:$A$702,
'LOCALIZAÇÃO DE CARGA'!$K$2:$K$702
)="",
"",
_xlfn.XLOOKUP(
B59,
'LOCALIZAÇÃO DE CARGA'!$A$2:$A$702,
'LOCALIZAÇÃO DE CARGA'!$K$2:$K$702
)
),
""
)</f>
        <v>AGIS EQUIPAMENTOS E SERVICOS DE INFORMATICA LTDA. - 29169832</v>
      </c>
      <c r="R59" s="5" t="str">
        <f t="shared" si="2"/>
        <v>AGIS EQUIPAMENTOS E SERVICOS DE INFORMATICA LTDA.</v>
      </c>
      <c r="S59" s="5" t="str" cm="1">
        <f t="array" ref="S59">IF(B59="","",IFERROR(
INDEX(
'VISÃO LOGISTICA'!$L$2:$L$525,
MATCH(
TRUE,
ISNUMBER(FIND(B59,'VISÃO LOGISTICA'!$A$2:$A$525)),
0
)
),
""
))</f>
        <v>ALAMEDA ARABE, CAMPOS DOS GOYTACAZES/RJ/BRASIL (28,52 Km)</v>
      </c>
      <c r="T59" s="5" t="str">
        <f>IFERROR(
_xlfn.LET(
_xlpm.res,_xlfn.XLOOKUP(B59,'LOCALIZAÇÃO DE CARGA'!$A$2:$A$702,'LOCALIZAÇÃO DE CARGA'!$R$2:$R$702),
IF(_xlpm.res="","",_xlpm.res)
),
""
)</f>
        <v>SERRA/ES/BRASIL</v>
      </c>
    </row>
    <row r="60" spans="1:20">
      <c r="A60" s="14">
        <f t="shared" si="0"/>
        <v>46160</v>
      </c>
      <c r="B60" s="5">
        <v>6023167</v>
      </c>
      <c r="C60" s="45" t="str">
        <f t="shared" ca="1" si="1"/>
        <v>OK - NO PRAZO</v>
      </c>
      <c r="D60" s="28"/>
      <c r="E60" s="28" t="str">
        <f>IFERROR(
IF(
_xlfn.XLOOKUP(
B60,
'LOCALIZAÇÃO DE CARGA'!$A$2:$A$702,
'LOCALIZAÇÃO DE CARGA'!$D$2:$D$702
)="",
"",
_xlfn.XLOOKUP(
B60,
'LOCALIZAÇÃO DE CARGA'!$A$2:$A$702,
'LOCALIZAÇÃO DE CARGA'!$D$2:$D$702
)
),
""
)</f>
        <v/>
      </c>
      <c r="F60" s="13" t="str">
        <f>IFERROR(
IF(
_xlfn.XLOOKUP(
B60,
'LOCALIZAÇÃO DE CARGA'!$A$2:$A$702,
'LOCALIZAÇÃO DE CARGA'!$H$2:$H$702
)="",
"",
_xlfn.XLOOKUP(
B60,
'LOCALIZAÇÃO DE CARGA'!$A$2:$A$702,
'LOCALIZAÇÃO DE CARGA'!$H$2:$H$702
)
),
""
)</f>
        <v>MINAS SUL</v>
      </c>
      <c r="G60" s="5" t="str">
        <f>IFERROR(
IF(
_xlfn.XLOOKUP(
B60,
'LOCALIZAÇÃO DE CARGA'!$A$2:$A$702,
'LOCALIZAÇÃO DE CARGA'!$I$2:$I$702
)="",
"",
_xlfn.XLOOKUP(
B60,
'LOCALIZAÇÃO DE CARGA'!$A$2:$A$702,
'LOCALIZAÇÃO DE CARGA'!$I$2:$I$702
)
),
""
)</f>
        <v>LGCAJ</v>
      </c>
      <c r="H60" s="5" t="str">
        <f>IFERROR(
IF(
_xlfn.XLOOKUP(
B60,
'LOCALIZAÇÃO DE CARGA'!$A$2:$A$702,
'LOCALIZAÇÃO DE CARGA'!$F$2:$F$702
)="",
"",
_xlfn.XLOOKUP(
B60,
'LOCALIZAÇÃO DE CARGA'!$A$2:$A$702,
'LOCALIZAÇÃO DE CARGA'!$F$2:$F$702
)
),
""
)</f>
        <v>Não iniciado</v>
      </c>
      <c r="I60" s="13" t="str" cm="1">
        <f t="array" ref="I60">IFERROR(
IF(
INDEX(
'VISÃO LOGISTICA'!$C$2:$C$525,
MATCH(
TRUE,
ISNUMBER(FIND(B60,'VISÃO LOGISTICA'!$A$2:$A$525)),
0
)
)="Em espera",
"",
INDEX(
'VISÃO LOGISTICA'!$C$2:$C$525,
MATCH(
TRUE,
ISNUMBER(FIND(B60,'VISÃO LOGISTICA'!$A$2:$A$525)),
0
)
)
),
""
)</f>
        <v/>
      </c>
      <c r="J60" s="5" t="str" cm="1">
        <f t="array" ref="J60">IFERROR(
IF(
OR(
INDEX(
'VISÃO LOGISTICA'!$C$2:$C$2000,
MATCH(
TRUE,
ISNUMBER(FIND(B60,'VISÃO LOGISTICA'!$A$2:$A$2000)),
0
)
)="Em espera",
INDEX(
'VISÃO LOGISTICA'!$C$2:$C$2000,
MATCH(
TRUE,
ISNUMBER(FIND(B60,'VISÃO LOGISTICA'!$A$2:$A$2000)),
0
)
)=""
),
"",
INDEX(
'VISÃO LOGISTICA'!$D$2:$D$2000,
MATCH(
TRUE,
ISNUMBER(FIND(B60,'VISÃO LOGISTICA'!$A$2:$A$2000)),
0
)
)
),
""
)</f>
        <v/>
      </c>
      <c r="K60" s="10">
        <f>IFERROR(
IF(
_xlfn.XLOOKUP(
B60,
'LOCALIZAÇÃO DE CARGA'!$A$2:$A$702,
'LOCALIZAÇÃO DE CARGA'!$E$2:$E$702)="",
"",
_xlfn.XLOOKUP(
B60,
'LOCALIZAÇÃO DE CARGA'!$A$2:$A$702,
'LOCALIZAÇÃO DE CARGA'!$E$2:$E$702)
),
""
)</f>
        <v>406281.72</v>
      </c>
      <c r="L60" s="20" cm="1">
        <f t="array" ref="L60">IFERROR(
_xlfn.LET(
_xlpm.res,_xlfn.XLOOKUP(B60,'LOCALIZAÇÃO DE CARGA'!$A$2:$A$2000,'LOCALIZAÇÃO DE CARGA'!$G$2:$G$2000),
IF(_xlpm.res="","",_xlpm.res)
),
""
)</f>
        <v>46161.2</v>
      </c>
      <c r="M60" s="20" cm="1">
        <f t="array" ref="M60">IFERROR(
_xlfn.LET(
_xlpm.load,_xlfn.XLOOKUP(B60,'LOCALIZAÇÃO DE CARGA'!$A$2:$A$2000,'LOCALIZAÇÃO DE CARGA'!$A$2:$A$2000),
_xlpm.res,_xlfn.XLOOKUP(_xlpm.load,DOCUMENTOS!$A$2:$A$2000,DOCUMENTOS!$D$2:$D$2000),
IF(_xlpm.res="","",_xlpm.res)
),
""
)</f>
        <v>46160.833333333336</v>
      </c>
      <c r="N60" s="6">
        <f>IFERROR(IF(M60="","",M60-TIME(1,0,0)),"")</f>
        <v>46160.791666666672</v>
      </c>
      <c r="O60" s="6" cm="1">
        <f t="array" ref="O60">IFERROR(
_xlfn.LET(
_xlpm.res,_xlfn.XLOOKUP(B60,'LOCALIZAÇÃO DE CARGA'!$A$2:$A$2000,'LOCALIZAÇÃO DE CARGA'!$S$2:$S$2000),
IF(_xlpm.res="","",_xlpm.res)
),
""
)</f>
        <v>46161.333333333336</v>
      </c>
      <c r="P60" s="6" t="str" cm="1">
        <f t="array" ref="P60">IFERROR(
_xlfn.LET(
_xlpm.res,_xlfn.XLOOKUP(B60,'LOCALIZAÇÃO DE CARGA'!$A$2:$A$702,'LOCALIZAÇÃO DE CARGA'!$T$2:$T$702),
IF(_xlpm.res="","",_xlpm.res)
),
""
)</f>
        <v/>
      </c>
      <c r="Q60" s="5" t="str">
        <f>IFERROR(
IF(
_xlfn.XLOOKUP(
B60,
'LOCALIZAÇÃO DE CARGA'!$A$2:$A$702,
'LOCALIZAÇÃO DE CARGA'!$K$2:$K$702
)="",
"",
_xlfn.XLOOKUP(
B60,
'LOCALIZAÇÃO DE CARGA'!$A$2:$A$702,
'LOCALIZAÇÃO DE CARGA'!$K$2:$K$702
)
),
""
)</f>
        <v>UNIAR COMÉRCIO DE ELETRO-ELETRÔNICOS E SERVIÇOS LTDA - 37640000</v>
      </c>
      <c r="R60" s="5" t="str">
        <f t="shared" si="2"/>
        <v>UNIAR COMÉRCIO DE ELETRO-ELETRÔNICOS E SERVIÇOS LTDA</v>
      </c>
      <c r="S60" s="5" t="str" cm="1">
        <f t="array" ref="S60">IF(B60="","",IFERROR(
INDEX(
'VISÃO LOGISTICA'!$L$2:$L$525,
MATCH(
TRUE,
ISNUMBER(FIND(B60,'VISÃO LOGISTICA'!$A$2:$A$525)),
0
)
),
""
))</f>
        <v/>
      </c>
      <c r="T60" s="5" t="str">
        <f>IFERROR(
_xlfn.LET(
_xlpm.res,_xlfn.XLOOKUP(B60,'LOCALIZAÇÃO DE CARGA'!$A$2:$A$702,'LOCALIZAÇÃO DE CARGA'!$R$2:$R$702),
IF(_xlpm.res="","",_xlpm.res)
),
""
)</f>
        <v>EXTREMA/MG/BRASIL</v>
      </c>
    </row>
    <row r="61" spans="1:20">
      <c r="A61" s="14">
        <f t="shared" si="0"/>
        <v>46160</v>
      </c>
      <c r="B61" s="5">
        <v>6023031</v>
      </c>
      <c r="C61" s="45" t="str">
        <f t="shared" ca="1" si="1"/>
        <v>OK - NO PRAZO</v>
      </c>
      <c r="D61" s="28"/>
      <c r="E61" s="28" t="str">
        <f>IFERROR(
IF(
_xlfn.XLOOKUP(
B61,
'LOCALIZAÇÃO DE CARGA'!$A$2:$A$702,
'LOCALIZAÇÃO DE CARGA'!$D$2:$D$702
)="",
"",
_xlfn.XLOOKUP(
B61,
'LOCALIZAÇÃO DE CARGA'!$A$2:$A$702,
'LOCALIZAÇÃO DE CARGA'!$D$2:$D$702
)
),
""
)</f>
        <v/>
      </c>
      <c r="F61" s="13" t="str">
        <f>IFERROR(
IF(
_xlfn.XLOOKUP(
B61,
'LOCALIZAÇÃO DE CARGA'!$A$2:$A$702,
'LOCALIZAÇÃO DE CARGA'!$H$2:$H$702
)="",
"",
_xlfn.XLOOKUP(
B61,
'LOCALIZAÇÃO DE CARGA'!$A$2:$A$702,
'LOCALIZAÇÃO DE CARGA'!$H$2:$H$702
)
),
""
)</f>
        <v>WSC</v>
      </c>
      <c r="G61" s="5" t="str">
        <f>IFERROR(
IF(
_xlfn.XLOOKUP(
B61,
'LOCALIZAÇÃO DE CARGA'!$A$2:$A$702,
'LOCALIZAÇÃO DE CARGA'!$I$2:$I$702
)="",
"",
_xlfn.XLOOKUP(
B61,
'LOCALIZAÇÃO DE CARGA'!$A$2:$A$702,
'LOCALIZAÇÃO DE CARGA'!$I$2:$I$702
)
),
""
)</f>
        <v>LGSCT</v>
      </c>
      <c r="H61" s="5" t="str">
        <f>IFERROR(
IF(
_xlfn.XLOOKUP(
B61,
'LOCALIZAÇÃO DE CARGA'!$A$2:$A$702,
'LOCALIZAÇÃO DE CARGA'!$F$2:$F$702
)="",
"",
_xlfn.XLOOKUP(
B61,
'LOCALIZAÇÃO DE CARGA'!$A$2:$A$702,
'LOCALIZAÇÃO DE CARGA'!$F$2:$F$702
)
),
""
)</f>
        <v>Não iniciado</v>
      </c>
      <c r="I61" s="13" t="str" cm="1">
        <f t="array" ref="I61">IFERROR(
IF(
INDEX(
'VISÃO LOGISTICA'!$C$2:$C$525,
MATCH(
TRUE,
ISNUMBER(FIND(B61,'VISÃO LOGISTICA'!$A$2:$A$525)),
0
)
)="Em espera",
"",
INDEX(
'VISÃO LOGISTICA'!$C$2:$C$525,
MATCH(
TRUE,
ISNUMBER(FIND(B61,'VISÃO LOGISTICA'!$A$2:$A$525)),
0
)
)
),
""
)</f>
        <v/>
      </c>
      <c r="J61" s="5" t="str" cm="1">
        <f t="array" ref="J61">IFERROR(
IF(
OR(
INDEX(
'VISÃO LOGISTICA'!$C$2:$C$2000,
MATCH(
TRUE,
ISNUMBER(FIND(B61,'VISÃO LOGISTICA'!$A$2:$A$2000)),
0
)
)="Em espera",
INDEX(
'VISÃO LOGISTICA'!$C$2:$C$2000,
MATCH(
TRUE,
ISNUMBER(FIND(B61,'VISÃO LOGISTICA'!$A$2:$A$2000)),
0
)
)=""
),
"",
INDEX(
'VISÃO LOGISTICA'!$D$2:$D$2000,
MATCH(
TRUE,
ISNUMBER(FIND(B61,'VISÃO LOGISTICA'!$A$2:$A$2000)),
0
)
)
),
""
)</f>
        <v/>
      </c>
      <c r="K61" s="10">
        <f>IFERROR(
IF(
_xlfn.XLOOKUP(
B61,
'LOCALIZAÇÃO DE CARGA'!$A$2:$A$702,
'LOCALIZAÇÃO DE CARGA'!$E$2:$E$702)="",
"",
_xlfn.XLOOKUP(
B61,
'LOCALIZAÇÃO DE CARGA'!$A$2:$A$702,
'LOCALIZAÇÃO DE CARGA'!$E$2:$E$702)
),
""
)</f>
        <v>404561.35</v>
      </c>
      <c r="L61" s="20" cm="1">
        <f t="array" ref="L61">IFERROR(
_xlfn.LET(
_xlpm.res,_xlfn.XLOOKUP(B61,'LOCALIZAÇÃO DE CARGA'!$A$2:$A$2000,'LOCALIZAÇÃO DE CARGA'!$G$2:$G$2000),
IF(_xlpm.res="","",_xlpm.res)
),
""
)</f>
        <v>46164.073611111111</v>
      </c>
      <c r="M61" s="20" cm="1">
        <f t="array" ref="M61">IFERROR(
_xlfn.LET(
_xlpm.load,_xlfn.XLOOKUP(B61,'LOCALIZAÇÃO DE CARGA'!$A$2:$A$2000,'LOCALIZAÇÃO DE CARGA'!$A$2:$A$2000),
_xlpm.res,_xlfn.XLOOKUP(_xlpm.load,DOCUMENTOS!$A$2:$A$2000,DOCUMENTOS!$D$2:$D$2000),
IF(_xlpm.res="","",_xlpm.res)
),
""
)</f>
        <v>46160.708333333336</v>
      </c>
      <c r="N61" s="6">
        <f>IFERROR(IF(M61="","",M61-TIME(1,0,0)),"")</f>
        <v>46160.666666666672</v>
      </c>
      <c r="O61" s="6" cm="1">
        <f t="array" ref="O61">IFERROR(
_xlfn.LET(
_xlpm.res,_xlfn.XLOOKUP(B61,'LOCALIZAÇÃO DE CARGA'!$A$2:$A$2000,'LOCALIZAÇÃO DE CARGA'!$S$2:$S$2000),
IF(_xlpm.res="","",_xlpm.res)
),
""
)</f>
        <v>46169.25</v>
      </c>
      <c r="P61" s="6" t="str" cm="1">
        <f t="array" ref="P61">IFERROR(
_xlfn.LET(
_xlpm.res,_xlfn.XLOOKUP(B61,'LOCALIZAÇÃO DE CARGA'!$A$2:$A$702,'LOCALIZAÇÃO DE CARGA'!$T$2:$T$702),
IF(_xlpm.res="","",_xlpm.res)
),
""
)</f>
        <v/>
      </c>
      <c r="Q61" s="5" t="str">
        <f>IFERROR(
IF(
_xlfn.XLOOKUP(
B61,
'LOCALIZAÇÃO DE CARGA'!$A$2:$A$702,
'LOCALIZAÇÃO DE CARGA'!$K$2:$K$702
)="",
"",
_xlfn.XLOOKUP(
B61,
'LOCALIZAÇÃO DE CARGA'!$A$2:$A$702,
'LOCALIZAÇÃO DE CARGA'!$K$2:$K$702
)
),
""
)</f>
        <v>GRUPO CASAS BAHIA S.A(CD2241) - 67200000</v>
      </c>
      <c r="R61" s="5" t="str">
        <f t="shared" si="2"/>
        <v>GRUPO CASAS BAHIA S.A</v>
      </c>
      <c r="S61" s="5" t="str" cm="1">
        <f t="array" ref="S61">IF(B61="","",IFERROR(
INDEX(
'VISÃO LOGISTICA'!$L$2:$L$525,
MATCH(
TRUE,
ISNUMBER(FIND(B61,'VISÃO LOGISTICA'!$A$2:$A$525)),
0
)
),
""
))</f>
        <v/>
      </c>
      <c r="T61" s="5" t="str">
        <f>IFERROR(
_xlfn.LET(
_xlpm.res,_xlfn.XLOOKUP(B61,'LOCALIZAÇÃO DE CARGA'!$A$2:$A$702,'LOCALIZAÇÃO DE CARGA'!$R$2:$R$702),
IF(_xlpm.res="","",_xlpm.res)
),
""
)</f>
        <v>MARITUBA/PA/BRASIL</v>
      </c>
    </row>
    <row r="62" spans="1:20">
      <c r="A62" s="14">
        <f t="shared" si="0"/>
        <v>46157</v>
      </c>
      <c r="B62" s="5">
        <v>6021353</v>
      </c>
      <c r="C62" s="45" t="str">
        <f t="shared" ca="1" si="1"/>
        <v>EM VIAGEM</v>
      </c>
      <c r="D62" s="28"/>
      <c r="E62" s="28" t="str">
        <f>IFERROR(
IF(
_xlfn.XLOOKUP(
B62,
'LOCALIZAÇÃO DE CARGA'!$A$2:$A$702,
'LOCALIZAÇÃO DE CARGA'!$D$2:$D$702
)="",
"",
_xlfn.XLOOKUP(
B62,
'LOCALIZAÇÃO DE CARGA'!$A$2:$A$702,
'LOCALIZAÇÃO DE CARGA'!$D$2:$D$702
)
),
""
)</f>
        <v/>
      </c>
      <c r="F62" s="13" t="str">
        <f>IFERROR(
IF(
_xlfn.XLOOKUP(
B62,
'LOCALIZAÇÃO DE CARGA'!$A$2:$A$702,
'LOCALIZAÇÃO DE CARGA'!$H$2:$H$702
)="",
"",
_xlfn.XLOOKUP(
B62,
'LOCALIZAÇÃO DE CARGA'!$A$2:$A$702,
'LOCALIZAÇÃO DE CARGA'!$H$2:$H$702
)
),
""
)</f>
        <v>RODOBRAS TR</v>
      </c>
      <c r="G62" s="5" t="str">
        <f>IFERROR(
IF(
_xlfn.XLOOKUP(
B62,
'LOCALIZAÇÃO DE CARGA'!$A$2:$A$702,
'LOCALIZAÇÃO DE CARGA'!$I$2:$I$702
)="",
"",
_xlfn.XLOOKUP(
B62,
'LOCALIZAÇÃO DE CARGA'!$A$2:$A$702,
'LOCALIZAÇÃO DE CARGA'!$I$2:$I$702
)
),
""
)</f>
        <v>LGSCT</v>
      </c>
      <c r="H62" s="5" t="str">
        <f>IFERROR(
IF(
_xlfn.XLOOKUP(
B62,
'LOCALIZAÇÃO DE CARGA'!$A$2:$A$702,
'LOCALIZAÇÃO DE CARGA'!$F$2:$F$702
)="",
"",
_xlfn.XLOOKUP(
B62,
'LOCALIZAÇÃO DE CARGA'!$A$2:$A$702,
'LOCALIZAÇÃO DE CARGA'!$F$2:$F$702
)
),
""
)</f>
        <v>Andamento</v>
      </c>
      <c r="I62" s="13" t="str" cm="1">
        <f t="array" ref="I62">IFERROR(
IF(
INDEX(
'VISÃO LOGISTICA'!$C$2:$C$525,
MATCH(
TRUE,
ISNUMBER(FIND(B62,'VISÃO LOGISTICA'!$A$2:$A$525)),
0
)
)="Em espera",
"",
INDEX(
'VISÃO LOGISTICA'!$C$2:$C$525,
MATCH(
TRUE,
ISNUMBER(FIND(B62,'VISÃO LOGISTICA'!$A$2:$A$525)),
0
)
)
),
""
)</f>
        <v>Em Viagem</v>
      </c>
      <c r="J62" s="5" t="str" cm="1">
        <f t="array" ref="J62">IFERROR(
IF(
OR(
INDEX(
'VISÃO LOGISTICA'!$C$2:$C$2000,
MATCH(
TRUE,
ISNUMBER(FIND(B62,'VISÃO LOGISTICA'!$A$2:$A$2000)),
0
)
)="Em espera",
INDEX(
'VISÃO LOGISTICA'!$C$2:$C$2000,
MATCH(
TRUE,
ISNUMBER(FIND(B62,'VISÃO LOGISTICA'!$A$2:$A$2000)),
0
)
)=""
),
"",
INDEX(
'VISÃO LOGISTICA'!$D$2:$D$2000,
MATCH(
TRUE,
ISNUMBER(FIND(B62,'VISÃO LOGISTICA'!$A$2:$A$2000)),
0
)
)
),
""
)</f>
        <v>OKH1H72</v>
      </c>
      <c r="K62" s="10">
        <f>IFERROR(
IF(
_xlfn.XLOOKUP(
B62,
'LOCALIZAÇÃO DE CARGA'!$A$2:$A$702,
'LOCALIZAÇÃO DE CARGA'!$E$2:$E$702)="",
"",
_xlfn.XLOOKUP(
B62,
'LOCALIZAÇÃO DE CARGA'!$A$2:$A$702,
'LOCALIZAÇÃO DE CARGA'!$E$2:$E$702)
),
""
)</f>
        <v>395916.08</v>
      </c>
      <c r="L62" s="20" cm="1">
        <f t="array" ref="L62">IFERROR(
_xlfn.LET(
_xlpm.res,_xlfn.XLOOKUP(B62,'LOCALIZAÇÃO DE CARGA'!$A$2:$A$2000,'LOCALIZAÇÃO DE CARGA'!$G$2:$G$2000),
IF(_xlpm.res="","",_xlpm.res)
),
""
)</f>
        <v>46161.890972222223</v>
      </c>
      <c r="M62" s="20" cm="1">
        <f t="array" ref="M62">IFERROR(
_xlfn.LET(
_xlpm.load,_xlfn.XLOOKUP(B62,'LOCALIZAÇÃO DE CARGA'!$A$2:$A$2000,'LOCALIZAÇÃO DE CARGA'!$A$2:$A$2000),
_xlpm.res,_xlfn.XLOOKUP(_xlpm.load,DOCUMENTOS!$A$2:$A$2000,DOCUMENTOS!$D$2:$D$2000),
IF(_xlpm.res="","",_xlpm.res)
),
""
)</f>
        <v>46157.416666666664</v>
      </c>
      <c r="N62" s="6">
        <f>IFERROR(IF(M62="","",M62-TIME(1,0,0)),"")</f>
        <v>46157.375</v>
      </c>
      <c r="O62" s="6" cm="1">
        <f t="array" ref="O62">IFERROR(
_xlfn.LET(
_xlpm.res,_xlfn.XLOOKUP(B62,'LOCALIZAÇÃO DE CARGA'!$A$2:$A$2000,'LOCALIZAÇÃO DE CARGA'!$S$2:$S$2000),
IF(_xlpm.res="","",_xlpm.res)
),
""
)</f>
        <v>46162.333333333336</v>
      </c>
      <c r="P62" s="6" cm="1">
        <f t="array" ref="P62">IFERROR(
_xlfn.LET(
_xlpm.res,_xlfn.XLOOKUP(B62,'LOCALIZAÇÃO DE CARGA'!$A$2:$A$702,'LOCALIZAÇÃO DE CARGA'!$T$2:$T$702),
IF(_xlpm.res="","",_xlpm.res)
),
""
)</f>
        <v>46158.819444444445</v>
      </c>
      <c r="Q62" s="5" t="str">
        <f>IFERROR(
IF(
_xlfn.XLOOKUP(
B62,
'LOCALIZAÇÃO DE CARGA'!$A$2:$A$702,
'LOCALIZAÇÃO DE CARGA'!$K$2:$K$702
)="",
"",
_xlfn.XLOOKUP(
B62,
'LOCALIZAÇÃO DE CARGA'!$A$2:$A$702,
'LOCALIZAÇÃO DE CARGA'!$K$2:$K$702
)
),
""
)</f>
        <v>WMB SUPERMERCADOS DOBRASIL LTDA (SAM'S) - 07776700</v>
      </c>
      <c r="R62" s="5" t="str">
        <f t="shared" si="2"/>
        <v>WMB SUPERMERCADOS DOBRASIL LTDA</v>
      </c>
      <c r="S62" s="5" t="str" cm="1">
        <f t="array" ref="S62">IF(B62="","",IFERROR(
INDEX(
'VISÃO LOGISTICA'!$L$2:$L$525,
MATCH(
TRUE,
ISNUMBER(FIND(B62,'VISÃO LOGISTICA'!$A$2:$A$525)),
0
)
),
""
))</f>
        <v>RUA TUPI, JOINVILLE/SC/BRASIL (0,08 Km)</v>
      </c>
      <c r="T62" s="5" t="str">
        <f>IFERROR(
_xlfn.LET(
_xlpm.res,_xlfn.XLOOKUP(B62,'LOCALIZAÇÃO DE CARGA'!$A$2:$A$702,'LOCALIZAÇÃO DE CARGA'!$R$2:$R$702),
IF(_xlpm.res="","",_xlpm.res)
),
""
)</f>
        <v>CAJAMAR/SP/BRASIL</v>
      </c>
    </row>
    <row r="63" spans="1:20">
      <c r="A63" s="14">
        <f t="shared" si="0"/>
        <v>46160</v>
      </c>
      <c r="B63" s="5">
        <v>6015351</v>
      </c>
      <c r="C63" s="45" t="str">
        <f t="shared" ca="1" si="1"/>
        <v>OK - NO PRAZO</v>
      </c>
      <c r="D63" s="28"/>
      <c r="E63" s="28" t="str">
        <f>IFERROR(
IF(
_xlfn.XLOOKUP(
B63,
'LOCALIZAÇÃO DE CARGA'!$A$2:$A$702,
'LOCALIZAÇÃO DE CARGA'!$D$2:$D$702
)="",
"",
_xlfn.XLOOKUP(
B63,
'LOCALIZAÇÃO DE CARGA'!$A$2:$A$702,
'LOCALIZAÇÃO DE CARGA'!$D$2:$D$702
)
),
""
)</f>
        <v/>
      </c>
      <c r="F63" s="13" t="str">
        <f>IFERROR(
IF(
_xlfn.XLOOKUP(
B63,
'LOCALIZAÇÃO DE CARGA'!$A$2:$A$702,
'LOCALIZAÇÃO DE CARGA'!$H$2:$H$702
)="",
"",
_xlfn.XLOOKUP(
B63,
'LOCALIZAÇÃO DE CARGA'!$A$2:$A$702,
'LOCALIZAÇÃO DE CARGA'!$H$2:$H$702
)
),
""
)</f>
        <v>RODOBRAS TR</v>
      </c>
      <c r="G63" s="5" t="str">
        <f>IFERROR(
IF(
_xlfn.XLOOKUP(
B63,
'LOCALIZAÇÃO DE CARGA'!$A$2:$A$702,
'LOCALIZAÇÃO DE CARGA'!$I$2:$I$702
)="",
"",
_xlfn.XLOOKUP(
B63,
'LOCALIZAÇÃO DE CARGA'!$A$2:$A$702,
'LOCALIZAÇÃO DE CARGA'!$I$2:$I$702
)
),
""
)</f>
        <v>LGSCT</v>
      </c>
      <c r="H63" s="5" t="str">
        <f>IFERROR(
IF(
_xlfn.XLOOKUP(
B63,
'LOCALIZAÇÃO DE CARGA'!$A$2:$A$702,
'LOCALIZAÇÃO DE CARGA'!$F$2:$F$702
)="",
"",
_xlfn.XLOOKUP(
B63,
'LOCALIZAÇÃO DE CARGA'!$A$2:$A$702,
'LOCALIZAÇÃO DE CARGA'!$F$2:$F$702
)
),
""
)</f>
        <v>Não iniciado</v>
      </c>
      <c r="I63" s="13" t="str" cm="1">
        <f t="array" ref="I63">IFERROR(
IF(
INDEX(
'VISÃO LOGISTICA'!$C$2:$C$525,
MATCH(
TRUE,
ISNUMBER(FIND(B63,'VISÃO LOGISTICA'!$A$2:$A$525)),
0
)
)="Em espera",
"",
INDEX(
'VISÃO LOGISTICA'!$C$2:$C$525,
MATCH(
TRUE,
ISNUMBER(FIND(B63,'VISÃO LOGISTICA'!$A$2:$A$525)),
0
)
)
),
""
)</f>
        <v/>
      </c>
      <c r="J63" s="5" t="str" cm="1">
        <f t="array" ref="J63">IFERROR(
IF(
OR(
INDEX(
'VISÃO LOGISTICA'!$C$2:$C$2000,
MATCH(
TRUE,
ISNUMBER(FIND(B63,'VISÃO LOGISTICA'!$A$2:$A$2000)),
0
)
)="Em espera",
INDEX(
'VISÃO LOGISTICA'!$C$2:$C$2000,
MATCH(
TRUE,
ISNUMBER(FIND(B63,'VISÃO LOGISTICA'!$A$2:$A$2000)),
0
)
)=""
),
"",
INDEX(
'VISÃO LOGISTICA'!$D$2:$D$2000,
MATCH(
TRUE,
ISNUMBER(FIND(B63,'VISÃO LOGISTICA'!$A$2:$A$2000)),
0
)
)
),
""
)</f>
        <v/>
      </c>
      <c r="K63" s="10">
        <f>IFERROR(
IF(
_xlfn.XLOOKUP(
B63,
'LOCALIZAÇÃO DE CARGA'!$A$2:$A$702,
'LOCALIZAÇÃO DE CARGA'!$E$2:$E$702)="",
"",
_xlfn.XLOOKUP(
B63,
'LOCALIZAÇÃO DE CARGA'!$A$2:$A$702,
'LOCALIZAÇÃO DE CARGA'!$E$2:$E$702)
),
""
)</f>
        <v>393056.34</v>
      </c>
      <c r="L63" s="20" cm="1">
        <f t="array" ref="L63">IFERROR(
_xlfn.LET(
_xlpm.res,_xlfn.XLOOKUP(B63,'LOCALIZAÇÃO DE CARGA'!$A$2:$A$2000,'LOCALIZAÇÃO DE CARGA'!$G$2:$G$2000),
IF(_xlpm.res="","",_xlpm.res)
),
""
)</f>
        <v>46161.890972222223</v>
      </c>
      <c r="M63" s="20" cm="1">
        <f t="array" ref="M63">IFERROR(
_xlfn.LET(
_xlpm.load,_xlfn.XLOOKUP(B63,'LOCALIZAÇÃO DE CARGA'!$A$2:$A$2000,'LOCALIZAÇÃO DE CARGA'!$A$2:$A$2000),
_xlpm.res,_xlfn.XLOOKUP(_xlpm.load,DOCUMENTOS!$A$2:$A$2000,DOCUMENTOS!$D$2:$D$2000),
IF(_xlpm.res="","",_xlpm.res)
),
""
)</f>
        <v>46160.583333333336</v>
      </c>
      <c r="N63" s="6">
        <f>IFERROR(IF(M63="","",M63-TIME(1,0,0)),"")</f>
        <v>46160.541666666672</v>
      </c>
      <c r="O63" s="6" cm="1">
        <f t="array" ref="O63">IFERROR(
_xlfn.LET(
_xlpm.res,_xlfn.XLOOKUP(B63,'LOCALIZAÇÃO DE CARGA'!$A$2:$A$2000,'LOCALIZAÇÃO DE CARGA'!$S$2:$S$2000),
IF(_xlpm.res="","",_xlpm.res)
),
""
)</f>
        <v>46162.333333333336</v>
      </c>
      <c r="P63" s="6" t="str" cm="1">
        <f t="array" ref="P63">IFERROR(
_xlfn.LET(
_xlpm.res,_xlfn.XLOOKUP(B63,'LOCALIZAÇÃO DE CARGA'!$A$2:$A$702,'LOCALIZAÇÃO DE CARGA'!$T$2:$T$702),
IF(_xlpm.res="","",_xlpm.res)
),
""
)</f>
        <v/>
      </c>
      <c r="Q63" s="5" t="str">
        <f>IFERROR(
IF(
_xlfn.XLOOKUP(
B63,
'LOCALIZAÇÃO DE CARGA'!$A$2:$A$702,
'LOCALIZAÇÃO DE CARGA'!$K$2:$K$702
)="",
"",
_xlfn.XLOOKUP(
B63,
'LOCALIZAÇÃO DE CARGA'!$A$2:$A$702,
'LOCALIZAÇÃO DE CARGA'!$K$2:$K$702
)
),
""
)</f>
        <v>CARREFOUR COMERCIO E INDUSTRIA LTDA - 07789100</v>
      </c>
      <c r="R63" s="5" t="str">
        <f t="shared" si="2"/>
        <v>CARREFOUR COMERCIO E INDUSTRIA LTDA</v>
      </c>
      <c r="S63" s="5" t="str" cm="1">
        <f t="array" ref="S63">IF(B63="","",IFERROR(
INDEX(
'VISÃO LOGISTICA'!$L$2:$L$525,
MATCH(
TRUE,
ISNUMBER(FIND(B63,'VISÃO LOGISTICA'!$A$2:$A$525)),
0
)
),
""
))</f>
        <v/>
      </c>
      <c r="T63" s="5" t="str">
        <f>IFERROR(
_xlfn.LET(
_xlpm.res,_xlfn.XLOOKUP(B63,'LOCALIZAÇÃO DE CARGA'!$A$2:$A$702,'LOCALIZAÇÃO DE CARGA'!$R$2:$R$702),
IF(_xlpm.res="","",_xlpm.res)
),
""
)</f>
        <v>CAJAMAR/SP/BRASIL</v>
      </c>
    </row>
    <row r="64" spans="1:20">
      <c r="A64" s="14">
        <f t="shared" si="0"/>
        <v>46157</v>
      </c>
      <c r="B64" s="5">
        <v>6021357</v>
      </c>
      <c r="C64" s="45" t="str">
        <f t="shared" ca="1" si="1"/>
        <v>EM VIAGEM</v>
      </c>
      <c r="D64" s="28"/>
      <c r="E64" s="28" t="str">
        <f>IFERROR(
IF(
_xlfn.XLOOKUP(
B64,
'LOCALIZAÇÃO DE CARGA'!$A$2:$A$702,
'LOCALIZAÇÃO DE CARGA'!$D$2:$D$702
)="",
"",
_xlfn.XLOOKUP(
B64,
'LOCALIZAÇÃO DE CARGA'!$A$2:$A$702,
'LOCALIZAÇÃO DE CARGA'!$D$2:$D$702
)
),
""
)</f>
        <v/>
      </c>
      <c r="F64" s="13" t="str">
        <f>IFERROR(
IF(
_xlfn.XLOOKUP(
B64,
'LOCALIZAÇÃO DE CARGA'!$A$2:$A$702,
'LOCALIZAÇÃO DE CARGA'!$H$2:$H$702
)="",
"",
_xlfn.XLOOKUP(
B64,
'LOCALIZAÇÃO DE CARGA'!$A$2:$A$702,
'LOCALIZAÇÃO DE CARGA'!$H$2:$H$702
)
),
""
)</f>
        <v>LX PANTOS</v>
      </c>
      <c r="G64" s="5" t="str">
        <f>IFERROR(
IF(
_xlfn.XLOOKUP(
B64,
'LOCALIZAÇÃO DE CARGA'!$A$2:$A$702,
'LOCALIZAÇÃO DE CARGA'!$I$2:$I$702
)="",
"",
_xlfn.XLOOKUP(
B64,
'LOCALIZAÇÃO DE CARGA'!$A$2:$A$702,
'LOCALIZAÇÃO DE CARGA'!$I$2:$I$702
)
),
""
)</f>
        <v>LGSCT</v>
      </c>
      <c r="H64" s="5" t="str">
        <f>IFERROR(
IF(
_xlfn.XLOOKUP(
B64,
'LOCALIZAÇÃO DE CARGA'!$A$2:$A$702,
'LOCALIZAÇÃO DE CARGA'!$F$2:$F$702
)="",
"",
_xlfn.XLOOKUP(
B64,
'LOCALIZAÇÃO DE CARGA'!$A$2:$A$702,
'LOCALIZAÇÃO DE CARGA'!$F$2:$F$702
)
),
""
)</f>
        <v>Andamento</v>
      </c>
      <c r="I64" s="13" t="str" cm="1">
        <f t="array" ref="I64">IFERROR(
IF(
INDEX(
'VISÃO LOGISTICA'!$C$2:$C$525,
MATCH(
TRUE,
ISNUMBER(FIND(B64,'VISÃO LOGISTICA'!$A$2:$A$525)),
0
)
)="Em espera",
"",
INDEX(
'VISÃO LOGISTICA'!$C$2:$C$525,
MATCH(
TRUE,
ISNUMBER(FIND(B64,'VISÃO LOGISTICA'!$A$2:$A$525)),
0
)
)
),
""
)</f>
        <v>Em Viagem</v>
      </c>
      <c r="J64" s="5" t="str" cm="1">
        <f t="array" ref="J64">IFERROR(
IF(
OR(
INDEX(
'VISÃO LOGISTICA'!$C$2:$C$2000,
MATCH(
TRUE,
ISNUMBER(FIND(B64,'VISÃO LOGISTICA'!$A$2:$A$2000)),
0
)
)="Em espera",
INDEX(
'VISÃO LOGISTICA'!$C$2:$C$2000,
MATCH(
TRUE,
ISNUMBER(FIND(B64,'VISÃO LOGISTICA'!$A$2:$A$2000)),
0
)
)=""
),
"",
INDEX(
'VISÃO LOGISTICA'!$D$2:$D$2000,
MATCH(
TRUE,
ISNUMBER(FIND(B64,'VISÃO LOGISTICA'!$A$2:$A$2000)),
0
)
)
),
""
)</f>
        <v>IKE8F89</v>
      </c>
      <c r="K64" s="10">
        <f>IFERROR(
IF(
_xlfn.XLOOKUP(
B64,
'LOCALIZAÇÃO DE CARGA'!$A$2:$A$702,
'LOCALIZAÇÃO DE CARGA'!$E$2:$E$702)="",
"",
_xlfn.XLOOKUP(
B64,
'LOCALIZAÇÃO DE CARGA'!$A$2:$A$702,
'LOCALIZAÇÃO DE CARGA'!$E$2:$E$702)
),
""
)</f>
        <v>387836.15999999997</v>
      </c>
      <c r="L64" s="20" cm="1">
        <f t="array" ref="L64">IFERROR(
_xlfn.LET(
_xlpm.res,_xlfn.XLOOKUP(B64,'LOCALIZAÇÃO DE CARGA'!$A$2:$A$2000,'LOCALIZAÇÃO DE CARGA'!$G$2:$G$2000),
IF(_xlpm.res="","",_xlpm.res)
),
""
)</f>
        <v>46159.958333333336</v>
      </c>
      <c r="M64" s="20" cm="1">
        <f t="array" ref="M64">IFERROR(
_xlfn.LET(
_xlpm.load,_xlfn.XLOOKUP(B64,'LOCALIZAÇÃO DE CARGA'!$A$2:$A$2000,'LOCALIZAÇÃO DE CARGA'!$A$2:$A$2000),
_xlpm.res,_xlfn.XLOOKUP(_xlpm.load,DOCUMENTOS!$A$2:$A$2000,DOCUMENTOS!$D$2:$D$2000),
IF(_xlpm.res="","",_xlpm.res)
),
""
)</f>
        <v>46157.75</v>
      </c>
      <c r="N64" s="6">
        <f>IFERROR(IF(M64="","",M64-TIME(1,0,0)),"")</f>
        <v>46157.708333333336</v>
      </c>
      <c r="O64" s="6" cm="1">
        <f t="array" ref="O64">IFERROR(
_xlfn.LET(
_xlpm.res,_xlfn.XLOOKUP(B64,'LOCALIZAÇÃO DE CARGA'!$A$2:$A$2000,'LOCALIZAÇÃO DE CARGA'!$S$2:$S$2000),
IF(_xlpm.res="","",_xlpm.res)
),
""
)</f>
        <v>46164.291666666664</v>
      </c>
      <c r="P64" s="6" cm="1">
        <f t="array" ref="P64">IFERROR(
_xlfn.LET(
_xlpm.res,_xlfn.XLOOKUP(B64,'LOCALIZAÇÃO DE CARGA'!$A$2:$A$702,'LOCALIZAÇÃO DE CARGA'!$T$2:$T$702),
IF(_xlpm.res="","",_xlpm.res)
),
""
)</f>
        <v>46160.022222222222</v>
      </c>
      <c r="Q64" s="5" t="str">
        <f>IFERROR(
IF(
_xlfn.XLOOKUP(
B64,
'LOCALIZAÇÃO DE CARGA'!$A$2:$A$702,
'LOCALIZAÇÃO DE CARGA'!$K$2:$K$702
)="",
"",
_xlfn.XLOOKUP(
B64,
'LOCALIZAÇÃO DE CARGA'!$A$2:$A$702,
'LOCALIZAÇÃO DE CARGA'!$K$2:$K$702
)
),
""
)</f>
        <v>WMB SUPERMERCADOS DOBRASIL LTDA (SAM'S) - 54335020</v>
      </c>
      <c r="R64" s="5" t="str">
        <f t="shared" si="2"/>
        <v>WMB SUPERMERCADOS DOBRASIL LTDA</v>
      </c>
      <c r="S64" s="5" t="str" cm="1">
        <f t="array" ref="S64">IF(B64="","",IFERROR(
INDEX(
'VISÃO LOGISTICA'!$L$2:$L$525,
MATCH(
TRUE,
ISNUMBER(FIND(B64,'VISÃO LOGISTICA'!$A$2:$A$525)),
0
)
),
""
))</f>
        <v>ESTRADA MUNICIPAL, QUATRO BARRAS/PR/BRASIL (0,79 Km)</v>
      </c>
      <c r="T64" s="5" t="str">
        <f>IFERROR(
_xlfn.LET(
_xlpm.res,_xlfn.XLOOKUP(B64,'LOCALIZAÇÃO DE CARGA'!$A$2:$A$702,'LOCALIZAÇÃO DE CARGA'!$R$2:$R$702),
IF(_xlpm.res="","",_xlpm.res)
),
""
)</f>
        <v>JABOATAO DOS GUARARAPES/PE/BRASIL</v>
      </c>
    </row>
    <row r="65" spans="1:20">
      <c r="A65" s="14">
        <f t="shared" si="0"/>
        <v>46157</v>
      </c>
      <c r="B65" s="5">
        <v>6022201</v>
      </c>
      <c r="C65" s="45" t="str">
        <f t="shared" ca="1" si="1"/>
        <v>EM VIAGEM</v>
      </c>
      <c r="D65" s="28"/>
      <c r="E65" s="28" t="str">
        <f>IFERROR(
IF(
_xlfn.XLOOKUP(
B65,
'LOCALIZAÇÃO DE CARGA'!$A$2:$A$702,
'LOCALIZAÇÃO DE CARGA'!$D$2:$D$702
)="",
"",
_xlfn.XLOOKUP(
B65,
'LOCALIZAÇÃO DE CARGA'!$A$2:$A$702,
'LOCALIZAÇÃO DE CARGA'!$D$2:$D$702
)
),
""
)</f>
        <v/>
      </c>
      <c r="F65" s="13" t="str">
        <f>IFERROR(
IF(
_xlfn.XLOOKUP(
B65,
'LOCALIZAÇÃO DE CARGA'!$A$2:$A$702,
'LOCALIZAÇÃO DE CARGA'!$H$2:$H$702
)="",
"",
_xlfn.XLOOKUP(
B65,
'LOCALIZAÇÃO DE CARGA'!$A$2:$A$702,
'LOCALIZAÇÃO DE CARGA'!$H$2:$H$702
)
),
""
)</f>
        <v>TRANSBOCAYUV</v>
      </c>
      <c r="G65" s="5" t="str">
        <f>IFERROR(
IF(
_xlfn.XLOOKUP(
B65,
'LOCALIZAÇÃO DE CARGA'!$A$2:$A$702,
'LOCALIZAÇÃO DE CARGA'!$I$2:$I$702
)="",
"",
_xlfn.XLOOKUP(
B65,
'LOCALIZAÇÃO DE CARGA'!$A$2:$A$702,
'LOCALIZAÇÃO DE CARGA'!$I$2:$I$702
)
),
""
)</f>
        <v>LGSCT</v>
      </c>
      <c r="H65" s="5" t="str">
        <f>IFERROR(
IF(
_xlfn.XLOOKUP(
B65,
'LOCALIZAÇÃO DE CARGA'!$A$2:$A$702,
'LOCALIZAÇÃO DE CARGA'!$F$2:$F$702
)="",
"",
_xlfn.XLOOKUP(
B65,
'LOCALIZAÇÃO DE CARGA'!$A$2:$A$702,
'LOCALIZAÇÃO DE CARGA'!$F$2:$F$702
)
),
""
)</f>
        <v>Andamento</v>
      </c>
      <c r="I65" s="13" t="str" cm="1">
        <f t="array" ref="I65">IFERROR(
IF(
INDEX(
'VISÃO LOGISTICA'!$C$2:$C$525,
MATCH(
TRUE,
ISNUMBER(FIND(B65,'VISÃO LOGISTICA'!$A$2:$A$525)),
0
)
)="Em espera",
"",
INDEX(
'VISÃO LOGISTICA'!$C$2:$C$525,
MATCH(
TRUE,
ISNUMBER(FIND(B65,'VISÃO LOGISTICA'!$A$2:$A$525)),
0
)
)
),
""
)</f>
        <v>Em Viagem</v>
      </c>
      <c r="J65" s="5" t="str" cm="1">
        <f t="array" ref="J65">IFERROR(
IF(
OR(
INDEX(
'VISÃO LOGISTICA'!$C$2:$C$2000,
MATCH(
TRUE,
ISNUMBER(FIND(B65,'VISÃO LOGISTICA'!$A$2:$A$2000)),
0
)
)="Em espera",
INDEX(
'VISÃO LOGISTICA'!$C$2:$C$2000,
MATCH(
TRUE,
ISNUMBER(FIND(B65,'VISÃO LOGISTICA'!$A$2:$A$2000)),
0
)
)=""
),
"",
INDEX(
'VISÃO LOGISTICA'!$D$2:$D$2000,
MATCH(
TRUE,
ISNUMBER(FIND(B65,'VISÃO LOGISTICA'!$A$2:$A$2000)),
0
)
)
),
""
)</f>
        <v>SEK2F38</v>
      </c>
      <c r="K65" s="10">
        <f>IFERROR(
IF(
_xlfn.XLOOKUP(
B65,
'LOCALIZAÇÃO DE CARGA'!$A$2:$A$702,
'LOCALIZAÇÃO DE CARGA'!$E$2:$E$702)="",
"",
_xlfn.XLOOKUP(
B65,
'LOCALIZAÇÃO DE CARGA'!$A$2:$A$702,
'LOCALIZAÇÃO DE CARGA'!$E$2:$E$702)
),
""
)</f>
        <v>387282.63</v>
      </c>
      <c r="L65" s="20" cm="1">
        <f t="array" ref="L65">IFERROR(
_xlfn.LET(
_xlpm.res,_xlfn.XLOOKUP(B65,'LOCALIZAÇÃO DE CARGA'!$A$2:$A$2000,'LOCALIZAÇÃO DE CARGA'!$G$2:$G$2000),
IF(_xlpm.res="","",_xlpm.res)
),
""
)</f>
        <v>46159.826388888891</v>
      </c>
      <c r="M65" s="20" cm="1">
        <f t="array" ref="M65">IFERROR(
_xlfn.LET(
_xlpm.load,_xlfn.XLOOKUP(B65,'LOCALIZAÇÃO DE CARGA'!$A$2:$A$2000,'LOCALIZAÇÃO DE CARGA'!$A$2:$A$2000),
_xlpm.res,_xlfn.XLOOKUP(_xlpm.load,DOCUMENTOS!$A$2:$A$2000,DOCUMENTOS!$D$2:$D$2000),
IF(_xlpm.res="","",_xlpm.res)
),
""
)</f>
        <v>46157.625</v>
      </c>
      <c r="N65" s="6">
        <f>IFERROR(IF(M65="","",M65-TIME(1,0,0)),"")</f>
        <v>46157.583333333336</v>
      </c>
      <c r="O65" s="6" cm="1">
        <f t="array" ref="O65">IFERROR(
_xlfn.LET(
_xlpm.res,_xlfn.XLOOKUP(B65,'LOCALIZAÇÃO DE CARGA'!$A$2:$A$2000,'LOCALIZAÇÃO DE CARGA'!$S$2:$S$2000),
IF(_xlpm.res="","",_xlpm.res)
),
""
)</f>
        <v>46160.25</v>
      </c>
      <c r="P65" s="6" cm="1">
        <f t="array" ref="P65">IFERROR(
_xlfn.LET(
_xlpm.res,_xlfn.XLOOKUP(B65,'LOCALIZAÇÃO DE CARGA'!$A$2:$A$702,'LOCALIZAÇÃO DE CARGA'!$T$2:$T$702),
IF(_xlpm.res="","",_xlpm.res)
),
""
)</f>
        <v>46158.897222222222</v>
      </c>
      <c r="Q65" s="5" t="str">
        <f>IFERROR(
IF(
_xlfn.XLOOKUP(
B65,
'LOCALIZAÇÃO DE CARGA'!$A$2:$A$702,
'LOCALIZAÇÃO DE CARGA'!$K$2:$K$702
)="",
"",
_xlfn.XLOOKUP(
B65,
'LOCALIZAÇÃO DE CARGA'!$A$2:$A$702,
'LOCALIZAÇÃO DE CARGA'!$K$2:$K$702
)
),
""
)</f>
        <v>GRUPO CASAS BAHIA S.A(CD1200) - 13203850</v>
      </c>
      <c r="R65" s="5" t="str">
        <f t="shared" si="2"/>
        <v>GRUPO CASAS BAHIA S.A</v>
      </c>
      <c r="S65" s="5" t="str" cm="1">
        <f t="array" ref="S65">IF(B65="","",IFERROR(
INDEX(
'VISÃO LOGISTICA'!$L$2:$L$525,
MATCH(
TRUE,
ISNUMBER(FIND(B65,'VISÃO LOGISTICA'!$A$2:$A$525)),
0
)
),
""
))</f>
        <v>ESTRADA MUNICIPAL, QUATRO BARRAS/PR/BRASIL (1,37 Km)</v>
      </c>
      <c r="T65" s="5" t="str">
        <f>IFERROR(
_xlfn.LET(
_xlpm.res,_xlfn.XLOOKUP(B65,'LOCALIZAÇÃO DE CARGA'!$A$2:$A$702,'LOCALIZAÇÃO DE CARGA'!$R$2:$R$702),
IF(_xlpm.res="","",_xlpm.res)
),
""
)</f>
        <v>JUNDIAI/SP/BRASIL</v>
      </c>
    </row>
    <row r="66" spans="1:20">
      <c r="A66" s="14">
        <f t="shared" si="0"/>
        <v>46157</v>
      </c>
      <c r="B66" s="5">
        <v>6022251</v>
      </c>
      <c r="C66" s="45" t="str">
        <f t="shared" ca="1" si="1"/>
        <v>ATRASADO CARREGAMENTO - SEM SMP</v>
      </c>
      <c r="D66" s="28"/>
      <c r="E66" s="28" t="str">
        <f>IFERROR(
IF(
_xlfn.XLOOKUP(
B66,
'LOCALIZAÇÃO DE CARGA'!$A$2:$A$702,
'LOCALIZAÇÃO DE CARGA'!$D$2:$D$702
)="",
"",
_xlfn.XLOOKUP(
B66,
'LOCALIZAÇÃO DE CARGA'!$A$2:$A$702,
'LOCALIZAÇÃO DE CARGA'!$D$2:$D$702
)
),
""
)</f>
        <v/>
      </c>
      <c r="F66" s="13" t="str">
        <f>IFERROR(
IF(
_xlfn.XLOOKUP(
B66,
'LOCALIZAÇÃO DE CARGA'!$A$2:$A$702,
'LOCALIZAÇÃO DE CARGA'!$H$2:$H$702
)="",
"",
_xlfn.XLOOKUP(
B66,
'LOCALIZAÇÃO DE CARGA'!$A$2:$A$702,
'LOCALIZAÇÃO DE CARGA'!$H$2:$H$702
)
),
""
)</f>
        <v>WSC</v>
      </c>
      <c r="G66" s="5" t="str">
        <f>IFERROR(
IF(
_xlfn.XLOOKUP(
B66,
'LOCALIZAÇÃO DE CARGA'!$A$2:$A$702,
'LOCALIZAÇÃO DE CARGA'!$I$2:$I$702
)="",
"",
_xlfn.XLOOKUP(
B66,
'LOCALIZAÇÃO DE CARGA'!$A$2:$A$702,
'LOCALIZAÇÃO DE CARGA'!$I$2:$I$702
)
),
""
)</f>
        <v>LGSCT</v>
      </c>
      <c r="H66" s="5" t="str">
        <f>IFERROR(
IF(
_xlfn.XLOOKUP(
B66,
'LOCALIZAÇÃO DE CARGA'!$A$2:$A$702,
'LOCALIZAÇÃO DE CARGA'!$F$2:$F$702
)="",
"",
_xlfn.XLOOKUP(
B66,
'LOCALIZAÇÃO DE CARGA'!$A$2:$A$702,
'LOCALIZAÇÃO DE CARGA'!$F$2:$F$702
)
),
""
)</f>
        <v>Não iniciado</v>
      </c>
      <c r="I66" s="13" t="str" cm="1">
        <f t="array" ref="I66">IFERROR(
IF(
INDEX(
'VISÃO LOGISTICA'!$C$2:$C$525,
MATCH(
TRUE,
ISNUMBER(FIND(B66,'VISÃO LOGISTICA'!$A$2:$A$525)),
0
)
)="Em espera",
"",
INDEX(
'VISÃO LOGISTICA'!$C$2:$C$525,
MATCH(
TRUE,
ISNUMBER(FIND(B66,'VISÃO LOGISTICA'!$A$2:$A$525)),
0
)
)
),
""
)</f>
        <v/>
      </c>
      <c r="J66" s="5" t="str" cm="1">
        <f t="array" ref="J66">IFERROR(
IF(
OR(
INDEX(
'VISÃO LOGISTICA'!$C$2:$C$2000,
MATCH(
TRUE,
ISNUMBER(FIND(B66,'VISÃO LOGISTICA'!$A$2:$A$2000)),
0
)
)="Em espera",
INDEX(
'VISÃO LOGISTICA'!$C$2:$C$2000,
MATCH(
TRUE,
ISNUMBER(FIND(B66,'VISÃO LOGISTICA'!$A$2:$A$2000)),
0
)
)=""
),
"",
INDEX(
'VISÃO LOGISTICA'!$D$2:$D$2000,
MATCH(
TRUE,
ISNUMBER(FIND(B66,'VISÃO LOGISTICA'!$A$2:$A$2000)),
0
)
)
),
""
)</f>
        <v/>
      </c>
      <c r="K66" s="10">
        <f>IFERROR(
IF(
_xlfn.XLOOKUP(
B66,
'LOCALIZAÇÃO DE CARGA'!$A$2:$A$702,
'LOCALIZAÇÃO DE CARGA'!$E$2:$E$702)="",
"",
_xlfn.XLOOKUP(
B66,
'LOCALIZAÇÃO DE CARGA'!$A$2:$A$702,
'LOCALIZAÇÃO DE CARGA'!$E$2:$E$702)
),
""
)</f>
        <v>375906</v>
      </c>
      <c r="L66" s="20" cm="1">
        <f t="array" ref="L66">IFERROR(
_xlfn.LET(
_xlpm.res,_xlfn.XLOOKUP(B66,'LOCALIZAÇÃO DE CARGA'!$A$2:$A$2000,'LOCALIZAÇÃO DE CARGA'!$G$2:$G$2000),
IF(_xlpm.res="","",_xlpm.res)
),
""
)</f>
        <v>46164.060416666667</v>
      </c>
      <c r="M66" s="20" cm="1">
        <f t="array" ref="M66">IFERROR(
_xlfn.LET(
_xlpm.load,_xlfn.XLOOKUP(B66,'LOCALIZAÇÃO DE CARGA'!$A$2:$A$2000,'LOCALIZAÇÃO DE CARGA'!$A$2:$A$2000),
_xlpm.res,_xlfn.XLOOKUP(_xlpm.load,DOCUMENTOS!$A$2:$A$2000,DOCUMENTOS!$D$2:$D$2000),
IF(_xlpm.res="","",_xlpm.res)
),
""
)</f>
        <v>46157.791666666664</v>
      </c>
      <c r="N66" s="6">
        <f>IFERROR(IF(M66="","",M66-TIME(1,0,0)),"")</f>
        <v>46157.75</v>
      </c>
      <c r="O66" s="6" cm="1">
        <f t="array" ref="O66">IFERROR(
_xlfn.LET(
_xlpm.res,_xlfn.XLOOKUP(B66,'LOCALIZAÇÃO DE CARGA'!$A$2:$A$2000,'LOCALIZAÇÃO DE CARGA'!$S$2:$S$2000),
IF(_xlpm.res="","",_xlpm.res)
),
""
)</f>
        <v>46169.25</v>
      </c>
      <c r="P66" s="6" t="str" cm="1">
        <f t="array" ref="P66">IFERROR(
_xlfn.LET(
_xlpm.res,_xlfn.XLOOKUP(B66,'LOCALIZAÇÃO DE CARGA'!$A$2:$A$702,'LOCALIZAÇÃO DE CARGA'!$T$2:$T$702),
IF(_xlpm.res="","",_xlpm.res)
),
""
)</f>
        <v/>
      </c>
      <c r="Q66" s="5" t="str">
        <f>IFERROR(
IF(
_xlfn.XLOOKUP(
B66,
'LOCALIZAÇÃO DE CARGA'!$A$2:$A$702,
'LOCALIZAÇÃO DE CARGA'!$K$2:$K$702
)="",
"",
_xlfn.XLOOKUP(
B66,
'LOCALIZAÇÃO DE CARGA'!$A$2:$A$702,
'LOCALIZAÇÃO DE CARGA'!$K$2:$K$702
)
),
""
)</f>
        <v>MAGAZINE LUIZA S/A (CD2650) - 68795000</v>
      </c>
      <c r="R66" s="5" t="str">
        <f t="shared" si="2"/>
        <v>MAGAZINE LUIZA S/A</v>
      </c>
      <c r="S66" s="5" t="str" cm="1">
        <f t="array" ref="S66">IF(B66="","",IFERROR(
INDEX(
'VISÃO LOGISTICA'!$L$2:$L$525,
MATCH(
TRUE,
ISNUMBER(FIND(B66,'VISÃO LOGISTICA'!$A$2:$A$525)),
0
)
),
""
))</f>
        <v/>
      </c>
      <c r="T66" s="5" t="str">
        <f>IFERROR(
_xlfn.LET(
_xlpm.res,_xlfn.XLOOKUP(B66,'LOCALIZAÇÃO DE CARGA'!$A$2:$A$702,'LOCALIZAÇÃO DE CARGA'!$R$2:$R$702),
IF(_xlpm.res="","",_xlpm.res)
),
""
)</f>
        <v>BENEVIDES/PA/BRASIL</v>
      </c>
    </row>
    <row r="67" spans="1:20">
      <c r="A67" s="14">
        <f t="shared" si="0"/>
        <v>46157</v>
      </c>
      <c r="B67" s="5">
        <v>6020708</v>
      </c>
      <c r="C67" s="45" t="str">
        <f t="shared" ca="1" si="1"/>
        <v>EM VIAGEM</v>
      </c>
      <c r="D67" s="28"/>
      <c r="E67" s="28" t="str">
        <f>IFERROR(
IF(
_xlfn.XLOOKUP(
B67,
'LOCALIZAÇÃO DE CARGA'!$A$2:$A$702,
'LOCALIZAÇÃO DE CARGA'!$D$2:$D$702
)="",
"",
_xlfn.XLOOKUP(
B67,
'LOCALIZAÇÃO DE CARGA'!$A$2:$A$702,
'LOCALIZAÇÃO DE CARGA'!$D$2:$D$702
)
),
""
)</f>
        <v>Patio</v>
      </c>
      <c r="F67" s="13" t="str">
        <f>IFERROR(
IF(
_xlfn.XLOOKUP(
B67,
'LOCALIZAÇÃO DE CARGA'!$A$2:$A$702,
'LOCALIZAÇÃO DE CARGA'!$H$2:$H$702
)="",
"",
_xlfn.XLOOKUP(
B67,
'LOCALIZAÇÃO DE CARGA'!$A$2:$A$702,
'LOCALIZAÇÃO DE CARGA'!$H$2:$H$702
)
),
""
)</f>
        <v>TRANSKING</v>
      </c>
      <c r="G67" s="5" t="str">
        <f>IFERROR(
IF(
_xlfn.XLOOKUP(
B67,
'LOCALIZAÇÃO DE CARGA'!$A$2:$A$702,
'LOCALIZAÇÃO DE CARGA'!$I$2:$I$702
)="",
"",
_xlfn.XLOOKUP(
B67,
'LOCALIZAÇÃO DE CARGA'!$A$2:$A$702,
'LOCALIZAÇÃO DE CARGA'!$I$2:$I$702
)
),
""
)</f>
        <v>LGCAJ</v>
      </c>
      <c r="H67" s="5" t="str">
        <f>IFERROR(
IF(
_xlfn.XLOOKUP(
B67,
'LOCALIZAÇÃO DE CARGA'!$A$2:$A$702,
'LOCALIZAÇÃO DE CARGA'!$F$2:$F$702
)="",
"",
_xlfn.XLOOKUP(
B67,
'LOCALIZAÇÃO DE CARGA'!$A$2:$A$702,
'LOCALIZAÇÃO DE CARGA'!$F$2:$F$702
)
),
""
)</f>
        <v>Andamento</v>
      </c>
      <c r="I67" s="13" t="str" cm="1">
        <f t="array" ref="I67">IFERROR(
IF(
INDEX(
'VISÃO LOGISTICA'!$C$2:$C$525,
MATCH(
TRUE,
ISNUMBER(FIND(B67,'VISÃO LOGISTICA'!$A$2:$A$525)),
0
)
)="Em espera",
"",
INDEX(
'VISÃO LOGISTICA'!$C$2:$C$525,
MATCH(
TRUE,
ISNUMBER(FIND(B67,'VISÃO LOGISTICA'!$A$2:$A$525)),
0
)
)
),
""
)</f>
        <v>Em Viagem</v>
      </c>
      <c r="J67" s="5" t="str" cm="1">
        <f t="array" ref="J67">IFERROR(
IF(
OR(
INDEX(
'VISÃO LOGISTICA'!$C$2:$C$2000,
MATCH(
TRUE,
ISNUMBER(FIND(B67,'VISÃO LOGISTICA'!$A$2:$A$2000)),
0
)
)="Em espera",
INDEX(
'VISÃO LOGISTICA'!$C$2:$C$2000,
MATCH(
TRUE,
ISNUMBER(FIND(B67,'VISÃO LOGISTICA'!$A$2:$A$2000)),
0
)
)=""
),
"",
INDEX(
'VISÃO LOGISTICA'!$D$2:$D$2000,
MATCH(
TRUE,
ISNUMBER(FIND(B67,'VISÃO LOGISTICA'!$A$2:$A$2000)),
0
)
)
),
""
)</f>
        <v>JAW4H24</v>
      </c>
      <c r="K67" s="10">
        <f>IFERROR(
IF(
_xlfn.XLOOKUP(
B67,
'LOCALIZAÇÃO DE CARGA'!$A$2:$A$702,
'LOCALIZAÇÃO DE CARGA'!$E$2:$E$702)="",
"",
_xlfn.XLOOKUP(
B67,
'LOCALIZAÇÃO DE CARGA'!$A$2:$A$702,
'LOCALIZAÇÃO DE CARGA'!$E$2:$E$702)
),
""
)</f>
        <v>371975.17</v>
      </c>
      <c r="L67" s="20" cm="1">
        <f t="array" ref="L67">IFERROR(
_xlfn.LET(
_xlpm.res,_xlfn.XLOOKUP(B67,'LOCALIZAÇÃO DE CARGA'!$A$2:$A$2000,'LOCALIZAÇÃO DE CARGA'!$G$2:$G$2000),
IF(_xlpm.res="","",_xlpm.res)
),
""
)</f>
        <v>46161.137499999997</v>
      </c>
      <c r="M67" s="20" cm="1">
        <f t="array" ref="M67">IFERROR(
_xlfn.LET(
_xlpm.load,_xlfn.XLOOKUP(B67,'LOCALIZAÇÃO DE CARGA'!$A$2:$A$2000,'LOCALIZAÇÃO DE CARGA'!$A$2:$A$2000),
_xlpm.res,_xlfn.XLOOKUP(_xlpm.load,DOCUMENTOS!$A$2:$A$2000,DOCUMENTOS!$D$2:$D$2000),
IF(_xlpm.res="","",_xlpm.res)
),
""
)</f>
        <v>46157.708333333336</v>
      </c>
      <c r="N67" s="6">
        <f>IFERROR(IF(M67="","",M67-TIME(1,0,0)),"")</f>
        <v>46157.666666666672</v>
      </c>
      <c r="O67" s="6" cm="1">
        <f t="array" ref="O67">IFERROR(
_xlfn.LET(
_xlpm.res,_xlfn.XLOOKUP(B67,'LOCALIZAÇÃO DE CARGA'!$A$2:$A$2000,'LOCALIZAÇÃO DE CARGA'!$S$2:$S$2000),
IF(_xlpm.res="","",_xlpm.res)
),
""
)</f>
        <v>46162.416666666664</v>
      </c>
      <c r="P67" s="6" cm="1">
        <f t="array" ref="P67">IFERROR(
_xlfn.LET(
_xlpm.res,_xlfn.XLOOKUP(B67,'LOCALIZAÇÃO DE CARGA'!$A$2:$A$702,'LOCALIZAÇÃO DE CARGA'!$T$2:$T$702),
IF(_xlpm.res="","",_xlpm.res)
),
""
)</f>
        <v>46159.07708333333</v>
      </c>
      <c r="Q67" s="5" t="str">
        <f>IFERROR(
IF(
_xlfn.XLOOKUP(
B67,
'LOCALIZAÇÃO DE CARGA'!$A$2:$A$702,
'LOCALIZAÇÃO DE CARGA'!$K$2:$K$702
)="",
"",
_xlfn.XLOOKUP(
B67,
'LOCALIZAÇÃO DE CARGA'!$A$2:$A$702,
'LOCALIZAÇÃO DE CARGA'!$K$2:$K$702
)
),
""
)</f>
        <v>LOJAS QUERO QUERO SA - 93812160</v>
      </c>
      <c r="R67" s="5" t="str">
        <f t="shared" si="2"/>
        <v>LOJAS QUERO QUERO SA</v>
      </c>
      <c r="S67" s="5" t="str" cm="1">
        <f t="array" ref="S67">IF(B67="","",IFERROR(
INDEX(
'VISÃO LOGISTICA'!$L$2:$L$525,
MATCH(
TRUE,
ISNUMBER(FIND(B67,'VISÃO LOGISTICA'!$A$2:$A$525)),
0
)
),
""
))</f>
        <v>MIRACATU/SP/BRASIL</v>
      </c>
      <c r="T67" s="5" t="str">
        <f>IFERROR(
_xlfn.LET(
_xlpm.res,_xlfn.XLOOKUP(B67,'LOCALIZAÇÃO DE CARGA'!$A$2:$A$702,'LOCALIZAÇÃO DE CARGA'!$R$2:$R$702),
IF(_xlpm.res="","",_xlpm.res)
),
""
)</f>
        <v>SAPIRANGA/RS/BRASIL</v>
      </c>
    </row>
    <row r="68" spans="1:20">
      <c r="A68" s="14">
        <f t="shared" si="0"/>
        <v>46157</v>
      </c>
      <c r="B68" s="5">
        <v>6014921</v>
      </c>
      <c r="C68" s="45" t="str">
        <f t="shared" ca="1" si="1"/>
        <v>ATRASADO CARREGAMENTO - SEM SMP</v>
      </c>
      <c r="D68" s="28"/>
      <c r="E68" s="28" t="str">
        <f>IFERROR(
IF(
_xlfn.XLOOKUP(
B68,
'LOCALIZAÇÃO DE CARGA'!$A$2:$A$702,
'LOCALIZAÇÃO DE CARGA'!$D$2:$D$702
)="",
"",
_xlfn.XLOOKUP(
B68,
'LOCALIZAÇÃO DE CARGA'!$A$2:$A$702,
'LOCALIZAÇÃO DE CARGA'!$D$2:$D$702
)
),
""
)</f>
        <v/>
      </c>
      <c r="F68" s="13" t="str">
        <f>IFERROR(
IF(
_xlfn.XLOOKUP(
B68,
'LOCALIZAÇÃO DE CARGA'!$A$2:$A$702,
'LOCALIZAÇÃO DE CARGA'!$H$2:$H$702
)="",
"",
_xlfn.XLOOKUP(
B68,
'LOCALIZAÇÃO DE CARGA'!$A$2:$A$702,
'LOCALIZAÇÃO DE CARGA'!$H$2:$H$702
)
),
""
)</f>
        <v>WSC</v>
      </c>
      <c r="G68" s="5" t="str">
        <f>IFERROR(
IF(
_xlfn.XLOOKUP(
B68,
'LOCALIZAÇÃO DE CARGA'!$A$2:$A$702,
'LOCALIZAÇÃO DE CARGA'!$I$2:$I$702
)="",
"",
_xlfn.XLOOKUP(
B68,
'LOCALIZAÇÃO DE CARGA'!$A$2:$A$702,
'LOCALIZAÇÃO DE CARGA'!$I$2:$I$702
)
),
""
)</f>
        <v>LGSCT</v>
      </c>
      <c r="H68" s="5" t="str">
        <f>IFERROR(
IF(
_xlfn.XLOOKUP(
B68,
'LOCALIZAÇÃO DE CARGA'!$A$2:$A$702,
'LOCALIZAÇÃO DE CARGA'!$F$2:$F$702
)="",
"",
_xlfn.XLOOKUP(
B68,
'LOCALIZAÇÃO DE CARGA'!$A$2:$A$702,
'LOCALIZAÇÃO DE CARGA'!$F$2:$F$702
)
),
""
)</f>
        <v>Não iniciado</v>
      </c>
      <c r="I68" s="13" t="str" cm="1">
        <f t="array" ref="I68">IFERROR(
IF(
INDEX(
'VISÃO LOGISTICA'!$C$2:$C$525,
MATCH(
TRUE,
ISNUMBER(FIND(B68,'VISÃO LOGISTICA'!$A$2:$A$525)),
0
)
)="Em espera",
"",
INDEX(
'VISÃO LOGISTICA'!$C$2:$C$525,
MATCH(
TRUE,
ISNUMBER(FIND(B68,'VISÃO LOGISTICA'!$A$2:$A$525)),
0
)
)
),
""
)</f>
        <v/>
      </c>
      <c r="J68" s="5" t="str" cm="1">
        <f t="array" ref="J68">IFERROR(
IF(
OR(
INDEX(
'VISÃO LOGISTICA'!$C$2:$C$2000,
MATCH(
TRUE,
ISNUMBER(FIND(B68,'VISÃO LOGISTICA'!$A$2:$A$2000)),
0
)
)="Em espera",
INDEX(
'VISÃO LOGISTICA'!$C$2:$C$2000,
MATCH(
TRUE,
ISNUMBER(FIND(B68,'VISÃO LOGISTICA'!$A$2:$A$2000)),
0
)
)=""
),
"",
INDEX(
'VISÃO LOGISTICA'!$D$2:$D$2000,
MATCH(
TRUE,
ISNUMBER(FIND(B68,'VISÃO LOGISTICA'!$A$2:$A$2000)),
0
)
)
),
""
)</f>
        <v/>
      </c>
      <c r="K68" s="10">
        <f>IFERROR(
IF(
_xlfn.XLOOKUP(
B68,
'LOCALIZAÇÃO DE CARGA'!$A$2:$A$702,
'LOCALIZAÇÃO DE CARGA'!$E$2:$E$702)="",
"",
_xlfn.XLOOKUP(
B68,
'LOCALIZAÇÃO DE CARGA'!$A$2:$A$702,
'LOCALIZAÇÃO DE CARGA'!$E$2:$E$702)
),
""
)</f>
        <v>357691.2</v>
      </c>
      <c r="L68" s="20" cm="1">
        <f t="array" ref="L68">IFERROR(
_xlfn.LET(
_xlpm.res,_xlfn.XLOOKUP(B68,'LOCALIZAÇÃO DE CARGA'!$A$2:$A$2000,'LOCALIZAÇÃO DE CARGA'!$G$2:$G$2000),
IF(_xlpm.res="","",_xlpm.res)
),
""
)</f>
        <v>46160.328472222223</v>
      </c>
      <c r="M68" s="20" cm="1">
        <f t="array" ref="M68">IFERROR(
_xlfn.LET(
_xlpm.load,_xlfn.XLOOKUP(B68,'LOCALIZAÇÃO DE CARGA'!$A$2:$A$2000,'LOCALIZAÇÃO DE CARGA'!$A$2:$A$2000),
_xlpm.res,_xlfn.XLOOKUP(_xlpm.load,DOCUMENTOS!$A$2:$A$2000,DOCUMENTOS!$D$2:$D$2000),
IF(_xlpm.res="","",_xlpm.res)
),
""
)</f>
        <v>46157.708333333336</v>
      </c>
      <c r="N68" s="6">
        <f>IFERROR(IF(M68="","",M68-TIME(1,0,0)),"")</f>
        <v>46157.666666666672</v>
      </c>
      <c r="O68" s="6" cm="1">
        <f t="array" ref="O68">IFERROR(
_xlfn.LET(
_xlpm.res,_xlfn.XLOOKUP(B68,'LOCALIZAÇÃO DE CARGA'!$A$2:$A$2000,'LOCALIZAÇÃO DE CARGA'!$S$2:$S$2000),
IF(_xlpm.res="","",_xlpm.res)
),
""
)</f>
        <v>46162.333333333336</v>
      </c>
      <c r="P68" s="6" t="str" cm="1">
        <f t="array" ref="P68">IFERROR(
_xlfn.LET(
_xlpm.res,_xlfn.XLOOKUP(B68,'LOCALIZAÇÃO DE CARGA'!$A$2:$A$702,'LOCALIZAÇÃO DE CARGA'!$T$2:$T$702),
IF(_xlpm.res="","",_xlpm.res)
),
""
)</f>
        <v/>
      </c>
      <c r="Q68" s="5" t="str">
        <f>IFERROR(
IF(
_xlfn.XLOOKUP(
B68,
'LOCALIZAÇÃO DE CARGA'!$A$2:$A$702,
'LOCALIZAÇÃO DE CARGA'!$K$2:$K$702
)="",
"",
_xlfn.XLOOKUP(
B68,
'LOCALIZAÇÃO DE CARGA'!$A$2:$A$702,
'LOCALIZAÇÃO DE CARGA'!$K$2:$K$702
)
),
""
)</f>
        <v>WMB SUPERMERCADOS DO BRASIL LTDA. - 72549901</v>
      </c>
      <c r="R68" s="5" t="str">
        <f t="shared" si="2"/>
        <v>WMB SUPERMERCADOS DO BRASIL LTDA.</v>
      </c>
      <c r="S68" s="5" t="str" cm="1">
        <f t="array" ref="S68">IF(B68="","",IFERROR(
INDEX(
'VISÃO LOGISTICA'!$L$2:$L$525,
MATCH(
TRUE,
ISNUMBER(FIND(B68,'VISÃO LOGISTICA'!$A$2:$A$525)),
0
)
),
""
))</f>
        <v/>
      </c>
      <c r="T68" s="5" t="str">
        <f>IFERROR(
_xlfn.LET(
_xlpm.res,_xlfn.XLOOKUP(B68,'LOCALIZAÇÃO DE CARGA'!$A$2:$A$702,'LOCALIZAÇÃO DE CARGA'!$R$2:$R$702),
IF(_xlpm.res="","",_xlpm.res)
),
""
)</f>
        <v>BRASILIA/DF/BRASIL</v>
      </c>
    </row>
    <row r="69" spans="1:20">
      <c r="A69" s="14">
        <f t="shared" ref="A69:A132" si="3">IF(M69="","",INT(M69))</f>
        <v>46160</v>
      </c>
      <c r="B69" s="5">
        <v>6023017</v>
      </c>
      <c r="C69" s="45" t="str">
        <f t="shared" ref="C69:C132" ca="1" si="4">IFERROR(
IF(B69="","",
IF(I69="Encerrada",
"VERIFICAR SMP EM ANDAMENTO",
IF(VALUE(SUBSTITUTE(K69,".",""))&lt;100000,
"DESCONSIDERA, VALOR NÃO RASTREADO",
IF(AND(I69="EM VIAGEM",ISNUMBER(FIND("CAJAMAR/SP",S69))),
IF(E69="Patio",
"NA PENSKE - COM SMP - AGUARDANDO CARREGAMENTO",
"NA PENSKE - COM SMP - AGUARDANDO SAÍDA"),
IF(AND(I69="Pré-SMP",ISNUMBER(FIND("CAJAMAR/SP",S69))),
IF(E69="Patio",
"NA PENSKE - PRÉ-SMP - AGUARDANDO CARREGAMENTO",
"NA PENSKE - PRÉ-SMP - AGUARDANDO SAÍDA"),
IF(AND(I69="EM VIAGEM",ISNUMBER(FIND("ITAPOA/SC",S69))),
"NA CLIF - COM SMP - AGUARDANDO SAÍDA",
IF(AND(I69="Pré-SMP",ISNUMBER(FIND("ITAPOA/SC",S69))),
"NA CLIF - PRÉ-SMP - AGUARDANDO SAÍDA",
IF(I69="EM VIAGEM",
"EM VIAGEM",
IF(OR(L69="",N69=""),
IF(I69="EM VIAGEM","SEM PREVISAO - COM SMP",
IF(I69="Pré-SMP","SEM PREVISAO - PRÉ-SMP",
"SEM PREVISAO - SEM SMP")),
IF(M69&gt;L69,
IF(NOW()&gt;N69,
IF(E69="Finalizado",
IF(I69="EM VIAGEM","CARREGADO - COM SMP",
IF(I69="Pré-SMP","CARREGADO - PRÉ-SMP",
"CARREGADO - SEM SMP")),
IF(I69="EM VIAGEM","ATRASADO CARREGAMENTO - COM SMP - VERIFICAR AGENDAMENTO",
IF(I69="Pré-SMP","ATRASADO CARREGAMENTO - PRÉ-SMP - VERIFICAR AGENDAMENTO",
"ATRASADO CARREGAMENTO - SEM SMP - VERIFICAR AGENDAMENTO"))),
IF(NOW()&gt;L69,
IF(I69="EM VIAGEM","ATRASADO ENTREGA - COM SMP - VERIFICAR AGENDAMENTO",
IF(I69="Pré-SMP","ATRASADO ENTREGA - PRÉ-SMP - VERIFICAR AGENDAMENTO",
"ATRASADO ENTREGA - SEM SMP - VERIFICAR AGENDAMENTO")),
"OK NO PRAZO - VERIFICAR AGENDAMENTO")),
IF(NOW()&gt;L69,
IF(I69="EM VIAGEM","ATRASADO ENTREGA - COM SMP",
IF(I69="Pré-SMP","ATRASADO ENTREGA - PRÉ-SMP",
"ATRASADO ENTREGA - SEM SMP")),
IF(NOW()&gt;N69,
IF(E69="Finalizado",
IF(I69="EM VIAGEM","CARREGADO - COM SMP",
IF(I69="Pré-SMP","CARREGADO - PRÉ-SMP",
"CARREGADO - SEM SMP")),
IF(I69="EM VIAGEM","ATRASADO CARREGAMENTO - COM SMP",
IF(I69="Pré-SMP","ATRASADO CARREGAMENTO - PRÉ-SMP",
"ATRASADO CARREGAMENTO - SEM SMP"))),
IF(L69-NOW()&lt;=1,
"ATENCAO - PROXIMO",
"OK - NO PRAZO"
))))))))))))),"")</f>
        <v>OK - NO PRAZO</v>
      </c>
      <c r="D69" s="28"/>
      <c r="E69" s="28" t="str">
        <f>IFERROR(
IF(
_xlfn.XLOOKUP(
B69,
'LOCALIZAÇÃO DE CARGA'!$A$2:$A$702,
'LOCALIZAÇÃO DE CARGA'!$D$2:$D$702
)="",
"",
_xlfn.XLOOKUP(
B69,
'LOCALIZAÇÃO DE CARGA'!$A$2:$A$702,
'LOCALIZAÇÃO DE CARGA'!$D$2:$D$702
)
),
""
)</f>
        <v/>
      </c>
      <c r="F69" s="13" t="str">
        <f>IFERROR(
IF(
_xlfn.XLOOKUP(
B69,
'LOCALIZAÇÃO DE CARGA'!$A$2:$A$702,
'LOCALIZAÇÃO DE CARGA'!$H$2:$H$702
)="",
"",
_xlfn.XLOOKUP(
B69,
'LOCALIZAÇÃO DE CARGA'!$A$2:$A$702,
'LOCALIZAÇÃO DE CARGA'!$H$2:$H$702
)
),
""
)</f>
        <v>MINAS SUL</v>
      </c>
      <c r="G69" s="5" t="str">
        <f>IFERROR(
IF(
_xlfn.XLOOKUP(
B69,
'LOCALIZAÇÃO DE CARGA'!$A$2:$A$702,
'LOCALIZAÇÃO DE CARGA'!$I$2:$I$702
)="",
"",
_xlfn.XLOOKUP(
B69,
'LOCALIZAÇÃO DE CARGA'!$A$2:$A$702,
'LOCALIZAÇÃO DE CARGA'!$I$2:$I$702
)
),
""
)</f>
        <v>LGSCT</v>
      </c>
      <c r="H69" s="5" t="str">
        <f>IFERROR(
IF(
_xlfn.XLOOKUP(
B69,
'LOCALIZAÇÃO DE CARGA'!$A$2:$A$702,
'LOCALIZAÇÃO DE CARGA'!$F$2:$F$702
)="",
"",
_xlfn.XLOOKUP(
B69,
'LOCALIZAÇÃO DE CARGA'!$A$2:$A$702,
'LOCALIZAÇÃO DE CARGA'!$F$2:$F$702
)
),
""
)</f>
        <v>Não iniciado</v>
      </c>
      <c r="I69" s="13" t="str" cm="1">
        <f t="array" ref="I69">IFERROR(
IF(
INDEX(
'VISÃO LOGISTICA'!$C$2:$C$525,
MATCH(
TRUE,
ISNUMBER(FIND(B69,'VISÃO LOGISTICA'!$A$2:$A$525)),
0
)
)="Em espera",
"",
INDEX(
'VISÃO LOGISTICA'!$C$2:$C$525,
MATCH(
TRUE,
ISNUMBER(FIND(B69,'VISÃO LOGISTICA'!$A$2:$A$525)),
0
)
)
),
""
)</f>
        <v/>
      </c>
      <c r="J69" s="5" t="str" cm="1">
        <f t="array" ref="J69">IFERROR(
IF(
OR(
INDEX(
'VISÃO LOGISTICA'!$C$2:$C$2000,
MATCH(
TRUE,
ISNUMBER(FIND(B69,'VISÃO LOGISTICA'!$A$2:$A$2000)),
0
)
)="Em espera",
INDEX(
'VISÃO LOGISTICA'!$C$2:$C$2000,
MATCH(
TRUE,
ISNUMBER(FIND(B69,'VISÃO LOGISTICA'!$A$2:$A$2000)),
0
)
)=""
),
"",
INDEX(
'VISÃO LOGISTICA'!$D$2:$D$2000,
MATCH(
TRUE,
ISNUMBER(FIND(B69,'VISÃO LOGISTICA'!$A$2:$A$2000)),
0
)
)
),
""
)</f>
        <v/>
      </c>
      <c r="K69" s="10">
        <f>IFERROR(
IF(
_xlfn.XLOOKUP(
B69,
'LOCALIZAÇÃO DE CARGA'!$A$2:$A$702,
'LOCALIZAÇÃO DE CARGA'!$E$2:$E$702)="",
"",
_xlfn.XLOOKUP(
B69,
'LOCALIZAÇÃO DE CARGA'!$A$2:$A$702,
'LOCALIZAÇÃO DE CARGA'!$E$2:$E$702)
),
""
)</f>
        <v>336891.17</v>
      </c>
      <c r="L69" s="20" cm="1">
        <f t="array" ref="L69">IFERROR(
_xlfn.LET(
_xlpm.res,_xlfn.XLOOKUP(B69,'LOCALIZAÇÃO DE CARGA'!$A$2:$A$2000,'LOCALIZAÇÃO DE CARGA'!$G$2:$G$2000),
IF(_xlpm.res="","",_xlpm.res)
),
""
)</f>
        <v>46161.522222222222</v>
      </c>
      <c r="M69" s="20" cm="1">
        <f t="array" ref="M69">IFERROR(
_xlfn.LET(
_xlpm.load,_xlfn.XLOOKUP(B69,'LOCALIZAÇÃO DE CARGA'!$A$2:$A$2000,'LOCALIZAÇÃO DE CARGA'!$A$2:$A$2000),
_xlpm.res,_xlfn.XLOOKUP(_xlpm.load,DOCUMENTOS!$A$2:$A$2000,DOCUMENTOS!$D$2:$D$2000),
IF(_xlpm.res="","",_xlpm.res)
),
""
)</f>
        <v>46160.583333333336</v>
      </c>
      <c r="N69" s="6">
        <f>IFERROR(IF(M69="","",M69-TIME(1,0,0)),"")</f>
        <v>46160.541666666672</v>
      </c>
      <c r="O69" s="6" cm="1">
        <f t="array" ref="O69">IFERROR(
_xlfn.LET(
_xlpm.res,_xlfn.XLOOKUP(B69,'LOCALIZAÇÃO DE CARGA'!$A$2:$A$2000,'LOCALIZAÇÃO DE CARGA'!$S$2:$S$2000),
IF(_xlpm.res="","",_xlpm.res)
),
""
)</f>
        <v>46161.958333333336</v>
      </c>
      <c r="P69" s="6" t="str" cm="1">
        <f t="array" ref="P69">IFERROR(
_xlfn.LET(
_xlpm.res,_xlfn.XLOOKUP(B69,'LOCALIZAÇÃO DE CARGA'!$A$2:$A$702,'LOCALIZAÇÃO DE CARGA'!$T$2:$T$702),
IF(_xlpm.res="","",_xlpm.res)
),
""
)</f>
        <v/>
      </c>
      <c r="Q69" s="5" t="str">
        <f>IFERROR(
IF(
_xlfn.XLOOKUP(
B69,
'LOCALIZAÇÃO DE CARGA'!$A$2:$A$702,
'LOCALIZAÇÃO DE CARGA'!$K$2:$K$702
)="",
"",
_xlfn.XLOOKUP(
B69,
'LOCALIZAÇÃO DE CARGA'!$A$2:$A$702,
'LOCALIZAÇÃO DE CARGA'!$K$2:$K$702
)
),
""
)</f>
        <v>GRUPO CASAS BAHIA S.A(CD1500) - 09790400</v>
      </c>
      <c r="R69" s="5" t="str">
        <f t="shared" ref="R69:R132" si="5">IF(Q69="","",TRIM(IFERROR(LEFT(LEFT(Q69,FIND(" - ",Q69)-1),FIND("(",LEFT(Q69,FIND(" - ",Q69)-1))-1),LEFT(Q69,FIND(" - ",Q69)-1))))</f>
        <v>GRUPO CASAS BAHIA S.A</v>
      </c>
      <c r="S69" s="5" t="str" cm="1">
        <f t="array" ref="S69">IF(B69="","",IFERROR(
INDEX(
'VISÃO LOGISTICA'!$L$2:$L$525,
MATCH(
TRUE,
ISNUMBER(FIND(B69,'VISÃO LOGISTICA'!$A$2:$A$525)),
0
)
),
""
))</f>
        <v/>
      </c>
      <c r="T69" s="5" t="str">
        <f>IFERROR(
_xlfn.LET(
_xlpm.res,_xlfn.XLOOKUP(B69,'LOCALIZAÇÃO DE CARGA'!$A$2:$A$702,'LOCALIZAÇÃO DE CARGA'!$R$2:$R$702),
IF(_xlpm.res="","",_xlpm.res)
),
""
)</f>
        <v>SAO BERNARDO DO CAMPO/SP/BRASIL</v>
      </c>
    </row>
    <row r="70" spans="1:20">
      <c r="A70" s="14">
        <f t="shared" si="3"/>
        <v>46157</v>
      </c>
      <c r="B70" s="5">
        <v>6023021</v>
      </c>
      <c r="C70" s="45" t="str">
        <f t="shared" ca="1" si="4"/>
        <v>NA CLIF - COM SMP - AGUARDANDO SAÍDA</v>
      </c>
      <c r="D70" s="28"/>
      <c r="E70" s="28" t="str">
        <f>IFERROR(
IF(
_xlfn.XLOOKUP(
B70,
'LOCALIZAÇÃO DE CARGA'!$A$2:$A$702,
'LOCALIZAÇÃO DE CARGA'!$D$2:$D$702
)="",
"",
_xlfn.XLOOKUP(
B70,
'LOCALIZAÇÃO DE CARGA'!$A$2:$A$702,
'LOCALIZAÇÃO DE CARGA'!$D$2:$D$702
)
),
""
)</f>
        <v/>
      </c>
      <c r="F70" s="13" t="str">
        <f>IFERROR(
IF(
_xlfn.XLOOKUP(
B70,
'LOCALIZAÇÃO DE CARGA'!$A$2:$A$702,
'LOCALIZAÇÃO DE CARGA'!$H$2:$H$702
)="",
"",
_xlfn.XLOOKUP(
B70,
'LOCALIZAÇÃO DE CARGA'!$A$2:$A$702,
'LOCALIZAÇÃO DE CARGA'!$H$2:$H$702
)
),
""
)</f>
        <v>RODOBRAS TR</v>
      </c>
      <c r="G70" s="5" t="str">
        <f>IFERROR(
IF(
_xlfn.XLOOKUP(
B70,
'LOCALIZAÇÃO DE CARGA'!$A$2:$A$702,
'LOCALIZAÇÃO DE CARGA'!$I$2:$I$702
)="",
"",
_xlfn.XLOOKUP(
B70,
'LOCALIZAÇÃO DE CARGA'!$A$2:$A$702,
'LOCALIZAÇÃO DE CARGA'!$I$2:$I$702
)
),
""
)</f>
        <v>LGSCT</v>
      </c>
      <c r="H70" s="5" t="str">
        <f>IFERROR(
IF(
_xlfn.XLOOKUP(
B70,
'LOCALIZAÇÃO DE CARGA'!$A$2:$A$702,
'LOCALIZAÇÃO DE CARGA'!$F$2:$F$702
)="",
"",
_xlfn.XLOOKUP(
B70,
'LOCALIZAÇÃO DE CARGA'!$A$2:$A$702,
'LOCALIZAÇÃO DE CARGA'!$F$2:$F$702
)
),
""
)</f>
        <v>Andamento</v>
      </c>
      <c r="I70" s="13" t="str" cm="1">
        <f t="array" ref="I70">IFERROR(
IF(
INDEX(
'VISÃO LOGISTICA'!$C$2:$C$525,
MATCH(
TRUE,
ISNUMBER(FIND(B70,'VISÃO LOGISTICA'!$A$2:$A$525)),
0
)
)="Em espera",
"",
INDEX(
'VISÃO LOGISTICA'!$C$2:$C$525,
MATCH(
TRUE,
ISNUMBER(FIND(B70,'VISÃO LOGISTICA'!$A$2:$A$525)),
0
)
)
),
""
)</f>
        <v>Em Viagem</v>
      </c>
      <c r="J70" s="5" t="str" cm="1">
        <f t="array" ref="J70">IFERROR(
IF(
OR(
INDEX(
'VISÃO LOGISTICA'!$C$2:$C$2000,
MATCH(
TRUE,
ISNUMBER(FIND(B70,'VISÃO LOGISTICA'!$A$2:$A$2000)),
0
)
)="Em espera",
INDEX(
'VISÃO LOGISTICA'!$C$2:$C$2000,
MATCH(
TRUE,
ISNUMBER(FIND(B70,'VISÃO LOGISTICA'!$A$2:$A$2000)),
0
)
)=""
),
"",
INDEX(
'VISÃO LOGISTICA'!$D$2:$D$2000,
MATCH(
TRUE,
ISNUMBER(FIND(B70,'VISÃO LOGISTICA'!$A$2:$A$2000)),
0
)
)
),
""
)</f>
        <v>BAF0645</v>
      </c>
      <c r="K70" s="10">
        <f>IFERROR(
IF(
_xlfn.XLOOKUP(
B70,
'LOCALIZAÇÃO DE CARGA'!$A$2:$A$702,
'LOCALIZAÇÃO DE CARGA'!$E$2:$E$702)="",
"",
_xlfn.XLOOKUP(
B70,
'LOCALIZAÇÃO DE CARGA'!$A$2:$A$702,
'LOCALIZAÇÃO DE CARGA'!$E$2:$E$702)
),
""
)</f>
        <v>313196.61</v>
      </c>
      <c r="L70" s="20" cm="1">
        <f t="array" ref="L70">IFERROR(
_xlfn.LET(
_xlpm.res,_xlfn.XLOOKUP(B70,'LOCALIZAÇÃO DE CARGA'!$A$2:$A$2000,'LOCALIZAÇÃO DE CARGA'!$G$2:$G$2000),
IF(_xlpm.res="","",_xlpm.res)
),
""
)</f>
        <v>46157.541666666664</v>
      </c>
      <c r="M70" s="20" cm="1">
        <f t="array" ref="M70">IFERROR(
_xlfn.LET(
_xlpm.load,_xlfn.XLOOKUP(B70,'LOCALIZAÇÃO DE CARGA'!$A$2:$A$2000,'LOCALIZAÇÃO DE CARGA'!$A$2:$A$2000),
_xlpm.res,_xlfn.XLOOKUP(_xlpm.load,DOCUMENTOS!$A$2:$A$2000,DOCUMENTOS!$D$2:$D$2000),
IF(_xlpm.res="","",_xlpm.res)
),
""
)</f>
        <v>46157.541666666664</v>
      </c>
      <c r="N70" s="6">
        <f>IFERROR(IF(M70="","",M70-TIME(1,0,0)),"")</f>
        <v>46157.5</v>
      </c>
      <c r="O70" s="6" cm="1">
        <f t="array" ref="O70">IFERROR(
_xlfn.LET(
_xlpm.res,_xlfn.XLOOKUP(B70,'LOCALIZAÇÃO DE CARGA'!$A$2:$A$2000,'LOCALIZAÇÃO DE CARGA'!$S$2:$S$2000),
IF(_xlpm.res="","",_xlpm.res)
),
""
)</f>
        <v>46162.25</v>
      </c>
      <c r="P70" s="6" cm="1">
        <f t="array" ref="P70">IFERROR(
_xlfn.LET(
_xlpm.res,_xlfn.XLOOKUP(B70,'LOCALIZAÇÃO DE CARGA'!$A$2:$A$702,'LOCALIZAÇÃO DE CARGA'!$T$2:$T$702),
IF(_xlpm.res="","",_xlpm.res)
),
""
)</f>
        <v>46159.095833333333</v>
      </c>
      <c r="Q70" s="5" t="str">
        <f>IFERROR(
IF(
_xlfn.XLOOKUP(
B70,
'LOCALIZAÇÃO DE CARGA'!$A$2:$A$702,
'LOCALIZAÇÃO DE CARGA'!$K$2:$K$702
)="",
"",
_xlfn.XLOOKUP(
B70,
'LOCALIZAÇÃO DE CARGA'!$A$2:$A$702,
'LOCALIZAÇÃO DE CARGA'!$K$2:$K$702
)
),
""
)</f>
        <v>GRUPO CASAS BAHIA S.A(CD1200) - 13203850</v>
      </c>
      <c r="R70" s="5" t="str">
        <f t="shared" si="5"/>
        <v>GRUPO CASAS BAHIA S.A</v>
      </c>
      <c r="S70" s="5" t="str" cm="1">
        <f t="array" ref="S70">IF(B70="","",IFERROR(
INDEX(
'VISÃO LOGISTICA'!$L$2:$L$525,
MATCH(
TRUE,
ISNUMBER(FIND(B70,'VISÃO LOGISTICA'!$A$2:$A$525)),
0
)
),
""
))</f>
        <v>ITAPOA/SC/BRASIL</v>
      </c>
      <c r="T70" s="5" t="str">
        <f>IFERROR(
_xlfn.LET(
_xlpm.res,_xlfn.XLOOKUP(B70,'LOCALIZAÇÃO DE CARGA'!$A$2:$A$702,'LOCALIZAÇÃO DE CARGA'!$R$2:$R$702),
IF(_xlpm.res="","",_xlpm.res)
),
""
)</f>
        <v>JUNDIAI/SP/BRASIL</v>
      </c>
    </row>
    <row r="71" spans="1:20">
      <c r="A71" s="14">
        <f t="shared" si="3"/>
        <v>46158</v>
      </c>
      <c r="B71" s="5">
        <v>6022213</v>
      </c>
      <c r="C71" s="45" t="str">
        <f t="shared" ca="1" si="4"/>
        <v>NA CLIF - COM SMP - AGUARDANDO SAÍDA</v>
      </c>
      <c r="D71" s="28"/>
      <c r="E71" s="28" t="str">
        <f>IFERROR(
IF(
_xlfn.XLOOKUP(
B71,
'LOCALIZAÇÃO DE CARGA'!$A$2:$A$702,
'LOCALIZAÇÃO DE CARGA'!$D$2:$D$702
)="",
"",
_xlfn.XLOOKUP(
B71,
'LOCALIZAÇÃO DE CARGA'!$A$2:$A$702,
'LOCALIZAÇÃO DE CARGA'!$D$2:$D$702
)
),
""
)</f>
        <v/>
      </c>
      <c r="F71" s="13" t="str">
        <f>IFERROR(
IF(
_xlfn.XLOOKUP(
B71,
'LOCALIZAÇÃO DE CARGA'!$A$2:$A$702,
'LOCALIZAÇÃO DE CARGA'!$H$2:$H$702
)="",
"",
_xlfn.XLOOKUP(
B71,
'LOCALIZAÇÃO DE CARGA'!$A$2:$A$702,
'LOCALIZAÇÃO DE CARGA'!$H$2:$H$702
)
),
""
)</f>
        <v>TRANSKING</v>
      </c>
      <c r="G71" s="5" t="str">
        <f>IFERROR(
IF(
_xlfn.XLOOKUP(
B71,
'LOCALIZAÇÃO DE CARGA'!$A$2:$A$702,
'LOCALIZAÇÃO DE CARGA'!$I$2:$I$702
)="",
"",
_xlfn.XLOOKUP(
B71,
'LOCALIZAÇÃO DE CARGA'!$A$2:$A$702,
'LOCALIZAÇÃO DE CARGA'!$I$2:$I$702
)
),
""
)</f>
        <v>LGSCT</v>
      </c>
      <c r="H71" s="5" t="str">
        <f>IFERROR(
IF(
_xlfn.XLOOKUP(
B71,
'LOCALIZAÇÃO DE CARGA'!$A$2:$A$702,
'LOCALIZAÇÃO DE CARGA'!$F$2:$F$702
)="",
"",
_xlfn.XLOOKUP(
B71,
'LOCALIZAÇÃO DE CARGA'!$A$2:$A$702,
'LOCALIZAÇÃO DE CARGA'!$F$2:$F$702
)
),
""
)</f>
        <v>Andamento</v>
      </c>
      <c r="I71" s="13" t="str" cm="1">
        <f t="array" ref="I71">IFERROR(
IF(
INDEX(
'VISÃO LOGISTICA'!$C$2:$C$525,
MATCH(
TRUE,
ISNUMBER(FIND(B71,'VISÃO LOGISTICA'!$A$2:$A$525)),
0
)
)="Em espera",
"",
INDEX(
'VISÃO LOGISTICA'!$C$2:$C$525,
MATCH(
TRUE,
ISNUMBER(FIND(B71,'VISÃO LOGISTICA'!$A$2:$A$525)),
0
)
)
),
""
)</f>
        <v>Em Viagem</v>
      </c>
      <c r="J71" s="5" t="str" cm="1">
        <f t="array" ref="J71">IFERROR(
IF(
OR(
INDEX(
'VISÃO LOGISTICA'!$C$2:$C$2000,
MATCH(
TRUE,
ISNUMBER(FIND(B71,'VISÃO LOGISTICA'!$A$2:$A$2000)),
0
)
)="Em espera",
INDEX(
'VISÃO LOGISTICA'!$C$2:$C$2000,
MATCH(
TRUE,
ISNUMBER(FIND(B71,'VISÃO LOGISTICA'!$A$2:$A$2000)),
0
)
)=""
),
"",
INDEX(
'VISÃO LOGISTICA'!$D$2:$D$2000,
MATCH(
TRUE,
ISNUMBER(FIND(B71,'VISÃO LOGISTICA'!$A$2:$A$2000)),
0
)
)
),
""
)</f>
        <v>MFF7E97</v>
      </c>
      <c r="K71" s="10">
        <f>IFERROR(
IF(
_xlfn.XLOOKUP(
B71,
'LOCALIZAÇÃO DE CARGA'!$A$2:$A$702,
'LOCALIZAÇÃO DE CARGA'!$E$2:$E$702)="",
"",
_xlfn.XLOOKUP(
B71,
'LOCALIZAÇÃO DE CARGA'!$A$2:$A$702,
'LOCALIZAÇÃO DE CARGA'!$E$2:$E$702)
),
""
)</f>
        <v>309399.84999999998</v>
      </c>
      <c r="L71" s="20" cm="1">
        <f t="array" ref="L71">IFERROR(
_xlfn.LET(
_xlpm.res,_xlfn.XLOOKUP(B71,'LOCALIZAÇÃO DE CARGA'!$A$2:$A$2000,'LOCALIZAÇÃO DE CARGA'!$G$2:$G$2000),
IF(_xlpm.res="","",_xlpm.res)
),
""
)</f>
        <v>46160.321527777778</v>
      </c>
      <c r="M71" s="20" cm="1">
        <f t="array" ref="M71">IFERROR(
_xlfn.LET(
_xlpm.load,_xlfn.XLOOKUP(B71,'LOCALIZAÇÃO DE CARGA'!$A$2:$A$2000,'LOCALIZAÇÃO DE CARGA'!$A$2:$A$2000),
_xlpm.res,_xlfn.XLOOKUP(_xlpm.load,DOCUMENTOS!$A$2:$A$2000,DOCUMENTOS!$D$2:$D$2000),
IF(_xlpm.res="","",_xlpm.res)
),
""
)</f>
        <v>46158.5</v>
      </c>
      <c r="N71" s="6">
        <f>IFERROR(IF(M71="","",M71-TIME(1,0,0)),"")</f>
        <v>46158.458333333336</v>
      </c>
      <c r="O71" s="6" cm="1">
        <f t="array" ref="O71">IFERROR(
_xlfn.LET(
_xlpm.res,_xlfn.XLOOKUP(B71,'LOCALIZAÇÃO DE CARGA'!$A$2:$A$2000,'LOCALIZAÇÃO DE CARGA'!$S$2:$S$2000),
IF(_xlpm.res="","",_xlpm.res)
),
""
)</f>
        <v>46162.25</v>
      </c>
      <c r="P71" s="6" cm="1">
        <f t="array" ref="P71">IFERROR(
_xlfn.LET(
_xlpm.res,_xlfn.XLOOKUP(B71,'LOCALIZAÇÃO DE CARGA'!$A$2:$A$702,'LOCALIZAÇÃO DE CARGA'!$T$2:$T$702),
IF(_xlpm.res="","",_xlpm.res)
),
""
)</f>
        <v>46159.493055555555</v>
      </c>
      <c r="Q71" s="5" t="str">
        <f>IFERROR(
IF(
_xlfn.XLOOKUP(
B71,
'LOCALIZAÇÃO DE CARGA'!$A$2:$A$702,
'LOCALIZAÇÃO DE CARGA'!$K$2:$K$702
)="",
"",
_xlfn.XLOOKUP(
B71,
'LOCALIZAÇÃO DE CARGA'!$A$2:$A$702,
'LOCALIZAÇÃO DE CARGA'!$K$2:$K$702
)
),
""
)</f>
        <v>GRUPO CASAS BAHIA S.A(CD1895) - 75340000</v>
      </c>
      <c r="R71" s="5" t="str">
        <f t="shared" si="5"/>
        <v>GRUPO CASAS BAHIA S.A</v>
      </c>
      <c r="S71" s="5" t="str" cm="1">
        <f t="array" ref="S71">IF(B71="","",IFERROR(
INDEX(
'VISÃO LOGISTICA'!$L$2:$L$525,
MATCH(
TRUE,
ISNUMBER(FIND(B71,'VISÃO LOGISTICA'!$A$2:$A$525)),
0
)
),
""
))</f>
        <v>ROD. MÁXIMO JAMUR, ITAPOA/SC/BRASIL (33,59 Km)</v>
      </c>
      <c r="T71" s="5" t="str">
        <f>IFERROR(
_xlfn.LET(
_xlpm.res,_xlfn.XLOOKUP(B71,'LOCALIZAÇÃO DE CARGA'!$A$2:$A$702,'LOCALIZAÇÃO DE CARGA'!$R$2:$R$702),
IF(_xlpm.res="","",_xlpm.res)
),
""
)</f>
        <v>HIDROLANDIA/GO/BRASIL</v>
      </c>
    </row>
    <row r="72" spans="1:20">
      <c r="A72" s="14">
        <f t="shared" si="3"/>
        <v>46157</v>
      </c>
      <c r="B72" s="5">
        <v>6021908</v>
      </c>
      <c r="C72" s="45" t="str">
        <f t="shared" ca="1" si="4"/>
        <v>EM VIAGEM</v>
      </c>
      <c r="D72" s="28"/>
      <c r="E72" s="28" t="str">
        <f>IFERROR(
IF(
_xlfn.XLOOKUP(
B72,
'LOCALIZAÇÃO DE CARGA'!$A$2:$A$702,
'LOCALIZAÇÃO DE CARGA'!$D$2:$D$702
)="",
"",
_xlfn.XLOOKUP(
B72,
'LOCALIZAÇÃO DE CARGA'!$A$2:$A$702,
'LOCALIZAÇÃO DE CARGA'!$D$2:$D$702
)
),
""
)</f>
        <v>Saida do WH</v>
      </c>
      <c r="F72" s="13" t="str">
        <f>IFERROR(
IF(
_xlfn.XLOOKUP(
B72,
'LOCALIZAÇÃO DE CARGA'!$A$2:$A$702,
'LOCALIZAÇÃO DE CARGA'!$H$2:$H$702
)="",
"",
_xlfn.XLOOKUP(
B72,
'LOCALIZAÇÃO DE CARGA'!$A$2:$A$702,
'LOCALIZAÇÃO DE CARGA'!$H$2:$H$702
)
),
""
)</f>
        <v>TRANSBOCAYUV</v>
      </c>
      <c r="G72" s="5" t="str">
        <f>IFERROR(
IF(
_xlfn.XLOOKUP(
B72,
'LOCALIZAÇÃO DE CARGA'!$A$2:$A$702,
'LOCALIZAÇÃO DE CARGA'!$I$2:$I$702
)="",
"",
_xlfn.XLOOKUP(
B72,
'LOCALIZAÇÃO DE CARGA'!$A$2:$A$702,
'LOCALIZAÇÃO DE CARGA'!$I$2:$I$702
)
),
""
)</f>
        <v>LGCAJ</v>
      </c>
      <c r="H72" s="5" t="str">
        <f>IFERROR(
IF(
_xlfn.XLOOKUP(
B72,
'LOCALIZAÇÃO DE CARGA'!$A$2:$A$702,
'LOCALIZAÇÃO DE CARGA'!$F$2:$F$702
)="",
"",
_xlfn.XLOOKUP(
B72,
'LOCALIZAÇÃO DE CARGA'!$A$2:$A$702,
'LOCALIZAÇÃO DE CARGA'!$F$2:$F$702
)
),
""
)</f>
        <v>Andamento</v>
      </c>
      <c r="I72" s="13" t="str" cm="1">
        <f t="array" ref="I72">IFERROR(
IF(
INDEX(
'VISÃO LOGISTICA'!$C$2:$C$525,
MATCH(
TRUE,
ISNUMBER(FIND(B72,'VISÃO LOGISTICA'!$A$2:$A$525)),
0
)
)="Em espera",
"",
INDEX(
'VISÃO LOGISTICA'!$C$2:$C$525,
MATCH(
TRUE,
ISNUMBER(FIND(B72,'VISÃO LOGISTICA'!$A$2:$A$525)),
0
)
)
),
""
)</f>
        <v>Em Viagem</v>
      </c>
      <c r="J72" s="5" t="str" cm="1">
        <f t="array" ref="J72">IFERROR(
IF(
OR(
INDEX(
'VISÃO LOGISTICA'!$C$2:$C$2000,
MATCH(
TRUE,
ISNUMBER(FIND(B72,'VISÃO LOGISTICA'!$A$2:$A$2000)),
0
)
)="Em espera",
INDEX(
'VISÃO LOGISTICA'!$C$2:$C$2000,
MATCH(
TRUE,
ISNUMBER(FIND(B72,'VISÃO LOGISTICA'!$A$2:$A$2000)),
0
)
)=""
),
"",
INDEX(
'VISÃO LOGISTICA'!$D$2:$D$2000,
MATCH(
TRUE,
ISNUMBER(FIND(B72,'VISÃO LOGISTICA'!$A$2:$A$2000)),
0
)
)
),
""
)</f>
        <v>MTY1694</v>
      </c>
      <c r="K72" s="10">
        <f>IFERROR(
IF(
_xlfn.XLOOKUP(
B72,
'LOCALIZAÇÃO DE CARGA'!$A$2:$A$702,
'LOCALIZAÇÃO DE CARGA'!$E$2:$E$702)="",
"",
_xlfn.XLOOKUP(
B72,
'LOCALIZAÇÃO DE CARGA'!$A$2:$A$702,
'LOCALIZAÇÃO DE CARGA'!$E$2:$E$702)
),
""
)</f>
        <v>306531.7</v>
      </c>
      <c r="L72" s="20" cm="1">
        <f t="array" ref="L72">IFERROR(
_xlfn.LET(
_xlpm.res,_xlfn.XLOOKUP(B72,'LOCALIZAÇÃO DE CARGA'!$A$2:$A$2000,'LOCALIZAÇÃO DE CARGA'!$G$2:$G$2000),
IF(_xlpm.res="","",_xlpm.res)
),
""
)</f>
        <v>46160.238194444442</v>
      </c>
      <c r="M72" s="20" cm="1">
        <f t="array" ref="M72">IFERROR(
_xlfn.LET(
_xlpm.load,_xlfn.XLOOKUP(B72,'LOCALIZAÇÃO DE CARGA'!$A$2:$A$2000,'LOCALIZAÇÃO DE CARGA'!$A$2:$A$2000),
_xlpm.res,_xlfn.XLOOKUP(_xlpm.load,DOCUMENTOS!$A$2:$A$2000,DOCUMENTOS!$D$2:$D$2000),
IF(_xlpm.res="","",_xlpm.res)
),
""
)</f>
        <v>46157.583333333336</v>
      </c>
      <c r="N72" s="6">
        <f>IFERROR(IF(M72="","",M72-TIME(1,0,0)),"")</f>
        <v>46157.541666666672</v>
      </c>
      <c r="O72" s="6" cm="1">
        <f t="array" ref="O72">IFERROR(
_xlfn.LET(
_xlpm.res,_xlfn.XLOOKUP(B72,'LOCALIZAÇÃO DE CARGA'!$A$2:$A$2000,'LOCALIZAÇÃO DE CARGA'!$S$2:$S$2000),
IF(_xlpm.res="","",_xlpm.res)
),
""
)</f>
        <v>46161.291666666664</v>
      </c>
      <c r="P72" s="6" cm="1">
        <f t="array" ref="P72">IFERROR(
_xlfn.LET(
_xlpm.res,_xlfn.XLOOKUP(B72,'LOCALIZAÇÃO DE CARGA'!$A$2:$A$702,'LOCALIZAÇÃO DE CARGA'!$T$2:$T$702),
IF(_xlpm.res="","",_xlpm.res)
),
""
)</f>
        <v>46158.631249999999</v>
      </c>
      <c r="Q72" s="5" t="str">
        <f>IFERROR(
IF(
_xlfn.XLOOKUP(
B72,
'LOCALIZAÇÃO DE CARGA'!$A$2:$A$702,
'LOCALIZAÇÃO DE CARGA'!$K$2:$K$702
)="",
"",
_xlfn.XLOOKUP(
B72,
'LOCALIZAÇÃO DE CARGA'!$A$2:$A$702,
'LOCALIZAÇÃO DE CARGA'!$K$2:$K$702
)
),
""
)</f>
        <v>INGRAM MICRO BRASIL LTDA - 29175706</v>
      </c>
      <c r="R72" s="5" t="str">
        <f t="shared" si="5"/>
        <v>INGRAM MICRO BRASIL LTDA</v>
      </c>
      <c r="S72" s="5" t="str" cm="1">
        <f t="array" ref="S72">IF(B72="","",IFERROR(
INDEX(
'VISÃO LOGISTICA'!$L$2:$L$525,
MATCH(
TRUE,
ISNUMBER(FIND(B72,'VISÃO LOGISTICA'!$A$2:$A$525)),
0
)
),
""
))</f>
        <v>RODOVIA RJ 168, CONCEICAO DE MACABU/RJ/BRASIL (10,78 Km)</v>
      </c>
      <c r="T72" s="5" t="str">
        <f>IFERROR(
_xlfn.LET(
_xlpm.res,_xlfn.XLOOKUP(B72,'LOCALIZAÇÃO DE CARGA'!$A$2:$A$702,'LOCALIZAÇÃO DE CARGA'!$R$2:$R$702),
IF(_xlpm.res="","",_xlpm.res)
),
""
)</f>
        <v>SERRA/ES/BRASIL</v>
      </c>
    </row>
    <row r="73" spans="1:20">
      <c r="A73" s="14">
        <f t="shared" si="3"/>
        <v>46157</v>
      </c>
      <c r="B73" s="5">
        <v>6022174</v>
      </c>
      <c r="C73" s="45" t="str">
        <f t="shared" ca="1" si="4"/>
        <v>EM VIAGEM</v>
      </c>
      <c r="D73" s="28"/>
      <c r="E73" s="28" t="str">
        <f>IFERROR(
IF(
_xlfn.XLOOKUP(
B73,
'LOCALIZAÇÃO DE CARGA'!$A$2:$A$702,
'LOCALIZAÇÃO DE CARGA'!$D$2:$D$702
)="",
"",
_xlfn.XLOOKUP(
B73,
'LOCALIZAÇÃO DE CARGA'!$A$2:$A$702,
'LOCALIZAÇÃO DE CARGA'!$D$2:$D$702
)
),
""
)</f>
        <v/>
      </c>
      <c r="F73" s="13" t="str">
        <f>IFERROR(
IF(
_xlfn.XLOOKUP(
B73,
'LOCALIZAÇÃO DE CARGA'!$A$2:$A$702,
'LOCALIZAÇÃO DE CARGA'!$H$2:$H$702
)="",
"",
_xlfn.XLOOKUP(
B73,
'LOCALIZAÇÃO DE CARGA'!$A$2:$A$702,
'LOCALIZAÇÃO DE CARGA'!$H$2:$H$702
)
),
""
)</f>
        <v>TR RAMTHUN</v>
      </c>
      <c r="G73" s="5" t="str">
        <f>IFERROR(
IF(
_xlfn.XLOOKUP(
B73,
'LOCALIZAÇÃO DE CARGA'!$A$2:$A$702,
'LOCALIZAÇÃO DE CARGA'!$I$2:$I$702
)="",
"",
_xlfn.XLOOKUP(
B73,
'LOCALIZAÇÃO DE CARGA'!$A$2:$A$702,
'LOCALIZAÇÃO DE CARGA'!$I$2:$I$702
)
),
""
)</f>
        <v>LGSCT</v>
      </c>
      <c r="H73" s="5" t="str">
        <f>IFERROR(
IF(
_xlfn.XLOOKUP(
B73,
'LOCALIZAÇÃO DE CARGA'!$A$2:$A$702,
'LOCALIZAÇÃO DE CARGA'!$F$2:$F$702
)="",
"",
_xlfn.XLOOKUP(
B73,
'LOCALIZAÇÃO DE CARGA'!$A$2:$A$702,
'LOCALIZAÇÃO DE CARGA'!$F$2:$F$702
)
),
""
)</f>
        <v>Andamento</v>
      </c>
      <c r="I73" s="13" t="str" cm="1">
        <f t="array" ref="I73">IFERROR(
IF(
INDEX(
'VISÃO LOGISTICA'!$C$2:$C$525,
MATCH(
TRUE,
ISNUMBER(FIND(B73,'VISÃO LOGISTICA'!$A$2:$A$525)),
0
)
)="Em espera",
"",
INDEX(
'VISÃO LOGISTICA'!$C$2:$C$525,
MATCH(
TRUE,
ISNUMBER(FIND(B73,'VISÃO LOGISTICA'!$A$2:$A$525)),
0
)
)
),
""
)</f>
        <v>Em Viagem</v>
      </c>
      <c r="J73" s="5" t="str" cm="1">
        <f t="array" ref="J73">IFERROR(
IF(
OR(
INDEX(
'VISÃO LOGISTICA'!$C$2:$C$2000,
MATCH(
TRUE,
ISNUMBER(FIND(B73,'VISÃO LOGISTICA'!$A$2:$A$2000)),
0
)
)="Em espera",
INDEX(
'VISÃO LOGISTICA'!$C$2:$C$2000,
MATCH(
TRUE,
ISNUMBER(FIND(B73,'VISÃO LOGISTICA'!$A$2:$A$2000)),
0
)
)=""
),
"",
INDEX(
'VISÃO LOGISTICA'!$D$2:$D$2000,
MATCH(
TRUE,
ISNUMBER(FIND(B73,'VISÃO LOGISTICA'!$A$2:$A$2000)),
0
)
)
),
""
)</f>
        <v>MMK3F39</v>
      </c>
      <c r="K73" s="10">
        <f>IFERROR(
IF(
_xlfn.XLOOKUP(
B73,
'LOCALIZAÇÃO DE CARGA'!$A$2:$A$702,
'LOCALIZAÇÃO DE CARGA'!$E$2:$E$702)="",
"",
_xlfn.XLOOKUP(
B73,
'LOCALIZAÇÃO DE CARGA'!$A$2:$A$702,
'LOCALIZAÇÃO DE CARGA'!$E$2:$E$702)
),
""
)</f>
        <v>304010.18</v>
      </c>
      <c r="L73" s="20" cm="1">
        <f t="array" ref="L73">IFERROR(
_xlfn.LET(
_xlpm.res,_xlfn.XLOOKUP(B73,'LOCALIZAÇÃO DE CARGA'!$A$2:$A$2000,'LOCALIZAÇÃO DE CARGA'!$G$2:$G$2000),
IF(_xlpm.res="","",_xlpm.res)
),
""
)</f>
        <v>46159.395833333336</v>
      </c>
      <c r="M73" s="20" cm="1">
        <f t="array" ref="M73">IFERROR(
_xlfn.LET(
_xlpm.load,_xlfn.XLOOKUP(B73,'LOCALIZAÇÃO DE CARGA'!$A$2:$A$2000,'LOCALIZAÇÃO DE CARGA'!$A$2:$A$2000),
_xlpm.res,_xlfn.XLOOKUP(_xlpm.load,DOCUMENTOS!$A$2:$A$2000,DOCUMENTOS!$D$2:$D$2000),
IF(_xlpm.res="","",_xlpm.res)
),
""
)</f>
        <v>46157.770833333336</v>
      </c>
      <c r="N73" s="6">
        <f>IFERROR(IF(M73="","",M73-TIME(1,0,0)),"")</f>
        <v>46157.729166666672</v>
      </c>
      <c r="O73" s="6" cm="1">
        <f t="array" ref="O73">IFERROR(
_xlfn.LET(
_xlpm.res,_xlfn.XLOOKUP(B73,'LOCALIZAÇÃO DE CARGA'!$A$2:$A$2000,'LOCALIZAÇÃO DE CARGA'!$S$2:$S$2000),
IF(_xlpm.res="","",_xlpm.res)
),
""
)</f>
        <v>46159.958333333336</v>
      </c>
      <c r="P73" s="6" cm="1">
        <f t="array" ref="P73">IFERROR(
_xlfn.LET(
_xlpm.res,_xlfn.XLOOKUP(B73,'LOCALIZAÇÃO DE CARGA'!$A$2:$A$702,'LOCALIZAÇÃO DE CARGA'!$T$2:$T$702),
IF(_xlpm.res="","",_xlpm.res)
),
""
)</f>
        <v>46158.692361111112</v>
      </c>
      <c r="Q73" s="5" t="str">
        <f>IFERROR(
IF(
_xlfn.XLOOKUP(
B73,
'LOCALIZAÇÃO DE CARGA'!$A$2:$A$702,
'LOCALIZAÇÃO DE CARGA'!$K$2:$K$702
)="",
"",
_xlfn.XLOOKUP(
B73,
'LOCALIZAÇÃO DE CARGA'!$A$2:$A$702,
'LOCALIZAÇÃO DE CARGA'!$K$2:$K$702
)
),
""
)</f>
        <v>GRUPO CASAS BAHIA S.A(CD1500) - 09790400</v>
      </c>
      <c r="R73" s="5" t="str">
        <f t="shared" si="5"/>
        <v>GRUPO CASAS BAHIA S.A</v>
      </c>
      <c r="S73" s="5" t="str" cm="1">
        <f t="array" ref="S73">IF(B73="","",IFERROR(
INDEX(
'VISÃO LOGISTICA'!$L$2:$L$525,
MATCH(
TRUE,
ISNUMBER(FIND(B73,'VISÃO LOGISTICA'!$A$2:$A$525)),
0
)
),
""
))</f>
        <v>CAMINHO, CAMPINA GRANDE DO SUL/PR/BRASIL (24,45 Km)</v>
      </c>
      <c r="T73" s="5" t="str">
        <f>IFERROR(
_xlfn.LET(
_xlpm.res,_xlfn.XLOOKUP(B73,'LOCALIZAÇÃO DE CARGA'!$A$2:$A$702,'LOCALIZAÇÃO DE CARGA'!$R$2:$R$702),
IF(_xlpm.res="","",_xlpm.res)
),
""
)</f>
        <v>SAO BERNARDO DO CAMPO/SP/BRASIL</v>
      </c>
    </row>
    <row r="74" spans="1:20">
      <c r="A74" s="14">
        <f t="shared" si="3"/>
        <v>46157</v>
      </c>
      <c r="B74" s="5">
        <v>6013220</v>
      </c>
      <c r="C74" s="45" t="str">
        <f t="shared" ca="1" si="4"/>
        <v>EM VIAGEM</v>
      </c>
      <c r="D74" s="28"/>
      <c r="E74" s="28" t="str">
        <f>IFERROR(
IF(
_xlfn.XLOOKUP(
B74,
'LOCALIZAÇÃO DE CARGA'!$A$2:$A$702,
'LOCALIZAÇÃO DE CARGA'!$D$2:$D$702
)="",
"",
_xlfn.XLOOKUP(
B74,
'LOCALIZAÇÃO DE CARGA'!$A$2:$A$702,
'LOCALIZAÇÃO DE CARGA'!$D$2:$D$702
)
),
""
)</f>
        <v>Saida do WH</v>
      </c>
      <c r="F74" s="13" t="str">
        <f>IFERROR(
IF(
_xlfn.XLOOKUP(
B74,
'LOCALIZAÇÃO DE CARGA'!$A$2:$A$702,
'LOCALIZAÇÃO DE CARGA'!$H$2:$H$702
)="",
"",
_xlfn.XLOOKUP(
B74,
'LOCALIZAÇÃO DE CARGA'!$A$2:$A$702,
'LOCALIZAÇÃO DE CARGA'!$H$2:$H$702
)
),
""
)</f>
        <v>MWM TRANSPORTES</v>
      </c>
      <c r="G74" s="5" t="str">
        <f>IFERROR(
IF(
_xlfn.XLOOKUP(
B74,
'LOCALIZAÇÃO DE CARGA'!$A$2:$A$702,
'LOCALIZAÇÃO DE CARGA'!$I$2:$I$702
)="",
"",
_xlfn.XLOOKUP(
B74,
'LOCALIZAÇÃO DE CARGA'!$A$2:$A$702,
'LOCALIZAÇÃO DE CARGA'!$I$2:$I$702
)
),
""
)</f>
        <v>LGCAJ</v>
      </c>
      <c r="H74" s="5" t="str">
        <f>IFERROR(
IF(
_xlfn.XLOOKUP(
B74,
'LOCALIZAÇÃO DE CARGA'!$A$2:$A$702,
'LOCALIZAÇÃO DE CARGA'!$F$2:$F$702
)="",
"",
_xlfn.XLOOKUP(
B74,
'LOCALIZAÇÃO DE CARGA'!$A$2:$A$702,
'LOCALIZAÇÃO DE CARGA'!$F$2:$F$702
)
),
""
)</f>
        <v>Andamento</v>
      </c>
      <c r="I74" s="13" t="str" cm="1">
        <f t="array" ref="I74">IFERROR(
IF(
INDEX(
'VISÃO LOGISTICA'!$C$2:$C$525,
MATCH(
TRUE,
ISNUMBER(FIND(B74,'VISÃO LOGISTICA'!$A$2:$A$525)),
0
)
)="Em espera",
"",
INDEX(
'VISÃO LOGISTICA'!$C$2:$C$525,
MATCH(
TRUE,
ISNUMBER(FIND(B74,'VISÃO LOGISTICA'!$A$2:$A$525)),
0
)
)
),
""
)</f>
        <v>Em Viagem</v>
      </c>
      <c r="J74" s="5" t="str" cm="1">
        <f t="array" ref="J74">IFERROR(
IF(
OR(
INDEX(
'VISÃO LOGISTICA'!$C$2:$C$2000,
MATCH(
TRUE,
ISNUMBER(FIND(B74,'VISÃO LOGISTICA'!$A$2:$A$2000)),
0
)
)="Em espera",
INDEX(
'VISÃO LOGISTICA'!$C$2:$C$2000,
MATCH(
TRUE,
ISNUMBER(FIND(B74,'VISÃO LOGISTICA'!$A$2:$A$2000)),
0
)
)=""
),
"",
INDEX(
'VISÃO LOGISTICA'!$D$2:$D$2000,
MATCH(
TRUE,
ISNUMBER(FIND(B74,'VISÃO LOGISTICA'!$A$2:$A$2000)),
0
)
)
),
""
)</f>
        <v>TOF4J05</v>
      </c>
      <c r="K74" s="10">
        <f>IFERROR(
IF(
_xlfn.XLOOKUP(
B74,
'LOCALIZAÇÃO DE CARGA'!$A$2:$A$702,
'LOCALIZAÇÃO DE CARGA'!$E$2:$E$702)="",
"",
_xlfn.XLOOKUP(
B74,
'LOCALIZAÇÃO DE CARGA'!$A$2:$A$702,
'LOCALIZAÇÃO DE CARGA'!$E$2:$E$702)
),
""
)</f>
        <v>302073.21000000002</v>
      </c>
      <c r="L74" s="20" cm="1">
        <f t="array" ref="L74">IFERROR(
_xlfn.LET(
_xlpm.res,_xlfn.XLOOKUP(B74,'LOCALIZAÇÃO DE CARGA'!$A$2:$A$2000,'LOCALIZAÇÃO DE CARGA'!$G$2:$G$2000),
IF(_xlpm.res="","",_xlpm.res)
),
""
)</f>
        <v>46159.134722222225</v>
      </c>
      <c r="M74" s="20" cm="1">
        <f t="array" ref="M74">IFERROR(
_xlfn.LET(
_xlpm.load,_xlfn.XLOOKUP(B74,'LOCALIZAÇÃO DE CARGA'!$A$2:$A$2000,'LOCALIZAÇÃO DE CARGA'!$A$2:$A$2000),
_xlpm.res,_xlfn.XLOOKUP(_xlpm.load,DOCUMENTOS!$A$2:$A$2000,DOCUMENTOS!$D$2:$D$2000),
IF(_xlpm.res="","",_xlpm.res)
),
""
)</f>
        <v>46157.833333333336</v>
      </c>
      <c r="N74" s="6">
        <f>IFERROR(IF(M74="","",M74-TIME(1,0,0)),"")</f>
        <v>46157.791666666672</v>
      </c>
      <c r="O74" s="6" cm="1">
        <f t="array" ref="O74">IFERROR(
_xlfn.LET(
_xlpm.res,_xlfn.XLOOKUP(B74,'LOCALIZAÇÃO DE CARGA'!$A$2:$A$2000,'LOCALIZAÇÃO DE CARGA'!$S$2:$S$2000),
IF(_xlpm.res="","",_xlpm.res)
),
""
)</f>
        <v>46160.277777777781</v>
      </c>
      <c r="P74" s="6" cm="1">
        <f t="array" ref="P74">IFERROR(
_xlfn.LET(
_xlpm.res,_xlfn.XLOOKUP(B74,'LOCALIZAÇÃO DE CARGA'!$A$2:$A$702,'LOCALIZAÇÃO DE CARGA'!$T$2:$T$702),
IF(_xlpm.res="","",_xlpm.res)
),
""
)</f>
        <v>46158.953472222223</v>
      </c>
      <c r="Q74" s="5" t="str">
        <f>IFERROR(
IF(
_xlfn.XLOOKUP(
B74,
'LOCALIZAÇÃO DE CARGA'!$A$2:$A$702,
'LOCALIZAÇÃO DE CARGA'!$K$2:$K$702
)="",
"",
_xlfn.XLOOKUP(
B74,
'LOCALIZAÇÃO DE CARGA'!$A$2:$A$702,
'LOCALIZAÇÃO DE CARGA'!$K$2:$K$702
)
),
""
)</f>
        <v>REFRIGELO CLIMATIZAÇÃO DE AMBIENTES S.A - 29104491</v>
      </c>
      <c r="R74" s="5" t="str">
        <f t="shared" si="5"/>
        <v>REFRIGELO CLIMATIZAÇÃO DE AMBIENTES S.A</v>
      </c>
      <c r="S74" s="5" t="str" cm="1">
        <f t="array" ref="S74">IF(B74="","",IFERROR(
INDEX(
'VISÃO LOGISTICA'!$L$2:$L$525,
MATCH(
TRUE,
ISNUMBER(FIND(B74,'VISÃO LOGISTICA'!$A$2:$A$525)),
0
)
),
""
))</f>
        <v>PINDAMONHANGABA/SP/BRASIL</v>
      </c>
      <c r="T74" s="5" t="str">
        <f>IFERROR(
_xlfn.LET(
_xlpm.res,_xlfn.XLOOKUP(B74,'LOCALIZAÇÃO DE CARGA'!$A$2:$A$702,'LOCALIZAÇÃO DE CARGA'!$R$2:$R$702),
IF(_xlpm.res="","",_xlpm.res)
),
""
)</f>
        <v>VILA VELHA/ES/BRASIL</v>
      </c>
    </row>
    <row r="75" spans="1:20">
      <c r="A75" s="14">
        <f t="shared" si="3"/>
        <v>46160</v>
      </c>
      <c r="B75" s="5">
        <v>6022236</v>
      </c>
      <c r="C75" s="45" t="str">
        <f t="shared" ca="1" si="4"/>
        <v>OK - NO PRAZO</v>
      </c>
      <c r="D75" s="28"/>
      <c r="E75" s="28" t="str">
        <f>IFERROR(
IF(
_xlfn.XLOOKUP(
B75,
'LOCALIZAÇÃO DE CARGA'!$A$2:$A$702,
'LOCALIZAÇÃO DE CARGA'!$D$2:$D$702
)="",
"",
_xlfn.XLOOKUP(
B75,
'LOCALIZAÇÃO DE CARGA'!$A$2:$A$702,
'LOCALIZAÇÃO DE CARGA'!$D$2:$D$702
)
),
""
)</f>
        <v/>
      </c>
      <c r="F75" s="13" t="str">
        <f>IFERROR(
IF(
_xlfn.XLOOKUP(
B75,
'LOCALIZAÇÃO DE CARGA'!$A$2:$A$702,
'LOCALIZAÇÃO DE CARGA'!$H$2:$H$702
)="",
"",
_xlfn.XLOOKUP(
B75,
'LOCALIZAÇÃO DE CARGA'!$A$2:$A$702,
'LOCALIZAÇÃO DE CARGA'!$H$2:$H$702
)
),
""
)</f>
        <v>EALE LOG</v>
      </c>
      <c r="G75" s="5" t="str">
        <f>IFERROR(
IF(
_xlfn.XLOOKUP(
B75,
'LOCALIZAÇÃO DE CARGA'!$A$2:$A$702,
'LOCALIZAÇÃO DE CARGA'!$I$2:$I$702
)="",
"",
_xlfn.XLOOKUP(
B75,
'LOCALIZAÇÃO DE CARGA'!$A$2:$A$702,
'LOCALIZAÇÃO DE CARGA'!$I$2:$I$702
)
),
""
)</f>
        <v>LGCAJ</v>
      </c>
      <c r="H75" s="5" t="str">
        <f>IFERROR(
IF(
_xlfn.XLOOKUP(
B75,
'LOCALIZAÇÃO DE CARGA'!$A$2:$A$702,
'LOCALIZAÇÃO DE CARGA'!$F$2:$F$702
)="",
"",
_xlfn.XLOOKUP(
B75,
'LOCALIZAÇÃO DE CARGA'!$A$2:$A$702,
'LOCALIZAÇÃO DE CARGA'!$F$2:$F$702
)
),
""
)</f>
        <v>Não iniciado</v>
      </c>
      <c r="I75" s="13" t="str" cm="1">
        <f t="array" ref="I75">IFERROR(
IF(
INDEX(
'VISÃO LOGISTICA'!$C$2:$C$525,
MATCH(
TRUE,
ISNUMBER(FIND(B75,'VISÃO LOGISTICA'!$A$2:$A$525)),
0
)
)="Em espera",
"",
INDEX(
'VISÃO LOGISTICA'!$C$2:$C$525,
MATCH(
TRUE,
ISNUMBER(FIND(B75,'VISÃO LOGISTICA'!$A$2:$A$525)),
0
)
)
),
""
)</f>
        <v/>
      </c>
      <c r="J75" s="5" t="str" cm="1">
        <f t="array" ref="J75">IFERROR(
IF(
OR(
INDEX(
'VISÃO LOGISTICA'!$C$2:$C$2000,
MATCH(
TRUE,
ISNUMBER(FIND(B75,'VISÃO LOGISTICA'!$A$2:$A$2000)),
0
)
)="Em espera",
INDEX(
'VISÃO LOGISTICA'!$C$2:$C$2000,
MATCH(
TRUE,
ISNUMBER(FIND(B75,'VISÃO LOGISTICA'!$A$2:$A$2000)),
0
)
)=""
),
"",
INDEX(
'VISÃO LOGISTICA'!$D$2:$D$2000,
MATCH(
TRUE,
ISNUMBER(FIND(B75,'VISÃO LOGISTICA'!$A$2:$A$2000)),
0
)
)
),
""
)</f>
        <v/>
      </c>
      <c r="K75" s="10">
        <f>IFERROR(
IF(
_xlfn.XLOOKUP(
B75,
'LOCALIZAÇÃO DE CARGA'!$A$2:$A$702,
'LOCALIZAÇÃO DE CARGA'!$E$2:$E$702)="",
"",
_xlfn.XLOOKUP(
B75,
'LOCALIZAÇÃO DE CARGA'!$A$2:$A$702,
'LOCALIZAÇÃO DE CARGA'!$E$2:$E$702)
),
""
)</f>
        <v>295053</v>
      </c>
      <c r="L75" s="20" cm="1">
        <f t="array" ref="L75">IFERROR(
_xlfn.LET(
_xlpm.res,_xlfn.XLOOKUP(B75,'LOCALIZAÇÃO DE CARGA'!$A$2:$A$2000,'LOCALIZAÇÃO DE CARGA'!$G$2:$G$2000),
IF(_xlpm.res="","",_xlpm.res)
),
""
)</f>
        <v>46167.916666666664</v>
      </c>
      <c r="M75" s="20" cm="1">
        <f t="array" ref="M75">IFERROR(
_xlfn.LET(
_xlpm.load,_xlfn.XLOOKUP(B75,'LOCALIZAÇÃO DE CARGA'!$A$2:$A$2000,'LOCALIZAÇÃO DE CARGA'!$A$2:$A$2000),
_xlpm.res,_xlfn.XLOOKUP(_xlpm.load,DOCUMENTOS!$A$2:$A$2000,DOCUMENTOS!$D$2:$D$2000),
IF(_xlpm.res="","",_xlpm.res)
),
""
)</f>
        <v>46160.375</v>
      </c>
      <c r="N75" s="6">
        <f>IFERROR(IF(M75="","",M75-TIME(1,0,0)),"")</f>
        <v>46160.333333333336</v>
      </c>
      <c r="O75" s="6" cm="1">
        <f t="array" ref="O75">IFERROR(
_xlfn.LET(
_xlpm.res,_xlfn.XLOOKUP(B75,'LOCALIZAÇÃO DE CARGA'!$A$2:$A$2000,'LOCALIZAÇÃO DE CARGA'!$S$2:$S$2000),
IF(_xlpm.res="","",_xlpm.res)
),
""
)</f>
        <v>46170.291666666664</v>
      </c>
      <c r="P75" s="6" t="str" cm="1">
        <f t="array" ref="P75">IFERROR(
_xlfn.LET(
_xlpm.res,_xlfn.XLOOKUP(B75,'LOCALIZAÇÃO DE CARGA'!$A$2:$A$702,'LOCALIZAÇÃO DE CARGA'!$T$2:$T$702),
IF(_xlpm.res="","",_xlpm.res)
),
""
)</f>
        <v/>
      </c>
      <c r="Q75" s="5" t="str">
        <f>IFERROR(
IF(
_xlfn.XLOOKUP(
B75,
'LOCALIZAÇÃO DE CARGA'!$A$2:$A$702,
'LOCALIZAÇÃO DE CARGA'!$K$2:$K$702
)="",
"",
_xlfn.XLOOKUP(
B75,
'LOCALIZAÇÃO DE CARGA'!$A$2:$A$702,
'LOCALIZAÇÃO DE CARGA'!$K$2:$K$702
)
),
""
)</f>
        <v>LOJAS BECKER LTDA - 97900000</v>
      </c>
      <c r="R75" s="5" t="str">
        <f t="shared" si="5"/>
        <v>LOJAS BECKER LTDA</v>
      </c>
      <c r="S75" s="5" t="str" cm="1">
        <f t="array" ref="S75">IF(B75="","",IFERROR(
INDEX(
'VISÃO LOGISTICA'!$L$2:$L$525,
MATCH(
TRUE,
ISNUMBER(FIND(B75,'VISÃO LOGISTICA'!$A$2:$A$525)),
0
)
),
""
))</f>
        <v/>
      </c>
      <c r="T75" s="5" t="str">
        <f>IFERROR(
_xlfn.LET(
_xlpm.res,_xlfn.XLOOKUP(B75,'LOCALIZAÇÃO DE CARGA'!$A$2:$A$702,'LOCALIZAÇÃO DE CARGA'!$R$2:$R$702),
IF(_xlpm.res="","",_xlpm.res)
),
""
)</f>
        <v>CERRO LARGO/RS/BRASIL</v>
      </c>
    </row>
    <row r="76" spans="1:20">
      <c r="A76" s="14">
        <f t="shared" si="3"/>
        <v>46157</v>
      </c>
      <c r="B76" s="5">
        <v>6022041</v>
      </c>
      <c r="C76" s="45" t="str">
        <f t="shared" ca="1" si="4"/>
        <v>EM VIAGEM</v>
      </c>
      <c r="D76" s="28"/>
      <c r="E76" s="28" t="str">
        <f>IFERROR(
IF(
_xlfn.XLOOKUP(
B76,
'LOCALIZAÇÃO DE CARGA'!$A$2:$A$702,
'LOCALIZAÇÃO DE CARGA'!$D$2:$D$702
)="",
"",
_xlfn.XLOOKUP(
B76,
'LOCALIZAÇÃO DE CARGA'!$A$2:$A$702,
'LOCALIZAÇÃO DE CARGA'!$D$2:$D$702
)
),
""
)</f>
        <v>Saida do WH</v>
      </c>
      <c r="F76" s="13" t="str">
        <f>IFERROR(
IF(
_xlfn.XLOOKUP(
B76,
'LOCALIZAÇÃO DE CARGA'!$A$2:$A$702,
'LOCALIZAÇÃO DE CARGA'!$H$2:$H$702
)="",
"",
_xlfn.XLOOKUP(
B76,
'LOCALIZAÇÃO DE CARGA'!$A$2:$A$702,
'LOCALIZAÇÃO DE CARGA'!$H$2:$H$702
)
),
""
)</f>
        <v>TRANSKING</v>
      </c>
      <c r="G76" s="5" t="str">
        <f>IFERROR(
IF(
_xlfn.XLOOKUP(
B76,
'LOCALIZAÇÃO DE CARGA'!$A$2:$A$702,
'LOCALIZAÇÃO DE CARGA'!$I$2:$I$702
)="",
"",
_xlfn.XLOOKUP(
B76,
'LOCALIZAÇÃO DE CARGA'!$A$2:$A$702,
'LOCALIZAÇÃO DE CARGA'!$I$2:$I$702
)
),
""
)</f>
        <v>LGCAJ</v>
      </c>
      <c r="H76" s="5" t="str">
        <f>IFERROR(
IF(
_xlfn.XLOOKUP(
B76,
'LOCALIZAÇÃO DE CARGA'!$A$2:$A$702,
'LOCALIZAÇÃO DE CARGA'!$F$2:$F$702
)="",
"",
_xlfn.XLOOKUP(
B76,
'LOCALIZAÇÃO DE CARGA'!$A$2:$A$702,
'LOCALIZAÇÃO DE CARGA'!$F$2:$F$702
)
),
""
)</f>
        <v>Andamento</v>
      </c>
      <c r="I76" s="13" t="str" cm="1">
        <f t="array" ref="I76">IFERROR(
IF(
INDEX(
'VISÃO LOGISTICA'!$C$2:$C$525,
MATCH(
TRUE,
ISNUMBER(FIND(B76,'VISÃO LOGISTICA'!$A$2:$A$525)),
0
)
)="Em espera",
"",
INDEX(
'VISÃO LOGISTICA'!$C$2:$C$525,
MATCH(
TRUE,
ISNUMBER(FIND(B76,'VISÃO LOGISTICA'!$A$2:$A$525)),
0
)
)
),
""
)</f>
        <v>Em Viagem</v>
      </c>
      <c r="J76" s="5" t="str" cm="1">
        <f t="array" ref="J76">IFERROR(
IF(
OR(
INDEX(
'VISÃO LOGISTICA'!$C$2:$C$2000,
MATCH(
TRUE,
ISNUMBER(FIND(B76,'VISÃO LOGISTICA'!$A$2:$A$2000)),
0
)
)="Em espera",
INDEX(
'VISÃO LOGISTICA'!$C$2:$C$2000,
MATCH(
TRUE,
ISNUMBER(FIND(B76,'VISÃO LOGISTICA'!$A$2:$A$2000)),
0
)
)=""
),
"",
INDEX(
'VISÃO LOGISTICA'!$D$2:$D$2000,
MATCH(
TRUE,
ISNUMBER(FIND(B76,'VISÃO LOGISTICA'!$A$2:$A$2000)),
0
)
)
),
""
)</f>
        <v>DBM8435</v>
      </c>
      <c r="K76" s="10">
        <f>IFERROR(
IF(
_xlfn.XLOOKUP(
B76,
'LOCALIZAÇÃO DE CARGA'!$A$2:$A$702,
'LOCALIZAÇÃO DE CARGA'!$E$2:$E$702)="",
"",
_xlfn.XLOOKUP(
B76,
'LOCALIZAÇÃO DE CARGA'!$A$2:$A$702,
'LOCALIZAÇÃO DE CARGA'!$E$2:$E$702)
),
""
)</f>
        <v>293383.8</v>
      </c>
      <c r="L76" s="20" cm="1">
        <f t="array" ref="L76">IFERROR(
_xlfn.LET(
_xlpm.res,_xlfn.XLOOKUP(B76,'LOCALIZAÇÃO DE CARGA'!$A$2:$A$2000,'LOCALIZAÇÃO DE CARGA'!$G$2:$G$2000),
IF(_xlpm.res="","",_xlpm.res)
),
""
)</f>
        <v>46159.871527777781</v>
      </c>
      <c r="M76" s="20" cm="1">
        <f t="array" ref="M76">IFERROR(
_xlfn.LET(
_xlpm.load,_xlfn.XLOOKUP(B76,'LOCALIZAÇÃO DE CARGA'!$A$2:$A$2000,'LOCALIZAÇÃO DE CARGA'!$A$2:$A$2000),
_xlpm.res,_xlfn.XLOOKUP(_xlpm.load,DOCUMENTOS!$A$2:$A$2000,DOCUMENTOS!$D$2:$D$2000),
IF(_xlpm.res="","",_xlpm.res)
),
""
)</f>
        <v>46157.708333333336</v>
      </c>
      <c r="N76" s="6">
        <f>IFERROR(IF(M76="","",M76-TIME(1,0,0)),"")</f>
        <v>46157.666666666672</v>
      </c>
      <c r="O76" s="6" cm="1">
        <f t="array" ref="O76">IFERROR(
_xlfn.LET(
_xlpm.res,_xlfn.XLOOKUP(B76,'LOCALIZAÇÃO DE CARGA'!$A$2:$A$2000,'LOCALIZAÇÃO DE CARGA'!$S$2:$S$2000),
IF(_xlpm.res="","",_xlpm.res)
),
""
)</f>
        <v>46160.25</v>
      </c>
      <c r="P76" s="6" cm="1">
        <f t="array" ref="P76">IFERROR(
_xlfn.LET(
_xlpm.res,_xlfn.XLOOKUP(B76,'LOCALIZAÇÃO DE CARGA'!$A$2:$A$702,'LOCALIZAÇÃO DE CARGA'!$T$2:$T$702),
IF(_xlpm.res="","",_xlpm.res)
),
""
)</f>
        <v>46158.577777777777</v>
      </c>
      <c r="Q76" s="5" t="str">
        <f>IFERROR(
IF(
_xlfn.XLOOKUP(
B76,
'LOCALIZAÇÃO DE CARGA'!$A$2:$A$702,
'LOCALIZAÇÃO DE CARGA'!$K$2:$K$702
)="",
"",
_xlfn.XLOOKUP(
B76,
'LOCALIZAÇÃO DE CARGA'!$A$2:$A$702,
'LOCALIZAÇÃO DE CARGA'!$K$2:$K$702
)
),
""
)</f>
        <v>GRUPO CASAS BAHIA S.A(CD1401) - 25255030</v>
      </c>
      <c r="R76" s="5" t="str">
        <f t="shared" si="5"/>
        <v>GRUPO CASAS BAHIA S.A</v>
      </c>
      <c r="S76" s="5" t="str" cm="1">
        <f t="array" ref="S76">IF(B76="","",IFERROR(
INDEX(
'VISÃO LOGISTICA'!$L$2:$L$525,
MATCH(
TRUE,
ISNUMBER(FIND(B76,'VISÃO LOGISTICA'!$A$2:$A$525)),
0
)
),
""
))</f>
        <v>ITATIAIA/RJ/BRASIL</v>
      </c>
      <c r="T76" s="5" t="str">
        <f>IFERROR(
_xlfn.LET(
_xlpm.res,_xlfn.XLOOKUP(B76,'LOCALIZAÇÃO DE CARGA'!$A$2:$A$702,'LOCALIZAÇÃO DE CARGA'!$R$2:$R$702),
IF(_xlpm.res="","",_xlpm.res)
),
""
)</f>
        <v>DUQUE DE CAXIAS/RJ/BRASIL</v>
      </c>
    </row>
    <row r="77" spans="1:20">
      <c r="A77" s="14">
        <f t="shared" si="3"/>
        <v>46157</v>
      </c>
      <c r="B77" s="5">
        <v>6010993</v>
      </c>
      <c r="C77" s="45" t="str">
        <f t="shared" ca="1" si="4"/>
        <v>ATRASADO CARREGAMENTO - SEM SMP</v>
      </c>
      <c r="D77" s="28"/>
      <c r="E77" s="28" t="str">
        <f>IFERROR(
IF(
_xlfn.XLOOKUP(
B77,
'LOCALIZAÇÃO DE CARGA'!$A$2:$A$702,
'LOCALIZAÇÃO DE CARGA'!$D$2:$D$702
)="",
"",
_xlfn.XLOOKUP(
B77,
'LOCALIZAÇÃO DE CARGA'!$A$2:$A$702,
'LOCALIZAÇÃO DE CARGA'!$D$2:$D$702
)
),
""
)</f>
        <v/>
      </c>
      <c r="F77" s="13" t="str">
        <f>IFERROR(
IF(
_xlfn.XLOOKUP(
B77,
'LOCALIZAÇÃO DE CARGA'!$A$2:$A$702,
'LOCALIZAÇÃO DE CARGA'!$H$2:$H$702
)="",
"",
_xlfn.XLOOKUP(
B77,
'LOCALIZAÇÃO DE CARGA'!$A$2:$A$702,
'LOCALIZAÇÃO DE CARGA'!$H$2:$H$702
)
),
""
)</f>
        <v>TRANSKING</v>
      </c>
      <c r="G77" s="5" t="str">
        <f>IFERROR(
IF(
_xlfn.XLOOKUP(
B77,
'LOCALIZAÇÃO DE CARGA'!$A$2:$A$702,
'LOCALIZAÇÃO DE CARGA'!$I$2:$I$702
)="",
"",
_xlfn.XLOOKUP(
B77,
'LOCALIZAÇÃO DE CARGA'!$A$2:$A$702,
'LOCALIZAÇÃO DE CARGA'!$I$2:$I$702
)
),
""
)</f>
        <v>LGSCT</v>
      </c>
      <c r="H77" s="5" t="str">
        <f>IFERROR(
IF(
_xlfn.XLOOKUP(
B77,
'LOCALIZAÇÃO DE CARGA'!$A$2:$A$702,
'LOCALIZAÇÃO DE CARGA'!$F$2:$F$702
)="",
"",
_xlfn.XLOOKUP(
B77,
'LOCALIZAÇÃO DE CARGA'!$A$2:$A$702,
'LOCALIZAÇÃO DE CARGA'!$F$2:$F$702
)
),
""
)</f>
        <v>Não iniciado</v>
      </c>
      <c r="I77" s="13" t="str" cm="1">
        <f t="array" ref="I77">IFERROR(
IF(
INDEX(
'VISÃO LOGISTICA'!$C$2:$C$525,
MATCH(
TRUE,
ISNUMBER(FIND(B77,'VISÃO LOGISTICA'!$A$2:$A$525)),
0
)
)="Em espera",
"",
INDEX(
'VISÃO LOGISTICA'!$C$2:$C$525,
MATCH(
TRUE,
ISNUMBER(FIND(B77,'VISÃO LOGISTICA'!$A$2:$A$525)),
0
)
)
),
""
)</f>
        <v/>
      </c>
      <c r="J77" s="5" t="str" cm="1">
        <f t="array" ref="J77">IFERROR(
IF(
OR(
INDEX(
'VISÃO LOGISTICA'!$C$2:$C$2000,
MATCH(
TRUE,
ISNUMBER(FIND(B77,'VISÃO LOGISTICA'!$A$2:$A$2000)),
0
)
)="Em espera",
INDEX(
'VISÃO LOGISTICA'!$C$2:$C$2000,
MATCH(
TRUE,
ISNUMBER(FIND(B77,'VISÃO LOGISTICA'!$A$2:$A$2000)),
0
)
)=""
),
"",
INDEX(
'VISÃO LOGISTICA'!$D$2:$D$2000,
MATCH(
TRUE,
ISNUMBER(FIND(B77,'VISÃO LOGISTICA'!$A$2:$A$2000)),
0
)
)
),
""
)</f>
        <v/>
      </c>
      <c r="K77" s="10">
        <f>IFERROR(
IF(
_xlfn.XLOOKUP(
B77,
'LOCALIZAÇÃO DE CARGA'!$A$2:$A$702,
'LOCALIZAÇÃO DE CARGA'!$E$2:$E$702)="",
"",
_xlfn.XLOOKUP(
B77,
'LOCALIZAÇÃO DE CARGA'!$A$2:$A$702,
'LOCALIZAÇÃO DE CARGA'!$E$2:$E$702)
),
""
)</f>
        <v>291303</v>
      </c>
      <c r="L77" s="20" cm="1">
        <f t="array" ref="L77">IFERROR(
_xlfn.LET(
_xlpm.res,_xlfn.XLOOKUP(B77,'LOCALIZAÇÃO DE CARGA'!$A$2:$A$2000,'LOCALIZAÇÃO DE CARGA'!$G$2:$G$2000),
IF(_xlpm.res="","",_xlpm.res)
),
""
)</f>
        <v>46160.286805555559</v>
      </c>
      <c r="M77" s="20" cm="1">
        <f t="array" ref="M77">IFERROR(
_xlfn.LET(
_xlpm.load,_xlfn.XLOOKUP(B77,'LOCALIZAÇÃO DE CARGA'!$A$2:$A$2000,'LOCALIZAÇÃO DE CARGA'!$A$2:$A$2000),
_xlpm.res,_xlfn.XLOOKUP(_xlpm.load,DOCUMENTOS!$A$2:$A$2000,DOCUMENTOS!$D$2:$D$2000),
IF(_xlpm.res="","",_xlpm.res)
),
""
)</f>
        <v>46157.666666666664</v>
      </c>
      <c r="N77" s="6">
        <f>IFERROR(IF(M77="","",M77-TIME(1,0,0)),"")</f>
        <v>46157.625</v>
      </c>
      <c r="O77" s="6" cm="1">
        <f t="array" ref="O77">IFERROR(
_xlfn.LET(
_xlpm.res,_xlfn.XLOOKUP(B77,'LOCALIZAÇÃO DE CARGA'!$A$2:$A$2000,'LOCALIZAÇÃO DE CARGA'!$S$2:$S$2000),
IF(_xlpm.res="","",_xlpm.res)
),
""
)</f>
        <v>46162.291666666664</v>
      </c>
      <c r="P77" s="6" t="str" cm="1">
        <f t="array" ref="P77">IFERROR(
_xlfn.LET(
_xlpm.res,_xlfn.XLOOKUP(B77,'LOCALIZAÇÃO DE CARGA'!$A$2:$A$702,'LOCALIZAÇÃO DE CARGA'!$T$2:$T$702),
IF(_xlpm.res="","",_xlpm.res)
),
""
)</f>
        <v/>
      </c>
      <c r="Q77" s="5" t="str">
        <f>IFERROR(
IF(
_xlfn.XLOOKUP(
B77,
'LOCALIZAÇÃO DE CARGA'!$A$2:$A$702,
'LOCALIZAÇÃO DE CARGA'!$K$2:$K$702
)="",
"",
_xlfn.XLOOKUP(
B77,
'LOCALIZAÇÃO DE CARGA'!$A$2:$A$702,
'LOCALIZAÇÃO DE CARGA'!$K$2:$K$702
)
),
""
)</f>
        <v>CARREFOUR- DF - 72501100</v>
      </c>
      <c r="R77" s="5" t="str">
        <f t="shared" si="5"/>
        <v>CARREFOUR- DF</v>
      </c>
      <c r="S77" s="5" t="str" cm="1">
        <f t="array" ref="S77">IF(B77="","",IFERROR(
INDEX(
'VISÃO LOGISTICA'!$L$2:$L$525,
MATCH(
TRUE,
ISNUMBER(FIND(B77,'VISÃO LOGISTICA'!$A$2:$A$525)),
0
)
),
""
))</f>
        <v/>
      </c>
      <c r="T77" s="5" t="str">
        <f>IFERROR(
_xlfn.LET(
_xlpm.res,_xlfn.XLOOKUP(B77,'LOCALIZAÇÃO DE CARGA'!$A$2:$A$702,'LOCALIZAÇÃO DE CARGA'!$R$2:$R$702),
IF(_xlpm.res="","",_xlpm.res)
),
""
)</f>
        <v>BRASILIA/DF/BRASIL</v>
      </c>
    </row>
    <row r="78" spans="1:20">
      <c r="A78" s="14">
        <f t="shared" si="3"/>
        <v>46157</v>
      </c>
      <c r="B78" s="5">
        <v>6022205</v>
      </c>
      <c r="C78" s="45" t="str">
        <f t="shared" ca="1" si="4"/>
        <v>ATRASADO ENTREGA - SEM SMP</v>
      </c>
      <c r="D78" s="28"/>
      <c r="E78" s="28" t="str">
        <f>IFERROR(
IF(
_xlfn.XLOOKUP(
B78,
'LOCALIZAÇÃO DE CARGA'!$A$2:$A$702,
'LOCALIZAÇÃO DE CARGA'!$D$2:$D$702
)="",
"",
_xlfn.XLOOKUP(
B78,
'LOCALIZAÇÃO DE CARGA'!$A$2:$A$702,
'LOCALIZAÇÃO DE CARGA'!$D$2:$D$702
)
),
""
)</f>
        <v/>
      </c>
      <c r="F78" s="13" t="str">
        <f>IFERROR(
IF(
_xlfn.XLOOKUP(
B78,
'LOCALIZAÇÃO DE CARGA'!$A$2:$A$702,
'LOCALIZAÇÃO DE CARGA'!$H$2:$H$702
)="",
"",
_xlfn.XLOOKUP(
B78,
'LOCALIZAÇÃO DE CARGA'!$A$2:$A$702,
'LOCALIZAÇÃO DE CARGA'!$H$2:$H$702
)
),
""
)</f>
        <v>BENDINI LOGI</v>
      </c>
      <c r="G78" s="5" t="str">
        <f>IFERROR(
IF(
_xlfn.XLOOKUP(
B78,
'LOCALIZAÇÃO DE CARGA'!$A$2:$A$702,
'LOCALIZAÇÃO DE CARGA'!$I$2:$I$702
)="",
"",
_xlfn.XLOOKUP(
B78,
'LOCALIZAÇÃO DE CARGA'!$A$2:$A$702,
'LOCALIZAÇÃO DE CARGA'!$I$2:$I$702
)
),
""
)</f>
        <v>LGSCT</v>
      </c>
      <c r="H78" s="5" t="str">
        <f>IFERROR(
IF(
_xlfn.XLOOKUP(
B78,
'LOCALIZAÇÃO DE CARGA'!$A$2:$A$702,
'LOCALIZAÇÃO DE CARGA'!$F$2:$F$702
)="",
"",
_xlfn.XLOOKUP(
B78,
'LOCALIZAÇÃO DE CARGA'!$A$2:$A$702,
'LOCALIZAÇÃO DE CARGA'!$F$2:$F$702
)
),
""
)</f>
        <v>Não iniciado</v>
      </c>
      <c r="I78" s="13" t="str" cm="1">
        <f t="array" ref="I78">IFERROR(
IF(
INDEX(
'VISÃO LOGISTICA'!$C$2:$C$525,
MATCH(
TRUE,
ISNUMBER(FIND(B78,'VISÃO LOGISTICA'!$A$2:$A$525)),
0
)
)="Em espera",
"",
INDEX(
'VISÃO LOGISTICA'!$C$2:$C$525,
MATCH(
TRUE,
ISNUMBER(FIND(B78,'VISÃO LOGISTICA'!$A$2:$A$525)),
0
)
)
),
""
)</f>
        <v/>
      </c>
      <c r="J78" s="5" t="str" cm="1">
        <f t="array" ref="J78">IFERROR(
IF(
OR(
INDEX(
'VISÃO LOGISTICA'!$C$2:$C$2000,
MATCH(
TRUE,
ISNUMBER(FIND(B78,'VISÃO LOGISTICA'!$A$2:$A$2000)),
0
)
)="Em espera",
INDEX(
'VISÃO LOGISTICA'!$C$2:$C$2000,
MATCH(
TRUE,
ISNUMBER(FIND(B78,'VISÃO LOGISTICA'!$A$2:$A$2000)),
0
)
)=""
),
"",
INDEX(
'VISÃO LOGISTICA'!$D$2:$D$2000,
MATCH(
TRUE,
ISNUMBER(FIND(B78,'VISÃO LOGISTICA'!$A$2:$A$2000)),
0
)
)
),
""
)</f>
        <v/>
      </c>
      <c r="K78" s="10">
        <f>IFERROR(
IF(
_xlfn.XLOOKUP(
B78,
'LOCALIZAÇÃO DE CARGA'!$A$2:$A$702,
'LOCALIZAÇÃO DE CARGA'!$E$2:$E$702)="",
"",
_xlfn.XLOOKUP(
B78,
'LOCALIZAÇÃO DE CARGA'!$A$2:$A$702,
'LOCALIZAÇÃO DE CARGA'!$E$2:$E$702)
),
""
)</f>
        <v>287986.8</v>
      </c>
      <c r="L78" s="20" cm="1">
        <f t="array" ref="L78">IFERROR(
_xlfn.LET(
_xlpm.res,_xlfn.XLOOKUP(B78,'LOCALIZAÇÃO DE CARGA'!$A$2:$A$2000,'LOCALIZAÇÃO DE CARGA'!$G$2:$G$2000),
IF(_xlpm.res="","",_xlpm.res)
),
""
)</f>
        <v>46157.25</v>
      </c>
      <c r="M78" s="20" cm="1">
        <f t="array" ref="M78">IFERROR(
_xlfn.LET(
_xlpm.load,_xlfn.XLOOKUP(B78,'LOCALIZAÇÃO DE CARGA'!$A$2:$A$2000,'LOCALIZAÇÃO DE CARGA'!$A$2:$A$2000),
_xlpm.res,_xlfn.XLOOKUP(_xlpm.load,DOCUMENTOS!$A$2:$A$2000,DOCUMENTOS!$D$2:$D$2000),
IF(_xlpm.res="","",_xlpm.res)
),
""
)</f>
        <v>46157.25</v>
      </c>
      <c r="N78" s="6">
        <f>IFERROR(IF(M78="","",M78-TIME(1,0,0)),"")</f>
        <v>46157.208333333336</v>
      </c>
      <c r="O78" s="6" cm="1">
        <f t="array" ref="O78">IFERROR(
_xlfn.LET(
_xlpm.res,_xlfn.XLOOKUP(B78,'LOCALIZAÇÃO DE CARGA'!$A$2:$A$2000,'LOCALIZAÇÃO DE CARGA'!$S$2:$S$2000),
IF(_xlpm.res="","",_xlpm.res)
),
""
)</f>
        <v>46160.958333333336</v>
      </c>
      <c r="P78" s="6" t="str" cm="1">
        <f t="array" ref="P78">IFERROR(
_xlfn.LET(
_xlpm.res,_xlfn.XLOOKUP(B78,'LOCALIZAÇÃO DE CARGA'!$A$2:$A$702,'LOCALIZAÇÃO DE CARGA'!$T$2:$T$702),
IF(_xlpm.res="","",_xlpm.res)
),
""
)</f>
        <v/>
      </c>
      <c r="Q78" s="5" t="str">
        <f>IFERROR(
IF(
_xlfn.XLOOKUP(
B78,
'LOCALIZAÇÃO DE CARGA'!$A$2:$A$702,
'LOCALIZAÇÃO DE CARGA'!$K$2:$K$702
)="",
"",
_xlfn.XLOOKUP(
B78,
'LOCALIZAÇÃO DE CARGA'!$A$2:$A$702,
'LOCALIZAÇÃO DE CARGA'!$K$2:$K$702
)
),
""
)</f>
        <v>GRUPO CASAS BAHIA S.A(CD1624) - 88316001</v>
      </c>
      <c r="R78" s="5" t="str">
        <f t="shared" si="5"/>
        <v>GRUPO CASAS BAHIA S.A</v>
      </c>
      <c r="S78" s="5" t="str" cm="1">
        <f t="array" ref="S78">IF(B78="","",IFERROR(
INDEX(
'VISÃO LOGISTICA'!$L$2:$L$525,
MATCH(
TRUE,
ISNUMBER(FIND(B78,'VISÃO LOGISTICA'!$A$2:$A$525)),
0
)
),
""
))</f>
        <v/>
      </c>
      <c r="T78" s="5" t="str">
        <f>IFERROR(
_xlfn.LET(
_xlpm.res,_xlfn.XLOOKUP(B78,'LOCALIZAÇÃO DE CARGA'!$A$2:$A$702,'LOCALIZAÇÃO DE CARGA'!$R$2:$R$702),
IF(_xlpm.res="","",_xlpm.res)
),
""
)</f>
        <v>ITAJAI/SC/BRASIL</v>
      </c>
    </row>
    <row r="79" spans="1:20">
      <c r="A79" s="14">
        <f t="shared" si="3"/>
        <v>46157</v>
      </c>
      <c r="B79" s="5">
        <v>6022209</v>
      </c>
      <c r="C79" s="45" t="str">
        <f t="shared" ca="1" si="4"/>
        <v>NA CLIF - COM SMP - AGUARDANDO SAÍDA</v>
      </c>
      <c r="D79" s="28"/>
      <c r="E79" s="28" t="str">
        <f>IFERROR(
IF(
_xlfn.XLOOKUP(
B79,
'LOCALIZAÇÃO DE CARGA'!$A$2:$A$702,
'LOCALIZAÇÃO DE CARGA'!$D$2:$D$702
)="",
"",
_xlfn.XLOOKUP(
B79,
'LOCALIZAÇÃO DE CARGA'!$A$2:$A$702,
'LOCALIZAÇÃO DE CARGA'!$D$2:$D$702
)
),
""
)</f>
        <v/>
      </c>
      <c r="F79" s="13" t="str">
        <f>IFERROR(
IF(
_xlfn.XLOOKUP(
B79,
'LOCALIZAÇÃO DE CARGA'!$A$2:$A$702,
'LOCALIZAÇÃO DE CARGA'!$H$2:$H$702
)="",
"",
_xlfn.XLOOKUP(
B79,
'LOCALIZAÇÃO DE CARGA'!$A$2:$A$702,
'LOCALIZAÇÃO DE CARGA'!$H$2:$H$702
)
),
""
)</f>
        <v>TRANSBOCAYUV</v>
      </c>
      <c r="G79" s="5" t="str">
        <f>IFERROR(
IF(
_xlfn.XLOOKUP(
B79,
'LOCALIZAÇÃO DE CARGA'!$A$2:$A$702,
'LOCALIZAÇÃO DE CARGA'!$I$2:$I$702
)="",
"",
_xlfn.XLOOKUP(
B79,
'LOCALIZAÇÃO DE CARGA'!$A$2:$A$702,
'LOCALIZAÇÃO DE CARGA'!$I$2:$I$702
)
),
""
)</f>
        <v>LGSCT</v>
      </c>
      <c r="H79" s="5" t="str">
        <f>IFERROR(
IF(
_xlfn.XLOOKUP(
B79,
'LOCALIZAÇÃO DE CARGA'!$A$2:$A$702,
'LOCALIZAÇÃO DE CARGA'!$F$2:$F$702
)="",
"",
_xlfn.XLOOKUP(
B79,
'LOCALIZAÇÃO DE CARGA'!$A$2:$A$702,
'LOCALIZAÇÃO DE CARGA'!$F$2:$F$702
)
),
""
)</f>
        <v>Andamento</v>
      </c>
      <c r="I79" s="13" t="str" cm="1">
        <f t="array" ref="I79">IFERROR(
IF(
INDEX(
'VISÃO LOGISTICA'!$C$2:$C$525,
MATCH(
TRUE,
ISNUMBER(FIND(B79,'VISÃO LOGISTICA'!$A$2:$A$525)),
0
)
)="Em espera",
"",
INDEX(
'VISÃO LOGISTICA'!$C$2:$C$525,
MATCH(
TRUE,
ISNUMBER(FIND(B79,'VISÃO LOGISTICA'!$A$2:$A$525)),
0
)
)
),
""
)</f>
        <v>Em Viagem</v>
      </c>
      <c r="J79" s="5" t="str" cm="1">
        <f t="array" ref="J79">IFERROR(
IF(
OR(
INDEX(
'VISÃO LOGISTICA'!$C$2:$C$2000,
MATCH(
TRUE,
ISNUMBER(FIND(B79,'VISÃO LOGISTICA'!$A$2:$A$2000)),
0
)
)="Em espera",
INDEX(
'VISÃO LOGISTICA'!$C$2:$C$2000,
MATCH(
TRUE,
ISNUMBER(FIND(B79,'VISÃO LOGISTICA'!$A$2:$A$2000)),
0
)
)=""
),
"",
INDEX(
'VISÃO LOGISTICA'!$D$2:$D$2000,
MATCH(
TRUE,
ISNUMBER(FIND(B79,'VISÃO LOGISTICA'!$A$2:$A$2000)),
0
)
)
),
""
)</f>
        <v>CVN1646</v>
      </c>
      <c r="K79" s="10">
        <f>IFERROR(
IF(
_xlfn.XLOOKUP(
B79,
'LOCALIZAÇÃO DE CARGA'!$A$2:$A$702,
'LOCALIZAÇÃO DE CARGA'!$E$2:$E$702)="",
"",
_xlfn.XLOOKUP(
B79,
'LOCALIZAÇÃO DE CARGA'!$A$2:$A$702,
'LOCALIZAÇÃO DE CARGA'!$E$2:$E$702)
),
""
)</f>
        <v>279621</v>
      </c>
      <c r="L79" s="20" cm="1">
        <f t="array" ref="L79">IFERROR(
_xlfn.LET(
_xlpm.res,_xlfn.XLOOKUP(B79,'LOCALIZAÇÃO DE CARGA'!$A$2:$A$2000,'LOCALIZAÇÃO DE CARGA'!$G$2:$G$2000),
IF(_xlpm.res="","",_xlpm.res)
),
""
)</f>
        <v>46158.916666666664</v>
      </c>
      <c r="M79" s="20" cm="1">
        <f t="array" ref="M79">IFERROR(
_xlfn.LET(
_xlpm.load,_xlfn.XLOOKUP(B79,'LOCALIZAÇÃO DE CARGA'!$A$2:$A$2000,'LOCALIZAÇÃO DE CARGA'!$A$2:$A$2000),
_xlpm.res,_xlfn.XLOOKUP(_xlpm.load,DOCUMENTOS!$A$2:$A$2000,DOCUMENTOS!$D$2:$D$2000),
IF(_xlpm.res="","",_xlpm.res)
),
""
)</f>
        <v>46157.416666666664</v>
      </c>
      <c r="N79" s="6">
        <f>IFERROR(IF(M79="","",M79-TIME(1,0,0)),"")</f>
        <v>46157.375</v>
      </c>
      <c r="O79" s="6" cm="1">
        <f t="array" ref="O79">IFERROR(
_xlfn.LET(
_xlpm.res,_xlfn.XLOOKUP(B79,'LOCALIZAÇÃO DE CARGA'!$A$2:$A$2000,'LOCALIZAÇÃO DE CARGA'!$S$2:$S$2000),
IF(_xlpm.res="","",_xlpm.res)
),
""
)</f>
        <v>46163.25</v>
      </c>
      <c r="P79" s="6" cm="1">
        <f t="array" ref="P79">IFERROR(
_xlfn.LET(
_xlpm.res,_xlfn.XLOOKUP(B79,'LOCALIZAÇÃO DE CARGA'!$A$2:$A$702,'LOCALIZAÇÃO DE CARGA'!$T$2:$T$702),
IF(_xlpm.res="","",_xlpm.res)
),
""
)</f>
        <v>46160.643055555556</v>
      </c>
      <c r="Q79" s="5" t="str">
        <f>IFERROR(
IF(
_xlfn.XLOOKUP(
B79,
'LOCALIZAÇÃO DE CARGA'!$A$2:$A$702,
'LOCALIZAÇÃO DE CARGA'!$K$2:$K$702
)="",
"",
_xlfn.XLOOKUP(
B79,
'LOCALIZAÇÃO DE CARGA'!$A$2:$A$702,
'LOCALIZAÇÃO DE CARGA'!$K$2:$K$702
)
),
""
)</f>
        <v>GRUPO CASAS BAHIA S.A(CD1887) - 54510000</v>
      </c>
      <c r="R79" s="5" t="str">
        <f t="shared" si="5"/>
        <v>GRUPO CASAS BAHIA S.A</v>
      </c>
      <c r="S79" s="5" t="str" cm="1">
        <f t="array" ref="S79">IF(B79="","",IFERROR(
INDEX(
'VISÃO LOGISTICA'!$L$2:$L$525,
MATCH(
TRUE,
ISNUMBER(FIND(B79,'VISÃO LOGISTICA'!$A$2:$A$525)),
0
)
),
""
))</f>
        <v>ITAPOA/SC/BRASIL</v>
      </c>
      <c r="T79" s="5" t="str">
        <f>IFERROR(
_xlfn.LET(
_xlpm.res,_xlfn.XLOOKUP(B79,'LOCALIZAÇÃO DE CARGA'!$A$2:$A$702,'LOCALIZAÇÃO DE CARGA'!$R$2:$R$702),
IF(_xlpm.res="","",_xlpm.res)
),
""
)</f>
        <v>CABO DE SANTO AGOSTINHO/PE/BRASIL</v>
      </c>
    </row>
    <row r="80" spans="1:20">
      <c r="A80" s="14">
        <f t="shared" si="3"/>
        <v>46160</v>
      </c>
      <c r="B80" s="5">
        <v>6025141</v>
      </c>
      <c r="C80" s="45" t="str">
        <f t="shared" ca="1" si="4"/>
        <v>OK - NO PRAZO</v>
      </c>
      <c r="D80" s="28"/>
      <c r="E80" s="28" t="str">
        <f>IFERROR(
IF(
_xlfn.XLOOKUP(
B80,
'LOCALIZAÇÃO DE CARGA'!$A$2:$A$702,
'LOCALIZAÇÃO DE CARGA'!$D$2:$D$702
)="",
"",
_xlfn.XLOOKUP(
B80,
'LOCALIZAÇÃO DE CARGA'!$A$2:$A$702,
'LOCALIZAÇÃO DE CARGA'!$D$2:$D$702
)
),
""
)</f>
        <v>Pendente</v>
      </c>
      <c r="F80" s="13" t="str">
        <f>IFERROR(
IF(
_xlfn.XLOOKUP(
B80,
'LOCALIZAÇÃO DE CARGA'!$A$2:$A$702,
'LOCALIZAÇÃO DE CARGA'!$H$2:$H$702
)="",
"",
_xlfn.XLOOKUP(
B80,
'LOCALIZAÇÃO DE CARGA'!$A$2:$A$702,
'LOCALIZAÇÃO DE CARGA'!$H$2:$H$702
)
),
""
)</f>
        <v>WSC</v>
      </c>
      <c r="G80" s="5" t="str">
        <f>IFERROR(
IF(
_xlfn.XLOOKUP(
B80,
'LOCALIZAÇÃO DE CARGA'!$A$2:$A$702,
'LOCALIZAÇÃO DE CARGA'!$I$2:$I$702
)="",
"",
_xlfn.XLOOKUP(
B80,
'LOCALIZAÇÃO DE CARGA'!$A$2:$A$702,
'LOCALIZAÇÃO DE CARGA'!$I$2:$I$702
)
),
""
)</f>
        <v>LGCAJ</v>
      </c>
      <c r="H80" s="5" t="str">
        <f>IFERROR(
IF(
_xlfn.XLOOKUP(
B80,
'LOCALIZAÇÃO DE CARGA'!$A$2:$A$702,
'LOCALIZAÇÃO DE CARGA'!$F$2:$F$702
)="",
"",
_xlfn.XLOOKUP(
B80,
'LOCALIZAÇÃO DE CARGA'!$A$2:$A$702,
'LOCALIZAÇÃO DE CARGA'!$F$2:$F$702
)
),
""
)</f>
        <v>Não iniciado</v>
      </c>
      <c r="I80" s="13" t="str" cm="1">
        <f t="array" ref="I80">IFERROR(
IF(
INDEX(
'VISÃO LOGISTICA'!$C$2:$C$525,
MATCH(
TRUE,
ISNUMBER(FIND(B80,'VISÃO LOGISTICA'!$A$2:$A$525)),
0
)
)="Em espera",
"",
INDEX(
'VISÃO LOGISTICA'!$C$2:$C$525,
MATCH(
TRUE,
ISNUMBER(FIND(B80,'VISÃO LOGISTICA'!$A$2:$A$525)),
0
)
)
),
""
)</f>
        <v/>
      </c>
      <c r="J80" s="5" t="str" cm="1">
        <f t="array" ref="J80">IFERROR(
IF(
OR(
INDEX(
'VISÃO LOGISTICA'!$C$2:$C$2000,
MATCH(
TRUE,
ISNUMBER(FIND(B80,'VISÃO LOGISTICA'!$A$2:$A$2000)),
0
)
)="Em espera",
INDEX(
'VISÃO LOGISTICA'!$C$2:$C$2000,
MATCH(
TRUE,
ISNUMBER(FIND(B80,'VISÃO LOGISTICA'!$A$2:$A$2000)),
0
)
)=""
),
"",
INDEX(
'VISÃO LOGISTICA'!$D$2:$D$2000,
MATCH(
TRUE,
ISNUMBER(FIND(B80,'VISÃO LOGISTICA'!$A$2:$A$2000)),
0
)
)
),
""
)</f>
        <v/>
      </c>
      <c r="K80" s="10">
        <f>IFERROR(
IF(
_xlfn.XLOOKUP(
B80,
'LOCALIZAÇÃO DE CARGA'!$A$2:$A$702,
'LOCALIZAÇÃO DE CARGA'!$E$2:$E$702)="",
"",
_xlfn.XLOOKUP(
B80,
'LOCALIZAÇÃO DE CARGA'!$A$2:$A$702,
'LOCALIZAÇÃO DE CARGA'!$E$2:$E$702)
),
""
)</f>
        <v>277416.5</v>
      </c>
      <c r="L80" s="20" cm="1">
        <f t="array" ref="L80">IFERROR(
_xlfn.LET(
_xlpm.res,_xlfn.XLOOKUP(B80,'LOCALIZAÇÃO DE CARGA'!$A$2:$A$2000,'LOCALIZAÇÃO DE CARGA'!$G$2:$G$2000),
IF(_xlpm.res="","",_xlpm.res)
),
""
)</f>
        <v>46160.595833333333</v>
      </c>
      <c r="M80" s="20" cm="1">
        <f t="array" ref="M80">IFERROR(
_xlfn.LET(
_xlpm.load,_xlfn.XLOOKUP(B80,'LOCALIZAÇÃO DE CARGA'!$A$2:$A$2000,'LOCALIZAÇÃO DE CARGA'!$A$2:$A$2000),
_xlpm.res,_xlfn.XLOOKUP(_xlpm.load,DOCUMENTOS!$A$2:$A$2000,DOCUMENTOS!$D$2:$D$2000),
IF(_xlpm.res="","",_xlpm.res)
),
""
)</f>
        <v>46160.333333333336</v>
      </c>
      <c r="N80" s="6">
        <f>IFERROR(IF(M80="","",M80-TIME(1,0,0)),"")</f>
        <v>46160.291666666672</v>
      </c>
      <c r="O80" s="6" cm="1">
        <f t="array" ref="O80">IFERROR(
_xlfn.LET(
_xlpm.res,_xlfn.XLOOKUP(B80,'LOCALIZAÇÃO DE CARGA'!$A$2:$A$2000,'LOCALIZAÇÃO DE CARGA'!$S$2:$S$2000),
IF(_xlpm.res="","",_xlpm.res)
),
""
)</f>
        <v>46160.6875</v>
      </c>
      <c r="P80" s="6" t="str" cm="1">
        <f t="array" ref="P80">IFERROR(
_xlfn.LET(
_xlpm.res,_xlfn.XLOOKUP(B80,'LOCALIZAÇÃO DE CARGA'!$A$2:$A$702,'LOCALIZAÇÃO DE CARGA'!$T$2:$T$702),
IF(_xlpm.res="","",_xlpm.res)
),
""
)</f>
        <v/>
      </c>
      <c r="Q80" s="5" t="str">
        <f>IFERROR(
IF(
_xlfn.XLOOKUP(
B80,
'LOCALIZAÇÃO DE CARGA'!$A$2:$A$702,
'LOCALIZAÇÃO DE CARGA'!$K$2:$K$702
)="",
"",
_xlfn.XLOOKUP(
B80,
'LOCALIZAÇÃO DE CARGA'!$A$2:$A$702,
'LOCALIZAÇÃO DE CARGA'!$K$2:$K$702
)
),
""
)</f>
        <v>EBAZAR.COM.BR. LTDA - 06806400</v>
      </c>
      <c r="R80" s="5" t="str">
        <f t="shared" si="5"/>
        <v>EBAZAR.COM.BR. LTDA</v>
      </c>
      <c r="S80" s="5" t="str" cm="1">
        <f t="array" ref="S80">IF(B80="","",IFERROR(
INDEX(
'VISÃO LOGISTICA'!$L$2:$L$525,
MATCH(
TRUE,
ISNUMBER(FIND(B80,'VISÃO LOGISTICA'!$A$2:$A$525)),
0
)
),
""
))</f>
        <v/>
      </c>
      <c r="T80" s="5" t="str">
        <f>IFERROR(
_xlfn.LET(
_xlpm.res,_xlfn.XLOOKUP(B80,'LOCALIZAÇÃO DE CARGA'!$A$2:$A$702,'LOCALIZAÇÃO DE CARGA'!$R$2:$R$702),
IF(_xlpm.res="","",_xlpm.res)
),
""
)</f>
        <v>EMBU DAS ARTES/SP/BRASIL</v>
      </c>
    </row>
    <row r="81" spans="1:20">
      <c r="A81" s="14">
        <f t="shared" si="3"/>
        <v>46160</v>
      </c>
      <c r="B81" s="5">
        <v>6023025</v>
      </c>
      <c r="C81" s="45" t="str">
        <f t="shared" ca="1" si="4"/>
        <v>OK - NO PRAZO</v>
      </c>
      <c r="D81" s="28"/>
      <c r="E81" s="28" t="str">
        <f>IFERROR(
IF(
_xlfn.XLOOKUP(
B81,
'LOCALIZAÇÃO DE CARGA'!$A$2:$A$702,
'LOCALIZAÇÃO DE CARGA'!$D$2:$D$702
)="",
"",
_xlfn.XLOOKUP(
B81,
'LOCALIZAÇÃO DE CARGA'!$A$2:$A$702,
'LOCALIZAÇÃO DE CARGA'!$D$2:$D$702
)
),
""
)</f>
        <v/>
      </c>
      <c r="F81" s="13" t="str">
        <f>IFERROR(
IF(
_xlfn.XLOOKUP(
B81,
'LOCALIZAÇÃO DE CARGA'!$A$2:$A$702,
'LOCALIZAÇÃO DE CARGA'!$H$2:$H$702
)="",
"",
_xlfn.XLOOKUP(
B81,
'LOCALIZAÇÃO DE CARGA'!$A$2:$A$702,
'LOCALIZAÇÃO DE CARGA'!$H$2:$H$702
)
),
""
)</f>
        <v>VIPE TRANSPO</v>
      </c>
      <c r="G81" s="5" t="str">
        <f>IFERROR(
IF(
_xlfn.XLOOKUP(
B81,
'LOCALIZAÇÃO DE CARGA'!$A$2:$A$702,
'LOCALIZAÇÃO DE CARGA'!$I$2:$I$702
)="",
"",
_xlfn.XLOOKUP(
B81,
'LOCALIZAÇÃO DE CARGA'!$A$2:$A$702,
'LOCALIZAÇÃO DE CARGA'!$I$2:$I$702
)
),
""
)</f>
        <v>LGSCT</v>
      </c>
      <c r="H81" s="5" t="str">
        <f>IFERROR(
IF(
_xlfn.XLOOKUP(
B81,
'LOCALIZAÇÃO DE CARGA'!$A$2:$A$702,
'LOCALIZAÇÃO DE CARGA'!$F$2:$F$702
)="",
"",
_xlfn.XLOOKUP(
B81,
'LOCALIZAÇÃO DE CARGA'!$A$2:$A$702,
'LOCALIZAÇÃO DE CARGA'!$F$2:$F$702
)
),
""
)</f>
        <v>Não iniciado</v>
      </c>
      <c r="I81" s="13" t="str" cm="1">
        <f t="array" ref="I81">IFERROR(
IF(
INDEX(
'VISÃO LOGISTICA'!$C$2:$C$525,
MATCH(
TRUE,
ISNUMBER(FIND(B81,'VISÃO LOGISTICA'!$A$2:$A$525)),
0
)
)="Em espera",
"",
INDEX(
'VISÃO LOGISTICA'!$C$2:$C$525,
MATCH(
TRUE,
ISNUMBER(FIND(B81,'VISÃO LOGISTICA'!$A$2:$A$525)),
0
)
)
),
""
)</f>
        <v/>
      </c>
      <c r="J81" s="5" t="str" cm="1">
        <f t="array" ref="J81">IFERROR(
IF(
OR(
INDEX(
'VISÃO LOGISTICA'!$C$2:$C$2000,
MATCH(
TRUE,
ISNUMBER(FIND(B81,'VISÃO LOGISTICA'!$A$2:$A$2000)),
0
)
)="Em espera",
INDEX(
'VISÃO LOGISTICA'!$C$2:$C$2000,
MATCH(
TRUE,
ISNUMBER(FIND(B81,'VISÃO LOGISTICA'!$A$2:$A$2000)),
0
)
)=""
),
"",
INDEX(
'VISÃO LOGISTICA'!$D$2:$D$2000,
MATCH(
TRUE,
ISNUMBER(FIND(B81,'VISÃO LOGISTICA'!$A$2:$A$2000)),
0
)
)
),
""
)</f>
        <v/>
      </c>
      <c r="K81" s="10">
        <f>IFERROR(
IF(
_xlfn.XLOOKUP(
B81,
'LOCALIZAÇÃO DE CARGA'!$A$2:$A$702,
'LOCALIZAÇÃO DE CARGA'!$E$2:$E$702)="",
"",
_xlfn.XLOOKUP(
B81,
'LOCALIZAÇÃO DE CARGA'!$A$2:$A$702,
'LOCALIZAÇÃO DE CARGA'!$E$2:$E$702)
),
""
)</f>
        <v>266119.94</v>
      </c>
      <c r="L81" s="20" cm="1">
        <f t="array" ref="L81">IFERROR(
_xlfn.LET(
_xlpm.res,_xlfn.XLOOKUP(B81,'LOCALIZAÇÃO DE CARGA'!$A$2:$A$2000,'LOCALIZAÇÃO DE CARGA'!$G$2:$G$2000),
IF(_xlpm.res="","",_xlpm.res)
),
""
)</f>
        <v>46161.826388888891</v>
      </c>
      <c r="M81" s="20" cm="1">
        <f t="array" ref="M81">IFERROR(
_xlfn.LET(
_xlpm.load,_xlfn.XLOOKUP(B81,'LOCALIZAÇÃO DE CARGA'!$A$2:$A$2000,'LOCALIZAÇÃO DE CARGA'!$A$2:$A$2000),
_xlpm.res,_xlfn.XLOOKUP(_xlpm.load,DOCUMENTOS!$A$2:$A$2000,DOCUMENTOS!$D$2:$D$2000),
IF(_xlpm.res="","",_xlpm.res)
),
""
)</f>
        <v>46160.458333333336</v>
      </c>
      <c r="N81" s="6">
        <f>IFERROR(IF(M81="","",M81-TIME(1,0,0)),"")</f>
        <v>46160.416666666672</v>
      </c>
      <c r="O81" s="6" cm="1">
        <f t="array" ref="O81">IFERROR(
_xlfn.LET(
_xlpm.res,_xlfn.XLOOKUP(B81,'LOCALIZAÇÃO DE CARGA'!$A$2:$A$2000,'LOCALIZAÇÃO DE CARGA'!$S$2:$S$2000),
IF(_xlpm.res="","",_xlpm.res)
),
""
)</f>
        <v>46162.25</v>
      </c>
      <c r="P81" s="6" t="str" cm="1">
        <f t="array" ref="P81">IFERROR(
_xlfn.LET(
_xlpm.res,_xlfn.XLOOKUP(B81,'LOCALIZAÇÃO DE CARGA'!$A$2:$A$702,'LOCALIZAÇÃO DE CARGA'!$T$2:$T$702),
IF(_xlpm.res="","",_xlpm.res)
),
""
)</f>
        <v/>
      </c>
      <c r="Q81" s="5" t="str">
        <f>IFERROR(
IF(
_xlfn.XLOOKUP(
B81,
'LOCALIZAÇÃO DE CARGA'!$A$2:$A$702,
'LOCALIZAÇÃO DE CARGA'!$K$2:$K$702
)="",
"",
_xlfn.XLOOKUP(
B81,
'LOCALIZAÇÃO DE CARGA'!$A$2:$A$702,
'LOCALIZAÇÃO DE CARGA'!$K$2:$K$702
)
),
""
)</f>
        <v>GRUPO CASAS BAHIA S.A(CD1200) - 13203850</v>
      </c>
      <c r="R81" s="5" t="str">
        <f t="shared" si="5"/>
        <v>GRUPO CASAS BAHIA S.A</v>
      </c>
      <c r="S81" s="5" t="str" cm="1">
        <f t="array" ref="S81">IF(B81="","",IFERROR(
INDEX(
'VISÃO LOGISTICA'!$L$2:$L$525,
MATCH(
TRUE,
ISNUMBER(FIND(B81,'VISÃO LOGISTICA'!$A$2:$A$525)),
0
)
),
""
))</f>
        <v/>
      </c>
      <c r="T81" s="5" t="str">
        <f>IFERROR(
_xlfn.LET(
_xlpm.res,_xlfn.XLOOKUP(B81,'LOCALIZAÇÃO DE CARGA'!$A$2:$A$702,'LOCALIZAÇÃO DE CARGA'!$R$2:$R$702),
IF(_xlpm.res="","",_xlpm.res)
),
""
)</f>
        <v>JUNDIAI/SP/BRASIL</v>
      </c>
    </row>
    <row r="82" spans="1:20">
      <c r="A82" s="14">
        <f t="shared" si="3"/>
        <v>46158</v>
      </c>
      <c r="B82" s="5">
        <v>6022217</v>
      </c>
      <c r="C82" s="45" t="str">
        <f t="shared" ca="1" si="4"/>
        <v>NA CLIF - COM SMP - AGUARDANDO SAÍDA</v>
      </c>
      <c r="D82" s="28"/>
      <c r="E82" s="28" t="str">
        <f>IFERROR(
IF(
_xlfn.XLOOKUP(
B82,
'LOCALIZAÇÃO DE CARGA'!$A$2:$A$702,
'LOCALIZAÇÃO DE CARGA'!$D$2:$D$702
)="",
"",
_xlfn.XLOOKUP(
B82,
'LOCALIZAÇÃO DE CARGA'!$A$2:$A$702,
'LOCALIZAÇÃO DE CARGA'!$D$2:$D$702
)
),
""
)</f>
        <v/>
      </c>
      <c r="F82" s="13" t="str">
        <f>IFERROR(
IF(
_xlfn.XLOOKUP(
B82,
'LOCALIZAÇÃO DE CARGA'!$A$2:$A$702,
'LOCALIZAÇÃO DE CARGA'!$H$2:$H$702
)="",
"",
_xlfn.XLOOKUP(
B82,
'LOCALIZAÇÃO DE CARGA'!$A$2:$A$702,
'LOCALIZAÇÃO DE CARGA'!$H$2:$H$702
)
),
""
)</f>
        <v>NEW LOG</v>
      </c>
      <c r="G82" s="5" t="str">
        <f>IFERROR(
IF(
_xlfn.XLOOKUP(
B82,
'LOCALIZAÇÃO DE CARGA'!$A$2:$A$702,
'LOCALIZAÇÃO DE CARGA'!$I$2:$I$702
)="",
"",
_xlfn.XLOOKUP(
B82,
'LOCALIZAÇÃO DE CARGA'!$A$2:$A$702,
'LOCALIZAÇÃO DE CARGA'!$I$2:$I$702
)
),
""
)</f>
        <v>LGSCT</v>
      </c>
      <c r="H82" s="5" t="str">
        <f>IFERROR(
IF(
_xlfn.XLOOKUP(
B82,
'LOCALIZAÇÃO DE CARGA'!$A$2:$A$702,
'LOCALIZAÇÃO DE CARGA'!$F$2:$F$702
)="",
"",
_xlfn.XLOOKUP(
B82,
'LOCALIZAÇÃO DE CARGA'!$A$2:$A$702,
'LOCALIZAÇÃO DE CARGA'!$F$2:$F$702
)
),
""
)</f>
        <v>Andamento</v>
      </c>
      <c r="I82" s="13" t="str" cm="1">
        <f t="array" ref="I82">IFERROR(
IF(
INDEX(
'VISÃO LOGISTICA'!$C$2:$C$525,
MATCH(
TRUE,
ISNUMBER(FIND(B82,'VISÃO LOGISTICA'!$A$2:$A$525)),
0
)
)="Em espera",
"",
INDEX(
'VISÃO LOGISTICA'!$C$2:$C$525,
MATCH(
TRUE,
ISNUMBER(FIND(B82,'VISÃO LOGISTICA'!$A$2:$A$525)),
0
)
)
),
""
)</f>
        <v>Em Viagem</v>
      </c>
      <c r="J82" s="5" t="str" cm="1">
        <f t="array" ref="J82">IFERROR(
IF(
OR(
INDEX(
'VISÃO LOGISTICA'!$C$2:$C$2000,
MATCH(
TRUE,
ISNUMBER(FIND(B82,'VISÃO LOGISTICA'!$A$2:$A$2000)),
0
)
)="Em espera",
INDEX(
'VISÃO LOGISTICA'!$C$2:$C$2000,
MATCH(
TRUE,
ISNUMBER(FIND(B82,'VISÃO LOGISTICA'!$A$2:$A$2000)),
0
)
)=""
),
"",
INDEX(
'VISÃO LOGISTICA'!$D$2:$D$2000,
MATCH(
TRUE,
ISNUMBER(FIND(B82,'VISÃO LOGISTICA'!$A$2:$A$2000)),
0
)
)
),
""
)</f>
        <v>ATD9I98</v>
      </c>
      <c r="K82" s="10">
        <f>IFERROR(
IF(
_xlfn.XLOOKUP(
B82,
'LOCALIZAÇÃO DE CARGA'!$A$2:$A$702,
'LOCALIZAÇÃO DE CARGA'!$E$2:$E$702)="",
"",
_xlfn.XLOOKUP(
B82,
'LOCALIZAÇÃO DE CARGA'!$A$2:$A$702,
'LOCALIZAÇÃO DE CARGA'!$E$2:$E$702)
),
""
)</f>
        <v>263612.28000000003</v>
      </c>
      <c r="L82" s="20" cm="1">
        <f t="array" ref="L82">IFERROR(
_xlfn.LET(
_xlpm.res,_xlfn.XLOOKUP(B82,'LOCALIZAÇÃO DE CARGA'!$A$2:$A$2000,'LOCALIZAÇÃO DE CARGA'!$G$2:$G$2000),
IF(_xlpm.res="","",_xlpm.res)
),
""
)</f>
        <v>46160.097222222219</v>
      </c>
      <c r="M82" s="20" cm="1">
        <f t="array" ref="M82">IFERROR(
_xlfn.LET(
_xlpm.load,_xlfn.XLOOKUP(B82,'LOCALIZAÇÃO DE CARGA'!$A$2:$A$2000,'LOCALIZAÇÃO DE CARGA'!$A$2:$A$2000),
_xlpm.res,_xlfn.XLOOKUP(_xlpm.load,DOCUMENTOS!$A$2:$A$2000,DOCUMENTOS!$D$2:$D$2000),
IF(_xlpm.res="","",_xlpm.res)
),
""
)</f>
        <v>46158.333333333336</v>
      </c>
      <c r="N82" s="6">
        <f>IFERROR(IF(M82="","",M82-TIME(1,0,0)),"")</f>
        <v>46158.291666666672</v>
      </c>
      <c r="O82" s="6" cm="1">
        <f t="array" ref="O82">IFERROR(
_xlfn.LET(
_xlpm.res,_xlfn.XLOOKUP(B82,'LOCALIZAÇÃO DE CARGA'!$A$2:$A$2000,'LOCALIZAÇÃO DE CARGA'!$S$2:$S$2000),
IF(_xlpm.res="","",_xlpm.res)
),
""
)</f>
        <v>46160.25</v>
      </c>
      <c r="P82" s="6" cm="1">
        <f t="array" ref="P82">IFERROR(
_xlfn.LET(
_xlpm.res,_xlfn.XLOOKUP(B82,'LOCALIZAÇÃO DE CARGA'!$A$2:$A$702,'LOCALIZAÇÃO DE CARGA'!$T$2:$T$702),
IF(_xlpm.res="","",_xlpm.res)
),
""
)</f>
        <v>46158.452777777777</v>
      </c>
      <c r="Q82" s="5" t="str">
        <f>IFERROR(
IF(
_xlfn.XLOOKUP(
B82,
'LOCALIZAÇÃO DE CARGA'!$A$2:$A$702,
'LOCALIZAÇÃO DE CARGA'!$K$2:$K$702
)="",
"",
_xlfn.XLOOKUP(
B82,
'LOCALIZAÇÃO DE CARGA'!$A$2:$A$702,
'LOCALIZAÇÃO DE CARGA'!$K$2:$K$702
)
),
""
)</f>
        <v>GRUPO CASAS BAHIA S.A(CD1475) - 83085058</v>
      </c>
      <c r="R82" s="5" t="str">
        <f t="shared" si="5"/>
        <v>GRUPO CASAS BAHIA S.A</v>
      </c>
      <c r="S82" s="5" t="str" cm="1">
        <f t="array" ref="S82">IF(B82="","",IFERROR(
INDEX(
'VISÃO LOGISTICA'!$L$2:$L$525,
MATCH(
TRUE,
ISNUMBER(FIND(B82,'VISÃO LOGISTICA'!$A$2:$A$525)),
0
)
),
""
))</f>
        <v>ROD. MÁXIMO JAMUR, ITAPOA/SC/BRASIL (34,34 Km)</v>
      </c>
      <c r="T82" s="5" t="str">
        <f>IFERROR(
_xlfn.LET(
_xlpm.res,_xlfn.XLOOKUP(B82,'LOCALIZAÇÃO DE CARGA'!$A$2:$A$702,'LOCALIZAÇÃO DE CARGA'!$R$2:$R$702),
IF(_xlpm.res="","",_xlpm.res)
),
""
)</f>
        <v>SAO JOSE DOS PINHAIS/PR/BRASIL</v>
      </c>
    </row>
    <row r="83" spans="1:20">
      <c r="A83" s="14">
        <f t="shared" si="3"/>
        <v>46160</v>
      </c>
      <c r="B83" s="5">
        <v>6023005</v>
      </c>
      <c r="C83" s="45" t="str">
        <f t="shared" ca="1" si="4"/>
        <v>OK - NO PRAZO</v>
      </c>
      <c r="D83" s="28"/>
      <c r="E83" s="28" t="str">
        <f>IFERROR(
IF(
_xlfn.XLOOKUP(
B83,
'LOCALIZAÇÃO DE CARGA'!$A$2:$A$702,
'LOCALIZAÇÃO DE CARGA'!$D$2:$D$702
)="",
"",
_xlfn.XLOOKUP(
B83,
'LOCALIZAÇÃO DE CARGA'!$A$2:$A$702,
'LOCALIZAÇÃO DE CARGA'!$D$2:$D$702
)
),
""
)</f>
        <v/>
      </c>
      <c r="F83" s="13" t="str">
        <f>IFERROR(
IF(
_xlfn.XLOOKUP(
B83,
'LOCALIZAÇÃO DE CARGA'!$A$2:$A$702,
'LOCALIZAÇÃO DE CARGA'!$H$2:$H$702
)="",
"",
_xlfn.XLOOKUP(
B83,
'LOCALIZAÇÃO DE CARGA'!$A$2:$A$702,
'LOCALIZAÇÃO DE CARGA'!$H$2:$H$702
)
),
""
)</f>
        <v>EALE LOG</v>
      </c>
      <c r="G83" s="5" t="str">
        <f>IFERROR(
IF(
_xlfn.XLOOKUP(
B83,
'LOCALIZAÇÃO DE CARGA'!$A$2:$A$702,
'LOCALIZAÇÃO DE CARGA'!$I$2:$I$702
)="",
"",
_xlfn.XLOOKUP(
B83,
'LOCALIZAÇÃO DE CARGA'!$A$2:$A$702,
'LOCALIZAÇÃO DE CARGA'!$I$2:$I$702
)
),
""
)</f>
        <v>LGCAJ</v>
      </c>
      <c r="H83" s="5" t="str">
        <f>IFERROR(
IF(
_xlfn.XLOOKUP(
B83,
'LOCALIZAÇÃO DE CARGA'!$A$2:$A$702,
'LOCALIZAÇÃO DE CARGA'!$F$2:$F$702
)="",
"",
_xlfn.XLOOKUP(
B83,
'LOCALIZAÇÃO DE CARGA'!$A$2:$A$702,
'LOCALIZAÇÃO DE CARGA'!$F$2:$F$702
)
),
""
)</f>
        <v>Não iniciado</v>
      </c>
      <c r="I83" s="13" t="str" cm="1">
        <f t="array" ref="I83">IFERROR(
IF(
INDEX(
'VISÃO LOGISTICA'!$C$2:$C$525,
MATCH(
TRUE,
ISNUMBER(FIND(B83,'VISÃO LOGISTICA'!$A$2:$A$525)),
0
)
)="Em espera",
"",
INDEX(
'VISÃO LOGISTICA'!$C$2:$C$525,
MATCH(
TRUE,
ISNUMBER(FIND(B83,'VISÃO LOGISTICA'!$A$2:$A$525)),
0
)
)
),
""
)</f>
        <v/>
      </c>
      <c r="J83" s="5" t="str" cm="1">
        <f t="array" ref="J83">IFERROR(
IF(
OR(
INDEX(
'VISÃO LOGISTICA'!$C$2:$C$2000,
MATCH(
TRUE,
ISNUMBER(FIND(B83,'VISÃO LOGISTICA'!$A$2:$A$2000)),
0
)
)="Em espera",
INDEX(
'VISÃO LOGISTICA'!$C$2:$C$2000,
MATCH(
TRUE,
ISNUMBER(FIND(B83,'VISÃO LOGISTICA'!$A$2:$A$2000)),
0
)
)=""
),
"",
INDEX(
'VISÃO LOGISTICA'!$D$2:$D$2000,
MATCH(
TRUE,
ISNUMBER(FIND(B83,'VISÃO LOGISTICA'!$A$2:$A$2000)),
0
)
)
),
""
)</f>
        <v/>
      </c>
      <c r="K83" s="10">
        <f>IFERROR(
IF(
_xlfn.XLOOKUP(
B83,
'LOCALIZAÇÃO DE CARGA'!$A$2:$A$702,
'LOCALIZAÇÃO DE CARGA'!$E$2:$E$702)="",
"",
_xlfn.XLOOKUP(
B83,
'LOCALIZAÇÃO DE CARGA'!$A$2:$A$702,
'LOCALIZAÇÃO DE CARGA'!$E$2:$E$702)
),
""
)</f>
        <v>259893.6</v>
      </c>
      <c r="L83" s="20" cm="1">
        <f t="array" ref="L83">IFERROR(
_xlfn.LET(
_xlpm.res,_xlfn.XLOOKUP(B83,'LOCALIZAÇÃO DE CARGA'!$A$2:$A$2000,'LOCALIZAÇÃO DE CARGA'!$G$2:$G$2000),
IF(_xlpm.res="","",_xlpm.res)
),
""
)</f>
        <v>46165.520833333336</v>
      </c>
      <c r="M83" s="20" cm="1">
        <f t="array" ref="M83">IFERROR(
_xlfn.LET(
_xlpm.load,_xlfn.XLOOKUP(B83,'LOCALIZAÇÃO DE CARGA'!$A$2:$A$2000,'LOCALIZAÇÃO DE CARGA'!$A$2:$A$2000),
_xlpm.res,_xlfn.XLOOKUP(_xlpm.load,DOCUMENTOS!$A$2:$A$2000,DOCUMENTOS!$D$2:$D$2000),
IF(_xlpm.res="","",_xlpm.res)
),
""
)</f>
        <v>46160.375</v>
      </c>
      <c r="N83" s="6">
        <f>IFERROR(IF(M83="","",M83-TIME(1,0,0)),"")</f>
        <v>46160.333333333336</v>
      </c>
      <c r="O83" s="6" cm="1">
        <f t="array" ref="O83">IFERROR(
_xlfn.LET(
_xlpm.res,_xlfn.XLOOKUP(B83,'LOCALIZAÇÃO DE CARGA'!$A$2:$A$2000,'LOCALIZAÇÃO DE CARGA'!$S$2:$S$2000),
IF(_xlpm.res="","",_xlpm.res)
),
""
)</f>
        <v>46167.25</v>
      </c>
      <c r="P83" s="6" t="str" cm="1">
        <f t="array" ref="P83">IFERROR(
_xlfn.LET(
_xlpm.res,_xlfn.XLOOKUP(B83,'LOCALIZAÇÃO DE CARGA'!$A$2:$A$702,'LOCALIZAÇÃO DE CARGA'!$T$2:$T$702),
IF(_xlpm.res="","",_xlpm.res)
),
""
)</f>
        <v/>
      </c>
      <c r="Q83" s="5" t="str">
        <f>IFERROR(
IF(
_xlfn.XLOOKUP(
B83,
'LOCALIZAÇÃO DE CARGA'!$A$2:$A$702,
'LOCALIZAÇÃO DE CARGA'!$K$2:$K$702
)="",
"",
_xlfn.XLOOKUP(
B83,
'LOCALIZAÇÃO DE CARGA'!$A$2:$A$702,
'LOCALIZAÇÃO DE CARGA'!$K$2:$K$702
)
),
""
)</f>
        <v>GRUPO CASAS BAHIA S.A(CD1445) - 94931350</v>
      </c>
      <c r="R83" s="5" t="str">
        <f t="shared" si="5"/>
        <v>GRUPO CASAS BAHIA S.A</v>
      </c>
      <c r="S83" s="5" t="str" cm="1">
        <f t="array" ref="S83">IF(B83="","",IFERROR(
INDEX(
'VISÃO LOGISTICA'!$L$2:$L$525,
MATCH(
TRUE,
ISNUMBER(FIND(B83,'VISÃO LOGISTICA'!$A$2:$A$525)),
0
)
),
""
))</f>
        <v/>
      </c>
      <c r="T83" s="5" t="str">
        <f>IFERROR(
_xlfn.LET(
_xlpm.res,_xlfn.XLOOKUP(B83,'LOCALIZAÇÃO DE CARGA'!$A$2:$A$702,'LOCALIZAÇÃO DE CARGA'!$R$2:$R$702),
IF(_xlpm.res="","",_xlpm.res)
),
""
)</f>
        <v>CACHOEIRINHA/RS/BRASIL</v>
      </c>
    </row>
    <row r="84" spans="1:20">
      <c r="A84" s="14">
        <f t="shared" si="3"/>
        <v>46157</v>
      </c>
      <c r="B84" s="5">
        <v>6011002</v>
      </c>
      <c r="C84" s="45" t="str">
        <f t="shared" ca="1" si="4"/>
        <v>EM VIAGEM</v>
      </c>
      <c r="D84" s="28"/>
      <c r="E84" s="28" t="str">
        <f>IFERROR(
IF(
_xlfn.XLOOKUP(
B84,
'LOCALIZAÇÃO DE CARGA'!$A$2:$A$702,
'LOCALIZAÇÃO DE CARGA'!$D$2:$D$702
)="",
"",
_xlfn.XLOOKUP(
B84,
'LOCALIZAÇÃO DE CARGA'!$A$2:$A$702,
'LOCALIZAÇÃO DE CARGA'!$D$2:$D$702
)
),
""
)</f>
        <v/>
      </c>
      <c r="F84" s="13" t="str">
        <f>IFERROR(
IF(
_xlfn.XLOOKUP(
B84,
'LOCALIZAÇÃO DE CARGA'!$A$2:$A$702,
'LOCALIZAÇÃO DE CARGA'!$H$2:$H$702
)="",
"",
_xlfn.XLOOKUP(
B84,
'LOCALIZAÇÃO DE CARGA'!$A$2:$A$702,
'LOCALIZAÇÃO DE CARGA'!$H$2:$H$702
)
),
""
)</f>
        <v>TR RAMTHUN</v>
      </c>
      <c r="G84" s="5" t="str">
        <f>IFERROR(
IF(
_xlfn.XLOOKUP(
B84,
'LOCALIZAÇÃO DE CARGA'!$A$2:$A$702,
'LOCALIZAÇÃO DE CARGA'!$I$2:$I$702
)="",
"",
_xlfn.XLOOKUP(
B84,
'LOCALIZAÇÃO DE CARGA'!$A$2:$A$702,
'LOCALIZAÇÃO DE CARGA'!$I$2:$I$702
)
),
""
)</f>
        <v>LGSCT</v>
      </c>
      <c r="H84" s="5" t="str">
        <f>IFERROR(
IF(
_xlfn.XLOOKUP(
B84,
'LOCALIZAÇÃO DE CARGA'!$A$2:$A$702,
'LOCALIZAÇÃO DE CARGA'!$F$2:$F$702
)="",
"",
_xlfn.XLOOKUP(
B84,
'LOCALIZAÇÃO DE CARGA'!$A$2:$A$702,
'LOCALIZAÇÃO DE CARGA'!$F$2:$F$702
)
),
""
)</f>
        <v>Andamento</v>
      </c>
      <c r="I84" s="13" t="str" cm="1">
        <f t="array" ref="I84">IFERROR(
IF(
INDEX(
'VISÃO LOGISTICA'!$C$2:$C$525,
MATCH(
TRUE,
ISNUMBER(FIND(B84,'VISÃO LOGISTICA'!$A$2:$A$525)),
0
)
)="Em espera",
"",
INDEX(
'VISÃO LOGISTICA'!$C$2:$C$525,
MATCH(
TRUE,
ISNUMBER(FIND(B84,'VISÃO LOGISTICA'!$A$2:$A$525)),
0
)
)
),
""
)</f>
        <v>Em Viagem</v>
      </c>
      <c r="J84" s="5" t="str" cm="1">
        <f t="array" ref="J84">IFERROR(
IF(
OR(
INDEX(
'VISÃO LOGISTICA'!$C$2:$C$2000,
MATCH(
TRUE,
ISNUMBER(FIND(B84,'VISÃO LOGISTICA'!$A$2:$A$2000)),
0
)
)="Em espera",
INDEX(
'VISÃO LOGISTICA'!$C$2:$C$2000,
MATCH(
TRUE,
ISNUMBER(FIND(B84,'VISÃO LOGISTICA'!$A$2:$A$2000)),
0
)
)=""
),
"",
INDEX(
'VISÃO LOGISTICA'!$D$2:$D$2000,
MATCH(
TRUE,
ISNUMBER(FIND(B84,'VISÃO LOGISTICA'!$A$2:$A$2000)),
0
)
)
),
""
)</f>
        <v>MMJ4976</v>
      </c>
      <c r="K84" s="10">
        <f>IFERROR(
IF(
_xlfn.XLOOKUP(
B84,
'LOCALIZAÇÃO DE CARGA'!$A$2:$A$702,
'LOCALIZAÇÃO DE CARGA'!$E$2:$E$702)="",
"",
_xlfn.XLOOKUP(
B84,
'LOCALIZAÇÃO DE CARGA'!$A$2:$A$702,
'LOCALIZAÇÃO DE CARGA'!$E$2:$E$702)
),
""
)</f>
        <v>257020.76</v>
      </c>
      <c r="L84" s="20" cm="1">
        <f t="array" ref="L84">IFERROR(
_xlfn.LET(
_xlpm.res,_xlfn.XLOOKUP(B84,'LOCALIZAÇÃO DE CARGA'!$A$2:$A$2000,'LOCALIZAÇÃO DE CARGA'!$G$2:$G$2000),
IF(_xlpm.res="","",_xlpm.res)
),
""
)</f>
        <v>46161.52847222222</v>
      </c>
      <c r="M84" s="20" cm="1">
        <f t="array" ref="M84">IFERROR(
_xlfn.LET(
_xlpm.load,_xlfn.XLOOKUP(B84,'LOCALIZAÇÃO DE CARGA'!$A$2:$A$2000,'LOCALIZAÇÃO DE CARGA'!$A$2:$A$2000),
_xlpm.res,_xlfn.XLOOKUP(_xlpm.load,DOCUMENTOS!$A$2:$A$2000,DOCUMENTOS!$D$2:$D$2000),
IF(_xlpm.res="","",_xlpm.res)
),
""
)</f>
        <v>46157.75</v>
      </c>
      <c r="N84" s="6">
        <f>IFERROR(IF(M84="","",M84-TIME(1,0,0)),"")</f>
        <v>46157.708333333336</v>
      </c>
      <c r="O84" s="6" cm="1">
        <f t="array" ref="O84">IFERROR(
_xlfn.LET(
_xlpm.res,_xlfn.XLOOKUP(B84,'LOCALIZAÇÃO DE CARGA'!$A$2:$A$2000,'LOCALIZAÇÃO DE CARGA'!$S$2:$S$2000),
IF(_xlpm.res="","",_xlpm.res)
),
""
)</f>
        <v>46161.958333333336</v>
      </c>
      <c r="P84" s="6" cm="1">
        <f t="array" ref="P84">IFERROR(
_xlfn.LET(
_xlpm.res,_xlfn.XLOOKUP(B84,'LOCALIZAÇÃO DE CARGA'!$A$2:$A$702,'LOCALIZAÇÃO DE CARGA'!$T$2:$T$702),
IF(_xlpm.res="","",_xlpm.res)
),
""
)</f>
        <v>46159.01666666667</v>
      </c>
      <c r="Q84" s="5" t="str">
        <f>IFERROR(
IF(
_xlfn.XLOOKUP(
B84,
'LOCALIZAÇÃO DE CARGA'!$A$2:$A$702,
'LOCALIZAÇÃO DE CARGA'!$K$2:$K$702
)="",
"",
_xlfn.XLOOKUP(
B84,
'LOCALIZAÇÃO DE CARGA'!$A$2:$A$702,
'LOCALIZAÇÃO DE CARGA'!$K$2:$K$702
)
),
""
)</f>
        <v>CARREFOUR COM IND LTDA - 06278010</v>
      </c>
      <c r="R84" s="5" t="str">
        <f t="shared" si="5"/>
        <v>CARREFOUR COM IND LTDA</v>
      </c>
      <c r="S84" s="5" t="str" cm="1">
        <f t="array" ref="S84">IF(B84="","",IFERROR(
INDEX(
'VISÃO LOGISTICA'!$L$2:$L$525,
MATCH(
TRUE,
ISNUMBER(FIND(B84,'VISÃO LOGISTICA'!$A$2:$A$525)),
0
)
),
""
))</f>
        <v>RUA JOAO LIPINSKI, SAO JOSE DOS PINHAIS/PR/BRASIL (4,18 Km)</v>
      </c>
      <c r="T84" s="5" t="str">
        <f>IFERROR(
_xlfn.LET(
_xlpm.res,_xlfn.XLOOKUP(B84,'LOCALIZAÇÃO DE CARGA'!$A$2:$A$702,'LOCALIZAÇÃO DE CARGA'!$R$2:$R$702),
IF(_xlpm.res="","",_xlpm.res)
),
""
)</f>
        <v>OSASCO/SP/BRASIL</v>
      </c>
    </row>
    <row r="85" spans="1:20">
      <c r="A85" s="14">
        <f t="shared" si="3"/>
        <v>46160</v>
      </c>
      <c r="B85" s="5">
        <v>6022066</v>
      </c>
      <c r="C85" s="45" t="str">
        <f t="shared" ca="1" si="4"/>
        <v>OK - NO PRAZO</v>
      </c>
      <c r="D85" s="28"/>
      <c r="E85" s="28" t="str">
        <f>IFERROR(
IF(
_xlfn.XLOOKUP(
B85,
'LOCALIZAÇÃO DE CARGA'!$A$2:$A$702,
'LOCALIZAÇÃO DE CARGA'!$D$2:$D$702
)="",
"",
_xlfn.XLOOKUP(
B85,
'LOCALIZAÇÃO DE CARGA'!$A$2:$A$702,
'LOCALIZAÇÃO DE CARGA'!$D$2:$D$702
)
),
""
)</f>
        <v>Atrasado</v>
      </c>
      <c r="F85" s="13" t="str">
        <f>IFERROR(
IF(
_xlfn.XLOOKUP(
B85,
'LOCALIZAÇÃO DE CARGA'!$A$2:$A$702,
'LOCALIZAÇÃO DE CARGA'!$H$2:$H$702
)="",
"",
_xlfn.XLOOKUP(
B85,
'LOCALIZAÇÃO DE CARGA'!$A$2:$A$702,
'LOCALIZAÇÃO DE CARGA'!$H$2:$H$702
)
),
""
)</f>
        <v>EMJ LOGISTIC</v>
      </c>
      <c r="G85" s="5" t="str">
        <f>IFERROR(
IF(
_xlfn.XLOOKUP(
B85,
'LOCALIZAÇÃO DE CARGA'!$A$2:$A$702,
'LOCALIZAÇÃO DE CARGA'!$I$2:$I$702
)="",
"",
_xlfn.XLOOKUP(
B85,
'LOCALIZAÇÃO DE CARGA'!$A$2:$A$702,
'LOCALIZAÇÃO DE CARGA'!$I$2:$I$702
)
),
""
)</f>
        <v>LGCAJ</v>
      </c>
      <c r="H85" s="5" t="str">
        <f>IFERROR(
IF(
_xlfn.XLOOKUP(
B85,
'LOCALIZAÇÃO DE CARGA'!$A$2:$A$702,
'LOCALIZAÇÃO DE CARGA'!$F$2:$F$702
)="",
"",
_xlfn.XLOOKUP(
B85,
'LOCALIZAÇÃO DE CARGA'!$A$2:$A$702,
'LOCALIZAÇÃO DE CARGA'!$F$2:$F$702
)
),
""
)</f>
        <v>Não iniciado</v>
      </c>
      <c r="I85" s="13" t="str" cm="1">
        <f t="array" ref="I85">IFERROR(
IF(
INDEX(
'VISÃO LOGISTICA'!$C$2:$C$525,
MATCH(
TRUE,
ISNUMBER(FIND(B85,'VISÃO LOGISTICA'!$A$2:$A$525)),
0
)
)="Em espera",
"",
INDEX(
'VISÃO LOGISTICA'!$C$2:$C$525,
MATCH(
TRUE,
ISNUMBER(FIND(B85,'VISÃO LOGISTICA'!$A$2:$A$525)),
0
)
)
),
""
)</f>
        <v/>
      </c>
      <c r="J85" s="5" t="str" cm="1">
        <f t="array" ref="J85">IFERROR(
IF(
OR(
INDEX(
'VISÃO LOGISTICA'!$C$2:$C$2000,
MATCH(
TRUE,
ISNUMBER(FIND(B85,'VISÃO LOGISTICA'!$A$2:$A$2000)),
0
)
)="Em espera",
INDEX(
'VISÃO LOGISTICA'!$C$2:$C$2000,
MATCH(
TRUE,
ISNUMBER(FIND(B85,'VISÃO LOGISTICA'!$A$2:$A$2000)),
0
)
)=""
),
"",
INDEX(
'VISÃO LOGISTICA'!$D$2:$D$2000,
MATCH(
TRUE,
ISNUMBER(FIND(B85,'VISÃO LOGISTICA'!$A$2:$A$2000)),
0
)
)
),
""
)</f>
        <v/>
      </c>
      <c r="K85" s="10">
        <f>IFERROR(
IF(
_xlfn.XLOOKUP(
B85,
'LOCALIZAÇÃO DE CARGA'!$A$2:$A$702,
'LOCALIZAÇÃO DE CARGA'!$E$2:$E$702)="",
"",
_xlfn.XLOOKUP(
B85,
'LOCALIZAÇÃO DE CARGA'!$A$2:$A$702,
'LOCALIZAÇÃO DE CARGA'!$E$2:$E$702)
),
""
)</f>
        <v>255800.84</v>
      </c>
      <c r="L85" s="20" cm="1">
        <f t="array" ref="L85">IFERROR(
_xlfn.LET(
_xlpm.res,_xlfn.XLOOKUP(B85,'LOCALIZAÇÃO DE CARGA'!$A$2:$A$2000,'LOCALIZAÇÃO DE CARGA'!$G$2:$G$2000),
IF(_xlpm.res="","",_xlpm.res)
),
""
)</f>
        <v>46160.25</v>
      </c>
      <c r="M85" s="20" cm="1">
        <f t="array" ref="M85">IFERROR(
_xlfn.LET(
_xlpm.load,_xlfn.XLOOKUP(B85,'LOCALIZAÇÃO DE CARGA'!$A$2:$A$2000,'LOCALIZAÇÃO DE CARGA'!$A$2:$A$2000),
_xlpm.res,_xlfn.XLOOKUP(_xlpm.load,DOCUMENTOS!$A$2:$A$2000,DOCUMENTOS!$D$2:$D$2000),
IF(_xlpm.res="","",_xlpm.res)
),
""
)</f>
        <v>46160.25</v>
      </c>
      <c r="N85" s="6">
        <f>IFERROR(IF(M85="","",M85-TIME(1,0,0)),"")</f>
        <v>46160.208333333336</v>
      </c>
      <c r="O85" s="6" cm="1">
        <f t="array" ref="O85">IFERROR(
_xlfn.LET(
_xlpm.res,_xlfn.XLOOKUP(B85,'LOCALIZAÇÃO DE CARGA'!$A$2:$A$2000,'LOCALIZAÇÃO DE CARGA'!$S$2:$S$2000),
IF(_xlpm.res="","",_xlpm.res)
),
""
)</f>
        <v>46161.291666666664</v>
      </c>
      <c r="P85" s="6" t="str" cm="1">
        <f t="array" ref="P85">IFERROR(
_xlfn.LET(
_xlpm.res,_xlfn.XLOOKUP(B85,'LOCALIZAÇÃO DE CARGA'!$A$2:$A$702,'LOCALIZAÇÃO DE CARGA'!$T$2:$T$702),
IF(_xlpm.res="","",_xlpm.res)
),
""
)</f>
        <v/>
      </c>
      <c r="Q85" s="5" t="str">
        <f>IFERROR(
IF(
_xlfn.XLOOKUP(
B85,
'LOCALIZAÇÃO DE CARGA'!$A$2:$A$702,
'LOCALIZAÇÃO DE CARGA'!$K$2:$K$702
)="",
"",
_xlfn.XLOOKUP(
B85,
'LOCALIZAÇÃO DE CARGA'!$A$2:$A$702,
'LOCALIZAÇÃO DE CARGA'!$K$2:$K$702
)
),
""
)</f>
        <v>FUJIOKA ELETRO IMAGEM S/A - 74675690</v>
      </c>
      <c r="R85" s="5" t="str">
        <f t="shared" si="5"/>
        <v>FUJIOKA ELETRO IMAGEM S/A</v>
      </c>
      <c r="S85" s="5" t="str" cm="1">
        <f t="array" ref="S85">IF(B85="","",IFERROR(
INDEX(
'VISÃO LOGISTICA'!$L$2:$L$525,
MATCH(
TRUE,
ISNUMBER(FIND(B85,'VISÃO LOGISTICA'!$A$2:$A$525)),
0
)
),
""
))</f>
        <v/>
      </c>
      <c r="T85" s="5" t="str">
        <f>IFERROR(
_xlfn.LET(
_xlpm.res,_xlfn.XLOOKUP(B85,'LOCALIZAÇÃO DE CARGA'!$A$2:$A$702,'LOCALIZAÇÃO DE CARGA'!$R$2:$R$702),
IF(_xlpm.res="","",_xlpm.res)
),
""
)</f>
        <v>GOIANIA/GO/BRASIL</v>
      </c>
    </row>
    <row r="86" spans="1:20">
      <c r="A86" s="14">
        <f t="shared" si="3"/>
        <v>46160</v>
      </c>
      <c r="B86" s="5">
        <v>6023010</v>
      </c>
      <c r="C86" s="45" t="str">
        <f t="shared" ca="1" si="4"/>
        <v>OK - NO PRAZO</v>
      </c>
      <c r="D86" s="28"/>
      <c r="E86" s="28" t="str">
        <f>IFERROR(
IF(
_xlfn.XLOOKUP(
B86,
'LOCALIZAÇÃO DE CARGA'!$A$2:$A$702,
'LOCALIZAÇÃO DE CARGA'!$D$2:$D$702
)="",
"",
_xlfn.XLOOKUP(
B86,
'LOCALIZAÇÃO DE CARGA'!$A$2:$A$702,
'LOCALIZAÇÃO DE CARGA'!$D$2:$D$702
)
),
""
)</f>
        <v/>
      </c>
      <c r="F86" s="13" t="str">
        <f>IFERROR(
IF(
_xlfn.XLOOKUP(
B86,
'LOCALIZAÇÃO DE CARGA'!$A$2:$A$702,
'LOCALIZAÇÃO DE CARGA'!$H$2:$H$702
)="",
"",
_xlfn.XLOOKUP(
B86,
'LOCALIZAÇÃO DE CARGA'!$A$2:$A$702,
'LOCALIZAÇÃO DE CARGA'!$H$2:$H$702
)
),
""
)</f>
        <v>VIPE TRANSPO</v>
      </c>
      <c r="G86" s="5" t="str">
        <f>IFERROR(
IF(
_xlfn.XLOOKUP(
B86,
'LOCALIZAÇÃO DE CARGA'!$A$2:$A$702,
'LOCALIZAÇÃO DE CARGA'!$I$2:$I$702
)="",
"",
_xlfn.XLOOKUP(
B86,
'LOCALIZAÇÃO DE CARGA'!$A$2:$A$702,
'LOCALIZAÇÃO DE CARGA'!$I$2:$I$702
)
),
""
)</f>
        <v>LGCAJ</v>
      </c>
      <c r="H86" s="5" t="str">
        <f>IFERROR(
IF(
_xlfn.XLOOKUP(
B86,
'LOCALIZAÇÃO DE CARGA'!$A$2:$A$702,
'LOCALIZAÇÃO DE CARGA'!$F$2:$F$702
)="",
"",
_xlfn.XLOOKUP(
B86,
'LOCALIZAÇÃO DE CARGA'!$A$2:$A$702,
'LOCALIZAÇÃO DE CARGA'!$F$2:$F$702
)
),
""
)</f>
        <v>Não iniciado</v>
      </c>
      <c r="I86" s="13" t="str" cm="1">
        <f t="array" ref="I86">IFERROR(
IF(
INDEX(
'VISÃO LOGISTICA'!$C$2:$C$525,
MATCH(
TRUE,
ISNUMBER(FIND(B86,'VISÃO LOGISTICA'!$A$2:$A$525)),
0
)
)="Em espera",
"",
INDEX(
'VISÃO LOGISTICA'!$C$2:$C$525,
MATCH(
TRUE,
ISNUMBER(FIND(B86,'VISÃO LOGISTICA'!$A$2:$A$525)),
0
)
)
),
""
)</f>
        <v/>
      </c>
      <c r="J86" s="5" t="str" cm="1">
        <f t="array" ref="J86">IFERROR(
IF(
OR(
INDEX(
'VISÃO LOGISTICA'!$C$2:$C$2000,
MATCH(
TRUE,
ISNUMBER(FIND(B86,'VISÃO LOGISTICA'!$A$2:$A$2000)),
0
)
)="Em espera",
INDEX(
'VISÃO LOGISTICA'!$C$2:$C$2000,
MATCH(
TRUE,
ISNUMBER(FIND(B86,'VISÃO LOGISTICA'!$A$2:$A$2000)),
0
)
)=""
),
"",
INDEX(
'VISÃO LOGISTICA'!$D$2:$D$2000,
MATCH(
TRUE,
ISNUMBER(FIND(B86,'VISÃO LOGISTICA'!$A$2:$A$2000)),
0
)
)
),
""
)</f>
        <v/>
      </c>
      <c r="K86" s="10">
        <f>IFERROR(
IF(
_xlfn.XLOOKUP(
B86,
'LOCALIZAÇÃO DE CARGA'!$A$2:$A$702,
'LOCALIZAÇÃO DE CARGA'!$E$2:$E$702)="",
"",
_xlfn.XLOOKUP(
B86,
'LOCALIZAÇÃO DE CARGA'!$A$2:$A$702,
'LOCALIZAÇÃO DE CARGA'!$E$2:$E$702)
),
""
)</f>
        <v>251019</v>
      </c>
      <c r="L86" s="20" cm="1">
        <f t="array" ref="L86">IFERROR(
_xlfn.LET(
_xlpm.res,_xlfn.XLOOKUP(B86,'LOCALIZAÇÃO DE CARGA'!$A$2:$A$2000,'LOCALIZAÇÃO DE CARGA'!$G$2:$G$2000),
IF(_xlpm.res="","",_xlpm.res)
),
""
)</f>
        <v>46161.154166666667</v>
      </c>
      <c r="M86" s="20" cm="1">
        <f t="array" ref="M86">IFERROR(
_xlfn.LET(
_xlpm.load,_xlfn.XLOOKUP(B86,'LOCALIZAÇÃO DE CARGA'!$A$2:$A$2000,'LOCALIZAÇÃO DE CARGA'!$A$2:$A$2000),
_xlpm.res,_xlfn.XLOOKUP(_xlpm.load,DOCUMENTOS!$A$2:$A$2000,DOCUMENTOS!$D$2:$D$2000),
IF(_xlpm.res="","",_xlpm.res)
),
""
)</f>
        <v>46160.416666666664</v>
      </c>
      <c r="N86" s="6">
        <f>IFERROR(IF(M86="","",M86-TIME(1,0,0)),"")</f>
        <v>46160.375</v>
      </c>
      <c r="O86" s="6" cm="1">
        <f t="array" ref="O86">IFERROR(
_xlfn.LET(
_xlpm.res,_xlfn.XLOOKUP(B86,'LOCALIZAÇÃO DE CARGA'!$A$2:$A$2000,'LOCALIZAÇÃO DE CARGA'!$S$2:$S$2000),
IF(_xlpm.res="","",_xlpm.res)
),
""
)</f>
        <v>46161.25</v>
      </c>
      <c r="P86" s="6" t="str" cm="1">
        <f t="array" ref="P86">IFERROR(
_xlfn.LET(
_xlpm.res,_xlfn.XLOOKUP(B86,'LOCALIZAÇÃO DE CARGA'!$A$2:$A$702,'LOCALIZAÇÃO DE CARGA'!$T$2:$T$702),
IF(_xlpm.res="","",_xlpm.res)
),
""
)</f>
        <v/>
      </c>
      <c r="Q86" s="5" t="str">
        <f>IFERROR(
IF(
_xlfn.XLOOKUP(
B86,
'LOCALIZAÇÃO DE CARGA'!$A$2:$A$702,
'LOCALIZAÇÃO DE CARGA'!$K$2:$K$702
)="",
"",
_xlfn.XLOOKUP(
B86,
'LOCALIZAÇÃO DE CARGA'!$A$2:$A$702,
'LOCALIZAÇÃO DE CARGA'!$K$2:$K$702
)
),
""
)</f>
        <v>GRUPO CASAS BAHIA S.A(CD1200) - 13203850</v>
      </c>
      <c r="R86" s="5" t="str">
        <f t="shared" si="5"/>
        <v>GRUPO CASAS BAHIA S.A</v>
      </c>
      <c r="S86" s="5" t="str" cm="1">
        <f t="array" ref="S86">IF(B86="","",IFERROR(
INDEX(
'VISÃO LOGISTICA'!$L$2:$L$525,
MATCH(
TRUE,
ISNUMBER(FIND(B86,'VISÃO LOGISTICA'!$A$2:$A$525)),
0
)
),
""
))</f>
        <v/>
      </c>
      <c r="T86" s="5" t="str">
        <f>IFERROR(
_xlfn.LET(
_xlpm.res,_xlfn.XLOOKUP(B86,'LOCALIZAÇÃO DE CARGA'!$A$2:$A$702,'LOCALIZAÇÃO DE CARGA'!$R$2:$R$702),
IF(_xlpm.res="","",_xlpm.res)
),
""
)</f>
        <v>JUNDIAI/SP/BRASIL</v>
      </c>
    </row>
    <row r="87" spans="1:20">
      <c r="A87" s="14">
        <f t="shared" si="3"/>
        <v>46157</v>
      </c>
      <c r="B87" s="5">
        <v>6011010</v>
      </c>
      <c r="C87" s="45" t="str">
        <f t="shared" ca="1" si="4"/>
        <v>EM VIAGEM</v>
      </c>
      <c r="D87" s="28"/>
      <c r="E87" s="28" t="str">
        <f>IFERROR(
IF(
_xlfn.XLOOKUP(
B87,
'LOCALIZAÇÃO DE CARGA'!$A$2:$A$702,
'LOCALIZAÇÃO DE CARGA'!$D$2:$D$702
)="",
"",
_xlfn.XLOOKUP(
B87,
'LOCALIZAÇÃO DE CARGA'!$A$2:$A$702,
'LOCALIZAÇÃO DE CARGA'!$D$2:$D$702
)
),
""
)</f>
        <v/>
      </c>
      <c r="F87" s="13" t="str">
        <f>IFERROR(
IF(
_xlfn.XLOOKUP(
B87,
'LOCALIZAÇÃO DE CARGA'!$A$2:$A$702,
'LOCALIZAÇÃO DE CARGA'!$H$2:$H$702
)="",
"",
_xlfn.XLOOKUP(
B87,
'LOCALIZAÇÃO DE CARGA'!$A$2:$A$702,
'LOCALIZAÇÃO DE CARGA'!$H$2:$H$702
)
),
""
)</f>
        <v>JADIMO TRANS</v>
      </c>
      <c r="G87" s="5" t="str">
        <f>IFERROR(
IF(
_xlfn.XLOOKUP(
B87,
'LOCALIZAÇÃO DE CARGA'!$A$2:$A$702,
'LOCALIZAÇÃO DE CARGA'!$I$2:$I$702
)="",
"",
_xlfn.XLOOKUP(
B87,
'LOCALIZAÇÃO DE CARGA'!$A$2:$A$702,
'LOCALIZAÇÃO DE CARGA'!$I$2:$I$702
)
),
""
)</f>
        <v>LGSCT</v>
      </c>
      <c r="H87" s="5" t="str">
        <f>IFERROR(
IF(
_xlfn.XLOOKUP(
B87,
'LOCALIZAÇÃO DE CARGA'!$A$2:$A$702,
'LOCALIZAÇÃO DE CARGA'!$F$2:$F$702
)="",
"",
_xlfn.XLOOKUP(
B87,
'LOCALIZAÇÃO DE CARGA'!$A$2:$A$702,
'LOCALIZAÇÃO DE CARGA'!$F$2:$F$702
)
),
""
)</f>
        <v>Andamento</v>
      </c>
      <c r="I87" s="13" t="str" cm="1">
        <f t="array" ref="I87">IFERROR(
IF(
INDEX(
'VISÃO LOGISTICA'!$C$2:$C$525,
MATCH(
TRUE,
ISNUMBER(FIND(B87,'VISÃO LOGISTICA'!$A$2:$A$525)),
0
)
)="Em espera",
"",
INDEX(
'VISÃO LOGISTICA'!$C$2:$C$525,
MATCH(
TRUE,
ISNUMBER(FIND(B87,'VISÃO LOGISTICA'!$A$2:$A$525)),
0
)
)
),
""
)</f>
        <v>Em Viagem</v>
      </c>
      <c r="J87" s="5" t="str" cm="1">
        <f t="array" ref="J87">IFERROR(
IF(
OR(
INDEX(
'VISÃO LOGISTICA'!$C$2:$C$2000,
MATCH(
TRUE,
ISNUMBER(FIND(B87,'VISÃO LOGISTICA'!$A$2:$A$2000)),
0
)
)="Em espera",
INDEX(
'VISÃO LOGISTICA'!$C$2:$C$2000,
MATCH(
TRUE,
ISNUMBER(FIND(B87,'VISÃO LOGISTICA'!$A$2:$A$2000)),
0
)
)=""
),
"",
INDEX(
'VISÃO LOGISTICA'!$D$2:$D$2000,
MATCH(
TRUE,
ISNUMBER(FIND(B87,'VISÃO LOGISTICA'!$A$2:$A$2000)),
0
)
)
),
""
)</f>
        <v>RHN4C40</v>
      </c>
      <c r="K87" s="10">
        <f>IFERROR(
IF(
_xlfn.XLOOKUP(
B87,
'LOCALIZAÇÃO DE CARGA'!$A$2:$A$702,
'LOCALIZAÇÃO DE CARGA'!$E$2:$E$702)="",
"",
_xlfn.XLOOKUP(
B87,
'LOCALIZAÇÃO DE CARGA'!$A$2:$A$702,
'LOCALIZAÇÃO DE CARGA'!$E$2:$E$702)
),
""
)</f>
        <v>239776.68</v>
      </c>
      <c r="L87" s="20" cm="1">
        <f t="array" ref="L87">IFERROR(
_xlfn.LET(
_xlpm.res,_xlfn.XLOOKUP(B87,'LOCALIZAÇÃO DE CARGA'!$A$2:$A$2000,'LOCALIZAÇÃO DE CARGA'!$G$2:$G$2000),
IF(_xlpm.res="","",_xlpm.res)
),
""
)</f>
        <v>46160.826388888891</v>
      </c>
      <c r="M87" s="20" cm="1">
        <f t="array" ref="M87">IFERROR(
_xlfn.LET(
_xlpm.load,_xlfn.XLOOKUP(B87,'LOCALIZAÇÃO DE CARGA'!$A$2:$A$2000,'LOCALIZAÇÃO DE CARGA'!$A$2:$A$2000),
_xlpm.res,_xlfn.XLOOKUP(_xlpm.load,DOCUMENTOS!$A$2:$A$2000,DOCUMENTOS!$D$2:$D$2000),
IF(_xlpm.res="","",_xlpm.res)
),
""
)</f>
        <v>46157.458333333336</v>
      </c>
      <c r="N87" s="6">
        <f>IFERROR(IF(M87="","",M87-TIME(1,0,0)),"")</f>
        <v>46157.416666666672</v>
      </c>
      <c r="O87" s="6" cm="1">
        <f t="array" ref="O87">IFERROR(
_xlfn.LET(
_xlpm.res,_xlfn.XLOOKUP(B87,'LOCALIZAÇÃO DE CARGA'!$A$2:$A$2000,'LOCALIZAÇÃO DE CARGA'!$S$2:$S$2000),
IF(_xlpm.res="","",_xlpm.res)
),
""
)</f>
        <v>46161.25</v>
      </c>
      <c r="P87" s="6" cm="1">
        <f t="array" ref="P87">IFERROR(
_xlfn.LET(
_xlpm.res,_xlfn.XLOOKUP(B87,'LOCALIZAÇÃO DE CARGA'!$A$2:$A$702,'LOCALIZAÇÃO DE CARGA'!$T$2:$T$702),
IF(_xlpm.res="","",_xlpm.res)
),
""
)</f>
        <v>46158.663888888892</v>
      </c>
      <c r="Q87" s="5" t="str">
        <f>IFERROR(
IF(
_xlfn.XLOOKUP(
B87,
'LOCALIZAÇÃO DE CARGA'!$A$2:$A$702,
'LOCALIZAÇÃO DE CARGA'!$K$2:$K$702
)="",
"",
_xlfn.XLOOKUP(
B87,
'LOCALIZAÇÃO DE CARGA'!$A$2:$A$702,
'LOCALIZAÇÃO DE CARGA'!$K$2:$K$702
)
),
""
)</f>
        <v>MAGAZINE LUIZA S/A (CD0590) - 07232151</v>
      </c>
      <c r="R87" s="5" t="str">
        <f t="shared" si="5"/>
        <v>MAGAZINE LUIZA S/A</v>
      </c>
      <c r="S87" s="5" t="str" cm="1">
        <f t="array" ref="S87">IF(B87="","",IFERROR(
INDEX(
'VISÃO LOGISTICA'!$L$2:$L$525,
MATCH(
TRUE,
ISNUMBER(FIND(B87,'VISÃO LOGISTICA'!$A$2:$A$525)),
0
)
),
""
))</f>
        <v>ALAMEDA BOM PASTOR, SAO JOSE DOS PINHAIS/PR/BRASIL (0,08 Km)</v>
      </c>
      <c r="T87" s="5" t="str">
        <f>IFERROR(
_xlfn.LET(
_xlpm.res,_xlfn.XLOOKUP(B87,'LOCALIZAÇÃO DE CARGA'!$A$2:$A$702,'LOCALIZAÇÃO DE CARGA'!$R$2:$R$702),
IF(_xlpm.res="","",_xlpm.res)
),
""
)</f>
        <v>GUARULHOS/SP/BRASIL</v>
      </c>
    </row>
    <row r="88" spans="1:20">
      <c r="A88" s="14">
        <f t="shared" si="3"/>
        <v>46157</v>
      </c>
      <c r="B88" s="5">
        <v>6022222</v>
      </c>
      <c r="C88" s="45" t="str">
        <f t="shared" ca="1" si="4"/>
        <v>EM VIAGEM</v>
      </c>
      <c r="D88" s="28"/>
      <c r="E88" s="28" t="str">
        <f>IFERROR(
IF(
_xlfn.XLOOKUP(
B88,
'LOCALIZAÇÃO DE CARGA'!$A$2:$A$702,
'LOCALIZAÇÃO DE CARGA'!$D$2:$D$702
)="",
"",
_xlfn.XLOOKUP(
B88,
'LOCALIZAÇÃO DE CARGA'!$A$2:$A$702,
'LOCALIZAÇÃO DE CARGA'!$D$2:$D$702
)
),
""
)</f>
        <v/>
      </c>
      <c r="F88" s="13" t="str">
        <f>IFERROR(
IF(
_xlfn.XLOOKUP(
B88,
'LOCALIZAÇÃO DE CARGA'!$A$2:$A$702,
'LOCALIZAÇÃO DE CARGA'!$H$2:$H$702
)="",
"",
_xlfn.XLOOKUP(
B88,
'LOCALIZAÇÃO DE CARGA'!$A$2:$A$702,
'LOCALIZAÇÃO DE CARGA'!$H$2:$H$702
)
),
""
)</f>
        <v>VIPE TRANSPO</v>
      </c>
      <c r="G88" s="5" t="str">
        <f>IFERROR(
IF(
_xlfn.XLOOKUP(
B88,
'LOCALIZAÇÃO DE CARGA'!$A$2:$A$702,
'LOCALIZAÇÃO DE CARGA'!$I$2:$I$702
)="",
"",
_xlfn.XLOOKUP(
B88,
'LOCALIZAÇÃO DE CARGA'!$A$2:$A$702,
'LOCALIZAÇÃO DE CARGA'!$I$2:$I$702
)
),
""
)</f>
        <v>LGSCT</v>
      </c>
      <c r="H88" s="5" t="str">
        <f>IFERROR(
IF(
_xlfn.XLOOKUP(
B88,
'LOCALIZAÇÃO DE CARGA'!$A$2:$A$702,
'LOCALIZAÇÃO DE CARGA'!$F$2:$F$702
)="",
"",
_xlfn.XLOOKUP(
B88,
'LOCALIZAÇÃO DE CARGA'!$A$2:$A$702,
'LOCALIZAÇÃO DE CARGA'!$F$2:$F$702
)
),
""
)</f>
        <v>Andamento</v>
      </c>
      <c r="I88" s="13" t="str" cm="1">
        <f t="array" ref="I88">IFERROR(
IF(
INDEX(
'VISÃO LOGISTICA'!$C$2:$C$525,
MATCH(
TRUE,
ISNUMBER(FIND(B88,'VISÃO LOGISTICA'!$A$2:$A$525)),
0
)
)="Em espera",
"",
INDEX(
'VISÃO LOGISTICA'!$C$2:$C$525,
MATCH(
TRUE,
ISNUMBER(FIND(B88,'VISÃO LOGISTICA'!$A$2:$A$525)),
0
)
)
),
""
)</f>
        <v>Em Viagem</v>
      </c>
      <c r="J88" s="5" t="str" cm="1">
        <f t="array" ref="J88">IFERROR(
IF(
OR(
INDEX(
'VISÃO LOGISTICA'!$C$2:$C$2000,
MATCH(
TRUE,
ISNUMBER(FIND(B88,'VISÃO LOGISTICA'!$A$2:$A$2000)),
0
)
)="Em espera",
INDEX(
'VISÃO LOGISTICA'!$C$2:$C$2000,
MATCH(
TRUE,
ISNUMBER(FIND(B88,'VISÃO LOGISTICA'!$A$2:$A$2000)),
0
)
)=""
),
"",
INDEX(
'VISÃO LOGISTICA'!$D$2:$D$2000,
MATCH(
TRUE,
ISNUMBER(FIND(B88,'VISÃO LOGISTICA'!$A$2:$A$2000)),
0
)
)
),
""
)</f>
        <v>HJF7C96</v>
      </c>
      <c r="K88" s="10">
        <f>IFERROR(
IF(
_xlfn.XLOOKUP(
B88,
'LOCALIZAÇÃO DE CARGA'!$A$2:$A$702,
'LOCALIZAÇÃO DE CARGA'!$E$2:$E$702)="",
"",
_xlfn.XLOOKUP(
B88,
'LOCALIZAÇÃO DE CARGA'!$A$2:$A$702,
'LOCALIZAÇÃO DE CARGA'!$E$2:$E$702)
),
""
)</f>
        <v>234409.64</v>
      </c>
      <c r="L88" s="20" cm="1">
        <f t="array" ref="L88">IFERROR(
_xlfn.LET(
_xlpm.res,_xlfn.XLOOKUP(B88,'LOCALIZAÇÃO DE CARGA'!$A$2:$A$2000,'LOCALIZAÇÃO DE CARGA'!$G$2:$G$2000),
IF(_xlpm.res="","",_xlpm.res)
),
""
)</f>
        <v>46157.25</v>
      </c>
      <c r="M88" s="20" cm="1">
        <f t="array" ref="M88">IFERROR(
_xlfn.LET(
_xlpm.load,_xlfn.XLOOKUP(B88,'LOCALIZAÇÃO DE CARGA'!$A$2:$A$2000,'LOCALIZAÇÃO DE CARGA'!$A$2:$A$2000),
_xlpm.res,_xlfn.XLOOKUP(_xlpm.load,DOCUMENTOS!$A$2:$A$2000,DOCUMENTOS!$D$2:$D$2000),
IF(_xlpm.res="","",_xlpm.res)
),
""
)</f>
        <v>46157.25</v>
      </c>
      <c r="N88" s="6">
        <f>IFERROR(IF(M88="","",M88-TIME(1,0,0)),"")</f>
        <v>46157.208333333336</v>
      </c>
      <c r="O88" s="6" cm="1">
        <f t="array" ref="O88">IFERROR(
_xlfn.LET(
_xlpm.res,_xlfn.XLOOKUP(B88,'LOCALIZAÇÃO DE CARGA'!$A$2:$A$2000,'LOCALIZAÇÃO DE CARGA'!$S$2:$S$2000),
IF(_xlpm.res="","",_xlpm.res)
),
""
)</f>
        <v>46161.958333333336</v>
      </c>
      <c r="P88" s="6" cm="1">
        <f t="array" ref="P88">IFERROR(
_xlfn.LET(
_xlpm.res,_xlfn.XLOOKUP(B88,'LOCALIZAÇÃO DE CARGA'!$A$2:$A$702,'LOCALIZAÇÃO DE CARGA'!$T$2:$T$702),
IF(_xlpm.res="","",_xlpm.res)
),
""
)</f>
        <v>46159.146527777775</v>
      </c>
      <c r="Q88" s="5" t="str">
        <f>IFERROR(
IF(
_xlfn.XLOOKUP(
B88,
'LOCALIZAÇÃO DE CARGA'!$A$2:$A$702,
'LOCALIZAÇÃO DE CARGA'!$K$2:$K$702
)="",
"",
_xlfn.XLOOKUP(
B88,
'LOCALIZAÇÃO DE CARGA'!$A$2:$A$702,
'LOCALIZAÇÃO DE CARGA'!$K$2:$K$702
)
),
""
)</f>
        <v>GRUPO CASAS BAHIA S.A(CD1760) - CONTAGEM</v>
      </c>
      <c r="R88" s="5" t="str">
        <f t="shared" si="5"/>
        <v>GRUPO CASAS BAHIA S.A</v>
      </c>
      <c r="S88" s="5" t="str" cm="1">
        <f t="array" ref="S88">IF(B88="","",IFERROR(
INDEX(
'VISÃO LOGISTICA'!$L$2:$L$525,
MATCH(
TRUE,
ISNUMBER(FIND(B88,'VISÃO LOGISTICA'!$A$2:$A$525)),
0
)
),
""
))</f>
        <v>RODOVIA PR 25, SAO JOSE DOS PINHAIS/PR/BRASIL (12,97 Km)</v>
      </c>
      <c r="T88" s="5" t="str">
        <f>IFERROR(
_xlfn.LET(
_xlpm.res,_xlfn.XLOOKUP(B88,'LOCALIZAÇÃO DE CARGA'!$A$2:$A$702,'LOCALIZAÇÃO DE CARGA'!$R$2:$R$702),
IF(_xlpm.res="","",_xlpm.res)
),
""
)</f>
        <v>CONTAGEM/MG/BRASIL</v>
      </c>
    </row>
    <row r="89" spans="1:20">
      <c r="A89" s="14">
        <f t="shared" si="3"/>
        <v>46160</v>
      </c>
      <c r="B89" s="5">
        <v>6020923</v>
      </c>
      <c r="C89" s="45" t="str">
        <f t="shared" ca="1" si="4"/>
        <v>NA CLIF - COM SMP - AGUARDANDO SAÍDA</v>
      </c>
      <c r="D89" s="28"/>
      <c r="E89" s="28" t="str">
        <f>IFERROR(
IF(
_xlfn.XLOOKUP(
B89,
'LOCALIZAÇÃO DE CARGA'!$A$2:$A$702,
'LOCALIZAÇÃO DE CARGA'!$D$2:$D$702
)="",
"",
_xlfn.XLOOKUP(
B89,
'LOCALIZAÇÃO DE CARGA'!$A$2:$A$702,
'LOCALIZAÇÃO DE CARGA'!$D$2:$D$702
)
),
""
)</f>
        <v/>
      </c>
      <c r="F89" s="13" t="str">
        <f>IFERROR(
IF(
_xlfn.XLOOKUP(
B89,
'LOCALIZAÇÃO DE CARGA'!$A$2:$A$702,
'LOCALIZAÇÃO DE CARGA'!$H$2:$H$702
)="",
"",
_xlfn.XLOOKUP(
B89,
'LOCALIZAÇÃO DE CARGA'!$A$2:$A$702,
'LOCALIZAÇÃO DE CARGA'!$H$2:$H$702
)
),
""
)</f>
        <v>TRANSKING</v>
      </c>
      <c r="G89" s="5" t="str">
        <f>IFERROR(
IF(
_xlfn.XLOOKUP(
B89,
'LOCALIZAÇÃO DE CARGA'!$A$2:$A$702,
'LOCALIZAÇÃO DE CARGA'!$I$2:$I$702
)="",
"",
_xlfn.XLOOKUP(
B89,
'LOCALIZAÇÃO DE CARGA'!$A$2:$A$702,
'LOCALIZAÇÃO DE CARGA'!$I$2:$I$702
)
),
""
)</f>
        <v>LGSCT</v>
      </c>
      <c r="H89" s="5" t="str">
        <f>IFERROR(
IF(
_xlfn.XLOOKUP(
B89,
'LOCALIZAÇÃO DE CARGA'!$A$2:$A$702,
'LOCALIZAÇÃO DE CARGA'!$F$2:$F$702
)="",
"",
_xlfn.XLOOKUP(
B89,
'LOCALIZAÇÃO DE CARGA'!$A$2:$A$702,
'LOCALIZAÇÃO DE CARGA'!$F$2:$F$702
)
),
""
)</f>
        <v>Andamento</v>
      </c>
      <c r="I89" s="13" t="str" cm="1">
        <f t="array" ref="I89">IFERROR(
IF(
INDEX(
'VISÃO LOGISTICA'!$C$2:$C$525,
MATCH(
TRUE,
ISNUMBER(FIND(B89,'VISÃO LOGISTICA'!$A$2:$A$525)),
0
)
)="Em espera",
"",
INDEX(
'VISÃO LOGISTICA'!$C$2:$C$525,
MATCH(
TRUE,
ISNUMBER(FIND(B89,'VISÃO LOGISTICA'!$A$2:$A$525)),
0
)
)
),
""
)</f>
        <v>Em Viagem</v>
      </c>
      <c r="J89" s="5" t="str" cm="1">
        <f t="array" ref="J89">IFERROR(
IF(
OR(
INDEX(
'VISÃO LOGISTICA'!$C$2:$C$2000,
MATCH(
TRUE,
ISNUMBER(FIND(B89,'VISÃO LOGISTICA'!$A$2:$A$2000)),
0
)
)="Em espera",
INDEX(
'VISÃO LOGISTICA'!$C$2:$C$2000,
MATCH(
TRUE,
ISNUMBER(FIND(B89,'VISÃO LOGISTICA'!$A$2:$A$2000)),
0
)
)=""
),
"",
INDEX(
'VISÃO LOGISTICA'!$D$2:$D$2000,
MATCH(
TRUE,
ISNUMBER(FIND(B89,'VISÃO LOGISTICA'!$A$2:$A$2000)),
0
)
)
),
""
)</f>
        <v>TPP1F18</v>
      </c>
      <c r="K89" s="10">
        <f>IFERROR(
IF(
_xlfn.XLOOKUP(
B89,
'LOCALIZAÇÃO DE CARGA'!$A$2:$A$702,
'LOCALIZAÇÃO DE CARGA'!$E$2:$E$702)="",
"",
_xlfn.XLOOKUP(
B89,
'LOCALIZAÇÃO DE CARGA'!$A$2:$A$702,
'LOCALIZAÇÃO DE CARGA'!$E$2:$E$702)
),
""
)</f>
        <v>229598.6</v>
      </c>
      <c r="L89" s="20" cm="1">
        <f t="array" ref="L89">IFERROR(
_xlfn.LET(
_xlpm.res,_xlfn.XLOOKUP(B89,'LOCALIZAÇÃO DE CARGA'!$A$2:$A$2000,'LOCALIZAÇÃO DE CARGA'!$G$2:$G$2000),
IF(_xlpm.res="","",_xlpm.res)
),
""
)</f>
        <v>46159.765972222223</v>
      </c>
      <c r="M89" s="20" cm="1">
        <f t="array" ref="M89">IFERROR(
_xlfn.LET(
_xlpm.load,_xlfn.XLOOKUP(B89,'LOCALIZAÇÃO DE CARGA'!$A$2:$A$2000,'LOCALIZAÇÃO DE CARGA'!$A$2:$A$2000),
_xlpm.res,_xlfn.XLOOKUP(_xlpm.load,DOCUMENTOS!$A$2:$A$2000,DOCUMENTOS!$D$2:$D$2000),
IF(_xlpm.res="","",_xlpm.res)
),
""
)</f>
        <v>46160.416666666664</v>
      </c>
      <c r="N89" s="6">
        <f>IFERROR(IF(M89="","",M89-TIME(1,0,0)),"")</f>
        <v>46160.375</v>
      </c>
      <c r="O89" s="6" cm="1">
        <f t="array" ref="O89">IFERROR(
_xlfn.LET(
_xlpm.res,_xlfn.XLOOKUP(B89,'LOCALIZAÇÃO DE CARGA'!$A$2:$A$2000,'LOCALIZAÇÃO DE CARGA'!$S$2:$S$2000),
IF(_xlpm.res="","",_xlpm.res)
),
""
)</f>
        <v>46160.208333333336</v>
      </c>
      <c r="P89" s="6" cm="1">
        <f t="array" ref="P89">IFERROR(
_xlfn.LET(
_xlpm.res,_xlfn.XLOOKUP(B89,'LOCALIZAÇÃO DE CARGA'!$A$2:$A$702,'LOCALIZAÇÃO DE CARGA'!$T$2:$T$702),
IF(_xlpm.res="","",_xlpm.res)
),
""
)</f>
        <v>46158.844444444447</v>
      </c>
      <c r="Q89" s="5" t="str">
        <f>IFERROR(
IF(
_xlfn.XLOOKUP(
B89,
'LOCALIZAÇÃO DE CARGA'!$A$2:$A$702,
'LOCALIZAÇÃO DE CARGA'!$K$2:$K$702
)="",
"",
_xlfn.XLOOKUP(
B89,
'LOCALIZAÇÃO DE CARGA'!$A$2:$A$702,
'LOCALIZAÇÃO DE CARGA'!$K$2:$K$702
)
),
""
)</f>
        <v>EBAZAR.COM.BR. LTDA - 07750020</v>
      </c>
      <c r="R89" s="5" t="str">
        <f t="shared" si="5"/>
        <v>EBAZAR.COM.BR. LTDA</v>
      </c>
      <c r="S89" s="5" t="str" cm="1">
        <f t="array" ref="S89">IF(B89="","",IFERROR(
INDEX(
'VISÃO LOGISTICA'!$L$2:$L$525,
MATCH(
TRUE,
ISNUMBER(FIND(B89,'VISÃO LOGISTICA'!$A$2:$A$525)),
0
)
),
""
))</f>
        <v>ITAPOA/SC/BRASIL</v>
      </c>
      <c r="T89" s="5" t="str">
        <f>IFERROR(
_xlfn.LET(
_xlpm.res,_xlfn.XLOOKUP(B89,'LOCALIZAÇÃO DE CARGA'!$A$2:$A$702,'LOCALIZAÇÃO DE CARGA'!$R$2:$R$702),
IF(_xlpm.res="","",_xlpm.res)
),
""
)</f>
        <v>CAJAMAR/SP/BRASIL</v>
      </c>
    </row>
    <row r="90" spans="1:20">
      <c r="A90" s="14">
        <f t="shared" si="3"/>
        <v>46160</v>
      </c>
      <c r="B90" s="5">
        <v>6023016</v>
      </c>
      <c r="C90" s="45" t="str">
        <f t="shared" ca="1" si="4"/>
        <v>OK - NO PRAZO</v>
      </c>
      <c r="D90" s="28"/>
      <c r="E90" s="28" t="str">
        <f>IFERROR(
IF(
_xlfn.XLOOKUP(
B90,
'LOCALIZAÇÃO DE CARGA'!$A$2:$A$702,
'LOCALIZAÇÃO DE CARGA'!$D$2:$D$702
)="",
"",
_xlfn.XLOOKUP(
B90,
'LOCALIZAÇÃO DE CARGA'!$A$2:$A$702,
'LOCALIZAÇÃO DE CARGA'!$D$2:$D$702
)
),
""
)</f>
        <v/>
      </c>
      <c r="F90" s="13" t="str">
        <f>IFERROR(
IF(
_xlfn.XLOOKUP(
B90,
'LOCALIZAÇÃO DE CARGA'!$A$2:$A$702,
'LOCALIZAÇÃO DE CARGA'!$H$2:$H$702
)="",
"",
_xlfn.XLOOKUP(
B90,
'LOCALIZAÇÃO DE CARGA'!$A$2:$A$702,
'LOCALIZAÇÃO DE CARGA'!$H$2:$H$702
)
),
""
)</f>
        <v>TRANSP RODOWAY LTDA</v>
      </c>
      <c r="G90" s="5" t="str">
        <f>IFERROR(
IF(
_xlfn.XLOOKUP(
B90,
'LOCALIZAÇÃO DE CARGA'!$A$2:$A$702,
'LOCALIZAÇÃO DE CARGA'!$I$2:$I$702
)="",
"",
_xlfn.XLOOKUP(
B90,
'LOCALIZAÇÃO DE CARGA'!$A$2:$A$702,
'LOCALIZAÇÃO DE CARGA'!$I$2:$I$702
)
),
""
)</f>
        <v>LGSCT</v>
      </c>
      <c r="H90" s="5" t="str">
        <f>IFERROR(
IF(
_xlfn.XLOOKUP(
B90,
'LOCALIZAÇÃO DE CARGA'!$A$2:$A$702,
'LOCALIZAÇÃO DE CARGA'!$F$2:$F$702
)="",
"",
_xlfn.XLOOKUP(
B90,
'LOCALIZAÇÃO DE CARGA'!$A$2:$A$702,
'LOCALIZAÇÃO DE CARGA'!$F$2:$F$702
)
),
""
)</f>
        <v>Não iniciado</v>
      </c>
      <c r="I90" s="13" t="str" cm="1">
        <f t="array" ref="I90">IFERROR(
IF(
INDEX(
'VISÃO LOGISTICA'!$C$2:$C$525,
MATCH(
TRUE,
ISNUMBER(FIND(B90,'VISÃO LOGISTICA'!$A$2:$A$525)),
0
)
)="Em espera",
"",
INDEX(
'VISÃO LOGISTICA'!$C$2:$C$525,
MATCH(
TRUE,
ISNUMBER(FIND(B90,'VISÃO LOGISTICA'!$A$2:$A$525)),
0
)
)
),
""
)</f>
        <v/>
      </c>
      <c r="J90" s="5" t="str" cm="1">
        <f t="array" ref="J90">IFERROR(
IF(
OR(
INDEX(
'VISÃO LOGISTICA'!$C$2:$C$2000,
MATCH(
TRUE,
ISNUMBER(FIND(B90,'VISÃO LOGISTICA'!$A$2:$A$2000)),
0
)
)="Em espera",
INDEX(
'VISÃO LOGISTICA'!$C$2:$C$2000,
MATCH(
TRUE,
ISNUMBER(FIND(B90,'VISÃO LOGISTICA'!$A$2:$A$2000)),
0
)
)=""
),
"",
INDEX(
'VISÃO LOGISTICA'!$D$2:$D$2000,
MATCH(
TRUE,
ISNUMBER(FIND(B90,'VISÃO LOGISTICA'!$A$2:$A$2000)),
0
)
)
),
""
)</f>
        <v/>
      </c>
      <c r="K90" s="10">
        <f>IFERROR(
IF(
_xlfn.XLOOKUP(
B90,
'LOCALIZAÇÃO DE CARGA'!$A$2:$A$702,
'LOCALIZAÇÃO DE CARGA'!$E$2:$E$702)="",
"",
_xlfn.XLOOKUP(
B90,
'LOCALIZAÇÃO DE CARGA'!$A$2:$A$702,
'LOCALIZAÇÃO DE CARGA'!$E$2:$E$702)
),
""
)</f>
        <v>223957.19</v>
      </c>
      <c r="L90" s="20" cm="1">
        <f t="array" ref="L90">IFERROR(
_xlfn.LET(
_xlpm.res,_xlfn.XLOOKUP(B90,'LOCALIZAÇÃO DE CARGA'!$A$2:$A$2000,'LOCALIZAÇÃO DE CARGA'!$G$2:$G$2000),
IF(_xlpm.res="","",_xlpm.res)
),
""
)</f>
        <v>46161.522222222222</v>
      </c>
      <c r="M90" s="20" cm="1">
        <f t="array" ref="M90">IFERROR(
_xlfn.LET(
_xlpm.load,_xlfn.XLOOKUP(B90,'LOCALIZAÇÃO DE CARGA'!$A$2:$A$2000,'LOCALIZAÇÃO DE CARGA'!$A$2:$A$2000),
_xlpm.res,_xlfn.XLOOKUP(_xlpm.load,DOCUMENTOS!$A$2:$A$2000,DOCUMENTOS!$D$2:$D$2000),
IF(_xlpm.res="","",_xlpm.res)
),
""
)</f>
        <v>46160.333333333336</v>
      </c>
      <c r="N90" s="6">
        <f>IFERROR(IF(M90="","",M90-TIME(1,0,0)),"")</f>
        <v>46160.291666666672</v>
      </c>
      <c r="O90" s="6" cm="1">
        <f t="array" ref="O90">IFERROR(
_xlfn.LET(
_xlpm.res,_xlfn.XLOOKUP(B90,'LOCALIZAÇÃO DE CARGA'!$A$2:$A$2000,'LOCALIZAÇÃO DE CARGA'!$S$2:$S$2000),
IF(_xlpm.res="","",_xlpm.res)
),
""
)</f>
        <v>46161.958333333336</v>
      </c>
      <c r="P90" s="6" t="str" cm="1">
        <f t="array" ref="P90">IFERROR(
_xlfn.LET(
_xlpm.res,_xlfn.XLOOKUP(B90,'LOCALIZAÇÃO DE CARGA'!$A$2:$A$702,'LOCALIZAÇÃO DE CARGA'!$T$2:$T$702),
IF(_xlpm.res="","",_xlpm.res)
),
""
)</f>
        <v/>
      </c>
      <c r="Q90" s="5" t="str">
        <f>IFERROR(
IF(
_xlfn.XLOOKUP(
B90,
'LOCALIZAÇÃO DE CARGA'!$A$2:$A$702,
'LOCALIZAÇÃO DE CARGA'!$K$2:$K$702
)="",
"",
_xlfn.XLOOKUP(
B90,
'LOCALIZAÇÃO DE CARGA'!$A$2:$A$702,
'LOCALIZAÇÃO DE CARGA'!$K$2:$K$702
)
),
""
)</f>
        <v>GRUPO CASAS BAHIA S.A(CD1500) - 09790400</v>
      </c>
      <c r="R90" s="5" t="str">
        <f t="shared" si="5"/>
        <v>GRUPO CASAS BAHIA S.A</v>
      </c>
      <c r="S90" s="5" t="str" cm="1">
        <f t="array" ref="S90">IF(B90="","",IFERROR(
INDEX(
'VISÃO LOGISTICA'!$L$2:$L$525,
MATCH(
TRUE,
ISNUMBER(FIND(B90,'VISÃO LOGISTICA'!$A$2:$A$525)),
0
)
),
""
))</f>
        <v/>
      </c>
      <c r="T90" s="5" t="str">
        <f>IFERROR(
_xlfn.LET(
_xlpm.res,_xlfn.XLOOKUP(B90,'LOCALIZAÇÃO DE CARGA'!$A$2:$A$702,'LOCALIZAÇÃO DE CARGA'!$R$2:$R$702),
IF(_xlpm.res="","",_xlpm.res)
),
""
)</f>
        <v>SAO BERNARDO DO CAMPO/SP/BRASIL</v>
      </c>
    </row>
    <row r="91" spans="1:20">
      <c r="A91" s="14">
        <f t="shared" si="3"/>
        <v>46157</v>
      </c>
      <c r="B91" s="5">
        <v>6022184</v>
      </c>
      <c r="C91" s="45" t="str">
        <f t="shared" ca="1" si="4"/>
        <v>EM VIAGEM</v>
      </c>
      <c r="D91" s="28"/>
      <c r="E91" s="28" t="str">
        <f>IFERROR(
IF(
_xlfn.XLOOKUP(
B91,
'LOCALIZAÇÃO DE CARGA'!$A$2:$A$702,
'LOCALIZAÇÃO DE CARGA'!$D$2:$D$702
)="",
"",
_xlfn.XLOOKUP(
B91,
'LOCALIZAÇÃO DE CARGA'!$A$2:$A$702,
'LOCALIZAÇÃO DE CARGA'!$D$2:$D$702
)
),
""
)</f>
        <v/>
      </c>
      <c r="F91" s="13" t="str">
        <f>IFERROR(
IF(
_xlfn.XLOOKUP(
B91,
'LOCALIZAÇÃO DE CARGA'!$A$2:$A$702,
'LOCALIZAÇÃO DE CARGA'!$H$2:$H$702
)="",
"",
_xlfn.XLOOKUP(
B91,
'LOCALIZAÇÃO DE CARGA'!$A$2:$A$702,
'LOCALIZAÇÃO DE CARGA'!$H$2:$H$702
)
),
""
)</f>
        <v>TRANSBOCAYUV</v>
      </c>
      <c r="G91" s="5" t="str">
        <f>IFERROR(
IF(
_xlfn.XLOOKUP(
B91,
'LOCALIZAÇÃO DE CARGA'!$A$2:$A$702,
'LOCALIZAÇÃO DE CARGA'!$I$2:$I$702
)="",
"",
_xlfn.XLOOKUP(
B91,
'LOCALIZAÇÃO DE CARGA'!$A$2:$A$702,
'LOCALIZAÇÃO DE CARGA'!$I$2:$I$702
)
),
""
)</f>
        <v>LGSCT</v>
      </c>
      <c r="H91" s="5" t="str">
        <f>IFERROR(
IF(
_xlfn.XLOOKUP(
B91,
'LOCALIZAÇÃO DE CARGA'!$A$2:$A$702,
'LOCALIZAÇÃO DE CARGA'!$F$2:$F$702
)="",
"",
_xlfn.XLOOKUP(
B91,
'LOCALIZAÇÃO DE CARGA'!$A$2:$A$702,
'LOCALIZAÇÃO DE CARGA'!$F$2:$F$702
)
),
""
)</f>
        <v>Andamento</v>
      </c>
      <c r="I91" s="13" t="str" cm="1">
        <f t="array" ref="I91">IFERROR(
IF(
INDEX(
'VISÃO LOGISTICA'!$C$2:$C$525,
MATCH(
TRUE,
ISNUMBER(FIND(B91,'VISÃO LOGISTICA'!$A$2:$A$525)),
0
)
)="Em espera",
"",
INDEX(
'VISÃO LOGISTICA'!$C$2:$C$525,
MATCH(
TRUE,
ISNUMBER(FIND(B91,'VISÃO LOGISTICA'!$A$2:$A$525)),
0
)
)
),
""
)</f>
        <v>Em Viagem</v>
      </c>
      <c r="J91" s="5" t="str" cm="1">
        <f t="array" ref="J91">IFERROR(
IF(
OR(
INDEX(
'VISÃO LOGISTICA'!$C$2:$C$2000,
MATCH(
TRUE,
ISNUMBER(FIND(B91,'VISÃO LOGISTICA'!$A$2:$A$2000)),
0
)
)="Em espera",
INDEX(
'VISÃO LOGISTICA'!$C$2:$C$2000,
MATCH(
TRUE,
ISNUMBER(FIND(B91,'VISÃO LOGISTICA'!$A$2:$A$2000)),
0
)
)=""
),
"",
INDEX(
'VISÃO LOGISTICA'!$D$2:$D$2000,
MATCH(
TRUE,
ISNUMBER(FIND(B91,'VISÃO LOGISTICA'!$A$2:$A$2000)),
0
)
)
),
""
)</f>
        <v>TOF2A43</v>
      </c>
      <c r="K91" s="10">
        <f>IFERROR(
IF(
_xlfn.XLOOKUP(
B91,
'LOCALIZAÇÃO DE CARGA'!$A$2:$A$702,
'LOCALIZAÇÃO DE CARGA'!$E$2:$E$702)="",
"",
_xlfn.XLOOKUP(
B91,
'LOCALIZAÇÃO DE CARGA'!$A$2:$A$702,
'LOCALIZAÇÃO DE CARGA'!$E$2:$E$702)
),
""
)</f>
        <v>223096.56</v>
      </c>
      <c r="L91" s="20" cm="1">
        <f t="array" ref="L91">IFERROR(
_xlfn.LET(
_xlpm.res,_xlfn.XLOOKUP(B91,'LOCALIZAÇÃO DE CARGA'!$A$2:$A$2000,'LOCALIZAÇÃO DE CARGA'!$G$2:$G$2000),
IF(_xlpm.res="","",_xlpm.res)
),
""
)</f>
        <v>46159.826388888891</v>
      </c>
      <c r="M91" s="20" cm="1">
        <f t="array" ref="M91">IFERROR(
_xlfn.LET(
_xlpm.load,_xlfn.XLOOKUP(B91,'LOCALIZAÇÃO DE CARGA'!$A$2:$A$2000,'LOCALIZAÇÃO DE CARGA'!$A$2:$A$2000),
_xlpm.res,_xlfn.XLOOKUP(_xlpm.load,DOCUMENTOS!$A$2:$A$2000,DOCUMENTOS!$D$2:$D$2000),
IF(_xlpm.res="","",_xlpm.res)
),
""
)</f>
        <v>46157.333333333336</v>
      </c>
      <c r="N91" s="6">
        <f>IFERROR(IF(M91="","",M91-TIME(1,0,0)),"")</f>
        <v>46157.291666666672</v>
      </c>
      <c r="O91" s="6" cm="1">
        <f t="array" ref="O91">IFERROR(
_xlfn.LET(
_xlpm.res,_xlfn.XLOOKUP(B91,'LOCALIZAÇÃO DE CARGA'!$A$2:$A$2000,'LOCALIZAÇÃO DE CARGA'!$S$2:$S$2000),
IF(_xlpm.res="","",_xlpm.res)
),
""
)</f>
        <v>46160.25</v>
      </c>
      <c r="P91" s="6" cm="1">
        <f t="array" ref="P91">IFERROR(
_xlfn.LET(
_xlpm.res,_xlfn.XLOOKUP(B91,'LOCALIZAÇÃO DE CARGA'!$A$2:$A$702,'LOCALIZAÇÃO DE CARGA'!$T$2:$T$702),
IF(_xlpm.res="","",_xlpm.res)
),
""
)</f>
        <v>46158.54791666667</v>
      </c>
      <c r="Q91" s="5" t="str">
        <f>IFERROR(
IF(
_xlfn.XLOOKUP(
B91,
'LOCALIZAÇÃO DE CARGA'!$A$2:$A$702,
'LOCALIZAÇÃO DE CARGA'!$K$2:$K$702
)="",
"",
_xlfn.XLOOKUP(
B91,
'LOCALIZAÇÃO DE CARGA'!$A$2:$A$702,
'LOCALIZAÇÃO DE CARGA'!$K$2:$K$702
)
),
""
)</f>
        <v>GRUPO CASAS BAHIA S.A(CD1200) - 13203850</v>
      </c>
      <c r="R91" s="5" t="str">
        <f t="shared" si="5"/>
        <v>GRUPO CASAS BAHIA S.A</v>
      </c>
      <c r="S91" s="5" t="str" cm="1">
        <f t="array" ref="S91">IF(B91="","",IFERROR(
INDEX(
'VISÃO LOGISTICA'!$L$2:$L$525,
MATCH(
TRUE,
ISNUMBER(FIND(B91,'VISÃO LOGISTICA'!$A$2:$A$525)),
0
)
),
""
))</f>
        <v>VIA TATUQUARA OBELISCO-QUATO BARRAS EM CONSTRUÇAO, SAO JOSE DOS PINHAIS/PR/BRASIL (0,31 Km)</v>
      </c>
      <c r="T91" s="5" t="str">
        <f>IFERROR(
_xlfn.LET(
_xlpm.res,_xlfn.XLOOKUP(B91,'LOCALIZAÇÃO DE CARGA'!$A$2:$A$702,'LOCALIZAÇÃO DE CARGA'!$R$2:$R$702),
IF(_xlpm.res="","",_xlpm.res)
),
""
)</f>
        <v>JUNDIAI/SP/BRASIL</v>
      </c>
    </row>
    <row r="92" spans="1:20">
      <c r="A92" s="14">
        <f t="shared" si="3"/>
        <v>46157</v>
      </c>
      <c r="B92" s="5">
        <v>6022253</v>
      </c>
      <c r="C92" s="45" t="str">
        <f t="shared" ca="1" si="4"/>
        <v>ATRASADO CARREGAMENTO - SEM SMP</v>
      </c>
      <c r="D92" s="28"/>
      <c r="E92" s="28" t="str">
        <f>IFERROR(
IF(
_xlfn.XLOOKUP(
B92,
'LOCALIZAÇÃO DE CARGA'!$A$2:$A$702,
'LOCALIZAÇÃO DE CARGA'!$D$2:$D$702
)="",
"",
_xlfn.XLOOKUP(
B92,
'LOCALIZAÇÃO DE CARGA'!$A$2:$A$702,
'LOCALIZAÇÃO DE CARGA'!$D$2:$D$702
)
),
""
)</f>
        <v/>
      </c>
      <c r="F92" s="13" t="str">
        <f>IFERROR(
IF(
_xlfn.XLOOKUP(
B92,
'LOCALIZAÇÃO DE CARGA'!$A$2:$A$702,
'LOCALIZAÇÃO DE CARGA'!$H$2:$H$702
)="",
"",
_xlfn.XLOOKUP(
B92,
'LOCALIZAÇÃO DE CARGA'!$A$2:$A$702,
'LOCALIZAÇÃO DE CARGA'!$H$2:$H$702
)
),
""
)</f>
        <v>WSC</v>
      </c>
      <c r="G92" s="5" t="str">
        <f>IFERROR(
IF(
_xlfn.XLOOKUP(
B92,
'LOCALIZAÇÃO DE CARGA'!$A$2:$A$702,
'LOCALIZAÇÃO DE CARGA'!$I$2:$I$702
)="",
"",
_xlfn.XLOOKUP(
B92,
'LOCALIZAÇÃO DE CARGA'!$A$2:$A$702,
'LOCALIZAÇÃO DE CARGA'!$I$2:$I$702
)
),
""
)</f>
        <v>LGSCT</v>
      </c>
      <c r="H92" s="5" t="str">
        <f>IFERROR(
IF(
_xlfn.XLOOKUP(
B92,
'LOCALIZAÇÃO DE CARGA'!$A$2:$A$702,
'LOCALIZAÇÃO DE CARGA'!$F$2:$F$702
)="",
"",
_xlfn.XLOOKUP(
B92,
'LOCALIZAÇÃO DE CARGA'!$A$2:$A$702,
'LOCALIZAÇÃO DE CARGA'!$F$2:$F$702
)
),
""
)</f>
        <v>Não iniciado</v>
      </c>
      <c r="I92" s="13" t="str" cm="1">
        <f t="array" ref="I92">IFERROR(
IF(
INDEX(
'VISÃO LOGISTICA'!$C$2:$C$525,
MATCH(
TRUE,
ISNUMBER(FIND(B92,'VISÃO LOGISTICA'!$A$2:$A$525)),
0
)
)="Em espera",
"",
INDEX(
'VISÃO LOGISTICA'!$C$2:$C$525,
MATCH(
TRUE,
ISNUMBER(FIND(B92,'VISÃO LOGISTICA'!$A$2:$A$525)),
0
)
)
),
""
)</f>
        <v/>
      </c>
      <c r="J92" s="5" t="str" cm="1">
        <f t="array" ref="J92">IFERROR(
IF(
OR(
INDEX(
'VISÃO LOGISTICA'!$C$2:$C$2000,
MATCH(
TRUE,
ISNUMBER(FIND(B92,'VISÃO LOGISTICA'!$A$2:$A$2000)),
0
)
)="Em espera",
INDEX(
'VISÃO LOGISTICA'!$C$2:$C$2000,
MATCH(
TRUE,
ISNUMBER(FIND(B92,'VISÃO LOGISTICA'!$A$2:$A$2000)),
0
)
)=""
),
"",
INDEX(
'VISÃO LOGISTICA'!$D$2:$D$2000,
MATCH(
TRUE,
ISNUMBER(FIND(B92,'VISÃO LOGISTICA'!$A$2:$A$2000)),
0
)
)
),
""
)</f>
        <v/>
      </c>
      <c r="K92" s="10">
        <f>IFERROR(
IF(
_xlfn.XLOOKUP(
B92,
'LOCALIZAÇÃO DE CARGA'!$A$2:$A$702,
'LOCALIZAÇÃO DE CARGA'!$E$2:$E$702)="",
"",
_xlfn.XLOOKUP(
B92,
'LOCALIZAÇÃO DE CARGA'!$A$2:$A$702,
'LOCALIZAÇÃO DE CARGA'!$E$2:$E$702)
),
""
)</f>
        <v>220131.09</v>
      </c>
      <c r="L92" s="20" cm="1">
        <f t="array" ref="L92">IFERROR(
_xlfn.LET(
_xlpm.res,_xlfn.XLOOKUP(B92,'LOCALIZAÇÃO DE CARGA'!$A$2:$A$2000,'LOCALIZAÇÃO DE CARGA'!$G$2:$G$2000),
IF(_xlpm.res="","",_xlpm.res)
),
""
)</f>
        <v>46166.060416666667</v>
      </c>
      <c r="M92" s="20" cm="1">
        <f t="array" ref="M92">IFERROR(
_xlfn.LET(
_xlpm.load,_xlfn.XLOOKUP(B92,'LOCALIZAÇÃO DE CARGA'!$A$2:$A$2000,'LOCALIZAÇÃO DE CARGA'!$A$2:$A$2000),
_xlpm.res,_xlfn.XLOOKUP(_xlpm.load,DOCUMENTOS!$A$2:$A$2000,DOCUMENTOS!$D$2:$D$2000),
IF(_xlpm.res="","",_xlpm.res)
),
""
)</f>
        <v>46157.75</v>
      </c>
      <c r="N92" s="6">
        <f>IFERROR(IF(M92="","",M92-TIME(1,0,0)),"")</f>
        <v>46157.708333333336</v>
      </c>
      <c r="O92" s="6" cm="1">
        <f t="array" ref="O92">IFERROR(
_xlfn.LET(
_xlpm.res,_xlfn.XLOOKUP(B92,'LOCALIZAÇÃO DE CARGA'!$A$2:$A$2000,'LOCALIZAÇÃO DE CARGA'!$S$2:$S$2000),
IF(_xlpm.res="","",_xlpm.res)
),
""
)</f>
        <v>46171.25</v>
      </c>
      <c r="P92" s="6" t="str" cm="1">
        <f t="array" ref="P92">IFERROR(
_xlfn.LET(
_xlpm.res,_xlfn.XLOOKUP(B92,'LOCALIZAÇÃO DE CARGA'!$A$2:$A$702,'LOCALIZAÇÃO DE CARGA'!$T$2:$T$702),
IF(_xlpm.res="","",_xlpm.res)
),
""
)</f>
        <v/>
      </c>
      <c r="Q92" s="5" t="str">
        <f>IFERROR(
IF(
_xlfn.XLOOKUP(
B92,
'LOCALIZAÇÃO DE CARGA'!$A$2:$A$702,
'LOCALIZAÇÃO DE CARGA'!$K$2:$K$702
)="",
"",
_xlfn.XLOOKUP(
B92,
'LOCALIZAÇÃO DE CARGA'!$A$2:$A$702,
'LOCALIZAÇÃO DE CARGA'!$K$2:$K$702
)
),
""
)</f>
        <v>MAGAZINE LUIZA S/A (CD2650) - 68795000</v>
      </c>
      <c r="R92" s="5" t="str">
        <f t="shared" si="5"/>
        <v>MAGAZINE LUIZA S/A</v>
      </c>
      <c r="S92" s="5" t="str" cm="1">
        <f t="array" ref="S92">IF(B92="","",IFERROR(
INDEX(
'VISÃO LOGISTICA'!$L$2:$L$525,
MATCH(
TRUE,
ISNUMBER(FIND(B92,'VISÃO LOGISTICA'!$A$2:$A$525)),
0
)
),
""
))</f>
        <v/>
      </c>
      <c r="T92" s="5" t="str">
        <f>IFERROR(
_xlfn.LET(
_xlpm.res,_xlfn.XLOOKUP(B92,'LOCALIZAÇÃO DE CARGA'!$A$2:$A$702,'LOCALIZAÇÃO DE CARGA'!$R$2:$R$702),
IF(_xlpm.res="","",_xlpm.res)
),
""
)</f>
        <v>BENEVIDES/PA/BRASIL</v>
      </c>
    </row>
    <row r="93" spans="1:20">
      <c r="A93" s="14">
        <f t="shared" si="3"/>
        <v>46157</v>
      </c>
      <c r="B93" s="5">
        <v>6022221</v>
      </c>
      <c r="C93" s="45" t="str">
        <f t="shared" ca="1" si="4"/>
        <v>EM VIAGEM</v>
      </c>
      <c r="D93" s="28"/>
      <c r="E93" s="28" t="str">
        <f>IFERROR(
IF(
_xlfn.XLOOKUP(
B93,
'LOCALIZAÇÃO DE CARGA'!$A$2:$A$702,
'LOCALIZAÇÃO DE CARGA'!$D$2:$D$702
)="",
"",
_xlfn.XLOOKUP(
B93,
'LOCALIZAÇÃO DE CARGA'!$A$2:$A$702,
'LOCALIZAÇÃO DE CARGA'!$D$2:$D$702
)
),
""
)</f>
        <v/>
      </c>
      <c r="F93" s="13" t="str">
        <f>IFERROR(
IF(
_xlfn.XLOOKUP(
B93,
'LOCALIZAÇÃO DE CARGA'!$A$2:$A$702,
'LOCALIZAÇÃO DE CARGA'!$H$2:$H$702
)="",
"",
_xlfn.XLOOKUP(
B93,
'LOCALIZAÇÃO DE CARGA'!$A$2:$A$702,
'LOCALIZAÇÃO DE CARGA'!$H$2:$H$702
)
),
""
)</f>
        <v>VIPE TRANSPO</v>
      </c>
      <c r="G93" s="5" t="str">
        <f>IFERROR(
IF(
_xlfn.XLOOKUP(
B93,
'LOCALIZAÇÃO DE CARGA'!$A$2:$A$702,
'LOCALIZAÇÃO DE CARGA'!$I$2:$I$702
)="",
"",
_xlfn.XLOOKUP(
B93,
'LOCALIZAÇÃO DE CARGA'!$A$2:$A$702,
'LOCALIZAÇÃO DE CARGA'!$I$2:$I$702
)
),
""
)</f>
        <v>LGSCT</v>
      </c>
      <c r="H93" s="5" t="str">
        <f>IFERROR(
IF(
_xlfn.XLOOKUP(
B93,
'LOCALIZAÇÃO DE CARGA'!$A$2:$A$702,
'LOCALIZAÇÃO DE CARGA'!$F$2:$F$702
)="",
"",
_xlfn.XLOOKUP(
B93,
'LOCALIZAÇÃO DE CARGA'!$A$2:$A$702,
'LOCALIZAÇÃO DE CARGA'!$F$2:$F$702
)
),
""
)</f>
        <v>Andamento</v>
      </c>
      <c r="I93" s="13" t="str" cm="1">
        <f t="array" ref="I93">IFERROR(
IF(
INDEX(
'VISÃO LOGISTICA'!$C$2:$C$525,
MATCH(
TRUE,
ISNUMBER(FIND(B93,'VISÃO LOGISTICA'!$A$2:$A$525)),
0
)
)="Em espera",
"",
INDEX(
'VISÃO LOGISTICA'!$C$2:$C$525,
MATCH(
TRUE,
ISNUMBER(FIND(B93,'VISÃO LOGISTICA'!$A$2:$A$525)),
0
)
)
),
""
)</f>
        <v>Em Viagem</v>
      </c>
      <c r="J93" s="5" t="str" cm="1">
        <f t="array" ref="J93">IFERROR(
IF(
OR(
INDEX(
'VISÃO LOGISTICA'!$C$2:$C$2000,
MATCH(
TRUE,
ISNUMBER(FIND(B93,'VISÃO LOGISTICA'!$A$2:$A$2000)),
0
)
)="Em espera",
INDEX(
'VISÃO LOGISTICA'!$C$2:$C$2000,
MATCH(
TRUE,
ISNUMBER(FIND(B93,'VISÃO LOGISTICA'!$A$2:$A$2000)),
0
)
)=""
),
"",
INDEX(
'VISÃO LOGISTICA'!$D$2:$D$2000,
MATCH(
TRUE,
ISNUMBER(FIND(B93,'VISÃO LOGISTICA'!$A$2:$A$2000)),
0
)
)
),
""
)</f>
        <v>JAZ7A56</v>
      </c>
      <c r="K93" s="10">
        <f>IFERROR(
IF(
_xlfn.XLOOKUP(
B93,
'LOCALIZAÇÃO DE CARGA'!$A$2:$A$702,
'LOCALIZAÇÃO DE CARGA'!$E$2:$E$702)="",
"",
_xlfn.XLOOKUP(
B93,
'LOCALIZAÇÃO DE CARGA'!$A$2:$A$702,
'LOCALIZAÇÃO DE CARGA'!$E$2:$E$702)
),
""
)</f>
        <v>219918.16</v>
      </c>
      <c r="L93" s="20" cm="1">
        <f t="array" ref="L93">IFERROR(
_xlfn.LET(
_xlpm.res,_xlfn.XLOOKUP(B93,'LOCALIZAÇÃO DE CARGA'!$A$2:$A$2000,'LOCALIZAÇÃO DE CARGA'!$G$2:$G$2000),
IF(_xlpm.res="","",_xlpm.res)
),
""
)</f>
        <v>46157.25</v>
      </c>
      <c r="M93" s="20" cm="1">
        <f t="array" ref="M93">IFERROR(
_xlfn.LET(
_xlpm.load,_xlfn.XLOOKUP(B93,'LOCALIZAÇÃO DE CARGA'!$A$2:$A$2000,'LOCALIZAÇÃO DE CARGA'!$A$2:$A$2000),
_xlpm.res,_xlfn.XLOOKUP(_xlpm.load,DOCUMENTOS!$A$2:$A$2000,DOCUMENTOS!$D$2:$D$2000),
IF(_xlpm.res="","",_xlpm.res)
),
""
)</f>
        <v>46157.25</v>
      </c>
      <c r="N93" s="6">
        <f>IFERROR(IF(M93="","",M93-TIME(1,0,0)),"")</f>
        <v>46157.208333333336</v>
      </c>
      <c r="O93" s="6" cm="1">
        <f t="array" ref="O93">IFERROR(
_xlfn.LET(
_xlpm.res,_xlfn.XLOOKUP(B93,'LOCALIZAÇÃO DE CARGA'!$A$2:$A$2000,'LOCALIZAÇÃO DE CARGA'!$S$2:$S$2000),
IF(_xlpm.res="","",_xlpm.res)
),
""
)</f>
        <v>46162.958333333336</v>
      </c>
      <c r="P93" s="6" cm="1">
        <f t="array" ref="P93">IFERROR(
_xlfn.LET(
_xlpm.res,_xlfn.XLOOKUP(B93,'LOCALIZAÇÃO DE CARGA'!$A$2:$A$702,'LOCALIZAÇÃO DE CARGA'!$T$2:$T$702),
IF(_xlpm.res="","",_xlpm.res)
),
""
)</f>
        <v>46159.681944444441</v>
      </c>
      <c r="Q93" s="5" t="str">
        <f>IFERROR(
IF(
_xlfn.XLOOKUP(
B93,
'LOCALIZAÇÃO DE CARGA'!$A$2:$A$702,
'LOCALIZAÇÃO DE CARGA'!$K$2:$K$702
)="",
"",
_xlfn.XLOOKUP(
B93,
'LOCALIZAÇÃO DE CARGA'!$A$2:$A$702,
'LOCALIZAÇÃO DE CARGA'!$K$2:$K$702
)
),
""
)</f>
        <v>GRUPO CASAS BAHIA S.A(CD1635) - 78098530</v>
      </c>
      <c r="R93" s="5" t="str">
        <f t="shared" si="5"/>
        <v>GRUPO CASAS BAHIA S.A</v>
      </c>
      <c r="S93" s="5" t="str" cm="1">
        <f t="array" ref="S93">IF(B93="","",IFERROR(
INDEX(
'VISÃO LOGISTICA'!$L$2:$L$525,
MATCH(
TRUE,
ISNUMBER(FIND(B93,'VISÃO LOGISTICA'!$A$2:$A$525)),
0
)
),
""
))</f>
        <v>RUA QUINZE DE OUTUBRO, JOINVILLE/SC/BRASIL (0,22 Km)</v>
      </c>
      <c r="T93" s="5" t="str">
        <f>IFERROR(
_xlfn.LET(
_xlpm.res,_xlfn.XLOOKUP(B93,'LOCALIZAÇÃO DE CARGA'!$A$2:$A$702,'LOCALIZAÇÃO DE CARGA'!$R$2:$R$702),
IF(_xlpm.res="","",_xlpm.res)
),
""
)</f>
        <v>CUIABA/MT/BRASIL</v>
      </c>
    </row>
    <row r="94" spans="1:20">
      <c r="A94" s="14">
        <f t="shared" si="3"/>
        <v>46157</v>
      </c>
      <c r="B94" s="5">
        <v>6010999</v>
      </c>
      <c r="C94" s="45" t="str">
        <f t="shared" ca="1" si="4"/>
        <v>EM VIAGEM</v>
      </c>
      <c r="D94" s="28"/>
      <c r="E94" s="28" t="str">
        <f>IFERROR(
IF(
_xlfn.XLOOKUP(
B94,
'LOCALIZAÇÃO DE CARGA'!$A$2:$A$702,
'LOCALIZAÇÃO DE CARGA'!$D$2:$D$702
)="",
"",
_xlfn.XLOOKUP(
B94,
'LOCALIZAÇÃO DE CARGA'!$A$2:$A$702,
'LOCALIZAÇÃO DE CARGA'!$D$2:$D$702
)
),
""
)</f>
        <v/>
      </c>
      <c r="F94" s="13" t="str">
        <f>IFERROR(
IF(
_xlfn.XLOOKUP(
B94,
'LOCALIZAÇÃO DE CARGA'!$A$2:$A$702,
'LOCALIZAÇÃO DE CARGA'!$H$2:$H$702
)="",
"",
_xlfn.XLOOKUP(
B94,
'LOCALIZAÇÃO DE CARGA'!$A$2:$A$702,
'LOCALIZAÇÃO DE CARGA'!$H$2:$H$702
)
),
""
)</f>
        <v>BACHMANN TR</v>
      </c>
      <c r="G94" s="5" t="str">
        <f>IFERROR(
IF(
_xlfn.XLOOKUP(
B94,
'LOCALIZAÇÃO DE CARGA'!$A$2:$A$702,
'LOCALIZAÇÃO DE CARGA'!$I$2:$I$702
)="",
"",
_xlfn.XLOOKUP(
B94,
'LOCALIZAÇÃO DE CARGA'!$A$2:$A$702,
'LOCALIZAÇÃO DE CARGA'!$I$2:$I$702
)
),
""
)</f>
        <v>LGSCT</v>
      </c>
      <c r="H94" s="5" t="str">
        <f>IFERROR(
IF(
_xlfn.XLOOKUP(
B94,
'LOCALIZAÇÃO DE CARGA'!$A$2:$A$702,
'LOCALIZAÇÃO DE CARGA'!$F$2:$F$702
)="",
"",
_xlfn.XLOOKUP(
B94,
'LOCALIZAÇÃO DE CARGA'!$A$2:$A$702,
'LOCALIZAÇÃO DE CARGA'!$F$2:$F$702
)
),
""
)</f>
        <v>Andamento</v>
      </c>
      <c r="I94" s="13" t="str" cm="1">
        <f t="array" ref="I94">IFERROR(
IF(
INDEX(
'VISÃO LOGISTICA'!$C$2:$C$525,
MATCH(
TRUE,
ISNUMBER(FIND(B94,'VISÃO LOGISTICA'!$A$2:$A$525)),
0
)
)="Em espera",
"",
INDEX(
'VISÃO LOGISTICA'!$C$2:$C$525,
MATCH(
TRUE,
ISNUMBER(FIND(B94,'VISÃO LOGISTICA'!$A$2:$A$525)),
0
)
)
),
""
)</f>
        <v>Em Viagem</v>
      </c>
      <c r="J94" s="5" t="str" cm="1">
        <f t="array" ref="J94">IFERROR(
IF(
OR(
INDEX(
'VISÃO LOGISTICA'!$C$2:$C$2000,
MATCH(
TRUE,
ISNUMBER(FIND(B94,'VISÃO LOGISTICA'!$A$2:$A$2000)),
0
)
)="Em espera",
INDEX(
'VISÃO LOGISTICA'!$C$2:$C$2000,
MATCH(
TRUE,
ISNUMBER(FIND(B94,'VISÃO LOGISTICA'!$A$2:$A$2000)),
0
)
)=""
),
"",
INDEX(
'VISÃO LOGISTICA'!$D$2:$D$2000,
MATCH(
TRUE,
ISNUMBER(FIND(B94,'VISÃO LOGISTICA'!$A$2:$A$2000)),
0
)
)
),
""
)</f>
        <v>GHG5I28</v>
      </c>
      <c r="K94" s="10">
        <f>IFERROR(
IF(
_xlfn.XLOOKUP(
B94,
'LOCALIZAÇÃO DE CARGA'!$A$2:$A$702,
'LOCALIZAÇÃO DE CARGA'!$E$2:$E$702)="",
"",
_xlfn.XLOOKUP(
B94,
'LOCALIZAÇÃO DE CARGA'!$A$2:$A$702,
'LOCALIZAÇÃO DE CARGA'!$E$2:$E$702)
),
""
)</f>
        <v>215556.87</v>
      </c>
      <c r="L94" s="20" cm="1">
        <f t="array" ref="L94">IFERROR(
_xlfn.LET(
_xlpm.res,_xlfn.XLOOKUP(B94,'LOCALIZAÇÃO DE CARGA'!$A$2:$A$2000,'LOCALIZAÇÃO DE CARGA'!$G$2:$G$2000),
IF(_xlpm.res="","",_xlpm.res)
),
""
)</f>
        <v>46159.138888888891</v>
      </c>
      <c r="M94" s="20" cm="1">
        <f t="array" ref="M94">IFERROR(
_xlfn.LET(
_xlpm.load,_xlfn.XLOOKUP(B94,'LOCALIZAÇÃO DE CARGA'!$A$2:$A$2000,'LOCALIZAÇÃO DE CARGA'!$A$2:$A$2000),
_xlpm.res,_xlfn.XLOOKUP(_xlpm.load,DOCUMENTOS!$A$2:$A$2000,DOCUMENTOS!$D$2:$D$2000),
IF(_xlpm.res="","",_xlpm.res)
),
""
)</f>
        <v>46157.625</v>
      </c>
      <c r="N94" s="6">
        <f>IFERROR(IF(M94="","",M94-TIME(1,0,0)),"")</f>
        <v>46157.583333333336</v>
      </c>
      <c r="O94" s="6" cm="1">
        <f t="array" ref="O94">IFERROR(
_xlfn.LET(
_xlpm.res,_xlfn.XLOOKUP(B94,'LOCALIZAÇÃO DE CARGA'!$A$2:$A$2000,'LOCALIZAÇÃO DE CARGA'!$S$2:$S$2000),
IF(_xlpm.res="","",_xlpm.res)
),
""
)</f>
        <v>46160.25</v>
      </c>
      <c r="P94" s="6" cm="1">
        <f t="array" ref="P94">IFERROR(
_xlfn.LET(
_xlpm.res,_xlfn.XLOOKUP(B94,'LOCALIZAÇÃO DE CARGA'!$A$2:$A$702,'LOCALIZAÇÃO DE CARGA'!$T$2:$T$702),
IF(_xlpm.res="","",_xlpm.res)
),
""
)</f>
        <v>46159.085416666669</v>
      </c>
      <c r="Q94" s="5" t="str">
        <f>IFERROR(
IF(
_xlfn.XLOOKUP(
B94,
'LOCALIZAÇÃO DE CARGA'!$A$2:$A$702,
'LOCALIZAÇÃO DE CARGA'!$K$2:$K$702
)="",
"",
_xlfn.XLOOKUP(
B94,
'LOCALIZAÇÃO DE CARGA'!$A$2:$A$702,
'LOCALIZAÇÃO DE CARGA'!$K$2:$K$702
)
),
""
)</f>
        <v>CARREFOUR COMERCIO E INDUSTRIA LTDA - 25085370</v>
      </c>
      <c r="R94" s="5" t="str">
        <f t="shared" si="5"/>
        <v>CARREFOUR COMERCIO E INDUSTRIA LTDA</v>
      </c>
      <c r="S94" s="5" t="str" cm="1">
        <f t="array" ref="S94">IF(B94="","",IFERROR(
INDEX(
'VISÃO LOGISTICA'!$L$2:$L$525,
MATCH(
TRUE,
ISNUMBER(FIND(B94,'VISÃO LOGISTICA'!$A$2:$A$525)),
0
)
),
""
))</f>
        <v>GARUVA/SC/BRASIL</v>
      </c>
      <c r="T94" s="5" t="str">
        <f>IFERROR(
_xlfn.LET(
_xlpm.res,_xlfn.XLOOKUP(B94,'LOCALIZAÇÃO DE CARGA'!$A$2:$A$702,'LOCALIZAÇÃO DE CARGA'!$R$2:$R$702),
IF(_xlpm.res="","",_xlpm.res)
),
""
)</f>
        <v>DUQUE DE CAXIAS/RJ/BRASIL</v>
      </c>
    </row>
    <row r="95" spans="1:20">
      <c r="A95" s="14">
        <f t="shared" si="3"/>
        <v>46158</v>
      </c>
      <c r="B95" s="5">
        <v>6025088</v>
      </c>
      <c r="C95" s="45" t="str">
        <f t="shared" ca="1" si="4"/>
        <v>NA CLIF - COM SMP - AGUARDANDO SAÍDA</v>
      </c>
      <c r="D95" s="28"/>
      <c r="E95" s="28" t="str">
        <f>IFERROR(
IF(
_xlfn.XLOOKUP(
B95,
'LOCALIZAÇÃO DE CARGA'!$A$2:$A$702,
'LOCALIZAÇÃO DE CARGA'!$D$2:$D$702
)="",
"",
_xlfn.XLOOKUP(
B95,
'LOCALIZAÇÃO DE CARGA'!$A$2:$A$702,
'LOCALIZAÇÃO DE CARGA'!$D$2:$D$702
)
),
""
)</f>
        <v/>
      </c>
      <c r="F95" s="13" t="str">
        <f>IFERROR(
IF(
_xlfn.XLOOKUP(
B95,
'LOCALIZAÇÃO DE CARGA'!$A$2:$A$702,
'LOCALIZAÇÃO DE CARGA'!$H$2:$H$702
)="",
"",
_xlfn.XLOOKUP(
B95,
'LOCALIZAÇÃO DE CARGA'!$A$2:$A$702,
'LOCALIZAÇÃO DE CARGA'!$H$2:$H$702
)
),
""
)</f>
        <v>RODOBRAS TR</v>
      </c>
      <c r="G95" s="5" t="str">
        <f>IFERROR(
IF(
_xlfn.XLOOKUP(
B95,
'LOCALIZAÇÃO DE CARGA'!$A$2:$A$702,
'LOCALIZAÇÃO DE CARGA'!$I$2:$I$702
)="",
"",
_xlfn.XLOOKUP(
B95,
'LOCALIZAÇÃO DE CARGA'!$A$2:$A$702,
'LOCALIZAÇÃO DE CARGA'!$I$2:$I$702
)
),
""
)</f>
        <v>LGSCT</v>
      </c>
      <c r="H95" s="5" t="str">
        <f>IFERROR(
IF(
_xlfn.XLOOKUP(
B95,
'LOCALIZAÇÃO DE CARGA'!$A$2:$A$702,
'LOCALIZAÇÃO DE CARGA'!$F$2:$F$702
)="",
"",
_xlfn.XLOOKUP(
B95,
'LOCALIZAÇÃO DE CARGA'!$A$2:$A$702,
'LOCALIZAÇÃO DE CARGA'!$F$2:$F$702
)
),
""
)</f>
        <v>Andamento</v>
      </c>
      <c r="I95" s="13" t="str" cm="1">
        <f t="array" ref="I95">IFERROR(
IF(
INDEX(
'VISÃO LOGISTICA'!$C$2:$C$525,
MATCH(
TRUE,
ISNUMBER(FIND(B95,'VISÃO LOGISTICA'!$A$2:$A$525)),
0
)
)="Em espera",
"",
INDEX(
'VISÃO LOGISTICA'!$C$2:$C$525,
MATCH(
TRUE,
ISNUMBER(FIND(B95,'VISÃO LOGISTICA'!$A$2:$A$525)),
0
)
)
),
""
)</f>
        <v>Em Viagem</v>
      </c>
      <c r="J95" s="5" t="str" cm="1">
        <f t="array" ref="J95">IFERROR(
IF(
OR(
INDEX(
'VISÃO LOGISTICA'!$C$2:$C$2000,
MATCH(
TRUE,
ISNUMBER(FIND(B95,'VISÃO LOGISTICA'!$A$2:$A$2000)),
0
)
)="Em espera",
INDEX(
'VISÃO LOGISTICA'!$C$2:$C$2000,
MATCH(
TRUE,
ISNUMBER(FIND(B95,'VISÃO LOGISTICA'!$A$2:$A$2000)),
0
)
)=""
),
"",
INDEX(
'VISÃO LOGISTICA'!$D$2:$D$2000,
MATCH(
TRUE,
ISNUMBER(FIND(B95,'VISÃO LOGISTICA'!$A$2:$A$2000)),
0
)
)
),
""
)</f>
        <v>BBU0638</v>
      </c>
      <c r="K95" s="10">
        <f>IFERROR(
IF(
_xlfn.XLOOKUP(
B95,
'LOCALIZAÇÃO DE CARGA'!$A$2:$A$702,
'LOCALIZAÇÃO DE CARGA'!$E$2:$E$702)="",
"",
_xlfn.XLOOKUP(
B95,
'LOCALIZAÇÃO DE CARGA'!$A$2:$A$702,
'LOCALIZAÇÃO DE CARGA'!$E$2:$E$702)
),
""
)</f>
        <v>212067</v>
      </c>
      <c r="L95" s="20" cm="1">
        <f t="array" ref="L95">IFERROR(
_xlfn.LET(
_xlpm.res,_xlfn.XLOOKUP(B95,'LOCALIZAÇÃO DE CARGA'!$A$2:$A$2000,'LOCALIZAÇÃO DE CARGA'!$G$2:$G$2000),
IF(_xlpm.res="","",_xlpm.res)
),
""
)</f>
        <v>46160.429166666669</v>
      </c>
      <c r="M95" s="20" cm="1">
        <f t="array" ref="M95">IFERROR(
_xlfn.LET(
_xlpm.load,_xlfn.XLOOKUP(B95,'LOCALIZAÇÃO DE CARGA'!$A$2:$A$2000,'LOCALIZAÇÃO DE CARGA'!$A$2:$A$2000),
_xlpm.res,_xlfn.XLOOKUP(_xlpm.load,DOCUMENTOS!$A$2:$A$2000,DOCUMENTOS!$D$2:$D$2000),
IF(_xlpm.res="","",_xlpm.res)
),
""
)</f>
        <v>46158.333333333336</v>
      </c>
      <c r="N95" s="6">
        <f>IFERROR(IF(M95="","",M95-TIME(1,0,0)),"")</f>
        <v>46158.291666666672</v>
      </c>
      <c r="O95" s="6" cm="1">
        <f t="array" ref="O95">IFERROR(
_xlfn.LET(
_xlpm.res,_xlfn.XLOOKUP(B95,'LOCALIZAÇÃO DE CARGA'!$A$2:$A$2000,'LOCALIZAÇÃO DE CARGA'!$S$2:$S$2000),
IF(_xlpm.res="","",_xlpm.res)
),
""
)</f>
        <v>46161</v>
      </c>
      <c r="P95" s="6" cm="1">
        <f t="array" ref="P95">IFERROR(
_xlfn.LET(
_xlpm.res,_xlfn.XLOOKUP(B95,'LOCALIZAÇÃO DE CARGA'!$A$2:$A$702,'LOCALIZAÇÃO DE CARGA'!$T$2:$T$702),
IF(_xlpm.res="","",_xlpm.res)
),
""
)</f>
        <v>46159.080555555556</v>
      </c>
      <c r="Q95" s="5" t="str">
        <f>IFERROR(
IF(
_xlfn.XLOOKUP(
B95,
'LOCALIZAÇÃO DE CARGA'!$A$2:$A$702,
'LOCALIZAÇÃO DE CARGA'!$K$2:$K$702
)="",
"",
_xlfn.XLOOKUP(
B95,
'LOCALIZAÇÃO DE CARGA'!$A$2:$A$702,
'LOCALIZAÇÃO DE CARGA'!$K$2:$K$702
)
),
""
)</f>
        <v>PENSKE LOGISTICS DO BRASIL LTDA. - 07775240</v>
      </c>
      <c r="R95" s="5" t="str">
        <f t="shared" si="5"/>
        <v>PENSKE LOGISTICS DO BRASIL LTDA.</v>
      </c>
      <c r="S95" s="5" t="str" cm="1">
        <f t="array" ref="S95">IF(B95="","",IFERROR(
INDEX(
'VISÃO LOGISTICA'!$L$2:$L$525,
MATCH(
TRUE,
ISNUMBER(FIND(B95,'VISÃO LOGISTICA'!$A$2:$A$525)),
0
)
),
""
))</f>
        <v>ITAPOA/SC/BRASIL</v>
      </c>
      <c r="T95" s="5" t="str">
        <f>IFERROR(
_xlfn.LET(
_xlpm.res,_xlfn.XLOOKUP(B95,'LOCALIZAÇÃO DE CARGA'!$A$2:$A$702,'LOCALIZAÇÃO DE CARGA'!$R$2:$R$702),
IF(_xlpm.res="","",_xlpm.res)
),
""
)</f>
        <v>CAJAMAR/SP/BRASIL</v>
      </c>
    </row>
    <row r="96" spans="1:20">
      <c r="A96" s="14">
        <f t="shared" si="3"/>
        <v>46158</v>
      </c>
      <c r="B96" s="5">
        <v>6025087</v>
      </c>
      <c r="C96" s="45" t="str">
        <f t="shared" ca="1" si="4"/>
        <v>NA CLIF - COM SMP - AGUARDANDO SAÍDA</v>
      </c>
      <c r="D96" s="28"/>
      <c r="E96" s="28" t="str">
        <f>IFERROR(
IF(
_xlfn.XLOOKUP(
B96,
'LOCALIZAÇÃO DE CARGA'!$A$2:$A$702,
'LOCALIZAÇÃO DE CARGA'!$D$2:$D$702
)="",
"",
_xlfn.XLOOKUP(
B96,
'LOCALIZAÇÃO DE CARGA'!$A$2:$A$702,
'LOCALIZAÇÃO DE CARGA'!$D$2:$D$702
)
),
""
)</f>
        <v/>
      </c>
      <c r="F96" s="13" t="str">
        <f>IFERROR(
IF(
_xlfn.XLOOKUP(
B96,
'LOCALIZAÇÃO DE CARGA'!$A$2:$A$702,
'LOCALIZAÇÃO DE CARGA'!$H$2:$H$702
)="",
"",
_xlfn.XLOOKUP(
B96,
'LOCALIZAÇÃO DE CARGA'!$A$2:$A$702,
'LOCALIZAÇÃO DE CARGA'!$H$2:$H$702
)
),
""
)</f>
        <v>RODOBRAS TR</v>
      </c>
      <c r="G96" s="5" t="str">
        <f>IFERROR(
IF(
_xlfn.XLOOKUP(
B96,
'LOCALIZAÇÃO DE CARGA'!$A$2:$A$702,
'LOCALIZAÇÃO DE CARGA'!$I$2:$I$702
)="",
"",
_xlfn.XLOOKUP(
B96,
'LOCALIZAÇÃO DE CARGA'!$A$2:$A$702,
'LOCALIZAÇÃO DE CARGA'!$I$2:$I$702
)
),
""
)</f>
        <v>LGSCT</v>
      </c>
      <c r="H96" s="5" t="str">
        <f>IFERROR(
IF(
_xlfn.XLOOKUP(
B96,
'LOCALIZAÇÃO DE CARGA'!$A$2:$A$702,
'LOCALIZAÇÃO DE CARGA'!$F$2:$F$702
)="",
"",
_xlfn.XLOOKUP(
B96,
'LOCALIZAÇÃO DE CARGA'!$A$2:$A$702,
'LOCALIZAÇÃO DE CARGA'!$F$2:$F$702
)
),
""
)</f>
        <v>Andamento</v>
      </c>
      <c r="I96" s="13" t="str" cm="1">
        <f t="array" ref="I96">IFERROR(
IF(
INDEX(
'VISÃO LOGISTICA'!$C$2:$C$525,
MATCH(
TRUE,
ISNUMBER(FIND(B96,'VISÃO LOGISTICA'!$A$2:$A$525)),
0
)
)="Em espera",
"",
INDEX(
'VISÃO LOGISTICA'!$C$2:$C$525,
MATCH(
TRUE,
ISNUMBER(FIND(B96,'VISÃO LOGISTICA'!$A$2:$A$525)),
0
)
)
),
""
)</f>
        <v>Em Viagem</v>
      </c>
      <c r="J96" s="5" t="str" cm="1">
        <f t="array" ref="J96">IFERROR(
IF(
OR(
INDEX(
'VISÃO LOGISTICA'!$C$2:$C$2000,
MATCH(
TRUE,
ISNUMBER(FIND(B96,'VISÃO LOGISTICA'!$A$2:$A$2000)),
0
)
)="Em espera",
INDEX(
'VISÃO LOGISTICA'!$C$2:$C$2000,
MATCH(
TRUE,
ISNUMBER(FIND(B96,'VISÃO LOGISTICA'!$A$2:$A$2000)),
0
)
)=""
),
"",
INDEX(
'VISÃO LOGISTICA'!$D$2:$D$2000,
MATCH(
TRUE,
ISNUMBER(FIND(B96,'VISÃO LOGISTICA'!$A$2:$A$2000)),
0
)
)
),
""
)</f>
        <v>BDK0J96</v>
      </c>
      <c r="K96" s="10">
        <f>IFERROR(
IF(
_xlfn.XLOOKUP(
B96,
'LOCALIZAÇÃO DE CARGA'!$A$2:$A$702,
'LOCALIZAÇÃO DE CARGA'!$E$2:$E$702)="",
"",
_xlfn.XLOOKUP(
B96,
'LOCALIZAÇÃO DE CARGA'!$A$2:$A$702,
'LOCALIZAÇÃO DE CARGA'!$E$2:$E$702)
),
""
)</f>
        <v>212067</v>
      </c>
      <c r="L96" s="20" cm="1">
        <f t="array" ref="L96">IFERROR(
_xlfn.LET(
_xlpm.res,_xlfn.XLOOKUP(B96,'LOCALIZAÇÃO DE CARGA'!$A$2:$A$2000,'LOCALIZAÇÃO DE CARGA'!$G$2:$G$2000),
IF(_xlpm.res="","",_xlpm.res)
),
""
)</f>
        <v>46160.429166666669</v>
      </c>
      <c r="M96" s="20" cm="1">
        <f t="array" ref="M96">IFERROR(
_xlfn.LET(
_xlpm.load,_xlfn.XLOOKUP(B96,'LOCALIZAÇÃO DE CARGA'!$A$2:$A$2000,'LOCALIZAÇÃO DE CARGA'!$A$2:$A$2000),
_xlpm.res,_xlfn.XLOOKUP(_xlpm.load,DOCUMENTOS!$A$2:$A$2000,DOCUMENTOS!$D$2:$D$2000),
IF(_xlpm.res="","",_xlpm.res)
),
""
)</f>
        <v>46158.354166666664</v>
      </c>
      <c r="N96" s="6">
        <f>IFERROR(IF(M96="","",M96-TIME(1,0,0)),"")</f>
        <v>46158.3125</v>
      </c>
      <c r="O96" s="6" cm="1">
        <f t="array" ref="O96">IFERROR(
_xlfn.LET(
_xlpm.res,_xlfn.XLOOKUP(B96,'LOCALIZAÇÃO DE CARGA'!$A$2:$A$2000,'LOCALIZAÇÃO DE CARGA'!$S$2:$S$2000),
IF(_xlpm.res="","",_xlpm.res)
),
""
)</f>
        <v>46161</v>
      </c>
      <c r="P96" s="6" cm="1">
        <f t="array" ref="P96">IFERROR(
_xlfn.LET(
_xlpm.res,_xlfn.XLOOKUP(B96,'LOCALIZAÇÃO DE CARGA'!$A$2:$A$702,'LOCALIZAÇÃO DE CARGA'!$T$2:$T$702),
IF(_xlpm.res="","",_xlpm.res)
),
""
)</f>
        <v>46158.990277777775</v>
      </c>
      <c r="Q96" s="5" t="str">
        <f>IFERROR(
IF(
_xlfn.XLOOKUP(
B96,
'LOCALIZAÇÃO DE CARGA'!$A$2:$A$702,
'LOCALIZAÇÃO DE CARGA'!$K$2:$K$702
)="",
"",
_xlfn.XLOOKUP(
B96,
'LOCALIZAÇÃO DE CARGA'!$A$2:$A$702,
'LOCALIZAÇÃO DE CARGA'!$K$2:$K$702
)
),
""
)</f>
        <v>PENSKE LOGISTICS DO BRASIL LTDA. - 07775240</v>
      </c>
      <c r="R96" s="5" t="str">
        <f t="shared" si="5"/>
        <v>PENSKE LOGISTICS DO BRASIL LTDA.</v>
      </c>
      <c r="S96" s="5" t="str" cm="1">
        <f t="array" ref="S96">IF(B96="","",IFERROR(
INDEX(
'VISÃO LOGISTICA'!$L$2:$L$525,
MATCH(
TRUE,
ISNUMBER(FIND(B96,'VISÃO LOGISTICA'!$A$2:$A$525)),
0
)
),
""
))</f>
        <v>ITAPOA/SC/BRASIL</v>
      </c>
      <c r="T96" s="5" t="str">
        <f>IFERROR(
_xlfn.LET(
_xlpm.res,_xlfn.XLOOKUP(B96,'LOCALIZAÇÃO DE CARGA'!$A$2:$A$702,'LOCALIZAÇÃO DE CARGA'!$R$2:$R$702),
IF(_xlpm.res="","",_xlpm.res)
),
""
)</f>
        <v>CAJAMAR/SP/BRASIL</v>
      </c>
    </row>
    <row r="97" spans="1:20">
      <c r="A97" s="14">
        <f t="shared" si="3"/>
        <v>46160</v>
      </c>
      <c r="B97" s="5">
        <v>6022523</v>
      </c>
      <c r="C97" s="45" t="str">
        <f t="shared" ca="1" si="4"/>
        <v>OK - NO PRAZO</v>
      </c>
      <c r="D97" s="28"/>
      <c r="E97" s="28" t="str">
        <f>IFERROR(
IF(
_xlfn.XLOOKUP(
B97,
'LOCALIZAÇÃO DE CARGA'!$A$2:$A$702,
'LOCALIZAÇÃO DE CARGA'!$D$2:$D$702
)="",
"",
_xlfn.XLOOKUP(
B97,
'LOCALIZAÇÃO DE CARGA'!$A$2:$A$702,
'LOCALIZAÇÃO DE CARGA'!$D$2:$D$702
)
),
""
)</f>
        <v/>
      </c>
      <c r="F97" s="13" t="str">
        <f>IFERROR(
IF(
_xlfn.XLOOKUP(
B97,
'LOCALIZAÇÃO DE CARGA'!$A$2:$A$702,
'LOCALIZAÇÃO DE CARGA'!$H$2:$H$702
)="",
"",
_xlfn.XLOOKUP(
B97,
'LOCALIZAÇÃO DE CARGA'!$A$2:$A$702,
'LOCALIZAÇÃO DE CARGA'!$H$2:$H$702
)
),
""
)</f>
        <v>EMJ LOGISTIC</v>
      </c>
      <c r="G97" s="5" t="str">
        <f>IFERROR(
IF(
_xlfn.XLOOKUP(
B97,
'LOCALIZAÇÃO DE CARGA'!$A$2:$A$702,
'LOCALIZAÇÃO DE CARGA'!$I$2:$I$702
)="",
"",
_xlfn.XLOOKUP(
B97,
'LOCALIZAÇÃO DE CARGA'!$A$2:$A$702,
'LOCALIZAÇÃO DE CARGA'!$I$2:$I$702
)
),
""
)</f>
        <v>LGCAJ</v>
      </c>
      <c r="H97" s="5" t="str">
        <f>IFERROR(
IF(
_xlfn.XLOOKUP(
B97,
'LOCALIZAÇÃO DE CARGA'!$A$2:$A$702,
'LOCALIZAÇÃO DE CARGA'!$F$2:$F$702
)="",
"",
_xlfn.XLOOKUP(
B97,
'LOCALIZAÇÃO DE CARGA'!$A$2:$A$702,
'LOCALIZAÇÃO DE CARGA'!$F$2:$F$702
)
),
""
)</f>
        <v>Não iniciado</v>
      </c>
      <c r="I97" s="13" t="str" cm="1">
        <f t="array" ref="I97">IFERROR(
IF(
INDEX(
'VISÃO LOGISTICA'!$C$2:$C$525,
MATCH(
TRUE,
ISNUMBER(FIND(B97,'VISÃO LOGISTICA'!$A$2:$A$525)),
0
)
)="Em espera",
"",
INDEX(
'VISÃO LOGISTICA'!$C$2:$C$525,
MATCH(
TRUE,
ISNUMBER(FIND(B97,'VISÃO LOGISTICA'!$A$2:$A$525)),
0
)
)
),
""
)</f>
        <v/>
      </c>
      <c r="J97" s="5" t="str" cm="1">
        <f t="array" ref="J97">IFERROR(
IF(
OR(
INDEX(
'VISÃO LOGISTICA'!$C$2:$C$2000,
MATCH(
TRUE,
ISNUMBER(FIND(B97,'VISÃO LOGISTICA'!$A$2:$A$2000)),
0
)
)="Em espera",
INDEX(
'VISÃO LOGISTICA'!$C$2:$C$2000,
MATCH(
TRUE,
ISNUMBER(FIND(B97,'VISÃO LOGISTICA'!$A$2:$A$2000)),
0
)
)=""
),
"",
INDEX(
'VISÃO LOGISTICA'!$D$2:$D$2000,
MATCH(
TRUE,
ISNUMBER(FIND(B97,'VISÃO LOGISTICA'!$A$2:$A$2000)),
0
)
)
),
""
)</f>
        <v/>
      </c>
      <c r="K97" s="10">
        <f>IFERROR(
IF(
_xlfn.XLOOKUP(
B97,
'LOCALIZAÇÃO DE CARGA'!$A$2:$A$702,
'LOCALIZAÇÃO DE CARGA'!$E$2:$E$702)="",
"",
_xlfn.XLOOKUP(
B97,
'LOCALIZAÇÃO DE CARGA'!$A$2:$A$702,
'LOCALIZAÇÃO DE CARGA'!$E$2:$E$702)
),
""
)</f>
        <v>200117.51</v>
      </c>
      <c r="L97" s="20" cm="1">
        <f t="array" ref="L97">IFERROR(
_xlfn.LET(
_xlpm.res,_xlfn.XLOOKUP(B97,'LOCALIZAÇÃO DE CARGA'!$A$2:$A$2000,'LOCALIZAÇÃO DE CARGA'!$G$2:$G$2000),
IF(_xlpm.res="","",_xlpm.res)
),
""
)</f>
        <v>46161.174305555556</v>
      </c>
      <c r="M97" s="20" cm="1">
        <f t="array" ref="M97">IFERROR(
_xlfn.LET(
_xlpm.load,_xlfn.XLOOKUP(B97,'LOCALIZAÇÃO DE CARGA'!$A$2:$A$2000,'LOCALIZAÇÃO DE CARGA'!$A$2:$A$2000),
_xlpm.res,_xlfn.XLOOKUP(_xlpm.load,DOCUMENTOS!$A$2:$A$2000,DOCUMENTOS!$D$2:$D$2000),
IF(_xlpm.res="","",_xlpm.res)
),
""
)</f>
        <v>46160.75</v>
      </c>
      <c r="N97" s="6">
        <f>IFERROR(IF(M97="","",M97-TIME(1,0,0)),"")</f>
        <v>46160.708333333336</v>
      </c>
      <c r="O97" s="6" cm="1">
        <f t="array" ref="O97">IFERROR(
_xlfn.LET(
_xlpm.res,_xlfn.XLOOKUP(B97,'LOCALIZAÇÃO DE CARGA'!$A$2:$A$2000,'LOCALIZAÇÃO DE CARGA'!$S$2:$S$2000),
IF(_xlpm.res="","",_xlpm.res)
),
""
)</f>
        <v>46162.291666666664</v>
      </c>
      <c r="P97" s="6" t="str" cm="1">
        <f t="array" ref="P97">IFERROR(
_xlfn.LET(
_xlpm.res,_xlfn.XLOOKUP(B97,'LOCALIZAÇÃO DE CARGA'!$A$2:$A$702,'LOCALIZAÇÃO DE CARGA'!$T$2:$T$702),
IF(_xlpm.res="","",_xlpm.res)
),
""
)</f>
        <v/>
      </c>
      <c r="Q97" s="5" t="str">
        <f>IFERROR(
IF(
_xlfn.XLOOKUP(
B97,
'LOCALIZAÇÃO DE CARGA'!$A$2:$A$702,
'LOCALIZAÇÃO DE CARGA'!$K$2:$K$702
)="",
"",
_xlfn.XLOOKUP(
B97,
'LOCALIZAÇÃO DE CARGA'!$A$2:$A$702,
'LOCALIZAÇÃO DE CARGA'!$K$2:$K$702
)
),
""
)</f>
        <v>FUJIOKA ELETRO IMAGEM S/A - 74675690</v>
      </c>
      <c r="R97" s="5" t="str">
        <f t="shared" si="5"/>
        <v>FUJIOKA ELETRO IMAGEM S/A</v>
      </c>
      <c r="S97" s="5" t="str" cm="1">
        <f t="array" ref="S97">IF(B97="","",IFERROR(
INDEX(
'VISÃO LOGISTICA'!$L$2:$L$525,
MATCH(
TRUE,
ISNUMBER(FIND(B97,'VISÃO LOGISTICA'!$A$2:$A$525)),
0
)
),
""
))</f>
        <v/>
      </c>
      <c r="T97" s="5" t="str">
        <f>IFERROR(
_xlfn.LET(
_xlpm.res,_xlfn.XLOOKUP(B97,'LOCALIZAÇÃO DE CARGA'!$A$2:$A$702,'LOCALIZAÇÃO DE CARGA'!$R$2:$R$702),
IF(_xlpm.res="","",_xlpm.res)
),
""
)</f>
        <v>GOIANIA/GO/BRASIL</v>
      </c>
    </row>
    <row r="98" spans="1:20">
      <c r="A98" s="14">
        <f t="shared" si="3"/>
        <v>46158</v>
      </c>
      <c r="B98" s="5">
        <v>6022176</v>
      </c>
      <c r="C98" s="45" t="str">
        <f t="shared" ca="1" si="4"/>
        <v>NA CLIF - COM SMP - AGUARDANDO SAÍDA</v>
      </c>
      <c r="D98" s="28"/>
      <c r="E98" s="28" t="str">
        <f>IFERROR(
IF(
_xlfn.XLOOKUP(
B98,
'LOCALIZAÇÃO DE CARGA'!$A$2:$A$702,
'LOCALIZAÇÃO DE CARGA'!$D$2:$D$702
)="",
"",
_xlfn.XLOOKUP(
B98,
'LOCALIZAÇÃO DE CARGA'!$A$2:$A$702,
'LOCALIZAÇÃO DE CARGA'!$D$2:$D$702
)
),
""
)</f>
        <v/>
      </c>
      <c r="F98" s="13" t="str">
        <f>IFERROR(
IF(
_xlfn.XLOOKUP(
B98,
'LOCALIZAÇÃO DE CARGA'!$A$2:$A$702,
'LOCALIZAÇÃO DE CARGA'!$H$2:$H$702
)="",
"",
_xlfn.XLOOKUP(
B98,
'LOCALIZAÇÃO DE CARGA'!$A$2:$A$702,
'LOCALIZAÇÃO DE CARGA'!$H$2:$H$702
)
),
""
)</f>
        <v>TRANSKING</v>
      </c>
      <c r="G98" s="5" t="str">
        <f>IFERROR(
IF(
_xlfn.XLOOKUP(
B98,
'LOCALIZAÇÃO DE CARGA'!$A$2:$A$702,
'LOCALIZAÇÃO DE CARGA'!$I$2:$I$702
)="",
"",
_xlfn.XLOOKUP(
B98,
'LOCALIZAÇÃO DE CARGA'!$A$2:$A$702,
'LOCALIZAÇÃO DE CARGA'!$I$2:$I$702
)
),
""
)</f>
        <v>LGSCT</v>
      </c>
      <c r="H98" s="5" t="str">
        <f>IFERROR(
IF(
_xlfn.XLOOKUP(
B98,
'LOCALIZAÇÃO DE CARGA'!$A$2:$A$702,
'LOCALIZAÇÃO DE CARGA'!$F$2:$F$702
)="",
"",
_xlfn.XLOOKUP(
B98,
'LOCALIZAÇÃO DE CARGA'!$A$2:$A$702,
'LOCALIZAÇÃO DE CARGA'!$F$2:$F$702
)
),
""
)</f>
        <v>Andamento</v>
      </c>
      <c r="I98" s="13" t="str" cm="1">
        <f t="array" ref="I98">IFERROR(
IF(
INDEX(
'VISÃO LOGISTICA'!$C$2:$C$525,
MATCH(
TRUE,
ISNUMBER(FIND(B98,'VISÃO LOGISTICA'!$A$2:$A$525)),
0
)
)="Em espera",
"",
INDEX(
'VISÃO LOGISTICA'!$C$2:$C$525,
MATCH(
TRUE,
ISNUMBER(FIND(B98,'VISÃO LOGISTICA'!$A$2:$A$525)),
0
)
)
),
""
)</f>
        <v>Em Viagem</v>
      </c>
      <c r="J98" s="5" t="str" cm="1">
        <f t="array" ref="J98">IFERROR(
IF(
OR(
INDEX(
'VISÃO LOGISTICA'!$C$2:$C$2000,
MATCH(
TRUE,
ISNUMBER(FIND(B98,'VISÃO LOGISTICA'!$A$2:$A$2000)),
0
)
)="Em espera",
INDEX(
'VISÃO LOGISTICA'!$C$2:$C$2000,
MATCH(
TRUE,
ISNUMBER(FIND(B98,'VISÃO LOGISTICA'!$A$2:$A$2000)),
0
)
)=""
),
"",
INDEX(
'VISÃO LOGISTICA'!$D$2:$D$2000,
MATCH(
TRUE,
ISNUMBER(FIND(B98,'VISÃO LOGISTICA'!$A$2:$A$2000)),
0
)
)
),
""
)</f>
        <v>OKH6B48</v>
      </c>
      <c r="K98" s="10">
        <f>IFERROR(
IF(
_xlfn.XLOOKUP(
B98,
'LOCALIZAÇÃO DE CARGA'!$A$2:$A$702,
'LOCALIZAÇÃO DE CARGA'!$E$2:$E$702)="",
"",
_xlfn.XLOOKUP(
B98,
'LOCALIZAÇÃO DE CARGA'!$A$2:$A$702,
'LOCALIZAÇÃO DE CARGA'!$E$2:$E$702)
),
""
)</f>
        <v>182749.6</v>
      </c>
      <c r="L98" s="20" cm="1">
        <f t="array" ref="L98">IFERROR(
_xlfn.LET(
_xlpm.res,_xlfn.XLOOKUP(B98,'LOCALIZAÇÃO DE CARGA'!$A$2:$A$2000,'LOCALIZAÇÃO DE CARGA'!$G$2:$G$2000),
IF(_xlpm.res="","",_xlpm.res)
),
""
)</f>
        <v>46160.34097222222</v>
      </c>
      <c r="M98" s="20" cm="1">
        <f t="array" ref="M98">IFERROR(
_xlfn.LET(
_xlpm.load,_xlfn.XLOOKUP(B98,'LOCALIZAÇÃO DE CARGA'!$A$2:$A$2000,'LOCALIZAÇÃO DE CARGA'!$A$2:$A$2000),
_xlpm.res,_xlfn.XLOOKUP(_xlpm.load,DOCUMENTOS!$A$2:$A$2000,DOCUMENTOS!$D$2:$D$2000),
IF(_xlpm.res="","",_xlpm.res)
),
""
)</f>
        <v>46158.520833333336</v>
      </c>
      <c r="N98" s="6">
        <f>IFERROR(IF(M98="","",M98-TIME(1,0,0)),"")</f>
        <v>46158.479166666672</v>
      </c>
      <c r="O98" s="6" cm="1">
        <f t="array" ref="O98">IFERROR(
_xlfn.LET(
_xlpm.res,_xlfn.XLOOKUP(B98,'LOCALIZAÇÃO DE CARGA'!$A$2:$A$2000,'LOCALIZAÇÃO DE CARGA'!$S$2:$S$2000),
IF(_xlpm.res="","",_xlpm.res)
),
""
)</f>
        <v>46162.25</v>
      </c>
      <c r="P98" s="6" cm="1">
        <f t="array" ref="P98">IFERROR(
_xlfn.LET(
_xlpm.res,_xlfn.XLOOKUP(B98,'LOCALIZAÇÃO DE CARGA'!$A$2:$A$702,'LOCALIZAÇÃO DE CARGA'!$T$2:$T$702),
IF(_xlpm.res="","",_xlpm.res)
),
""
)</f>
        <v>46159.205555555556</v>
      </c>
      <c r="Q98" s="5" t="str">
        <f>IFERROR(
IF(
_xlfn.XLOOKUP(
B98,
'LOCALIZAÇÃO DE CARGA'!$A$2:$A$702,
'LOCALIZAÇÃO DE CARGA'!$K$2:$K$702
)="",
"",
_xlfn.XLOOKUP(
B98,
'LOCALIZAÇÃO DE CARGA'!$A$2:$A$702,
'LOCALIZAÇÃO DE CARGA'!$K$2:$K$702
)
),
""
)</f>
        <v>GRUPO CASAS BAHIA S.A(CD1600) - 79108610</v>
      </c>
      <c r="R98" s="5" t="str">
        <f t="shared" si="5"/>
        <v>GRUPO CASAS BAHIA S.A</v>
      </c>
      <c r="S98" s="5" t="str" cm="1">
        <f t="array" ref="S98">IF(B98="","",IFERROR(
INDEX(
'VISÃO LOGISTICA'!$L$2:$L$525,
MATCH(
TRUE,
ISNUMBER(FIND(B98,'VISÃO LOGISTICA'!$A$2:$A$525)),
0
)
),
""
))</f>
        <v>ITAPOA/SC/BRASIL</v>
      </c>
      <c r="T98" s="5" t="str">
        <f>IFERROR(
_xlfn.LET(
_xlpm.res,_xlfn.XLOOKUP(B98,'LOCALIZAÇÃO DE CARGA'!$A$2:$A$702,'LOCALIZAÇÃO DE CARGA'!$R$2:$R$702),
IF(_xlpm.res="","",_xlpm.res)
),
""
)</f>
        <v>CAMPO GRANDE/MS/BRASIL</v>
      </c>
    </row>
    <row r="99" spans="1:20">
      <c r="A99" s="14">
        <f t="shared" si="3"/>
        <v>46157</v>
      </c>
      <c r="B99" s="5">
        <v>6022218</v>
      </c>
      <c r="C99" s="45" t="str">
        <f t="shared" ca="1" si="4"/>
        <v>ATRASADO ENTREGA - SEM SMP</v>
      </c>
      <c r="D99" s="28"/>
      <c r="E99" s="28" t="str">
        <f>IFERROR(
IF(
_xlfn.XLOOKUP(
B99,
'LOCALIZAÇÃO DE CARGA'!$A$2:$A$702,
'LOCALIZAÇÃO DE CARGA'!$D$2:$D$702
)="",
"",
_xlfn.XLOOKUP(
B99,
'LOCALIZAÇÃO DE CARGA'!$A$2:$A$702,
'LOCALIZAÇÃO DE CARGA'!$D$2:$D$702
)
),
""
)</f>
        <v/>
      </c>
      <c r="F99" s="13" t="str">
        <f>IFERROR(
IF(
_xlfn.XLOOKUP(
B99,
'LOCALIZAÇÃO DE CARGA'!$A$2:$A$702,
'LOCALIZAÇÃO DE CARGA'!$H$2:$H$702
)="",
"",
_xlfn.XLOOKUP(
B99,
'LOCALIZAÇÃO DE CARGA'!$A$2:$A$702,
'LOCALIZAÇÃO DE CARGA'!$H$2:$H$702
)
),
""
)</f>
        <v>BENDINI LOGI</v>
      </c>
      <c r="G99" s="5" t="str">
        <f>IFERROR(
IF(
_xlfn.XLOOKUP(
B99,
'LOCALIZAÇÃO DE CARGA'!$A$2:$A$702,
'LOCALIZAÇÃO DE CARGA'!$I$2:$I$702
)="",
"",
_xlfn.XLOOKUP(
B99,
'LOCALIZAÇÃO DE CARGA'!$A$2:$A$702,
'LOCALIZAÇÃO DE CARGA'!$I$2:$I$702
)
),
""
)</f>
        <v>LGSCT</v>
      </c>
      <c r="H99" s="5" t="str">
        <f>IFERROR(
IF(
_xlfn.XLOOKUP(
B99,
'LOCALIZAÇÃO DE CARGA'!$A$2:$A$702,
'LOCALIZAÇÃO DE CARGA'!$F$2:$F$702
)="",
"",
_xlfn.XLOOKUP(
B99,
'LOCALIZAÇÃO DE CARGA'!$A$2:$A$702,
'LOCALIZAÇÃO DE CARGA'!$F$2:$F$702
)
),
""
)</f>
        <v>Não iniciado</v>
      </c>
      <c r="I99" s="13" t="str" cm="1">
        <f t="array" ref="I99">IFERROR(
IF(
INDEX(
'VISÃO LOGISTICA'!$C$2:$C$525,
MATCH(
TRUE,
ISNUMBER(FIND(B99,'VISÃO LOGISTICA'!$A$2:$A$525)),
0
)
)="Em espera",
"",
INDEX(
'VISÃO LOGISTICA'!$C$2:$C$525,
MATCH(
TRUE,
ISNUMBER(FIND(B99,'VISÃO LOGISTICA'!$A$2:$A$525)),
0
)
)
),
""
)</f>
        <v/>
      </c>
      <c r="J99" s="5" t="str" cm="1">
        <f t="array" ref="J99">IFERROR(
IF(
OR(
INDEX(
'VISÃO LOGISTICA'!$C$2:$C$2000,
MATCH(
TRUE,
ISNUMBER(FIND(B99,'VISÃO LOGISTICA'!$A$2:$A$2000)),
0
)
)="Em espera",
INDEX(
'VISÃO LOGISTICA'!$C$2:$C$2000,
MATCH(
TRUE,
ISNUMBER(FIND(B99,'VISÃO LOGISTICA'!$A$2:$A$2000)),
0
)
)=""
),
"",
INDEX(
'VISÃO LOGISTICA'!$D$2:$D$2000,
MATCH(
TRUE,
ISNUMBER(FIND(B99,'VISÃO LOGISTICA'!$A$2:$A$2000)),
0
)
)
),
""
)</f>
        <v/>
      </c>
      <c r="K99" s="10">
        <f>IFERROR(
IF(
_xlfn.XLOOKUP(
B99,
'LOCALIZAÇÃO DE CARGA'!$A$2:$A$702,
'LOCALIZAÇÃO DE CARGA'!$E$2:$E$702)="",
"",
_xlfn.XLOOKUP(
B99,
'LOCALIZAÇÃO DE CARGA'!$A$2:$A$702,
'LOCALIZAÇÃO DE CARGA'!$E$2:$E$702)
),
""
)</f>
        <v>180345</v>
      </c>
      <c r="L99" s="20" cm="1">
        <f t="array" ref="L99">IFERROR(
_xlfn.LET(
_xlpm.res,_xlfn.XLOOKUP(B99,'LOCALIZAÇÃO DE CARGA'!$A$2:$A$2000,'LOCALIZAÇÃO DE CARGA'!$G$2:$G$2000),
IF(_xlpm.res="","",_xlpm.res)
),
""
)</f>
        <v>46157.25</v>
      </c>
      <c r="M99" s="20" cm="1">
        <f t="array" ref="M99">IFERROR(
_xlfn.LET(
_xlpm.load,_xlfn.XLOOKUP(B99,'LOCALIZAÇÃO DE CARGA'!$A$2:$A$2000,'LOCALIZAÇÃO DE CARGA'!$A$2:$A$2000),
_xlpm.res,_xlfn.XLOOKUP(_xlpm.load,DOCUMENTOS!$A$2:$A$2000,DOCUMENTOS!$D$2:$D$2000),
IF(_xlpm.res="","",_xlpm.res)
),
""
)</f>
        <v>46157.25</v>
      </c>
      <c r="N99" s="6">
        <f>IFERROR(IF(M99="","",M99-TIME(1,0,0)),"")</f>
        <v>46157.208333333336</v>
      </c>
      <c r="O99" s="6" cm="1">
        <f t="array" ref="O99">IFERROR(
_xlfn.LET(
_xlpm.res,_xlfn.XLOOKUP(B99,'LOCALIZAÇÃO DE CARGA'!$A$2:$A$2000,'LOCALIZAÇÃO DE CARGA'!$S$2:$S$2000),
IF(_xlpm.res="","",_xlpm.res)
),
""
)</f>
        <v>46160.958333333336</v>
      </c>
      <c r="P99" s="6" t="str" cm="1">
        <f t="array" ref="P99">IFERROR(
_xlfn.LET(
_xlpm.res,_xlfn.XLOOKUP(B99,'LOCALIZAÇÃO DE CARGA'!$A$2:$A$702,'LOCALIZAÇÃO DE CARGA'!$T$2:$T$702),
IF(_xlpm.res="","",_xlpm.res)
),
""
)</f>
        <v/>
      </c>
      <c r="Q99" s="5" t="str">
        <f>IFERROR(
IF(
_xlfn.XLOOKUP(
B99,
'LOCALIZAÇÃO DE CARGA'!$A$2:$A$702,
'LOCALIZAÇÃO DE CARGA'!$K$2:$K$702
)="",
"",
_xlfn.XLOOKUP(
B99,
'LOCALIZAÇÃO DE CARGA'!$A$2:$A$702,
'LOCALIZAÇÃO DE CARGA'!$K$2:$K$702
)
),
""
)</f>
        <v>GRUPO CASAS BAHIA S.A(CD1475) - 83085058</v>
      </c>
      <c r="R99" s="5" t="str">
        <f t="shared" si="5"/>
        <v>GRUPO CASAS BAHIA S.A</v>
      </c>
      <c r="S99" s="5" t="str" cm="1">
        <f t="array" ref="S99">IF(B99="","",IFERROR(
INDEX(
'VISÃO LOGISTICA'!$L$2:$L$525,
MATCH(
TRUE,
ISNUMBER(FIND(B99,'VISÃO LOGISTICA'!$A$2:$A$525)),
0
)
),
""
))</f>
        <v/>
      </c>
      <c r="T99" s="5" t="str">
        <f>IFERROR(
_xlfn.LET(
_xlpm.res,_xlfn.XLOOKUP(B99,'LOCALIZAÇÃO DE CARGA'!$A$2:$A$702,'LOCALIZAÇÃO DE CARGA'!$R$2:$R$702),
IF(_xlpm.res="","",_xlpm.res)
),
""
)</f>
        <v>SAO JOSE DOS PINHAIS/PR/BRASIL</v>
      </c>
    </row>
    <row r="100" spans="1:20">
      <c r="A100" s="14">
        <f t="shared" si="3"/>
        <v>46157</v>
      </c>
      <c r="B100" s="5">
        <v>6022160</v>
      </c>
      <c r="C100" s="45" t="str">
        <f t="shared" ca="1" si="4"/>
        <v>EM VIAGEM</v>
      </c>
      <c r="D100" s="28"/>
      <c r="E100" s="28" t="str">
        <f>IFERROR(
IF(
_xlfn.XLOOKUP(
B100,
'LOCALIZAÇÃO DE CARGA'!$A$2:$A$702,
'LOCALIZAÇÃO DE CARGA'!$D$2:$D$702
)="",
"",
_xlfn.XLOOKUP(
B100,
'LOCALIZAÇÃO DE CARGA'!$A$2:$A$702,
'LOCALIZAÇÃO DE CARGA'!$D$2:$D$702
)
),
""
)</f>
        <v/>
      </c>
      <c r="F100" s="13" t="str">
        <f>IFERROR(
IF(
_xlfn.XLOOKUP(
B100,
'LOCALIZAÇÃO DE CARGA'!$A$2:$A$702,
'LOCALIZAÇÃO DE CARGA'!$H$2:$H$702
)="",
"",
_xlfn.XLOOKUP(
B100,
'LOCALIZAÇÃO DE CARGA'!$A$2:$A$702,
'LOCALIZAÇÃO DE CARGA'!$H$2:$H$702
)
),
""
)</f>
        <v>BACHMANN TR</v>
      </c>
      <c r="G100" s="5" t="str">
        <f>IFERROR(
IF(
_xlfn.XLOOKUP(
B100,
'LOCALIZAÇÃO DE CARGA'!$A$2:$A$702,
'LOCALIZAÇÃO DE CARGA'!$I$2:$I$702
)="",
"",
_xlfn.XLOOKUP(
B100,
'LOCALIZAÇÃO DE CARGA'!$A$2:$A$702,
'LOCALIZAÇÃO DE CARGA'!$I$2:$I$702
)
),
""
)</f>
        <v>LGSCT</v>
      </c>
      <c r="H100" s="5" t="str">
        <f>IFERROR(
IF(
_xlfn.XLOOKUP(
B100,
'LOCALIZAÇÃO DE CARGA'!$A$2:$A$702,
'LOCALIZAÇÃO DE CARGA'!$F$2:$F$702
)="",
"",
_xlfn.XLOOKUP(
B100,
'LOCALIZAÇÃO DE CARGA'!$A$2:$A$702,
'LOCALIZAÇÃO DE CARGA'!$F$2:$F$702
)
),
""
)</f>
        <v>Andamento</v>
      </c>
      <c r="I100" s="13" t="str" cm="1">
        <f t="array" ref="I100">IFERROR(
IF(
INDEX(
'VISÃO LOGISTICA'!$C$2:$C$525,
MATCH(
TRUE,
ISNUMBER(FIND(B100,'VISÃO LOGISTICA'!$A$2:$A$525)),
0
)
)="Em espera",
"",
INDEX(
'VISÃO LOGISTICA'!$C$2:$C$525,
MATCH(
TRUE,
ISNUMBER(FIND(B100,'VISÃO LOGISTICA'!$A$2:$A$525)),
0
)
)
),
""
)</f>
        <v>Em Viagem</v>
      </c>
      <c r="J100" s="5" t="str" cm="1">
        <f t="array" ref="J100">IFERROR(
IF(
OR(
INDEX(
'VISÃO LOGISTICA'!$C$2:$C$2000,
MATCH(
TRUE,
ISNUMBER(FIND(B100,'VISÃO LOGISTICA'!$A$2:$A$2000)),
0
)
)="Em espera",
INDEX(
'VISÃO LOGISTICA'!$C$2:$C$2000,
MATCH(
TRUE,
ISNUMBER(FIND(B100,'VISÃO LOGISTICA'!$A$2:$A$2000)),
0
)
)=""
),
"",
INDEX(
'VISÃO LOGISTICA'!$D$2:$D$2000,
MATCH(
TRUE,
ISNUMBER(FIND(B100,'VISÃO LOGISTICA'!$A$2:$A$2000)),
0
)
)
),
""
)</f>
        <v>ALA1H98</v>
      </c>
      <c r="K100" s="10">
        <f>IFERROR(
IF(
_xlfn.XLOOKUP(
B100,
'LOCALIZAÇÃO DE CARGA'!$A$2:$A$702,
'LOCALIZAÇÃO DE CARGA'!$E$2:$E$702)="",
"",
_xlfn.XLOOKUP(
B100,
'LOCALIZAÇÃO DE CARGA'!$A$2:$A$702,
'LOCALIZAÇÃO DE CARGA'!$E$2:$E$702)
),
""
)</f>
        <v>177940.4</v>
      </c>
      <c r="L100" s="20" cm="1">
        <f t="array" ref="L100">IFERROR(
_xlfn.LET(
_xlpm.res,_xlfn.XLOOKUP(B100,'LOCALIZAÇÃO DE CARGA'!$A$2:$A$2000,'LOCALIZAÇÃO DE CARGA'!$G$2:$G$2000),
IF(_xlpm.res="","",_xlpm.res)
),
""
)</f>
        <v>46159.138888888891</v>
      </c>
      <c r="M100" s="20" cm="1">
        <f t="array" ref="M100">IFERROR(
_xlfn.LET(
_xlpm.load,_xlfn.XLOOKUP(B100,'LOCALIZAÇÃO DE CARGA'!$A$2:$A$2000,'LOCALIZAÇÃO DE CARGA'!$A$2:$A$2000),
_xlpm.res,_xlfn.XLOOKUP(_xlpm.load,DOCUMENTOS!$A$2:$A$2000,DOCUMENTOS!$D$2:$D$2000),
IF(_xlpm.res="","",_xlpm.res)
),
""
)</f>
        <v>46157.645833333336</v>
      </c>
      <c r="N100" s="6">
        <f>IFERROR(IF(M100="","",M100-TIME(1,0,0)),"")</f>
        <v>46157.604166666672</v>
      </c>
      <c r="O100" s="6" cm="1">
        <f t="array" ref="O100">IFERROR(
_xlfn.LET(
_xlpm.res,_xlfn.XLOOKUP(B100,'LOCALIZAÇÃO DE CARGA'!$A$2:$A$2000,'LOCALIZAÇÃO DE CARGA'!$S$2:$S$2000),
IF(_xlpm.res="","",_xlpm.res)
),
""
)</f>
        <v>46160.25</v>
      </c>
      <c r="P100" s="6" cm="1">
        <f t="array" ref="P100">IFERROR(
_xlfn.LET(
_xlpm.res,_xlfn.XLOOKUP(B100,'LOCALIZAÇÃO DE CARGA'!$A$2:$A$702,'LOCALIZAÇÃO DE CARGA'!$T$2:$T$702),
IF(_xlpm.res="","",_xlpm.res)
),
""
)</f>
        <v>46159.042361111111</v>
      </c>
      <c r="Q100" s="5" t="str">
        <f>IFERROR(
IF(
_xlfn.XLOOKUP(
B100,
'LOCALIZAÇÃO DE CARGA'!$A$2:$A$702,
'LOCALIZAÇÃO DE CARGA'!$K$2:$K$702
)="",
"",
_xlfn.XLOOKUP(
B100,
'LOCALIZAÇÃO DE CARGA'!$A$2:$A$702,
'LOCALIZAÇÃO DE CARGA'!$K$2:$K$702
)
),
""
)</f>
        <v>GRUPO CASAS BAHIA S.A(CD1401) - 25255030</v>
      </c>
      <c r="R100" s="5" t="str">
        <f t="shared" si="5"/>
        <v>GRUPO CASAS BAHIA S.A</v>
      </c>
      <c r="S100" s="5" t="str" cm="1">
        <f t="array" ref="S100">IF(B100="","",IFERROR(
INDEX(
'VISÃO LOGISTICA'!$L$2:$L$525,
MATCH(
TRUE,
ISNUMBER(FIND(B100,'VISÃO LOGISTICA'!$A$2:$A$525)),
0
)
),
""
))</f>
        <v>RUA ALCEU MIGUEL BASSA, SAO JOSE DOS PINHAIS/PR/BRASIL (0,44 Km)</v>
      </c>
      <c r="T100" s="5" t="str">
        <f>IFERROR(
_xlfn.LET(
_xlpm.res,_xlfn.XLOOKUP(B100,'LOCALIZAÇÃO DE CARGA'!$A$2:$A$702,'LOCALIZAÇÃO DE CARGA'!$R$2:$R$702),
IF(_xlpm.res="","",_xlpm.res)
),
""
)</f>
        <v>DUQUE DE CAXIAS/RJ/BRASIL</v>
      </c>
    </row>
    <row r="101" spans="1:20">
      <c r="A101" s="14">
        <f t="shared" si="3"/>
        <v>46157</v>
      </c>
      <c r="B101" s="5">
        <v>6022223</v>
      </c>
      <c r="C101" s="45" t="str">
        <f t="shared" ca="1" si="4"/>
        <v>EM VIAGEM</v>
      </c>
      <c r="D101" s="28"/>
      <c r="E101" s="28" t="str">
        <f>IFERROR(
IF(
_xlfn.XLOOKUP(
B101,
'LOCALIZAÇÃO DE CARGA'!$A$2:$A$702,
'LOCALIZAÇÃO DE CARGA'!$D$2:$D$702
)="",
"",
_xlfn.XLOOKUP(
B101,
'LOCALIZAÇÃO DE CARGA'!$A$2:$A$702,
'LOCALIZAÇÃO DE CARGA'!$D$2:$D$702
)
),
""
)</f>
        <v/>
      </c>
      <c r="F101" s="13" t="str">
        <f>IFERROR(
IF(
_xlfn.XLOOKUP(
B101,
'LOCALIZAÇÃO DE CARGA'!$A$2:$A$702,
'LOCALIZAÇÃO DE CARGA'!$H$2:$H$702
)="",
"",
_xlfn.XLOOKUP(
B101,
'LOCALIZAÇÃO DE CARGA'!$A$2:$A$702,
'LOCALIZAÇÃO DE CARGA'!$H$2:$H$702
)
),
""
)</f>
        <v>VIPE TRANSPO</v>
      </c>
      <c r="G101" s="5" t="str">
        <f>IFERROR(
IF(
_xlfn.XLOOKUP(
B101,
'LOCALIZAÇÃO DE CARGA'!$A$2:$A$702,
'LOCALIZAÇÃO DE CARGA'!$I$2:$I$702
)="",
"",
_xlfn.XLOOKUP(
B101,
'LOCALIZAÇÃO DE CARGA'!$A$2:$A$702,
'LOCALIZAÇÃO DE CARGA'!$I$2:$I$702
)
),
""
)</f>
        <v>LGSCT</v>
      </c>
      <c r="H101" s="5" t="str">
        <f>IFERROR(
IF(
_xlfn.XLOOKUP(
B101,
'LOCALIZAÇÃO DE CARGA'!$A$2:$A$702,
'LOCALIZAÇÃO DE CARGA'!$F$2:$F$702
)="",
"",
_xlfn.XLOOKUP(
B101,
'LOCALIZAÇÃO DE CARGA'!$A$2:$A$702,
'LOCALIZAÇÃO DE CARGA'!$F$2:$F$702
)
),
""
)</f>
        <v>Andamento</v>
      </c>
      <c r="I101" s="13" t="str" cm="1">
        <f t="array" ref="I101">IFERROR(
IF(
INDEX(
'VISÃO LOGISTICA'!$C$2:$C$525,
MATCH(
TRUE,
ISNUMBER(FIND(B101,'VISÃO LOGISTICA'!$A$2:$A$525)),
0
)
)="Em espera",
"",
INDEX(
'VISÃO LOGISTICA'!$C$2:$C$525,
MATCH(
TRUE,
ISNUMBER(FIND(B101,'VISÃO LOGISTICA'!$A$2:$A$525)),
0
)
)
),
""
)</f>
        <v>Em Viagem</v>
      </c>
      <c r="J101" s="5" t="str" cm="1">
        <f t="array" ref="J101">IFERROR(
IF(
OR(
INDEX(
'VISÃO LOGISTICA'!$C$2:$C$2000,
MATCH(
TRUE,
ISNUMBER(FIND(B101,'VISÃO LOGISTICA'!$A$2:$A$2000)),
0
)
)="Em espera",
INDEX(
'VISÃO LOGISTICA'!$C$2:$C$2000,
MATCH(
TRUE,
ISNUMBER(FIND(B101,'VISÃO LOGISTICA'!$A$2:$A$2000)),
0
)
)=""
),
"",
INDEX(
'VISÃO LOGISTICA'!$D$2:$D$2000,
MATCH(
TRUE,
ISNUMBER(FIND(B101,'VISÃO LOGISTICA'!$A$2:$A$2000)),
0
)
)
),
""
)</f>
        <v>KDZ9H48</v>
      </c>
      <c r="K101" s="10">
        <f>IFERROR(
IF(
_xlfn.XLOOKUP(
B101,
'LOCALIZAÇÃO DE CARGA'!$A$2:$A$702,
'LOCALIZAÇÃO DE CARGA'!$E$2:$E$702)="",
"",
_xlfn.XLOOKUP(
B101,
'LOCALIZAÇÃO DE CARGA'!$A$2:$A$702,
'LOCALIZAÇÃO DE CARGA'!$E$2:$E$702)
),
""
)</f>
        <v>173131.2</v>
      </c>
      <c r="L101" s="20" cm="1">
        <f t="array" ref="L101">IFERROR(
_xlfn.LET(
_xlpm.res,_xlfn.XLOOKUP(B101,'LOCALIZAÇÃO DE CARGA'!$A$2:$A$2000,'LOCALIZAÇÃO DE CARGA'!$G$2:$G$2000),
IF(_xlpm.res="","",_xlpm.res)
),
""
)</f>
        <v>46157.25</v>
      </c>
      <c r="M101" s="20" cm="1">
        <f t="array" ref="M101">IFERROR(
_xlfn.LET(
_xlpm.load,_xlfn.XLOOKUP(B101,'LOCALIZAÇÃO DE CARGA'!$A$2:$A$2000,'LOCALIZAÇÃO DE CARGA'!$A$2:$A$2000),
_xlpm.res,_xlfn.XLOOKUP(_xlpm.load,DOCUMENTOS!$A$2:$A$2000,DOCUMENTOS!$D$2:$D$2000),
IF(_xlpm.res="","",_xlpm.res)
),
""
)</f>
        <v>46157.25</v>
      </c>
      <c r="N101" s="6">
        <f>IFERROR(IF(M101="","",M101-TIME(1,0,0)),"")</f>
        <v>46157.208333333336</v>
      </c>
      <c r="O101" s="6" cm="1">
        <f t="array" ref="O101">IFERROR(
_xlfn.LET(
_xlpm.res,_xlfn.XLOOKUP(B101,'LOCALIZAÇÃO DE CARGA'!$A$2:$A$2000,'LOCALIZAÇÃO DE CARGA'!$S$2:$S$2000),
IF(_xlpm.res="","",_xlpm.res)
),
""
)</f>
        <v>46161.958333333336</v>
      </c>
      <c r="P101" s="6" cm="1">
        <f t="array" ref="P101">IFERROR(
_xlfn.LET(
_xlpm.res,_xlfn.XLOOKUP(B101,'LOCALIZAÇÃO DE CARGA'!$A$2:$A$702,'LOCALIZAÇÃO DE CARGA'!$T$2:$T$702),
IF(_xlpm.res="","",_xlpm.res)
),
""
)</f>
        <v>46159.298611111109</v>
      </c>
      <c r="Q101" s="5" t="str">
        <f>IFERROR(
IF(
_xlfn.XLOOKUP(
B101,
'LOCALIZAÇÃO DE CARGA'!$A$2:$A$702,
'LOCALIZAÇÃO DE CARGA'!$K$2:$K$702
)="",
"",
_xlfn.XLOOKUP(
B101,
'LOCALIZAÇÃO DE CARGA'!$A$2:$A$702,
'LOCALIZAÇÃO DE CARGA'!$K$2:$K$702
)
),
""
)</f>
        <v>GRUPO CASAS BAHIA S.A(CD1760) - CONTAGEM</v>
      </c>
      <c r="R101" s="5" t="str">
        <f t="shared" si="5"/>
        <v>GRUPO CASAS BAHIA S.A</v>
      </c>
      <c r="S101" s="5" t="str" cm="1">
        <f t="array" ref="S101">IF(B101="","",IFERROR(
INDEX(
'VISÃO LOGISTICA'!$L$2:$L$525,
MATCH(
TRUE,
ISNUMBER(FIND(B101,'VISÃO LOGISTICA'!$A$2:$A$525)),
0
)
),
""
))</f>
        <v>ACESSO PARA RODOVIA BR-277, SAO JOSE DOS PINHAIS/PR/BRASIL (0,09 Km)</v>
      </c>
      <c r="T101" s="5" t="str">
        <f>IFERROR(
_xlfn.LET(
_xlpm.res,_xlfn.XLOOKUP(B101,'LOCALIZAÇÃO DE CARGA'!$A$2:$A$702,'LOCALIZAÇÃO DE CARGA'!$R$2:$R$702),
IF(_xlpm.res="","",_xlpm.res)
),
""
)</f>
        <v>CONTAGEM/MG/BRASIL</v>
      </c>
    </row>
    <row r="102" spans="1:20">
      <c r="A102" s="14">
        <f t="shared" si="3"/>
        <v>46157</v>
      </c>
      <c r="B102" s="5">
        <v>6022175</v>
      </c>
      <c r="C102" s="45" t="str">
        <f t="shared" ca="1" si="4"/>
        <v>EM VIAGEM</v>
      </c>
      <c r="D102" s="28"/>
      <c r="E102" s="28" t="str">
        <f>IFERROR(
IF(
_xlfn.XLOOKUP(
B102,
'LOCALIZAÇÃO DE CARGA'!$A$2:$A$702,
'LOCALIZAÇÃO DE CARGA'!$D$2:$D$702
)="",
"",
_xlfn.XLOOKUP(
B102,
'LOCALIZAÇÃO DE CARGA'!$A$2:$A$702,
'LOCALIZAÇÃO DE CARGA'!$D$2:$D$702
)
),
""
)</f>
        <v/>
      </c>
      <c r="F102" s="13" t="str">
        <f>IFERROR(
IF(
_xlfn.XLOOKUP(
B102,
'LOCALIZAÇÃO DE CARGA'!$A$2:$A$702,
'LOCALIZAÇÃO DE CARGA'!$H$2:$H$702
)="",
"",
_xlfn.XLOOKUP(
B102,
'LOCALIZAÇÃO DE CARGA'!$A$2:$A$702,
'LOCALIZAÇÃO DE CARGA'!$H$2:$H$702
)
),
""
)</f>
        <v>TRANSBOCAYUV</v>
      </c>
      <c r="G102" s="5" t="str">
        <f>IFERROR(
IF(
_xlfn.XLOOKUP(
B102,
'LOCALIZAÇÃO DE CARGA'!$A$2:$A$702,
'LOCALIZAÇÃO DE CARGA'!$I$2:$I$702
)="",
"",
_xlfn.XLOOKUP(
B102,
'LOCALIZAÇÃO DE CARGA'!$A$2:$A$702,
'LOCALIZAÇÃO DE CARGA'!$I$2:$I$702
)
),
""
)</f>
        <v>LGSCT</v>
      </c>
      <c r="H102" s="5" t="str">
        <f>IFERROR(
IF(
_xlfn.XLOOKUP(
B102,
'LOCALIZAÇÃO DE CARGA'!$A$2:$A$702,
'LOCALIZAÇÃO DE CARGA'!$F$2:$F$702
)="",
"",
_xlfn.XLOOKUP(
B102,
'LOCALIZAÇÃO DE CARGA'!$A$2:$A$702,
'LOCALIZAÇÃO DE CARGA'!$F$2:$F$702
)
),
""
)</f>
        <v>Andamento</v>
      </c>
      <c r="I102" s="13" t="str" cm="1">
        <f t="array" ref="I102">IFERROR(
IF(
INDEX(
'VISÃO LOGISTICA'!$C$2:$C$525,
MATCH(
TRUE,
ISNUMBER(FIND(B102,'VISÃO LOGISTICA'!$A$2:$A$525)),
0
)
)="Em espera",
"",
INDEX(
'VISÃO LOGISTICA'!$C$2:$C$525,
MATCH(
TRUE,
ISNUMBER(FIND(B102,'VISÃO LOGISTICA'!$A$2:$A$525)),
0
)
)
),
""
)</f>
        <v>Em Viagem</v>
      </c>
      <c r="J102" s="5" t="str" cm="1">
        <f t="array" ref="J102">IFERROR(
IF(
OR(
INDEX(
'VISÃO LOGISTICA'!$C$2:$C$2000,
MATCH(
TRUE,
ISNUMBER(FIND(B102,'VISÃO LOGISTICA'!$A$2:$A$2000)),
0
)
)="Em espera",
INDEX(
'VISÃO LOGISTICA'!$C$2:$C$2000,
MATCH(
TRUE,
ISNUMBER(FIND(B102,'VISÃO LOGISTICA'!$A$2:$A$2000)),
0
)
)=""
),
"",
INDEX(
'VISÃO LOGISTICA'!$D$2:$D$2000,
MATCH(
TRUE,
ISNUMBER(FIND(B102,'VISÃO LOGISTICA'!$A$2:$A$2000)),
0
)
)
),
""
)</f>
        <v>FOQ5B24</v>
      </c>
      <c r="K102" s="10">
        <f>IFERROR(
IF(
_xlfn.XLOOKUP(
B102,
'LOCALIZAÇÃO DE CARGA'!$A$2:$A$702,
'LOCALIZAÇÃO DE CARGA'!$E$2:$E$702)="",
"",
_xlfn.XLOOKUP(
B102,
'LOCALIZAÇÃO DE CARGA'!$A$2:$A$702,
'LOCALIZAÇÃO DE CARGA'!$E$2:$E$702)
),
""
)</f>
        <v>173131.2</v>
      </c>
      <c r="L102" s="20" cm="1">
        <f t="array" ref="L102">IFERROR(
_xlfn.LET(
_xlpm.res,_xlfn.XLOOKUP(B102,'LOCALIZAÇÃO DE CARGA'!$A$2:$A$2000,'LOCALIZAÇÃO DE CARGA'!$G$2:$G$2000),
IF(_xlpm.res="","",_xlpm.res)
),
""
)</f>
        <v>46159.522222222222</v>
      </c>
      <c r="M102" s="20" cm="1">
        <f t="array" ref="M102">IFERROR(
_xlfn.LET(
_xlpm.load,_xlfn.XLOOKUP(B102,'LOCALIZAÇÃO DE CARGA'!$A$2:$A$2000,'LOCALIZAÇÃO DE CARGA'!$A$2:$A$2000),
_xlpm.res,_xlfn.XLOOKUP(_xlpm.load,DOCUMENTOS!$A$2:$A$2000,DOCUMENTOS!$D$2:$D$2000),
IF(_xlpm.res="","",_xlpm.res)
),
""
)</f>
        <v>46157.291666666664</v>
      </c>
      <c r="N102" s="6">
        <f>IFERROR(IF(M102="","",M102-TIME(1,0,0)),"")</f>
        <v>46157.25</v>
      </c>
      <c r="O102" s="6" cm="1">
        <f t="array" ref="O102">IFERROR(
_xlfn.LET(
_xlpm.res,_xlfn.XLOOKUP(B102,'LOCALIZAÇÃO DE CARGA'!$A$2:$A$2000,'LOCALIZAÇÃO DE CARGA'!$S$2:$S$2000),
IF(_xlpm.res="","",_xlpm.res)
),
""
)</f>
        <v>46159.958333333336</v>
      </c>
      <c r="P102" s="6" cm="1">
        <f t="array" ref="P102">IFERROR(
_xlfn.LET(
_xlpm.res,_xlfn.XLOOKUP(B102,'LOCALIZAÇÃO DE CARGA'!$A$2:$A$702,'LOCALIZAÇÃO DE CARGA'!$T$2:$T$702),
IF(_xlpm.res="","",_xlpm.res)
),
""
)</f>
        <v>46158.806944444441</v>
      </c>
      <c r="Q102" s="5" t="str">
        <f>IFERROR(
IF(
_xlfn.XLOOKUP(
B102,
'LOCALIZAÇÃO DE CARGA'!$A$2:$A$702,
'LOCALIZAÇÃO DE CARGA'!$K$2:$K$702
)="",
"",
_xlfn.XLOOKUP(
B102,
'LOCALIZAÇÃO DE CARGA'!$A$2:$A$702,
'LOCALIZAÇÃO DE CARGA'!$K$2:$K$702
)
),
""
)</f>
        <v>GRUPO CASAS BAHIA S.A(CD1500) - 09790400</v>
      </c>
      <c r="R102" s="5" t="str">
        <f t="shared" si="5"/>
        <v>GRUPO CASAS BAHIA S.A</v>
      </c>
      <c r="S102" s="5" t="str" cm="1">
        <f t="array" ref="S102">IF(B102="","",IFERROR(
INDEX(
'VISÃO LOGISTICA'!$L$2:$L$525,
MATCH(
TRUE,
ISNUMBER(FIND(B102,'VISÃO LOGISTICA'!$A$2:$A$525)),
0
)
),
""
))</f>
        <v>RUA QUINZE DE OUTUBRO, JOINVILLE/SC/BRASIL (0,15 Km)</v>
      </c>
      <c r="T102" s="5" t="str">
        <f>IFERROR(
_xlfn.LET(
_xlpm.res,_xlfn.XLOOKUP(B102,'LOCALIZAÇÃO DE CARGA'!$A$2:$A$702,'LOCALIZAÇÃO DE CARGA'!$R$2:$R$702),
IF(_xlpm.res="","",_xlpm.res)
),
""
)</f>
        <v>SAO BERNARDO DO CAMPO/SP/BRASIL</v>
      </c>
    </row>
    <row r="103" spans="1:20">
      <c r="A103" s="14">
        <f t="shared" si="3"/>
        <v>46157</v>
      </c>
      <c r="B103" s="5">
        <v>6022207</v>
      </c>
      <c r="C103" s="45" t="str">
        <f t="shared" ca="1" si="4"/>
        <v>EM VIAGEM</v>
      </c>
      <c r="D103" s="28"/>
      <c r="E103" s="28" t="str">
        <f>IFERROR(
IF(
_xlfn.XLOOKUP(
B103,
'LOCALIZAÇÃO DE CARGA'!$A$2:$A$702,
'LOCALIZAÇÃO DE CARGA'!$D$2:$D$702
)="",
"",
_xlfn.XLOOKUP(
B103,
'LOCALIZAÇÃO DE CARGA'!$A$2:$A$702,
'LOCALIZAÇÃO DE CARGA'!$D$2:$D$702
)
),
""
)</f>
        <v/>
      </c>
      <c r="F103" s="13" t="str">
        <f>IFERROR(
IF(
_xlfn.XLOOKUP(
B103,
'LOCALIZAÇÃO DE CARGA'!$A$2:$A$702,
'LOCALIZAÇÃO DE CARGA'!$H$2:$H$702
)="",
"",
_xlfn.XLOOKUP(
B103,
'LOCALIZAÇÃO DE CARGA'!$A$2:$A$702,
'LOCALIZAÇÃO DE CARGA'!$H$2:$H$702
)
),
""
)</f>
        <v>TRANSBOCAYUV</v>
      </c>
      <c r="G103" s="5" t="str">
        <f>IFERROR(
IF(
_xlfn.XLOOKUP(
B103,
'LOCALIZAÇÃO DE CARGA'!$A$2:$A$702,
'LOCALIZAÇÃO DE CARGA'!$I$2:$I$702
)="",
"",
_xlfn.XLOOKUP(
B103,
'LOCALIZAÇÃO DE CARGA'!$A$2:$A$702,
'LOCALIZAÇÃO DE CARGA'!$I$2:$I$702
)
),
""
)</f>
        <v>LGSCT</v>
      </c>
      <c r="H103" s="5" t="str">
        <f>IFERROR(
IF(
_xlfn.XLOOKUP(
B103,
'LOCALIZAÇÃO DE CARGA'!$A$2:$A$702,
'LOCALIZAÇÃO DE CARGA'!$F$2:$F$702
)="",
"",
_xlfn.XLOOKUP(
B103,
'LOCALIZAÇÃO DE CARGA'!$A$2:$A$702,
'LOCALIZAÇÃO DE CARGA'!$F$2:$F$702
)
),
""
)</f>
        <v>Andamento</v>
      </c>
      <c r="I103" s="13" t="str" cm="1">
        <f t="array" ref="I103">IFERROR(
IF(
INDEX(
'VISÃO LOGISTICA'!$C$2:$C$525,
MATCH(
TRUE,
ISNUMBER(FIND(B103,'VISÃO LOGISTICA'!$A$2:$A$525)),
0
)
)="Em espera",
"",
INDEX(
'VISÃO LOGISTICA'!$C$2:$C$525,
MATCH(
TRUE,
ISNUMBER(FIND(B103,'VISÃO LOGISTICA'!$A$2:$A$525)),
0
)
)
),
""
)</f>
        <v>Em Viagem</v>
      </c>
      <c r="J103" s="5" t="str" cm="1">
        <f t="array" ref="J103">IFERROR(
IF(
OR(
INDEX(
'VISÃO LOGISTICA'!$C$2:$C$2000,
MATCH(
TRUE,
ISNUMBER(FIND(B103,'VISÃO LOGISTICA'!$A$2:$A$2000)),
0
)
)="Em espera",
INDEX(
'VISÃO LOGISTICA'!$C$2:$C$2000,
MATCH(
TRUE,
ISNUMBER(FIND(B103,'VISÃO LOGISTICA'!$A$2:$A$2000)),
0
)
)=""
),
"",
INDEX(
'VISÃO LOGISTICA'!$D$2:$D$2000,
MATCH(
TRUE,
ISNUMBER(FIND(B103,'VISÃO LOGISTICA'!$A$2:$A$2000)),
0
)
)
),
""
)</f>
        <v>MEN3H71</v>
      </c>
      <c r="K103" s="10">
        <f>IFERROR(
IF(
_xlfn.XLOOKUP(
B103,
'LOCALIZAÇÃO DE CARGA'!$A$2:$A$702,
'LOCALIZAÇÃO DE CARGA'!$E$2:$E$702)="",
"",
_xlfn.XLOOKUP(
B103,
'LOCALIZAÇÃO DE CARGA'!$A$2:$A$702,
'LOCALIZAÇÃO DE CARGA'!$E$2:$E$702)
),
""
)</f>
        <v>168977.48</v>
      </c>
      <c r="L103" s="20" cm="1">
        <f t="array" ref="L103">IFERROR(
_xlfn.LET(
_xlpm.res,_xlfn.XLOOKUP(B103,'LOCALIZAÇÃO DE CARGA'!$A$2:$A$2000,'LOCALIZAÇÃO DE CARGA'!$G$2:$G$2000),
IF(_xlpm.res="","",_xlpm.res)
),
""
)</f>
        <v>46159.654861111114</v>
      </c>
      <c r="M103" s="20" cm="1">
        <f t="array" ref="M103">IFERROR(
_xlfn.LET(
_xlpm.load,_xlfn.XLOOKUP(B103,'LOCALIZAÇÃO DE CARGA'!$A$2:$A$2000,'LOCALIZAÇÃO DE CARGA'!$A$2:$A$2000),
_xlpm.res,_xlfn.XLOOKUP(_xlpm.load,DOCUMENTOS!$A$2:$A$2000,DOCUMENTOS!$D$2:$D$2000),
IF(_xlpm.res="","",_xlpm.res)
),
""
)</f>
        <v>46157.354166666664</v>
      </c>
      <c r="N103" s="6">
        <f>IFERROR(IF(M103="","",M103-TIME(1,0,0)),"")</f>
        <v>46157.3125</v>
      </c>
      <c r="O103" s="6" cm="1">
        <f t="array" ref="O103">IFERROR(
_xlfn.LET(
_xlpm.res,_xlfn.XLOOKUP(B103,'LOCALIZAÇÃO DE CARGA'!$A$2:$A$2000,'LOCALIZAÇÃO DE CARGA'!$S$2:$S$2000),
IF(_xlpm.res="","",_xlpm.res)
),
""
)</f>
        <v>46163.25</v>
      </c>
      <c r="P103" s="6" cm="1">
        <f t="array" ref="P103">IFERROR(
_xlfn.LET(
_xlpm.res,_xlfn.XLOOKUP(B103,'LOCALIZAÇÃO DE CARGA'!$A$2:$A$702,'LOCALIZAÇÃO DE CARGA'!$T$2:$T$702),
IF(_xlpm.res="","",_xlpm.res)
),
""
)</f>
        <v>46160.205555555556</v>
      </c>
      <c r="Q103" s="5" t="str">
        <f>IFERROR(
IF(
_xlfn.XLOOKUP(
B103,
'LOCALIZAÇÃO DE CARGA'!$A$2:$A$702,
'LOCALIZAÇÃO DE CARGA'!$K$2:$K$702
)="",
"",
_xlfn.XLOOKUP(
B103,
'LOCALIZAÇÃO DE CARGA'!$A$2:$A$702,
'LOCALIZAÇÃO DE CARGA'!$K$2:$K$702
)
),
""
)</f>
        <v>GRUPO CASAS BAHIA S.A(CD1400) - 42816270</v>
      </c>
      <c r="R103" s="5" t="str">
        <f t="shared" si="5"/>
        <v>GRUPO CASAS BAHIA S.A</v>
      </c>
      <c r="S103" s="5" t="str" cm="1">
        <f t="array" ref="S103">IF(B103="","",IFERROR(
INDEX(
'VISÃO LOGISTICA'!$L$2:$L$525,
MATCH(
TRUE,
ISNUMBER(FIND(B103,'VISÃO LOGISTICA'!$A$2:$A$525)),
0
)
),
""
))</f>
        <v>GARUVA/SC/BRASIL</v>
      </c>
      <c r="T103" s="5" t="str">
        <f>IFERROR(
_xlfn.LET(
_xlpm.res,_xlfn.XLOOKUP(B103,'LOCALIZAÇÃO DE CARGA'!$A$2:$A$702,'LOCALIZAÇÃO DE CARGA'!$R$2:$R$702),
IF(_xlpm.res="","",_xlpm.res)
),
""
)</f>
        <v>CAMACARI/BA/BRASIL</v>
      </c>
    </row>
    <row r="104" spans="1:20">
      <c r="A104" s="14">
        <f t="shared" si="3"/>
        <v>46157</v>
      </c>
      <c r="B104" s="5">
        <v>6022183</v>
      </c>
      <c r="C104" s="45" t="str">
        <f t="shared" ca="1" si="4"/>
        <v>EM VIAGEM</v>
      </c>
      <c r="D104" s="28"/>
      <c r="E104" s="28" t="str">
        <f>IFERROR(
IF(
_xlfn.XLOOKUP(
B104,
'LOCALIZAÇÃO DE CARGA'!$A$2:$A$702,
'LOCALIZAÇÃO DE CARGA'!$D$2:$D$702
)="",
"",
_xlfn.XLOOKUP(
B104,
'LOCALIZAÇÃO DE CARGA'!$A$2:$A$702,
'LOCALIZAÇÃO DE CARGA'!$D$2:$D$702
)
),
""
)</f>
        <v/>
      </c>
      <c r="F104" s="13" t="str">
        <f>IFERROR(
IF(
_xlfn.XLOOKUP(
B104,
'LOCALIZAÇÃO DE CARGA'!$A$2:$A$702,
'LOCALIZAÇÃO DE CARGA'!$H$2:$H$702
)="",
"",
_xlfn.XLOOKUP(
B104,
'LOCALIZAÇÃO DE CARGA'!$A$2:$A$702,
'LOCALIZAÇÃO DE CARGA'!$H$2:$H$702
)
),
""
)</f>
        <v>MINAS SUL</v>
      </c>
      <c r="G104" s="5" t="str">
        <f>IFERROR(
IF(
_xlfn.XLOOKUP(
B104,
'LOCALIZAÇÃO DE CARGA'!$A$2:$A$702,
'LOCALIZAÇÃO DE CARGA'!$I$2:$I$702
)="",
"",
_xlfn.XLOOKUP(
B104,
'LOCALIZAÇÃO DE CARGA'!$A$2:$A$702,
'LOCALIZAÇÃO DE CARGA'!$I$2:$I$702
)
),
""
)</f>
        <v>LGSCT</v>
      </c>
      <c r="H104" s="5" t="str">
        <f>IFERROR(
IF(
_xlfn.XLOOKUP(
B104,
'LOCALIZAÇÃO DE CARGA'!$A$2:$A$702,
'LOCALIZAÇÃO DE CARGA'!$F$2:$F$702
)="",
"",
_xlfn.XLOOKUP(
B104,
'LOCALIZAÇÃO DE CARGA'!$A$2:$A$702,
'LOCALIZAÇÃO DE CARGA'!$F$2:$F$702
)
),
""
)</f>
        <v>Andamento</v>
      </c>
      <c r="I104" s="13" t="str" cm="1">
        <f t="array" ref="I104">IFERROR(
IF(
INDEX(
'VISÃO LOGISTICA'!$C$2:$C$525,
MATCH(
TRUE,
ISNUMBER(FIND(B104,'VISÃO LOGISTICA'!$A$2:$A$525)),
0
)
)="Em espera",
"",
INDEX(
'VISÃO LOGISTICA'!$C$2:$C$525,
MATCH(
TRUE,
ISNUMBER(FIND(B104,'VISÃO LOGISTICA'!$A$2:$A$525)),
0
)
)
),
""
)</f>
        <v>Em Viagem</v>
      </c>
      <c r="J104" s="5" t="str" cm="1">
        <f t="array" ref="J104">IFERROR(
IF(
OR(
INDEX(
'VISÃO LOGISTICA'!$C$2:$C$2000,
MATCH(
TRUE,
ISNUMBER(FIND(B104,'VISÃO LOGISTICA'!$A$2:$A$2000)),
0
)
)="Em espera",
INDEX(
'VISÃO LOGISTICA'!$C$2:$C$2000,
MATCH(
TRUE,
ISNUMBER(FIND(B104,'VISÃO LOGISTICA'!$A$2:$A$2000)),
0
)
)=""
),
"",
INDEX(
'VISÃO LOGISTICA'!$D$2:$D$2000,
MATCH(
TRUE,
ISNUMBER(FIND(B104,'VISÃO LOGISTICA'!$A$2:$A$2000)),
0
)
)
),
""
)</f>
        <v>ATN1G43</v>
      </c>
      <c r="K104" s="10">
        <f>IFERROR(
IF(
_xlfn.XLOOKUP(
B104,
'LOCALIZAÇÃO DE CARGA'!$A$2:$A$702,
'LOCALIZAÇÃO DE CARGA'!$E$2:$E$702)="",
"",
_xlfn.XLOOKUP(
B104,
'LOCALIZAÇÃO DE CARGA'!$A$2:$A$702,
'LOCALIZAÇÃO DE CARGA'!$E$2:$E$702)
),
""
)</f>
        <v>168322</v>
      </c>
      <c r="L104" s="20" cm="1">
        <f t="array" ref="L104">IFERROR(
_xlfn.LET(
_xlpm.res,_xlfn.XLOOKUP(B104,'LOCALIZAÇÃO DE CARGA'!$A$2:$A$2000,'LOCALIZAÇÃO DE CARGA'!$G$2:$G$2000),
IF(_xlpm.res="","",_xlpm.res)
),
""
)</f>
        <v>46157.25</v>
      </c>
      <c r="M104" s="20" cm="1">
        <f t="array" ref="M104">IFERROR(
_xlfn.LET(
_xlpm.load,_xlfn.XLOOKUP(B104,'LOCALIZAÇÃO DE CARGA'!$A$2:$A$2000,'LOCALIZAÇÃO DE CARGA'!$A$2:$A$2000),
_xlpm.res,_xlfn.XLOOKUP(_xlpm.load,DOCUMENTOS!$A$2:$A$2000,DOCUMENTOS!$D$2:$D$2000),
IF(_xlpm.res="","",_xlpm.res)
),
""
)</f>
        <v>46157.25</v>
      </c>
      <c r="N104" s="6">
        <f>IFERROR(IF(M104="","",M104-TIME(1,0,0)),"")</f>
        <v>46157.208333333336</v>
      </c>
      <c r="O104" s="6" cm="1">
        <f t="array" ref="O104">IFERROR(
_xlfn.LET(
_xlpm.res,_xlfn.XLOOKUP(B104,'LOCALIZAÇÃO DE CARGA'!$A$2:$A$2000,'LOCALIZAÇÃO DE CARGA'!$S$2:$S$2000),
IF(_xlpm.res="","",_xlpm.res)
),
""
)</f>
        <v>46160.958333333336</v>
      </c>
      <c r="P104" s="6" cm="1">
        <f t="array" ref="P104">IFERROR(
_xlfn.LET(
_xlpm.res,_xlfn.XLOOKUP(B104,'LOCALIZAÇÃO DE CARGA'!$A$2:$A$702,'LOCALIZAÇÃO DE CARGA'!$T$2:$T$702),
IF(_xlpm.res="","",_xlpm.res)
),
""
)</f>
        <v>46158.773611111108</v>
      </c>
      <c r="Q104" s="5" t="str">
        <f>IFERROR(
IF(
_xlfn.XLOOKUP(
B104,
'LOCALIZAÇÃO DE CARGA'!$A$2:$A$702,
'LOCALIZAÇÃO DE CARGA'!$K$2:$K$702
)="",
"",
_xlfn.XLOOKUP(
B104,
'LOCALIZAÇÃO DE CARGA'!$A$2:$A$702,
'LOCALIZAÇÃO DE CARGA'!$K$2:$K$702
)
),
""
)</f>
        <v>GRUPO CASAS BAHIA S.A(CD1200) - 13203850</v>
      </c>
      <c r="R104" s="5" t="str">
        <f t="shared" si="5"/>
        <v>GRUPO CASAS BAHIA S.A</v>
      </c>
      <c r="S104" s="5" t="str" cm="1">
        <f t="array" ref="S104">IF(B104="","",IFERROR(
INDEX(
'VISÃO LOGISTICA'!$L$2:$L$525,
MATCH(
TRUE,
ISNUMBER(FIND(B104,'VISÃO LOGISTICA'!$A$2:$A$525)),
0
)
),
""
))</f>
        <v>RUA CONSTANTE MORO SOBRINHO, SAO JOSE DOS PINHAIS/PR/BRASIL (0,27 Km)</v>
      </c>
      <c r="T104" s="5" t="str">
        <f>IFERROR(
_xlfn.LET(
_xlpm.res,_xlfn.XLOOKUP(B104,'LOCALIZAÇÃO DE CARGA'!$A$2:$A$702,'LOCALIZAÇÃO DE CARGA'!$R$2:$R$702),
IF(_xlpm.res="","",_xlpm.res)
),
""
)</f>
        <v>JUNDIAI/SP/BRASIL</v>
      </c>
    </row>
    <row r="105" spans="1:20">
      <c r="A105" s="14">
        <f t="shared" si="3"/>
        <v>46157</v>
      </c>
      <c r="B105" s="5">
        <v>6011546</v>
      </c>
      <c r="C105" s="45" t="str">
        <f t="shared" ca="1" si="4"/>
        <v>EM VIAGEM</v>
      </c>
      <c r="D105" s="28"/>
      <c r="E105" s="28" t="str">
        <f>IFERROR(
IF(
_xlfn.XLOOKUP(
B105,
'LOCALIZAÇÃO DE CARGA'!$A$2:$A$702,
'LOCALIZAÇÃO DE CARGA'!$D$2:$D$702
)="",
"",
_xlfn.XLOOKUP(
B105,
'LOCALIZAÇÃO DE CARGA'!$A$2:$A$702,
'LOCALIZAÇÃO DE CARGA'!$D$2:$D$702
)
),
""
)</f>
        <v/>
      </c>
      <c r="F105" s="13" t="str">
        <f>IFERROR(
IF(
_xlfn.XLOOKUP(
B105,
'LOCALIZAÇÃO DE CARGA'!$A$2:$A$702,
'LOCALIZAÇÃO DE CARGA'!$H$2:$H$702
)="",
"",
_xlfn.XLOOKUP(
B105,
'LOCALIZAÇÃO DE CARGA'!$A$2:$A$702,
'LOCALIZAÇÃO DE CARGA'!$H$2:$H$702
)
),
""
)</f>
        <v>TRANSKING</v>
      </c>
      <c r="G105" s="5" t="str">
        <f>IFERROR(
IF(
_xlfn.XLOOKUP(
B105,
'LOCALIZAÇÃO DE CARGA'!$A$2:$A$702,
'LOCALIZAÇÃO DE CARGA'!$I$2:$I$702
)="",
"",
_xlfn.XLOOKUP(
B105,
'LOCALIZAÇÃO DE CARGA'!$A$2:$A$702,
'LOCALIZAÇÃO DE CARGA'!$I$2:$I$702
)
),
""
)</f>
        <v>LGSCT</v>
      </c>
      <c r="H105" s="5" t="str">
        <f>IFERROR(
IF(
_xlfn.XLOOKUP(
B105,
'LOCALIZAÇÃO DE CARGA'!$A$2:$A$702,
'LOCALIZAÇÃO DE CARGA'!$F$2:$F$702
)="",
"",
_xlfn.XLOOKUP(
B105,
'LOCALIZAÇÃO DE CARGA'!$A$2:$A$702,
'LOCALIZAÇÃO DE CARGA'!$F$2:$F$702
)
),
""
)</f>
        <v>Andamento</v>
      </c>
      <c r="I105" s="13" t="str" cm="1">
        <f t="array" ref="I105">IFERROR(
IF(
INDEX(
'VISÃO LOGISTICA'!$C$2:$C$525,
MATCH(
TRUE,
ISNUMBER(FIND(B105,'VISÃO LOGISTICA'!$A$2:$A$525)),
0
)
)="Em espera",
"",
INDEX(
'VISÃO LOGISTICA'!$C$2:$C$525,
MATCH(
TRUE,
ISNUMBER(FIND(B105,'VISÃO LOGISTICA'!$A$2:$A$525)),
0
)
)
),
""
)</f>
        <v>Em Viagem</v>
      </c>
      <c r="J105" s="5" t="str" cm="1">
        <f t="array" ref="J105">IFERROR(
IF(
OR(
INDEX(
'VISÃO LOGISTICA'!$C$2:$C$2000,
MATCH(
TRUE,
ISNUMBER(FIND(B105,'VISÃO LOGISTICA'!$A$2:$A$2000)),
0
)
)="Em espera",
INDEX(
'VISÃO LOGISTICA'!$C$2:$C$2000,
MATCH(
TRUE,
ISNUMBER(FIND(B105,'VISÃO LOGISTICA'!$A$2:$A$2000)),
0
)
)=""
),
"",
INDEX(
'VISÃO LOGISTICA'!$D$2:$D$2000,
MATCH(
TRUE,
ISNUMBER(FIND(B105,'VISÃO LOGISTICA'!$A$2:$A$2000)),
0
)
)
),
""
)</f>
        <v>MQJ6B54</v>
      </c>
      <c r="K105" s="10">
        <f>IFERROR(
IF(
_xlfn.XLOOKUP(
B105,
'LOCALIZAÇÃO DE CARGA'!$A$2:$A$702,
'LOCALIZAÇÃO DE CARGA'!$E$2:$E$702)="",
"",
_xlfn.XLOOKUP(
B105,
'LOCALIZAÇÃO DE CARGA'!$A$2:$A$702,
'LOCALIZAÇÃO DE CARGA'!$E$2:$E$702)
),
""
)</f>
        <v>167759.56</v>
      </c>
      <c r="L105" s="20" cm="1">
        <f t="array" ref="L105">IFERROR(
_xlfn.LET(
_xlpm.res,_xlfn.XLOOKUP(B105,'LOCALIZAÇÃO DE CARGA'!$A$2:$A$2000,'LOCALIZAÇÃO DE CARGA'!$G$2:$G$2000),
IF(_xlpm.res="","",_xlpm.res)
),
""
)</f>
        <v>46159.321527777778</v>
      </c>
      <c r="M105" s="20" cm="1">
        <f t="array" ref="M105">IFERROR(
_xlfn.LET(
_xlpm.load,_xlfn.XLOOKUP(B105,'LOCALIZAÇÃO DE CARGA'!$A$2:$A$2000,'LOCALIZAÇÃO DE CARGA'!$A$2:$A$2000),
_xlpm.res,_xlfn.XLOOKUP(_xlpm.load,DOCUMENTOS!$A$2:$A$2000,DOCUMENTOS!$D$2:$D$2000),
IF(_xlpm.res="","",_xlpm.res)
),
""
)</f>
        <v>46157.583333333336</v>
      </c>
      <c r="N105" s="6">
        <f>IFERROR(IF(M105="","",M105-TIME(1,0,0)),"")</f>
        <v>46157.541666666672</v>
      </c>
      <c r="O105" s="6" cm="1">
        <f t="array" ref="O105">IFERROR(
_xlfn.LET(
_xlpm.res,_xlfn.XLOOKUP(B105,'LOCALIZAÇÃO DE CARGA'!$A$2:$A$2000,'LOCALIZAÇÃO DE CARGA'!$S$2:$S$2000),
IF(_xlpm.res="","",_xlpm.res)
),
""
)</f>
        <v>46161.25</v>
      </c>
      <c r="P105" s="6" cm="1">
        <f t="array" ref="P105">IFERROR(
_xlfn.LET(
_xlpm.res,_xlfn.XLOOKUP(B105,'LOCALIZAÇÃO DE CARGA'!$A$2:$A$702,'LOCALIZAÇÃO DE CARGA'!$T$2:$T$702),
IF(_xlpm.res="","",_xlpm.res)
),
""
)</f>
        <v>46159.484027777777</v>
      </c>
      <c r="Q105" s="5" t="str">
        <f>IFERROR(
IF(
_xlfn.XLOOKUP(
B105,
'LOCALIZAÇÃO DE CARGA'!$A$2:$A$702,
'LOCALIZAÇÃO DE CARGA'!$K$2:$K$702
)="",
"",
_xlfn.XLOOKUP(
B105,
'LOCALIZAÇÃO DE CARGA'!$A$2:$A$702,
'LOCALIZAÇÃO DE CARGA'!$K$2:$K$702
)
),
""
)</f>
        <v>MAGAZINE LUIZA S/A (CD1100) - 75340000</v>
      </c>
      <c r="R105" s="5" t="str">
        <f t="shared" si="5"/>
        <v>MAGAZINE LUIZA S/A</v>
      </c>
      <c r="S105" s="5" t="str" cm="1">
        <f t="array" ref="S105">IF(B105="","",IFERROR(
INDEX(
'VISÃO LOGISTICA'!$L$2:$L$525,
MATCH(
TRUE,
ISNUMBER(FIND(B105,'VISÃO LOGISTICA'!$A$2:$A$525)),
0
)
),
""
))</f>
        <v>TIJUCAS DO SUL/PR/BRASIL</v>
      </c>
      <c r="T105" s="5" t="str">
        <f>IFERROR(
_xlfn.LET(
_xlpm.res,_xlfn.XLOOKUP(B105,'LOCALIZAÇÃO DE CARGA'!$A$2:$A$702,'LOCALIZAÇÃO DE CARGA'!$R$2:$R$702),
IF(_xlpm.res="","",_xlpm.res)
),
""
)</f>
        <v>HIDROLANDIA/GO/BRASIL</v>
      </c>
    </row>
    <row r="106" spans="1:20">
      <c r="A106" s="14">
        <f t="shared" si="3"/>
        <v>46160</v>
      </c>
      <c r="B106" s="5">
        <v>6023033</v>
      </c>
      <c r="C106" s="45" t="str">
        <f t="shared" ca="1" si="4"/>
        <v>OK - NO PRAZO</v>
      </c>
      <c r="D106" s="28"/>
      <c r="E106" s="28" t="str">
        <f>IFERROR(
IF(
_xlfn.XLOOKUP(
B106,
'LOCALIZAÇÃO DE CARGA'!$A$2:$A$702,
'LOCALIZAÇÃO DE CARGA'!$D$2:$D$702
)="",
"",
_xlfn.XLOOKUP(
B106,
'LOCALIZAÇÃO DE CARGA'!$A$2:$A$702,
'LOCALIZAÇÃO DE CARGA'!$D$2:$D$702
)
),
""
)</f>
        <v/>
      </c>
      <c r="F106" s="13" t="str">
        <f>IFERROR(
IF(
_xlfn.XLOOKUP(
B106,
'LOCALIZAÇÃO DE CARGA'!$A$2:$A$702,
'LOCALIZAÇÃO DE CARGA'!$H$2:$H$702
)="",
"",
_xlfn.XLOOKUP(
B106,
'LOCALIZAÇÃO DE CARGA'!$A$2:$A$702,
'LOCALIZAÇÃO DE CARGA'!$H$2:$H$702
)
),
""
)</f>
        <v>RODOBRAS TR</v>
      </c>
      <c r="G106" s="5" t="str">
        <f>IFERROR(
IF(
_xlfn.XLOOKUP(
B106,
'LOCALIZAÇÃO DE CARGA'!$A$2:$A$702,
'LOCALIZAÇÃO DE CARGA'!$I$2:$I$702
)="",
"",
_xlfn.XLOOKUP(
B106,
'LOCALIZAÇÃO DE CARGA'!$A$2:$A$702,
'LOCALIZAÇÃO DE CARGA'!$I$2:$I$702
)
),
""
)</f>
        <v>LGSCT</v>
      </c>
      <c r="H106" s="5" t="str">
        <f>IFERROR(
IF(
_xlfn.XLOOKUP(
B106,
'LOCALIZAÇÃO DE CARGA'!$A$2:$A$702,
'LOCALIZAÇÃO DE CARGA'!$F$2:$F$702
)="",
"",
_xlfn.XLOOKUP(
B106,
'LOCALIZAÇÃO DE CARGA'!$A$2:$A$702,
'LOCALIZAÇÃO DE CARGA'!$F$2:$F$702
)
),
""
)</f>
        <v>Não iniciado</v>
      </c>
      <c r="I106" s="13" t="str" cm="1">
        <f t="array" ref="I106">IFERROR(
IF(
INDEX(
'VISÃO LOGISTICA'!$C$2:$C$525,
MATCH(
TRUE,
ISNUMBER(FIND(B106,'VISÃO LOGISTICA'!$A$2:$A$525)),
0
)
)="Em espera",
"",
INDEX(
'VISÃO LOGISTICA'!$C$2:$C$525,
MATCH(
TRUE,
ISNUMBER(FIND(B106,'VISÃO LOGISTICA'!$A$2:$A$525)),
0
)
)
),
""
)</f>
        <v/>
      </c>
      <c r="J106" s="5" t="str" cm="1">
        <f t="array" ref="J106">IFERROR(
IF(
OR(
INDEX(
'VISÃO LOGISTICA'!$C$2:$C$2000,
MATCH(
TRUE,
ISNUMBER(FIND(B106,'VISÃO LOGISTICA'!$A$2:$A$2000)),
0
)
)="Em espera",
INDEX(
'VISÃO LOGISTICA'!$C$2:$C$2000,
MATCH(
TRUE,
ISNUMBER(FIND(B106,'VISÃO LOGISTICA'!$A$2:$A$2000)),
0
)
)=""
),
"",
INDEX(
'VISÃO LOGISTICA'!$D$2:$D$2000,
MATCH(
TRUE,
ISNUMBER(FIND(B106,'VISÃO LOGISTICA'!$A$2:$A$2000)),
0
)
)
),
""
)</f>
        <v/>
      </c>
      <c r="K106" s="10">
        <f>IFERROR(
IF(
_xlfn.XLOOKUP(
B106,
'LOCALIZAÇÃO DE CARGA'!$A$2:$A$702,
'LOCALIZAÇÃO DE CARGA'!$E$2:$E$702)="",
"",
_xlfn.XLOOKUP(
B106,
'LOCALIZAÇÃO DE CARGA'!$A$2:$A$702,
'LOCALIZAÇÃO DE CARGA'!$E$2:$E$702)
),
""
)</f>
        <v>166377.21</v>
      </c>
      <c r="L106" s="20" cm="1">
        <f t="array" ref="L106">IFERROR(
_xlfn.LET(
_xlpm.res,_xlfn.XLOOKUP(B106,'LOCALIZAÇÃO DE CARGA'!$A$2:$A$2000,'LOCALIZAÇÃO DE CARGA'!$G$2:$G$2000),
IF(_xlpm.res="","",_xlpm.res)
),
""
)</f>
        <v>46162.097222222219</v>
      </c>
      <c r="M106" s="20" cm="1">
        <f t="array" ref="M106">IFERROR(
_xlfn.LET(
_xlpm.load,_xlfn.XLOOKUP(B106,'LOCALIZAÇÃO DE CARGA'!$A$2:$A$2000,'LOCALIZAÇÃO DE CARGA'!$A$2:$A$2000),
_xlpm.res,_xlfn.XLOOKUP(_xlpm.load,DOCUMENTOS!$A$2:$A$2000,DOCUMENTOS!$D$2:$D$2000),
IF(_xlpm.res="","",_xlpm.res)
),
""
)</f>
        <v>46160.416666666664</v>
      </c>
      <c r="N106" s="6">
        <f>IFERROR(IF(M106="","",M106-TIME(1,0,0)),"")</f>
        <v>46160.375</v>
      </c>
      <c r="O106" s="6" cm="1">
        <f t="array" ref="O106">IFERROR(
_xlfn.LET(
_xlpm.res,_xlfn.XLOOKUP(B106,'LOCALIZAÇÃO DE CARGA'!$A$2:$A$2000,'LOCALIZAÇÃO DE CARGA'!$S$2:$S$2000),
IF(_xlpm.res="","",_xlpm.res)
),
""
)</f>
        <v>46162.25</v>
      </c>
      <c r="P106" s="6" t="str" cm="1">
        <f t="array" ref="P106">IFERROR(
_xlfn.LET(
_xlpm.res,_xlfn.XLOOKUP(B106,'LOCALIZAÇÃO DE CARGA'!$A$2:$A$702,'LOCALIZAÇÃO DE CARGA'!$T$2:$T$702),
IF(_xlpm.res="","",_xlpm.res)
),
""
)</f>
        <v/>
      </c>
      <c r="Q106" s="5" t="str">
        <f>IFERROR(
IF(
_xlfn.XLOOKUP(
B106,
'LOCALIZAÇÃO DE CARGA'!$A$2:$A$702,
'LOCALIZAÇÃO DE CARGA'!$K$2:$K$702
)="",
"",
_xlfn.XLOOKUP(
B106,
'LOCALIZAÇÃO DE CARGA'!$A$2:$A$702,
'LOCALIZAÇÃO DE CARGA'!$K$2:$K$702
)
),
""
)</f>
        <v>GRUPO CASAS BAHIA S.A(CD1475) - 83085058</v>
      </c>
      <c r="R106" s="5" t="str">
        <f t="shared" si="5"/>
        <v>GRUPO CASAS BAHIA S.A</v>
      </c>
      <c r="S106" s="5" t="str" cm="1">
        <f t="array" ref="S106">IF(B106="","",IFERROR(
INDEX(
'VISÃO LOGISTICA'!$L$2:$L$525,
MATCH(
TRUE,
ISNUMBER(FIND(B106,'VISÃO LOGISTICA'!$A$2:$A$525)),
0
)
),
""
))</f>
        <v/>
      </c>
      <c r="T106" s="5" t="str">
        <f>IFERROR(
_xlfn.LET(
_xlpm.res,_xlfn.XLOOKUP(B106,'LOCALIZAÇÃO DE CARGA'!$A$2:$A$702,'LOCALIZAÇÃO DE CARGA'!$R$2:$R$702),
IF(_xlpm.res="","",_xlpm.res)
),
""
)</f>
        <v>SAO JOSE DOS PINHAIS/PR/BRASIL</v>
      </c>
    </row>
    <row r="107" spans="1:20">
      <c r="A107" s="14">
        <f t="shared" si="3"/>
        <v>46157</v>
      </c>
      <c r="B107" s="5">
        <v>6022595</v>
      </c>
      <c r="C107" s="45" t="str">
        <f t="shared" ca="1" si="4"/>
        <v>EM VIAGEM</v>
      </c>
      <c r="D107" s="28"/>
      <c r="E107" s="28" t="str">
        <f>IFERROR(
IF(
_xlfn.XLOOKUP(
B107,
'LOCALIZAÇÃO DE CARGA'!$A$2:$A$702,
'LOCALIZAÇÃO DE CARGA'!$D$2:$D$702
)="",
"",
_xlfn.XLOOKUP(
B107,
'LOCALIZAÇÃO DE CARGA'!$A$2:$A$702,
'LOCALIZAÇÃO DE CARGA'!$D$2:$D$702
)
),
""
)</f>
        <v/>
      </c>
      <c r="F107" s="13" t="str">
        <f>IFERROR(
IF(
_xlfn.XLOOKUP(
B107,
'LOCALIZAÇÃO DE CARGA'!$A$2:$A$702,
'LOCALIZAÇÃO DE CARGA'!$H$2:$H$702
)="",
"",
_xlfn.XLOOKUP(
B107,
'LOCALIZAÇÃO DE CARGA'!$A$2:$A$702,
'LOCALIZAÇÃO DE CARGA'!$H$2:$H$702
)
),
""
)</f>
        <v>SUL CONTINEN</v>
      </c>
      <c r="G107" s="5" t="str">
        <f>IFERROR(
IF(
_xlfn.XLOOKUP(
B107,
'LOCALIZAÇÃO DE CARGA'!$A$2:$A$702,
'LOCALIZAÇÃO DE CARGA'!$I$2:$I$702
)="",
"",
_xlfn.XLOOKUP(
B107,
'LOCALIZAÇÃO DE CARGA'!$A$2:$A$702,
'LOCALIZAÇÃO DE CARGA'!$I$2:$I$702
)
),
""
)</f>
        <v>LGSCT</v>
      </c>
      <c r="H107" s="5" t="str">
        <f>IFERROR(
IF(
_xlfn.XLOOKUP(
B107,
'LOCALIZAÇÃO DE CARGA'!$A$2:$A$702,
'LOCALIZAÇÃO DE CARGA'!$F$2:$F$702
)="",
"",
_xlfn.XLOOKUP(
B107,
'LOCALIZAÇÃO DE CARGA'!$A$2:$A$702,
'LOCALIZAÇÃO DE CARGA'!$F$2:$F$702
)
),
""
)</f>
        <v>Andamento</v>
      </c>
      <c r="I107" s="13" t="str" cm="1">
        <f t="array" ref="I107">IFERROR(
IF(
INDEX(
'VISÃO LOGISTICA'!$C$2:$C$525,
MATCH(
TRUE,
ISNUMBER(FIND(B107,'VISÃO LOGISTICA'!$A$2:$A$525)),
0
)
)="Em espera",
"",
INDEX(
'VISÃO LOGISTICA'!$C$2:$C$525,
MATCH(
TRUE,
ISNUMBER(FIND(B107,'VISÃO LOGISTICA'!$A$2:$A$525)),
0
)
)
),
""
)</f>
        <v>Em Viagem</v>
      </c>
      <c r="J107" s="5" t="str" cm="1">
        <f t="array" ref="J107">IFERROR(
IF(
OR(
INDEX(
'VISÃO LOGISTICA'!$C$2:$C$2000,
MATCH(
TRUE,
ISNUMBER(FIND(B107,'VISÃO LOGISTICA'!$A$2:$A$2000)),
0
)
)="Em espera",
INDEX(
'VISÃO LOGISTICA'!$C$2:$C$2000,
MATCH(
TRUE,
ISNUMBER(FIND(B107,'VISÃO LOGISTICA'!$A$2:$A$2000)),
0
)
)=""
),
"",
INDEX(
'VISÃO LOGISTICA'!$D$2:$D$2000,
MATCH(
TRUE,
ISNUMBER(FIND(B107,'VISÃO LOGISTICA'!$A$2:$A$2000)),
0
)
)
),
""
)</f>
        <v>RLB8F85</v>
      </c>
      <c r="K107" s="10">
        <f>IFERROR(
IF(
_xlfn.XLOOKUP(
B107,
'LOCALIZAÇÃO DE CARGA'!$A$2:$A$702,
'LOCALIZAÇÃO DE CARGA'!$E$2:$E$702)="",
"",
_xlfn.XLOOKUP(
B107,
'LOCALIZAÇÃO DE CARGA'!$A$2:$A$702,
'LOCALIZAÇÃO DE CARGA'!$E$2:$E$702)
),
""
)</f>
        <v>164688.75</v>
      </c>
      <c r="L107" s="20" cm="1">
        <f t="array" ref="L107">IFERROR(
_xlfn.LET(
_xlpm.res,_xlfn.XLOOKUP(B107,'LOCALIZAÇÃO DE CARGA'!$A$2:$A$2000,'LOCALIZAÇÃO DE CARGA'!$G$2:$G$2000),
IF(_xlpm.res="","",_xlpm.res)
),
""
)</f>
        <v>46162.833333333336</v>
      </c>
      <c r="M107" s="20" cm="1">
        <f t="array" ref="M107">IFERROR(
_xlfn.LET(
_xlpm.load,_xlfn.XLOOKUP(B107,'LOCALIZAÇÃO DE CARGA'!$A$2:$A$2000,'LOCALIZAÇÃO DE CARGA'!$A$2:$A$2000),
_xlpm.res,_xlfn.XLOOKUP(_xlpm.load,DOCUMENTOS!$A$2:$A$2000,DOCUMENTOS!$D$2:$D$2000),
IF(_xlpm.res="","",_xlpm.res)
),
""
)</f>
        <v>46157.604166666664</v>
      </c>
      <c r="N107" s="6">
        <f>IFERROR(IF(M107="","",M107-TIME(1,0,0)),"")</f>
        <v>46157.5625</v>
      </c>
      <c r="O107" s="6" cm="1">
        <f t="array" ref="O107">IFERROR(
_xlfn.LET(
_xlpm.res,_xlfn.XLOOKUP(B107,'LOCALIZAÇÃO DE CARGA'!$A$2:$A$2000,'LOCALIZAÇÃO DE CARGA'!$S$2:$S$2000),
IF(_xlpm.res="","",_xlpm.res)
),
""
)</f>
        <v>46163.25</v>
      </c>
      <c r="P107" s="6" cm="1">
        <f t="array" ref="P107">IFERROR(
_xlfn.LET(
_xlpm.res,_xlfn.XLOOKUP(B107,'LOCALIZAÇÃO DE CARGA'!$A$2:$A$702,'LOCALIZAÇÃO DE CARGA'!$T$2:$T$702),
IF(_xlpm.res="","",_xlpm.res)
),
""
)</f>
        <v>46158.630555555559</v>
      </c>
      <c r="Q107" s="5" t="str">
        <f>IFERROR(
IF(
_xlfn.XLOOKUP(
B107,
'LOCALIZAÇÃO DE CARGA'!$A$2:$A$702,
'LOCALIZAÇÃO DE CARGA'!$K$2:$K$702
)="",
"",
_xlfn.XLOOKUP(
B107,
'LOCALIZAÇÃO DE CARGA'!$A$2:$A$702,
'LOCALIZAÇÃO DE CARGA'!$K$2:$K$702
)
),
""
)</f>
        <v>MAGAZINE LUIZA S/A (CD5200) - 94100420</v>
      </c>
      <c r="R107" s="5" t="str">
        <f t="shared" si="5"/>
        <v>MAGAZINE LUIZA S/A</v>
      </c>
      <c r="S107" s="5" t="str" cm="1">
        <f t="array" ref="S107">IF(B107="","",IFERROR(
INDEX(
'VISÃO LOGISTICA'!$L$2:$L$525,
MATCH(
TRUE,
ISNUMBER(FIND(B107,'VISÃO LOGISTICA'!$A$2:$A$525)),
0
)
),
""
))</f>
        <v>RUA MIL SEISCENTOS E DEZESSETE, IÇARA/SC/BRASIL (7,83 Km)</v>
      </c>
      <c r="T107" s="5" t="str">
        <f>IFERROR(
_xlfn.LET(
_xlpm.res,_xlfn.XLOOKUP(B107,'LOCALIZAÇÃO DE CARGA'!$A$2:$A$702,'LOCALIZAÇÃO DE CARGA'!$R$2:$R$702),
IF(_xlpm.res="","",_xlpm.res)
),
""
)</f>
        <v>GRAVATAI/RS/BRASIL</v>
      </c>
    </row>
    <row r="108" spans="1:20">
      <c r="A108" s="14">
        <f t="shared" si="3"/>
        <v>46157</v>
      </c>
      <c r="B108" s="5">
        <v>6023431</v>
      </c>
      <c r="C108" s="45" t="str">
        <f t="shared" ca="1" si="4"/>
        <v>ATRASADO ENTREGA - SEM SMP</v>
      </c>
      <c r="D108" s="28"/>
      <c r="E108" s="28" t="str">
        <f>IFERROR(
IF(
_xlfn.XLOOKUP(
B108,
'LOCALIZAÇÃO DE CARGA'!$A$2:$A$702,
'LOCALIZAÇÃO DE CARGA'!$D$2:$D$702
)="",
"",
_xlfn.XLOOKUP(
B108,
'LOCALIZAÇÃO DE CARGA'!$A$2:$A$702,
'LOCALIZAÇÃO DE CARGA'!$D$2:$D$702
)
),
""
)</f>
        <v>Saida do WH</v>
      </c>
      <c r="F108" s="13" t="str">
        <f>IFERROR(
IF(
_xlfn.XLOOKUP(
B108,
'LOCALIZAÇÃO DE CARGA'!$A$2:$A$702,
'LOCALIZAÇÃO DE CARGA'!$H$2:$H$702
)="",
"",
_xlfn.XLOOKUP(
B108,
'LOCALIZAÇÃO DE CARGA'!$A$2:$A$702,
'LOCALIZAÇÃO DE CARGA'!$H$2:$H$702
)
),
""
)</f>
        <v>VIPE TRANSPO</v>
      </c>
      <c r="G108" s="5" t="str">
        <f>IFERROR(
IF(
_xlfn.XLOOKUP(
B108,
'LOCALIZAÇÃO DE CARGA'!$A$2:$A$702,
'LOCALIZAÇÃO DE CARGA'!$I$2:$I$702
)="",
"",
_xlfn.XLOOKUP(
B108,
'LOCALIZAÇÃO DE CARGA'!$A$2:$A$702,
'LOCALIZAÇÃO DE CARGA'!$I$2:$I$702
)
),
""
)</f>
        <v>LGCAJ</v>
      </c>
      <c r="H108" s="5" t="str">
        <f>IFERROR(
IF(
_xlfn.XLOOKUP(
B108,
'LOCALIZAÇÃO DE CARGA'!$A$2:$A$702,
'LOCALIZAÇÃO DE CARGA'!$F$2:$F$702
)="",
"",
_xlfn.XLOOKUP(
B108,
'LOCALIZAÇÃO DE CARGA'!$A$2:$A$702,
'LOCALIZAÇÃO DE CARGA'!$F$2:$F$702
)
),
""
)</f>
        <v>Andamento</v>
      </c>
      <c r="I108" s="13" t="str" cm="1">
        <f t="array" ref="I108">IFERROR(
IF(
INDEX(
'VISÃO LOGISTICA'!$C$2:$C$525,
MATCH(
TRUE,
ISNUMBER(FIND(B108,'VISÃO LOGISTICA'!$A$2:$A$525)),
0
)
)="Em espera",
"",
INDEX(
'VISÃO LOGISTICA'!$C$2:$C$525,
MATCH(
TRUE,
ISNUMBER(FIND(B108,'VISÃO LOGISTICA'!$A$2:$A$525)),
0
)
)
),
""
)</f>
        <v/>
      </c>
      <c r="J108" s="5" t="str" cm="1">
        <f t="array" ref="J108">IFERROR(
IF(
OR(
INDEX(
'VISÃO LOGISTICA'!$C$2:$C$2000,
MATCH(
TRUE,
ISNUMBER(FIND(B108,'VISÃO LOGISTICA'!$A$2:$A$2000)),
0
)
)="Em espera",
INDEX(
'VISÃO LOGISTICA'!$C$2:$C$2000,
MATCH(
TRUE,
ISNUMBER(FIND(B108,'VISÃO LOGISTICA'!$A$2:$A$2000)),
0
)
)=""
),
"",
INDEX(
'VISÃO LOGISTICA'!$D$2:$D$2000,
MATCH(
TRUE,
ISNUMBER(FIND(B108,'VISÃO LOGISTICA'!$A$2:$A$2000)),
0
)
)
),
""
)</f>
        <v>EFV9A07</v>
      </c>
      <c r="K108" s="10">
        <f>IFERROR(
IF(
_xlfn.XLOOKUP(
B108,
'LOCALIZAÇÃO DE CARGA'!$A$2:$A$702,
'LOCALIZAÇÃO DE CARGA'!$E$2:$E$702)="",
"",
_xlfn.XLOOKUP(
B108,
'LOCALIZAÇÃO DE CARGA'!$A$2:$A$702,
'LOCALIZAÇÃO DE CARGA'!$E$2:$E$702)
),
""
)</f>
        <v>162983</v>
      </c>
      <c r="L108" s="20" cm="1">
        <f t="array" ref="L108">IFERROR(
_xlfn.LET(
_xlpm.res,_xlfn.XLOOKUP(B108,'LOCALIZAÇÃO DE CARGA'!$A$2:$A$2000,'LOCALIZAÇÃO DE CARGA'!$G$2:$G$2000),
IF(_xlpm.res="","",_xlpm.res)
),
""
)</f>
        <v>46158.241666666669</v>
      </c>
      <c r="M108" s="20" cm="1">
        <f t="array" ref="M108">IFERROR(
_xlfn.LET(
_xlpm.load,_xlfn.XLOOKUP(B108,'LOCALIZAÇÃO DE CARGA'!$A$2:$A$2000,'LOCALIZAÇÃO DE CARGA'!$A$2:$A$2000),
_xlpm.res,_xlfn.XLOOKUP(_xlpm.load,DOCUMENTOS!$A$2:$A$2000,DOCUMENTOS!$D$2:$D$2000),
IF(_xlpm.res="","",_xlpm.res)
),
""
)</f>
        <v>46157.416666666664</v>
      </c>
      <c r="N108" s="6">
        <f>IFERROR(IF(M108="","",M108-TIME(1,0,0)),"")</f>
        <v>46157.375</v>
      </c>
      <c r="O108" s="6" cm="1">
        <f t="array" ref="O108">IFERROR(
_xlfn.LET(
_xlpm.res,_xlfn.XLOOKUP(B108,'LOCALIZAÇÃO DE CARGA'!$A$2:$A$2000,'LOCALIZAÇÃO DE CARGA'!$S$2:$S$2000),
IF(_xlpm.res="","",_xlpm.res)
),
""
)</f>
        <v>46158.333333333336</v>
      </c>
      <c r="P108" s="6" cm="1">
        <f t="array" ref="P108">IFERROR(
_xlfn.LET(
_xlpm.res,_xlfn.XLOOKUP(B108,'LOCALIZAÇÃO DE CARGA'!$A$2:$A$702,'LOCALIZAÇÃO DE CARGA'!$T$2:$T$702),
IF(_xlpm.res="","",_xlpm.res)
),
""
)</f>
        <v>46158.439583333333</v>
      </c>
      <c r="Q108" s="5" t="str">
        <f>IFERROR(
IF(
_xlfn.XLOOKUP(
B108,
'LOCALIZAÇÃO DE CARGA'!$A$2:$A$702,
'LOCALIZAÇÃO DE CARGA'!$K$2:$K$702
)="",
"",
_xlfn.XLOOKUP(
B108,
'LOCALIZAÇÃO DE CARGA'!$A$2:$A$702,
'LOCALIZAÇÃO DE CARGA'!$K$2:$K$702
)
),
""
)</f>
        <v>DAYCOVAL LEASING SOCIEDADE DE ARRENDAMENTO MERCANTIL S.A. - 01333000</v>
      </c>
      <c r="R108" s="5" t="str">
        <f t="shared" si="5"/>
        <v>DAYCOVAL LEASING SOCIEDADE DE ARRENDAMENTO MERCANTIL S.A.</v>
      </c>
      <c r="S108" s="5" t="str" cm="1">
        <f t="array" ref="S108">IF(B108="","",IFERROR(
INDEX(
'VISÃO LOGISTICA'!$L$2:$L$525,
MATCH(
TRUE,
ISNUMBER(FIND(B108,'VISÃO LOGISTICA'!$A$2:$A$525)),
0
)
),
""
))</f>
        <v/>
      </c>
      <c r="T108" s="5" t="str" cm="1">
        <f t="array" ref="T108">IFERROR(
_xlfn.LET(
_xlpm.res,_xlfn.XLOOKUP(B108,'LOCALIZAÇÃO DE CARGA'!$A$2:$A$702,'LOCALIZAÇÃO DE CARGA'!$R$2:$R$702),
IF(_xlpm.res="","",SUBSTITUTE(_xlpm.res,"/BRASIL",""))
),
""
)</f>
        <v>SAO PAULO/SP</v>
      </c>
    </row>
    <row r="109" spans="1:20">
      <c r="A109" s="14">
        <f t="shared" si="3"/>
        <v>46157</v>
      </c>
      <c r="B109" s="5">
        <v>6022052</v>
      </c>
      <c r="C109" s="45" t="str">
        <f t="shared" ca="1" si="4"/>
        <v>NA PENSKE - COM SMP - AGUARDANDO SAÍDA</v>
      </c>
      <c r="D109" s="28"/>
      <c r="E109" s="28" t="str">
        <f>IFERROR(
IF(
_xlfn.XLOOKUP(
B109,
'LOCALIZAÇÃO DE CARGA'!$A$2:$A$702,
'LOCALIZAÇÃO DE CARGA'!$D$2:$D$702
)="",
"",
_xlfn.XLOOKUP(
B109,
'LOCALIZAÇÃO DE CARGA'!$A$2:$A$702,
'LOCALIZAÇÃO DE CARGA'!$D$2:$D$702
)
),
""
)</f>
        <v/>
      </c>
      <c r="F109" s="13" t="str">
        <f>IFERROR(
IF(
_xlfn.XLOOKUP(
B109,
'LOCALIZAÇÃO DE CARGA'!$A$2:$A$702,
'LOCALIZAÇÃO DE CARGA'!$H$2:$H$702
)="",
"",
_xlfn.XLOOKUP(
B109,
'LOCALIZAÇÃO DE CARGA'!$A$2:$A$702,
'LOCALIZAÇÃO DE CARGA'!$H$2:$H$702
)
),
""
)</f>
        <v>VIPE TRANSPO</v>
      </c>
      <c r="G109" s="5" t="str">
        <f>IFERROR(
IF(
_xlfn.XLOOKUP(
B109,
'LOCALIZAÇÃO DE CARGA'!$A$2:$A$702,
'LOCALIZAÇÃO DE CARGA'!$I$2:$I$702
)="",
"",
_xlfn.XLOOKUP(
B109,
'LOCALIZAÇÃO DE CARGA'!$A$2:$A$702,
'LOCALIZAÇÃO DE CARGA'!$I$2:$I$702
)
),
""
)</f>
        <v>LGCAJ</v>
      </c>
      <c r="H109" s="5" t="str">
        <f>IFERROR(
IF(
_xlfn.XLOOKUP(
B109,
'LOCALIZAÇÃO DE CARGA'!$A$2:$A$702,
'LOCALIZAÇÃO DE CARGA'!$F$2:$F$702
)="",
"",
_xlfn.XLOOKUP(
B109,
'LOCALIZAÇÃO DE CARGA'!$A$2:$A$702,
'LOCALIZAÇÃO DE CARGA'!$F$2:$F$702
)
),
""
)</f>
        <v>Andamento</v>
      </c>
      <c r="I109" s="13" t="str" cm="1">
        <f t="array" ref="I109">IFERROR(
IF(
INDEX(
'VISÃO LOGISTICA'!$C$2:$C$525,
MATCH(
TRUE,
ISNUMBER(FIND(B109,'VISÃO LOGISTICA'!$A$2:$A$525)),
0
)
)="Em espera",
"",
INDEX(
'VISÃO LOGISTICA'!$C$2:$C$525,
MATCH(
TRUE,
ISNUMBER(FIND(B109,'VISÃO LOGISTICA'!$A$2:$A$525)),
0
)
)
),
""
)</f>
        <v>Em Viagem</v>
      </c>
      <c r="J109" s="5" t="str" cm="1">
        <f t="array" ref="J109">IFERROR(
IF(
OR(
INDEX(
'VISÃO LOGISTICA'!$C$2:$C$2000,
MATCH(
TRUE,
ISNUMBER(FIND(B109,'VISÃO LOGISTICA'!$A$2:$A$2000)),
0
)
)="Em espera",
INDEX(
'VISÃO LOGISTICA'!$C$2:$C$2000,
MATCH(
TRUE,
ISNUMBER(FIND(B109,'VISÃO LOGISTICA'!$A$2:$A$2000)),
0
)
)=""
),
"",
INDEX(
'VISÃO LOGISTICA'!$D$2:$D$2000,
MATCH(
TRUE,
ISNUMBER(FIND(B109,'VISÃO LOGISTICA'!$A$2:$A$2000)),
0
)
)
),
""
)</f>
        <v>FCR0J34</v>
      </c>
      <c r="K109" s="10">
        <f>IFERROR(
IF(
_xlfn.XLOOKUP(
B109,
'LOCALIZAÇÃO DE CARGA'!$A$2:$A$702,
'LOCALIZAÇÃO DE CARGA'!$E$2:$E$702)="",
"",
_xlfn.XLOOKUP(
B109,
'LOCALIZAÇÃO DE CARGA'!$A$2:$A$702,
'LOCALIZAÇÃO DE CARGA'!$E$2:$E$702)
),
""
)</f>
        <v>161336.29999999999</v>
      </c>
      <c r="L109" s="20" cm="1">
        <f t="array" ref="L109">IFERROR(
_xlfn.LET(
_xlpm.res,_xlfn.XLOOKUP(B109,'LOCALIZAÇÃO DE CARGA'!$A$2:$A$2000,'LOCALIZAÇÃO DE CARGA'!$G$2:$G$2000),
IF(_xlpm.res="","",_xlpm.res)
),
""
)</f>
        <v>46159.229166666664</v>
      </c>
      <c r="M109" s="20" cm="1">
        <f t="array" ref="M109">IFERROR(
_xlfn.LET(
_xlpm.load,_xlfn.XLOOKUP(B109,'LOCALIZAÇÃO DE CARGA'!$A$2:$A$2000,'LOCALIZAÇÃO DE CARGA'!$A$2:$A$2000),
_xlpm.res,_xlfn.XLOOKUP(_xlpm.load,DOCUMENTOS!$A$2:$A$2000,DOCUMENTOS!$D$2:$D$2000),
IF(_xlpm.res="","",_xlpm.res)
),
""
)</f>
        <v>46157.583333333336</v>
      </c>
      <c r="N109" s="6">
        <f>IFERROR(IF(M109="","",M109-TIME(1,0,0)),"")</f>
        <v>46157.541666666672</v>
      </c>
      <c r="O109" s="6" cm="1">
        <f t="array" ref="O109">IFERROR(
_xlfn.LET(
_xlpm.res,_xlfn.XLOOKUP(B109,'LOCALIZAÇÃO DE CARGA'!$A$2:$A$2000,'LOCALIZAÇÃO DE CARGA'!$S$2:$S$2000),
IF(_xlpm.res="","",_xlpm.res)
),
""
)</f>
        <v>46160.25</v>
      </c>
      <c r="P109" s="6" cm="1">
        <f t="array" ref="P109">IFERROR(
_xlfn.LET(
_xlpm.res,_xlfn.XLOOKUP(B109,'LOCALIZAÇÃO DE CARGA'!$A$2:$A$702,'LOCALIZAÇÃO DE CARGA'!$T$2:$T$702),
IF(_xlpm.res="","",_xlpm.res)
),
""
)</f>
        <v>46158.714583333334</v>
      </c>
      <c r="Q109" s="5" t="str">
        <f>IFERROR(
IF(
_xlfn.XLOOKUP(
B109,
'LOCALIZAÇÃO DE CARGA'!$A$2:$A$702,
'LOCALIZAÇÃO DE CARGA'!$K$2:$K$702
)="",
"",
_xlfn.XLOOKUP(
B109,
'LOCALIZAÇÃO DE CARGA'!$A$2:$A$702,
'LOCALIZAÇÃO DE CARGA'!$K$2:$K$702
)
),
""
)</f>
        <v>GRUPO CASAS BAHIA S.A(CD1760) - 32150240</v>
      </c>
      <c r="R109" s="5" t="str">
        <f t="shared" si="5"/>
        <v>GRUPO CASAS BAHIA S.A</v>
      </c>
      <c r="S109" s="5" t="str" cm="1">
        <f t="array" ref="S109">IF(B109="","",IFERROR(
INDEX(
'VISÃO LOGISTICA'!$L$2:$L$525,
MATCH(
TRUE,
ISNUMBER(FIND(B109,'VISÃO LOGISTICA'!$A$2:$A$525)),
0
)
),
""
))</f>
        <v>ESTR DA COPASE, CAJAMAR/SP/BRASIL (0,09 Km)</v>
      </c>
      <c r="T109" s="5" t="str" cm="1">
        <f t="array" ref="T109">IFERROR(
_xlfn.LET(
_xlpm.res,_xlfn.XLOOKUP(B109,'LOCALIZAÇÃO DE CARGA'!$A$2:$A$702,'LOCALIZAÇÃO DE CARGA'!$R$2:$R$702),
IF(_xlpm.res="","",SUBSTITUTE(_xlpm.res,"/BRASIL",""))
),
""
)</f>
        <v>CONTAGEM/MG</v>
      </c>
    </row>
    <row r="110" spans="1:20">
      <c r="A110" s="14">
        <f t="shared" si="3"/>
        <v>46157</v>
      </c>
      <c r="B110" s="5">
        <v>6022159</v>
      </c>
      <c r="C110" s="45" t="str">
        <f t="shared" ca="1" si="4"/>
        <v>ATRASADO CARREGAMENTO - SEM SMP</v>
      </c>
      <c r="D110" s="28"/>
      <c r="E110" s="28" t="str">
        <f>IFERROR(
IF(
_xlfn.XLOOKUP(
B110,
'LOCALIZAÇÃO DE CARGA'!$A$2:$A$702,
'LOCALIZAÇÃO DE CARGA'!$D$2:$D$702
)="",
"",
_xlfn.XLOOKUP(
B110,
'LOCALIZAÇÃO DE CARGA'!$A$2:$A$702,
'LOCALIZAÇÃO DE CARGA'!$D$2:$D$702
)
),
""
)</f>
        <v/>
      </c>
      <c r="F110" s="13" t="str">
        <f>IFERROR(
IF(
_xlfn.XLOOKUP(
B110,
'LOCALIZAÇÃO DE CARGA'!$A$2:$A$702,
'LOCALIZAÇÃO DE CARGA'!$H$2:$H$702
)="",
"",
_xlfn.XLOOKUP(
B110,
'LOCALIZAÇÃO DE CARGA'!$A$2:$A$702,
'LOCALIZAÇÃO DE CARGA'!$H$2:$H$702
)
),
""
)</f>
        <v>TRANSBOCAYUV</v>
      </c>
      <c r="G110" s="5" t="str">
        <f>IFERROR(
IF(
_xlfn.XLOOKUP(
B110,
'LOCALIZAÇÃO DE CARGA'!$A$2:$A$702,
'LOCALIZAÇÃO DE CARGA'!$I$2:$I$702
)="",
"",
_xlfn.XLOOKUP(
B110,
'LOCALIZAÇÃO DE CARGA'!$A$2:$A$702,
'LOCALIZAÇÃO DE CARGA'!$I$2:$I$702
)
),
""
)</f>
        <v>LGSCT</v>
      </c>
      <c r="H110" s="5" t="str">
        <f>IFERROR(
IF(
_xlfn.XLOOKUP(
B110,
'LOCALIZAÇÃO DE CARGA'!$A$2:$A$702,
'LOCALIZAÇÃO DE CARGA'!$F$2:$F$702
)="",
"",
_xlfn.XLOOKUP(
B110,
'LOCALIZAÇÃO DE CARGA'!$A$2:$A$702,
'LOCALIZAÇÃO DE CARGA'!$F$2:$F$702
)
),
""
)</f>
        <v>Andamento</v>
      </c>
      <c r="I110" s="13" t="str" cm="1">
        <f t="array" ref="I110">IFERROR(
IF(
INDEX(
'VISÃO LOGISTICA'!$C$2:$C$525,
MATCH(
TRUE,
ISNUMBER(FIND(B110,'VISÃO LOGISTICA'!$A$2:$A$525)),
0
)
)="Em espera",
"",
INDEX(
'VISÃO LOGISTICA'!$C$2:$C$525,
MATCH(
TRUE,
ISNUMBER(FIND(B110,'VISÃO LOGISTICA'!$A$2:$A$525)),
0
)
)
),
""
)</f>
        <v/>
      </c>
      <c r="J110" s="5" t="str" cm="1">
        <f t="array" ref="J110">IFERROR(
IF(
OR(
INDEX(
'VISÃO LOGISTICA'!$C$2:$C$2000,
MATCH(
TRUE,
ISNUMBER(FIND(B110,'VISÃO LOGISTICA'!$A$2:$A$2000)),
0
)
)="Em espera",
INDEX(
'VISÃO LOGISTICA'!$C$2:$C$2000,
MATCH(
TRUE,
ISNUMBER(FIND(B110,'VISÃO LOGISTICA'!$A$2:$A$2000)),
0
)
)=""
),
"",
INDEX(
'VISÃO LOGISTICA'!$D$2:$D$2000,
MATCH(
TRUE,
ISNUMBER(FIND(B110,'VISÃO LOGISTICA'!$A$2:$A$2000)),
0
)
)
),
""
)</f>
        <v>ATX8J70</v>
      </c>
      <c r="K110" s="10">
        <f>IFERROR(
IF(
_xlfn.XLOOKUP(
B110,
'LOCALIZAÇÃO DE CARGA'!$A$2:$A$702,
'LOCALIZAÇÃO DE CARGA'!$E$2:$E$702)="",
"",
_xlfn.XLOOKUP(
B110,
'LOCALIZAÇÃO DE CARGA'!$A$2:$A$702,
'LOCALIZAÇÃO DE CARGA'!$E$2:$E$702)
),
""
)</f>
        <v>160889.56</v>
      </c>
      <c r="L110" s="20" cm="1">
        <f t="array" ref="L110">IFERROR(
_xlfn.LET(
_xlpm.res,_xlfn.XLOOKUP(B110,'LOCALIZAÇÃO DE CARGA'!$A$2:$A$2000,'LOCALIZAÇÃO DE CARGA'!$G$2:$G$2000),
IF(_xlpm.res="","",_xlpm.res)
),
""
)</f>
        <v>46159.138888888891</v>
      </c>
      <c r="M110" s="20" cm="1">
        <f t="array" ref="M110">IFERROR(
_xlfn.LET(
_xlpm.load,_xlfn.XLOOKUP(B110,'LOCALIZAÇÃO DE CARGA'!$A$2:$A$2000,'LOCALIZAÇÃO DE CARGA'!$A$2:$A$2000),
_xlpm.res,_xlfn.XLOOKUP(_xlpm.load,DOCUMENTOS!$A$2:$A$2000,DOCUMENTOS!$D$2:$D$2000),
IF(_xlpm.res="","",_xlpm.res)
),
""
)</f>
        <v>46157.3125</v>
      </c>
      <c r="N110" s="6">
        <f>IFERROR(IF(M110="","",M110-TIME(1,0,0)),"")</f>
        <v>46157.270833333336</v>
      </c>
      <c r="O110" s="6" cm="1">
        <f t="array" ref="O110">IFERROR(
_xlfn.LET(
_xlpm.res,_xlfn.XLOOKUP(B110,'LOCALIZAÇÃO DE CARGA'!$A$2:$A$2000,'LOCALIZAÇÃO DE CARGA'!$S$2:$S$2000),
IF(_xlpm.res="","",_xlpm.res)
),
""
)</f>
        <v>46160.25</v>
      </c>
      <c r="P110" s="6" cm="1">
        <f t="array" ref="P110">IFERROR(
_xlfn.LET(
_xlpm.res,_xlfn.XLOOKUP(B110,'LOCALIZAÇÃO DE CARGA'!$A$2:$A$702,'LOCALIZAÇÃO DE CARGA'!$T$2:$T$702),
IF(_xlpm.res="","",_xlpm.res)
),
""
)</f>
        <v>46158.444444444445</v>
      </c>
      <c r="Q110" s="5" t="str">
        <f>IFERROR(
IF(
_xlfn.XLOOKUP(
B110,
'LOCALIZAÇÃO DE CARGA'!$A$2:$A$702,
'LOCALIZAÇÃO DE CARGA'!$K$2:$K$702
)="",
"",
_xlfn.XLOOKUP(
B110,
'LOCALIZAÇÃO DE CARGA'!$A$2:$A$702,
'LOCALIZAÇÃO DE CARGA'!$K$2:$K$702
)
),
""
)</f>
        <v>GRUPO CASAS BAHIA S.A(CD1401) - 25255030</v>
      </c>
      <c r="R110" s="5" t="str">
        <f t="shared" si="5"/>
        <v>GRUPO CASAS BAHIA S.A</v>
      </c>
      <c r="S110" s="5" t="str" cm="1">
        <f t="array" ref="S110">IF(B110="","",IFERROR(
INDEX(
'VISÃO LOGISTICA'!$L$2:$L$525,
MATCH(
TRUE,
ISNUMBER(FIND(B110,'VISÃO LOGISTICA'!$A$2:$A$525)),
0
)
),
""
))</f>
        <v/>
      </c>
      <c r="T110" s="5" t="str" cm="1">
        <f t="array" ref="T110">IFERROR(
_xlfn.LET(
_xlpm.res,_xlfn.XLOOKUP(B110,'LOCALIZAÇÃO DE CARGA'!$A$2:$A$702,'LOCALIZAÇÃO DE CARGA'!$R$2:$R$702),
IF(_xlpm.res="","",SUBSTITUTE(_xlpm.res,"/BRASIL",""))
),
""
)</f>
        <v>DUQUE DE CAXIAS/RJ</v>
      </c>
    </row>
    <row r="111" spans="1:20">
      <c r="A111" s="14">
        <f t="shared" si="3"/>
        <v>46157</v>
      </c>
      <c r="B111" s="5">
        <v>6022208</v>
      </c>
      <c r="C111" s="45" t="str">
        <f t="shared" ca="1" si="4"/>
        <v>EM VIAGEM</v>
      </c>
      <c r="D111" s="28"/>
      <c r="E111" s="28" t="str">
        <f>IFERROR(
IF(
_xlfn.XLOOKUP(
B111,
'LOCALIZAÇÃO DE CARGA'!$A$2:$A$702,
'LOCALIZAÇÃO DE CARGA'!$D$2:$D$702
)="",
"",
_xlfn.XLOOKUP(
B111,
'LOCALIZAÇÃO DE CARGA'!$A$2:$A$702,
'LOCALIZAÇÃO DE CARGA'!$D$2:$D$702
)
),
""
)</f>
        <v/>
      </c>
      <c r="F111" s="13" t="str">
        <f>IFERROR(
IF(
_xlfn.XLOOKUP(
B111,
'LOCALIZAÇÃO DE CARGA'!$A$2:$A$702,
'LOCALIZAÇÃO DE CARGA'!$H$2:$H$702
)="",
"",
_xlfn.XLOOKUP(
B111,
'LOCALIZAÇÃO DE CARGA'!$A$2:$A$702,
'LOCALIZAÇÃO DE CARGA'!$H$2:$H$702
)
),
""
)</f>
        <v>LX PANTOS</v>
      </c>
      <c r="G111" s="5" t="str">
        <f>IFERROR(
IF(
_xlfn.XLOOKUP(
B111,
'LOCALIZAÇÃO DE CARGA'!$A$2:$A$702,
'LOCALIZAÇÃO DE CARGA'!$I$2:$I$702
)="",
"",
_xlfn.XLOOKUP(
B111,
'LOCALIZAÇÃO DE CARGA'!$A$2:$A$702,
'LOCALIZAÇÃO DE CARGA'!$I$2:$I$702
)
),
""
)</f>
        <v>LGSCT</v>
      </c>
      <c r="H111" s="5" t="str">
        <f>IFERROR(
IF(
_xlfn.XLOOKUP(
B111,
'LOCALIZAÇÃO DE CARGA'!$A$2:$A$702,
'LOCALIZAÇÃO DE CARGA'!$F$2:$F$702
)="",
"",
_xlfn.XLOOKUP(
B111,
'LOCALIZAÇÃO DE CARGA'!$A$2:$A$702,
'LOCALIZAÇÃO DE CARGA'!$F$2:$F$702
)
),
""
)</f>
        <v>Andamento</v>
      </c>
      <c r="I111" s="13" t="str" cm="1">
        <f t="array" ref="I111">IFERROR(
IF(
INDEX(
'VISÃO LOGISTICA'!$C$2:$C$525,
MATCH(
TRUE,
ISNUMBER(FIND(B111,'VISÃO LOGISTICA'!$A$2:$A$525)),
0
)
)="Em espera",
"",
INDEX(
'VISÃO LOGISTICA'!$C$2:$C$525,
MATCH(
TRUE,
ISNUMBER(FIND(B111,'VISÃO LOGISTICA'!$A$2:$A$525)),
0
)
)
),
""
)</f>
        <v>Em Viagem</v>
      </c>
      <c r="J111" s="5" t="str" cm="1">
        <f t="array" ref="J111">IFERROR(
IF(
OR(
INDEX(
'VISÃO LOGISTICA'!$C$2:$C$2000,
MATCH(
TRUE,
ISNUMBER(FIND(B111,'VISÃO LOGISTICA'!$A$2:$A$2000)),
0
)
)="Em espera",
INDEX(
'VISÃO LOGISTICA'!$C$2:$C$2000,
MATCH(
TRUE,
ISNUMBER(FIND(B111,'VISÃO LOGISTICA'!$A$2:$A$2000)),
0
)
)=""
),
"",
INDEX(
'VISÃO LOGISTICA'!$D$2:$D$2000,
MATCH(
TRUE,
ISNUMBER(FIND(B111,'VISÃO LOGISTICA'!$A$2:$A$2000)),
0
)
)
),
""
)</f>
        <v>DVS7928</v>
      </c>
      <c r="K111" s="10">
        <f>IFERROR(
IF(
_xlfn.XLOOKUP(
B111,
'LOCALIZAÇÃO DE CARGA'!$A$2:$A$702,
'LOCALIZAÇÃO DE CARGA'!$E$2:$E$702)="",
"",
_xlfn.XLOOKUP(
B111,
'LOCALIZAÇÃO DE CARGA'!$A$2:$A$702,
'LOCALIZAÇÃO DE CARGA'!$E$2:$E$702)
),
""
)</f>
        <v>158703.6</v>
      </c>
      <c r="L111" s="20" cm="1">
        <f t="array" ref="L111">IFERROR(
_xlfn.LET(
_xlpm.res,_xlfn.XLOOKUP(B111,'LOCALIZAÇÃO DE CARGA'!$A$2:$A$2000,'LOCALIZAÇÃO DE CARGA'!$G$2:$G$2000),
IF(_xlpm.res="","",_xlpm.res)
),
""
)</f>
        <v>46159.654861111114</v>
      </c>
      <c r="M111" s="20" cm="1">
        <f t="array" ref="M111">IFERROR(
_xlfn.LET(
_xlpm.load,_xlfn.XLOOKUP(B111,'LOCALIZAÇÃO DE CARGA'!$A$2:$A$2000,'LOCALIZAÇÃO DE CARGA'!$A$2:$A$2000),
_xlpm.res,_xlfn.XLOOKUP(_xlpm.load,DOCUMENTOS!$A$2:$A$2000,DOCUMENTOS!$D$2:$D$2000),
IF(_xlpm.res="","",_xlpm.res)
),
""
)</f>
        <v>46157.833333333336</v>
      </c>
      <c r="N111" s="6">
        <f>IFERROR(IF(M111="","",M111-TIME(1,0,0)),"")</f>
        <v>46157.791666666672</v>
      </c>
      <c r="O111" s="6" cm="1">
        <f t="array" ref="O111">IFERROR(
_xlfn.LET(
_xlpm.res,_xlfn.XLOOKUP(B111,'LOCALIZAÇÃO DE CARGA'!$A$2:$A$2000,'LOCALIZAÇÃO DE CARGA'!$S$2:$S$2000),
IF(_xlpm.res="","",_xlpm.res)
),
""
)</f>
        <v>46163.25</v>
      </c>
      <c r="P111" s="6" cm="1">
        <f t="array" ref="P111">IFERROR(
_xlfn.LET(
_xlpm.res,_xlfn.XLOOKUP(B111,'LOCALIZAÇÃO DE CARGA'!$A$2:$A$702,'LOCALIZAÇÃO DE CARGA'!$T$2:$T$702),
IF(_xlpm.res="","",_xlpm.res)
),
""
)</f>
        <v>46160.171527777777</v>
      </c>
      <c r="Q111" s="5" t="str">
        <f>IFERROR(
IF(
_xlfn.XLOOKUP(
B111,
'LOCALIZAÇÃO DE CARGA'!$A$2:$A$702,
'LOCALIZAÇÃO DE CARGA'!$K$2:$K$702
)="",
"",
_xlfn.XLOOKUP(
B111,
'LOCALIZAÇÃO DE CARGA'!$A$2:$A$702,
'LOCALIZAÇÃO DE CARGA'!$K$2:$K$702
)
),
""
)</f>
        <v>GRUPO CASAS BAHIA S.A(CD1400) - 42816270</v>
      </c>
      <c r="R111" s="5" t="str">
        <f t="shared" si="5"/>
        <v>GRUPO CASAS BAHIA S.A</v>
      </c>
      <c r="S111" s="5" t="str" cm="1">
        <f t="array" ref="S111">IF(B111="","",IFERROR(
INDEX(
'VISÃO LOGISTICA'!$L$2:$L$525,
MATCH(
TRUE,
ISNUMBER(FIND(B111,'VISÃO LOGISTICA'!$A$2:$A$525)),
0
)
),
""
))</f>
        <v>ESTRADA MUNICIPAL CARAGUATA, CAMPINA GRANDE DO SUL/PR/BRASIL (0,44 Km)</v>
      </c>
      <c r="T111" s="5" t="str" cm="1">
        <f t="array" ref="T111">IFERROR(
_xlfn.LET(
_xlpm.res,_xlfn.XLOOKUP(B111,'LOCALIZAÇÃO DE CARGA'!$A$2:$A$702,'LOCALIZAÇÃO DE CARGA'!$R$2:$R$702),
IF(_xlpm.res="","",SUBSTITUTE(_xlpm.res,"/BRASIL",""))
),
""
)</f>
        <v>CAMACARI/BA</v>
      </c>
    </row>
    <row r="112" spans="1:20">
      <c r="A112" s="14">
        <f t="shared" si="3"/>
        <v>46157</v>
      </c>
      <c r="B112" s="5">
        <v>6022173</v>
      </c>
      <c r="C112" s="45" t="str">
        <f t="shared" ca="1" si="4"/>
        <v>EM VIAGEM</v>
      </c>
      <c r="D112" s="28"/>
      <c r="E112" s="28" t="str">
        <f>IFERROR(
IF(
_xlfn.XLOOKUP(
B112,
'LOCALIZAÇÃO DE CARGA'!$A$2:$A$702,
'LOCALIZAÇÃO DE CARGA'!$D$2:$D$702
)="",
"",
_xlfn.XLOOKUP(
B112,
'LOCALIZAÇÃO DE CARGA'!$A$2:$A$702,
'LOCALIZAÇÃO DE CARGA'!$D$2:$D$702
)
),
""
)</f>
        <v/>
      </c>
      <c r="F112" s="13" t="str">
        <f>IFERROR(
IF(
_xlfn.XLOOKUP(
B112,
'LOCALIZAÇÃO DE CARGA'!$A$2:$A$702,
'LOCALIZAÇÃO DE CARGA'!$H$2:$H$702
)="",
"",
_xlfn.XLOOKUP(
B112,
'LOCALIZAÇÃO DE CARGA'!$A$2:$A$702,
'LOCALIZAÇÃO DE CARGA'!$H$2:$H$702
)
),
""
)</f>
        <v>TR RAMTHUN</v>
      </c>
      <c r="G112" s="5" t="str">
        <f>IFERROR(
IF(
_xlfn.XLOOKUP(
B112,
'LOCALIZAÇÃO DE CARGA'!$A$2:$A$702,
'LOCALIZAÇÃO DE CARGA'!$I$2:$I$702
)="",
"",
_xlfn.XLOOKUP(
B112,
'LOCALIZAÇÃO DE CARGA'!$A$2:$A$702,
'LOCALIZAÇÃO DE CARGA'!$I$2:$I$702
)
),
""
)</f>
        <v>LGSCT</v>
      </c>
      <c r="H112" s="5" t="str">
        <f>IFERROR(
IF(
_xlfn.XLOOKUP(
B112,
'LOCALIZAÇÃO DE CARGA'!$A$2:$A$702,
'LOCALIZAÇÃO DE CARGA'!$F$2:$F$702
)="",
"",
_xlfn.XLOOKUP(
B112,
'LOCALIZAÇÃO DE CARGA'!$A$2:$A$702,
'LOCALIZAÇÃO DE CARGA'!$F$2:$F$702
)
),
""
)</f>
        <v>Andamento</v>
      </c>
      <c r="I112" s="13" t="str" cm="1">
        <f t="array" ref="I112">IFERROR(
IF(
INDEX(
'VISÃO LOGISTICA'!$C$2:$C$525,
MATCH(
TRUE,
ISNUMBER(FIND(B112,'VISÃO LOGISTICA'!$A$2:$A$525)),
0
)
)="Em espera",
"",
INDEX(
'VISÃO LOGISTICA'!$C$2:$C$525,
MATCH(
TRUE,
ISNUMBER(FIND(B112,'VISÃO LOGISTICA'!$A$2:$A$525)),
0
)
)
),
""
)</f>
        <v>Em Viagem</v>
      </c>
      <c r="J112" s="5" t="str" cm="1">
        <f t="array" ref="J112">IFERROR(
IF(
OR(
INDEX(
'VISÃO LOGISTICA'!$C$2:$C$2000,
MATCH(
TRUE,
ISNUMBER(FIND(B112,'VISÃO LOGISTICA'!$A$2:$A$2000)),
0
)
)="Em espera",
INDEX(
'VISÃO LOGISTICA'!$C$2:$C$2000,
MATCH(
TRUE,
ISNUMBER(FIND(B112,'VISÃO LOGISTICA'!$A$2:$A$2000)),
0
)
)=""
),
"",
INDEX(
'VISÃO LOGISTICA'!$D$2:$D$2000,
MATCH(
TRUE,
ISNUMBER(FIND(B112,'VISÃO LOGISTICA'!$A$2:$A$2000)),
0
)
)
),
""
)</f>
        <v>MMK3F39</v>
      </c>
      <c r="K112" s="10">
        <f>IFERROR(
IF(
_xlfn.XLOOKUP(
B112,
'LOCALIZAÇÃO DE CARGA'!$A$2:$A$702,
'LOCALIZAÇÃO DE CARGA'!$E$2:$E$702)="",
"",
_xlfn.XLOOKUP(
B112,
'LOCALIZAÇÃO DE CARGA'!$A$2:$A$702,
'LOCALIZAÇÃO DE CARGA'!$E$2:$E$702)
),
""
)</f>
        <v>139466.79999999999</v>
      </c>
      <c r="L112" s="20" cm="1">
        <f t="array" ref="L112">IFERROR(
_xlfn.LET(
_xlpm.res,_xlfn.XLOOKUP(B112,'LOCALIZAÇÃO DE CARGA'!$A$2:$A$2000,'LOCALIZAÇÃO DE CARGA'!$G$2:$G$2000),
IF(_xlpm.res="","",_xlpm.res)
),
""
)</f>
        <v>46159.395833333336</v>
      </c>
      <c r="M112" s="20" cm="1">
        <f t="array" ref="M112">IFERROR(
_xlfn.LET(
_xlpm.load,_xlfn.XLOOKUP(B112,'LOCALIZAÇÃO DE CARGA'!$A$2:$A$2000,'LOCALIZAÇÃO DE CARGA'!$A$2:$A$2000),
_xlpm.res,_xlfn.XLOOKUP(_xlpm.load,DOCUMENTOS!$A$2:$A$2000,DOCUMENTOS!$D$2:$D$2000),
IF(_xlpm.res="","",_xlpm.res)
),
""
)</f>
        <v>46157.770833333336</v>
      </c>
      <c r="N112" s="6">
        <f>IFERROR(IF(M112="","",M112-TIME(1,0,0)),"")</f>
        <v>46157.729166666672</v>
      </c>
      <c r="O112" s="6" cm="1">
        <f t="array" ref="O112">IFERROR(
_xlfn.LET(
_xlpm.res,_xlfn.XLOOKUP(B112,'LOCALIZAÇÃO DE CARGA'!$A$2:$A$2000,'LOCALIZAÇÃO DE CARGA'!$S$2:$S$2000),
IF(_xlpm.res="","",_xlpm.res)
),
""
)</f>
        <v>46159.958333333336</v>
      </c>
      <c r="P112" s="6" cm="1">
        <f t="array" ref="P112">IFERROR(
_xlfn.LET(
_xlpm.res,_xlfn.XLOOKUP(B112,'LOCALIZAÇÃO DE CARGA'!$A$2:$A$702,'LOCALIZAÇÃO DE CARGA'!$T$2:$T$702),
IF(_xlpm.res="","",_xlpm.res)
),
""
)</f>
        <v>46158.692361111112</v>
      </c>
      <c r="Q112" s="5" t="str">
        <f>IFERROR(
IF(
_xlfn.XLOOKUP(
B112,
'LOCALIZAÇÃO DE CARGA'!$A$2:$A$702,
'LOCALIZAÇÃO DE CARGA'!$K$2:$K$702
)="",
"",
_xlfn.XLOOKUP(
B112,
'LOCALIZAÇÃO DE CARGA'!$A$2:$A$702,
'LOCALIZAÇÃO DE CARGA'!$K$2:$K$702
)
),
""
)</f>
        <v>GRUPO CASAS BAHIA S.A(CD1500) - 09790400</v>
      </c>
      <c r="R112" s="5" t="str">
        <f t="shared" si="5"/>
        <v>GRUPO CASAS BAHIA S.A</v>
      </c>
      <c r="S112" s="5" t="str" cm="1">
        <f t="array" ref="S112">IF(B112="","",IFERROR(
INDEX(
'VISÃO LOGISTICA'!$L$2:$L$525,
MATCH(
TRUE,
ISNUMBER(FIND(B112,'VISÃO LOGISTICA'!$A$2:$A$525)),
0
)
),
""
))</f>
        <v>CAMINHO, CAMPINA GRANDE DO SUL/PR/BRASIL (24,45 Km)</v>
      </c>
      <c r="T112" s="5" t="str" cm="1">
        <f t="array" ref="T112">IFERROR(
_xlfn.LET(
_xlpm.res,_xlfn.XLOOKUP(B112,'LOCALIZAÇÃO DE CARGA'!$A$2:$A$702,'LOCALIZAÇÃO DE CARGA'!$R$2:$R$702),
IF(_xlpm.res="","",SUBSTITUTE(_xlpm.res,"/BRASIL",""))
),
""
)</f>
        <v>SAO BERNARDO DO CAMPO/SP</v>
      </c>
    </row>
    <row r="113" spans="1:20">
      <c r="A113" s="14">
        <f t="shared" si="3"/>
        <v>46160</v>
      </c>
      <c r="B113" s="5">
        <v>6013979</v>
      </c>
      <c r="C113" s="45" t="str">
        <f t="shared" ca="1" si="4"/>
        <v>OK - NO PRAZO</v>
      </c>
      <c r="D113" s="28"/>
      <c r="E113" s="28" t="str">
        <f>IFERROR(
IF(
_xlfn.XLOOKUP(
B113,
'LOCALIZAÇÃO DE CARGA'!$A$2:$A$702,
'LOCALIZAÇÃO DE CARGA'!$D$2:$D$702
)="",
"",
_xlfn.XLOOKUP(
B113,
'LOCALIZAÇÃO DE CARGA'!$A$2:$A$702,
'LOCALIZAÇÃO DE CARGA'!$D$2:$D$702
)
),
""
)</f>
        <v/>
      </c>
      <c r="F113" s="13" t="str">
        <f>IFERROR(
IF(
_xlfn.XLOOKUP(
B113,
'LOCALIZAÇÃO DE CARGA'!$A$2:$A$702,
'LOCALIZAÇÃO DE CARGA'!$H$2:$H$702
)="",
"",
_xlfn.XLOOKUP(
B113,
'LOCALIZAÇÃO DE CARGA'!$A$2:$A$702,
'LOCALIZAÇÃO DE CARGA'!$H$2:$H$702
)
),
""
)</f>
        <v>SUL CONTINEN</v>
      </c>
      <c r="G113" s="5" t="str">
        <f>IFERROR(
IF(
_xlfn.XLOOKUP(
B113,
'LOCALIZAÇÃO DE CARGA'!$A$2:$A$702,
'LOCALIZAÇÃO DE CARGA'!$I$2:$I$702
)="",
"",
_xlfn.XLOOKUP(
B113,
'LOCALIZAÇÃO DE CARGA'!$A$2:$A$702,
'LOCALIZAÇÃO DE CARGA'!$I$2:$I$702
)
),
""
)</f>
        <v>LGSCT</v>
      </c>
      <c r="H113" s="5" t="str">
        <f>IFERROR(
IF(
_xlfn.XLOOKUP(
B113,
'LOCALIZAÇÃO DE CARGA'!$A$2:$A$702,
'LOCALIZAÇÃO DE CARGA'!$F$2:$F$702
)="",
"",
_xlfn.XLOOKUP(
B113,
'LOCALIZAÇÃO DE CARGA'!$A$2:$A$702,
'LOCALIZAÇÃO DE CARGA'!$F$2:$F$702
)
),
""
)</f>
        <v>Não iniciado</v>
      </c>
      <c r="I113" s="13" t="str" cm="1">
        <f t="array" ref="I113">IFERROR(
IF(
INDEX(
'VISÃO LOGISTICA'!$C$2:$C$525,
MATCH(
TRUE,
ISNUMBER(FIND(B113,'VISÃO LOGISTICA'!$A$2:$A$525)),
0
)
)="Em espera",
"",
INDEX(
'VISÃO LOGISTICA'!$C$2:$C$525,
MATCH(
TRUE,
ISNUMBER(FIND(B113,'VISÃO LOGISTICA'!$A$2:$A$525)),
0
)
)
),
""
)</f>
        <v/>
      </c>
      <c r="J113" s="5" t="str" cm="1">
        <f t="array" ref="J113">IFERROR(
IF(
OR(
INDEX(
'VISÃO LOGISTICA'!$C$2:$C$2000,
MATCH(
TRUE,
ISNUMBER(FIND(B113,'VISÃO LOGISTICA'!$A$2:$A$2000)),
0
)
)="Em espera",
INDEX(
'VISÃO LOGISTICA'!$C$2:$C$2000,
MATCH(
TRUE,
ISNUMBER(FIND(B113,'VISÃO LOGISTICA'!$A$2:$A$2000)),
0
)
)=""
),
"",
INDEX(
'VISÃO LOGISTICA'!$D$2:$D$2000,
MATCH(
TRUE,
ISNUMBER(FIND(B113,'VISÃO LOGISTICA'!$A$2:$A$2000)),
0
)
)
),
""
)</f>
        <v/>
      </c>
      <c r="K113" s="10">
        <f>IFERROR(
IF(
_xlfn.XLOOKUP(
B113,
'LOCALIZAÇÃO DE CARGA'!$A$2:$A$702,
'LOCALIZAÇÃO DE CARGA'!$E$2:$E$702)="",
"",
_xlfn.XLOOKUP(
B113,
'LOCALIZAÇÃO DE CARGA'!$A$2:$A$702,
'LOCALIZAÇÃO DE CARGA'!$E$2:$E$702)
),
""
)</f>
        <v>134628.48000000001</v>
      </c>
      <c r="L113" s="20" cm="1">
        <f t="array" ref="L113">IFERROR(
_xlfn.LET(
_xlpm.res,_xlfn.XLOOKUP(B113,'LOCALIZAÇÃO DE CARGA'!$A$2:$A$2000,'LOCALIZAÇÃO DE CARGA'!$G$2:$G$2000),
IF(_xlpm.res="","",_xlpm.res)
),
""
)</f>
        <v>46161.104166666664</v>
      </c>
      <c r="M113" s="20" cm="1">
        <f t="array" ref="M113">IFERROR(
_xlfn.LET(
_xlpm.load,_xlfn.XLOOKUP(B113,'LOCALIZAÇÃO DE CARGA'!$A$2:$A$2000,'LOCALIZAÇÃO DE CARGA'!$A$2:$A$2000),
_xlpm.res,_xlfn.XLOOKUP(_xlpm.load,DOCUMENTOS!$A$2:$A$2000,DOCUMENTOS!$D$2:$D$2000),
IF(_xlpm.res="","",_xlpm.res)
),
""
)</f>
        <v>46160.5625</v>
      </c>
      <c r="N113" s="6">
        <f>IFERROR(IF(M113="","",M113-TIME(1,0,0)),"")</f>
        <v>46160.520833333336</v>
      </c>
      <c r="O113" s="6" cm="1">
        <f t="array" ref="O113">IFERROR(
_xlfn.LET(
_xlpm.res,_xlfn.XLOOKUP(B113,'LOCALIZAÇÃO DE CARGA'!$A$2:$A$2000,'LOCALIZAÇÃO DE CARGA'!$S$2:$S$2000),
IF(_xlpm.res="","",_xlpm.res)
),
""
)</f>
        <v>46161.25</v>
      </c>
      <c r="P113" s="6" t="str" cm="1">
        <f t="array" ref="P113">IFERROR(
_xlfn.LET(
_xlpm.res,_xlfn.XLOOKUP(B113,'LOCALIZAÇÃO DE CARGA'!$A$2:$A$702,'LOCALIZAÇÃO DE CARGA'!$T$2:$T$702),
IF(_xlpm.res="","",_xlpm.res)
),
""
)</f>
        <v/>
      </c>
      <c r="Q113" s="5" t="str">
        <f>IFERROR(
IF(
_xlfn.XLOOKUP(
B113,
'LOCALIZAÇÃO DE CARGA'!$A$2:$A$702,
'LOCALIZAÇÃO DE CARGA'!$K$2:$K$702
)="",
"",
_xlfn.XLOOKUP(
B113,
'LOCALIZAÇÃO DE CARGA'!$A$2:$A$702,
'LOCALIZAÇÃO DE CARGA'!$K$2:$K$702
)
),
""
)</f>
        <v>HAVAN LOJAS DE DEPARTAMENTOS LTDA - 88390000</v>
      </c>
      <c r="R113" s="5" t="str">
        <f t="shared" si="5"/>
        <v>HAVAN LOJAS DE DEPARTAMENTOS LTDA</v>
      </c>
      <c r="S113" s="5" t="str" cm="1">
        <f t="array" ref="S113">IF(B113="","",IFERROR(
INDEX(
'VISÃO LOGISTICA'!$L$2:$L$525,
MATCH(
TRUE,
ISNUMBER(FIND(B113,'VISÃO LOGISTICA'!$A$2:$A$525)),
0
)
),
""
))</f>
        <v/>
      </c>
      <c r="T113" s="5" t="str" cm="1">
        <f t="array" ref="T113">IFERROR(
_xlfn.LET(
_xlpm.res,_xlfn.XLOOKUP(B113,'LOCALIZAÇÃO DE CARGA'!$A$2:$A$702,'LOCALIZAÇÃO DE CARGA'!$R$2:$R$702),
IF(_xlpm.res="","",SUBSTITUTE(_xlpm.res,"/BRASIL",""))
),
""
)</f>
        <v>BARRA VELHA/SC</v>
      </c>
    </row>
    <row r="114" spans="1:20">
      <c r="A114" s="14">
        <f t="shared" si="3"/>
        <v>46158</v>
      </c>
      <c r="B114" s="5">
        <v>6022227</v>
      </c>
      <c r="C114" s="45" t="str">
        <f t="shared" ca="1" si="4"/>
        <v>ATRASADO CARREGAMENTO - SEM SMP</v>
      </c>
      <c r="D114" s="28"/>
      <c r="E114" s="28" t="str">
        <f>IFERROR(
IF(
_xlfn.XLOOKUP(
B114,
'LOCALIZAÇÃO DE CARGA'!$A$2:$A$702,
'LOCALIZAÇÃO DE CARGA'!$D$2:$D$702
)="",
"",
_xlfn.XLOOKUP(
B114,
'LOCALIZAÇÃO DE CARGA'!$A$2:$A$702,
'LOCALIZAÇÃO DE CARGA'!$D$2:$D$702
)
),
""
)</f>
        <v/>
      </c>
      <c r="F114" s="13" t="str">
        <f>IFERROR(
IF(
_xlfn.XLOOKUP(
B114,
'LOCALIZAÇÃO DE CARGA'!$A$2:$A$702,
'LOCALIZAÇÃO DE CARGA'!$H$2:$H$702
)="",
"",
_xlfn.XLOOKUP(
B114,
'LOCALIZAÇÃO DE CARGA'!$A$2:$A$702,
'LOCALIZAÇÃO DE CARGA'!$H$2:$H$702
)
),
""
)</f>
        <v>TRANSBOCAYUV</v>
      </c>
      <c r="G114" s="5" t="str">
        <f>IFERROR(
IF(
_xlfn.XLOOKUP(
B114,
'LOCALIZAÇÃO DE CARGA'!$A$2:$A$702,
'LOCALIZAÇÃO DE CARGA'!$I$2:$I$702
)="",
"",
_xlfn.XLOOKUP(
B114,
'LOCALIZAÇÃO DE CARGA'!$A$2:$A$702,
'LOCALIZAÇÃO DE CARGA'!$I$2:$I$702
)
),
""
)</f>
        <v>LGSCT</v>
      </c>
      <c r="H114" s="5" t="str">
        <f>IFERROR(
IF(
_xlfn.XLOOKUP(
B114,
'LOCALIZAÇÃO DE CARGA'!$A$2:$A$702,
'LOCALIZAÇÃO DE CARGA'!$F$2:$F$702
)="",
"",
_xlfn.XLOOKUP(
B114,
'LOCALIZAÇÃO DE CARGA'!$A$2:$A$702,
'LOCALIZAÇÃO DE CARGA'!$F$2:$F$702
)
),
""
)</f>
        <v>Não iniciado</v>
      </c>
      <c r="I114" s="13" t="str" cm="1">
        <f t="array" ref="I114">IFERROR(
IF(
INDEX(
'VISÃO LOGISTICA'!$C$2:$C$525,
MATCH(
TRUE,
ISNUMBER(FIND(B114,'VISÃO LOGISTICA'!$A$2:$A$525)),
0
)
)="Em espera",
"",
INDEX(
'VISÃO LOGISTICA'!$C$2:$C$525,
MATCH(
TRUE,
ISNUMBER(FIND(B114,'VISÃO LOGISTICA'!$A$2:$A$525)),
0
)
)
),
""
)</f>
        <v/>
      </c>
      <c r="J114" s="5" t="str" cm="1">
        <f t="array" ref="J114">IFERROR(
IF(
OR(
INDEX(
'VISÃO LOGISTICA'!$C$2:$C$2000,
MATCH(
TRUE,
ISNUMBER(FIND(B114,'VISÃO LOGISTICA'!$A$2:$A$2000)),
0
)
)="Em espera",
INDEX(
'VISÃO LOGISTICA'!$C$2:$C$2000,
MATCH(
TRUE,
ISNUMBER(FIND(B114,'VISÃO LOGISTICA'!$A$2:$A$2000)),
0
)
)=""
),
"",
INDEX(
'VISÃO LOGISTICA'!$D$2:$D$2000,
MATCH(
TRUE,
ISNUMBER(FIND(B114,'VISÃO LOGISTICA'!$A$2:$A$2000)),
0
)
)
),
""
)</f>
        <v/>
      </c>
      <c r="K114" s="10">
        <f>IFERROR(
IF(
_xlfn.XLOOKUP(
B114,
'LOCALIZAÇÃO DE CARGA'!$A$2:$A$702,
'LOCALIZAÇÃO DE CARGA'!$E$2:$E$702)="",
"",
_xlfn.XLOOKUP(
B114,
'LOCALIZAÇÃO DE CARGA'!$A$2:$A$702,
'LOCALIZAÇÃO DE CARGA'!$E$2:$E$702)
),
""
)</f>
        <v>125330.1</v>
      </c>
      <c r="L114" s="20" cm="1">
        <f t="array" ref="L114">IFERROR(
_xlfn.LET(
_xlpm.res,_xlfn.XLOOKUP(B114,'LOCALIZAÇÃO DE CARGA'!$A$2:$A$2000,'LOCALIZAÇÃO DE CARGA'!$G$2:$G$2000),
IF(_xlpm.res="","",_xlpm.res)
),
""
)</f>
        <v>46163.138888888891</v>
      </c>
      <c r="M114" s="20" cm="1">
        <f t="array" ref="M114">IFERROR(
_xlfn.LET(
_xlpm.load,_xlfn.XLOOKUP(B114,'LOCALIZAÇÃO DE CARGA'!$A$2:$A$2000,'LOCALIZAÇÃO DE CARGA'!$A$2:$A$2000),
_xlpm.res,_xlfn.XLOOKUP(_xlpm.load,DOCUMENTOS!$A$2:$A$2000,DOCUMENTOS!$D$2:$D$2000),
IF(_xlpm.res="","",_xlpm.res)
),
""
)</f>
        <v>46158.333333333336</v>
      </c>
      <c r="N114" s="6">
        <f>IFERROR(IF(M114="","",M114-TIME(1,0,0)),"")</f>
        <v>46158.291666666672</v>
      </c>
      <c r="O114" s="6" cm="1">
        <f t="array" ref="O114">IFERROR(
_xlfn.LET(
_xlpm.res,_xlfn.XLOOKUP(B114,'LOCALIZAÇÃO DE CARGA'!$A$2:$A$2000,'LOCALIZAÇÃO DE CARGA'!$S$2:$S$2000),
IF(_xlpm.res="","",_xlpm.res)
),
""
)</f>
        <v>46164.25</v>
      </c>
      <c r="P114" s="6" t="str" cm="1">
        <f t="array" ref="P114">IFERROR(
_xlfn.LET(
_xlpm.res,_xlfn.XLOOKUP(B114,'LOCALIZAÇÃO DE CARGA'!$A$2:$A$702,'LOCALIZAÇÃO DE CARGA'!$T$2:$T$702),
IF(_xlpm.res="","",_xlpm.res)
),
""
)</f>
        <v/>
      </c>
      <c r="Q114" s="5" t="str">
        <f>IFERROR(
IF(
_xlfn.XLOOKUP(
B114,
'LOCALIZAÇÃO DE CARGA'!$A$2:$A$702,
'LOCALIZAÇÃO DE CARGA'!$K$2:$K$702
)="",
"",
_xlfn.XLOOKUP(
B114,
'LOCALIZAÇÃO DE CARGA'!$A$2:$A$702,
'LOCALIZAÇÃO DE CARGA'!$K$2:$K$702
)
),
""
)</f>
        <v>CARREFOUR COMERCIO E INDUSTRIA LTDA - 25085370</v>
      </c>
      <c r="R114" s="5" t="str">
        <f t="shared" si="5"/>
        <v>CARREFOUR COMERCIO E INDUSTRIA LTDA</v>
      </c>
      <c r="S114" s="5" t="str" cm="1">
        <f t="array" ref="S114">IF(B114="","",IFERROR(
INDEX(
'VISÃO LOGISTICA'!$L$2:$L$525,
MATCH(
TRUE,
ISNUMBER(FIND(B114,'VISÃO LOGISTICA'!$A$2:$A$525)),
0
)
),
""
))</f>
        <v/>
      </c>
      <c r="T114" s="5" t="str" cm="1">
        <f t="array" ref="T114">IFERROR(
_xlfn.LET(
_xlpm.res,_xlfn.XLOOKUP(B114,'LOCALIZAÇÃO DE CARGA'!$A$2:$A$702,'LOCALIZAÇÃO DE CARGA'!$R$2:$R$702),
IF(_xlpm.res="","",SUBSTITUTE(_xlpm.res,"/BRASIL",""))
),
""
)</f>
        <v>DUQUE DE CAXIAS/RJ</v>
      </c>
    </row>
    <row r="115" spans="1:20">
      <c r="A115" s="14">
        <f t="shared" si="3"/>
        <v>46157</v>
      </c>
      <c r="B115" s="5">
        <v>6022210</v>
      </c>
      <c r="C115" s="45" t="str">
        <f t="shared" ca="1" si="4"/>
        <v>ATRASADO CARREGAMENTO - SEM SMP</v>
      </c>
      <c r="D115" s="28"/>
      <c r="E115" s="28" t="str">
        <f>IFERROR(
IF(
_xlfn.XLOOKUP(
B115,
'LOCALIZAÇÃO DE CARGA'!$A$2:$A$702,
'LOCALIZAÇÃO DE CARGA'!$D$2:$D$702
)="",
"",
_xlfn.XLOOKUP(
B115,
'LOCALIZAÇÃO DE CARGA'!$A$2:$A$702,
'LOCALIZAÇÃO DE CARGA'!$D$2:$D$702
)
),
""
)</f>
        <v/>
      </c>
      <c r="F115" s="13" t="str">
        <f>IFERROR(
IF(
_xlfn.XLOOKUP(
B115,
'LOCALIZAÇÃO DE CARGA'!$A$2:$A$702,
'LOCALIZAÇÃO DE CARGA'!$H$2:$H$702
)="",
"",
_xlfn.XLOOKUP(
B115,
'LOCALIZAÇÃO DE CARGA'!$A$2:$A$702,
'LOCALIZAÇÃO DE CARGA'!$H$2:$H$702
)
),
""
)</f>
        <v>FITA AZUL PE (FATELOG)</v>
      </c>
      <c r="G115" s="5" t="str">
        <f>IFERROR(
IF(
_xlfn.XLOOKUP(
B115,
'LOCALIZAÇÃO DE CARGA'!$A$2:$A$702,
'LOCALIZAÇÃO DE CARGA'!$I$2:$I$702
)="",
"",
_xlfn.XLOOKUP(
B115,
'LOCALIZAÇÃO DE CARGA'!$A$2:$A$702,
'LOCALIZAÇÃO DE CARGA'!$I$2:$I$702
)
),
""
)</f>
        <v>LGSCT</v>
      </c>
      <c r="H115" s="5" t="str">
        <f>IFERROR(
IF(
_xlfn.XLOOKUP(
B115,
'LOCALIZAÇÃO DE CARGA'!$A$2:$A$702,
'LOCALIZAÇÃO DE CARGA'!$F$2:$F$702
)="",
"",
_xlfn.XLOOKUP(
B115,
'LOCALIZAÇÃO DE CARGA'!$A$2:$A$702,
'LOCALIZAÇÃO DE CARGA'!$F$2:$F$702
)
),
""
)</f>
        <v>Andamento</v>
      </c>
      <c r="I115" s="13" t="str" cm="1">
        <f t="array" ref="I115">IFERROR(
IF(
INDEX(
'VISÃO LOGISTICA'!$C$2:$C$525,
MATCH(
TRUE,
ISNUMBER(FIND(B115,'VISÃO LOGISTICA'!$A$2:$A$525)),
0
)
)="Em espera",
"",
INDEX(
'VISÃO LOGISTICA'!$C$2:$C$525,
MATCH(
TRUE,
ISNUMBER(FIND(B115,'VISÃO LOGISTICA'!$A$2:$A$525)),
0
)
)
),
""
)</f>
        <v/>
      </c>
      <c r="J115" s="5" t="str" cm="1">
        <f t="array" ref="J115">IFERROR(
IF(
OR(
INDEX(
'VISÃO LOGISTICA'!$C$2:$C$2000,
MATCH(
TRUE,
ISNUMBER(FIND(B115,'VISÃO LOGISTICA'!$A$2:$A$2000)),
0
)
)="Em espera",
INDEX(
'VISÃO LOGISTICA'!$C$2:$C$2000,
MATCH(
TRUE,
ISNUMBER(FIND(B115,'VISÃO LOGISTICA'!$A$2:$A$2000)),
0
)
)=""
),
"",
INDEX(
'VISÃO LOGISTICA'!$D$2:$D$2000,
MATCH(
TRUE,
ISNUMBER(FIND(B115,'VISÃO LOGISTICA'!$A$2:$A$2000)),
0
)
)
),
""
)</f>
        <v/>
      </c>
      <c r="K115" s="10">
        <f>IFERROR(
IF(
_xlfn.XLOOKUP(
B115,
'LOCALIZAÇÃO DE CARGA'!$A$2:$A$702,
'LOCALIZAÇÃO DE CARGA'!$E$2:$E$702)="",
"",
_xlfn.XLOOKUP(
B115,
'LOCALIZAÇÃO DE CARGA'!$A$2:$A$702,
'LOCALIZAÇÃO DE CARGA'!$E$2:$E$702)
),
""
)</f>
        <v>124391.13</v>
      </c>
      <c r="L115" s="20" cm="1">
        <f t="array" ref="L115">IFERROR(
_xlfn.LET(
_xlpm.res,_xlfn.XLOOKUP(B115,'LOCALIZAÇÃO DE CARGA'!$A$2:$A$2000,'LOCALIZAÇÃO DE CARGA'!$G$2:$G$2000),
IF(_xlpm.res="","",_xlpm.res)
),
""
)</f>
        <v>46161.541666666664</v>
      </c>
      <c r="M115" s="20" cm="1">
        <f t="array" ref="M115">IFERROR(
_xlfn.LET(
_xlpm.load,_xlfn.XLOOKUP(B115,'LOCALIZAÇÃO DE CARGA'!$A$2:$A$2000,'LOCALIZAÇÃO DE CARGA'!$A$2:$A$2000),
_xlpm.res,_xlfn.XLOOKUP(_xlpm.load,DOCUMENTOS!$A$2:$A$2000,DOCUMENTOS!$D$2:$D$2000),
IF(_xlpm.res="","",_xlpm.res)
),
""
)</f>
        <v>46157.75</v>
      </c>
      <c r="N115" s="6">
        <f>IFERROR(IF(M115="","",M115-TIME(1,0,0)),"")</f>
        <v>46157.708333333336</v>
      </c>
      <c r="O115" s="6" cm="1">
        <f t="array" ref="O115">IFERROR(
_xlfn.LET(
_xlpm.res,_xlfn.XLOOKUP(B115,'LOCALIZAÇÃO DE CARGA'!$A$2:$A$2000,'LOCALIZAÇÃO DE CARGA'!$S$2:$S$2000),
IF(_xlpm.res="","",_xlpm.res)
),
""
)</f>
        <v>46167.25</v>
      </c>
      <c r="P115" s="6" cm="1">
        <f t="array" ref="P115">IFERROR(
_xlfn.LET(
_xlpm.res,_xlfn.XLOOKUP(B115,'LOCALIZAÇÃO DE CARGA'!$A$2:$A$702,'LOCALIZAÇÃO DE CARGA'!$T$2:$T$702),
IF(_xlpm.res="","",_xlpm.res)
),
""
)</f>
        <v>46158.21597222222</v>
      </c>
      <c r="Q115" s="5" t="str">
        <f>IFERROR(
IF(
_xlfn.XLOOKUP(
B115,
'LOCALIZAÇÃO DE CARGA'!$A$2:$A$702,
'LOCALIZAÇÃO DE CARGA'!$K$2:$K$702
)="",
"",
_xlfn.XLOOKUP(
B115,
'LOCALIZAÇÃO DE CARGA'!$A$2:$A$702,
'LOCALIZAÇÃO DE CARGA'!$K$2:$K$702
)
),
""
)</f>
        <v>GRUPO CASAS BAHIA S.A(CD1887) - 54510000</v>
      </c>
      <c r="R115" s="5" t="str">
        <f t="shared" si="5"/>
        <v>GRUPO CASAS BAHIA S.A</v>
      </c>
      <c r="S115" s="5" t="str" cm="1">
        <f t="array" ref="S115">IF(B115="","",IFERROR(
INDEX(
'VISÃO LOGISTICA'!$L$2:$L$525,
MATCH(
TRUE,
ISNUMBER(FIND(B115,'VISÃO LOGISTICA'!$A$2:$A$525)),
0
)
),
""
))</f>
        <v/>
      </c>
      <c r="T115" s="5" t="str" cm="1">
        <f t="array" ref="T115">IFERROR(
_xlfn.LET(
_xlpm.res,_xlfn.XLOOKUP(B115,'LOCALIZAÇÃO DE CARGA'!$A$2:$A$702,'LOCALIZAÇÃO DE CARGA'!$R$2:$R$702),
IF(_xlpm.res="","",SUBSTITUTE(_xlpm.res,"/BRASIL",""))
),
""
)</f>
        <v>CABO DE SANTO AGOSTINHO/PE</v>
      </c>
    </row>
    <row r="116" spans="1:20">
      <c r="A116" s="14">
        <f t="shared" si="3"/>
        <v>46160</v>
      </c>
      <c r="B116" s="5">
        <v>6012700</v>
      </c>
      <c r="C116" s="45" t="str">
        <f t="shared" ca="1" si="4"/>
        <v>OK - NO PRAZO</v>
      </c>
      <c r="D116" s="28"/>
      <c r="E116" s="28" t="str">
        <f>IFERROR(
IF(
_xlfn.XLOOKUP(
B116,
'LOCALIZAÇÃO DE CARGA'!$A$2:$A$702,
'LOCALIZAÇÃO DE CARGA'!$D$2:$D$702
)="",
"",
_xlfn.XLOOKUP(
B116,
'LOCALIZAÇÃO DE CARGA'!$A$2:$A$702,
'LOCALIZAÇÃO DE CARGA'!$D$2:$D$702
)
),
""
)</f>
        <v/>
      </c>
      <c r="F116" s="13" t="str">
        <f>IFERROR(
IF(
_xlfn.XLOOKUP(
B116,
'LOCALIZAÇÃO DE CARGA'!$A$2:$A$702,
'LOCALIZAÇÃO DE CARGA'!$H$2:$H$702
)="",
"",
_xlfn.XLOOKUP(
B116,
'LOCALIZAÇÃO DE CARGA'!$A$2:$A$702,
'LOCALIZAÇÃO DE CARGA'!$H$2:$H$702
)
),
""
)</f>
        <v>SUL CONTINEN</v>
      </c>
      <c r="G116" s="5" t="str">
        <f>IFERROR(
IF(
_xlfn.XLOOKUP(
B116,
'LOCALIZAÇÃO DE CARGA'!$A$2:$A$702,
'LOCALIZAÇÃO DE CARGA'!$I$2:$I$702
)="",
"",
_xlfn.XLOOKUP(
B116,
'LOCALIZAÇÃO DE CARGA'!$A$2:$A$702,
'LOCALIZAÇÃO DE CARGA'!$I$2:$I$702
)
),
""
)</f>
        <v>LGSCT</v>
      </c>
      <c r="H116" s="5" t="str">
        <f>IFERROR(
IF(
_xlfn.XLOOKUP(
B116,
'LOCALIZAÇÃO DE CARGA'!$A$2:$A$702,
'LOCALIZAÇÃO DE CARGA'!$F$2:$F$702
)="",
"",
_xlfn.XLOOKUP(
B116,
'LOCALIZAÇÃO DE CARGA'!$A$2:$A$702,
'LOCALIZAÇÃO DE CARGA'!$F$2:$F$702
)
),
""
)</f>
        <v>Não iniciado</v>
      </c>
      <c r="I116" s="13" t="str" cm="1">
        <f t="array" ref="I116">IFERROR(
IF(
INDEX(
'VISÃO LOGISTICA'!$C$2:$C$525,
MATCH(
TRUE,
ISNUMBER(FIND(B116,'VISÃO LOGISTICA'!$A$2:$A$525)),
0
)
)="Em espera",
"",
INDEX(
'VISÃO LOGISTICA'!$C$2:$C$525,
MATCH(
TRUE,
ISNUMBER(FIND(B116,'VISÃO LOGISTICA'!$A$2:$A$525)),
0
)
)
),
""
)</f>
        <v/>
      </c>
      <c r="J116" s="5" t="str" cm="1">
        <f t="array" ref="J116">IFERROR(
IF(
OR(
INDEX(
'VISÃO LOGISTICA'!$C$2:$C$2000,
MATCH(
TRUE,
ISNUMBER(FIND(B116,'VISÃO LOGISTICA'!$A$2:$A$2000)),
0
)
)="Em espera",
INDEX(
'VISÃO LOGISTICA'!$C$2:$C$2000,
MATCH(
TRUE,
ISNUMBER(FIND(B116,'VISÃO LOGISTICA'!$A$2:$A$2000)),
0
)
)=""
),
"",
INDEX(
'VISÃO LOGISTICA'!$D$2:$D$2000,
MATCH(
TRUE,
ISNUMBER(FIND(B116,'VISÃO LOGISTICA'!$A$2:$A$2000)),
0
)
)
),
""
)</f>
        <v/>
      </c>
      <c r="K116" s="10">
        <f>IFERROR(
IF(
_xlfn.XLOOKUP(
B116,
'LOCALIZAÇÃO DE CARGA'!$A$2:$A$702,
'LOCALIZAÇÃO DE CARGA'!$E$2:$E$702)="",
"",
_xlfn.XLOOKUP(
B116,
'LOCALIZAÇÃO DE CARGA'!$A$2:$A$702,
'LOCALIZAÇÃO DE CARGA'!$E$2:$E$702)
),
""
)</f>
        <v>120822.3</v>
      </c>
      <c r="L116" s="20" cm="1">
        <f t="array" ref="L116">IFERROR(
_xlfn.LET(
_xlpm.res,_xlfn.XLOOKUP(B116,'LOCALIZAÇÃO DE CARGA'!$A$2:$A$2000,'LOCALIZAÇÃO DE CARGA'!$G$2:$G$2000),
IF(_xlpm.res="","",_xlpm.res)
),
""
)</f>
        <v>46161.097222222219</v>
      </c>
      <c r="M116" s="20" cm="1">
        <f t="array" ref="M116">IFERROR(
_xlfn.LET(
_xlpm.load,_xlfn.XLOOKUP(B116,'LOCALIZAÇÃO DE CARGA'!$A$2:$A$2000,'LOCALIZAÇÃO DE CARGA'!$A$2:$A$2000),
_xlpm.res,_xlfn.XLOOKUP(_xlpm.load,DOCUMENTOS!$A$2:$A$2000,DOCUMENTOS!$D$2:$D$2000),
IF(_xlpm.res="","",_xlpm.res)
),
""
)</f>
        <v>46160.625</v>
      </c>
      <c r="N116" s="6">
        <f>IFERROR(IF(M116="","",M116-TIME(1,0,0)),"")</f>
        <v>46160.583333333336</v>
      </c>
      <c r="O116" s="6" cm="1">
        <f t="array" ref="O116">IFERROR(
_xlfn.LET(
_xlpm.res,_xlfn.XLOOKUP(B116,'LOCALIZAÇÃO DE CARGA'!$A$2:$A$2000,'LOCALIZAÇÃO DE CARGA'!$S$2:$S$2000),
IF(_xlpm.res="","",_xlpm.res)
),
""
)</f>
        <v>46161.25</v>
      </c>
      <c r="P116" s="6" t="str" cm="1">
        <f t="array" ref="P116">IFERROR(
_xlfn.LET(
_xlpm.res,_xlfn.XLOOKUP(B116,'LOCALIZAÇÃO DE CARGA'!$A$2:$A$702,'LOCALIZAÇÃO DE CARGA'!$T$2:$T$702),
IF(_xlpm.res="","",_xlpm.res)
),
""
)</f>
        <v/>
      </c>
      <c r="Q116" s="5" t="str">
        <f>IFERROR(
IF(
_xlfn.XLOOKUP(
B116,
'LOCALIZAÇÃO DE CARGA'!$A$2:$A$702,
'LOCALIZAÇÃO DE CARGA'!$K$2:$K$702
)="",
"",
_xlfn.XLOOKUP(
B116,
'LOCALIZAÇÃO DE CARGA'!$A$2:$A$702,
'LOCALIZAÇÃO DE CARGA'!$K$2:$K$702
)
),
""
)</f>
        <v>MAGAZINE LUIZA S/A (CD2900) - 83704530</v>
      </c>
      <c r="R116" s="5" t="str">
        <f t="shared" si="5"/>
        <v>MAGAZINE LUIZA S/A</v>
      </c>
      <c r="S116" s="5" t="str" cm="1">
        <f t="array" ref="S116">IF(B116="","",IFERROR(
INDEX(
'VISÃO LOGISTICA'!$L$2:$L$525,
MATCH(
TRUE,
ISNUMBER(FIND(B116,'VISÃO LOGISTICA'!$A$2:$A$525)),
0
)
),
""
))</f>
        <v/>
      </c>
      <c r="T116" s="5" t="str" cm="1">
        <f t="array" ref="T116">IFERROR(
_xlfn.LET(
_xlpm.res,_xlfn.XLOOKUP(B116,'LOCALIZAÇÃO DE CARGA'!$A$2:$A$702,'LOCALIZAÇÃO DE CARGA'!$R$2:$R$702),
IF(_xlpm.res="","",SUBSTITUTE(_xlpm.res,"/BRASIL",""))
),
""
)</f>
        <v>ARAUCARIA/PR</v>
      </c>
    </row>
    <row r="117" spans="1:20">
      <c r="A117" s="14">
        <f t="shared" si="3"/>
        <v>46157</v>
      </c>
      <c r="B117" s="5">
        <v>6022053</v>
      </c>
      <c r="C117" s="45" t="str">
        <f t="shared" ca="1" si="4"/>
        <v>ATRASADO CARREGAMENTO - SEM SMP</v>
      </c>
      <c r="D117" s="28"/>
      <c r="E117" s="28" t="str">
        <f>IFERROR(
IF(
_xlfn.XLOOKUP(
B117,
'LOCALIZAÇÃO DE CARGA'!$A$2:$A$702,
'LOCALIZAÇÃO DE CARGA'!$D$2:$D$702
)="",
"",
_xlfn.XLOOKUP(
B117,
'LOCALIZAÇÃO DE CARGA'!$A$2:$A$702,
'LOCALIZAÇÃO DE CARGA'!$D$2:$D$702
)
),
""
)</f>
        <v/>
      </c>
      <c r="F117" s="13" t="str">
        <f>IFERROR(
IF(
_xlfn.XLOOKUP(
B117,
'LOCALIZAÇÃO DE CARGA'!$A$2:$A$702,
'LOCALIZAÇÃO DE CARGA'!$H$2:$H$702
)="",
"",
_xlfn.XLOOKUP(
B117,
'LOCALIZAÇÃO DE CARGA'!$A$2:$A$702,
'LOCALIZAÇÃO DE CARGA'!$H$2:$H$702
)
),
""
)</f>
        <v>TR RAMTHUN</v>
      </c>
      <c r="G117" s="5" t="str">
        <f>IFERROR(
IF(
_xlfn.XLOOKUP(
B117,
'LOCALIZAÇÃO DE CARGA'!$A$2:$A$702,
'LOCALIZAÇÃO DE CARGA'!$I$2:$I$702
)="",
"",
_xlfn.XLOOKUP(
B117,
'LOCALIZAÇÃO DE CARGA'!$A$2:$A$702,
'LOCALIZAÇÃO DE CARGA'!$I$2:$I$702
)
),
""
)</f>
        <v>LGCAJ</v>
      </c>
      <c r="H117" s="5" t="str">
        <f>IFERROR(
IF(
_xlfn.XLOOKUP(
B117,
'LOCALIZAÇÃO DE CARGA'!$A$2:$A$702,
'LOCALIZAÇÃO DE CARGA'!$F$2:$F$702
)="",
"",
_xlfn.XLOOKUP(
B117,
'LOCALIZAÇÃO DE CARGA'!$A$2:$A$702,
'LOCALIZAÇÃO DE CARGA'!$F$2:$F$702
)
),
""
)</f>
        <v>Não iniciado</v>
      </c>
      <c r="I117" s="13" t="str" cm="1">
        <f t="array" ref="I117">IFERROR(
IF(
INDEX(
'VISÃO LOGISTICA'!$C$2:$C$525,
MATCH(
TRUE,
ISNUMBER(FIND(B117,'VISÃO LOGISTICA'!$A$2:$A$525)),
0
)
)="Em espera",
"",
INDEX(
'VISÃO LOGISTICA'!$C$2:$C$525,
MATCH(
TRUE,
ISNUMBER(FIND(B117,'VISÃO LOGISTICA'!$A$2:$A$525)),
0
)
)
),
""
)</f>
        <v/>
      </c>
      <c r="J117" s="5" t="str" cm="1">
        <f t="array" ref="J117">IFERROR(
IF(
OR(
INDEX(
'VISÃO LOGISTICA'!$C$2:$C$2000,
MATCH(
TRUE,
ISNUMBER(FIND(B117,'VISÃO LOGISTICA'!$A$2:$A$2000)),
0
)
)="Em espera",
INDEX(
'VISÃO LOGISTICA'!$C$2:$C$2000,
MATCH(
TRUE,
ISNUMBER(FIND(B117,'VISÃO LOGISTICA'!$A$2:$A$2000)),
0
)
)=""
),
"",
INDEX(
'VISÃO LOGISTICA'!$D$2:$D$2000,
MATCH(
TRUE,
ISNUMBER(FIND(B117,'VISÃO LOGISTICA'!$A$2:$A$2000)),
0
)
)
),
""
)</f>
        <v/>
      </c>
      <c r="K117" s="10">
        <f>IFERROR(
IF(
_xlfn.XLOOKUP(
B117,
'LOCALIZAÇÃO DE CARGA'!$A$2:$A$702,
'LOCALIZAÇÃO DE CARGA'!$E$2:$E$702)="",
"",
_xlfn.XLOOKUP(
B117,
'LOCALIZAÇÃO DE CARGA'!$A$2:$A$702,
'LOCALIZAÇÃO DE CARGA'!$E$2:$E$702)
),
""
)</f>
        <v>115977.4</v>
      </c>
      <c r="L117" s="20" cm="1">
        <f t="array" ref="L117">IFERROR(
_xlfn.LET(
_xlpm.res,_xlfn.XLOOKUP(B117,'LOCALIZAÇÃO DE CARGA'!$A$2:$A$2000,'LOCALIZAÇÃO DE CARGA'!$G$2:$G$2000),
IF(_xlpm.res="","",_xlpm.res)
),
""
)</f>
        <v>46160.154166666667</v>
      </c>
      <c r="M117" s="20" cm="1">
        <f t="array" ref="M117">IFERROR(
_xlfn.LET(
_xlpm.load,_xlfn.XLOOKUP(B117,'LOCALIZAÇÃO DE CARGA'!$A$2:$A$2000,'LOCALIZAÇÃO DE CARGA'!$A$2:$A$2000),
_xlpm.res,_xlfn.XLOOKUP(_xlpm.load,DOCUMENTOS!$A$2:$A$2000,DOCUMENTOS!$D$2:$D$2000),
IF(_xlpm.res="","",_xlpm.res)
),
""
)</f>
        <v>46157.458333333336</v>
      </c>
      <c r="N117" s="6">
        <f>IFERROR(IF(M117="","",M117-TIME(1,0,0)),"")</f>
        <v>46157.416666666672</v>
      </c>
      <c r="O117" s="6" cm="1">
        <f t="array" ref="O117">IFERROR(
_xlfn.LET(
_xlpm.res,_xlfn.XLOOKUP(B117,'LOCALIZAÇÃO DE CARGA'!$A$2:$A$2000,'LOCALIZAÇÃO DE CARGA'!$S$2:$S$2000),
IF(_xlpm.res="","",_xlpm.res)
),
""
)</f>
        <v>46160.25</v>
      </c>
      <c r="P117" s="6" t="str" cm="1">
        <f t="array" ref="P117">IFERROR(
_xlfn.LET(
_xlpm.res,_xlfn.XLOOKUP(B117,'LOCALIZAÇÃO DE CARGA'!$A$2:$A$702,'LOCALIZAÇÃO DE CARGA'!$T$2:$T$702),
IF(_xlpm.res="","",_xlpm.res)
),
""
)</f>
        <v/>
      </c>
      <c r="Q117" s="5" t="str">
        <f>IFERROR(
IF(
_xlfn.XLOOKUP(
B117,
'LOCALIZAÇÃO DE CARGA'!$A$2:$A$702,
'LOCALIZAÇÃO DE CARGA'!$K$2:$K$702
)="",
"",
_xlfn.XLOOKUP(
B117,
'LOCALIZAÇÃO DE CARGA'!$A$2:$A$702,
'LOCALIZAÇÃO DE CARGA'!$K$2:$K$702
)
),
""
)</f>
        <v>GRUPO CASAS BAHIA S.A(CD1200) - 13203850</v>
      </c>
      <c r="R117" s="5" t="str">
        <f t="shared" si="5"/>
        <v>GRUPO CASAS BAHIA S.A</v>
      </c>
      <c r="S117" s="5" t="str" cm="1">
        <f t="array" ref="S117">IF(B117="","",IFERROR(
INDEX(
'VISÃO LOGISTICA'!$L$2:$L$525,
MATCH(
TRUE,
ISNUMBER(FIND(B117,'VISÃO LOGISTICA'!$A$2:$A$525)),
0
)
),
""
))</f>
        <v/>
      </c>
      <c r="T117" s="5" t="str" cm="1">
        <f t="array" ref="T117">IFERROR(
_xlfn.LET(
_xlpm.res,_xlfn.XLOOKUP(B117,'LOCALIZAÇÃO DE CARGA'!$A$2:$A$702,'LOCALIZAÇÃO DE CARGA'!$R$2:$R$702),
IF(_xlpm.res="","",SUBSTITUTE(_xlpm.res,"/BRASIL",""))
),
""
)</f>
        <v>JUNDIAI/SP</v>
      </c>
    </row>
    <row r="118" spans="1:20">
      <c r="A118" s="14">
        <f t="shared" si="3"/>
        <v>46157</v>
      </c>
      <c r="B118" s="5">
        <v>6023036</v>
      </c>
      <c r="C118" s="45" t="str">
        <f t="shared" ca="1" si="4"/>
        <v>ATRASADO ENTREGA - SEM SMP</v>
      </c>
      <c r="D118" s="28"/>
      <c r="E118" s="28" t="str">
        <f>IFERROR(
IF(
_xlfn.XLOOKUP(
B118,
'LOCALIZAÇÃO DE CARGA'!$A$2:$A$702,
'LOCALIZAÇÃO DE CARGA'!$D$2:$D$702
)="",
"",
_xlfn.XLOOKUP(
B118,
'LOCALIZAÇÃO DE CARGA'!$A$2:$A$702,
'LOCALIZAÇÃO DE CARGA'!$D$2:$D$702
)
),
""
)</f>
        <v/>
      </c>
      <c r="F118" s="13" t="str">
        <f>IFERROR(
IF(
_xlfn.XLOOKUP(
B118,
'LOCALIZAÇÃO DE CARGA'!$A$2:$A$702,
'LOCALIZAÇÃO DE CARGA'!$H$2:$H$702
)="",
"",
_xlfn.XLOOKUP(
B118,
'LOCALIZAÇÃO DE CARGA'!$A$2:$A$702,
'LOCALIZAÇÃO DE CARGA'!$H$2:$H$702
)
),
""
)</f>
        <v>FITA AZUL PE (FATELOG)</v>
      </c>
      <c r="G118" s="5" t="str">
        <f>IFERROR(
IF(
_xlfn.XLOOKUP(
B118,
'LOCALIZAÇÃO DE CARGA'!$A$2:$A$702,
'LOCALIZAÇÃO DE CARGA'!$I$2:$I$702
)="",
"",
_xlfn.XLOOKUP(
B118,
'LOCALIZAÇÃO DE CARGA'!$A$2:$A$702,
'LOCALIZAÇÃO DE CARGA'!$I$2:$I$702
)
),
""
)</f>
        <v>LGSCT</v>
      </c>
      <c r="H118" s="5" t="str">
        <f>IFERROR(
IF(
_xlfn.XLOOKUP(
B118,
'LOCALIZAÇÃO DE CARGA'!$A$2:$A$702,
'LOCALIZAÇÃO DE CARGA'!$F$2:$F$702
)="",
"",
_xlfn.XLOOKUP(
B118,
'LOCALIZAÇÃO DE CARGA'!$A$2:$A$702,
'LOCALIZAÇÃO DE CARGA'!$F$2:$F$702
)
),
""
)</f>
        <v>Andamento</v>
      </c>
      <c r="I118" s="13" t="str" cm="1">
        <f t="array" ref="I118">IFERROR(
IF(
INDEX(
'VISÃO LOGISTICA'!$C$2:$C$525,
MATCH(
TRUE,
ISNUMBER(FIND(B118,'VISÃO LOGISTICA'!$A$2:$A$525)),
0
)
)="Em espera",
"",
INDEX(
'VISÃO LOGISTICA'!$C$2:$C$525,
MATCH(
TRUE,
ISNUMBER(FIND(B118,'VISÃO LOGISTICA'!$A$2:$A$525)),
0
)
)
),
""
)</f>
        <v/>
      </c>
      <c r="J118" s="5" t="str" cm="1">
        <f t="array" ref="J118">IFERROR(
IF(
OR(
INDEX(
'VISÃO LOGISTICA'!$C$2:$C$2000,
MATCH(
TRUE,
ISNUMBER(FIND(B118,'VISÃO LOGISTICA'!$A$2:$A$2000)),
0
)
)="Em espera",
INDEX(
'VISÃO LOGISTICA'!$C$2:$C$2000,
MATCH(
TRUE,
ISNUMBER(FIND(B118,'VISÃO LOGISTICA'!$A$2:$A$2000)),
0
)
)=""
),
"",
INDEX(
'VISÃO LOGISTICA'!$D$2:$D$2000,
MATCH(
TRUE,
ISNUMBER(FIND(B118,'VISÃO LOGISTICA'!$A$2:$A$2000)),
0
)
)
),
""
)</f>
        <v/>
      </c>
      <c r="K118" s="10">
        <f>IFERROR(
IF(
_xlfn.XLOOKUP(
B118,
'LOCALIZAÇÃO DE CARGA'!$A$2:$A$702,
'LOCALIZAÇÃO DE CARGA'!$E$2:$E$702)="",
"",
_xlfn.XLOOKUP(
B118,
'LOCALIZAÇÃO DE CARGA'!$A$2:$A$702,
'LOCALIZAÇÃO DE CARGA'!$E$2:$E$702)
),
""
)</f>
        <v>112357.74</v>
      </c>
      <c r="L118" s="20" cm="1">
        <f t="array" ref="L118">IFERROR(
_xlfn.LET(
_xlpm.res,_xlfn.XLOOKUP(B118,'LOCALIZAÇÃO DE CARGA'!$A$2:$A$2000,'LOCALIZAÇÃO DE CARGA'!$G$2:$G$2000),
IF(_xlpm.res="","",_xlpm.res)
),
""
)</f>
        <v>46157.75</v>
      </c>
      <c r="M118" s="20" cm="1">
        <f t="array" ref="M118">IFERROR(
_xlfn.LET(
_xlpm.load,_xlfn.XLOOKUP(B118,'LOCALIZAÇÃO DE CARGA'!$A$2:$A$2000,'LOCALIZAÇÃO DE CARGA'!$A$2:$A$2000),
_xlpm.res,_xlfn.XLOOKUP(_xlpm.load,DOCUMENTOS!$A$2:$A$2000,DOCUMENTOS!$D$2:$D$2000),
IF(_xlpm.res="","",_xlpm.res)
),
""
)</f>
        <v>46157.75</v>
      </c>
      <c r="N118" s="6">
        <f>IFERROR(IF(M118="","",M118-TIME(1,0,0)),"")</f>
        <v>46157.708333333336</v>
      </c>
      <c r="O118" s="6" cm="1">
        <f t="array" ref="O118">IFERROR(
_xlfn.LET(
_xlpm.res,_xlfn.XLOOKUP(B118,'LOCALIZAÇÃO DE CARGA'!$A$2:$A$2000,'LOCALIZAÇÃO DE CARGA'!$S$2:$S$2000),
IF(_xlpm.res="","",_xlpm.res)
),
""
)</f>
        <v>46169.25</v>
      </c>
      <c r="P118" s="6" cm="1">
        <f t="array" ref="P118">IFERROR(
_xlfn.LET(
_xlpm.res,_xlfn.XLOOKUP(B118,'LOCALIZAÇÃO DE CARGA'!$A$2:$A$702,'LOCALIZAÇÃO DE CARGA'!$T$2:$T$702),
IF(_xlpm.res="","",_xlpm.res)
),
""
)</f>
        <v>46158.21597222222</v>
      </c>
      <c r="Q118" s="5" t="str">
        <f>IFERROR(
IF(
_xlfn.XLOOKUP(
B118,
'LOCALIZAÇÃO DE CARGA'!$A$2:$A$702,
'LOCALIZAÇÃO DE CARGA'!$K$2:$K$702
)="",
"",
_xlfn.XLOOKUP(
B118,
'LOCALIZAÇÃO DE CARGA'!$A$2:$A$702,
'LOCALIZAÇÃO DE CARGA'!$K$2:$K$702
)
),
""
)</f>
        <v>GRUPO CASAS BAHIA S.A(CD1635) - 78098530</v>
      </c>
      <c r="R118" s="5" t="str">
        <f t="shared" si="5"/>
        <v>GRUPO CASAS BAHIA S.A</v>
      </c>
      <c r="S118" s="5" t="str" cm="1">
        <f t="array" ref="S118">IF(B118="","",IFERROR(
INDEX(
'VISÃO LOGISTICA'!$L$2:$L$525,
MATCH(
TRUE,
ISNUMBER(FIND(B118,'VISÃO LOGISTICA'!$A$2:$A$525)),
0
)
),
""
))</f>
        <v/>
      </c>
      <c r="T118" s="5" t="str" cm="1">
        <f t="array" ref="T118">IFERROR(
_xlfn.LET(
_xlpm.res,_xlfn.XLOOKUP(B118,'LOCALIZAÇÃO DE CARGA'!$A$2:$A$702,'LOCALIZAÇÃO DE CARGA'!$R$2:$R$702),
IF(_xlpm.res="","",SUBSTITUTE(_xlpm.res,"/BRASIL",""))
),
""
)</f>
        <v>CUIABA/MT</v>
      </c>
    </row>
    <row r="119" spans="1:20">
      <c r="A119" s="14">
        <f t="shared" si="3"/>
        <v>46158</v>
      </c>
      <c r="B119" s="5">
        <v>6023014</v>
      </c>
      <c r="C119" s="45" t="str">
        <f t="shared" ca="1" si="4"/>
        <v>ATRASADO CARREGAMENTO - SEM SMP</v>
      </c>
      <c r="D119" s="28"/>
      <c r="E119" s="28" t="str">
        <f>IFERROR(
IF(
_xlfn.XLOOKUP(
B119,
'LOCALIZAÇÃO DE CARGA'!$A$2:$A$702,
'LOCALIZAÇÃO DE CARGA'!$D$2:$D$702
)="",
"",
_xlfn.XLOOKUP(
B119,
'LOCALIZAÇÃO DE CARGA'!$A$2:$A$702,
'LOCALIZAÇÃO DE CARGA'!$D$2:$D$702
)
),
""
)</f>
        <v/>
      </c>
      <c r="F119" s="13" t="str">
        <f>IFERROR(
IF(
_xlfn.XLOOKUP(
B119,
'LOCALIZAÇÃO DE CARGA'!$A$2:$A$702,
'LOCALIZAÇÃO DE CARGA'!$H$2:$H$702
)="",
"",
_xlfn.XLOOKUP(
B119,
'LOCALIZAÇÃO DE CARGA'!$A$2:$A$702,
'LOCALIZAÇÃO DE CARGA'!$H$2:$H$702
)
),
""
)</f>
        <v>TRANSBOCAYUV</v>
      </c>
      <c r="G119" s="5" t="str">
        <f>IFERROR(
IF(
_xlfn.XLOOKUP(
B119,
'LOCALIZAÇÃO DE CARGA'!$A$2:$A$702,
'LOCALIZAÇÃO DE CARGA'!$I$2:$I$702
)="",
"",
_xlfn.XLOOKUP(
B119,
'LOCALIZAÇÃO DE CARGA'!$A$2:$A$702,
'LOCALIZAÇÃO DE CARGA'!$I$2:$I$702
)
),
""
)</f>
        <v>LGSCT</v>
      </c>
      <c r="H119" s="5" t="str">
        <f>IFERROR(
IF(
_xlfn.XLOOKUP(
B119,
'LOCALIZAÇÃO DE CARGA'!$A$2:$A$702,
'LOCALIZAÇÃO DE CARGA'!$F$2:$F$702
)="",
"",
_xlfn.XLOOKUP(
B119,
'LOCALIZAÇÃO DE CARGA'!$A$2:$A$702,
'LOCALIZAÇÃO DE CARGA'!$F$2:$F$702
)
),
""
)</f>
        <v>Não iniciado</v>
      </c>
      <c r="I119" s="13" t="str" cm="1">
        <f t="array" ref="I119">IFERROR(
IF(
INDEX(
'VISÃO LOGISTICA'!$C$2:$C$525,
MATCH(
TRUE,
ISNUMBER(FIND(B119,'VISÃO LOGISTICA'!$A$2:$A$525)),
0
)
)="Em espera",
"",
INDEX(
'VISÃO LOGISTICA'!$C$2:$C$525,
MATCH(
TRUE,
ISNUMBER(FIND(B119,'VISÃO LOGISTICA'!$A$2:$A$525)),
0
)
)
),
""
)</f>
        <v/>
      </c>
      <c r="J119" s="5" t="str" cm="1">
        <f t="array" ref="J119">IFERROR(
IF(
OR(
INDEX(
'VISÃO LOGISTICA'!$C$2:$C$2000,
MATCH(
TRUE,
ISNUMBER(FIND(B119,'VISÃO LOGISTICA'!$A$2:$A$2000)),
0
)
)="Em espera",
INDEX(
'VISÃO LOGISTICA'!$C$2:$C$2000,
MATCH(
TRUE,
ISNUMBER(FIND(B119,'VISÃO LOGISTICA'!$A$2:$A$2000)),
0
)
)=""
),
"",
INDEX(
'VISÃO LOGISTICA'!$D$2:$D$2000,
MATCH(
TRUE,
ISNUMBER(FIND(B119,'VISÃO LOGISTICA'!$A$2:$A$2000)),
0
)
)
),
""
)</f>
        <v/>
      </c>
      <c r="K119" s="10">
        <f>IFERROR(
IF(
_xlfn.XLOOKUP(
B119,
'LOCALIZAÇÃO DE CARGA'!$A$2:$A$702,
'LOCALIZAÇÃO DE CARGA'!$E$2:$E$702)="",
"",
_xlfn.XLOOKUP(
B119,
'LOCALIZAÇÃO DE CARGA'!$A$2:$A$702,
'LOCALIZAÇÃO DE CARGA'!$E$2:$E$702)
),
""
)</f>
        <v>106005.94</v>
      </c>
      <c r="L119" s="20" cm="1">
        <f t="array" ref="L119">IFERROR(
_xlfn.LET(
_xlpm.res,_xlfn.XLOOKUP(B119,'LOCALIZAÇÃO DE CARGA'!$A$2:$A$2000,'LOCALIZAÇÃO DE CARGA'!$G$2:$G$2000),
IF(_xlpm.res="","",_xlpm.res)
),
""
)</f>
        <v>46163.138888888891</v>
      </c>
      <c r="M119" s="20" cm="1">
        <f t="array" ref="M119">IFERROR(
_xlfn.LET(
_xlpm.load,_xlfn.XLOOKUP(B119,'LOCALIZAÇÃO DE CARGA'!$A$2:$A$2000,'LOCALIZAÇÃO DE CARGA'!$A$2:$A$2000),
_xlpm.res,_xlfn.XLOOKUP(_xlpm.load,DOCUMENTOS!$A$2:$A$2000,DOCUMENTOS!$D$2:$D$2000),
IF(_xlpm.res="","",_xlpm.res)
),
""
)</f>
        <v>46158.333333333336</v>
      </c>
      <c r="N119" s="6">
        <f>IFERROR(IF(M119="","",M119-TIME(1,0,0)),"")</f>
        <v>46158.291666666672</v>
      </c>
      <c r="O119" s="6" cm="1">
        <f t="array" ref="O119">IFERROR(
_xlfn.LET(
_xlpm.res,_xlfn.XLOOKUP(B119,'LOCALIZAÇÃO DE CARGA'!$A$2:$A$2000,'LOCALIZAÇÃO DE CARGA'!$S$2:$S$2000),
IF(_xlpm.res="","",_xlpm.res)
),
""
)</f>
        <v>46164.25</v>
      </c>
      <c r="P119" s="6" t="str" cm="1">
        <f t="array" ref="P119">IFERROR(
_xlfn.LET(
_xlpm.res,_xlfn.XLOOKUP(B119,'LOCALIZAÇÃO DE CARGA'!$A$2:$A$702,'LOCALIZAÇÃO DE CARGA'!$T$2:$T$702),
IF(_xlpm.res="","",_xlpm.res)
),
""
)</f>
        <v/>
      </c>
      <c r="Q119" s="5" t="str">
        <f>IFERROR(
IF(
_xlfn.XLOOKUP(
B119,
'LOCALIZAÇÃO DE CARGA'!$A$2:$A$702,
'LOCALIZAÇÃO DE CARGA'!$K$2:$K$702
)="",
"",
_xlfn.XLOOKUP(
B119,
'LOCALIZAÇÃO DE CARGA'!$A$2:$A$702,
'LOCALIZAÇÃO DE CARGA'!$K$2:$K$702
)
),
""
)</f>
        <v>GRUPO CASAS BAHIA S.A(CD1401) - 25255030</v>
      </c>
      <c r="R119" s="5" t="str">
        <f t="shared" si="5"/>
        <v>GRUPO CASAS BAHIA S.A</v>
      </c>
      <c r="S119" s="5" t="str" cm="1">
        <f t="array" ref="S119">IF(B119="","",IFERROR(
INDEX(
'VISÃO LOGISTICA'!$L$2:$L$525,
MATCH(
TRUE,
ISNUMBER(FIND(B119,'VISÃO LOGISTICA'!$A$2:$A$525)),
0
)
),
""
))</f>
        <v/>
      </c>
      <c r="T119" s="5" t="str" cm="1">
        <f t="array" ref="T119">IFERROR(
_xlfn.LET(
_xlpm.res,_xlfn.XLOOKUP(B119,'LOCALIZAÇÃO DE CARGA'!$A$2:$A$702,'LOCALIZAÇÃO DE CARGA'!$R$2:$R$702),
IF(_xlpm.res="","",SUBSTITUTE(_xlpm.res,"/BRASIL",""))
),
""
)</f>
        <v>DUQUE DE CAXIAS/RJ</v>
      </c>
    </row>
    <row r="120" spans="1:20">
      <c r="A120" s="14">
        <f t="shared" si="3"/>
        <v>46157</v>
      </c>
      <c r="B120" s="5">
        <v>6022177</v>
      </c>
      <c r="C120" s="45" t="str">
        <f t="shared" ca="1" si="4"/>
        <v>ATRASADO CARREGAMENTO - SEM SMP</v>
      </c>
      <c r="D120" s="28"/>
      <c r="E120" s="28" t="str">
        <f>IFERROR(
IF(
_xlfn.XLOOKUP(
B120,
'LOCALIZAÇÃO DE CARGA'!$A$2:$A$702,
'LOCALIZAÇÃO DE CARGA'!$D$2:$D$702
)="",
"",
_xlfn.XLOOKUP(
B120,
'LOCALIZAÇÃO DE CARGA'!$A$2:$A$702,
'LOCALIZAÇÃO DE CARGA'!$D$2:$D$702
)
),
""
)</f>
        <v/>
      </c>
      <c r="F120" s="13" t="str">
        <f>IFERROR(
IF(
_xlfn.XLOOKUP(
B120,
'LOCALIZAÇÃO DE CARGA'!$A$2:$A$702,
'LOCALIZAÇÃO DE CARGA'!$H$2:$H$702
)="",
"",
_xlfn.XLOOKUP(
B120,
'LOCALIZAÇÃO DE CARGA'!$A$2:$A$702,
'LOCALIZAÇÃO DE CARGA'!$H$2:$H$702
)
),
""
)</f>
        <v>FITA AZUL PE (FATELOG)</v>
      </c>
      <c r="G120" s="5" t="str">
        <f>IFERROR(
IF(
_xlfn.XLOOKUP(
B120,
'LOCALIZAÇÃO DE CARGA'!$A$2:$A$702,
'LOCALIZAÇÃO DE CARGA'!$I$2:$I$702
)="",
"",
_xlfn.XLOOKUP(
B120,
'LOCALIZAÇÃO DE CARGA'!$A$2:$A$702,
'LOCALIZAÇÃO DE CARGA'!$I$2:$I$702
)
),
""
)</f>
        <v>LGSCT</v>
      </c>
      <c r="H120" s="5" t="str">
        <f>IFERROR(
IF(
_xlfn.XLOOKUP(
B120,
'LOCALIZAÇÃO DE CARGA'!$A$2:$A$702,
'LOCALIZAÇÃO DE CARGA'!$F$2:$F$702
)="",
"",
_xlfn.XLOOKUP(
B120,
'LOCALIZAÇÃO DE CARGA'!$A$2:$A$702,
'LOCALIZAÇÃO DE CARGA'!$F$2:$F$702
)
),
""
)</f>
        <v>Andamento</v>
      </c>
      <c r="I120" s="13" t="str" cm="1">
        <f t="array" ref="I120">IFERROR(
IF(
INDEX(
'VISÃO LOGISTICA'!$C$2:$C$525,
MATCH(
TRUE,
ISNUMBER(FIND(B120,'VISÃO LOGISTICA'!$A$2:$A$525)),
0
)
)="Em espera",
"",
INDEX(
'VISÃO LOGISTICA'!$C$2:$C$525,
MATCH(
TRUE,
ISNUMBER(FIND(B120,'VISÃO LOGISTICA'!$A$2:$A$525)),
0
)
)
),
""
)</f>
        <v/>
      </c>
      <c r="J120" s="5" t="str" cm="1">
        <f t="array" ref="J120">IFERROR(
IF(
OR(
INDEX(
'VISÃO LOGISTICA'!$C$2:$C$2000,
MATCH(
TRUE,
ISNUMBER(FIND(B120,'VISÃO LOGISTICA'!$A$2:$A$2000)),
0
)
)="Em espera",
INDEX(
'VISÃO LOGISTICA'!$C$2:$C$2000,
MATCH(
TRUE,
ISNUMBER(FIND(B120,'VISÃO LOGISTICA'!$A$2:$A$2000)),
0
)
)=""
),
"",
INDEX(
'VISÃO LOGISTICA'!$D$2:$D$2000,
MATCH(
TRUE,
ISNUMBER(FIND(B120,'VISÃO LOGISTICA'!$A$2:$A$2000)),
0
)
)
),
""
)</f>
        <v/>
      </c>
      <c r="K120" s="10">
        <f>IFERROR(
IF(
_xlfn.XLOOKUP(
B120,
'LOCALIZAÇÃO DE CARGA'!$A$2:$A$702,
'LOCALIZAÇÃO DE CARGA'!$E$2:$E$702)="",
"",
_xlfn.XLOOKUP(
B120,
'LOCALIZAÇÃO DE CARGA'!$A$2:$A$702,
'LOCALIZAÇÃO DE CARGA'!$E$2:$E$702)
),
""
)</f>
        <v>105126.69</v>
      </c>
      <c r="L120" s="20" cm="1">
        <f t="array" ref="L120">IFERROR(
_xlfn.LET(
_xlpm.res,_xlfn.XLOOKUP(B120,'LOCALIZAÇÃO DE CARGA'!$A$2:$A$2000,'LOCALIZAÇÃO DE CARGA'!$G$2:$G$2000),
IF(_xlpm.res="","",_xlpm.res)
),
""
)</f>
        <v>46165.34097222222</v>
      </c>
      <c r="M120" s="20" cm="1">
        <f t="array" ref="M120">IFERROR(
_xlfn.LET(
_xlpm.load,_xlfn.XLOOKUP(B120,'LOCALIZAÇÃO DE CARGA'!$A$2:$A$2000,'LOCALIZAÇÃO DE CARGA'!$A$2:$A$2000),
_xlpm.res,_xlfn.XLOOKUP(_xlpm.load,DOCUMENTOS!$A$2:$A$2000,DOCUMENTOS!$D$2:$D$2000),
IF(_xlpm.res="","",_xlpm.res)
),
""
)</f>
        <v>46157.75</v>
      </c>
      <c r="N120" s="6">
        <f>IFERROR(IF(M120="","",M120-TIME(1,0,0)),"")</f>
        <v>46157.708333333336</v>
      </c>
      <c r="O120" s="6" cm="1">
        <f t="array" ref="O120">IFERROR(
_xlfn.LET(
_xlpm.res,_xlfn.XLOOKUP(B120,'LOCALIZAÇÃO DE CARGA'!$A$2:$A$2000,'LOCALIZAÇÃO DE CARGA'!$S$2:$S$2000),
IF(_xlpm.res="","",_xlpm.res)
),
""
)</f>
        <v>46167.25</v>
      </c>
      <c r="P120" s="6" cm="1">
        <f t="array" ref="P120">IFERROR(
_xlfn.LET(
_xlpm.res,_xlfn.XLOOKUP(B120,'LOCALIZAÇÃO DE CARGA'!$A$2:$A$702,'LOCALIZAÇÃO DE CARGA'!$T$2:$T$702),
IF(_xlpm.res="","",_xlpm.res)
),
""
)</f>
        <v>46158.21597222222</v>
      </c>
      <c r="Q120" s="5" t="str">
        <f>IFERROR(
IF(
_xlfn.XLOOKUP(
B120,
'LOCALIZAÇÃO DE CARGA'!$A$2:$A$702,
'LOCALIZAÇÃO DE CARGA'!$K$2:$K$702
)="",
"",
_xlfn.XLOOKUP(
B120,
'LOCALIZAÇÃO DE CARGA'!$A$2:$A$702,
'LOCALIZAÇÃO DE CARGA'!$K$2:$K$702
)
),
""
)</f>
        <v>GRUPO CASAS BAHIA S.A(CD1600) - 79108610</v>
      </c>
      <c r="R120" s="5" t="str">
        <f t="shared" si="5"/>
        <v>GRUPO CASAS BAHIA S.A</v>
      </c>
      <c r="S120" s="5" t="str" cm="1">
        <f t="array" ref="S120">IF(B120="","",IFERROR(
INDEX(
'VISÃO LOGISTICA'!$L$2:$L$525,
MATCH(
TRUE,
ISNUMBER(FIND(B120,'VISÃO LOGISTICA'!$A$2:$A$525)),
0
)
),
""
))</f>
        <v/>
      </c>
      <c r="T120" s="5" t="str" cm="1">
        <f t="array" ref="T120">IFERROR(
_xlfn.LET(
_xlpm.res,_xlfn.XLOOKUP(B120,'LOCALIZAÇÃO DE CARGA'!$A$2:$A$702,'LOCALIZAÇÃO DE CARGA'!$R$2:$R$702),
IF(_xlpm.res="","",SUBSTITUTE(_xlpm.res,"/BRASIL",""))
),
""
)</f>
        <v>CAMPO GRANDE/MS</v>
      </c>
    </row>
    <row r="121" spans="1:20">
      <c r="A121" s="14">
        <f t="shared" si="3"/>
        <v>46160</v>
      </c>
      <c r="B121" s="5">
        <v>6023348</v>
      </c>
      <c r="C121" s="45" t="str">
        <f t="shared" ca="1" si="4"/>
        <v>OK - NO PRAZO</v>
      </c>
      <c r="D121" s="28"/>
      <c r="E121" s="28" t="str">
        <f>IFERROR(
IF(
_xlfn.XLOOKUP(
B121,
'LOCALIZAÇÃO DE CARGA'!$A$2:$A$702,
'LOCALIZAÇÃO DE CARGA'!$D$2:$D$702
)="",
"",
_xlfn.XLOOKUP(
B121,
'LOCALIZAÇÃO DE CARGA'!$A$2:$A$702,
'LOCALIZAÇÃO DE CARGA'!$D$2:$D$702
)
),
""
)</f>
        <v/>
      </c>
      <c r="F121" s="13" t="str">
        <f>IFERROR(
IF(
_xlfn.XLOOKUP(
B121,
'LOCALIZAÇÃO DE CARGA'!$A$2:$A$702,
'LOCALIZAÇÃO DE CARGA'!$H$2:$H$702
)="",
"",
_xlfn.XLOOKUP(
B121,
'LOCALIZAÇÃO DE CARGA'!$A$2:$A$702,
'LOCALIZAÇÃO DE CARGA'!$H$2:$H$702
)
),
""
)</f>
        <v>VIPE TRANSPO</v>
      </c>
      <c r="G121" s="5" t="str">
        <f>IFERROR(
IF(
_xlfn.XLOOKUP(
B121,
'LOCALIZAÇÃO DE CARGA'!$A$2:$A$702,
'LOCALIZAÇÃO DE CARGA'!$I$2:$I$702
)="",
"",
_xlfn.XLOOKUP(
B121,
'LOCALIZAÇÃO DE CARGA'!$A$2:$A$702,
'LOCALIZAÇÃO DE CARGA'!$I$2:$I$702
)
),
""
)</f>
        <v>LGCAJ</v>
      </c>
      <c r="H121" s="5" t="str">
        <f>IFERROR(
IF(
_xlfn.XLOOKUP(
B121,
'LOCALIZAÇÃO DE CARGA'!$A$2:$A$702,
'LOCALIZAÇÃO DE CARGA'!$F$2:$F$702
)="",
"",
_xlfn.XLOOKUP(
B121,
'LOCALIZAÇÃO DE CARGA'!$A$2:$A$702,
'LOCALIZAÇÃO DE CARGA'!$F$2:$F$702
)
),
""
)</f>
        <v>Não iniciado</v>
      </c>
      <c r="I121" s="13" t="str" cm="1">
        <f t="array" ref="I121">IFERROR(
IF(
INDEX(
'VISÃO LOGISTICA'!$C$2:$C$525,
MATCH(
TRUE,
ISNUMBER(FIND(B121,'VISÃO LOGISTICA'!$A$2:$A$525)),
0
)
)="Em espera",
"",
INDEX(
'VISÃO LOGISTICA'!$C$2:$C$525,
MATCH(
TRUE,
ISNUMBER(FIND(B121,'VISÃO LOGISTICA'!$A$2:$A$525)),
0
)
)
),
""
)</f>
        <v/>
      </c>
      <c r="J121" s="5" t="str" cm="1">
        <f t="array" ref="J121">IFERROR(
IF(
OR(
INDEX(
'VISÃO LOGISTICA'!$C$2:$C$2000,
MATCH(
TRUE,
ISNUMBER(FIND(B121,'VISÃO LOGISTICA'!$A$2:$A$2000)),
0
)
)="Em espera",
INDEX(
'VISÃO LOGISTICA'!$C$2:$C$2000,
MATCH(
TRUE,
ISNUMBER(FIND(B121,'VISÃO LOGISTICA'!$A$2:$A$2000)),
0
)
)=""
),
"",
INDEX(
'VISÃO LOGISTICA'!$D$2:$D$2000,
MATCH(
TRUE,
ISNUMBER(FIND(B121,'VISÃO LOGISTICA'!$A$2:$A$2000)),
0
)
)
),
""
)</f>
        <v/>
      </c>
      <c r="K121" s="10">
        <f>IFERROR(
IF(
_xlfn.XLOOKUP(
B121,
'LOCALIZAÇÃO DE CARGA'!$A$2:$A$702,
'LOCALIZAÇÃO DE CARGA'!$E$2:$E$702)="",
"",
_xlfn.XLOOKUP(
B121,
'LOCALIZAÇÃO DE CARGA'!$A$2:$A$702,
'LOCALIZAÇÃO DE CARGA'!$E$2:$E$702)
),
""
)</f>
        <v>102875.4</v>
      </c>
      <c r="L121" s="20" cm="1">
        <f t="array" ref="L121">IFERROR(
_xlfn.LET(
_xlpm.res,_xlfn.XLOOKUP(B121,'LOCALIZAÇÃO DE CARGA'!$A$2:$A$2000,'LOCALIZAÇÃO DE CARGA'!$G$2:$G$2000),
IF(_xlpm.res="","",_xlpm.res)
),
""
)</f>
        <v>46161.316666666666</v>
      </c>
      <c r="M121" s="20" cm="1">
        <f t="array" ref="M121">IFERROR(
_xlfn.LET(
_xlpm.load,_xlfn.XLOOKUP(B121,'LOCALIZAÇÃO DE CARGA'!$A$2:$A$2000,'LOCALIZAÇÃO DE CARGA'!$A$2:$A$2000),
_xlpm.res,_xlfn.XLOOKUP(_xlpm.load,DOCUMENTOS!$A$2:$A$2000,DOCUMENTOS!$D$2:$D$2000),
IF(_xlpm.res="","",_xlpm.res)
),
""
)</f>
        <v>46160.416666666664</v>
      </c>
      <c r="N121" s="6">
        <f>IFERROR(IF(M121="","",M121-TIME(1,0,0)),"")</f>
        <v>46160.375</v>
      </c>
      <c r="O121" s="6" cm="1">
        <f t="array" ref="O121">IFERROR(
_xlfn.LET(
_xlpm.res,_xlfn.XLOOKUP(B121,'LOCALIZAÇÃO DE CARGA'!$A$2:$A$2000,'LOCALIZAÇÃO DE CARGA'!$S$2:$S$2000),
IF(_xlpm.res="","",_xlpm.res)
),
""
)</f>
        <v>46161.416666666664</v>
      </c>
      <c r="P121" s="6" t="str" cm="1">
        <f t="array" ref="P121">IFERROR(
_xlfn.LET(
_xlpm.res,_xlfn.XLOOKUP(B121,'LOCALIZAÇÃO DE CARGA'!$A$2:$A$702,'LOCALIZAÇÃO DE CARGA'!$T$2:$T$702),
IF(_xlpm.res="","",_xlpm.res)
),
""
)</f>
        <v/>
      </c>
      <c r="Q121" s="5" t="str">
        <f>IFERROR(
IF(
_xlfn.XLOOKUP(
B121,
'LOCALIZAÇÃO DE CARGA'!$A$2:$A$702,
'LOCALIZAÇÃO DE CARGA'!$K$2:$K$702
)="",
"",
_xlfn.XLOOKUP(
B121,
'LOCALIZAÇÃO DE CARGA'!$A$2:$A$702,
'LOCALIZAÇÃO DE CARGA'!$K$2:$K$702
)
),
""
)</f>
        <v>JHSF MALLS S.A. - 05676120</v>
      </c>
      <c r="R121" s="5" t="str">
        <f t="shared" si="5"/>
        <v>JHSF MALLS S.A.</v>
      </c>
      <c r="S121" s="5" t="str" cm="1">
        <f t="array" ref="S121">IF(B121="","",IFERROR(
INDEX(
'VISÃO LOGISTICA'!$L$2:$L$525,
MATCH(
TRUE,
ISNUMBER(FIND(B121,'VISÃO LOGISTICA'!$A$2:$A$525)),
0
)
),
""
))</f>
        <v/>
      </c>
      <c r="T121" s="5" t="str" cm="1">
        <f t="array" ref="T121">IFERROR(
_xlfn.LET(
_xlpm.res,_xlfn.XLOOKUP(B121,'LOCALIZAÇÃO DE CARGA'!$A$2:$A$702,'LOCALIZAÇÃO DE CARGA'!$R$2:$R$702),
IF(_xlpm.res="","",SUBSTITUTE(_xlpm.res,"/BRASIL",""))
),
""
)</f>
        <v>SAO PAULO/SP</v>
      </c>
    </row>
    <row r="122" spans="1:20">
      <c r="A122" s="14">
        <f t="shared" si="3"/>
        <v>46157</v>
      </c>
      <c r="B122" s="5">
        <v>6024848</v>
      </c>
      <c r="C122" s="45" t="str">
        <f t="shared" ca="1" si="4"/>
        <v>DESCONSIDERA, VALOR NÃO RASTREADO</v>
      </c>
      <c r="D122" s="28"/>
      <c r="E122" s="28" t="str">
        <f>IFERROR(
IF(
_xlfn.XLOOKUP(
B122,
'LOCALIZAÇÃO DE CARGA'!$A$2:$A$702,
'LOCALIZAÇÃO DE CARGA'!$D$2:$D$702
)="",
"",
_xlfn.XLOOKUP(
B122,
'LOCALIZAÇÃO DE CARGA'!$A$2:$A$702,
'LOCALIZAÇÃO DE CARGA'!$D$2:$D$702
)
),
""
)</f>
        <v/>
      </c>
      <c r="F122" s="13" t="str">
        <f>IFERROR(
IF(
_xlfn.XLOOKUP(
B122,
'LOCALIZAÇÃO DE CARGA'!$A$2:$A$702,
'LOCALIZAÇÃO DE CARGA'!$H$2:$H$702
)="",
"",
_xlfn.XLOOKUP(
B122,
'LOCALIZAÇÃO DE CARGA'!$A$2:$A$702,
'LOCALIZAÇÃO DE CARGA'!$H$2:$H$702
)
),
""
)</f>
        <v>VIPE TRANSPO</v>
      </c>
      <c r="G122" s="5" t="str">
        <f>IFERROR(
IF(
_xlfn.XLOOKUP(
B122,
'LOCALIZAÇÃO DE CARGA'!$A$2:$A$702,
'LOCALIZAÇÃO DE CARGA'!$I$2:$I$702
)="",
"",
_xlfn.XLOOKUP(
B122,
'LOCALIZAÇÃO DE CARGA'!$A$2:$A$702,
'LOCALIZAÇÃO DE CARGA'!$I$2:$I$702
)
),
""
)</f>
        <v>LGCAJ</v>
      </c>
      <c r="H122" s="5" t="str">
        <f>IFERROR(
IF(
_xlfn.XLOOKUP(
B122,
'LOCALIZAÇÃO DE CARGA'!$A$2:$A$702,
'LOCALIZAÇÃO DE CARGA'!$F$2:$F$702
)="",
"",
_xlfn.XLOOKUP(
B122,
'LOCALIZAÇÃO DE CARGA'!$A$2:$A$702,
'LOCALIZAÇÃO DE CARGA'!$F$2:$F$702
)
),
""
)</f>
        <v>Não iniciado</v>
      </c>
      <c r="I122" s="13" t="str" cm="1">
        <f t="array" ref="I122">IFERROR(
IF(
INDEX(
'VISÃO LOGISTICA'!$C$2:$C$525,
MATCH(
TRUE,
ISNUMBER(FIND(B122,'VISÃO LOGISTICA'!$A$2:$A$525)),
0
)
)="Em espera",
"",
INDEX(
'VISÃO LOGISTICA'!$C$2:$C$525,
MATCH(
TRUE,
ISNUMBER(FIND(B122,'VISÃO LOGISTICA'!$A$2:$A$525)),
0
)
)
),
""
)</f>
        <v/>
      </c>
      <c r="J122" s="5" t="str" cm="1">
        <f t="array" ref="J122">IFERROR(
IF(
OR(
INDEX(
'VISÃO LOGISTICA'!$C$2:$C$2000,
MATCH(
TRUE,
ISNUMBER(FIND(B122,'VISÃO LOGISTICA'!$A$2:$A$2000)),
0
)
)="Em espera",
INDEX(
'VISÃO LOGISTICA'!$C$2:$C$2000,
MATCH(
TRUE,
ISNUMBER(FIND(B122,'VISÃO LOGISTICA'!$A$2:$A$2000)),
0
)
)=""
),
"",
INDEX(
'VISÃO LOGISTICA'!$D$2:$D$2000,
MATCH(
TRUE,
ISNUMBER(FIND(B122,'VISÃO LOGISTICA'!$A$2:$A$2000)),
0
)
)
),
""
)</f>
        <v/>
      </c>
      <c r="K122" s="10">
        <f>IFERROR(
IF(
_xlfn.XLOOKUP(
B122,
'LOCALIZAÇÃO DE CARGA'!$A$2:$A$702,
'LOCALIZAÇÃO DE CARGA'!$E$2:$E$702)="",
"",
_xlfn.XLOOKUP(
B122,
'LOCALIZAÇÃO DE CARGA'!$A$2:$A$702,
'LOCALIZAÇÃO DE CARGA'!$E$2:$E$702)
),
""
)</f>
        <v>89286</v>
      </c>
      <c r="L122" s="20" cm="1">
        <f t="array" ref="L122">IFERROR(
_xlfn.LET(
_xlpm.res,_xlfn.XLOOKUP(B122,'LOCALIZAÇÃO DE CARGA'!$A$2:$A$2000,'LOCALIZAÇÃO DE CARGA'!$G$2:$G$2000),
IF(_xlpm.res="","",_xlpm.res)
),
""
)</f>
        <v>46158.23333333333</v>
      </c>
      <c r="M122" s="20" cm="1">
        <f t="array" ref="M122">IFERROR(
_xlfn.LET(
_xlpm.load,_xlfn.XLOOKUP(B122,'LOCALIZAÇÃO DE CARGA'!$A$2:$A$2000,'LOCALIZAÇÃO DE CARGA'!$A$2:$A$2000),
_xlpm.res,_xlfn.XLOOKUP(_xlpm.load,DOCUMENTOS!$A$2:$A$2000,DOCUMENTOS!$D$2:$D$2000),
IF(_xlpm.res="","",_xlpm.res)
),
""
)</f>
        <v>46157.583333333336</v>
      </c>
      <c r="N122" s="6">
        <f>IFERROR(IF(M122="","",M122-TIME(1,0,0)),"")</f>
        <v>46157.541666666672</v>
      </c>
      <c r="O122" s="6" cm="1">
        <f t="array" ref="O122">IFERROR(
_xlfn.LET(
_xlpm.res,_xlfn.XLOOKUP(B122,'LOCALIZAÇÃO DE CARGA'!$A$2:$A$2000,'LOCALIZAÇÃO DE CARGA'!$S$2:$S$2000),
IF(_xlpm.res="","",_xlpm.res)
),
""
)</f>
        <v>46158.333333333336</v>
      </c>
      <c r="P122" s="6" t="str" cm="1">
        <f t="array" ref="P122">IFERROR(
_xlfn.LET(
_xlpm.res,_xlfn.XLOOKUP(B122,'LOCALIZAÇÃO DE CARGA'!$A$2:$A$702,'LOCALIZAÇÃO DE CARGA'!$T$2:$T$702),
IF(_xlpm.res="","",_xlpm.res)
),
""
)</f>
        <v/>
      </c>
      <c r="Q122" s="5" t="str">
        <f>IFERROR(
IF(
_xlfn.XLOOKUP(
B122,
'LOCALIZAÇÃO DE CARGA'!$A$2:$A$702,
'LOCALIZAÇÃO DE CARGA'!$K$2:$K$702
)="",
"",
_xlfn.XLOOKUP(
B122,
'LOCALIZAÇÃO DE CARGA'!$A$2:$A$702,
'LOCALIZAÇÃO DE CARGA'!$K$2:$K$702
)
),
""
)</f>
        <v>DAYCOVAL LEASING SOCIEDADE DE ARRENDAMENTO MERCANTIL S.A. - 01333000</v>
      </c>
      <c r="R122" s="5" t="str">
        <f t="shared" si="5"/>
        <v>DAYCOVAL LEASING SOCIEDADE DE ARRENDAMENTO MERCANTIL S.A.</v>
      </c>
      <c r="S122" s="5" t="str" cm="1">
        <f t="array" ref="S122">IF(B122="","",IFERROR(
INDEX(
'VISÃO LOGISTICA'!$L$2:$L$525,
MATCH(
TRUE,
ISNUMBER(FIND(B122,'VISÃO LOGISTICA'!$A$2:$A$525)),
0
)
),
""
))</f>
        <v/>
      </c>
      <c r="T122" s="5" t="str" cm="1">
        <f t="array" ref="T122">IFERROR(
_xlfn.LET(
_xlpm.res,_xlfn.XLOOKUP(B122,'LOCALIZAÇÃO DE CARGA'!$A$2:$A$702,'LOCALIZAÇÃO DE CARGA'!$R$2:$R$702),
IF(_xlpm.res="","",SUBSTITUTE(_xlpm.res,"/BRASIL",""))
),
""
)</f>
        <v>SAO PAULO/SP</v>
      </c>
    </row>
    <row r="123" spans="1:20">
      <c r="A123" s="14">
        <f t="shared" si="3"/>
        <v>46161</v>
      </c>
      <c r="B123" s="5">
        <v>6023432</v>
      </c>
      <c r="C123" s="45" t="str">
        <f t="shared" ca="1" si="4"/>
        <v>OK - NO PRAZO</v>
      </c>
      <c r="D123" s="28"/>
      <c r="E123" s="28" t="str">
        <f>IFERROR(
IF(
_xlfn.XLOOKUP(
B123,
'LOCALIZAÇÃO DE CARGA'!$A$2:$A$702,
'LOCALIZAÇÃO DE CARGA'!$D$2:$D$702
)="",
"",
_xlfn.XLOOKUP(
B123,
'LOCALIZAÇÃO DE CARGA'!$A$2:$A$702,
'LOCALIZAÇÃO DE CARGA'!$D$2:$D$702
)
),
""
)</f>
        <v/>
      </c>
      <c r="F123" s="13" t="str">
        <f>IFERROR(
IF(
_xlfn.XLOOKUP(
B123,
'LOCALIZAÇÃO DE CARGA'!$A$2:$A$702,
'LOCALIZAÇÃO DE CARGA'!$H$2:$H$702
)="",
"",
_xlfn.XLOOKUP(
B123,
'LOCALIZAÇÃO DE CARGA'!$A$2:$A$702,
'LOCALIZAÇÃO DE CARGA'!$H$2:$H$702
)
),
""
)</f>
        <v>RODOPENHA</v>
      </c>
      <c r="G123" s="5" t="str">
        <f>IFERROR(
IF(
_xlfn.XLOOKUP(
B123,
'LOCALIZAÇÃO DE CARGA'!$A$2:$A$702,
'LOCALIZAÇÃO DE CARGA'!$I$2:$I$702
)="",
"",
_xlfn.XLOOKUP(
B123,
'LOCALIZAÇÃO DE CARGA'!$A$2:$A$702,
'LOCALIZAÇÃO DE CARGA'!$I$2:$I$702
)
),
""
)</f>
        <v>LGREC</v>
      </c>
      <c r="H123" s="5" t="str">
        <f>IFERROR(
IF(
_xlfn.XLOOKUP(
B123,
'LOCALIZAÇÃO DE CARGA'!$A$2:$A$702,
'LOCALIZAÇÃO DE CARGA'!$F$2:$F$702
)="",
"",
_xlfn.XLOOKUP(
B123,
'LOCALIZAÇÃO DE CARGA'!$A$2:$A$702,
'LOCALIZAÇÃO DE CARGA'!$F$2:$F$702
)
),
""
)</f>
        <v>Não iniciado</v>
      </c>
      <c r="I123" s="13" t="str" cm="1">
        <f t="array" ref="I123">IFERROR(
IF(
INDEX(
'VISÃO LOGISTICA'!$C$2:$C$525,
MATCH(
TRUE,
ISNUMBER(FIND(B123,'VISÃO LOGISTICA'!$A$2:$A$525)),
0
)
)="Em espera",
"",
INDEX(
'VISÃO LOGISTICA'!$C$2:$C$525,
MATCH(
TRUE,
ISNUMBER(FIND(B123,'VISÃO LOGISTICA'!$A$2:$A$525)),
0
)
)
),
""
)</f>
        <v/>
      </c>
      <c r="J123" s="5" t="str" cm="1">
        <f t="array" ref="J123">IFERROR(
IF(
OR(
INDEX(
'VISÃO LOGISTICA'!$C$2:$C$2000,
MATCH(
TRUE,
ISNUMBER(FIND(B123,'VISÃO LOGISTICA'!$A$2:$A$2000)),
0
)
)="Em espera",
INDEX(
'VISÃO LOGISTICA'!$C$2:$C$2000,
MATCH(
TRUE,
ISNUMBER(FIND(B123,'VISÃO LOGISTICA'!$A$2:$A$2000)),
0
)
)=""
),
"",
INDEX(
'VISÃO LOGISTICA'!$D$2:$D$2000,
MATCH(
TRUE,
ISNUMBER(FIND(B123,'VISÃO LOGISTICA'!$A$2:$A$2000)),
0
)
)
),
""
)</f>
        <v/>
      </c>
      <c r="K123" s="10">
        <f>IFERROR(
IF(
_xlfn.XLOOKUP(
B123,
'LOCALIZAÇÃO DE CARGA'!$A$2:$A$702,
'LOCALIZAÇÃO DE CARGA'!$E$2:$E$702)="",
"",
_xlfn.XLOOKUP(
B123,
'LOCALIZAÇÃO DE CARGA'!$A$2:$A$702,
'LOCALIZAÇÃO DE CARGA'!$E$2:$E$702)
),
""
)</f>
        <v>87236.28</v>
      </c>
      <c r="L123" s="20" cm="1">
        <f t="array" ref="L123">IFERROR(
_xlfn.LET(
_xlpm.res,_xlfn.XLOOKUP(B123,'LOCALIZAÇÃO DE CARGA'!$A$2:$A$2000,'LOCALIZAÇÃO DE CARGA'!$G$2:$G$2000),
IF(_xlpm.res="","",_xlpm.res)
),
""
)</f>
        <v>46161.854166666664</v>
      </c>
      <c r="M123" s="20" cm="1">
        <f t="array" ref="M123">IFERROR(
_xlfn.LET(
_xlpm.load,_xlfn.XLOOKUP(B123,'LOCALIZAÇÃO DE CARGA'!$A$2:$A$2000,'LOCALIZAÇÃO DE CARGA'!$A$2:$A$2000),
_xlpm.res,_xlfn.XLOOKUP(_xlpm.load,DOCUMENTOS!$A$2:$A$2000,DOCUMENTOS!$D$2:$D$2000),
IF(_xlpm.res="","",_xlpm.res)
),
""
)</f>
        <v>46161.854166666664</v>
      </c>
      <c r="N123" s="6">
        <f>IFERROR(IF(M123="","",M123-TIME(1,0,0)),"")</f>
        <v>46161.8125</v>
      </c>
      <c r="O123" s="6" cm="1">
        <f t="array" ref="O123">IFERROR(
_xlfn.LET(
_xlpm.res,_xlfn.XLOOKUP(B123,'LOCALIZAÇÃO DE CARGA'!$A$2:$A$2000,'LOCALIZAÇÃO DE CARGA'!$S$2:$S$2000),
IF(_xlpm.res="","",_xlpm.res)
),
""
)</f>
        <v>46163.25</v>
      </c>
      <c r="P123" s="6" t="str" cm="1">
        <f t="array" ref="P123">IFERROR(
_xlfn.LET(
_xlpm.res,_xlfn.XLOOKUP(B123,'LOCALIZAÇÃO DE CARGA'!$A$2:$A$702,'LOCALIZAÇÃO DE CARGA'!$T$2:$T$702),
IF(_xlpm.res="","",_xlpm.res)
),
""
)</f>
        <v/>
      </c>
      <c r="Q123" s="5" t="str">
        <f>IFERROR(
IF(
_xlfn.XLOOKUP(
B123,
'LOCALIZAÇÃO DE CARGA'!$A$2:$A$702,
'LOCALIZAÇÃO DE CARGA'!$K$2:$K$702
)="",
"",
_xlfn.XLOOKUP(
B123,
'LOCALIZAÇÃO DE CARGA'!$A$2:$A$702,
'LOCALIZAÇÃO DE CARGA'!$K$2:$K$702
)
),
""
)</f>
        <v>GRUPO CASAS BAHIA S.A(CD1400) - 42816270</v>
      </c>
      <c r="R123" s="5" t="str">
        <f t="shared" si="5"/>
        <v>GRUPO CASAS BAHIA S.A</v>
      </c>
      <c r="S123" s="5" t="str" cm="1">
        <f t="array" ref="S123">IF(B123="","",IFERROR(
INDEX(
'VISÃO LOGISTICA'!$L$2:$L$525,
MATCH(
TRUE,
ISNUMBER(FIND(B123,'VISÃO LOGISTICA'!$A$2:$A$525)),
0
)
),
""
))</f>
        <v/>
      </c>
      <c r="T123" s="5" t="str" cm="1">
        <f t="array" ref="T123">IFERROR(
_xlfn.LET(
_xlpm.res,_xlfn.XLOOKUP(B123,'LOCALIZAÇÃO DE CARGA'!$A$2:$A$702,'LOCALIZAÇÃO DE CARGA'!$R$2:$R$702),
IF(_xlpm.res="","",SUBSTITUTE(_xlpm.res,"/BRASIL",""))
),
""
)</f>
        <v>CAMACARI/BA</v>
      </c>
    </row>
    <row r="124" spans="1:20">
      <c r="A124" s="14">
        <f t="shared" si="3"/>
        <v>46157</v>
      </c>
      <c r="B124" s="5">
        <v>6013514</v>
      </c>
      <c r="C124" s="45" t="str">
        <f t="shared" ca="1" si="4"/>
        <v>ATRASADO CARREGAMENTO - SEM SMP</v>
      </c>
      <c r="D124" s="28"/>
      <c r="E124" s="28" t="str">
        <f>IFERROR(
IF(
_xlfn.XLOOKUP(
B124,
'LOCALIZAÇÃO DE CARGA'!$A$2:$A$702,
'LOCALIZAÇÃO DE CARGA'!$D$2:$D$702
)="",
"",
_xlfn.XLOOKUP(
B124,
'LOCALIZAÇÃO DE CARGA'!$A$2:$A$702,
'LOCALIZAÇÃO DE CARGA'!$D$2:$D$702
)
),
""
)</f>
        <v>Atrasado</v>
      </c>
      <c r="F124" s="13" t="str">
        <f>IFERROR(
IF(
_xlfn.XLOOKUP(
B124,
'LOCALIZAÇÃO DE CARGA'!$A$2:$A$702,
'LOCALIZAÇÃO DE CARGA'!$H$2:$H$702
)="",
"",
_xlfn.XLOOKUP(
B124,
'LOCALIZAÇÃO DE CARGA'!$A$2:$A$702,
'LOCALIZAÇÃO DE CARGA'!$H$2:$H$702
)
),
""
)</f>
        <v>FITA AZUL PE (FATELOG)</v>
      </c>
      <c r="G124" s="5" t="str">
        <f>IFERROR(
IF(
_xlfn.XLOOKUP(
B124,
'LOCALIZAÇÃO DE CARGA'!$A$2:$A$702,
'LOCALIZAÇÃO DE CARGA'!$I$2:$I$702
)="",
"",
_xlfn.XLOOKUP(
B124,
'LOCALIZAÇÃO DE CARGA'!$A$2:$A$702,
'LOCALIZAÇÃO DE CARGA'!$I$2:$I$702
)
),
""
)</f>
        <v>LGCAJ</v>
      </c>
      <c r="H124" s="5" t="str">
        <f>IFERROR(
IF(
_xlfn.XLOOKUP(
B124,
'LOCALIZAÇÃO DE CARGA'!$A$2:$A$702,
'LOCALIZAÇÃO DE CARGA'!$F$2:$F$702
)="",
"",
_xlfn.XLOOKUP(
B124,
'LOCALIZAÇÃO DE CARGA'!$A$2:$A$702,
'LOCALIZAÇÃO DE CARGA'!$F$2:$F$702
)
),
""
)</f>
        <v>Não iniciado</v>
      </c>
      <c r="I124" s="13" t="str" cm="1">
        <f t="array" ref="I124">IFERROR(
IF(
INDEX(
'VISÃO LOGISTICA'!$C$2:$C$525,
MATCH(
TRUE,
ISNUMBER(FIND(B124,'VISÃO LOGISTICA'!$A$2:$A$525)),
0
)
)="Em espera",
"",
INDEX(
'VISÃO LOGISTICA'!$C$2:$C$525,
MATCH(
TRUE,
ISNUMBER(FIND(B124,'VISÃO LOGISTICA'!$A$2:$A$525)),
0
)
)
),
""
)</f>
        <v/>
      </c>
      <c r="J124" s="5" t="str" cm="1">
        <f t="array" ref="J124">IFERROR(
IF(
OR(
INDEX(
'VISÃO LOGISTICA'!$C$2:$C$2000,
MATCH(
TRUE,
ISNUMBER(FIND(B124,'VISÃO LOGISTICA'!$A$2:$A$2000)),
0
)
)="Em espera",
INDEX(
'VISÃO LOGISTICA'!$C$2:$C$2000,
MATCH(
TRUE,
ISNUMBER(FIND(B124,'VISÃO LOGISTICA'!$A$2:$A$2000)),
0
)
)=""
),
"",
INDEX(
'VISÃO LOGISTICA'!$D$2:$D$2000,
MATCH(
TRUE,
ISNUMBER(FIND(B124,'VISÃO LOGISTICA'!$A$2:$A$2000)),
0
)
)
),
""
)</f>
        <v/>
      </c>
      <c r="K124" s="10">
        <f>IFERROR(
IF(
_xlfn.XLOOKUP(
B124,
'LOCALIZAÇÃO DE CARGA'!$A$2:$A$702,
'LOCALIZAÇÃO DE CARGA'!$E$2:$E$702)="",
"",
_xlfn.XLOOKUP(
B124,
'LOCALIZAÇÃO DE CARGA'!$A$2:$A$702,
'LOCALIZAÇÃO DE CARGA'!$E$2:$E$702)
),
""
)</f>
        <v>86939.57</v>
      </c>
      <c r="L124" s="20" cm="1">
        <f t="array" ref="L124">IFERROR(
_xlfn.LET(
_xlpm.res,_xlfn.XLOOKUP(B124,'LOCALIZAÇÃO DE CARGA'!$A$2:$A$2000,'LOCALIZAÇÃO DE CARGA'!$G$2:$G$2000),
IF(_xlpm.res="","",_xlpm.res)
),
""
)</f>
        <v>46167.354166666664</v>
      </c>
      <c r="M124" s="20" cm="1">
        <f t="array" ref="M124">IFERROR(
_xlfn.LET(
_xlpm.load,_xlfn.XLOOKUP(B124,'LOCALIZAÇÃO DE CARGA'!$A$2:$A$2000,'LOCALIZAÇÃO DE CARGA'!$A$2:$A$2000),
_xlpm.res,_xlfn.XLOOKUP(_xlpm.load,DOCUMENTOS!$A$2:$A$2000,DOCUMENTOS!$D$2:$D$2000),
IF(_xlpm.res="","",_xlpm.res)
),
""
)</f>
        <v>46157.375</v>
      </c>
      <c r="N124" s="6">
        <f>IFERROR(IF(M124="","",M124-TIME(1,0,0)),"")</f>
        <v>46157.333333333336</v>
      </c>
      <c r="O124" s="6" cm="1">
        <f t="array" ref="O124">IFERROR(
_xlfn.LET(
_xlpm.res,_xlfn.XLOOKUP(B124,'LOCALIZAÇÃO DE CARGA'!$A$2:$A$2000,'LOCALIZAÇÃO DE CARGA'!$S$2:$S$2000),
IF(_xlpm.res="","",_xlpm.res)
),
""
)</f>
        <v>46167.416666666664</v>
      </c>
      <c r="P124" s="6" t="str" cm="1">
        <f t="array" ref="P124">IFERROR(
_xlfn.LET(
_xlpm.res,_xlfn.XLOOKUP(B124,'LOCALIZAÇÃO DE CARGA'!$A$2:$A$702,'LOCALIZAÇÃO DE CARGA'!$T$2:$T$702),
IF(_xlpm.res="","",_xlpm.res)
),
""
)</f>
        <v/>
      </c>
      <c r="Q124" s="5" t="str">
        <f>IFERROR(
IF(
_xlfn.XLOOKUP(
B124,
'LOCALIZAÇÃO DE CARGA'!$A$2:$A$702,
'LOCALIZAÇÃO DE CARGA'!$K$2:$K$702
)="",
"",
_xlfn.XLOOKUP(
B124,
'LOCALIZAÇÃO DE CARGA'!$A$2:$A$702,
'LOCALIZAÇÃO DE CARGA'!$K$2:$K$702
)
),
""
)</f>
        <v>BASE FATELOG - CAJAMAR</v>
      </c>
      <c r="R124" s="5" t="str">
        <f t="shared" si="5"/>
        <v>BASE FATELOG</v>
      </c>
      <c r="S124" s="5" t="str" cm="1">
        <f t="array" ref="S124">IF(B124="","",IFERROR(
INDEX(
'VISÃO LOGISTICA'!$L$2:$L$525,
MATCH(
TRUE,
ISNUMBER(FIND(B124,'VISÃO LOGISTICA'!$A$2:$A$525)),
0
)
),
""
))</f>
        <v/>
      </c>
      <c r="T124" s="5" t="str" cm="1">
        <f t="array" ref="T124">IFERROR(
_xlfn.LET(
_xlpm.res,_xlfn.XLOOKUP(B124,'LOCALIZAÇÃO DE CARGA'!$A$2:$A$702,'LOCALIZAÇÃO DE CARGA'!$R$2:$R$702),
IF(_xlpm.res="","",SUBSTITUTE(_xlpm.res,"/BRASIL",""))
),
""
)</f>
        <v>CAJAMAR/SP</v>
      </c>
    </row>
    <row r="125" spans="1:20">
      <c r="A125" s="14">
        <f t="shared" si="3"/>
        <v>46158</v>
      </c>
      <c r="B125" s="5">
        <v>6022171</v>
      </c>
      <c r="C125" s="45" t="str">
        <f t="shared" ca="1" si="4"/>
        <v>ATRASADO CARREGAMENTO - SEM SMP</v>
      </c>
      <c r="D125" s="28"/>
      <c r="E125" s="28" t="str">
        <f>IFERROR(
IF(
_xlfn.XLOOKUP(
B125,
'LOCALIZAÇÃO DE CARGA'!$A$2:$A$702,
'LOCALIZAÇÃO DE CARGA'!$D$2:$D$702
)="",
"",
_xlfn.XLOOKUP(
B125,
'LOCALIZAÇÃO DE CARGA'!$A$2:$A$702,
'LOCALIZAÇÃO DE CARGA'!$D$2:$D$702
)
),
""
)</f>
        <v/>
      </c>
      <c r="F125" s="13" t="str">
        <f>IFERROR(
IF(
_xlfn.XLOOKUP(
B125,
'LOCALIZAÇÃO DE CARGA'!$A$2:$A$702,
'LOCALIZAÇÃO DE CARGA'!$H$2:$H$702
)="",
"",
_xlfn.XLOOKUP(
B125,
'LOCALIZAÇÃO DE CARGA'!$A$2:$A$702,
'LOCALIZAÇÃO DE CARGA'!$H$2:$H$702
)
),
""
)</f>
        <v>TRANSBOCAYUV</v>
      </c>
      <c r="G125" s="5" t="str">
        <f>IFERROR(
IF(
_xlfn.XLOOKUP(
B125,
'LOCALIZAÇÃO DE CARGA'!$A$2:$A$702,
'LOCALIZAÇÃO DE CARGA'!$I$2:$I$702
)="",
"",
_xlfn.XLOOKUP(
B125,
'LOCALIZAÇÃO DE CARGA'!$A$2:$A$702,
'LOCALIZAÇÃO DE CARGA'!$I$2:$I$702
)
),
""
)</f>
        <v>LGSCT</v>
      </c>
      <c r="H125" s="5" t="str">
        <f>IFERROR(
IF(
_xlfn.XLOOKUP(
B125,
'LOCALIZAÇÃO DE CARGA'!$A$2:$A$702,
'LOCALIZAÇÃO DE CARGA'!$F$2:$F$702
)="",
"",
_xlfn.XLOOKUP(
B125,
'LOCALIZAÇÃO DE CARGA'!$A$2:$A$702,
'LOCALIZAÇÃO DE CARGA'!$F$2:$F$702
)
),
""
)</f>
        <v>Não iniciado</v>
      </c>
      <c r="I125" s="13" t="str" cm="1">
        <f t="array" ref="I125">IFERROR(
IF(
INDEX(
'VISÃO LOGISTICA'!$C$2:$C$525,
MATCH(
TRUE,
ISNUMBER(FIND(B125,'VISÃO LOGISTICA'!$A$2:$A$525)),
0
)
)="Em espera",
"",
INDEX(
'VISÃO LOGISTICA'!$C$2:$C$525,
MATCH(
TRUE,
ISNUMBER(FIND(B125,'VISÃO LOGISTICA'!$A$2:$A$525)),
0
)
)
),
""
)</f>
        <v/>
      </c>
      <c r="J125" s="5" t="str" cm="1">
        <f t="array" ref="J125">IFERROR(
IF(
OR(
INDEX(
'VISÃO LOGISTICA'!$C$2:$C$2000,
MATCH(
TRUE,
ISNUMBER(FIND(B125,'VISÃO LOGISTICA'!$A$2:$A$2000)),
0
)
)="Em espera",
INDEX(
'VISÃO LOGISTICA'!$C$2:$C$2000,
MATCH(
TRUE,
ISNUMBER(FIND(B125,'VISÃO LOGISTICA'!$A$2:$A$2000)),
0
)
)=""
),
"",
INDEX(
'VISÃO LOGISTICA'!$D$2:$D$2000,
MATCH(
TRUE,
ISNUMBER(FIND(B125,'VISÃO LOGISTICA'!$A$2:$A$2000)),
0
)
)
),
""
)</f>
        <v/>
      </c>
      <c r="K125" s="10">
        <f>IFERROR(
IF(
_xlfn.XLOOKUP(
B125,
'LOCALIZAÇÃO DE CARGA'!$A$2:$A$702,
'LOCALIZAÇÃO DE CARGA'!$E$2:$E$702)="",
"",
_xlfn.XLOOKUP(
B125,
'LOCALIZAÇÃO DE CARGA'!$A$2:$A$702,
'LOCALIZAÇÃO DE CARGA'!$E$2:$E$702)
),
""
)</f>
        <v>83513.009999999995</v>
      </c>
      <c r="L125" s="20" cm="1">
        <f t="array" ref="L125">IFERROR(
_xlfn.LET(
_xlpm.res,_xlfn.XLOOKUP(B125,'LOCALIZAÇÃO DE CARGA'!$A$2:$A$2000,'LOCALIZAÇÃO DE CARGA'!$G$2:$G$2000),
IF(_xlpm.res="","",_xlpm.res)
),
""
)</f>
        <v>46159.138888888891</v>
      </c>
      <c r="M125" s="20" cm="1">
        <f t="array" ref="M125">IFERROR(
_xlfn.LET(
_xlpm.load,_xlfn.XLOOKUP(B125,'LOCALIZAÇÃO DE CARGA'!$A$2:$A$2000,'LOCALIZAÇÃO DE CARGA'!$A$2:$A$2000),
_xlpm.res,_xlfn.XLOOKUP(_xlpm.load,DOCUMENTOS!$A$2:$A$2000,DOCUMENTOS!$D$2:$D$2000),
IF(_xlpm.res="","",_xlpm.res)
),
""
)</f>
        <v>46158.333333333336</v>
      </c>
      <c r="N125" s="6">
        <f>IFERROR(IF(M125="","",M125-TIME(1,0,0)),"")</f>
        <v>46158.291666666672</v>
      </c>
      <c r="O125" s="6" cm="1">
        <f t="array" ref="O125">IFERROR(
_xlfn.LET(
_xlpm.res,_xlfn.XLOOKUP(B125,'LOCALIZAÇÃO DE CARGA'!$A$2:$A$2000,'LOCALIZAÇÃO DE CARGA'!$S$2:$S$2000),
IF(_xlpm.res="","",_xlpm.res)
),
""
)</f>
        <v>46160.25</v>
      </c>
      <c r="P125" s="6" t="str" cm="1">
        <f t="array" ref="P125">IFERROR(
_xlfn.LET(
_xlpm.res,_xlfn.XLOOKUP(B125,'LOCALIZAÇÃO DE CARGA'!$A$2:$A$702,'LOCALIZAÇÃO DE CARGA'!$T$2:$T$702),
IF(_xlpm.res="","",_xlpm.res)
),
""
)</f>
        <v/>
      </c>
      <c r="Q125" s="5" t="str">
        <f>IFERROR(
IF(
_xlfn.XLOOKUP(
B125,
'LOCALIZAÇÃO DE CARGA'!$A$2:$A$702,
'LOCALIZAÇÃO DE CARGA'!$K$2:$K$702
)="",
"",
_xlfn.XLOOKUP(
B125,
'LOCALIZAÇÃO DE CARGA'!$A$2:$A$702,
'LOCALIZAÇÃO DE CARGA'!$K$2:$K$702
)
),
""
)</f>
        <v>GRUPO CASAS BAHIA S.A(CD1401) - 25255030</v>
      </c>
      <c r="R125" s="5" t="str">
        <f t="shared" si="5"/>
        <v>GRUPO CASAS BAHIA S.A</v>
      </c>
      <c r="S125" s="5" t="str" cm="1">
        <f t="array" ref="S125">IF(B125="","",IFERROR(
INDEX(
'VISÃO LOGISTICA'!$L$2:$L$525,
MATCH(
TRUE,
ISNUMBER(FIND(B125,'VISÃO LOGISTICA'!$A$2:$A$525)),
0
)
),
""
))</f>
        <v/>
      </c>
      <c r="T125" s="5" t="str" cm="1">
        <f t="array" ref="T125">IFERROR(
_xlfn.LET(
_xlpm.res,_xlfn.XLOOKUP(B125,'LOCALIZAÇÃO DE CARGA'!$A$2:$A$702,'LOCALIZAÇÃO DE CARGA'!$R$2:$R$702),
IF(_xlpm.res="","",SUBSTITUTE(_xlpm.res,"/BRASIL",""))
),
""
)</f>
        <v>DUQUE DE CAXIAS/RJ</v>
      </c>
    </row>
    <row r="126" spans="1:20">
      <c r="A126" s="14">
        <f t="shared" si="3"/>
        <v>46160</v>
      </c>
      <c r="B126" s="5">
        <v>6023347</v>
      </c>
      <c r="C126" s="45" t="str">
        <f t="shared" ca="1" si="4"/>
        <v>DESCONSIDERA, VALOR NÃO RASTREADO</v>
      </c>
      <c r="D126" s="28"/>
      <c r="E126" s="28" t="str">
        <f>IFERROR(
IF(
_xlfn.XLOOKUP(
B126,
'LOCALIZAÇÃO DE CARGA'!$A$2:$A$702,
'LOCALIZAÇÃO DE CARGA'!$D$2:$D$702
)="",
"",
_xlfn.XLOOKUP(
B126,
'LOCALIZAÇÃO DE CARGA'!$A$2:$A$702,
'LOCALIZAÇÃO DE CARGA'!$D$2:$D$702
)
),
""
)</f>
        <v/>
      </c>
      <c r="F126" s="13" t="str">
        <f>IFERROR(
IF(
_xlfn.XLOOKUP(
B126,
'LOCALIZAÇÃO DE CARGA'!$A$2:$A$702,
'LOCALIZAÇÃO DE CARGA'!$H$2:$H$702
)="",
"",
_xlfn.XLOOKUP(
B126,
'LOCALIZAÇÃO DE CARGA'!$A$2:$A$702,
'LOCALIZAÇÃO DE CARGA'!$H$2:$H$702
)
),
""
)</f>
        <v>VIPE TRANSPO</v>
      </c>
      <c r="G126" s="5" t="str">
        <f>IFERROR(
IF(
_xlfn.XLOOKUP(
B126,
'LOCALIZAÇÃO DE CARGA'!$A$2:$A$702,
'LOCALIZAÇÃO DE CARGA'!$I$2:$I$702
)="",
"",
_xlfn.XLOOKUP(
B126,
'LOCALIZAÇÃO DE CARGA'!$A$2:$A$702,
'LOCALIZAÇÃO DE CARGA'!$I$2:$I$702
)
),
""
)</f>
        <v>LGCAJ</v>
      </c>
      <c r="H126" s="5" t="str">
        <f>IFERROR(
IF(
_xlfn.XLOOKUP(
B126,
'LOCALIZAÇÃO DE CARGA'!$A$2:$A$702,
'LOCALIZAÇÃO DE CARGA'!$F$2:$F$702
)="",
"",
_xlfn.XLOOKUP(
B126,
'LOCALIZAÇÃO DE CARGA'!$A$2:$A$702,
'LOCALIZAÇÃO DE CARGA'!$F$2:$F$702
)
),
""
)</f>
        <v>Não iniciado</v>
      </c>
      <c r="I126" s="13" t="str" cm="1">
        <f t="array" ref="I126">IFERROR(
IF(
INDEX(
'VISÃO LOGISTICA'!$C$2:$C$525,
MATCH(
TRUE,
ISNUMBER(FIND(B126,'VISÃO LOGISTICA'!$A$2:$A$525)),
0
)
)="Em espera",
"",
INDEX(
'VISÃO LOGISTICA'!$C$2:$C$525,
MATCH(
TRUE,
ISNUMBER(FIND(B126,'VISÃO LOGISTICA'!$A$2:$A$525)),
0
)
)
),
""
)</f>
        <v/>
      </c>
      <c r="J126" s="5" t="str" cm="1">
        <f t="array" ref="J126">IFERROR(
IF(
OR(
INDEX(
'VISÃO LOGISTICA'!$C$2:$C$2000,
MATCH(
TRUE,
ISNUMBER(FIND(B126,'VISÃO LOGISTICA'!$A$2:$A$2000)),
0
)
)="Em espera",
INDEX(
'VISÃO LOGISTICA'!$C$2:$C$2000,
MATCH(
TRUE,
ISNUMBER(FIND(B126,'VISÃO LOGISTICA'!$A$2:$A$2000)),
0
)
)=""
),
"",
INDEX(
'VISÃO LOGISTICA'!$D$2:$D$2000,
MATCH(
TRUE,
ISNUMBER(FIND(B126,'VISÃO LOGISTICA'!$A$2:$A$2000)),
0
)
)
),
""
)</f>
        <v/>
      </c>
      <c r="K126" s="10">
        <f>IFERROR(
IF(
_xlfn.XLOOKUP(
B126,
'LOCALIZAÇÃO DE CARGA'!$A$2:$A$702,
'LOCALIZAÇÃO DE CARGA'!$E$2:$E$702)="",
"",
_xlfn.XLOOKUP(
B126,
'LOCALIZAÇÃO DE CARGA'!$A$2:$A$702,
'LOCALIZAÇÃO DE CARGA'!$E$2:$E$702)
),
""
)</f>
        <v>57435</v>
      </c>
      <c r="L126" s="20" cm="1">
        <f t="array" ref="L126">IFERROR(
_xlfn.LET(
_xlpm.res,_xlfn.XLOOKUP(B126,'LOCALIZAÇÃO DE CARGA'!$A$2:$A$2000,'LOCALIZAÇÃO DE CARGA'!$G$2:$G$2000),
IF(_xlpm.res="","",_xlpm.res)
),
""
)</f>
        <v>46161.316666666666</v>
      </c>
      <c r="M126" s="20" cm="1">
        <f t="array" ref="M126">IFERROR(
_xlfn.LET(
_xlpm.load,_xlfn.XLOOKUP(B126,'LOCALIZAÇÃO DE CARGA'!$A$2:$A$2000,'LOCALIZAÇÃO DE CARGA'!$A$2:$A$2000),
_xlpm.res,_xlfn.XLOOKUP(_xlpm.load,DOCUMENTOS!$A$2:$A$2000,DOCUMENTOS!$D$2:$D$2000),
IF(_xlpm.res="","",_xlpm.res)
),
""
)</f>
        <v>46160.416666666664</v>
      </c>
      <c r="N126" s="6">
        <f>IFERROR(IF(M126="","",M126-TIME(1,0,0)),"")</f>
        <v>46160.375</v>
      </c>
      <c r="O126" s="6" cm="1">
        <f t="array" ref="O126">IFERROR(
_xlfn.LET(
_xlpm.res,_xlfn.XLOOKUP(B126,'LOCALIZAÇÃO DE CARGA'!$A$2:$A$2000,'LOCALIZAÇÃO DE CARGA'!$S$2:$S$2000),
IF(_xlpm.res="","",_xlpm.res)
),
""
)</f>
        <v>46161.416666666664</v>
      </c>
      <c r="P126" s="6" t="str" cm="1">
        <f t="array" ref="P126">IFERROR(
_xlfn.LET(
_xlpm.res,_xlfn.XLOOKUP(B126,'LOCALIZAÇÃO DE CARGA'!$A$2:$A$702,'LOCALIZAÇÃO DE CARGA'!$T$2:$T$702),
IF(_xlpm.res="","",_xlpm.res)
),
""
)</f>
        <v/>
      </c>
      <c r="Q126" s="5" t="str">
        <f>IFERROR(
IF(
_xlfn.XLOOKUP(
B126,
'LOCALIZAÇÃO DE CARGA'!$A$2:$A$702,
'LOCALIZAÇÃO DE CARGA'!$K$2:$K$702
)="",
"",
_xlfn.XLOOKUP(
B126,
'LOCALIZAÇÃO DE CARGA'!$A$2:$A$702,
'LOCALIZAÇÃO DE CARGA'!$K$2:$K$702
)
),
""
)</f>
        <v>BALTIMORE INVESTIMENTOS IMOBILIARIOS LTDA. - 01416000</v>
      </c>
      <c r="R126" s="5" t="str">
        <f t="shared" si="5"/>
        <v>BALTIMORE INVESTIMENTOS IMOBILIARIOS LTDA.</v>
      </c>
      <c r="S126" s="5" t="str" cm="1">
        <f t="array" ref="S126">IF(B126="","",IFERROR(
INDEX(
'VISÃO LOGISTICA'!$L$2:$L$525,
MATCH(
TRUE,
ISNUMBER(FIND(B126,'VISÃO LOGISTICA'!$A$2:$A$525)),
0
)
),
""
))</f>
        <v/>
      </c>
      <c r="T126" s="5" t="str" cm="1">
        <f t="array" ref="T126">IFERROR(
_xlfn.LET(
_xlpm.res,_xlfn.XLOOKUP(B126,'LOCALIZAÇÃO DE CARGA'!$A$2:$A$702,'LOCALIZAÇÃO DE CARGA'!$R$2:$R$702),
IF(_xlpm.res="","",SUBSTITUTE(_xlpm.res,"/BRASIL",""))
),
""
)</f>
        <v>SAO PAULO/SP</v>
      </c>
    </row>
    <row r="127" spans="1:20">
      <c r="A127" s="14">
        <f t="shared" si="3"/>
        <v>46157</v>
      </c>
      <c r="B127" s="5">
        <v>6010935</v>
      </c>
      <c r="C127" s="45" t="str">
        <f t="shared" ca="1" si="4"/>
        <v>ATRASADO ENTREGA - SEM SMP</v>
      </c>
      <c r="D127" s="28"/>
      <c r="E127" s="28" t="str">
        <f>IFERROR(
IF(
_xlfn.XLOOKUP(
B127,
'LOCALIZAÇÃO DE CARGA'!$A$2:$A$702,
'LOCALIZAÇÃO DE CARGA'!$D$2:$D$702
)="",
"",
_xlfn.XLOOKUP(
B127,
'LOCALIZAÇÃO DE CARGA'!$A$2:$A$702,
'LOCALIZAÇÃO DE CARGA'!$D$2:$D$702
)
),
""
)</f>
        <v>Atrasado</v>
      </c>
      <c r="F127" s="13" t="str">
        <f>IFERROR(
IF(
_xlfn.XLOOKUP(
B127,
'LOCALIZAÇÃO DE CARGA'!$A$2:$A$702,
'LOCALIZAÇÃO DE CARGA'!$H$2:$H$702
)="",
"",
_xlfn.XLOOKUP(
B127,
'LOCALIZAÇÃO DE CARGA'!$A$2:$A$702,
'LOCALIZAÇÃO DE CARGA'!$H$2:$H$702
)
),
""
)</f>
        <v>WSC</v>
      </c>
      <c r="G127" s="5" t="str">
        <f>IFERROR(
IF(
_xlfn.XLOOKUP(
B127,
'LOCALIZAÇÃO DE CARGA'!$A$2:$A$702,
'LOCALIZAÇÃO DE CARGA'!$I$2:$I$702
)="",
"",
_xlfn.XLOOKUP(
B127,
'LOCALIZAÇÃO DE CARGA'!$A$2:$A$702,
'LOCALIZAÇÃO DE CARGA'!$I$2:$I$702
)
),
""
)</f>
        <v>LGCAJ</v>
      </c>
      <c r="H127" s="5" t="str">
        <f>IFERROR(
IF(
_xlfn.XLOOKUP(
B127,
'LOCALIZAÇÃO DE CARGA'!$A$2:$A$702,
'LOCALIZAÇÃO DE CARGA'!$F$2:$F$702
)="",
"",
_xlfn.XLOOKUP(
B127,
'LOCALIZAÇÃO DE CARGA'!$A$2:$A$702,
'LOCALIZAÇÃO DE CARGA'!$F$2:$F$702
)
),
""
)</f>
        <v>Não iniciado</v>
      </c>
      <c r="I127" s="13" t="str" cm="1">
        <f t="array" ref="I127">IFERROR(
IF(
INDEX(
'VISÃO LOGISTICA'!$C$2:$C$525,
MATCH(
TRUE,
ISNUMBER(FIND(B127,'VISÃO LOGISTICA'!$A$2:$A$525)),
0
)
)="Em espera",
"",
INDEX(
'VISÃO LOGISTICA'!$C$2:$C$525,
MATCH(
TRUE,
ISNUMBER(FIND(B127,'VISÃO LOGISTICA'!$A$2:$A$525)),
0
)
)
),
""
)</f>
        <v/>
      </c>
      <c r="J127" s="5" t="str" cm="1">
        <f t="array" ref="J127">IFERROR(
IF(
OR(
INDEX(
'VISÃO LOGISTICA'!$C$2:$C$2000,
MATCH(
TRUE,
ISNUMBER(FIND(B127,'VISÃO LOGISTICA'!$A$2:$A$2000)),
0
)
)="Em espera",
INDEX(
'VISÃO LOGISTICA'!$C$2:$C$2000,
MATCH(
TRUE,
ISNUMBER(FIND(B127,'VISÃO LOGISTICA'!$A$2:$A$2000)),
0
)
)=""
),
"",
INDEX(
'VISÃO LOGISTICA'!$D$2:$D$2000,
MATCH(
TRUE,
ISNUMBER(FIND(B127,'VISÃO LOGISTICA'!$A$2:$A$2000)),
0
)
)
),
""
)</f>
        <v/>
      </c>
      <c r="K127" s="10">
        <f>IFERROR(
IF(
_xlfn.XLOOKUP(
B127,
'LOCALIZAÇÃO DE CARGA'!$A$2:$A$702,
'LOCALIZAÇÃO DE CARGA'!$E$2:$E$702)="",
"",
_xlfn.XLOOKUP(
B127,
'LOCALIZAÇÃO DE CARGA'!$A$2:$A$702,
'LOCALIZAÇÃO DE CARGA'!$E$2:$E$702)
),
""
)</f>
        <v>50113.599999999999</v>
      </c>
      <c r="L127" s="20" cm="1">
        <f t="array" ref="L127">IFERROR(
_xlfn.LET(
_xlpm.res,_xlfn.XLOOKUP(B127,'LOCALIZAÇÃO DE CARGA'!$A$2:$A$2000,'LOCALIZAÇÃO DE CARGA'!$G$2:$G$2000),
IF(_xlpm.res="","",_xlpm.res)
),
""
)</f>
        <v>46158.17083333333</v>
      </c>
      <c r="M127" s="20" cm="1">
        <f t="array" ref="M127">IFERROR(
_xlfn.LET(
_xlpm.load,_xlfn.XLOOKUP(B127,'LOCALIZAÇÃO DE CARGA'!$A$2:$A$2000,'LOCALIZAÇÃO DE CARGA'!$A$2:$A$2000),
_xlpm.res,_xlfn.XLOOKUP(_xlpm.load,DOCUMENTOS!$A$2:$A$2000,DOCUMENTOS!$D$2:$D$2000),
IF(_xlpm.res="","",_xlpm.res)
),
""
)</f>
        <v>46157.833333333336</v>
      </c>
      <c r="N127" s="6">
        <f>IFERROR(IF(M127="","",M127-TIME(1,0,0)),"")</f>
        <v>46157.791666666672</v>
      </c>
      <c r="O127" s="6" cm="1">
        <f t="array" ref="O127">IFERROR(
_xlfn.LET(
_xlpm.res,_xlfn.XLOOKUP(B127,'LOCALIZAÇÃO DE CARGA'!$A$2:$A$2000,'LOCALIZAÇÃO DE CARGA'!$S$2:$S$2000),
IF(_xlpm.res="","",_xlpm.res)
),
""
)</f>
        <v>46158.25</v>
      </c>
      <c r="P127" s="6" t="str" cm="1">
        <f t="array" ref="P127">IFERROR(
_xlfn.LET(
_xlpm.res,_xlfn.XLOOKUP(B127,'LOCALIZAÇÃO DE CARGA'!$A$2:$A$702,'LOCALIZAÇÃO DE CARGA'!$T$2:$T$702),
IF(_xlpm.res="","",_xlpm.res)
),
""
)</f>
        <v/>
      </c>
      <c r="Q127" s="5" t="str">
        <f>IFERROR(
IF(
_xlfn.XLOOKUP(
B127,
'LOCALIZAÇÃO DE CARGA'!$A$2:$A$702,
'LOCALIZAÇÃO DE CARGA'!$K$2:$K$702
)="",
"",
_xlfn.XLOOKUP(
B127,
'LOCALIZAÇÃO DE CARGA'!$A$2:$A$702,
'LOCALIZAÇÃO DE CARGA'!$K$2:$K$702
)
),
""
)</f>
        <v>CARREFOUR COM IND LTDA - 06278010</v>
      </c>
      <c r="R127" s="5" t="str">
        <f t="shared" si="5"/>
        <v>CARREFOUR COM IND LTDA</v>
      </c>
      <c r="S127" s="5" t="str" cm="1">
        <f t="array" ref="S127">IF(B127="","",IFERROR(
INDEX(
'VISÃO LOGISTICA'!$L$2:$L$525,
MATCH(
TRUE,
ISNUMBER(FIND(B127,'VISÃO LOGISTICA'!$A$2:$A$525)),
0
)
),
""
))</f>
        <v/>
      </c>
      <c r="T127" s="5" t="str" cm="1">
        <f t="array" ref="T127">IFERROR(
_xlfn.LET(
_xlpm.res,_xlfn.XLOOKUP(B127,'LOCALIZAÇÃO DE CARGA'!$A$2:$A$702,'LOCALIZAÇÃO DE CARGA'!$R$2:$R$702),
IF(_xlpm.res="","",SUBSTITUTE(_xlpm.res,"/BRASIL",""))
),
""
)</f>
        <v>OSASCO/SP</v>
      </c>
    </row>
    <row r="128" spans="1:20">
      <c r="A128" s="14">
        <f t="shared" si="3"/>
        <v>46157</v>
      </c>
      <c r="B128" s="5">
        <v>6009604</v>
      </c>
      <c r="C128" s="45" t="str">
        <f t="shared" ca="1" si="4"/>
        <v>EM VIAGEM</v>
      </c>
      <c r="D128" s="28"/>
      <c r="E128" s="28" t="str">
        <f>IFERROR(
IF(
_xlfn.XLOOKUP(
B128,
'LOCALIZAÇÃO DE CARGA'!$A$2:$A$702,
'LOCALIZAÇÃO DE CARGA'!$D$2:$D$702
)="",
"",
_xlfn.XLOOKUP(
B128,
'LOCALIZAÇÃO DE CARGA'!$A$2:$A$702,
'LOCALIZAÇÃO DE CARGA'!$D$2:$D$702
)
),
""
)</f>
        <v/>
      </c>
      <c r="F128" s="13" t="str">
        <f>IFERROR(
IF(
_xlfn.XLOOKUP(
B128,
'LOCALIZAÇÃO DE CARGA'!$A$2:$A$702,
'LOCALIZAÇÃO DE CARGA'!$H$2:$H$702
)="",
"",
_xlfn.XLOOKUP(
B128,
'LOCALIZAÇÃO DE CARGA'!$A$2:$A$702,
'LOCALIZAÇÃO DE CARGA'!$H$2:$H$702
)
),
""
)</f>
        <v>TRANSKING</v>
      </c>
      <c r="G128" s="5" t="str">
        <f>IFERROR(
IF(
_xlfn.XLOOKUP(
B128,
'LOCALIZAÇÃO DE CARGA'!$A$2:$A$702,
'LOCALIZAÇÃO DE CARGA'!$I$2:$I$702
)="",
"",
_xlfn.XLOOKUP(
B128,
'LOCALIZAÇÃO DE CARGA'!$A$2:$A$702,
'LOCALIZAÇÃO DE CARGA'!$I$2:$I$702
)
),
""
)</f>
        <v>LGSCT</v>
      </c>
      <c r="H128" s="5" t="str">
        <f>IFERROR(
IF(
_xlfn.XLOOKUP(
B128,
'LOCALIZAÇÃO DE CARGA'!$A$2:$A$702,
'LOCALIZAÇÃO DE CARGA'!$F$2:$F$702
)="",
"",
_xlfn.XLOOKUP(
B128,
'LOCALIZAÇÃO DE CARGA'!$A$2:$A$702,
'LOCALIZAÇÃO DE CARGA'!$F$2:$F$702
)
),
""
)</f>
        <v>Andamento</v>
      </c>
      <c r="I128" s="13" t="str" cm="1">
        <f t="array" ref="I128">IFERROR(
IF(
INDEX(
'VISÃO LOGISTICA'!$C$2:$C$525,
MATCH(
TRUE,
ISNUMBER(FIND(B128,'VISÃO LOGISTICA'!$A$2:$A$525)),
0
)
)="Em espera",
"",
INDEX(
'VISÃO LOGISTICA'!$C$2:$C$525,
MATCH(
TRUE,
ISNUMBER(FIND(B128,'VISÃO LOGISTICA'!$A$2:$A$525)),
0
)
)
),
""
)</f>
        <v>Em Viagem</v>
      </c>
      <c r="J128" s="5" t="str" cm="1">
        <f t="array" ref="J128">IFERROR(
IF(
OR(
INDEX(
'VISÃO LOGISTICA'!$C$2:$C$2000,
MATCH(
TRUE,
ISNUMBER(FIND(B128,'VISÃO LOGISTICA'!$A$2:$A$2000)),
0
)
)="Em espera",
INDEX(
'VISÃO LOGISTICA'!$C$2:$C$2000,
MATCH(
TRUE,
ISNUMBER(FIND(B128,'VISÃO LOGISTICA'!$A$2:$A$2000)),
0
)
)=""
),
"",
INDEX(
'VISÃO LOGISTICA'!$D$2:$D$2000,
MATCH(
TRUE,
ISNUMBER(FIND(B128,'VISÃO LOGISTICA'!$A$2:$A$2000)),
0
)
)
),
""
)</f>
        <v>QHU7E59</v>
      </c>
      <c r="K128" s="10">
        <f>IFERROR(
IF(
_xlfn.XLOOKUP(
B128,
'LOCALIZAÇÃO DE CARGA'!$A$2:$A$702,
'LOCALIZAÇÃO DE CARGA'!$E$2:$E$702)="",
"",
_xlfn.XLOOKUP(
B128,
'LOCALIZAÇÃO DE CARGA'!$A$2:$A$702,
'LOCALIZAÇÃO DE CARGA'!$E$2:$E$702)
),
""
)</f>
        <v>48530.23</v>
      </c>
      <c r="L128" s="20" cm="1">
        <f t="array" ref="L128">IFERROR(
_xlfn.LET(
_xlpm.res,_xlfn.XLOOKUP(B128,'LOCALIZAÇÃO DE CARGA'!$A$2:$A$2000,'LOCALIZAÇÃO DE CARGA'!$G$2:$G$2000),
IF(_xlpm.res="","",_xlpm.res)
),
""
)</f>
        <v>46159.025000000001</v>
      </c>
      <c r="M128" s="20" cm="1">
        <f t="array" ref="M128">IFERROR(
_xlfn.LET(
_xlpm.load,_xlfn.XLOOKUP(B128,'LOCALIZAÇÃO DE CARGA'!$A$2:$A$2000,'LOCALIZAÇÃO DE CARGA'!$A$2:$A$2000),
_xlpm.res,_xlfn.XLOOKUP(_xlpm.load,DOCUMENTOS!$A$2:$A$2000,DOCUMENTOS!$D$2:$D$2000),
IF(_xlpm.res="","",_xlpm.res)
),
""
)</f>
        <v>46157.625</v>
      </c>
      <c r="N128" s="6">
        <f>IFERROR(IF(M128="","",M128-TIME(1,0,0)),"")</f>
        <v>46157.583333333336</v>
      </c>
      <c r="O128" s="6" cm="1">
        <f t="array" ref="O128">IFERROR(
_xlfn.LET(
_xlpm.res,_xlfn.XLOOKUP(B128,'LOCALIZAÇÃO DE CARGA'!$A$2:$A$2000,'LOCALIZAÇÃO DE CARGA'!$S$2:$S$2000),
IF(_xlpm.res="","",_xlpm.res)
),
""
)</f>
        <v>46160.208333333336</v>
      </c>
      <c r="P128" s="6" cm="1">
        <f t="array" ref="P128">IFERROR(
_xlfn.LET(
_xlpm.res,_xlfn.XLOOKUP(B128,'LOCALIZAÇÃO DE CARGA'!$A$2:$A$702,'LOCALIZAÇÃO DE CARGA'!$T$2:$T$702),
IF(_xlpm.res="","",_xlpm.res)
),
""
)</f>
        <v>46159.140277777777</v>
      </c>
      <c r="Q128" s="5" t="str">
        <f>IFERROR(
IF(
_xlfn.XLOOKUP(
B128,
'LOCALIZAÇÃO DE CARGA'!$A$2:$A$702,
'LOCALIZAÇÃO DE CARGA'!$K$2:$K$702
)="",
"",
_xlfn.XLOOKUP(
B128,
'LOCALIZAÇÃO DE CARGA'!$A$2:$A$702,
'LOCALIZAÇÃO DE CARGA'!$K$2:$K$702
)
),
""
)</f>
        <v>MARTINS COMERCIO E SERVICOS DE DISTRIBUICAO S/A - 38402324</v>
      </c>
      <c r="R128" s="5" t="str">
        <f t="shared" si="5"/>
        <v>MARTINS COMERCIO E SERVICOS DE DISTRIBUICAO S/A</v>
      </c>
      <c r="S128" s="5" t="str" cm="1">
        <f t="array" ref="S128">IF(B128="","",IFERROR(
INDEX(
'VISÃO LOGISTICA'!$L$2:$L$525,
MATCH(
TRUE,
ISNUMBER(FIND(B128,'VISÃO LOGISTICA'!$A$2:$A$525)),
0
)
),
""
))</f>
        <v>RODOVIA PR 25, SAO JOSE DOS PINHAIS/PR/BRASIL (14,69 Km)</v>
      </c>
      <c r="T128" s="5" t="str" cm="1">
        <f t="array" ref="T128">IFERROR(
_xlfn.LET(
_xlpm.res,_xlfn.XLOOKUP(B128,'LOCALIZAÇÃO DE CARGA'!$A$2:$A$702,'LOCALIZAÇÃO DE CARGA'!$R$2:$R$702),
IF(_xlpm.res="","",SUBSTITUTE(_xlpm.res,"/BRASIL",""))
),
""
)</f>
        <v>UBERLANDIA/MG</v>
      </c>
    </row>
    <row r="129" spans="1:20">
      <c r="A129" s="14">
        <f t="shared" si="3"/>
        <v>46160</v>
      </c>
      <c r="B129" s="5">
        <v>6023438</v>
      </c>
      <c r="C129" s="45" t="str">
        <f t="shared" ca="1" si="4"/>
        <v>OK - NO PRAZO</v>
      </c>
      <c r="D129" s="28"/>
      <c r="E129" s="28" t="str">
        <f>IFERROR(
IF(
_xlfn.XLOOKUP(
B129,
'LOCALIZAÇÃO DE CARGA'!$A$2:$A$702,
'LOCALIZAÇÃO DE CARGA'!$D$2:$D$702
)="",
"",
_xlfn.XLOOKUP(
B129,
'LOCALIZAÇÃO DE CARGA'!$A$2:$A$702,
'LOCALIZAÇÃO DE CARGA'!$D$2:$D$702
)
),
""
)</f>
        <v/>
      </c>
      <c r="F129" s="13" t="str">
        <f>IFERROR(
IF(
_xlfn.XLOOKUP(
B129,
'LOCALIZAÇÃO DE CARGA'!$A$2:$A$702,
'LOCALIZAÇÃO DE CARGA'!$H$2:$H$702
)="",
"",
_xlfn.XLOOKUP(
B129,
'LOCALIZAÇÃO DE CARGA'!$A$2:$A$702,
'LOCALIZAÇÃO DE CARGA'!$H$2:$H$702
)
),
""
)</f>
        <v>FITA AZUL PE (FATELOG)</v>
      </c>
      <c r="G129" s="5" t="str">
        <f>IFERROR(
IF(
_xlfn.XLOOKUP(
B129,
'LOCALIZAÇÃO DE CARGA'!$A$2:$A$702,
'LOCALIZAÇÃO DE CARGA'!$I$2:$I$702
)="",
"",
_xlfn.XLOOKUP(
B129,
'LOCALIZAÇÃO DE CARGA'!$A$2:$A$702,
'LOCALIZAÇÃO DE CARGA'!$I$2:$I$702
)
),
""
)</f>
        <v>LGSCT</v>
      </c>
      <c r="H129" s="5" t="str">
        <f>IFERROR(
IF(
_xlfn.XLOOKUP(
B129,
'LOCALIZAÇÃO DE CARGA'!$A$2:$A$702,
'LOCALIZAÇÃO DE CARGA'!$F$2:$F$702
)="",
"",
_xlfn.XLOOKUP(
B129,
'LOCALIZAÇÃO DE CARGA'!$A$2:$A$702,
'LOCALIZAÇÃO DE CARGA'!$F$2:$F$702
)
),
""
)</f>
        <v>Não iniciado</v>
      </c>
      <c r="I129" s="13" t="str" cm="1">
        <f t="array" ref="I129">IFERROR(
IF(
INDEX(
'VISÃO LOGISTICA'!$C$2:$C$525,
MATCH(
TRUE,
ISNUMBER(FIND(B129,'VISÃO LOGISTICA'!$A$2:$A$525)),
0
)
)="Em espera",
"",
INDEX(
'VISÃO LOGISTICA'!$C$2:$C$525,
MATCH(
TRUE,
ISNUMBER(FIND(B129,'VISÃO LOGISTICA'!$A$2:$A$525)),
0
)
)
),
""
)</f>
        <v/>
      </c>
      <c r="J129" s="5" t="str" cm="1">
        <f t="array" ref="J129">IFERROR(
IF(
OR(
INDEX(
'VISÃO LOGISTICA'!$C$2:$C$2000,
MATCH(
TRUE,
ISNUMBER(FIND(B129,'VISÃO LOGISTICA'!$A$2:$A$2000)),
0
)
)="Em espera",
INDEX(
'VISÃO LOGISTICA'!$C$2:$C$2000,
MATCH(
TRUE,
ISNUMBER(FIND(B129,'VISÃO LOGISTICA'!$A$2:$A$2000)),
0
)
)=""
),
"",
INDEX(
'VISÃO LOGISTICA'!$D$2:$D$2000,
MATCH(
TRUE,
ISNUMBER(FIND(B129,'VISÃO LOGISTICA'!$A$2:$A$2000)),
0
)
)
),
""
)</f>
        <v/>
      </c>
      <c r="K129" s="10">
        <f>IFERROR(
IF(
_xlfn.XLOOKUP(
B129,
'LOCALIZAÇÃO DE CARGA'!$A$2:$A$702,
'LOCALIZAÇÃO DE CARGA'!$E$2:$E$702)="",
"",
_xlfn.XLOOKUP(
B129,
'LOCALIZAÇÃO DE CARGA'!$A$2:$A$702,
'LOCALIZAÇÃO DE CARGA'!$E$2:$E$702)
),
""
)</f>
        <v>46641.75</v>
      </c>
      <c r="L129" s="20" cm="1">
        <f t="array" ref="L129">IFERROR(
_xlfn.LET(
_xlpm.res,_xlfn.XLOOKUP(B129,'LOCALIZAÇÃO DE CARGA'!$A$2:$A$2000,'LOCALIZAÇÃO DE CARGA'!$G$2:$G$2000),
IF(_xlpm.res="","",_xlpm.res)
),
""
)</f>
        <v>46166.932638888888</v>
      </c>
      <c r="M129" s="20" cm="1">
        <f t="array" ref="M129">IFERROR(
_xlfn.LET(
_xlpm.load,_xlfn.XLOOKUP(B129,'LOCALIZAÇÃO DE CARGA'!$A$2:$A$2000,'LOCALIZAÇÃO DE CARGA'!$A$2:$A$2000),
_xlpm.res,_xlfn.XLOOKUP(_xlpm.load,DOCUMENTOS!$A$2:$A$2000,DOCUMENTOS!$D$2:$D$2000),
IF(_xlpm.res="","",_xlpm.res)
),
""
)</f>
        <v>46160.75</v>
      </c>
      <c r="N129" s="6">
        <f>IFERROR(IF(M129="","",M129-TIME(1,0,0)),"")</f>
        <v>46160.708333333336</v>
      </c>
      <c r="O129" s="6" cm="1">
        <f t="array" ref="O129">IFERROR(
_xlfn.LET(
_xlpm.res,_xlfn.XLOOKUP(B129,'LOCALIZAÇÃO DE CARGA'!$A$2:$A$2000,'LOCALIZAÇÃO DE CARGA'!$S$2:$S$2000),
IF(_xlpm.res="","",_xlpm.res)
),
""
)</f>
        <v>46167.375</v>
      </c>
      <c r="P129" s="6" t="str" cm="1">
        <f t="array" ref="P129">IFERROR(
_xlfn.LET(
_xlpm.res,_xlfn.XLOOKUP(B129,'LOCALIZAÇÃO DE CARGA'!$A$2:$A$702,'LOCALIZAÇÃO DE CARGA'!$T$2:$T$702),
IF(_xlpm.res="","",_xlpm.res)
),
""
)</f>
        <v/>
      </c>
      <c r="Q129" s="5" t="str">
        <f>IFERROR(
IF(
_xlfn.XLOOKUP(
B129,
'LOCALIZAÇÃO DE CARGA'!$A$2:$A$702,
'LOCALIZAÇÃO DE CARGA'!$K$2:$K$702
)="",
"",
_xlfn.XLOOKUP(
B129,
'LOCALIZAÇÃO DE CARGA'!$A$2:$A$702,
'LOCALIZAÇÃO DE CARGA'!$K$2:$K$702
)
),
""
)</f>
        <v>BASE FATELOG - CAJAMAR</v>
      </c>
      <c r="R129" s="5" t="str">
        <f t="shared" si="5"/>
        <v>BASE FATELOG</v>
      </c>
      <c r="S129" s="5" t="str" cm="1">
        <f t="array" ref="S129">IF(B129="","",IFERROR(
INDEX(
'VISÃO LOGISTICA'!$L$2:$L$525,
MATCH(
TRUE,
ISNUMBER(FIND(B129,'VISÃO LOGISTICA'!$A$2:$A$525)),
0
)
),
""
))</f>
        <v/>
      </c>
      <c r="T129" s="5" t="str" cm="1">
        <f t="array" ref="T129">IFERROR(
_xlfn.LET(
_xlpm.res,_xlfn.XLOOKUP(B129,'LOCALIZAÇÃO DE CARGA'!$A$2:$A$702,'LOCALIZAÇÃO DE CARGA'!$R$2:$R$702),
IF(_xlpm.res="","",SUBSTITUTE(_xlpm.res,"/BRASIL",""))
),
""
)</f>
        <v>CAJAMAR/SP</v>
      </c>
    </row>
    <row r="130" spans="1:20">
      <c r="A130" s="14">
        <f t="shared" si="3"/>
        <v>46160</v>
      </c>
      <c r="B130" s="5">
        <v>6020569</v>
      </c>
      <c r="C130" s="45" t="str">
        <f t="shared" ca="1" si="4"/>
        <v>OK - NO PRAZO</v>
      </c>
      <c r="D130" s="28"/>
      <c r="E130" s="28" t="str">
        <f>IFERROR(
IF(
_xlfn.XLOOKUP(
B130,
'LOCALIZAÇÃO DE CARGA'!$A$2:$A$702,
'LOCALIZAÇÃO DE CARGA'!$D$2:$D$702
)="",
"",
_xlfn.XLOOKUP(
B130,
'LOCALIZAÇÃO DE CARGA'!$A$2:$A$702,
'LOCALIZAÇÃO DE CARGA'!$D$2:$D$702
)
),
""
)</f>
        <v/>
      </c>
      <c r="F130" s="13" t="str">
        <f>IFERROR(
IF(
_xlfn.XLOOKUP(
B130,
'LOCALIZAÇÃO DE CARGA'!$A$2:$A$702,
'LOCALIZAÇÃO DE CARGA'!$H$2:$H$702
)="",
"",
_xlfn.XLOOKUP(
B130,
'LOCALIZAÇÃO DE CARGA'!$A$2:$A$702,
'LOCALIZAÇÃO DE CARGA'!$H$2:$H$702
)
),
""
)</f>
        <v>FITA AZUL PE (FATELOG)</v>
      </c>
      <c r="G130" s="5" t="str">
        <f>IFERROR(
IF(
_xlfn.XLOOKUP(
B130,
'LOCALIZAÇÃO DE CARGA'!$A$2:$A$702,
'LOCALIZAÇÃO DE CARGA'!$I$2:$I$702
)="",
"",
_xlfn.XLOOKUP(
B130,
'LOCALIZAÇÃO DE CARGA'!$A$2:$A$702,
'LOCALIZAÇÃO DE CARGA'!$I$2:$I$702
)
),
""
)</f>
        <v>LGCAJ</v>
      </c>
      <c r="H130" s="5" t="str">
        <f>IFERROR(
IF(
_xlfn.XLOOKUP(
B130,
'LOCALIZAÇÃO DE CARGA'!$A$2:$A$702,
'LOCALIZAÇÃO DE CARGA'!$F$2:$F$702
)="",
"",
_xlfn.XLOOKUP(
B130,
'LOCALIZAÇÃO DE CARGA'!$A$2:$A$702,
'LOCALIZAÇÃO DE CARGA'!$F$2:$F$702
)
),
""
)</f>
        <v>Não iniciado</v>
      </c>
      <c r="I130" s="13" t="str" cm="1">
        <f t="array" ref="I130">IFERROR(
IF(
INDEX(
'VISÃO LOGISTICA'!$C$2:$C$525,
MATCH(
TRUE,
ISNUMBER(FIND(B130,'VISÃO LOGISTICA'!$A$2:$A$525)),
0
)
)="Em espera",
"",
INDEX(
'VISÃO LOGISTICA'!$C$2:$C$525,
MATCH(
TRUE,
ISNUMBER(FIND(B130,'VISÃO LOGISTICA'!$A$2:$A$525)),
0
)
)
),
""
)</f>
        <v/>
      </c>
      <c r="J130" s="5" t="str" cm="1">
        <f t="array" ref="J130">IFERROR(
IF(
OR(
INDEX(
'VISÃO LOGISTICA'!$C$2:$C$2000,
MATCH(
TRUE,
ISNUMBER(FIND(B130,'VISÃO LOGISTICA'!$A$2:$A$2000)),
0
)
)="Em espera",
INDEX(
'VISÃO LOGISTICA'!$C$2:$C$2000,
MATCH(
TRUE,
ISNUMBER(FIND(B130,'VISÃO LOGISTICA'!$A$2:$A$2000)),
0
)
)=""
),
"",
INDEX(
'VISÃO LOGISTICA'!$D$2:$D$2000,
MATCH(
TRUE,
ISNUMBER(FIND(B130,'VISÃO LOGISTICA'!$A$2:$A$2000)),
0
)
)
),
""
)</f>
        <v/>
      </c>
      <c r="K130" s="10">
        <f>IFERROR(
IF(
_xlfn.XLOOKUP(
B130,
'LOCALIZAÇÃO DE CARGA'!$A$2:$A$702,
'LOCALIZAÇÃO DE CARGA'!$E$2:$E$702)="",
"",
_xlfn.XLOOKUP(
B130,
'LOCALIZAÇÃO DE CARGA'!$A$2:$A$702,
'LOCALIZAÇÃO DE CARGA'!$E$2:$E$702)
),
""
)</f>
        <v>44611.29</v>
      </c>
      <c r="L130" s="20" cm="1">
        <f t="array" ref="L130">IFERROR(
_xlfn.LET(
_xlpm.res,_xlfn.XLOOKUP(B130,'LOCALIZAÇÃO DE CARGA'!$A$2:$A$2000,'LOCALIZAÇÃO DE CARGA'!$G$2:$G$2000),
IF(_xlpm.res="","",_xlpm.res)
),
""
)</f>
        <v>46164.229166666664</v>
      </c>
      <c r="M130" s="20" cm="1">
        <f t="array" ref="M130">IFERROR(
_xlfn.LET(
_xlpm.load,_xlfn.XLOOKUP(B130,'LOCALIZAÇÃO DE CARGA'!$A$2:$A$2000,'LOCALIZAÇÃO DE CARGA'!$A$2:$A$2000),
_xlpm.res,_xlfn.XLOOKUP(_xlpm.load,DOCUMENTOS!$A$2:$A$2000,DOCUMENTOS!$D$2:$D$2000),
IF(_xlpm.res="","",_xlpm.res)
),
""
)</f>
        <v>46160.375</v>
      </c>
      <c r="N130" s="6">
        <f>IFERROR(IF(M130="","",M130-TIME(1,0,0)),"")</f>
        <v>46160.333333333336</v>
      </c>
      <c r="O130" s="6" cm="1">
        <f t="array" ref="O130">IFERROR(
_xlfn.LET(
_xlpm.res,_xlfn.XLOOKUP(B130,'LOCALIZAÇÃO DE CARGA'!$A$2:$A$2000,'LOCALIZAÇÃO DE CARGA'!$S$2:$S$2000),
IF(_xlpm.res="","",_xlpm.res)
),
""
)</f>
        <v>46164.291666666664</v>
      </c>
      <c r="P130" s="6" t="str" cm="1">
        <f t="array" ref="P130">IFERROR(
_xlfn.LET(
_xlpm.res,_xlfn.XLOOKUP(B130,'LOCALIZAÇÃO DE CARGA'!$A$2:$A$702,'LOCALIZAÇÃO DE CARGA'!$T$2:$T$702),
IF(_xlpm.res="","",_xlpm.res)
),
""
)</f>
        <v/>
      </c>
      <c r="Q130" s="5" t="str">
        <f>IFERROR(
IF(
_xlfn.XLOOKUP(
B130,
'LOCALIZAÇÃO DE CARGA'!$A$2:$A$702,
'LOCALIZAÇÃO DE CARGA'!$K$2:$K$702
)="",
"",
_xlfn.XLOOKUP(
B130,
'LOCALIZAÇÃO DE CARGA'!$A$2:$A$702,
'LOCALIZAÇÃO DE CARGA'!$K$2:$K$702
)
),
""
)</f>
        <v>BASE FATELOG - CAJAMAR</v>
      </c>
      <c r="R130" s="5" t="str">
        <f t="shared" si="5"/>
        <v>BASE FATELOG</v>
      </c>
      <c r="S130" s="5" t="str" cm="1">
        <f t="array" ref="S130">IF(B130="","",IFERROR(
INDEX(
'VISÃO LOGISTICA'!$L$2:$L$525,
MATCH(
TRUE,
ISNUMBER(FIND(B130,'VISÃO LOGISTICA'!$A$2:$A$525)),
0
)
),
""
))</f>
        <v/>
      </c>
      <c r="T130" s="5" t="str" cm="1">
        <f t="array" ref="T130">IFERROR(
_xlfn.LET(
_xlpm.res,_xlfn.XLOOKUP(B130,'LOCALIZAÇÃO DE CARGA'!$A$2:$A$702,'LOCALIZAÇÃO DE CARGA'!$R$2:$R$702),
IF(_xlpm.res="","",SUBSTITUTE(_xlpm.res,"/BRASIL",""))
),
""
)</f>
        <v>CAJAMAR/SP</v>
      </c>
    </row>
    <row r="131" spans="1:20">
      <c r="A131" s="14">
        <f t="shared" si="3"/>
        <v>46157</v>
      </c>
      <c r="B131" s="5">
        <v>6022202</v>
      </c>
      <c r="C131" s="45" t="str">
        <f t="shared" ca="1" si="4"/>
        <v>EM VIAGEM</v>
      </c>
      <c r="D131" s="28"/>
      <c r="E131" s="28" t="str">
        <f>IFERROR(
IF(
_xlfn.XLOOKUP(
B131,
'LOCALIZAÇÃO DE CARGA'!$A$2:$A$702,
'LOCALIZAÇÃO DE CARGA'!$D$2:$D$702
)="",
"",
_xlfn.XLOOKUP(
B131,
'LOCALIZAÇÃO DE CARGA'!$A$2:$A$702,
'LOCALIZAÇÃO DE CARGA'!$D$2:$D$702
)
),
""
)</f>
        <v/>
      </c>
      <c r="F131" s="13" t="str">
        <f>IFERROR(
IF(
_xlfn.XLOOKUP(
B131,
'LOCALIZAÇÃO DE CARGA'!$A$2:$A$702,
'LOCALIZAÇÃO DE CARGA'!$H$2:$H$702
)="",
"",
_xlfn.XLOOKUP(
B131,
'LOCALIZAÇÃO DE CARGA'!$A$2:$A$702,
'LOCALIZAÇÃO DE CARGA'!$H$2:$H$702
)
),
""
)</f>
        <v>MINAS SUL</v>
      </c>
      <c r="G131" s="5" t="str">
        <f>IFERROR(
IF(
_xlfn.XLOOKUP(
B131,
'LOCALIZAÇÃO DE CARGA'!$A$2:$A$702,
'LOCALIZAÇÃO DE CARGA'!$I$2:$I$702
)="",
"",
_xlfn.XLOOKUP(
B131,
'LOCALIZAÇÃO DE CARGA'!$A$2:$A$702,
'LOCALIZAÇÃO DE CARGA'!$I$2:$I$702
)
),
""
)</f>
        <v>LGSCT</v>
      </c>
      <c r="H131" s="5" t="str">
        <f>IFERROR(
IF(
_xlfn.XLOOKUP(
B131,
'LOCALIZAÇÃO DE CARGA'!$A$2:$A$702,
'LOCALIZAÇÃO DE CARGA'!$F$2:$F$702
)="",
"",
_xlfn.XLOOKUP(
B131,
'LOCALIZAÇÃO DE CARGA'!$A$2:$A$702,
'LOCALIZAÇÃO DE CARGA'!$F$2:$F$702
)
),
""
)</f>
        <v>Andamento</v>
      </c>
      <c r="I131" s="13" t="str" cm="1">
        <f t="array" ref="I131">IFERROR(
IF(
INDEX(
'VISÃO LOGISTICA'!$C$2:$C$525,
MATCH(
TRUE,
ISNUMBER(FIND(B131,'VISÃO LOGISTICA'!$A$2:$A$525)),
0
)
)="Em espera",
"",
INDEX(
'VISÃO LOGISTICA'!$C$2:$C$525,
MATCH(
TRUE,
ISNUMBER(FIND(B131,'VISÃO LOGISTICA'!$A$2:$A$525)),
0
)
)
),
""
)</f>
        <v>Em Viagem</v>
      </c>
      <c r="J131" s="5" t="str" cm="1">
        <f t="array" ref="J131">IFERROR(
IF(
OR(
INDEX(
'VISÃO LOGISTICA'!$C$2:$C$2000,
MATCH(
TRUE,
ISNUMBER(FIND(B131,'VISÃO LOGISTICA'!$A$2:$A$2000)),
0
)
)="Em espera",
INDEX(
'VISÃO LOGISTICA'!$C$2:$C$2000,
MATCH(
TRUE,
ISNUMBER(FIND(B131,'VISÃO LOGISTICA'!$A$2:$A$2000)),
0
)
)=""
),
"",
INDEX(
'VISÃO LOGISTICA'!$D$2:$D$2000,
MATCH(
TRUE,
ISNUMBER(FIND(B131,'VISÃO LOGISTICA'!$A$2:$A$2000)),
0
)
)
),
""
)</f>
        <v>DBL1A19</v>
      </c>
      <c r="K131" s="10">
        <f>IFERROR(
IF(
_xlfn.XLOOKUP(
B131,
'LOCALIZAÇÃO DE CARGA'!$A$2:$A$702,
'LOCALIZAÇÃO DE CARGA'!$E$2:$E$702)="",
"",
_xlfn.XLOOKUP(
B131,
'LOCALIZAÇÃO DE CARGA'!$A$2:$A$702,
'LOCALIZAÇÃO DE CARGA'!$E$2:$E$702)
),
""
)</f>
        <v>42319.39</v>
      </c>
      <c r="L131" s="20" cm="1">
        <f t="array" ref="L131">IFERROR(
_xlfn.LET(
_xlpm.res,_xlfn.XLOOKUP(B131,'LOCALIZAÇÃO DE CARGA'!$A$2:$A$2000,'LOCALIZAÇÃO DE CARGA'!$G$2:$G$2000),
IF(_xlpm.res="","",_xlpm.res)
),
""
)</f>
        <v>46157.25</v>
      </c>
      <c r="M131" s="20" cm="1">
        <f t="array" ref="M131">IFERROR(
_xlfn.LET(
_xlpm.load,_xlfn.XLOOKUP(B131,'LOCALIZAÇÃO DE CARGA'!$A$2:$A$2000,'LOCALIZAÇÃO DE CARGA'!$A$2:$A$2000),
_xlpm.res,_xlfn.XLOOKUP(_xlpm.load,DOCUMENTOS!$A$2:$A$2000,DOCUMENTOS!$D$2:$D$2000),
IF(_xlpm.res="","",_xlpm.res)
),
""
)</f>
        <v>46157.25</v>
      </c>
      <c r="N131" s="6">
        <f>IFERROR(IF(M131="","",M131-TIME(1,0,0)),"")</f>
        <v>46157.208333333336</v>
      </c>
      <c r="O131" s="6" cm="1">
        <f t="array" ref="O131">IFERROR(
_xlfn.LET(
_xlpm.res,_xlfn.XLOOKUP(B131,'LOCALIZAÇÃO DE CARGA'!$A$2:$A$2000,'LOCALIZAÇÃO DE CARGA'!$S$2:$S$2000),
IF(_xlpm.res="","",_xlpm.res)
),
""
)</f>
        <v>46160.958333333336</v>
      </c>
      <c r="P131" s="6" cm="1">
        <f t="array" ref="P131">IFERROR(
_xlfn.LET(
_xlpm.res,_xlfn.XLOOKUP(B131,'LOCALIZAÇÃO DE CARGA'!$A$2:$A$702,'LOCALIZAÇÃO DE CARGA'!$T$2:$T$702),
IF(_xlpm.res="","",_xlpm.res)
),
""
)</f>
        <v>46158.752083333333</v>
      </c>
      <c r="Q131" s="5" t="str">
        <f>IFERROR(
IF(
_xlfn.XLOOKUP(
B131,
'LOCALIZAÇÃO DE CARGA'!$A$2:$A$702,
'LOCALIZAÇÃO DE CARGA'!$K$2:$K$702
)="",
"",
_xlfn.XLOOKUP(
B131,
'LOCALIZAÇÃO DE CARGA'!$A$2:$A$702,
'LOCALIZAÇÃO DE CARGA'!$K$2:$K$702
)
),
""
)</f>
        <v>GRUPO CASAS BAHIA S.A(CD1200) - 13203850</v>
      </c>
      <c r="R131" s="5" t="str">
        <f t="shared" si="5"/>
        <v>GRUPO CASAS BAHIA S.A</v>
      </c>
      <c r="S131" s="5" t="str" cm="1">
        <f t="array" ref="S131">IF(B131="","",IFERROR(
INDEX(
'VISÃO LOGISTICA'!$L$2:$L$525,
MATCH(
TRUE,
ISNUMBER(FIND(B131,'VISÃO LOGISTICA'!$A$2:$A$525)),
0
)
),
""
))</f>
        <v>RODOVIA PR 25, SAO JOSE DOS PINHAIS/PR/BRASIL (14,2 Km)</v>
      </c>
      <c r="T131" s="5" t="str" cm="1">
        <f t="array" ref="T131">IFERROR(
_xlfn.LET(
_xlpm.res,_xlfn.XLOOKUP(B131,'LOCALIZAÇÃO DE CARGA'!$A$2:$A$702,'LOCALIZAÇÃO DE CARGA'!$R$2:$R$702),
IF(_xlpm.res="","",SUBSTITUTE(_xlpm.res,"/BRASIL",""))
),
""
)</f>
        <v>JUNDIAI/SP</v>
      </c>
    </row>
    <row r="132" spans="1:20">
      <c r="A132" s="14">
        <f t="shared" si="3"/>
        <v>46160</v>
      </c>
      <c r="B132" s="5">
        <v>6022172</v>
      </c>
      <c r="C132" s="45" t="str">
        <f t="shared" ca="1" si="4"/>
        <v>OK - NO PRAZO</v>
      </c>
      <c r="D132" s="28"/>
      <c r="E132" s="28" t="str">
        <f>IFERROR(
IF(
_xlfn.XLOOKUP(
B132,
'LOCALIZAÇÃO DE CARGA'!$A$2:$A$702,
'LOCALIZAÇÃO DE CARGA'!$D$2:$D$702
)="",
"",
_xlfn.XLOOKUP(
B132,
'LOCALIZAÇÃO DE CARGA'!$A$2:$A$702,
'LOCALIZAÇÃO DE CARGA'!$D$2:$D$702
)
),
""
)</f>
        <v/>
      </c>
      <c r="F132" s="13" t="str">
        <f>IFERROR(
IF(
_xlfn.XLOOKUP(
B132,
'LOCALIZAÇÃO DE CARGA'!$A$2:$A$702,
'LOCALIZAÇÃO DE CARGA'!$H$2:$H$702
)="",
"",
_xlfn.XLOOKUP(
B132,
'LOCALIZAÇÃO DE CARGA'!$A$2:$A$702,
'LOCALIZAÇÃO DE CARGA'!$H$2:$H$702
)
),
""
)</f>
        <v>FITA AZUL PE (FATELOG)</v>
      </c>
      <c r="G132" s="5" t="str">
        <f>IFERROR(
IF(
_xlfn.XLOOKUP(
B132,
'LOCALIZAÇÃO DE CARGA'!$A$2:$A$702,
'LOCALIZAÇÃO DE CARGA'!$I$2:$I$702
)="",
"",
_xlfn.XLOOKUP(
B132,
'LOCALIZAÇÃO DE CARGA'!$A$2:$A$702,
'LOCALIZAÇÃO DE CARGA'!$I$2:$I$702
)
),
""
)</f>
        <v>LGSCT</v>
      </c>
      <c r="H132" s="5" t="str">
        <f>IFERROR(
IF(
_xlfn.XLOOKUP(
B132,
'LOCALIZAÇÃO DE CARGA'!$A$2:$A$702,
'LOCALIZAÇÃO DE CARGA'!$F$2:$F$702
)="",
"",
_xlfn.XLOOKUP(
B132,
'LOCALIZAÇÃO DE CARGA'!$A$2:$A$702,
'LOCALIZAÇÃO DE CARGA'!$F$2:$F$702
)
),
""
)</f>
        <v>Não iniciado</v>
      </c>
      <c r="I132" s="13" t="str" cm="1">
        <f t="array" ref="I132">IFERROR(
IF(
INDEX(
'VISÃO LOGISTICA'!$C$2:$C$525,
MATCH(
TRUE,
ISNUMBER(FIND(B132,'VISÃO LOGISTICA'!$A$2:$A$525)),
0
)
)="Em espera",
"",
INDEX(
'VISÃO LOGISTICA'!$C$2:$C$525,
MATCH(
TRUE,
ISNUMBER(FIND(B132,'VISÃO LOGISTICA'!$A$2:$A$525)),
0
)
)
),
""
)</f>
        <v/>
      </c>
      <c r="J132" s="5" t="str" cm="1">
        <f t="array" ref="J132">IFERROR(
IF(
OR(
INDEX(
'VISÃO LOGISTICA'!$C$2:$C$2000,
MATCH(
TRUE,
ISNUMBER(FIND(B132,'VISÃO LOGISTICA'!$A$2:$A$2000)),
0
)
)="Em espera",
INDEX(
'VISÃO LOGISTICA'!$C$2:$C$2000,
MATCH(
TRUE,
ISNUMBER(FIND(B132,'VISÃO LOGISTICA'!$A$2:$A$2000)),
0
)
)=""
),
"",
INDEX(
'VISÃO LOGISTICA'!$D$2:$D$2000,
MATCH(
TRUE,
ISNUMBER(FIND(B132,'VISÃO LOGISTICA'!$A$2:$A$2000)),
0
)
)
),
""
)</f>
        <v/>
      </c>
      <c r="K132" s="10">
        <f>IFERROR(
IF(
_xlfn.XLOOKUP(
B132,
'LOCALIZAÇÃO DE CARGA'!$A$2:$A$702,
'LOCALIZAÇÃO DE CARGA'!$E$2:$E$702)="",
"",
_xlfn.XLOOKUP(
B132,
'LOCALIZAÇÃO DE CARGA'!$A$2:$A$702,
'LOCALIZAÇÃO DE CARGA'!$E$2:$E$702)
),
""
)</f>
        <v>40878.199999999997</v>
      </c>
      <c r="L132" s="20" cm="1">
        <f t="array" ref="L132">IFERROR(
_xlfn.LET(
_xlpm.res,_xlfn.XLOOKUP(B132,'LOCALIZAÇÃO DE CARGA'!$A$2:$A$2000,'LOCALIZAÇÃO DE CARGA'!$G$2:$G$2000),
IF(_xlpm.res="","",_xlpm.res)
),
""
)</f>
        <v>46173.807638888888</v>
      </c>
      <c r="M132" s="20" cm="1">
        <f t="array" ref="M132">IFERROR(
_xlfn.LET(
_xlpm.load,_xlfn.XLOOKUP(B132,'LOCALIZAÇÃO DE CARGA'!$A$2:$A$2000,'LOCALIZAÇÃO DE CARGA'!$A$2:$A$2000),
_xlpm.res,_xlfn.XLOOKUP(_xlpm.load,DOCUMENTOS!$A$2:$A$2000,DOCUMENTOS!$D$2:$D$2000),
IF(_xlpm.res="","",_xlpm.res)
),
""
)</f>
        <v>46160.75</v>
      </c>
      <c r="N132" s="6">
        <f>IFERROR(IF(M132="","",M132-TIME(1,0,0)),"")</f>
        <v>46160.708333333336</v>
      </c>
      <c r="O132" s="6" cm="1">
        <f t="array" ref="O132">IFERROR(
_xlfn.LET(
_xlpm.res,_xlfn.XLOOKUP(B132,'LOCALIZAÇÃO DE CARGA'!$A$2:$A$2000,'LOCALIZAÇÃO DE CARGA'!$S$2:$S$2000),
IF(_xlpm.res="","",_xlpm.res)
),
""
)</f>
        <v>46174.25</v>
      </c>
      <c r="P132" s="6" t="str" cm="1">
        <f t="array" ref="P132">IFERROR(
_xlfn.LET(
_xlpm.res,_xlfn.XLOOKUP(B132,'LOCALIZAÇÃO DE CARGA'!$A$2:$A$702,'LOCALIZAÇÃO DE CARGA'!$T$2:$T$702),
IF(_xlpm.res="","",_xlpm.res)
),
""
)</f>
        <v/>
      </c>
      <c r="Q132" s="5" t="str">
        <f>IFERROR(
IF(
_xlfn.XLOOKUP(
B132,
'LOCALIZAÇÃO DE CARGA'!$A$2:$A$702,
'LOCALIZAÇÃO DE CARGA'!$K$2:$K$702
)="",
"",
_xlfn.XLOOKUP(
B132,
'LOCALIZAÇÃO DE CARGA'!$A$2:$A$702,
'LOCALIZAÇÃO DE CARGA'!$K$2:$K$702
)
),
""
)</f>
        <v>BASE FATELOG - CAJAMAR</v>
      </c>
      <c r="R132" s="5" t="str">
        <f t="shared" si="5"/>
        <v>BASE FATELOG</v>
      </c>
      <c r="S132" s="5" t="str" cm="1">
        <f t="array" ref="S132">IF(B132="","",IFERROR(
INDEX(
'VISÃO LOGISTICA'!$L$2:$L$525,
MATCH(
TRUE,
ISNUMBER(FIND(B132,'VISÃO LOGISTICA'!$A$2:$A$525)),
0
)
),
""
))</f>
        <v/>
      </c>
      <c r="T132" s="5" t="str" cm="1">
        <f t="array" ref="T132">IFERROR(
_xlfn.LET(
_xlpm.res,_xlfn.XLOOKUP(B132,'LOCALIZAÇÃO DE CARGA'!$A$2:$A$702,'LOCALIZAÇÃO DE CARGA'!$R$2:$R$702),
IF(_xlpm.res="","",SUBSTITUTE(_xlpm.res,"/BRASIL",""))
),
""
)</f>
        <v>CAJAMAR/SP</v>
      </c>
    </row>
    <row r="133" spans="1:20">
      <c r="A133" s="14">
        <f t="shared" ref="A133:A196" si="6">IF(M133="","",INT(M133))</f>
        <v>46157</v>
      </c>
      <c r="B133" s="5">
        <v>6022181</v>
      </c>
      <c r="C133" s="45" t="str">
        <f t="shared" ref="C133:C196" ca="1" si="7">IFERROR(
IF(B133="","",
IF(I133="Encerrada",
"VERIFICAR SMP EM ANDAMENTO",
IF(VALUE(SUBSTITUTE(K133,".",""))&lt;100000,
"DESCONSIDERA, VALOR NÃO RASTREADO",
IF(AND(I133="EM VIAGEM",ISNUMBER(FIND("CAJAMAR/SP",S133))),
IF(E133="Patio",
"NA PENSKE - COM SMP - AGUARDANDO CARREGAMENTO",
"NA PENSKE - COM SMP - AGUARDANDO SAÍDA"),
IF(AND(I133="Pré-SMP",ISNUMBER(FIND("CAJAMAR/SP",S133))),
IF(E133="Patio",
"NA PENSKE - PRÉ-SMP - AGUARDANDO CARREGAMENTO",
"NA PENSKE - PRÉ-SMP - AGUARDANDO SAÍDA"),
IF(AND(I133="EM VIAGEM",ISNUMBER(FIND("ITAPOA/SC",S133))),
"NA CLIF - COM SMP - AGUARDANDO SAÍDA",
IF(AND(I133="Pré-SMP",ISNUMBER(FIND("ITAPOA/SC",S133))),
"NA CLIF - PRÉ-SMP - AGUARDANDO SAÍDA",
IF(I133="EM VIAGEM",
"EM VIAGEM",
IF(OR(L133="",N133=""),
IF(I133="EM VIAGEM","SEM PREVISAO - COM SMP",
IF(I133="Pré-SMP","SEM PREVISAO - PRÉ-SMP",
"SEM PREVISAO - SEM SMP")),
IF(M133&gt;L133,
IF(NOW()&gt;N133,
IF(E133="Finalizado",
IF(I133="EM VIAGEM","CARREGADO - COM SMP",
IF(I133="Pré-SMP","CARREGADO - PRÉ-SMP",
"CARREGADO - SEM SMP")),
IF(I133="EM VIAGEM","ATRASADO CARREGAMENTO - COM SMP - VERIFICAR AGENDAMENTO",
IF(I133="Pré-SMP","ATRASADO CARREGAMENTO - PRÉ-SMP - VERIFICAR AGENDAMENTO",
"ATRASADO CARREGAMENTO - SEM SMP - VERIFICAR AGENDAMENTO"))),
IF(NOW()&gt;L133,
IF(I133="EM VIAGEM","ATRASADO ENTREGA - COM SMP - VERIFICAR AGENDAMENTO",
IF(I133="Pré-SMP","ATRASADO ENTREGA - PRÉ-SMP - VERIFICAR AGENDAMENTO",
"ATRASADO ENTREGA - SEM SMP - VERIFICAR AGENDAMENTO")),
"OK NO PRAZO - VERIFICAR AGENDAMENTO")),
IF(NOW()&gt;L133,
IF(I133="EM VIAGEM","ATRASADO ENTREGA - COM SMP",
IF(I133="Pré-SMP","ATRASADO ENTREGA - PRÉ-SMP",
"ATRASADO ENTREGA - SEM SMP")),
IF(NOW()&gt;N133,
IF(E133="Finalizado",
IF(I133="EM VIAGEM","CARREGADO - COM SMP",
IF(I133="Pré-SMP","CARREGADO - PRÉ-SMP",
"CARREGADO - SEM SMP")),
IF(I133="EM VIAGEM","ATRASADO CARREGAMENTO - COM SMP",
IF(I133="Pré-SMP","ATRASADO CARREGAMENTO - PRÉ-SMP",
"ATRASADO CARREGAMENTO - SEM SMP"))),
IF(L133-NOW()&lt;=1,
"ATENCAO - PROXIMO",
"OK - NO PRAZO"
))))))))))))),"")</f>
        <v>ATRASADO CARREGAMENTO - SEM SMP</v>
      </c>
      <c r="D133" s="28"/>
      <c r="E133" s="28" t="str">
        <f>IFERROR(
IF(
_xlfn.XLOOKUP(
B133,
'LOCALIZAÇÃO DE CARGA'!$A$2:$A$702,
'LOCALIZAÇÃO DE CARGA'!$D$2:$D$702
)="",
"",
_xlfn.XLOOKUP(
B133,
'LOCALIZAÇÃO DE CARGA'!$A$2:$A$702,
'LOCALIZAÇÃO DE CARGA'!$D$2:$D$702
)
),
""
)</f>
        <v/>
      </c>
      <c r="F133" s="13" t="str">
        <f>IFERROR(
IF(
_xlfn.XLOOKUP(
B133,
'LOCALIZAÇÃO DE CARGA'!$A$2:$A$702,
'LOCALIZAÇÃO DE CARGA'!$H$2:$H$702
)="",
"",
_xlfn.XLOOKUP(
B133,
'LOCALIZAÇÃO DE CARGA'!$A$2:$A$702,
'LOCALIZAÇÃO DE CARGA'!$H$2:$H$702
)
),
""
)</f>
        <v>FITA AZUL PE (FATELOG)</v>
      </c>
      <c r="G133" s="5" t="str">
        <f>IFERROR(
IF(
_xlfn.XLOOKUP(
B133,
'LOCALIZAÇÃO DE CARGA'!$A$2:$A$702,
'LOCALIZAÇÃO DE CARGA'!$I$2:$I$702
)="",
"",
_xlfn.XLOOKUP(
B133,
'LOCALIZAÇÃO DE CARGA'!$A$2:$A$702,
'LOCALIZAÇÃO DE CARGA'!$I$2:$I$702
)
),
""
)</f>
        <v>LGSCT</v>
      </c>
      <c r="H133" s="5" t="str">
        <f>IFERROR(
IF(
_xlfn.XLOOKUP(
B133,
'LOCALIZAÇÃO DE CARGA'!$A$2:$A$702,
'LOCALIZAÇÃO DE CARGA'!$F$2:$F$702
)="",
"",
_xlfn.XLOOKUP(
B133,
'LOCALIZAÇÃO DE CARGA'!$A$2:$A$702,
'LOCALIZAÇÃO DE CARGA'!$F$2:$F$702
)
),
""
)</f>
        <v>Andamento</v>
      </c>
      <c r="I133" s="13" t="str" cm="1">
        <f t="array" ref="I133">IFERROR(
IF(
INDEX(
'VISÃO LOGISTICA'!$C$2:$C$525,
MATCH(
TRUE,
ISNUMBER(FIND(B133,'VISÃO LOGISTICA'!$A$2:$A$525)),
0
)
)="Em espera",
"",
INDEX(
'VISÃO LOGISTICA'!$C$2:$C$525,
MATCH(
TRUE,
ISNUMBER(FIND(B133,'VISÃO LOGISTICA'!$A$2:$A$525)),
0
)
)
),
""
)</f>
        <v/>
      </c>
      <c r="J133" s="5" t="str" cm="1">
        <f t="array" ref="J133">IFERROR(
IF(
OR(
INDEX(
'VISÃO LOGISTICA'!$C$2:$C$2000,
MATCH(
TRUE,
ISNUMBER(FIND(B133,'VISÃO LOGISTICA'!$A$2:$A$2000)),
0
)
)="Em espera",
INDEX(
'VISÃO LOGISTICA'!$C$2:$C$2000,
MATCH(
TRUE,
ISNUMBER(FIND(B133,'VISÃO LOGISTICA'!$A$2:$A$2000)),
0
)
)=""
),
"",
INDEX(
'VISÃO LOGISTICA'!$D$2:$D$2000,
MATCH(
TRUE,
ISNUMBER(FIND(B133,'VISÃO LOGISTICA'!$A$2:$A$2000)),
0
)
)
),
""
)</f>
        <v/>
      </c>
      <c r="K133" s="10">
        <f>IFERROR(
IF(
_xlfn.XLOOKUP(
B133,
'LOCALIZAÇÃO DE CARGA'!$A$2:$A$702,
'LOCALIZAÇÃO DE CARGA'!$E$2:$E$702)="",
"",
_xlfn.XLOOKUP(
B133,
'LOCALIZAÇÃO DE CARGA'!$A$2:$A$702,
'LOCALIZAÇÃO DE CARGA'!$E$2:$E$702)
),
""
)</f>
        <v>40661.9</v>
      </c>
      <c r="L133" s="20" cm="1">
        <f t="array" ref="L133">IFERROR(
_xlfn.LET(
_xlpm.res,_xlfn.XLOOKUP(B133,'LOCALIZAÇÃO DE CARGA'!$A$2:$A$2000,'LOCALIZAÇÃO DE CARGA'!$G$2:$G$2000),
IF(_xlpm.res="","",_xlpm.res)
),
""
)</f>
        <v>46167.679166666669</v>
      </c>
      <c r="M133" s="20" cm="1">
        <f t="array" ref="M133">IFERROR(
_xlfn.LET(
_xlpm.load,_xlfn.XLOOKUP(B133,'LOCALIZAÇÃO DE CARGA'!$A$2:$A$2000,'LOCALIZAÇÃO DE CARGA'!$A$2:$A$2000),
_xlpm.res,_xlfn.XLOOKUP(_xlpm.load,DOCUMENTOS!$A$2:$A$2000,DOCUMENTOS!$D$2:$D$2000),
IF(_xlpm.res="","",_xlpm.res)
),
""
)</f>
        <v>46157.75</v>
      </c>
      <c r="N133" s="6">
        <f>IFERROR(IF(M133="","",M133-TIME(1,0,0)),"")</f>
        <v>46157.708333333336</v>
      </c>
      <c r="O133" s="6" cm="1">
        <f t="array" ref="O133">IFERROR(
_xlfn.LET(
_xlpm.res,_xlfn.XLOOKUP(B133,'LOCALIZAÇÃO DE CARGA'!$A$2:$A$2000,'LOCALIZAÇÃO DE CARGA'!$S$2:$S$2000),
IF(_xlpm.res="","",_xlpm.res)
),
""
)</f>
        <v>46168.25</v>
      </c>
      <c r="P133" s="6" cm="1">
        <f t="array" ref="P133">IFERROR(
_xlfn.LET(
_xlpm.res,_xlfn.XLOOKUP(B133,'LOCALIZAÇÃO DE CARGA'!$A$2:$A$702,'LOCALIZAÇÃO DE CARGA'!$T$2:$T$702),
IF(_xlpm.res="","",_xlpm.res)
),
""
)</f>
        <v>46158.21597222222</v>
      </c>
      <c r="Q133" s="5" t="str">
        <f>IFERROR(
IF(
_xlfn.XLOOKUP(
B133,
'LOCALIZAÇÃO DE CARGA'!$A$2:$A$702,
'LOCALIZAÇÃO DE CARGA'!$K$2:$K$702
)="",
"",
_xlfn.XLOOKUP(
B133,
'LOCALIZAÇÃO DE CARGA'!$A$2:$A$702,
'LOCALIZAÇÃO DE CARGA'!$K$2:$K$702
)
),
""
)</f>
        <v>BASE FATELOG - CAJAMAR</v>
      </c>
      <c r="R133" s="5" t="str">
        <f t="shared" ref="R133:R196" si="8">IF(Q133="","",TRIM(IFERROR(LEFT(LEFT(Q133,FIND(" - ",Q133)-1),FIND("(",LEFT(Q133,FIND(" - ",Q133)-1))-1),LEFT(Q133,FIND(" - ",Q133)-1))))</f>
        <v>BASE FATELOG</v>
      </c>
      <c r="S133" s="5" t="str" cm="1">
        <f t="array" ref="S133">IF(B133="","",IFERROR(
INDEX(
'VISÃO LOGISTICA'!$L$2:$L$525,
MATCH(
TRUE,
ISNUMBER(FIND(B133,'VISÃO LOGISTICA'!$A$2:$A$525)),
0
)
),
""
))</f>
        <v/>
      </c>
      <c r="T133" s="5" t="str" cm="1">
        <f t="array" ref="T133">IFERROR(
_xlfn.LET(
_xlpm.res,_xlfn.XLOOKUP(B133,'LOCALIZAÇÃO DE CARGA'!$A$2:$A$702,'LOCALIZAÇÃO DE CARGA'!$R$2:$R$702),
IF(_xlpm.res="","",SUBSTITUTE(_xlpm.res,"/BRASIL",""))
),
""
)</f>
        <v>CAJAMAR/SP</v>
      </c>
    </row>
    <row r="134" spans="1:20">
      <c r="A134" s="14">
        <f t="shared" si="6"/>
        <v>46160</v>
      </c>
      <c r="B134" s="5">
        <v>6024750</v>
      </c>
      <c r="C134" s="45" t="str">
        <f t="shared" ca="1" si="7"/>
        <v>OK - NO PRAZO</v>
      </c>
      <c r="D134" s="28"/>
      <c r="E134" s="28" t="str">
        <f>IFERROR(
IF(
_xlfn.XLOOKUP(
B134,
'LOCALIZAÇÃO DE CARGA'!$A$2:$A$702,
'LOCALIZAÇÃO DE CARGA'!$D$2:$D$702
)="",
"",
_xlfn.XLOOKUP(
B134,
'LOCALIZAÇÃO DE CARGA'!$A$2:$A$702,
'LOCALIZAÇÃO DE CARGA'!$D$2:$D$702
)
),
""
)</f>
        <v/>
      </c>
      <c r="F134" s="13" t="str">
        <f>IFERROR(
IF(
_xlfn.XLOOKUP(
B134,
'LOCALIZAÇÃO DE CARGA'!$A$2:$A$702,
'LOCALIZAÇÃO DE CARGA'!$H$2:$H$702
)="",
"",
_xlfn.XLOOKUP(
B134,
'LOCALIZAÇÃO DE CARGA'!$A$2:$A$702,
'LOCALIZAÇÃO DE CARGA'!$H$2:$H$702
)
),
""
)</f>
        <v>FITA AZUL PE (FATELOG)</v>
      </c>
      <c r="G134" s="5" t="str">
        <f>IFERROR(
IF(
_xlfn.XLOOKUP(
B134,
'LOCALIZAÇÃO DE CARGA'!$A$2:$A$702,
'LOCALIZAÇÃO DE CARGA'!$I$2:$I$702
)="",
"",
_xlfn.XLOOKUP(
B134,
'LOCALIZAÇÃO DE CARGA'!$A$2:$A$702,
'LOCALIZAÇÃO DE CARGA'!$I$2:$I$702
)
),
""
)</f>
        <v>LGSCT</v>
      </c>
      <c r="H134" s="5" t="str">
        <f>IFERROR(
IF(
_xlfn.XLOOKUP(
B134,
'LOCALIZAÇÃO DE CARGA'!$A$2:$A$702,
'LOCALIZAÇÃO DE CARGA'!$F$2:$F$702
)="",
"",
_xlfn.XLOOKUP(
B134,
'LOCALIZAÇÃO DE CARGA'!$A$2:$A$702,
'LOCALIZAÇÃO DE CARGA'!$F$2:$F$702
)
),
""
)</f>
        <v>Não iniciado</v>
      </c>
      <c r="I134" s="13" t="str" cm="1">
        <f t="array" ref="I134">IFERROR(
IF(
INDEX(
'VISÃO LOGISTICA'!$C$2:$C$525,
MATCH(
TRUE,
ISNUMBER(FIND(B134,'VISÃO LOGISTICA'!$A$2:$A$525)),
0
)
)="Em espera",
"",
INDEX(
'VISÃO LOGISTICA'!$C$2:$C$525,
MATCH(
TRUE,
ISNUMBER(FIND(B134,'VISÃO LOGISTICA'!$A$2:$A$525)),
0
)
)
),
""
)</f>
        <v/>
      </c>
      <c r="J134" s="5" t="str" cm="1">
        <f t="array" ref="J134">IFERROR(
IF(
OR(
INDEX(
'VISÃO LOGISTICA'!$C$2:$C$2000,
MATCH(
TRUE,
ISNUMBER(FIND(B134,'VISÃO LOGISTICA'!$A$2:$A$2000)),
0
)
)="Em espera",
INDEX(
'VISÃO LOGISTICA'!$C$2:$C$2000,
MATCH(
TRUE,
ISNUMBER(FIND(B134,'VISÃO LOGISTICA'!$A$2:$A$2000)),
0
)
)=""
),
"",
INDEX(
'VISÃO LOGISTICA'!$D$2:$D$2000,
MATCH(
TRUE,
ISNUMBER(FIND(B134,'VISÃO LOGISTICA'!$A$2:$A$2000)),
0
)
)
),
""
)</f>
        <v/>
      </c>
      <c r="K134" s="10">
        <f>IFERROR(
IF(
_xlfn.XLOOKUP(
B134,
'LOCALIZAÇÃO DE CARGA'!$A$2:$A$702,
'LOCALIZAÇÃO DE CARGA'!$E$2:$E$702)="",
"",
_xlfn.XLOOKUP(
B134,
'LOCALIZAÇÃO DE CARGA'!$A$2:$A$702,
'LOCALIZAÇÃO DE CARGA'!$E$2:$E$702)
),
""
)</f>
        <v>37533.599999999999</v>
      </c>
      <c r="L134" s="20" cm="1">
        <f t="array" ref="L134">IFERROR(
_xlfn.LET(
_xlpm.res,_xlfn.XLOOKUP(B134,'LOCALIZAÇÃO DE CARGA'!$A$2:$A$2000,'LOCALIZAÇÃO DE CARGA'!$G$2:$G$2000),
IF(_xlpm.res="","",_xlpm.res)
),
""
)</f>
        <v>46168.807638888888</v>
      </c>
      <c r="M134" s="20" cm="1">
        <f t="array" ref="M134">IFERROR(
_xlfn.LET(
_xlpm.load,_xlfn.XLOOKUP(B134,'LOCALIZAÇÃO DE CARGA'!$A$2:$A$2000,'LOCALIZAÇÃO DE CARGA'!$A$2:$A$2000),
_xlpm.res,_xlfn.XLOOKUP(_xlpm.load,DOCUMENTOS!$A$2:$A$2000,DOCUMENTOS!$D$2:$D$2000),
IF(_xlpm.res="","",_xlpm.res)
),
""
)</f>
        <v>46160.75</v>
      </c>
      <c r="N134" s="6">
        <f>IFERROR(IF(M134="","",M134-TIME(1,0,0)),"")</f>
        <v>46160.708333333336</v>
      </c>
      <c r="O134" s="6" cm="1">
        <f t="array" ref="O134">IFERROR(
_xlfn.LET(
_xlpm.res,_xlfn.XLOOKUP(B134,'LOCALIZAÇÃO DE CARGA'!$A$2:$A$2000,'LOCALIZAÇÃO DE CARGA'!$S$2:$S$2000),
IF(_xlpm.res="","",_xlpm.res)
),
""
)</f>
        <v>46169.25</v>
      </c>
      <c r="P134" s="6" t="str" cm="1">
        <f t="array" ref="P134">IFERROR(
_xlfn.LET(
_xlpm.res,_xlfn.XLOOKUP(B134,'LOCALIZAÇÃO DE CARGA'!$A$2:$A$702,'LOCALIZAÇÃO DE CARGA'!$T$2:$T$702),
IF(_xlpm.res="","",_xlpm.res)
),
""
)</f>
        <v/>
      </c>
      <c r="Q134" s="5" t="str">
        <f>IFERROR(
IF(
_xlfn.XLOOKUP(
B134,
'LOCALIZAÇÃO DE CARGA'!$A$2:$A$702,
'LOCALIZAÇÃO DE CARGA'!$K$2:$K$702
)="",
"",
_xlfn.XLOOKUP(
B134,
'LOCALIZAÇÃO DE CARGA'!$A$2:$A$702,
'LOCALIZAÇÃO DE CARGA'!$K$2:$K$702
)
),
""
)</f>
        <v>BASE FATELOG - CAJAMAR</v>
      </c>
      <c r="R134" s="5" t="str">
        <f t="shared" si="8"/>
        <v>BASE FATELOG</v>
      </c>
      <c r="S134" s="5" t="str" cm="1">
        <f t="array" ref="S134">IF(B134="","",IFERROR(
INDEX(
'VISÃO LOGISTICA'!$L$2:$L$525,
MATCH(
TRUE,
ISNUMBER(FIND(B134,'VISÃO LOGISTICA'!$A$2:$A$525)),
0
)
),
""
))</f>
        <v/>
      </c>
      <c r="T134" s="5" t="str" cm="1">
        <f t="array" ref="T134">IFERROR(
_xlfn.LET(
_xlpm.res,_xlfn.XLOOKUP(B134,'LOCALIZAÇÃO DE CARGA'!$A$2:$A$702,'LOCALIZAÇÃO DE CARGA'!$R$2:$R$702),
IF(_xlpm.res="","",SUBSTITUTE(_xlpm.res,"/BRASIL",""))
),
""
)</f>
        <v>CAJAMAR/SP</v>
      </c>
    </row>
    <row r="135" spans="1:20">
      <c r="A135" s="14">
        <f t="shared" si="6"/>
        <v>46157</v>
      </c>
      <c r="B135" s="5">
        <v>6023446</v>
      </c>
      <c r="C135" s="45" t="str">
        <f t="shared" ca="1" si="7"/>
        <v>DESCONSIDERA, VALOR NÃO RASTREADO</v>
      </c>
      <c r="D135" s="28"/>
      <c r="E135" s="28" t="str">
        <f>IFERROR(
IF(
_xlfn.XLOOKUP(
B135,
'LOCALIZAÇÃO DE CARGA'!$A$2:$A$702,
'LOCALIZAÇÃO DE CARGA'!$D$2:$D$702
)="",
"",
_xlfn.XLOOKUP(
B135,
'LOCALIZAÇÃO DE CARGA'!$A$2:$A$702,
'LOCALIZAÇÃO DE CARGA'!$D$2:$D$702
)
),
""
)</f>
        <v/>
      </c>
      <c r="F135" s="13" t="str">
        <f>IFERROR(
IF(
_xlfn.XLOOKUP(
B135,
'LOCALIZAÇÃO DE CARGA'!$A$2:$A$702,
'LOCALIZAÇÃO DE CARGA'!$H$2:$H$702
)="",
"",
_xlfn.XLOOKUP(
B135,
'LOCALIZAÇÃO DE CARGA'!$A$2:$A$702,
'LOCALIZAÇÃO DE CARGA'!$H$2:$H$702
)
),
""
)</f>
        <v>FITA AZUL PE (FATELOG)</v>
      </c>
      <c r="G135" s="5" t="str">
        <f>IFERROR(
IF(
_xlfn.XLOOKUP(
B135,
'LOCALIZAÇÃO DE CARGA'!$A$2:$A$702,
'LOCALIZAÇÃO DE CARGA'!$I$2:$I$702
)="",
"",
_xlfn.XLOOKUP(
B135,
'LOCALIZAÇÃO DE CARGA'!$A$2:$A$702,
'LOCALIZAÇÃO DE CARGA'!$I$2:$I$702
)
),
""
)</f>
        <v>LGSCT</v>
      </c>
      <c r="H135" s="5" t="str">
        <f>IFERROR(
IF(
_xlfn.XLOOKUP(
B135,
'LOCALIZAÇÃO DE CARGA'!$A$2:$A$702,
'LOCALIZAÇÃO DE CARGA'!$F$2:$F$702
)="",
"",
_xlfn.XLOOKUP(
B135,
'LOCALIZAÇÃO DE CARGA'!$A$2:$A$702,
'LOCALIZAÇÃO DE CARGA'!$F$2:$F$702
)
),
""
)</f>
        <v>Andamento</v>
      </c>
      <c r="I135" s="13" t="str" cm="1">
        <f t="array" ref="I135">IFERROR(
IF(
INDEX(
'VISÃO LOGISTICA'!$C$2:$C$525,
MATCH(
TRUE,
ISNUMBER(FIND(B135,'VISÃO LOGISTICA'!$A$2:$A$525)),
0
)
)="Em espera",
"",
INDEX(
'VISÃO LOGISTICA'!$C$2:$C$525,
MATCH(
TRUE,
ISNUMBER(FIND(B135,'VISÃO LOGISTICA'!$A$2:$A$525)),
0
)
)
),
""
)</f>
        <v/>
      </c>
      <c r="J135" s="5" t="str" cm="1">
        <f t="array" ref="J135">IFERROR(
IF(
OR(
INDEX(
'VISÃO LOGISTICA'!$C$2:$C$2000,
MATCH(
TRUE,
ISNUMBER(FIND(B135,'VISÃO LOGISTICA'!$A$2:$A$2000)),
0
)
)="Em espera",
INDEX(
'VISÃO LOGISTICA'!$C$2:$C$2000,
MATCH(
TRUE,
ISNUMBER(FIND(B135,'VISÃO LOGISTICA'!$A$2:$A$2000)),
0
)
)=""
),
"",
INDEX(
'VISÃO LOGISTICA'!$D$2:$D$2000,
MATCH(
TRUE,
ISNUMBER(FIND(B135,'VISÃO LOGISTICA'!$A$2:$A$2000)),
0
)
)
),
""
)</f>
        <v/>
      </c>
      <c r="K135" s="10">
        <f>IFERROR(
IF(
_xlfn.XLOOKUP(
B135,
'LOCALIZAÇÃO DE CARGA'!$A$2:$A$702,
'LOCALIZAÇÃO DE CARGA'!$E$2:$E$702)="",
"",
_xlfn.XLOOKUP(
B135,
'LOCALIZAÇÃO DE CARGA'!$A$2:$A$702,
'LOCALIZAÇÃO DE CARGA'!$E$2:$E$702)
),
""
)</f>
        <v>18290</v>
      </c>
      <c r="L135" s="20" cm="1">
        <f t="array" ref="L135">IFERROR(
_xlfn.LET(
_xlpm.res,_xlfn.XLOOKUP(B135,'LOCALIZAÇÃO DE CARGA'!$A$2:$A$2000,'LOCALIZAÇÃO DE CARGA'!$G$2:$G$2000),
IF(_xlpm.res="","",_xlpm.res)
),
""
)</f>
        <v>46165.479166666664</v>
      </c>
      <c r="M135" s="20" cm="1">
        <f t="array" ref="M135">IFERROR(
_xlfn.LET(
_xlpm.load,_xlfn.XLOOKUP(B135,'LOCALIZAÇÃO DE CARGA'!$A$2:$A$2000,'LOCALIZAÇÃO DE CARGA'!$A$2:$A$2000),
_xlpm.res,_xlfn.XLOOKUP(_xlpm.load,DOCUMENTOS!$A$2:$A$2000,DOCUMENTOS!$D$2:$D$2000),
IF(_xlpm.res="","",_xlpm.res)
),
""
)</f>
        <v>46157.75</v>
      </c>
      <c r="N135" s="6">
        <f>IFERROR(IF(M135="","",M135-TIME(1,0,0)),"")</f>
        <v>46157.708333333336</v>
      </c>
      <c r="O135" s="6" cm="1">
        <f t="array" ref="O135">IFERROR(
_xlfn.LET(
_xlpm.res,_xlfn.XLOOKUP(B135,'LOCALIZAÇÃO DE CARGA'!$A$2:$A$2000,'LOCALIZAÇÃO DE CARGA'!$S$2:$S$2000),
IF(_xlpm.res="","",_xlpm.res)
),
""
)</f>
        <v>46167.291666666664</v>
      </c>
      <c r="P135" s="6" cm="1">
        <f t="array" ref="P135">IFERROR(
_xlfn.LET(
_xlpm.res,_xlfn.XLOOKUP(B135,'LOCALIZAÇÃO DE CARGA'!$A$2:$A$702,'LOCALIZAÇÃO DE CARGA'!$T$2:$T$702),
IF(_xlpm.res="","",_xlpm.res)
),
""
)</f>
        <v>46158.21597222222</v>
      </c>
      <c r="Q135" s="5" t="str">
        <f>IFERROR(
IF(
_xlfn.XLOOKUP(
B135,
'LOCALIZAÇÃO DE CARGA'!$A$2:$A$702,
'LOCALIZAÇÃO DE CARGA'!$K$2:$K$702
)="",
"",
_xlfn.XLOOKUP(
B135,
'LOCALIZAÇÃO DE CARGA'!$A$2:$A$702,
'LOCALIZAÇÃO DE CARGA'!$K$2:$K$702
)
),
""
)</f>
        <v>BASE FATELOG - CAJAMAR</v>
      </c>
      <c r="R135" s="5" t="str">
        <f t="shared" si="8"/>
        <v>BASE FATELOG</v>
      </c>
      <c r="S135" s="5" t="str" cm="1">
        <f t="array" ref="S135">IF(B135="","",IFERROR(
INDEX(
'VISÃO LOGISTICA'!$L$2:$L$525,
MATCH(
TRUE,
ISNUMBER(FIND(B135,'VISÃO LOGISTICA'!$A$2:$A$525)),
0
)
),
""
))</f>
        <v/>
      </c>
      <c r="T135" s="5" t="str" cm="1">
        <f t="array" ref="T135">IFERROR(
_xlfn.LET(
_xlpm.res,_xlfn.XLOOKUP(B135,'LOCALIZAÇÃO DE CARGA'!$A$2:$A$702,'LOCALIZAÇÃO DE CARGA'!$R$2:$R$702),
IF(_xlpm.res="","",SUBSTITUTE(_xlpm.res,"/BRASIL",""))
),
""
)</f>
        <v>CAJAMAR/SP</v>
      </c>
    </row>
    <row r="136" spans="1:20">
      <c r="A136" s="14">
        <f t="shared" si="6"/>
        <v>46160</v>
      </c>
      <c r="B136" s="5">
        <v>6024849</v>
      </c>
      <c r="C136" s="45" t="str">
        <f t="shared" ca="1" si="7"/>
        <v>OK - NO PRAZO</v>
      </c>
      <c r="D136" s="28"/>
      <c r="E136" s="28" t="str">
        <f>IFERROR(
IF(
_xlfn.XLOOKUP(
B136,
'LOCALIZAÇÃO DE CARGA'!$A$2:$A$702,
'LOCALIZAÇÃO DE CARGA'!$D$2:$D$702
)="",
"",
_xlfn.XLOOKUP(
B136,
'LOCALIZAÇÃO DE CARGA'!$A$2:$A$702,
'LOCALIZAÇÃO DE CARGA'!$D$2:$D$702
)
),
""
)</f>
        <v/>
      </c>
      <c r="F136" s="13" t="str">
        <f>IFERROR(
IF(
_xlfn.XLOOKUP(
B136,
'LOCALIZAÇÃO DE CARGA'!$A$2:$A$702,
'LOCALIZAÇÃO DE CARGA'!$H$2:$H$702
)="",
"",
_xlfn.XLOOKUP(
B136,
'LOCALIZAÇÃO DE CARGA'!$A$2:$A$702,
'LOCALIZAÇÃO DE CARGA'!$H$2:$H$702
)
),
""
)</f>
        <v>FITA AZUL PE (FATELOG)</v>
      </c>
      <c r="G136" s="5" t="str">
        <f>IFERROR(
IF(
_xlfn.XLOOKUP(
B136,
'LOCALIZAÇÃO DE CARGA'!$A$2:$A$702,
'LOCALIZAÇÃO DE CARGA'!$I$2:$I$702
)="",
"",
_xlfn.XLOOKUP(
B136,
'LOCALIZAÇÃO DE CARGA'!$A$2:$A$702,
'LOCALIZAÇÃO DE CARGA'!$I$2:$I$702
)
),
""
)</f>
        <v>LGSCT</v>
      </c>
      <c r="H136" s="5" t="str">
        <f>IFERROR(
IF(
_xlfn.XLOOKUP(
B136,
'LOCALIZAÇÃO DE CARGA'!$A$2:$A$702,
'LOCALIZAÇÃO DE CARGA'!$F$2:$F$702
)="",
"",
_xlfn.XLOOKUP(
B136,
'LOCALIZAÇÃO DE CARGA'!$A$2:$A$702,
'LOCALIZAÇÃO DE CARGA'!$F$2:$F$702
)
),
""
)</f>
        <v>Não iniciado</v>
      </c>
      <c r="I136" s="13" t="str" cm="1">
        <f t="array" ref="I136">IFERROR(
IF(
INDEX(
'VISÃO LOGISTICA'!$C$2:$C$525,
MATCH(
TRUE,
ISNUMBER(FIND(B136,'VISÃO LOGISTICA'!$A$2:$A$525)),
0
)
)="Em espera",
"",
INDEX(
'VISÃO LOGISTICA'!$C$2:$C$525,
MATCH(
TRUE,
ISNUMBER(FIND(B136,'VISÃO LOGISTICA'!$A$2:$A$525)),
0
)
)
),
""
)</f>
        <v/>
      </c>
      <c r="J136" s="5" t="str" cm="1">
        <f t="array" ref="J136">IFERROR(
IF(
OR(
INDEX(
'VISÃO LOGISTICA'!$C$2:$C$2000,
MATCH(
TRUE,
ISNUMBER(FIND(B136,'VISÃO LOGISTICA'!$A$2:$A$2000)),
0
)
)="Em espera",
INDEX(
'VISÃO LOGISTICA'!$C$2:$C$2000,
MATCH(
TRUE,
ISNUMBER(FIND(B136,'VISÃO LOGISTICA'!$A$2:$A$2000)),
0
)
)=""
),
"",
INDEX(
'VISÃO LOGISTICA'!$D$2:$D$2000,
MATCH(
TRUE,
ISNUMBER(FIND(B136,'VISÃO LOGISTICA'!$A$2:$A$2000)),
0
)
)
),
""
)</f>
        <v/>
      </c>
      <c r="K136" s="10">
        <f>IFERROR(
IF(
_xlfn.XLOOKUP(
B136,
'LOCALIZAÇÃO DE CARGA'!$A$2:$A$702,
'LOCALIZAÇÃO DE CARGA'!$E$2:$E$702)="",
"",
_xlfn.XLOOKUP(
B136,
'LOCALIZAÇÃO DE CARGA'!$A$2:$A$702,
'LOCALIZAÇÃO DE CARGA'!$E$2:$E$702)
),
""
)</f>
        <v>17753.7</v>
      </c>
      <c r="L136" s="20" cm="1">
        <f t="array" ref="L136">IFERROR(
_xlfn.LET(
_xlpm.res,_xlfn.XLOOKUP(B136,'LOCALIZAÇÃO DE CARGA'!$A$2:$A$2000,'LOCALIZAÇÃO DE CARGA'!$G$2:$G$2000),
IF(_xlpm.res="","",_xlpm.res)
),
""
)</f>
        <v>46170.804166666669</v>
      </c>
      <c r="M136" s="20" cm="1">
        <f t="array" ref="M136">IFERROR(
_xlfn.LET(
_xlpm.load,_xlfn.XLOOKUP(B136,'LOCALIZAÇÃO DE CARGA'!$A$2:$A$2000,'LOCALIZAÇÃO DE CARGA'!$A$2:$A$2000),
_xlpm.res,_xlfn.XLOOKUP(_xlpm.load,DOCUMENTOS!$A$2:$A$2000,DOCUMENTOS!$D$2:$D$2000),
IF(_xlpm.res="","",_xlpm.res)
),
""
)</f>
        <v>46160.75</v>
      </c>
      <c r="N136" s="6">
        <f>IFERROR(IF(M136="","",M136-TIME(1,0,0)),"")</f>
        <v>46160.708333333336</v>
      </c>
      <c r="O136" s="6" cm="1">
        <f t="array" ref="O136">IFERROR(
_xlfn.LET(
_xlpm.res,_xlfn.XLOOKUP(B136,'LOCALIZAÇÃO DE CARGA'!$A$2:$A$2000,'LOCALIZAÇÃO DE CARGA'!$S$2:$S$2000),
IF(_xlpm.res="","",_xlpm.res)
),
""
)</f>
        <v>46171.375</v>
      </c>
      <c r="P136" s="6" t="str" cm="1">
        <f t="array" ref="P136">IFERROR(
_xlfn.LET(
_xlpm.res,_xlfn.XLOOKUP(B136,'LOCALIZAÇÃO DE CARGA'!$A$2:$A$702,'LOCALIZAÇÃO DE CARGA'!$T$2:$T$702),
IF(_xlpm.res="","",_xlpm.res)
),
""
)</f>
        <v/>
      </c>
      <c r="Q136" s="5" t="str">
        <f>IFERROR(
IF(
_xlfn.XLOOKUP(
B136,
'LOCALIZAÇÃO DE CARGA'!$A$2:$A$702,
'LOCALIZAÇÃO DE CARGA'!$K$2:$K$702
)="",
"",
_xlfn.XLOOKUP(
B136,
'LOCALIZAÇÃO DE CARGA'!$A$2:$A$702,
'LOCALIZAÇÃO DE CARGA'!$K$2:$K$702
)
),
""
)</f>
        <v>BASE FATELOG - CAJAMAR</v>
      </c>
      <c r="R136" s="5" t="str">
        <f t="shared" si="8"/>
        <v>BASE FATELOG</v>
      </c>
      <c r="S136" s="5" t="str" cm="1">
        <f t="array" ref="S136">IF(B136="","",IFERROR(
INDEX(
'VISÃO LOGISTICA'!$L$2:$L$525,
MATCH(
TRUE,
ISNUMBER(FIND(B136,'VISÃO LOGISTICA'!$A$2:$A$525)),
0
)
),
""
))</f>
        <v/>
      </c>
      <c r="T136" s="5" t="str" cm="1">
        <f t="array" ref="T136">IFERROR(
_xlfn.LET(
_xlpm.res,_xlfn.XLOOKUP(B136,'LOCALIZAÇÃO DE CARGA'!$A$2:$A$702,'LOCALIZAÇÃO DE CARGA'!$R$2:$R$702),
IF(_xlpm.res="","",SUBSTITUTE(_xlpm.res,"/BRASIL",""))
),
""
)</f>
        <v>CAJAMAR/SP</v>
      </c>
    </row>
    <row r="137" spans="1:20">
      <c r="A137" s="14">
        <f t="shared" si="6"/>
        <v>46160</v>
      </c>
      <c r="B137" s="5">
        <v>6022220</v>
      </c>
      <c r="C137" s="45" t="str">
        <f t="shared" ca="1" si="7"/>
        <v>OK - NO PRAZO</v>
      </c>
      <c r="D137" s="28"/>
      <c r="E137" s="28" t="str">
        <f>IFERROR(
IF(
_xlfn.XLOOKUP(
B137,
'LOCALIZAÇÃO DE CARGA'!$A$2:$A$702,
'LOCALIZAÇÃO DE CARGA'!$D$2:$D$702
)="",
"",
_xlfn.XLOOKUP(
B137,
'LOCALIZAÇÃO DE CARGA'!$A$2:$A$702,
'LOCALIZAÇÃO DE CARGA'!$D$2:$D$702
)
),
""
)</f>
        <v/>
      </c>
      <c r="F137" s="13" t="str">
        <f>IFERROR(
IF(
_xlfn.XLOOKUP(
B137,
'LOCALIZAÇÃO DE CARGA'!$A$2:$A$702,
'LOCALIZAÇÃO DE CARGA'!$H$2:$H$702
)="",
"",
_xlfn.XLOOKUP(
B137,
'LOCALIZAÇÃO DE CARGA'!$A$2:$A$702,
'LOCALIZAÇÃO DE CARGA'!$H$2:$H$702
)
),
""
)</f>
        <v>EALE LOG</v>
      </c>
      <c r="G137" s="5" t="str">
        <f>IFERROR(
IF(
_xlfn.XLOOKUP(
B137,
'LOCALIZAÇÃO DE CARGA'!$A$2:$A$702,
'LOCALIZAÇÃO DE CARGA'!$I$2:$I$702
)="",
"",
_xlfn.XLOOKUP(
B137,
'LOCALIZAÇÃO DE CARGA'!$A$2:$A$702,
'LOCALIZAÇÃO DE CARGA'!$I$2:$I$702
)
),
""
)</f>
        <v>LGSCT</v>
      </c>
      <c r="H137" s="5" t="str">
        <f>IFERROR(
IF(
_xlfn.XLOOKUP(
B137,
'LOCALIZAÇÃO DE CARGA'!$A$2:$A$702,
'LOCALIZAÇÃO DE CARGA'!$F$2:$F$702
)="",
"",
_xlfn.XLOOKUP(
B137,
'LOCALIZAÇÃO DE CARGA'!$A$2:$A$702,
'LOCALIZAÇÃO DE CARGA'!$F$2:$F$702
)
),
""
)</f>
        <v>Não iniciado</v>
      </c>
      <c r="I137" s="13" t="str" cm="1">
        <f t="array" ref="I137">IFERROR(
IF(
INDEX(
'VISÃO LOGISTICA'!$C$2:$C$525,
MATCH(
TRUE,
ISNUMBER(FIND(B137,'VISÃO LOGISTICA'!$A$2:$A$525)),
0
)
)="Em espera",
"",
INDEX(
'VISÃO LOGISTICA'!$C$2:$C$525,
MATCH(
TRUE,
ISNUMBER(FIND(B137,'VISÃO LOGISTICA'!$A$2:$A$525)),
0
)
)
),
""
)</f>
        <v/>
      </c>
      <c r="J137" s="5" t="str" cm="1">
        <f t="array" ref="J137">IFERROR(
IF(
OR(
INDEX(
'VISÃO LOGISTICA'!$C$2:$C$2000,
MATCH(
TRUE,
ISNUMBER(FIND(B137,'VISÃO LOGISTICA'!$A$2:$A$2000)),
0
)
)="Em espera",
INDEX(
'VISÃO LOGISTICA'!$C$2:$C$2000,
MATCH(
TRUE,
ISNUMBER(FIND(B137,'VISÃO LOGISTICA'!$A$2:$A$2000)),
0
)
)=""
),
"",
INDEX(
'VISÃO LOGISTICA'!$D$2:$D$2000,
MATCH(
TRUE,
ISNUMBER(FIND(B137,'VISÃO LOGISTICA'!$A$2:$A$2000)),
0
)
)
),
""
)</f>
        <v/>
      </c>
      <c r="K137" s="10">
        <f>IFERROR(
IF(
_xlfn.XLOOKUP(
B137,
'LOCALIZAÇÃO DE CARGA'!$A$2:$A$702,
'LOCALIZAÇÃO DE CARGA'!$E$2:$E$702)="",
"",
_xlfn.XLOOKUP(
B137,
'LOCALIZAÇÃO DE CARGA'!$A$2:$A$702,
'LOCALIZAÇÃO DE CARGA'!$E$2:$E$702)
),
""
)</f>
        <v>16832.2</v>
      </c>
      <c r="L137" s="20" cm="1">
        <f t="array" ref="L137">IFERROR(
_xlfn.LET(
_xlpm.res,_xlfn.XLOOKUP(B137,'LOCALIZAÇÃO DE CARGA'!$A$2:$A$2000,'LOCALIZAÇÃO DE CARGA'!$G$2:$G$2000),
IF(_xlpm.res="","",_xlpm.res)
),
""
)</f>
        <v>46167.041666666664</v>
      </c>
      <c r="M137" s="20" cm="1">
        <f t="array" ref="M137">IFERROR(
_xlfn.LET(
_xlpm.load,_xlfn.XLOOKUP(B137,'LOCALIZAÇÃO DE CARGA'!$A$2:$A$2000,'LOCALIZAÇÃO DE CARGA'!$A$2:$A$2000),
_xlpm.res,_xlfn.XLOOKUP(_xlpm.load,DOCUMENTOS!$A$2:$A$2000,DOCUMENTOS!$D$2:$D$2000),
IF(_xlpm.res="","",_xlpm.res)
),
""
)</f>
        <v>46160.375</v>
      </c>
      <c r="N137" s="6">
        <f>IFERROR(IF(M137="","",M137-TIME(1,0,0)),"")</f>
        <v>46160.333333333336</v>
      </c>
      <c r="O137" s="6" cm="1">
        <f t="array" ref="O137">IFERROR(
_xlfn.LET(
_xlpm.res,_xlfn.XLOOKUP(B137,'LOCALIZAÇÃO DE CARGA'!$A$2:$A$2000,'LOCALIZAÇÃO DE CARGA'!$S$2:$S$2000),
IF(_xlpm.res="","",_xlpm.res)
),
""
)</f>
        <v>46167.25</v>
      </c>
      <c r="P137" s="6" t="str" cm="1">
        <f t="array" ref="P137">IFERROR(
_xlfn.LET(
_xlpm.res,_xlfn.XLOOKUP(B137,'LOCALIZAÇÃO DE CARGA'!$A$2:$A$702,'LOCALIZAÇÃO DE CARGA'!$T$2:$T$702),
IF(_xlpm.res="","",_xlpm.res)
),
""
)</f>
        <v/>
      </c>
      <c r="Q137" s="5" t="str">
        <f>IFERROR(
IF(
_xlfn.XLOOKUP(
B137,
'LOCALIZAÇÃO DE CARGA'!$A$2:$A$702,
'LOCALIZAÇÃO DE CARGA'!$K$2:$K$702
)="",
"",
_xlfn.XLOOKUP(
B137,
'LOCALIZAÇÃO DE CARGA'!$A$2:$A$702,
'LOCALIZAÇÃO DE CARGA'!$K$2:$K$702
)
),
""
)</f>
        <v>BASE EALE - SÃO JOSÉ DOS PINHAIS</v>
      </c>
      <c r="R137" s="5" t="str">
        <f t="shared" si="8"/>
        <v>BASE EALE</v>
      </c>
      <c r="S137" s="5" t="str" cm="1">
        <f t="array" ref="S137">IF(B137="","",IFERROR(
INDEX(
'VISÃO LOGISTICA'!$L$2:$L$525,
MATCH(
TRUE,
ISNUMBER(FIND(B137,'VISÃO LOGISTICA'!$A$2:$A$525)),
0
)
),
""
))</f>
        <v/>
      </c>
      <c r="T137" s="5" t="str" cm="1">
        <f t="array" ref="T137">IFERROR(
_xlfn.LET(
_xlpm.res,_xlfn.XLOOKUP(B137,'LOCALIZAÇÃO DE CARGA'!$A$2:$A$702,'LOCALIZAÇÃO DE CARGA'!$R$2:$R$702),
IF(_xlpm.res="","",SUBSTITUTE(_xlpm.res,"/BRASIL",""))
),
""
)</f>
        <v>SAO JOSE DOS PINHAIS/PR</v>
      </c>
    </row>
    <row r="138" spans="1:20">
      <c r="A138" s="14">
        <f t="shared" si="6"/>
        <v>46157</v>
      </c>
      <c r="B138" s="5">
        <v>6022618</v>
      </c>
      <c r="C138" s="45" t="str">
        <f t="shared" ca="1" si="7"/>
        <v>ATRASADO CARREGAMENTO - SEM SMP</v>
      </c>
      <c r="D138" s="28"/>
      <c r="E138" s="28" t="str">
        <f>IFERROR(
IF(
_xlfn.XLOOKUP(
B138,
'LOCALIZAÇÃO DE CARGA'!$A$2:$A$702,
'LOCALIZAÇÃO DE CARGA'!$D$2:$D$702
)="",
"",
_xlfn.XLOOKUP(
B138,
'LOCALIZAÇÃO DE CARGA'!$A$2:$A$702,
'LOCALIZAÇÃO DE CARGA'!$D$2:$D$702
)
),
""
)</f>
        <v/>
      </c>
      <c r="F138" s="13" t="str">
        <f>IFERROR(
IF(
_xlfn.XLOOKUP(
B138,
'LOCALIZAÇÃO DE CARGA'!$A$2:$A$702,
'LOCALIZAÇÃO DE CARGA'!$H$2:$H$702
)="",
"",
_xlfn.XLOOKUP(
B138,
'LOCALIZAÇÃO DE CARGA'!$A$2:$A$702,
'LOCALIZAÇÃO DE CARGA'!$H$2:$H$702
)
),
""
)</f>
        <v>FITA AZUL PE (FATELOG)</v>
      </c>
      <c r="G138" s="5" t="str">
        <f>IFERROR(
IF(
_xlfn.XLOOKUP(
B138,
'LOCALIZAÇÃO DE CARGA'!$A$2:$A$702,
'LOCALIZAÇÃO DE CARGA'!$I$2:$I$702
)="",
"",
_xlfn.XLOOKUP(
B138,
'LOCALIZAÇÃO DE CARGA'!$A$2:$A$702,
'LOCALIZAÇÃO DE CARGA'!$I$2:$I$702
)
),
""
)</f>
        <v>LGSCT</v>
      </c>
      <c r="H138" s="5" t="str">
        <f>IFERROR(
IF(
_xlfn.XLOOKUP(
B138,
'LOCALIZAÇÃO DE CARGA'!$A$2:$A$702,
'LOCALIZAÇÃO DE CARGA'!$F$2:$F$702
)="",
"",
_xlfn.XLOOKUP(
B138,
'LOCALIZAÇÃO DE CARGA'!$A$2:$A$702,
'LOCALIZAÇÃO DE CARGA'!$F$2:$F$702
)
),
""
)</f>
        <v>Andamento</v>
      </c>
      <c r="I138" s="13" t="str" cm="1">
        <f t="array" ref="I138">IFERROR(
IF(
INDEX(
'VISÃO LOGISTICA'!$C$2:$C$525,
MATCH(
TRUE,
ISNUMBER(FIND(B138,'VISÃO LOGISTICA'!$A$2:$A$525)),
0
)
)="Em espera",
"",
INDEX(
'VISÃO LOGISTICA'!$C$2:$C$525,
MATCH(
TRUE,
ISNUMBER(FIND(B138,'VISÃO LOGISTICA'!$A$2:$A$525)),
0
)
)
),
""
)</f>
        <v/>
      </c>
      <c r="J138" s="5" t="str" cm="1">
        <f t="array" ref="J138">IFERROR(
IF(
OR(
INDEX(
'VISÃO LOGISTICA'!$C$2:$C$2000,
MATCH(
TRUE,
ISNUMBER(FIND(B138,'VISÃO LOGISTICA'!$A$2:$A$2000)),
0
)
)="Em espera",
INDEX(
'VISÃO LOGISTICA'!$C$2:$C$2000,
MATCH(
TRUE,
ISNUMBER(FIND(B138,'VISÃO LOGISTICA'!$A$2:$A$2000)),
0
)
)=""
),
"",
INDEX(
'VISÃO LOGISTICA'!$D$2:$D$2000,
MATCH(
TRUE,
ISNUMBER(FIND(B138,'VISÃO LOGISTICA'!$A$2:$A$2000)),
0
)
)
),
""
)</f>
        <v/>
      </c>
      <c r="K138" s="10">
        <f>IFERROR(
IF(
_xlfn.XLOOKUP(
B138,
'LOCALIZAÇÃO DE CARGA'!$A$2:$A$702,
'LOCALIZAÇÃO DE CARGA'!$E$2:$E$702)="",
"",
_xlfn.XLOOKUP(
B138,
'LOCALIZAÇÃO DE CARGA'!$A$2:$A$702,
'LOCALIZAÇÃO DE CARGA'!$E$2:$E$702)
),
""
)</f>
        <v>15640.25</v>
      </c>
      <c r="L138" s="20" cm="1">
        <f t="array" ref="L138">IFERROR(
_xlfn.LET(
_xlpm.res,_xlfn.XLOOKUP(B138,'LOCALIZAÇÃO DE CARGA'!$A$2:$A$2000,'LOCALIZAÇÃO DE CARGA'!$G$2:$G$2000),
IF(_xlpm.res="","",_xlpm.res)
),
""
)</f>
        <v>46162.328472222223</v>
      </c>
      <c r="M138" s="20" cm="1">
        <f t="array" ref="M138">IFERROR(
_xlfn.LET(
_xlpm.load,_xlfn.XLOOKUP(B138,'LOCALIZAÇÃO DE CARGA'!$A$2:$A$2000,'LOCALIZAÇÃO DE CARGA'!$A$2:$A$2000),
_xlpm.res,_xlfn.XLOOKUP(_xlpm.load,DOCUMENTOS!$A$2:$A$2000,DOCUMENTOS!$D$2:$D$2000),
IF(_xlpm.res="","",_xlpm.res)
),
""
)</f>
        <v>46157.75</v>
      </c>
      <c r="N138" s="6">
        <f>IFERROR(IF(M138="","",M138-TIME(1,0,0)),"")</f>
        <v>46157.708333333336</v>
      </c>
      <c r="O138" s="6" cm="1">
        <f t="array" ref="O138">IFERROR(
_xlfn.LET(
_xlpm.res,_xlfn.XLOOKUP(B138,'LOCALIZAÇÃO DE CARGA'!$A$2:$A$2000,'LOCALIZAÇÃO DE CARGA'!$S$2:$S$2000),
IF(_xlpm.res="","",_xlpm.res)
),
""
)</f>
        <v>46164.333333333336</v>
      </c>
      <c r="P138" s="6" cm="1">
        <f t="array" ref="P138">IFERROR(
_xlfn.LET(
_xlpm.res,_xlfn.XLOOKUP(B138,'LOCALIZAÇÃO DE CARGA'!$A$2:$A$702,'LOCALIZAÇÃO DE CARGA'!$T$2:$T$702),
IF(_xlpm.res="","",_xlpm.res)
),
""
)</f>
        <v>46158.21597222222</v>
      </c>
      <c r="Q138" s="5" t="str">
        <f>IFERROR(
IF(
_xlfn.XLOOKUP(
B138,
'LOCALIZAÇÃO DE CARGA'!$A$2:$A$702,
'LOCALIZAÇÃO DE CARGA'!$K$2:$K$702
)="",
"",
_xlfn.XLOOKUP(
B138,
'LOCALIZAÇÃO DE CARGA'!$A$2:$A$702,
'LOCALIZAÇÃO DE CARGA'!$K$2:$K$702
)
),
""
)</f>
        <v>BASE FATELOG - CAJAMAR</v>
      </c>
      <c r="R138" s="5" t="str">
        <f t="shared" si="8"/>
        <v>BASE FATELOG</v>
      </c>
      <c r="S138" s="5" t="str" cm="1">
        <f t="array" ref="S138">IF(B138="","",IFERROR(
INDEX(
'VISÃO LOGISTICA'!$L$2:$L$525,
MATCH(
TRUE,
ISNUMBER(FIND(B138,'VISÃO LOGISTICA'!$A$2:$A$525)),
0
)
),
""
))</f>
        <v/>
      </c>
      <c r="T138" s="5" t="str" cm="1">
        <f t="array" ref="T138">IFERROR(
_xlfn.LET(
_xlpm.res,_xlfn.XLOOKUP(B138,'LOCALIZAÇÃO DE CARGA'!$A$2:$A$702,'LOCALIZAÇÃO DE CARGA'!$R$2:$R$702),
IF(_xlpm.res="","",SUBSTITUTE(_xlpm.res,"/BRASIL",""))
),
""
)</f>
        <v>CAJAMAR/SP</v>
      </c>
    </row>
    <row r="139" spans="1:20">
      <c r="A139" s="14">
        <f t="shared" si="6"/>
        <v>46157</v>
      </c>
      <c r="B139" s="5">
        <v>6021328</v>
      </c>
      <c r="C139" s="45" t="str">
        <f t="shared" ca="1" si="7"/>
        <v>ATRASADO ENTREGA - SEM SMP</v>
      </c>
      <c r="D139" s="28"/>
      <c r="E139" s="28" t="str">
        <f>IFERROR(
IF(
_xlfn.XLOOKUP(
B139,
'LOCALIZAÇÃO DE CARGA'!$A$2:$A$702,
'LOCALIZAÇÃO DE CARGA'!$D$2:$D$702
)="",
"",
_xlfn.XLOOKUP(
B139,
'LOCALIZAÇÃO DE CARGA'!$A$2:$A$702,
'LOCALIZAÇÃO DE CARGA'!$D$2:$D$702
)
),
""
)</f>
        <v/>
      </c>
      <c r="F139" s="13" t="str">
        <f>IFERROR(
IF(
_xlfn.XLOOKUP(
B139,
'LOCALIZAÇÃO DE CARGA'!$A$2:$A$702,
'LOCALIZAÇÃO DE CARGA'!$H$2:$H$702
)="",
"",
_xlfn.XLOOKUP(
B139,
'LOCALIZAÇÃO DE CARGA'!$A$2:$A$702,
'LOCALIZAÇÃO DE CARGA'!$H$2:$H$702
)
),
""
)</f>
        <v>FITA AZUL PE (FATELOG)</v>
      </c>
      <c r="G139" s="5" t="str">
        <f>IFERROR(
IF(
_xlfn.XLOOKUP(
B139,
'LOCALIZAÇÃO DE CARGA'!$A$2:$A$702,
'LOCALIZAÇÃO DE CARGA'!$I$2:$I$702
)="",
"",
_xlfn.XLOOKUP(
B139,
'LOCALIZAÇÃO DE CARGA'!$A$2:$A$702,
'LOCALIZAÇÃO DE CARGA'!$I$2:$I$702
)
),
""
)</f>
        <v>LGSCT</v>
      </c>
      <c r="H139" s="5" t="str">
        <f>IFERROR(
IF(
_xlfn.XLOOKUP(
B139,
'LOCALIZAÇÃO DE CARGA'!$A$2:$A$702,
'LOCALIZAÇÃO DE CARGA'!$F$2:$F$702
)="",
"",
_xlfn.XLOOKUP(
B139,
'LOCALIZAÇÃO DE CARGA'!$A$2:$A$702,
'LOCALIZAÇÃO DE CARGA'!$F$2:$F$702
)
),
""
)</f>
        <v>Andamento</v>
      </c>
      <c r="I139" s="13" t="str" cm="1">
        <f t="array" ref="I139">IFERROR(
IF(
INDEX(
'VISÃO LOGISTICA'!$C$2:$C$525,
MATCH(
TRUE,
ISNUMBER(FIND(B139,'VISÃO LOGISTICA'!$A$2:$A$525)),
0
)
)="Em espera",
"",
INDEX(
'VISÃO LOGISTICA'!$C$2:$C$525,
MATCH(
TRUE,
ISNUMBER(FIND(B139,'VISÃO LOGISTICA'!$A$2:$A$525)),
0
)
)
),
""
)</f>
        <v/>
      </c>
      <c r="J139" s="5" t="str" cm="1">
        <f t="array" ref="J139">IFERROR(
IF(
OR(
INDEX(
'VISÃO LOGISTICA'!$C$2:$C$2000,
MATCH(
TRUE,
ISNUMBER(FIND(B139,'VISÃO LOGISTICA'!$A$2:$A$2000)),
0
)
)="Em espera",
INDEX(
'VISÃO LOGISTICA'!$C$2:$C$2000,
MATCH(
TRUE,
ISNUMBER(FIND(B139,'VISÃO LOGISTICA'!$A$2:$A$2000)),
0
)
)=""
),
"",
INDEX(
'VISÃO LOGISTICA'!$D$2:$D$2000,
MATCH(
TRUE,
ISNUMBER(FIND(B139,'VISÃO LOGISTICA'!$A$2:$A$2000)),
0
)
)
),
""
)</f>
        <v/>
      </c>
      <c r="K139" s="10">
        <f>IFERROR(
IF(
_xlfn.XLOOKUP(
B139,
'LOCALIZAÇÃO DE CARGA'!$A$2:$A$702,
'LOCALIZAÇÃO DE CARGA'!$E$2:$E$702)="",
"",
_xlfn.XLOOKUP(
B139,
'LOCALIZAÇÃO DE CARGA'!$A$2:$A$702,
'LOCALIZAÇÃO DE CARGA'!$E$2:$E$702)
),
""
)</f>
        <v>13717.15</v>
      </c>
      <c r="L139" s="20" cm="1">
        <f t="array" ref="L139">IFERROR(
_xlfn.LET(
_xlpm.res,_xlfn.XLOOKUP(B139,'LOCALIZAÇÃO DE CARGA'!$A$2:$A$2000,'LOCALIZAÇÃO DE CARGA'!$G$2:$G$2000),
IF(_xlpm.res="","",_xlpm.res)
),
""
)</f>
        <v>46157.75</v>
      </c>
      <c r="M139" s="20" cm="1">
        <f t="array" ref="M139">IFERROR(
_xlfn.LET(
_xlpm.load,_xlfn.XLOOKUP(B139,'LOCALIZAÇÃO DE CARGA'!$A$2:$A$2000,'LOCALIZAÇÃO DE CARGA'!$A$2:$A$2000),
_xlpm.res,_xlfn.XLOOKUP(_xlpm.load,DOCUMENTOS!$A$2:$A$2000,DOCUMENTOS!$D$2:$D$2000),
IF(_xlpm.res="","",_xlpm.res)
),
""
)</f>
        <v>46157.75</v>
      </c>
      <c r="N139" s="6">
        <f>IFERROR(IF(M139="","",M139-TIME(1,0,0)),"")</f>
        <v>46157.708333333336</v>
      </c>
      <c r="O139" s="6" cm="1">
        <f t="array" ref="O139">IFERROR(
_xlfn.LET(
_xlpm.res,_xlfn.XLOOKUP(B139,'LOCALIZAÇÃO DE CARGA'!$A$2:$A$2000,'LOCALIZAÇÃO DE CARGA'!$S$2:$S$2000),
IF(_xlpm.res="","",_xlpm.res)
),
""
)</f>
        <v>46167.291666666664</v>
      </c>
      <c r="P139" s="6" cm="1">
        <f t="array" ref="P139">IFERROR(
_xlfn.LET(
_xlpm.res,_xlfn.XLOOKUP(B139,'LOCALIZAÇÃO DE CARGA'!$A$2:$A$702,'LOCALIZAÇÃO DE CARGA'!$T$2:$T$702),
IF(_xlpm.res="","",_xlpm.res)
),
""
)</f>
        <v>46158.21597222222</v>
      </c>
      <c r="Q139" s="5" t="str">
        <f>IFERROR(
IF(
_xlfn.XLOOKUP(
B139,
'LOCALIZAÇÃO DE CARGA'!$A$2:$A$702,
'LOCALIZAÇÃO DE CARGA'!$K$2:$K$702
)="",
"",
_xlfn.XLOOKUP(
B139,
'LOCALIZAÇÃO DE CARGA'!$A$2:$A$702,
'LOCALIZAÇÃO DE CARGA'!$K$2:$K$702
)
),
""
)</f>
        <v>BASE FATELOG - CAJAMAR</v>
      </c>
      <c r="R139" s="5" t="str">
        <f t="shared" si="8"/>
        <v>BASE FATELOG</v>
      </c>
      <c r="S139" s="5" t="str" cm="1">
        <f t="array" ref="S139">IF(B139="","",IFERROR(
INDEX(
'VISÃO LOGISTICA'!$L$2:$L$525,
MATCH(
TRUE,
ISNUMBER(FIND(B139,'VISÃO LOGISTICA'!$A$2:$A$525)),
0
)
),
""
))</f>
        <v/>
      </c>
      <c r="T139" s="5" t="str" cm="1">
        <f t="array" ref="T139">IFERROR(
_xlfn.LET(
_xlpm.res,_xlfn.XLOOKUP(B139,'LOCALIZAÇÃO DE CARGA'!$A$2:$A$702,'LOCALIZAÇÃO DE CARGA'!$R$2:$R$702),
IF(_xlpm.res="","",SUBSTITUTE(_xlpm.res,"/BRASIL",""))
),
""
)</f>
        <v>CAJAMAR/SP</v>
      </c>
    </row>
    <row r="140" spans="1:20">
      <c r="A140" s="14">
        <f t="shared" si="6"/>
        <v>46160</v>
      </c>
      <c r="B140" s="5">
        <v>6025217</v>
      </c>
      <c r="C140" s="45" t="str">
        <f t="shared" ca="1" si="7"/>
        <v>OK - NO PRAZO</v>
      </c>
      <c r="D140" s="28"/>
      <c r="E140" s="28" t="str">
        <f>IFERROR(
IF(
_xlfn.XLOOKUP(
B140,
'LOCALIZAÇÃO DE CARGA'!$A$2:$A$702,
'LOCALIZAÇÃO DE CARGA'!$D$2:$D$702
)="",
"",
_xlfn.XLOOKUP(
B140,
'LOCALIZAÇÃO DE CARGA'!$A$2:$A$702,
'LOCALIZAÇÃO DE CARGA'!$D$2:$D$702
)
),
""
)</f>
        <v/>
      </c>
      <c r="F140" s="13" t="str">
        <f>IFERROR(
IF(
_xlfn.XLOOKUP(
B140,
'LOCALIZAÇÃO DE CARGA'!$A$2:$A$702,
'LOCALIZAÇÃO DE CARGA'!$H$2:$H$702
)="",
"",
_xlfn.XLOOKUP(
B140,
'LOCALIZAÇÃO DE CARGA'!$A$2:$A$702,
'LOCALIZAÇÃO DE CARGA'!$H$2:$H$702
)
),
""
)</f>
        <v>FITA AZUL PE (FATELOG)</v>
      </c>
      <c r="G140" s="5" t="str">
        <f>IFERROR(
IF(
_xlfn.XLOOKUP(
B140,
'LOCALIZAÇÃO DE CARGA'!$A$2:$A$702,
'LOCALIZAÇÃO DE CARGA'!$I$2:$I$702
)="",
"",
_xlfn.XLOOKUP(
B140,
'LOCALIZAÇÃO DE CARGA'!$A$2:$A$702,
'LOCALIZAÇÃO DE CARGA'!$I$2:$I$702
)
),
""
)</f>
        <v>LGSCT</v>
      </c>
      <c r="H140" s="5" t="str">
        <f>IFERROR(
IF(
_xlfn.XLOOKUP(
B140,
'LOCALIZAÇÃO DE CARGA'!$A$2:$A$702,
'LOCALIZAÇÃO DE CARGA'!$F$2:$F$702
)="",
"",
_xlfn.XLOOKUP(
B140,
'LOCALIZAÇÃO DE CARGA'!$A$2:$A$702,
'LOCALIZAÇÃO DE CARGA'!$F$2:$F$702
)
),
""
)</f>
        <v>Não iniciado</v>
      </c>
      <c r="I140" s="13" t="str" cm="1">
        <f t="array" ref="I140">IFERROR(
IF(
INDEX(
'VISÃO LOGISTICA'!$C$2:$C$525,
MATCH(
TRUE,
ISNUMBER(FIND(B140,'VISÃO LOGISTICA'!$A$2:$A$525)),
0
)
)="Em espera",
"",
INDEX(
'VISÃO LOGISTICA'!$C$2:$C$525,
MATCH(
TRUE,
ISNUMBER(FIND(B140,'VISÃO LOGISTICA'!$A$2:$A$525)),
0
)
)
),
""
)</f>
        <v/>
      </c>
      <c r="J140" s="5" t="str" cm="1">
        <f t="array" ref="J140">IFERROR(
IF(
OR(
INDEX(
'VISÃO LOGISTICA'!$C$2:$C$2000,
MATCH(
TRUE,
ISNUMBER(FIND(B140,'VISÃO LOGISTICA'!$A$2:$A$2000)),
0
)
)="Em espera",
INDEX(
'VISÃO LOGISTICA'!$C$2:$C$2000,
MATCH(
TRUE,
ISNUMBER(FIND(B140,'VISÃO LOGISTICA'!$A$2:$A$2000)),
0
)
)=""
),
"",
INDEX(
'VISÃO LOGISTICA'!$D$2:$D$2000,
MATCH(
TRUE,
ISNUMBER(FIND(B140,'VISÃO LOGISTICA'!$A$2:$A$2000)),
0
)
)
),
""
)</f>
        <v/>
      </c>
      <c r="K140" s="10">
        <f>IFERROR(
IF(
_xlfn.XLOOKUP(
B140,
'LOCALIZAÇÃO DE CARGA'!$A$2:$A$702,
'LOCALIZAÇÃO DE CARGA'!$E$2:$E$702)="",
"",
_xlfn.XLOOKUP(
B140,
'LOCALIZAÇÃO DE CARGA'!$A$2:$A$702,
'LOCALIZAÇÃO DE CARGA'!$E$2:$E$702)
),
""
)</f>
        <v>6908.36</v>
      </c>
      <c r="L140" s="20" cm="1">
        <f t="array" ref="L140">IFERROR(
_xlfn.LET(
_xlpm.res,_xlfn.XLOOKUP(B140,'LOCALIZAÇÃO DE CARGA'!$A$2:$A$2000,'LOCALIZAÇÃO DE CARGA'!$G$2:$G$2000),
IF(_xlpm.res="","",_xlpm.res)
),
""
)</f>
        <v>46166.679166666669</v>
      </c>
      <c r="M140" s="20" cm="1">
        <f t="array" ref="M140">IFERROR(
_xlfn.LET(
_xlpm.load,_xlfn.XLOOKUP(B140,'LOCALIZAÇÃO DE CARGA'!$A$2:$A$2000,'LOCALIZAÇÃO DE CARGA'!$A$2:$A$2000),
_xlpm.res,_xlfn.XLOOKUP(_xlpm.load,DOCUMENTOS!$A$2:$A$2000,DOCUMENTOS!$D$2:$D$2000),
IF(_xlpm.res="","",_xlpm.res)
),
""
)</f>
        <v>46160.75</v>
      </c>
      <c r="N140" s="6">
        <f>IFERROR(IF(M140="","",M140-TIME(1,0,0)),"")</f>
        <v>46160.708333333336</v>
      </c>
      <c r="O140" s="6" cm="1">
        <f t="array" ref="O140">IFERROR(
_xlfn.LET(
_xlpm.res,_xlfn.XLOOKUP(B140,'LOCALIZAÇÃO DE CARGA'!$A$2:$A$2000,'LOCALIZAÇÃO DE CARGA'!$S$2:$S$2000),
IF(_xlpm.res="","",_xlpm.res)
),
""
)</f>
        <v>46167.25</v>
      </c>
      <c r="P140" s="6" t="str" cm="1">
        <f t="array" ref="P140">IFERROR(
_xlfn.LET(
_xlpm.res,_xlfn.XLOOKUP(B140,'LOCALIZAÇÃO DE CARGA'!$A$2:$A$702,'LOCALIZAÇÃO DE CARGA'!$T$2:$T$702),
IF(_xlpm.res="","",_xlpm.res)
),
""
)</f>
        <v/>
      </c>
      <c r="Q140" s="5" t="str">
        <f>IFERROR(
IF(
_xlfn.XLOOKUP(
B140,
'LOCALIZAÇÃO DE CARGA'!$A$2:$A$702,
'LOCALIZAÇÃO DE CARGA'!$K$2:$K$702
)="",
"",
_xlfn.XLOOKUP(
B140,
'LOCALIZAÇÃO DE CARGA'!$A$2:$A$702,
'LOCALIZAÇÃO DE CARGA'!$K$2:$K$702
)
),
""
)</f>
        <v>BASE FATELOG - CAJAMAR</v>
      </c>
      <c r="R140" s="5" t="str">
        <f t="shared" si="8"/>
        <v>BASE FATELOG</v>
      </c>
      <c r="S140" s="5" t="str" cm="1">
        <f t="array" ref="S140">IF(B140="","",IFERROR(
INDEX(
'VISÃO LOGISTICA'!$L$2:$L$525,
MATCH(
TRUE,
ISNUMBER(FIND(B140,'VISÃO LOGISTICA'!$A$2:$A$525)),
0
)
),
""
))</f>
        <v/>
      </c>
      <c r="T140" s="5" t="str" cm="1">
        <f t="array" ref="T140">IFERROR(
_xlfn.LET(
_xlpm.res,_xlfn.XLOOKUP(B140,'LOCALIZAÇÃO DE CARGA'!$A$2:$A$702,'LOCALIZAÇÃO DE CARGA'!$R$2:$R$702),
IF(_xlpm.res="","",SUBSTITUTE(_xlpm.res,"/BRASIL",""))
),
""
)</f>
        <v>CAJAMAR/SP</v>
      </c>
    </row>
    <row r="141" spans="1:20">
      <c r="A141" s="14">
        <f t="shared" si="6"/>
        <v>46157</v>
      </c>
      <c r="B141" s="5">
        <v>6022619</v>
      </c>
      <c r="C141" s="45" t="str">
        <f t="shared" ca="1" si="7"/>
        <v>ATRASADO CARREGAMENTO - SEM SMP</v>
      </c>
      <c r="D141" s="28"/>
      <c r="E141" s="28" t="str">
        <f>IFERROR(
IF(
_xlfn.XLOOKUP(
B141,
'LOCALIZAÇÃO DE CARGA'!$A$2:$A$702,
'LOCALIZAÇÃO DE CARGA'!$D$2:$D$702
)="",
"",
_xlfn.XLOOKUP(
B141,
'LOCALIZAÇÃO DE CARGA'!$A$2:$A$702,
'LOCALIZAÇÃO DE CARGA'!$D$2:$D$702
)
),
""
)</f>
        <v/>
      </c>
      <c r="F141" s="13" t="str">
        <f>IFERROR(
IF(
_xlfn.XLOOKUP(
B141,
'LOCALIZAÇÃO DE CARGA'!$A$2:$A$702,
'LOCALIZAÇÃO DE CARGA'!$H$2:$H$702
)="",
"",
_xlfn.XLOOKUP(
B141,
'LOCALIZAÇÃO DE CARGA'!$A$2:$A$702,
'LOCALIZAÇÃO DE CARGA'!$H$2:$H$702
)
),
""
)</f>
        <v>FITA AZUL PE (FATELOG)</v>
      </c>
      <c r="G141" s="5" t="str">
        <f>IFERROR(
IF(
_xlfn.XLOOKUP(
B141,
'LOCALIZAÇÃO DE CARGA'!$A$2:$A$702,
'LOCALIZAÇÃO DE CARGA'!$I$2:$I$702
)="",
"",
_xlfn.XLOOKUP(
B141,
'LOCALIZAÇÃO DE CARGA'!$A$2:$A$702,
'LOCALIZAÇÃO DE CARGA'!$I$2:$I$702
)
),
""
)</f>
        <v>LGSCT</v>
      </c>
      <c r="H141" s="5" t="str">
        <f>IFERROR(
IF(
_xlfn.XLOOKUP(
B141,
'LOCALIZAÇÃO DE CARGA'!$A$2:$A$702,
'LOCALIZAÇÃO DE CARGA'!$F$2:$F$702
)="",
"",
_xlfn.XLOOKUP(
B141,
'LOCALIZAÇÃO DE CARGA'!$A$2:$A$702,
'LOCALIZAÇÃO DE CARGA'!$F$2:$F$702
)
),
""
)</f>
        <v>Andamento</v>
      </c>
      <c r="I141" s="13" t="str" cm="1">
        <f t="array" ref="I141">IFERROR(
IF(
INDEX(
'VISÃO LOGISTICA'!$C$2:$C$525,
MATCH(
TRUE,
ISNUMBER(FIND(B141,'VISÃO LOGISTICA'!$A$2:$A$525)),
0
)
)="Em espera",
"",
INDEX(
'VISÃO LOGISTICA'!$C$2:$C$525,
MATCH(
TRUE,
ISNUMBER(FIND(B141,'VISÃO LOGISTICA'!$A$2:$A$525)),
0
)
)
),
""
)</f>
        <v/>
      </c>
      <c r="J141" s="5" t="str" cm="1">
        <f t="array" ref="J141">IFERROR(
IF(
OR(
INDEX(
'VISÃO LOGISTICA'!$C$2:$C$2000,
MATCH(
TRUE,
ISNUMBER(FIND(B141,'VISÃO LOGISTICA'!$A$2:$A$2000)),
0
)
)="Em espera",
INDEX(
'VISÃO LOGISTICA'!$C$2:$C$2000,
MATCH(
TRUE,
ISNUMBER(FIND(B141,'VISÃO LOGISTICA'!$A$2:$A$2000)),
0
)
)=""
),
"",
INDEX(
'VISÃO LOGISTICA'!$D$2:$D$2000,
MATCH(
TRUE,
ISNUMBER(FIND(B141,'VISÃO LOGISTICA'!$A$2:$A$2000)),
0
)
)
),
""
)</f>
        <v/>
      </c>
      <c r="K141" s="10">
        <f>IFERROR(
IF(
_xlfn.XLOOKUP(
B141,
'LOCALIZAÇÃO DE CARGA'!$A$2:$A$702,
'LOCALIZAÇÃO DE CARGA'!$E$2:$E$702)="",
"",
_xlfn.XLOOKUP(
B141,
'LOCALIZAÇÃO DE CARGA'!$A$2:$A$702,
'LOCALIZAÇÃO DE CARGA'!$E$2:$E$702)
),
""
)</f>
        <v>4379.04</v>
      </c>
      <c r="L141" s="20" cm="1">
        <f t="array" ref="L141">IFERROR(
_xlfn.LET(
_xlpm.res,_xlfn.XLOOKUP(B141,'LOCALIZAÇÃO DE CARGA'!$A$2:$A$2000,'LOCALIZAÇÃO DE CARGA'!$G$2:$G$2000),
IF(_xlpm.res="","",_xlpm.res)
),
""
)</f>
        <v>46166.424305555556</v>
      </c>
      <c r="M141" s="20" cm="1">
        <f t="array" ref="M141">IFERROR(
_xlfn.LET(
_xlpm.load,_xlfn.XLOOKUP(B141,'LOCALIZAÇÃO DE CARGA'!$A$2:$A$2000,'LOCALIZAÇÃO DE CARGA'!$A$2:$A$2000),
_xlpm.res,_xlfn.XLOOKUP(_xlpm.load,DOCUMENTOS!$A$2:$A$2000,DOCUMENTOS!$D$2:$D$2000),
IF(_xlpm.res="","",_xlpm.res)
),
""
)</f>
        <v>46157.75</v>
      </c>
      <c r="N141" s="6">
        <f>IFERROR(IF(M141="","",M141-TIME(1,0,0)),"")</f>
        <v>46157.708333333336</v>
      </c>
      <c r="O141" s="6" cm="1">
        <f t="array" ref="O141">IFERROR(
_xlfn.LET(
_xlpm.res,_xlfn.XLOOKUP(B141,'LOCALIZAÇÃO DE CARGA'!$A$2:$A$2000,'LOCALIZAÇÃO DE CARGA'!$S$2:$S$2000),
IF(_xlpm.res="","",_xlpm.res)
),
""
)</f>
        <v>46168.333333333336</v>
      </c>
      <c r="P141" s="6" cm="1">
        <f t="array" ref="P141">IFERROR(
_xlfn.LET(
_xlpm.res,_xlfn.XLOOKUP(B141,'LOCALIZAÇÃO DE CARGA'!$A$2:$A$702,'LOCALIZAÇÃO DE CARGA'!$T$2:$T$702),
IF(_xlpm.res="","",_xlpm.res)
),
""
)</f>
        <v>46158.21597222222</v>
      </c>
      <c r="Q141" s="5" t="str">
        <f>IFERROR(
IF(
_xlfn.XLOOKUP(
B141,
'LOCALIZAÇÃO DE CARGA'!$A$2:$A$702,
'LOCALIZAÇÃO DE CARGA'!$K$2:$K$702
)="",
"",
_xlfn.XLOOKUP(
B141,
'LOCALIZAÇÃO DE CARGA'!$A$2:$A$702,
'LOCALIZAÇÃO DE CARGA'!$K$2:$K$702
)
),
""
)</f>
        <v>BASE FATELOG - CAJAMAR</v>
      </c>
      <c r="R141" s="5" t="str">
        <f t="shared" si="8"/>
        <v>BASE FATELOG</v>
      </c>
      <c r="S141" s="5" t="str" cm="1">
        <f t="array" ref="S141">IF(B141="","",IFERROR(
INDEX(
'VISÃO LOGISTICA'!$L$2:$L$525,
MATCH(
TRUE,
ISNUMBER(FIND(B141,'VISÃO LOGISTICA'!$A$2:$A$525)),
0
)
),
""
))</f>
        <v/>
      </c>
      <c r="T141" s="5" t="str" cm="1">
        <f t="array" ref="T141">IFERROR(
_xlfn.LET(
_xlpm.res,_xlfn.XLOOKUP(B141,'LOCALIZAÇÃO DE CARGA'!$A$2:$A$702,'LOCALIZAÇÃO DE CARGA'!$R$2:$R$702),
IF(_xlpm.res="","",SUBSTITUTE(_xlpm.res,"/BRASIL",""))
),
""
)</f>
        <v>CAJAMAR/SP</v>
      </c>
    </row>
    <row r="142" spans="1:20">
      <c r="A142" s="14">
        <f t="shared" si="6"/>
        <v>46160</v>
      </c>
      <c r="B142" s="5">
        <v>6025221</v>
      </c>
      <c r="C142" s="45" t="str">
        <f t="shared" ca="1" si="7"/>
        <v>OK - NO PRAZO</v>
      </c>
      <c r="D142" s="28"/>
      <c r="E142" s="28" t="str">
        <f>IFERROR(
IF(
_xlfn.XLOOKUP(
B142,
'LOCALIZAÇÃO DE CARGA'!$A$2:$A$702,
'LOCALIZAÇÃO DE CARGA'!$D$2:$D$702
)="",
"",
_xlfn.XLOOKUP(
B142,
'LOCALIZAÇÃO DE CARGA'!$A$2:$A$702,
'LOCALIZAÇÃO DE CARGA'!$D$2:$D$702
)
),
""
)</f>
        <v/>
      </c>
      <c r="F142" s="13" t="str">
        <f>IFERROR(
IF(
_xlfn.XLOOKUP(
B142,
'LOCALIZAÇÃO DE CARGA'!$A$2:$A$702,
'LOCALIZAÇÃO DE CARGA'!$H$2:$H$702
)="",
"",
_xlfn.XLOOKUP(
B142,
'LOCALIZAÇÃO DE CARGA'!$A$2:$A$702,
'LOCALIZAÇÃO DE CARGA'!$H$2:$H$702
)
),
""
)</f>
        <v>FITA AZUL PE (FATELOG)</v>
      </c>
      <c r="G142" s="5" t="str">
        <f>IFERROR(
IF(
_xlfn.XLOOKUP(
B142,
'LOCALIZAÇÃO DE CARGA'!$A$2:$A$702,
'LOCALIZAÇÃO DE CARGA'!$I$2:$I$702
)="",
"",
_xlfn.XLOOKUP(
B142,
'LOCALIZAÇÃO DE CARGA'!$A$2:$A$702,
'LOCALIZAÇÃO DE CARGA'!$I$2:$I$702
)
),
""
)</f>
        <v>LGSCT</v>
      </c>
      <c r="H142" s="5" t="str">
        <f>IFERROR(
IF(
_xlfn.XLOOKUP(
B142,
'LOCALIZAÇÃO DE CARGA'!$A$2:$A$702,
'LOCALIZAÇÃO DE CARGA'!$F$2:$F$702
)="",
"",
_xlfn.XLOOKUP(
B142,
'LOCALIZAÇÃO DE CARGA'!$A$2:$A$702,
'LOCALIZAÇÃO DE CARGA'!$F$2:$F$702
)
),
""
)</f>
        <v>Não iniciado</v>
      </c>
      <c r="I142" s="13" t="str" cm="1">
        <f t="array" ref="I142">IFERROR(
IF(
INDEX(
'VISÃO LOGISTICA'!$C$2:$C$525,
MATCH(
TRUE,
ISNUMBER(FIND(B142,'VISÃO LOGISTICA'!$A$2:$A$525)),
0
)
)="Em espera",
"",
INDEX(
'VISÃO LOGISTICA'!$C$2:$C$525,
MATCH(
TRUE,
ISNUMBER(FIND(B142,'VISÃO LOGISTICA'!$A$2:$A$525)),
0
)
)
),
""
)</f>
        <v/>
      </c>
      <c r="J142" s="5" t="str" cm="1">
        <f t="array" ref="J142">IFERROR(
IF(
OR(
INDEX(
'VISÃO LOGISTICA'!$C$2:$C$2000,
MATCH(
TRUE,
ISNUMBER(FIND(B142,'VISÃO LOGISTICA'!$A$2:$A$2000)),
0
)
)="Em espera",
INDEX(
'VISÃO LOGISTICA'!$C$2:$C$2000,
MATCH(
TRUE,
ISNUMBER(FIND(B142,'VISÃO LOGISTICA'!$A$2:$A$2000)),
0
)
)=""
),
"",
INDEX(
'VISÃO LOGISTICA'!$D$2:$D$2000,
MATCH(
TRUE,
ISNUMBER(FIND(B142,'VISÃO LOGISTICA'!$A$2:$A$2000)),
0
)
)
),
""
)</f>
        <v/>
      </c>
      <c r="K142" s="10">
        <f>IFERROR(
IF(
_xlfn.XLOOKUP(
B142,
'LOCALIZAÇÃO DE CARGA'!$A$2:$A$702,
'LOCALIZAÇÃO DE CARGA'!$E$2:$E$702)="",
"",
_xlfn.XLOOKUP(
B142,
'LOCALIZAÇÃO DE CARGA'!$A$2:$A$702,
'LOCALIZAÇÃO DE CARGA'!$E$2:$E$702)
),
""
)</f>
        <v>4077.27</v>
      </c>
      <c r="L142" s="20" cm="1">
        <f t="array" ref="L142">IFERROR(
_xlfn.LET(
_xlpm.res,_xlfn.XLOOKUP(B142,'LOCALIZAÇÃO DE CARGA'!$A$2:$A$2000,'LOCALIZAÇÃO DE CARGA'!$G$2:$G$2000),
IF(_xlpm.res="","",_xlpm.res)
),
""
)</f>
        <v>46166.679166666669</v>
      </c>
      <c r="M142" s="20" cm="1">
        <f t="array" ref="M142">IFERROR(
_xlfn.LET(
_xlpm.load,_xlfn.XLOOKUP(B142,'LOCALIZAÇÃO DE CARGA'!$A$2:$A$2000,'LOCALIZAÇÃO DE CARGA'!$A$2:$A$2000),
_xlpm.res,_xlfn.XLOOKUP(_xlpm.load,DOCUMENTOS!$A$2:$A$2000,DOCUMENTOS!$D$2:$D$2000),
IF(_xlpm.res="","",_xlpm.res)
),
""
)</f>
        <v>46160.75</v>
      </c>
      <c r="N142" s="6">
        <f>IFERROR(IF(M142="","",M142-TIME(1,0,0)),"")</f>
        <v>46160.708333333336</v>
      </c>
      <c r="O142" s="6" cm="1">
        <f t="array" ref="O142">IFERROR(
_xlfn.LET(
_xlpm.res,_xlfn.XLOOKUP(B142,'LOCALIZAÇÃO DE CARGA'!$A$2:$A$2000,'LOCALIZAÇÃO DE CARGA'!$S$2:$S$2000),
IF(_xlpm.res="","",_xlpm.res)
),
""
)</f>
        <v>46167.25</v>
      </c>
      <c r="P142" s="6" t="str" cm="1">
        <f t="array" ref="P142">IFERROR(
_xlfn.LET(
_xlpm.res,_xlfn.XLOOKUP(B142,'LOCALIZAÇÃO DE CARGA'!$A$2:$A$702,'LOCALIZAÇÃO DE CARGA'!$T$2:$T$702),
IF(_xlpm.res="","",_xlpm.res)
),
""
)</f>
        <v/>
      </c>
      <c r="Q142" s="5" t="str">
        <f>IFERROR(
IF(
_xlfn.XLOOKUP(
B142,
'LOCALIZAÇÃO DE CARGA'!$A$2:$A$702,
'LOCALIZAÇÃO DE CARGA'!$K$2:$K$702
)="",
"",
_xlfn.XLOOKUP(
B142,
'LOCALIZAÇÃO DE CARGA'!$A$2:$A$702,
'LOCALIZAÇÃO DE CARGA'!$K$2:$K$702
)
),
""
)</f>
        <v>BASE FATELOG - CAJAMAR</v>
      </c>
      <c r="R142" s="5" t="str">
        <f t="shared" si="8"/>
        <v>BASE FATELOG</v>
      </c>
      <c r="S142" s="5" t="str" cm="1">
        <f t="array" ref="S142">IF(B142="","",IFERROR(
INDEX(
'VISÃO LOGISTICA'!$L$2:$L$525,
MATCH(
TRUE,
ISNUMBER(FIND(B142,'VISÃO LOGISTICA'!$A$2:$A$525)),
0
)
),
""
))</f>
        <v/>
      </c>
      <c r="T142" s="5" t="str" cm="1">
        <f t="array" ref="T142">IFERROR(
_xlfn.LET(
_xlpm.res,_xlfn.XLOOKUP(B142,'LOCALIZAÇÃO DE CARGA'!$A$2:$A$702,'LOCALIZAÇÃO DE CARGA'!$R$2:$R$702),
IF(_xlpm.res="","",SUBSTITUTE(_xlpm.res,"/BRASIL",""))
),
""
)</f>
        <v>CAJAMAR/SP</v>
      </c>
    </row>
    <row r="143" spans="1:20">
      <c r="A143" s="14">
        <f t="shared" si="6"/>
        <v>46160</v>
      </c>
      <c r="B143" s="5">
        <v>6025214</v>
      </c>
      <c r="C143" s="45" t="str">
        <f t="shared" ca="1" si="7"/>
        <v>OK - NO PRAZO</v>
      </c>
      <c r="D143" s="28"/>
      <c r="E143" s="28" t="str">
        <f>IFERROR(
IF(
_xlfn.XLOOKUP(
B143,
'LOCALIZAÇÃO DE CARGA'!$A$2:$A$702,
'LOCALIZAÇÃO DE CARGA'!$D$2:$D$702
)="",
"",
_xlfn.XLOOKUP(
B143,
'LOCALIZAÇÃO DE CARGA'!$A$2:$A$702,
'LOCALIZAÇÃO DE CARGA'!$D$2:$D$702
)
),
""
)</f>
        <v/>
      </c>
      <c r="F143" s="13" t="str">
        <f>IFERROR(
IF(
_xlfn.XLOOKUP(
B143,
'LOCALIZAÇÃO DE CARGA'!$A$2:$A$702,
'LOCALIZAÇÃO DE CARGA'!$H$2:$H$702
)="",
"",
_xlfn.XLOOKUP(
B143,
'LOCALIZAÇÃO DE CARGA'!$A$2:$A$702,
'LOCALIZAÇÃO DE CARGA'!$H$2:$H$702
)
),
""
)</f>
        <v>FITA AZUL PE (FATELOG)</v>
      </c>
      <c r="G143" s="5" t="str">
        <f>IFERROR(
IF(
_xlfn.XLOOKUP(
B143,
'LOCALIZAÇÃO DE CARGA'!$A$2:$A$702,
'LOCALIZAÇÃO DE CARGA'!$I$2:$I$702
)="",
"",
_xlfn.XLOOKUP(
B143,
'LOCALIZAÇÃO DE CARGA'!$A$2:$A$702,
'LOCALIZAÇÃO DE CARGA'!$I$2:$I$702
)
),
""
)</f>
        <v>LGSCT</v>
      </c>
      <c r="H143" s="5" t="str">
        <f>IFERROR(
IF(
_xlfn.XLOOKUP(
B143,
'LOCALIZAÇÃO DE CARGA'!$A$2:$A$702,
'LOCALIZAÇÃO DE CARGA'!$F$2:$F$702
)="",
"",
_xlfn.XLOOKUP(
B143,
'LOCALIZAÇÃO DE CARGA'!$A$2:$A$702,
'LOCALIZAÇÃO DE CARGA'!$F$2:$F$702
)
),
""
)</f>
        <v>Não iniciado</v>
      </c>
      <c r="I143" s="13" t="str" cm="1">
        <f t="array" ref="I143">IFERROR(
IF(
INDEX(
'VISÃO LOGISTICA'!$C$2:$C$525,
MATCH(
TRUE,
ISNUMBER(FIND(B143,'VISÃO LOGISTICA'!$A$2:$A$525)),
0
)
)="Em espera",
"",
INDEX(
'VISÃO LOGISTICA'!$C$2:$C$525,
MATCH(
TRUE,
ISNUMBER(FIND(B143,'VISÃO LOGISTICA'!$A$2:$A$525)),
0
)
)
),
""
)</f>
        <v/>
      </c>
      <c r="J143" s="5" t="str" cm="1">
        <f t="array" ref="J143">IFERROR(
IF(
OR(
INDEX(
'VISÃO LOGISTICA'!$C$2:$C$2000,
MATCH(
TRUE,
ISNUMBER(FIND(B143,'VISÃO LOGISTICA'!$A$2:$A$2000)),
0
)
)="Em espera",
INDEX(
'VISÃO LOGISTICA'!$C$2:$C$2000,
MATCH(
TRUE,
ISNUMBER(FIND(B143,'VISÃO LOGISTICA'!$A$2:$A$2000)),
0
)
)=""
),
"",
INDEX(
'VISÃO LOGISTICA'!$D$2:$D$2000,
MATCH(
TRUE,
ISNUMBER(FIND(B143,'VISÃO LOGISTICA'!$A$2:$A$2000)),
0
)
)
),
""
)</f>
        <v/>
      </c>
      <c r="K143" s="10">
        <f>IFERROR(
IF(
_xlfn.XLOOKUP(
B143,
'LOCALIZAÇÃO DE CARGA'!$A$2:$A$702,
'LOCALIZAÇÃO DE CARGA'!$E$2:$E$702)="",
"",
_xlfn.XLOOKUP(
B143,
'LOCALIZAÇÃO DE CARGA'!$A$2:$A$702,
'LOCALIZAÇÃO DE CARGA'!$E$2:$E$702)
),
""
)</f>
        <v>4077.27</v>
      </c>
      <c r="L143" s="20" cm="1">
        <f t="array" ref="L143">IFERROR(
_xlfn.LET(
_xlpm.res,_xlfn.XLOOKUP(B143,'LOCALIZAÇÃO DE CARGA'!$A$2:$A$2000,'LOCALIZAÇÃO DE CARGA'!$G$2:$G$2000),
IF(_xlpm.res="","",_xlpm.res)
),
""
)</f>
        <v>46166.679166666669</v>
      </c>
      <c r="M143" s="20" cm="1">
        <f t="array" ref="M143">IFERROR(
_xlfn.LET(
_xlpm.load,_xlfn.XLOOKUP(B143,'LOCALIZAÇÃO DE CARGA'!$A$2:$A$2000,'LOCALIZAÇÃO DE CARGA'!$A$2:$A$2000),
_xlpm.res,_xlfn.XLOOKUP(_xlpm.load,DOCUMENTOS!$A$2:$A$2000,DOCUMENTOS!$D$2:$D$2000),
IF(_xlpm.res="","",_xlpm.res)
),
""
)</f>
        <v>46160.75</v>
      </c>
      <c r="N143" s="6">
        <f>IFERROR(IF(M143="","",M143-TIME(1,0,0)),"")</f>
        <v>46160.708333333336</v>
      </c>
      <c r="O143" s="6" cm="1">
        <f t="array" ref="O143">IFERROR(
_xlfn.LET(
_xlpm.res,_xlfn.XLOOKUP(B143,'LOCALIZAÇÃO DE CARGA'!$A$2:$A$2000,'LOCALIZAÇÃO DE CARGA'!$S$2:$S$2000),
IF(_xlpm.res="","",_xlpm.res)
),
""
)</f>
        <v>46167.25</v>
      </c>
      <c r="P143" s="6" t="str" cm="1">
        <f t="array" ref="P143">IFERROR(
_xlfn.LET(
_xlpm.res,_xlfn.XLOOKUP(B143,'LOCALIZAÇÃO DE CARGA'!$A$2:$A$702,'LOCALIZAÇÃO DE CARGA'!$T$2:$T$702),
IF(_xlpm.res="","",_xlpm.res)
),
""
)</f>
        <v/>
      </c>
      <c r="Q143" s="5" t="str">
        <f>IFERROR(
IF(
_xlfn.XLOOKUP(
B143,
'LOCALIZAÇÃO DE CARGA'!$A$2:$A$702,
'LOCALIZAÇÃO DE CARGA'!$K$2:$K$702
)="",
"",
_xlfn.XLOOKUP(
B143,
'LOCALIZAÇÃO DE CARGA'!$A$2:$A$702,
'LOCALIZAÇÃO DE CARGA'!$K$2:$K$702
)
),
""
)</f>
        <v>BASE FATELOG - CAJAMAR</v>
      </c>
      <c r="R143" s="5" t="str">
        <f t="shared" si="8"/>
        <v>BASE FATELOG</v>
      </c>
      <c r="S143" s="5" t="str" cm="1">
        <f t="array" ref="S143">IF(B143="","",IFERROR(
INDEX(
'VISÃO LOGISTICA'!$L$2:$L$525,
MATCH(
TRUE,
ISNUMBER(FIND(B143,'VISÃO LOGISTICA'!$A$2:$A$525)),
0
)
),
""
))</f>
        <v/>
      </c>
      <c r="T143" s="5" t="str" cm="1">
        <f t="array" ref="T143">IFERROR(
_xlfn.LET(
_xlpm.res,_xlfn.XLOOKUP(B143,'LOCALIZAÇÃO DE CARGA'!$A$2:$A$702,'LOCALIZAÇÃO DE CARGA'!$R$2:$R$702),
IF(_xlpm.res="","",SUBSTITUTE(_xlpm.res,"/BRASIL",""))
),
""
)</f>
        <v>CAJAMAR/SP</v>
      </c>
    </row>
    <row r="144" spans="1:20">
      <c r="A144" s="14">
        <f t="shared" si="6"/>
        <v>46160</v>
      </c>
      <c r="B144" s="5">
        <v>6025213</v>
      </c>
      <c r="C144" s="45" t="str">
        <f t="shared" ca="1" si="7"/>
        <v>OK - NO PRAZO</v>
      </c>
      <c r="D144" s="28"/>
      <c r="E144" s="28" t="str">
        <f>IFERROR(
IF(
_xlfn.XLOOKUP(
B144,
'LOCALIZAÇÃO DE CARGA'!$A$2:$A$702,
'LOCALIZAÇÃO DE CARGA'!$D$2:$D$702
)="",
"",
_xlfn.XLOOKUP(
B144,
'LOCALIZAÇÃO DE CARGA'!$A$2:$A$702,
'LOCALIZAÇÃO DE CARGA'!$D$2:$D$702
)
),
""
)</f>
        <v/>
      </c>
      <c r="F144" s="13" t="str">
        <f>IFERROR(
IF(
_xlfn.XLOOKUP(
B144,
'LOCALIZAÇÃO DE CARGA'!$A$2:$A$702,
'LOCALIZAÇÃO DE CARGA'!$H$2:$H$702
)="",
"",
_xlfn.XLOOKUP(
B144,
'LOCALIZAÇÃO DE CARGA'!$A$2:$A$702,
'LOCALIZAÇÃO DE CARGA'!$H$2:$H$702
)
),
""
)</f>
        <v>FITA AZUL PE (FATELOG)</v>
      </c>
      <c r="G144" s="5" t="str">
        <f>IFERROR(
IF(
_xlfn.XLOOKUP(
B144,
'LOCALIZAÇÃO DE CARGA'!$A$2:$A$702,
'LOCALIZAÇÃO DE CARGA'!$I$2:$I$702
)="",
"",
_xlfn.XLOOKUP(
B144,
'LOCALIZAÇÃO DE CARGA'!$A$2:$A$702,
'LOCALIZAÇÃO DE CARGA'!$I$2:$I$702
)
),
""
)</f>
        <v>LGSCT</v>
      </c>
      <c r="H144" s="5" t="str">
        <f>IFERROR(
IF(
_xlfn.XLOOKUP(
B144,
'LOCALIZAÇÃO DE CARGA'!$A$2:$A$702,
'LOCALIZAÇÃO DE CARGA'!$F$2:$F$702
)="",
"",
_xlfn.XLOOKUP(
B144,
'LOCALIZAÇÃO DE CARGA'!$A$2:$A$702,
'LOCALIZAÇÃO DE CARGA'!$F$2:$F$702
)
),
""
)</f>
        <v>Não iniciado</v>
      </c>
      <c r="I144" s="13" t="str" cm="1">
        <f t="array" ref="I144">IFERROR(
IF(
INDEX(
'VISÃO LOGISTICA'!$C$2:$C$525,
MATCH(
TRUE,
ISNUMBER(FIND(B144,'VISÃO LOGISTICA'!$A$2:$A$525)),
0
)
)="Em espera",
"",
INDEX(
'VISÃO LOGISTICA'!$C$2:$C$525,
MATCH(
TRUE,
ISNUMBER(FIND(B144,'VISÃO LOGISTICA'!$A$2:$A$525)),
0
)
)
),
""
)</f>
        <v/>
      </c>
      <c r="J144" s="5" t="str" cm="1">
        <f t="array" ref="J144">IFERROR(
IF(
OR(
INDEX(
'VISÃO LOGISTICA'!$C$2:$C$2000,
MATCH(
TRUE,
ISNUMBER(FIND(B144,'VISÃO LOGISTICA'!$A$2:$A$2000)),
0
)
)="Em espera",
INDEX(
'VISÃO LOGISTICA'!$C$2:$C$2000,
MATCH(
TRUE,
ISNUMBER(FIND(B144,'VISÃO LOGISTICA'!$A$2:$A$2000)),
0
)
)=""
),
"",
INDEX(
'VISÃO LOGISTICA'!$D$2:$D$2000,
MATCH(
TRUE,
ISNUMBER(FIND(B144,'VISÃO LOGISTICA'!$A$2:$A$2000)),
0
)
)
),
""
)</f>
        <v/>
      </c>
      <c r="K144" s="10">
        <f>IFERROR(
IF(
_xlfn.XLOOKUP(
B144,
'LOCALIZAÇÃO DE CARGA'!$A$2:$A$702,
'LOCALIZAÇÃO DE CARGA'!$E$2:$E$702)="",
"",
_xlfn.XLOOKUP(
B144,
'LOCALIZAÇÃO DE CARGA'!$A$2:$A$702,
'LOCALIZAÇÃO DE CARGA'!$E$2:$E$702)
),
""
)</f>
        <v>4031.07</v>
      </c>
      <c r="L144" s="20" cm="1">
        <f t="array" ref="L144">IFERROR(
_xlfn.LET(
_xlpm.res,_xlfn.XLOOKUP(B144,'LOCALIZAÇÃO DE CARGA'!$A$2:$A$2000,'LOCALIZAÇÃO DE CARGA'!$G$2:$G$2000),
IF(_xlpm.res="","",_xlpm.res)
),
""
)</f>
        <v>46166.679166666669</v>
      </c>
      <c r="M144" s="20" cm="1">
        <f t="array" ref="M144">IFERROR(
_xlfn.LET(
_xlpm.load,_xlfn.XLOOKUP(B144,'LOCALIZAÇÃO DE CARGA'!$A$2:$A$2000,'LOCALIZAÇÃO DE CARGA'!$A$2:$A$2000),
_xlpm.res,_xlfn.XLOOKUP(_xlpm.load,DOCUMENTOS!$A$2:$A$2000,DOCUMENTOS!$D$2:$D$2000),
IF(_xlpm.res="","",_xlpm.res)
),
""
)</f>
        <v>46160.75</v>
      </c>
      <c r="N144" s="6">
        <f>IFERROR(IF(M144="","",M144-TIME(1,0,0)),"")</f>
        <v>46160.708333333336</v>
      </c>
      <c r="O144" s="6" cm="1">
        <f t="array" ref="O144">IFERROR(
_xlfn.LET(
_xlpm.res,_xlfn.XLOOKUP(B144,'LOCALIZAÇÃO DE CARGA'!$A$2:$A$2000,'LOCALIZAÇÃO DE CARGA'!$S$2:$S$2000),
IF(_xlpm.res="","",_xlpm.res)
),
""
)</f>
        <v>46167.25</v>
      </c>
      <c r="P144" s="6" t="str" cm="1">
        <f t="array" ref="P144">IFERROR(
_xlfn.LET(
_xlpm.res,_xlfn.XLOOKUP(B144,'LOCALIZAÇÃO DE CARGA'!$A$2:$A$702,'LOCALIZAÇÃO DE CARGA'!$T$2:$T$702),
IF(_xlpm.res="","",_xlpm.res)
),
""
)</f>
        <v/>
      </c>
      <c r="Q144" s="5" t="str">
        <f>IFERROR(
IF(
_xlfn.XLOOKUP(
B144,
'LOCALIZAÇÃO DE CARGA'!$A$2:$A$702,
'LOCALIZAÇÃO DE CARGA'!$K$2:$K$702
)="",
"",
_xlfn.XLOOKUP(
B144,
'LOCALIZAÇÃO DE CARGA'!$A$2:$A$702,
'LOCALIZAÇÃO DE CARGA'!$K$2:$K$702
)
),
""
)</f>
        <v>BASE FATELOG - CAJAMAR</v>
      </c>
      <c r="R144" s="5" t="str">
        <f t="shared" si="8"/>
        <v>BASE FATELOG</v>
      </c>
      <c r="S144" s="5" t="str" cm="1">
        <f t="array" ref="S144">IF(B144="","",IFERROR(
INDEX(
'VISÃO LOGISTICA'!$L$2:$L$525,
MATCH(
TRUE,
ISNUMBER(FIND(B144,'VISÃO LOGISTICA'!$A$2:$A$525)),
0
)
),
""
))</f>
        <v/>
      </c>
      <c r="T144" s="5" t="str" cm="1">
        <f t="array" ref="T144">IFERROR(
_xlfn.LET(
_xlpm.res,_xlfn.XLOOKUP(B144,'LOCALIZAÇÃO DE CARGA'!$A$2:$A$702,'LOCALIZAÇÃO DE CARGA'!$R$2:$R$702),
IF(_xlpm.res="","",SUBSTITUTE(_xlpm.res,"/BRASIL",""))
),
""
)</f>
        <v>CAJAMAR/SP</v>
      </c>
    </row>
    <row r="145" spans="1:20">
      <c r="A145" s="14">
        <f t="shared" si="6"/>
        <v>46160</v>
      </c>
      <c r="B145" s="5">
        <v>6025212</v>
      </c>
      <c r="C145" s="45" t="str">
        <f t="shared" ca="1" si="7"/>
        <v>OK - NO PRAZO</v>
      </c>
      <c r="D145" s="28"/>
      <c r="E145" s="28" t="str">
        <f>IFERROR(
IF(
_xlfn.XLOOKUP(
B145,
'LOCALIZAÇÃO DE CARGA'!$A$2:$A$702,
'LOCALIZAÇÃO DE CARGA'!$D$2:$D$702
)="",
"",
_xlfn.XLOOKUP(
B145,
'LOCALIZAÇÃO DE CARGA'!$A$2:$A$702,
'LOCALIZAÇÃO DE CARGA'!$D$2:$D$702
)
),
""
)</f>
        <v/>
      </c>
      <c r="F145" s="13" t="str">
        <f>IFERROR(
IF(
_xlfn.XLOOKUP(
B145,
'LOCALIZAÇÃO DE CARGA'!$A$2:$A$702,
'LOCALIZAÇÃO DE CARGA'!$H$2:$H$702
)="",
"",
_xlfn.XLOOKUP(
B145,
'LOCALIZAÇÃO DE CARGA'!$A$2:$A$702,
'LOCALIZAÇÃO DE CARGA'!$H$2:$H$702
)
),
""
)</f>
        <v>FITA AZUL PE (FATELOG)</v>
      </c>
      <c r="G145" s="5" t="str">
        <f>IFERROR(
IF(
_xlfn.XLOOKUP(
B145,
'LOCALIZAÇÃO DE CARGA'!$A$2:$A$702,
'LOCALIZAÇÃO DE CARGA'!$I$2:$I$702
)="",
"",
_xlfn.XLOOKUP(
B145,
'LOCALIZAÇÃO DE CARGA'!$A$2:$A$702,
'LOCALIZAÇÃO DE CARGA'!$I$2:$I$702
)
),
""
)</f>
        <v>LGSCT</v>
      </c>
      <c r="H145" s="5" t="str">
        <f>IFERROR(
IF(
_xlfn.XLOOKUP(
B145,
'LOCALIZAÇÃO DE CARGA'!$A$2:$A$702,
'LOCALIZAÇÃO DE CARGA'!$F$2:$F$702
)="",
"",
_xlfn.XLOOKUP(
B145,
'LOCALIZAÇÃO DE CARGA'!$A$2:$A$702,
'LOCALIZAÇÃO DE CARGA'!$F$2:$F$702
)
),
""
)</f>
        <v>Não iniciado</v>
      </c>
      <c r="I145" s="13" t="str" cm="1">
        <f t="array" ref="I145">IFERROR(
IF(
INDEX(
'VISÃO LOGISTICA'!$C$2:$C$525,
MATCH(
TRUE,
ISNUMBER(FIND(B145,'VISÃO LOGISTICA'!$A$2:$A$525)),
0
)
)="Em espera",
"",
INDEX(
'VISÃO LOGISTICA'!$C$2:$C$525,
MATCH(
TRUE,
ISNUMBER(FIND(B145,'VISÃO LOGISTICA'!$A$2:$A$525)),
0
)
)
),
""
)</f>
        <v/>
      </c>
      <c r="J145" s="5" t="str" cm="1">
        <f t="array" ref="J145">IFERROR(
IF(
OR(
INDEX(
'VISÃO LOGISTICA'!$C$2:$C$2000,
MATCH(
TRUE,
ISNUMBER(FIND(B145,'VISÃO LOGISTICA'!$A$2:$A$2000)),
0
)
)="Em espera",
INDEX(
'VISÃO LOGISTICA'!$C$2:$C$2000,
MATCH(
TRUE,
ISNUMBER(FIND(B145,'VISÃO LOGISTICA'!$A$2:$A$2000)),
0
)
)=""
),
"",
INDEX(
'VISÃO LOGISTICA'!$D$2:$D$2000,
MATCH(
TRUE,
ISNUMBER(FIND(B145,'VISÃO LOGISTICA'!$A$2:$A$2000)),
0
)
)
),
""
)</f>
        <v/>
      </c>
      <c r="K145" s="10">
        <f>IFERROR(
IF(
_xlfn.XLOOKUP(
B145,
'LOCALIZAÇÃO DE CARGA'!$A$2:$A$702,
'LOCALIZAÇÃO DE CARGA'!$E$2:$E$702)="",
"",
_xlfn.XLOOKUP(
B145,
'LOCALIZAÇÃO DE CARGA'!$A$2:$A$702,
'LOCALIZAÇÃO DE CARGA'!$E$2:$E$702)
),
""
)</f>
        <v>4031.07</v>
      </c>
      <c r="L145" s="20" cm="1">
        <f t="array" ref="L145">IFERROR(
_xlfn.LET(
_xlpm.res,_xlfn.XLOOKUP(B145,'LOCALIZAÇÃO DE CARGA'!$A$2:$A$2000,'LOCALIZAÇÃO DE CARGA'!$G$2:$G$2000),
IF(_xlpm.res="","",_xlpm.res)
),
""
)</f>
        <v>46166.679166666669</v>
      </c>
      <c r="M145" s="20" cm="1">
        <f t="array" ref="M145">IFERROR(
_xlfn.LET(
_xlpm.load,_xlfn.XLOOKUP(B145,'LOCALIZAÇÃO DE CARGA'!$A$2:$A$2000,'LOCALIZAÇÃO DE CARGA'!$A$2:$A$2000),
_xlpm.res,_xlfn.XLOOKUP(_xlpm.load,DOCUMENTOS!$A$2:$A$2000,DOCUMENTOS!$D$2:$D$2000),
IF(_xlpm.res="","",_xlpm.res)
),
""
)</f>
        <v>46160.75</v>
      </c>
      <c r="N145" s="6">
        <f>IFERROR(IF(M145="","",M145-TIME(1,0,0)),"")</f>
        <v>46160.708333333336</v>
      </c>
      <c r="O145" s="6" cm="1">
        <f t="array" ref="O145">IFERROR(
_xlfn.LET(
_xlpm.res,_xlfn.XLOOKUP(B145,'LOCALIZAÇÃO DE CARGA'!$A$2:$A$2000,'LOCALIZAÇÃO DE CARGA'!$S$2:$S$2000),
IF(_xlpm.res="","",_xlpm.res)
),
""
)</f>
        <v>46167.25</v>
      </c>
      <c r="P145" s="6" t="str" cm="1">
        <f t="array" ref="P145">IFERROR(
_xlfn.LET(
_xlpm.res,_xlfn.XLOOKUP(B145,'LOCALIZAÇÃO DE CARGA'!$A$2:$A$702,'LOCALIZAÇÃO DE CARGA'!$T$2:$T$702),
IF(_xlpm.res="","",_xlpm.res)
),
""
)</f>
        <v/>
      </c>
      <c r="Q145" s="5" t="str">
        <f>IFERROR(
IF(
_xlfn.XLOOKUP(
B145,
'LOCALIZAÇÃO DE CARGA'!$A$2:$A$702,
'LOCALIZAÇÃO DE CARGA'!$K$2:$K$702
)="",
"",
_xlfn.XLOOKUP(
B145,
'LOCALIZAÇÃO DE CARGA'!$A$2:$A$702,
'LOCALIZAÇÃO DE CARGA'!$K$2:$K$702
)
),
""
)</f>
        <v>BASE FATELOG - CAJAMAR</v>
      </c>
      <c r="R145" s="5" t="str">
        <f t="shared" si="8"/>
        <v>BASE FATELOG</v>
      </c>
      <c r="S145" s="5" t="str" cm="1">
        <f t="array" ref="S145">IF(B145="","",IFERROR(
INDEX(
'VISÃO LOGISTICA'!$L$2:$L$525,
MATCH(
TRUE,
ISNUMBER(FIND(B145,'VISÃO LOGISTICA'!$A$2:$A$525)),
0
)
),
""
))</f>
        <v/>
      </c>
      <c r="T145" s="5" t="str" cm="1">
        <f t="array" ref="T145">IFERROR(
_xlfn.LET(
_xlpm.res,_xlfn.XLOOKUP(B145,'LOCALIZAÇÃO DE CARGA'!$A$2:$A$702,'LOCALIZAÇÃO DE CARGA'!$R$2:$R$702),
IF(_xlpm.res="","",SUBSTITUTE(_xlpm.res,"/BRASIL",""))
),
""
)</f>
        <v>CAJAMAR/SP</v>
      </c>
    </row>
    <row r="146" spans="1:20">
      <c r="A146" s="14">
        <f t="shared" si="6"/>
        <v>46160</v>
      </c>
      <c r="B146" s="5">
        <v>6025211</v>
      </c>
      <c r="C146" s="45" t="str">
        <f t="shared" ca="1" si="7"/>
        <v>OK - NO PRAZO</v>
      </c>
      <c r="D146" s="28"/>
      <c r="E146" s="28" t="str">
        <f>IFERROR(
IF(
_xlfn.XLOOKUP(
B146,
'LOCALIZAÇÃO DE CARGA'!$A$2:$A$702,
'LOCALIZAÇÃO DE CARGA'!$D$2:$D$702
)="",
"",
_xlfn.XLOOKUP(
B146,
'LOCALIZAÇÃO DE CARGA'!$A$2:$A$702,
'LOCALIZAÇÃO DE CARGA'!$D$2:$D$702
)
),
""
)</f>
        <v/>
      </c>
      <c r="F146" s="13" t="str">
        <f>IFERROR(
IF(
_xlfn.XLOOKUP(
B146,
'LOCALIZAÇÃO DE CARGA'!$A$2:$A$702,
'LOCALIZAÇÃO DE CARGA'!$H$2:$H$702
)="",
"",
_xlfn.XLOOKUP(
B146,
'LOCALIZAÇÃO DE CARGA'!$A$2:$A$702,
'LOCALIZAÇÃO DE CARGA'!$H$2:$H$702
)
),
""
)</f>
        <v>FITA AZUL PE (FATELOG)</v>
      </c>
      <c r="G146" s="5" t="str">
        <f>IFERROR(
IF(
_xlfn.XLOOKUP(
B146,
'LOCALIZAÇÃO DE CARGA'!$A$2:$A$702,
'LOCALIZAÇÃO DE CARGA'!$I$2:$I$702
)="",
"",
_xlfn.XLOOKUP(
B146,
'LOCALIZAÇÃO DE CARGA'!$A$2:$A$702,
'LOCALIZAÇÃO DE CARGA'!$I$2:$I$702
)
),
""
)</f>
        <v>LGSCT</v>
      </c>
      <c r="H146" s="5" t="str">
        <f>IFERROR(
IF(
_xlfn.XLOOKUP(
B146,
'LOCALIZAÇÃO DE CARGA'!$A$2:$A$702,
'LOCALIZAÇÃO DE CARGA'!$F$2:$F$702
)="",
"",
_xlfn.XLOOKUP(
B146,
'LOCALIZAÇÃO DE CARGA'!$A$2:$A$702,
'LOCALIZAÇÃO DE CARGA'!$F$2:$F$702
)
),
""
)</f>
        <v>Não iniciado</v>
      </c>
      <c r="I146" s="13" t="str" cm="1">
        <f t="array" ref="I146">IFERROR(
IF(
INDEX(
'VISÃO LOGISTICA'!$C$2:$C$525,
MATCH(
TRUE,
ISNUMBER(FIND(B146,'VISÃO LOGISTICA'!$A$2:$A$525)),
0
)
)="Em espera",
"",
INDEX(
'VISÃO LOGISTICA'!$C$2:$C$525,
MATCH(
TRUE,
ISNUMBER(FIND(B146,'VISÃO LOGISTICA'!$A$2:$A$525)),
0
)
)
),
""
)</f>
        <v/>
      </c>
      <c r="J146" s="5" t="str" cm="1">
        <f t="array" ref="J146">IFERROR(
IF(
OR(
INDEX(
'VISÃO LOGISTICA'!$C$2:$C$2000,
MATCH(
TRUE,
ISNUMBER(FIND(B146,'VISÃO LOGISTICA'!$A$2:$A$2000)),
0
)
)="Em espera",
INDEX(
'VISÃO LOGISTICA'!$C$2:$C$2000,
MATCH(
TRUE,
ISNUMBER(FIND(B146,'VISÃO LOGISTICA'!$A$2:$A$2000)),
0
)
)=""
),
"",
INDEX(
'VISÃO LOGISTICA'!$D$2:$D$2000,
MATCH(
TRUE,
ISNUMBER(FIND(B146,'VISÃO LOGISTICA'!$A$2:$A$2000)),
0
)
)
),
""
)</f>
        <v/>
      </c>
      <c r="K146" s="10">
        <f>IFERROR(
IF(
_xlfn.XLOOKUP(
B146,
'LOCALIZAÇÃO DE CARGA'!$A$2:$A$702,
'LOCALIZAÇÃO DE CARGA'!$E$2:$E$702)="",
"",
_xlfn.XLOOKUP(
B146,
'LOCALIZAÇÃO DE CARGA'!$A$2:$A$702,
'LOCALIZAÇÃO DE CARGA'!$E$2:$E$702)
),
""
)</f>
        <v>4031.07</v>
      </c>
      <c r="L146" s="20" cm="1">
        <f t="array" ref="L146">IFERROR(
_xlfn.LET(
_xlpm.res,_xlfn.XLOOKUP(B146,'LOCALIZAÇÃO DE CARGA'!$A$2:$A$2000,'LOCALIZAÇÃO DE CARGA'!$G$2:$G$2000),
IF(_xlpm.res="","",_xlpm.res)
),
""
)</f>
        <v>46166.679166666669</v>
      </c>
      <c r="M146" s="20" cm="1">
        <f t="array" ref="M146">IFERROR(
_xlfn.LET(
_xlpm.load,_xlfn.XLOOKUP(B146,'LOCALIZAÇÃO DE CARGA'!$A$2:$A$2000,'LOCALIZAÇÃO DE CARGA'!$A$2:$A$2000),
_xlpm.res,_xlfn.XLOOKUP(_xlpm.load,DOCUMENTOS!$A$2:$A$2000,DOCUMENTOS!$D$2:$D$2000),
IF(_xlpm.res="","",_xlpm.res)
),
""
)</f>
        <v>46160.75</v>
      </c>
      <c r="N146" s="6">
        <f>IFERROR(IF(M146="","",M146-TIME(1,0,0)),"")</f>
        <v>46160.708333333336</v>
      </c>
      <c r="O146" s="6" cm="1">
        <f t="array" ref="O146">IFERROR(
_xlfn.LET(
_xlpm.res,_xlfn.XLOOKUP(B146,'LOCALIZAÇÃO DE CARGA'!$A$2:$A$2000,'LOCALIZAÇÃO DE CARGA'!$S$2:$S$2000),
IF(_xlpm.res="","",_xlpm.res)
),
""
)</f>
        <v>46167.25</v>
      </c>
      <c r="P146" s="6" t="str" cm="1">
        <f t="array" ref="P146">IFERROR(
_xlfn.LET(
_xlpm.res,_xlfn.XLOOKUP(B146,'LOCALIZAÇÃO DE CARGA'!$A$2:$A$702,'LOCALIZAÇÃO DE CARGA'!$T$2:$T$702),
IF(_xlpm.res="","",_xlpm.res)
),
""
)</f>
        <v/>
      </c>
      <c r="Q146" s="5" t="str">
        <f>IFERROR(
IF(
_xlfn.XLOOKUP(
B146,
'LOCALIZAÇÃO DE CARGA'!$A$2:$A$702,
'LOCALIZAÇÃO DE CARGA'!$K$2:$K$702
)="",
"",
_xlfn.XLOOKUP(
B146,
'LOCALIZAÇÃO DE CARGA'!$A$2:$A$702,
'LOCALIZAÇÃO DE CARGA'!$K$2:$K$702
)
),
""
)</f>
        <v>BASE FATELOG - CAJAMAR</v>
      </c>
      <c r="R146" s="5" t="str">
        <f t="shared" si="8"/>
        <v>BASE FATELOG</v>
      </c>
      <c r="S146" s="5" t="str" cm="1">
        <f t="array" ref="S146">IF(B146="","",IFERROR(
INDEX(
'VISÃO LOGISTICA'!$L$2:$L$525,
MATCH(
TRUE,
ISNUMBER(FIND(B146,'VISÃO LOGISTICA'!$A$2:$A$525)),
0
)
),
""
))</f>
        <v/>
      </c>
      <c r="T146" s="5" t="str" cm="1">
        <f t="array" ref="T146">IFERROR(
_xlfn.LET(
_xlpm.res,_xlfn.XLOOKUP(B146,'LOCALIZAÇÃO DE CARGA'!$A$2:$A$702,'LOCALIZAÇÃO DE CARGA'!$R$2:$R$702),
IF(_xlpm.res="","",SUBSTITUTE(_xlpm.res,"/BRASIL",""))
),
""
)</f>
        <v>CAJAMAR/SP</v>
      </c>
    </row>
    <row r="147" spans="1:20">
      <c r="A147" s="14">
        <f t="shared" si="6"/>
        <v>46160</v>
      </c>
      <c r="B147" s="5">
        <v>6025220</v>
      </c>
      <c r="C147" s="45" t="str">
        <f t="shared" ca="1" si="7"/>
        <v>OK - NO PRAZO</v>
      </c>
      <c r="D147" s="28"/>
      <c r="E147" s="28" t="str">
        <f>IFERROR(
IF(
_xlfn.XLOOKUP(
B147,
'LOCALIZAÇÃO DE CARGA'!$A$2:$A$702,
'LOCALIZAÇÃO DE CARGA'!$D$2:$D$702
)="",
"",
_xlfn.XLOOKUP(
B147,
'LOCALIZAÇÃO DE CARGA'!$A$2:$A$702,
'LOCALIZAÇÃO DE CARGA'!$D$2:$D$702
)
),
""
)</f>
        <v/>
      </c>
      <c r="F147" s="13" t="str">
        <f>IFERROR(
IF(
_xlfn.XLOOKUP(
B147,
'LOCALIZAÇÃO DE CARGA'!$A$2:$A$702,
'LOCALIZAÇÃO DE CARGA'!$H$2:$H$702
)="",
"",
_xlfn.XLOOKUP(
B147,
'LOCALIZAÇÃO DE CARGA'!$A$2:$A$702,
'LOCALIZAÇÃO DE CARGA'!$H$2:$H$702
)
),
""
)</f>
        <v>FITA AZUL PE (FATELOG)</v>
      </c>
      <c r="G147" s="5" t="str">
        <f>IFERROR(
IF(
_xlfn.XLOOKUP(
B147,
'LOCALIZAÇÃO DE CARGA'!$A$2:$A$702,
'LOCALIZAÇÃO DE CARGA'!$I$2:$I$702
)="",
"",
_xlfn.XLOOKUP(
B147,
'LOCALIZAÇÃO DE CARGA'!$A$2:$A$702,
'LOCALIZAÇÃO DE CARGA'!$I$2:$I$702
)
),
""
)</f>
        <v>LGSCT</v>
      </c>
      <c r="H147" s="5" t="str">
        <f>IFERROR(
IF(
_xlfn.XLOOKUP(
B147,
'LOCALIZAÇÃO DE CARGA'!$A$2:$A$702,
'LOCALIZAÇÃO DE CARGA'!$F$2:$F$702
)="",
"",
_xlfn.XLOOKUP(
B147,
'LOCALIZAÇÃO DE CARGA'!$A$2:$A$702,
'LOCALIZAÇÃO DE CARGA'!$F$2:$F$702
)
),
""
)</f>
        <v>Não iniciado</v>
      </c>
      <c r="I147" s="13" t="str" cm="1">
        <f t="array" ref="I147">IFERROR(
IF(
INDEX(
'VISÃO LOGISTICA'!$C$2:$C$525,
MATCH(
TRUE,
ISNUMBER(FIND(B147,'VISÃO LOGISTICA'!$A$2:$A$525)),
0
)
)="Em espera",
"",
INDEX(
'VISÃO LOGISTICA'!$C$2:$C$525,
MATCH(
TRUE,
ISNUMBER(FIND(B147,'VISÃO LOGISTICA'!$A$2:$A$525)),
0
)
)
),
""
)</f>
        <v/>
      </c>
      <c r="J147" s="5" t="str" cm="1">
        <f t="array" ref="J147">IFERROR(
IF(
OR(
INDEX(
'VISÃO LOGISTICA'!$C$2:$C$2000,
MATCH(
TRUE,
ISNUMBER(FIND(B147,'VISÃO LOGISTICA'!$A$2:$A$2000)),
0
)
)="Em espera",
INDEX(
'VISÃO LOGISTICA'!$C$2:$C$2000,
MATCH(
TRUE,
ISNUMBER(FIND(B147,'VISÃO LOGISTICA'!$A$2:$A$2000)),
0
)
)=""
),
"",
INDEX(
'VISÃO LOGISTICA'!$D$2:$D$2000,
MATCH(
TRUE,
ISNUMBER(FIND(B147,'VISÃO LOGISTICA'!$A$2:$A$2000)),
0
)
)
),
""
)</f>
        <v/>
      </c>
      <c r="K147" s="10">
        <f>IFERROR(
IF(
_xlfn.XLOOKUP(
B147,
'LOCALIZAÇÃO DE CARGA'!$A$2:$A$702,
'LOCALIZAÇÃO DE CARGA'!$E$2:$E$702)="",
"",
_xlfn.XLOOKUP(
B147,
'LOCALIZAÇÃO DE CARGA'!$A$2:$A$702,
'LOCALIZAÇÃO DE CARGA'!$E$2:$E$702)
),
""
)</f>
        <v>1960.72</v>
      </c>
      <c r="L147" s="20" cm="1">
        <f t="array" ref="L147">IFERROR(
_xlfn.LET(
_xlpm.res,_xlfn.XLOOKUP(B147,'LOCALIZAÇÃO DE CARGA'!$A$2:$A$2000,'LOCALIZAÇÃO DE CARGA'!$G$2:$G$2000),
IF(_xlpm.res="","",_xlpm.res)
),
""
)</f>
        <v>46166.679166666669</v>
      </c>
      <c r="M147" s="20" cm="1">
        <f t="array" ref="M147">IFERROR(
_xlfn.LET(
_xlpm.load,_xlfn.XLOOKUP(B147,'LOCALIZAÇÃO DE CARGA'!$A$2:$A$2000,'LOCALIZAÇÃO DE CARGA'!$A$2:$A$2000),
_xlpm.res,_xlfn.XLOOKUP(_xlpm.load,DOCUMENTOS!$A$2:$A$2000,DOCUMENTOS!$D$2:$D$2000),
IF(_xlpm.res="","",_xlpm.res)
),
""
)</f>
        <v>46160.75</v>
      </c>
      <c r="N147" s="6">
        <f>IFERROR(IF(M147="","",M147-TIME(1,0,0)),"")</f>
        <v>46160.708333333336</v>
      </c>
      <c r="O147" s="6" cm="1">
        <f t="array" ref="O147">IFERROR(
_xlfn.LET(
_xlpm.res,_xlfn.XLOOKUP(B147,'LOCALIZAÇÃO DE CARGA'!$A$2:$A$2000,'LOCALIZAÇÃO DE CARGA'!$S$2:$S$2000),
IF(_xlpm.res="","",_xlpm.res)
),
""
)</f>
        <v>46167.25</v>
      </c>
      <c r="P147" s="6" t="str" cm="1">
        <f t="array" ref="P147">IFERROR(
_xlfn.LET(
_xlpm.res,_xlfn.XLOOKUP(B147,'LOCALIZAÇÃO DE CARGA'!$A$2:$A$702,'LOCALIZAÇÃO DE CARGA'!$T$2:$T$702),
IF(_xlpm.res="","",_xlpm.res)
),
""
)</f>
        <v/>
      </c>
      <c r="Q147" s="5" t="str">
        <f>IFERROR(
IF(
_xlfn.XLOOKUP(
B147,
'LOCALIZAÇÃO DE CARGA'!$A$2:$A$702,
'LOCALIZAÇÃO DE CARGA'!$K$2:$K$702
)="",
"",
_xlfn.XLOOKUP(
B147,
'LOCALIZAÇÃO DE CARGA'!$A$2:$A$702,
'LOCALIZAÇÃO DE CARGA'!$K$2:$K$702
)
),
""
)</f>
        <v>BASE FATELOG - CAJAMAR</v>
      </c>
      <c r="R147" s="5" t="str">
        <f t="shared" si="8"/>
        <v>BASE FATELOG</v>
      </c>
      <c r="S147" s="5" t="str" cm="1">
        <f t="array" ref="S147">IF(B147="","",IFERROR(
INDEX(
'VISÃO LOGISTICA'!$L$2:$L$525,
MATCH(
TRUE,
ISNUMBER(FIND(B147,'VISÃO LOGISTICA'!$A$2:$A$525)),
0
)
),
""
))</f>
        <v/>
      </c>
      <c r="T147" s="5" t="str" cm="1">
        <f t="array" ref="T147">IFERROR(
_xlfn.LET(
_xlpm.res,_xlfn.XLOOKUP(B147,'LOCALIZAÇÃO DE CARGA'!$A$2:$A$702,'LOCALIZAÇÃO DE CARGA'!$R$2:$R$702),
IF(_xlpm.res="","",SUBSTITUTE(_xlpm.res,"/BRASIL",""))
),
""
)</f>
        <v>CAJAMAR/SP</v>
      </c>
    </row>
    <row r="148" spans="1:20">
      <c r="A148" s="14">
        <f t="shared" si="6"/>
        <v>46160</v>
      </c>
      <c r="B148" s="5">
        <v>6025219</v>
      </c>
      <c r="C148" s="45" t="str">
        <f t="shared" ca="1" si="7"/>
        <v>OK - NO PRAZO</v>
      </c>
      <c r="D148" s="28"/>
      <c r="E148" s="28" t="str">
        <f>IFERROR(
IF(
_xlfn.XLOOKUP(
B148,
'LOCALIZAÇÃO DE CARGA'!$A$2:$A$702,
'LOCALIZAÇÃO DE CARGA'!$D$2:$D$702
)="",
"",
_xlfn.XLOOKUP(
B148,
'LOCALIZAÇÃO DE CARGA'!$A$2:$A$702,
'LOCALIZAÇÃO DE CARGA'!$D$2:$D$702
)
),
""
)</f>
        <v/>
      </c>
      <c r="F148" s="13" t="str">
        <f>IFERROR(
IF(
_xlfn.XLOOKUP(
B148,
'LOCALIZAÇÃO DE CARGA'!$A$2:$A$702,
'LOCALIZAÇÃO DE CARGA'!$H$2:$H$702
)="",
"",
_xlfn.XLOOKUP(
B148,
'LOCALIZAÇÃO DE CARGA'!$A$2:$A$702,
'LOCALIZAÇÃO DE CARGA'!$H$2:$H$702
)
),
""
)</f>
        <v>FITA AZUL PE (FATELOG)</v>
      </c>
      <c r="G148" s="5" t="str">
        <f>IFERROR(
IF(
_xlfn.XLOOKUP(
B148,
'LOCALIZAÇÃO DE CARGA'!$A$2:$A$702,
'LOCALIZAÇÃO DE CARGA'!$I$2:$I$702
)="",
"",
_xlfn.XLOOKUP(
B148,
'LOCALIZAÇÃO DE CARGA'!$A$2:$A$702,
'LOCALIZAÇÃO DE CARGA'!$I$2:$I$702
)
),
""
)</f>
        <v>LGSCT</v>
      </c>
      <c r="H148" s="5" t="str">
        <f>IFERROR(
IF(
_xlfn.XLOOKUP(
B148,
'LOCALIZAÇÃO DE CARGA'!$A$2:$A$702,
'LOCALIZAÇÃO DE CARGA'!$F$2:$F$702
)="",
"",
_xlfn.XLOOKUP(
B148,
'LOCALIZAÇÃO DE CARGA'!$A$2:$A$702,
'LOCALIZAÇÃO DE CARGA'!$F$2:$F$702
)
),
""
)</f>
        <v>Não iniciado</v>
      </c>
      <c r="I148" s="13" t="str" cm="1">
        <f t="array" ref="I148">IFERROR(
IF(
INDEX(
'VISÃO LOGISTICA'!$C$2:$C$525,
MATCH(
TRUE,
ISNUMBER(FIND(B148,'VISÃO LOGISTICA'!$A$2:$A$525)),
0
)
)="Em espera",
"",
INDEX(
'VISÃO LOGISTICA'!$C$2:$C$525,
MATCH(
TRUE,
ISNUMBER(FIND(B148,'VISÃO LOGISTICA'!$A$2:$A$525)),
0
)
)
),
""
)</f>
        <v/>
      </c>
      <c r="J148" s="5" t="str" cm="1">
        <f t="array" ref="J148">IFERROR(
IF(
OR(
INDEX(
'VISÃO LOGISTICA'!$C$2:$C$2000,
MATCH(
TRUE,
ISNUMBER(FIND(B148,'VISÃO LOGISTICA'!$A$2:$A$2000)),
0
)
)="Em espera",
INDEX(
'VISÃO LOGISTICA'!$C$2:$C$2000,
MATCH(
TRUE,
ISNUMBER(FIND(B148,'VISÃO LOGISTICA'!$A$2:$A$2000)),
0
)
)=""
),
"",
INDEX(
'VISÃO LOGISTICA'!$D$2:$D$2000,
MATCH(
TRUE,
ISNUMBER(FIND(B148,'VISÃO LOGISTICA'!$A$2:$A$2000)),
0
)
)
),
""
)</f>
        <v/>
      </c>
      <c r="K148" s="10">
        <f>IFERROR(
IF(
_xlfn.XLOOKUP(
B148,
'LOCALIZAÇÃO DE CARGA'!$A$2:$A$702,
'LOCALIZAÇÃO DE CARGA'!$E$2:$E$702)="",
"",
_xlfn.XLOOKUP(
B148,
'LOCALIZAÇÃO DE CARGA'!$A$2:$A$702,
'LOCALIZAÇÃO DE CARGA'!$E$2:$E$702)
),
""
)</f>
        <v>1960.72</v>
      </c>
      <c r="L148" s="20" cm="1">
        <f t="array" ref="L148">IFERROR(
_xlfn.LET(
_xlpm.res,_xlfn.XLOOKUP(B148,'LOCALIZAÇÃO DE CARGA'!$A$2:$A$2000,'LOCALIZAÇÃO DE CARGA'!$G$2:$G$2000),
IF(_xlpm.res="","",_xlpm.res)
),
""
)</f>
        <v>46166.679166666669</v>
      </c>
      <c r="M148" s="20" cm="1">
        <f t="array" ref="M148">IFERROR(
_xlfn.LET(
_xlpm.load,_xlfn.XLOOKUP(B148,'LOCALIZAÇÃO DE CARGA'!$A$2:$A$2000,'LOCALIZAÇÃO DE CARGA'!$A$2:$A$2000),
_xlpm.res,_xlfn.XLOOKUP(_xlpm.load,DOCUMENTOS!$A$2:$A$2000,DOCUMENTOS!$D$2:$D$2000),
IF(_xlpm.res="","",_xlpm.res)
),
""
)</f>
        <v>46160.75</v>
      </c>
      <c r="N148" s="6">
        <f>IFERROR(IF(M148="","",M148-TIME(1,0,0)),"")</f>
        <v>46160.708333333336</v>
      </c>
      <c r="O148" s="6" cm="1">
        <f t="array" ref="O148">IFERROR(
_xlfn.LET(
_xlpm.res,_xlfn.XLOOKUP(B148,'LOCALIZAÇÃO DE CARGA'!$A$2:$A$2000,'LOCALIZAÇÃO DE CARGA'!$S$2:$S$2000),
IF(_xlpm.res="","",_xlpm.res)
),
""
)</f>
        <v>46167.25</v>
      </c>
      <c r="P148" s="6" t="str" cm="1">
        <f t="array" ref="P148">IFERROR(
_xlfn.LET(
_xlpm.res,_xlfn.XLOOKUP(B148,'LOCALIZAÇÃO DE CARGA'!$A$2:$A$702,'LOCALIZAÇÃO DE CARGA'!$T$2:$T$702),
IF(_xlpm.res="","",_xlpm.res)
),
""
)</f>
        <v/>
      </c>
      <c r="Q148" s="5" t="str">
        <f>IFERROR(
IF(
_xlfn.XLOOKUP(
B148,
'LOCALIZAÇÃO DE CARGA'!$A$2:$A$702,
'LOCALIZAÇÃO DE CARGA'!$K$2:$K$702
)="",
"",
_xlfn.XLOOKUP(
B148,
'LOCALIZAÇÃO DE CARGA'!$A$2:$A$702,
'LOCALIZAÇÃO DE CARGA'!$K$2:$K$702
)
),
""
)</f>
        <v>BASE FATELOG - CAJAMAR</v>
      </c>
      <c r="R148" s="5" t="str">
        <f t="shared" si="8"/>
        <v>BASE FATELOG</v>
      </c>
      <c r="S148" s="5" t="str" cm="1">
        <f t="array" ref="S148">IF(B148="","",IFERROR(
INDEX(
'VISÃO LOGISTICA'!$L$2:$L$525,
MATCH(
TRUE,
ISNUMBER(FIND(B148,'VISÃO LOGISTICA'!$A$2:$A$525)),
0
)
),
""
))</f>
        <v/>
      </c>
      <c r="T148" s="5" t="str" cm="1">
        <f t="array" ref="T148">IFERROR(
_xlfn.LET(
_xlpm.res,_xlfn.XLOOKUP(B148,'LOCALIZAÇÃO DE CARGA'!$A$2:$A$702,'LOCALIZAÇÃO DE CARGA'!$R$2:$R$702),
IF(_xlpm.res="","",SUBSTITUTE(_xlpm.res,"/BRASIL",""))
),
""
)</f>
        <v>CAJAMAR/SP</v>
      </c>
    </row>
    <row r="149" spans="1:20">
      <c r="A149" s="14">
        <f t="shared" si="6"/>
        <v>46157</v>
      </c>
      <c r="B149" s="5">
        <v>6014660</v>
      </c>
      <c r="C149" s="45" t="str">
        <f t="shared" ca="1" si="7"/>
        <v>ATRASADO CARREGAMENTO - SEM SMP</v>
      </c>
      <c r="D149" s="28"/>
      <c r="E149" s="28" t="str">
        <f>IFERROR(
IF(
_xlfn.XLOOKUP(
B149,
'LOCALIZAÇÃO DE CARGA'!$A$2:$A$702,
'LOCALIZAÇÃO DE CARGA'!$D$2:$D$702
)="",
"",
_xlfn.XLOOKUP(
B149,
'LOCALIZAÇÃO DE CARGA'!$A$2:$A$702,
'LOCALIZAÇÃO DE CARGA'!$D$2:$D$702
)
),
""
)</f>
        <v>Atrasado</v>
      </c>
      <c r="F149" s="13" t="str">
        <f>IFERROR(
IF(
_xlfn.XLOOKUP(
B149,
'LOCALIZAÇÃO DE CARGA'!$A$2:$A$702,
'LOCALIZAÇÃO DE CARGA'!$H$2:$H$702
)="",
"",
_xlfn.XLOOKUP(
B149,
'LOCALIZAÇÃO DE CARGA'!$A$2:$A$702,
'LOCALIZAÇÃO DE CARGA'!$H$2:$H$702
)
),
""
)</f>
        <v>FITA AZUL PE (FATELOG)</v>
      </c>
      <c r="G149" s="5" t="str">
        <f>IFERROR(
IF(
_xlfn.XLOOKUP(
B149,
'LOCALIZAÇÃO DE CARGA'!$A$2:$A$702,
'LOCALIZAÇÃO DE CARGA'!$I$2:$I$702
)="",
"",
_xlfn.XLOOKUP(
B149,
'LOCALIZAÇÃO DE CARGA'!$A$2:$A$702,
'LOCALIZAÇÃO DE CARGA'!$I$2:$I$702
)
),
""
)</f>
        <v>LGCAJ</v>
      </c>
      <c r="H149" s="5" t="str">
        <f>IFERROR(
IF(
_xlfn.XLOOKUP(
B149,
'LOCALIZAÇÃO DE CARGA'!$A$2:$A$702,
'LOCALIZAÇÃO DE CARGA'!$F$2:$F$702
)="",
"",
_xlfn.XLOOKUP(
B149,
'LOCALIZAÇÃO DE CARGA'!$A$2:$A$702,
'LOCALIZAÇÃO DE CARGA'!$F$2:$F$702
)
),
""
)</f>
        <v>Não iniciado</v>
      </c>
      <c r="I149" s="13" t="str" cm="1">
        <f t="array" ref="I149">IFERROR(
IF(
INDEX(
'VISÃO LOGISTICA'!$C$2:$C$525,
MATCH(
TRUE,
ISNUMBER(FIND(B149,'VISÃO LOGISTICA'!$A$2:$A$525)),
0
)
)="Em espera",
"",
INDEX(
'VISÃO LOGISTICA'!$C$2:$C$525,
MATCH(
TRUE,
ISNUMBER(FIND(B149,'VISÃO LOGISTICA'!$A$2:$A$525)),
0
)
)
),
""
)</f>
        <v/>
      </c>
      <c r="J149" s="5" t="str" cm="1">
        <f t="array" ref="J149">IFERROR(
IF(
OR(
INDEX(
'VISÃO LOGISTICA'!$C$2:$C$2000,
MATCH(
TRUE,
ISNUMBER(FIND(B149,'VISÃO LOGISTICA'!$A$2:$A$2000)),
0
)
)="Em espera",
INDEX(
'VISÃO LOGISTICA'!$C$2:$C$2000,
MATCH(
TRUE,
ISNUMBER(FIND(B149,'VISÃO LOGISTICA'!$A$2:$A$2000)),
0
)
)=""
),
"",
INDEX(
'VISÃO LOGISTICA'!$D$2:$D$2000,
MATCH(
TRUE,
ISNUMBER(FIND(B149,'VISÃO LOGISTICA'!$A$2:$A$2000)),
0
)
)
),
""
)</f>
        <v/>
      </c>
      <c r="K149" s="10">
        <f>IFERROR(
IF(
_xlfn.XLOOKUP(
B149,
'LOCALIZAÇÃO DE CARGA'!$A$2:$A$702,
'LOCALIZAÇÃO DE CARGA'!$E$2:$E$702)="",
"",
_xlfn.XLOOKUP(
B149,
'LOCALIZAÇÃO DE CARGA'!$A$2:$A$702,
'LOCALIZAÇÃO DE CARGA'!$E$2:$E$702)
),
""
)</f>
        <v>1707.24</v>
      </c>
      <c r="L149" s="20" cm="1">
        <f t="array" ref="L149">IFERROR(
_xlfn.LET(
_xlpm.res,_xlfn.XLOOKUP(B149,'LOCALIZAÇÃO DE CARGA'!$A$2:$A$2000,'LOCALIZAÇÃO DE CARGA'!$G$2:$G$2000),
IF(_xlpm.res="","",_xlpm.res)
),
""
)</f>
        <v>46163.661805555559</v>
      </c>
      <c r="M149" s="20" cm="1">
        <f t="array" ref="M149">IFERROR(
_xlfn.LET(
_xlpm.load,_xlfn.XLOOKUP(B149,'LOCALIZAÇÃO DE CARGA'!$A$2:$A$2000,'LOCALIZAÇÃO DE CARGA'!$A$2:$A$2000),
_xlpm.res,_xlfn.XLOOKUP(_xlpm.load,DOCUMENTOS!$A$2:$A$2000,DOCUMENTOS!$D$2:$D$2000),
IF(_xlpm.res="","",_xlpm.res)
),
""
)</f>
        <v>46157.375</v>
      </c>
      <c r="N149" s="6">
        <f>IFERROR(IF(M149="","",M149-TIME(1,0,0)),"")</f>
        <v>46157.333333333336</v>
      </c>
      <c r="O149" s="6" cm="1">
        <f t="array" ref="O149">IFERROR(
_xlfn.LET(
_xlpm.res,_xlfn.XLOOKUP(B149,'LOCALIZAÇÃO DE CARGA'!$A$2:$A$2000,'LOCALIZAÇÃO DE CARGA'!$S$2:$S$2000),
IF(_xlpm.res="","",_xlpm.res)
),
""
)</f>
        <v>46167.416666666664</v>
      </c>
      <c r="P149" s="6" t="str" cm="1">
        <f t="array" ref="P149">IFERROR(
_xlfn.LET(
_xlpm.res,_xlfn.XLOOKUP(B149,'LOCALIZAÇÃO DE CARGA'!$A$2:$A$702,'LOCALIZAÇÃO DE CARGA'!$T$2:$T$702),
IF(_xlpm.res="","",_xlpm.res)
),
""
)</f>
        <v/>
      </c>
      <c r="Q149" s="5" t="str">
        <f>IFERROR(
IF(
_xlfn.XLOOKUP(
B149,
'LOCALIZAÇÃO DE CARGA'!$A$2:$A$702,
'LOCALIZAÇÃO DE CARGA'!$K$2:$K$702
)="",
"",
_xlfn.XLOOKUP(
B149,
'LOCALIZAÇÃO DE CARGA'!$A$2:$A$702,
'LOCALIZAÇÃO DE CARGA'!$K$2:$K$702
)
),
""
)</f>
        <v>BASE FATELOG - CAJAMAR</v>
      </c>
      <c r="R149" s="5" t="str">
        <f t="shared" si="8"/>
        <v>BASE FATELOG</v>
      </c>
      <c r="S149" s="5" t="str" cm="1">
        <f t="array" ref="S149">IF(B149="","",IFERROR(
INDEX(
'VISÃO LOGISTICA'!$L$2:$L$525,
MATCH(
TRUE,
ISNUMBER(FIND(B149,'VISÃO LOGISTICA'!$A$2:$A$525)),
0
)
),
""
))</f>
        <v/>
      </c>
      <c r="T149" s="5" t="str" cm="1">
        <f t="array" ref="T149">IFERROR(
_xlfn.LET(
_xlpm.res,_xlfn.XLOOKUP(B149,'LOCALIZAÇÃO DE CARGA'!$A$2:$A$702,'LOCALIZAÇÃO DE CARGA'!$R$2:$R$702),
IF(_xlpm.res="","",SUBSTITUTE(_xlpm.res,"/BRASIL",""))
),
""
)</f>
        <v>CAJAMAR/SP</v>
      </c>
    </row>
    <row r="150" spans="1:20">
      <c r="A150" s="14" t="str">
        <f t="shared" si="6"/>
        <v/>
      </c>
      <c r="B150" s="5"/>
      <c r="C150" s="45" t="str">
        <f t="shared" ca="1" si="7"/>
        <v/>
      </c>
      <c r="D150" s="28"/>
      <c r="E150" s="28" t="str">
        <f>IFERROR(
IF(
_xlfn.XLOOKUP(
B150,
'LOCALIZAÇÃO DE CARGA'!$A$2:$A$702,
'LOCALIZAÇÃO DE CARGA'!$D$2:$D$702
)="",
"",
_xlfn.XLOOKUP(
B150,
'LOCALIZAÇÃO DE CARGA'!$A$2:$A$702,
'LOCALIZAÇÃO DE CARGA'!$D$2:$D$702
)
),
""
)</f>
        <v/>
      </c>
      <c r="F150" s="13" t="str">
        <f>IFERROR(
IF(
_xlfn.XLOOKUP(
B150,
'LOCALIZAÇÃO DE CARGA'!$A$2:$A$702,
'LOCALIZAÇÃO DE CARGA'!$H$2:$H$702
)="",
"",
_xlfn.XLOOKUP(
B150,
'LOCALIZAÇÃO DE CARGA'!$A$2:$A$702,
'LOCALIZAÇÃO DE CARGA'!$H$2:$H$702
)
),
""
)</f>
        <v/>
      </c>
      <c r="G150" s="5" t="str">
        <f>IFERROR(
IF(
_xlfn.XLOOKUP(
B150,
'LOCALIZAÇÃO DE CARGA'!$A$2:$A$702,
'LOCALIZAÇÃO DE CARGA'!$I$2:$I$702
)="",
"",
_xlfn.XLOOKUP(
B150,
'LOCALIZAÇÃO DE CARGA'!$A$2:$A$702,
'LOCALIZAÇÃO DE CARGA'!$I$2:$I$702
)
),
""
)</f>
        <v/>
      </c>
      <c r="H150" s="5" t="str">
        <f>IFERROR(
IF(
_xlfn.XLOOKUP(
B150,
'LOCALIZAÇÃO DE CARGA'!$A$2:$A$702,
'LOCALIZAÇÃO DE CARGA'!$F$2:$F$702
)="",
"",
_xlfn.XLOOKUP(
B150,
'LOCALIZAÇÃO DE CARGA'!$A$2:$A$702,
'LOCALIZAÇÃO DE CARGA'!$F$2:$F$702
)
),
""
)</f>
        <v/>
      </c>
      <c r="I150" s="13" t="str" cm="1">
        <f t="array" ref="I150">IFERROR(
IF(
INDEX(
'VISÃO LOGISTICA'!$C$2:$C$525,
MATCH(
TRUE,
ISNUMBER(FIND(B150,'VISÃO LOGISTICA'!$A$2:$A$525)),
0
)
)="Em espera",
"",
INDEX(
'VISÃO LOGISTICA'!$C$2:$C$525,
MATCH(
TRUE,
ISNUMBER(FIND(B150,'VISÃO LOGISTICA'!$A$2:$A$525)),
0
)
)
),
""
)</f>
        <v>Em Viagem</v>
      </c>
      <c r="J150" s="5" t="str" cm="1">
        <f t="array" ref="J150">IFERROR(
IF(
OR(
INDEX(
'VISÃO LOGISTICA'!$C$2:$C$2000,
MATCH(
TRUE,
ISNUMBER(FIND(B150,'VISÃO LOGISTICA'!$A$2:$A$2000)),
0
)
)="Em espera",
INDEX(
'VISÃO LOGISTICA'!$C$2:$C$2000,
MATCH(
TRUE,
ISNUMBER(FIND(B150,'VISÃO LOGISTICA'!$A$2:$A$2000)),
0
)
)=""
),
"",
INDEX(
'VISÃO LOGISTICA'!$D$2:$D$2000,
MATCH(
TRUE,
ISNUMBER(FIND(B150,'VISÃO LOGISTICA'!$A$2:$A$2000)),
0
)
)
),
""
)</f>
        <v>BCU5G84</v>
      </c>
      <c r="K150" s="10" t="str">
        <f>IFERROR(
IF(
_xlfn.XLOOKUP(
B150,
'LOCALIZAÇÃO DE CARGA'!$A$2:$A$702,
'LOCALIZAÇÃO DE CARGA'!$E$2:$E$702)="",
"",
_xlfn.XLOOKUP(
B150,
'LOCALIZAÇÃO DE CARGA'!$A$2:$A$702,
'LOCALIZAÇÃO DE CARGA'!$E$2:$E$702)
),
""
)</f>
        <v/>
      </c>
      <c r="L150" s="20" t="str" cm="1">
        <f t="array" ref="L150">IFERROR(
_xlfn.LET(
_xlpm.res,_xlfn.XLOOKUP(B150,'LOCALIZAÇÃO DE CARGA'!$A$2:$A$2000,'LOCALIZAÇÃO DE CARGA'!$G$2:$G$2000),
IF(_xlpm.res="","",_xlpm.res)
),
""
)</f>
        <v/>
      </c>
      <c r="M150" s="20" t="str" cm="1">
        <f t="array" ref="M150">IFERROR(
_xlfn.LET(
_xlpm.load,_xlfn.XLOOKUP(B150,'LOCALIZAÇÃO DE CARGA'!$A$2:$A$2000,'LOCALIZAÇÃO DE CARGA'!$A$2:$A$2000),
_xlpm.res,_xlfn.XLOOKUP(_xlpm.load,DOCUMENTOS!$A$2:$A$2000,DOCUMENTOS!$D$2:$D$2000),
IF(_xlpm.res="","",_xlpm.res)
),
""
)</f>
        <v/>
      </c>
      <c r="N150" s="6" t="str">
        <f>IFERROR(IF(M150="","",M150-TIME(1,0,0)),"")</f>
        <v/>
      </c>
      <c r="O150" s="6" t="str" cm="1">
        <f t="array" ref="O150">IFERROR(
_xlfn.LET(
_xlpm.res,_xlfn.XLOOKUP(B150,'LOCALIZAÇÃO DE CARGA'!$A$2:$A$2000,'LOCALIZAÇÃO DE CARGA'!$S$2:$S$2000),
IF(_xlpm.res="","",_xlpm.res)
),
""
)</f>
        <v/>
      </c>
      <c r="P150" s="6" t="str" cm="1">
        <f t="array" ref="P150">IFERROR(
_xlfn.LET(
_xlpm.res,_xlfn.XLOOKUP(B150,'LOCALIZAÇÃO DE CARGA'!$A$2:$A$702,'LOCALIZAÇÃO DE CARGA'!$T$2:$T$702),
IF(_xlpm.res="","",_xlpm.res)
),
""
)</f>
        <v/>
      </c>
      <c r="Q150" s="5" t="str">
        <f>IFERROR(
IF(
_xlfn.XLOOKUP(
B150,
'LOCALIZAÇÃO DE CARGA'!$A$2:$A$702,
'LOCALIZAÇÃO DE CARGA'!$K$2:$K$702
)="",
"",
_xlfn.XLOOKUP(
B150,
'LOCALIZAÇÃO DE CARGA'!$A$2:$A$702,
'LOCALIZAÇÃO DE CARGA'!$K$2:$K$702
)
),
""
)</f>
        <v/>
      </c>
      <c r="R150" s="5" t="str">
        <f t="shared" si="8"/>
        <v/>
      </c>
      <c r="S150" s="5" t="str" cm="1">
        <f t="array" ref="S150">IF(B150="","",IFERROR(
INDEX(
'VISÃO LOGISTICA'!$L$2:$L$525,
MATCH(
TRUE,
ISNUMBER(FIND(B150,'VISÃO LOGISTICA'!$A$2:$A$525)),
0
)
),
""
))</f>
        <v/>
      </c>
      <c r="T150" s="5" t="str" cm="1">
        <f t="array" ref="T150">IFERROR(
_xlfn.LET(
_xlpm.res,_xlfn.XLOOKUP(B150,'LOCALIZAÇÃO DE CARGA'!$A$2:$A$702,'LOCALIZAÇÃO DE CARGA'!$R$2:$R$702),
IF(_xlpm.res="","",SUBSTITUTE(_xlpm.res,"/BRASIL",""))
),
""
)</f>
        <v/>
      </c>
    </row>
    <row r="151" spans="1:20">
      <c r="A151" s="14" t="str">
        <f t="shared" si="6"/>
        <v/>
      </c>
      <c r="B151" s="5"/>
      <c r="C151" s="45" t="str">
        <f t="shared" ca="1" si="7"/>
        <v/>
      </c>
      <c r="D151" s="28"/>
      <c r="E151" s="28" t="str">
        <f>IFERROR(
IF(
_xlfn.XLOOKUP(
B151,
'LOCALIZAÇÃO DE CARGA'!$A$2:$A$702,
'LOCALIZAÇÃO DE CARGA'!$D$2:$D$702
)="",
"",
_xlfn.XLOOKUP(
B151,
'LOCALIZAÇÃO DE CARGA'!$A$2:$A$702,
'LOCALIZAÇÃO DE CARGA'!$D$2:$D$702
)
),
""
)</f>
        <v/>
      </c>
      <c r="F151" s="13" t="str">
        <f>IFERROR(
IF(
_xlfn.XLOOKUP(
B151,
'LOCALIZAÇÃO DE CARGA'!$A$2:$A$702,
'LOCALIZAÇÃO DE CARGA'!$H$2:$H$702
)="",
"",
_xlfn.XLOOKUP(
B151,
'LOCALIZAÇÃO DE CARGA'!$A$2:$A$702,
'LOCALIZAÇÃO DE CARGA'!$H$2:$H$702
)
),
""
)</f>
        <v/>
      </c>
      <c r="G151" s="5" t="str">
        <f>IFERROR(
IF(
_xlfn.XLOOKUP(
B151,
'LOCALIZAÇÃO DE CARGA'!$A$2:$A$702,
'LOCALIZAÇÃO DE CARGA'!$I$2:$I$702
)="",
"",
_xlfn.XLOOKUP(
B151,
'LOCALIZAÇÃO DE CARGA'!$A$2:$A$702,
'LOCALIZAÇÃO DE CARGA'!$I$2:$I$702
)
),
""
)</f>
        <v/>
      </c>
      <c r="H151" s="5" t="str">
        <f>IFERROR(
IF(
_xlfn.XLOOKUP(
B151,
'LOCALIZAÇÃO DE CARGA'!$A$2:$A$702,
'LOCALIZAÇÃO DE CARGA'!$F$2:$F$702
)="",
"",
_xlfn.XLOOKUP(
B151,
'LOCALIZAÇÃO DE CARGA'!$A$2:$A$702,
'LOCALIZAÇÃO DE CARGA'!$F$2:$F$702
)
),
""
)</f>
        <v/>
      </c>
      <c r="I151" s="13" t="str" cm="1">
        <f t="array" ref="I151">IFERROR(
IF(
INDEX(
'VISÃO LOGISTICA'!$C$2:$C$525,
MATCH(
TRUE,
ISNUMBER(FIND(B151,'VISÃO LOGISTICA'!$A$2:$A$525)),
0
)
)="Em espera",
"",
INDEX(
'VISÃO LOGISTICA'!$C$2:$C$525,
MATCH(
TRUE,
ISNUMBER(FIND(B151,'VISÃO LOGISTICA'!$A$2:$A$525)),
0
)
)
),
""
)</f>
        <v>Em Viagem</v>
      </c>
      <c r="J151" s="5" t="str" cm="1">
        <f t="array" ref="J151">IFERROR(
IF(
OR(
INDEX(
'VISÃO LOGISTICA'!$C$2:$C$2000,
MATCH(
TRUE,
ISNUMBER(FIND(B151,'VISÃO LOGISTICA'!$A$2:$A$2000)),
0
)
)="Em espera",
INDEX(
'VISÃO LOGISTICA'!$C$2:$C$2000,
MATCH(
TRUE,
ISNUMBER(FIND(B151,'VISÃO LOGISTICA'!$A$2:$A$2000)),
0
)
)=""
),
"",
INDEX(
'VISÃO LOGISTICA'!$D$2:$D$2000,
MATCH(
TRUE,
ISNUMBER(FIND(B151,'VISÃO LOGISTICA'!$A$2:$A$2000)),
0
)
)
),
""
)</f>
        <v>BCU5G84</v>
      </c>
      <c r="K151" s="10" t="str">
        <f>IFERROR(
IF(
_xlfn.XLOOKUP(
B151,
'LOCALIZAÇÃO DE CARGA'!$A$2:$A$702,
'LOCALIZAÇÃO DE CARGA'!$E$2:$E$702)="",
"",
_xlfn.XLOOKUP(
B151,
'LOCALIZAÇÃO DE CARGA'!$A$2:$A$702,
'LOCALIZAÇÃO DE CARGA'!$E$2:$E$702)
),
""
)</f>
        <v/>
      </c>
      <c r="L151" s="20" t="str" cm="1">
        <f t="array" ref="L151">IFERROR(
_xlfn.LET(
_xlpm.res,_xlfn.XLOOKUP(B151,'LOCALIZAÇÃO DE CARGA'!$A$2:$A$2000,'LOCALIZAÇÃO DE CARGA'!$G$2:$G$2000),
IF(_xlpm.res="","",_xlpm.res)
),
""
)</f>
        <v/>
      </c>
      <c r="M151" s="20" t="str" cm="1">
        <f t="array" ref="M151">IFERROR(
_xlfn.LET(
_xlpm.load,_xlfn.XLOOKUP(B151,'LOCALIZAÇÃO DE CARGA'!$A$2:$A$2000,'LOCALIZAÇÃO DE CARGA'!$A$2:$A$2000),
_xlpm.res,_xlfn.XLOOKUP(_xlpm.load,DOCUMENTOS!$A$2:$A$2000,DOCUMENTOS!$D$2:$D$2000),
IF(_xlpm.res="","",_xlpm.res)
),
""
)</f>
        <v/>
      </c>
      <c r="N151" s="6" t="str">
        <f>IFERROR(IF(M151="","",M151-TIME(1,0,0)),"")</f>
        <v/>
      </c>
      <c r="O151" s="6" t="str" cm="1">
        <f t="array" ref="O151">IFERROR(
_xlfn.LET(
_xlpm.res,_xlfn.XLOOKUP(B151,'LOCALIZAÇÃO DE CARGA'!$A$2:$A$2000,'LOCALIZAÇÃO DE CARGA'!$S$2:$S$2000),
IF(_xlpm.res="","",_xlpm.res)
),
""
)</f>
        <v/>
      </c>
      <c r="P151" s="6" t="str" cm="1">
        <f t="array" ref="P151">IFERROR(
_xlfn.LET(
_xlpm.res,_xlfn.XLOOKUP(B151,'LOCALIZAÇÃO DE CARGA'!$A$2:$A$702,'LOCALIZAÇÃO DE CARGA'!$T$2:$T$702),
IF(_xlpm.res="","",_xlpm.res)
),
""
)</f>
        <v/>
      </c>
      <c r="Q151" s="5" t="str">
        <f>IFERROR(
IF(
_xlfn.XLOOKUP(
B151,
'LOCALIZAÇÃO DE CARGA'!$A$2:$A$702,
'LOCALIZAÇÃO DE CARGA'!$K$2:$K$702
)="",
"",
_xlfn.XLOOKUP(
B151,
'LOCALIZAÇÃO DE CARGA'!$A$2:$A$702,
'LOCALIZAÇÃO DE CARGA'!$K$2:$K$702
)
),
""
)</f>
        <v/>
      </c>
      <c r="R151" s="5" t="str">
        <f t="shared" si="8"/>
        <v/>
      </c>
      <c r="S151" s="5" t="str" cm="1">
        <f t="array" ref="S151">IF(B151="","",IFERROR(
INDEX(
'VISÃO LOGISTICA'!$L$2:$L$525,
MATCH(
TRUE,
ISNUMBER(FIND(B151,'VISÃO LOGISTICA'!$A$2:$A$525)),
0
)
),
""
))</f>
        <v/>
      </c>
      <c r="T151" s="5" t="str" cm="1">
        <f t="array" ref="T151">IFERROR(
_xlfn.LET(
_xlpm.res,_xlfn.XLOOKUP(B151,'LOCALIZAÇÃO DE CARGA'!$A$2:$A$702,'LOCALIZAÇÃO DE CARGA'!$R$2:$R$702),
IF(_xlpm.res="","",SUBSTITUTE(_xlpm.res,"/BRASIL",""))
),
""
)</f>
        <v/>
      </c>
    </row>
    <row r="152" spans="1:20">
      <c r="A152" s="14" t="str">
        <f t="shared" si="6"/>
        <v/>
      </c>
      <c r="B152" s="5"/>
      <c r="C152" s="45" t="str">
        <f t="shared" ca="1" si="7"/>
        <v/>
      </c>
      <c r="D152" s="28"/>
      <c r="E152" s="28" t="str">
        <f>IFERROR(
IF(
_xlfn.XLOOKUP(
B152,
'LOCALIZAÇÃO DE CARGA'!$A$2:$A$702,
'LOCALIZAÇÃO DE CARGA'!$D$2:$D$702
)="",
"",
_xlfn.XLOOKUP(
B152,
'LOCALIZAÇÃO DE CARGA'!$A$2:$A$702,
'LOCALIZAÇÃO DE CARGA'!$D$2:$D$702
)
),
""
)</f>
        <v/>
      </c>
      <c r="F152" s="13" t="str">
        <f>IFERROR(
IF(
_xlfn.XLOOKUP(
B152,
'LOCALIZAÇÃO DE CARGA'!$A$2:$A$702,
'LOCALIZAÇÃO DE CARGA'!$H$2:$H$702
)="",
"",
_xlfn.XLOOKUP(
B152,
'LOCALIZAÇÃO DE CARGA'!$A$2:$A$702,
'LOCALIZAÇÃO DE CARGA'!$H$2:$H$702
)
),
""
)</f>
        <v/>
      </c>
      <c r="G152" s="5" t="str">
        <f>IFERROR(
IF(
_xlfn.XLOOKUP(
B152,
'LOCALIZAÇÃO DE CARGA'!$A$2:$A$702,
'LOCALIZAÇÃO DE CARGA'!$I$2:$I$702
)="",
"",
_xlfn.XLOOKUP(
B152,
'LOCALIZAÇÃO DE CARGA'!$A$2:$A$702,
'LOCALIZAÇÃO DE CARGA'!$I$2:$I$702
)
),
""
)</f>
        <v/>
      </c>
      <c r="H152" s="5" t="str">
        <f>IFERROR(
IF(
_xlfn.XLOOKUP(
B152,
'LOCALIZAÇÃO DE CARGA'!$A$2:$A$702,
'LOCALIZAÇÃO DE CARGA'!$F$2:$F$702
)="",
"",
_xlfn.XLOOKUP(
B152,
'LOCALIZAÇÃO DE CARGA'!$A$2:$A$702,
'LOCALIZAÇÃO DE CARGA'!$F$2:$F$702
)
),
""
)</f>
        <v/>
      </c>
      <c r="I152" s="13" t="str" cm="1">
        <f t="array" ref="I152">IFERROR(
IF(
INDEX(
'VISÃO LOGISTICA'!$C$2:$C$525,
MATCH(
TRUE,
ISNUMBER(FIND(B152,'VISÃO LOGISTICA'!$A$2:$A$525)),
0
)
)="Em espera",
"",
INDEX(
'VISÃO LOGISTICA'!$C$2:$C$525,
MATCH(
TRUE,
ISNUMBER(FIND(B152,'VISÃO LOGISTICA'!$A$2:$A$525)),
0
)
)
),
""
)</f>
        <v>Em Viagem</v>
      </c>
      <c r="J152" s="5" t="str" cm="1">
        <f t="array" ref="J152">IFERROR(
IF(
OR(
INDEX(
'VISÃO LOGISTICA'!$C$2:$C$2000,
MATCH(
TRUE,
ISNUMBER(FIND(B152,'VISÃO LOGISTICA'!$A$2:$A$2000)),
0
)
)="Em espera",
INDEX(
'VISÃO LOGISTICA'!$C$2:$C$2000,
MATCH(
TRUE,
ISNUMBER(FIND(B152,'VISÃO LOGISTICA'!$A$2:$A$2000)),
0
)
)=""
),
"",
INDEX(
'VISÃO LOGISTICA'!$D$2:$D$2000,
MATCH(
TRUE,
ISNUMBER(FIND(B152,'VISÃO LOGISTICA'!$A$2:$A$2000)),
0
)
)
),
""
)</f>
        <v>BCU5G84</v>
      </c>
      <c r="K152" s="10" t="str">
        <f>IFERROR(
IF(
_xlfn.XLOOKUP(
B152,
'LOCALIZAÇÃO DE CARGA'!$A$2:$A$702,
'LOCALIZAÇÃO DE CARGA'!$E$2:$E$702)="",
"",
_xlfn.XLOOKUP(
B152,
'LOCALIZAÇÃO DE CARGA'!$A$2:$A$702,
'LOCALIZAÇÃO DE CARGA'!$E$2:$E$702)
),
""
)</f>
        <v/>
      </c>
      <c r="L152" s="20" t="str" cm="1">
        <f t="array" ref="L152">IFERROR(
_xlfn.LET(
_xlpm.res,_xlfn.XLOOKUP(B152,'LOCALIZAÇÃO DE CARGA'!$A$2:$A$2000,'LOCALIZAÇÃO DE CARGA'!$G$2:$G$2000),
IF(_xlpm.res="","",_xlpm.res)
),
""
)</f>
        <v/>
      </c>
      <c r="M152" s="20" t="str" cm="1">
        <f t="array" ref="M152">IFERROR(
_xlfn.LET(
_xlpm.load,_xlfn.XLOOKUP(B152,'LOCALIZAÇÃO DE CARGA'!$A$2:$A$2000,'LOCALIZAÇÃO DE CARGA'!$A$2:$A$2000),
_xlpm.res,_xlfn.XLOOKUP(_xlpm.load,DOCUMENTOS!$A$2:$A$2000,DOCUMENTOS!$D$2:$D$2000),
IF(_xlpm.res="","",_xlpm.res)
),
""
)</f>
        <v/>
      </c>
      <c r="N152" s="6" t="str">
        <f>IFERROR(IF(M152="","",M152-TIME(1,0,0)),"")</f>
        <v/>
      </c>
      <c r="O152" s="6" t="str" cm="1">
        <f t="array" ref="O152">IFERROR(
_xlfn.LET(
_xlpm.res,_xlfn.XLOOKUP(B152,'LOCALIZAÇÃO DE CARGA'!$A$2:$A$2000,'LOCALIZAÇÃO DE CARGA'!$S$2:$S$2000),
IF(_xlpm.res="","",_xlpm.res)
),
""
)</f>
        <v/>
      </c>
      <c r="P152" s="6" t="str" cm="1">
        <f t="array" ref="P152">IFERROR(
_xlfn.LET(
_xlpm.res,_xlfn.XLOOKUP(B152,'LOCALIZAÇÃO DE CARGA'!$A$2:$A$702,'LOCALIZAÇÃO DE CARGA'!$T$2:$T$702),
IF(_xlpm.res="","",_xlpm.res)
),
""
)</f>
        <v/>
      </c>
      <c r="Q152" s="5" t="str">
        <f>IFERROR(
IF(
_xlfn.XLOOKUP(
B152,
'LOCALIZAÇÃO DE CARGA'!$A$2:$A$702,
'LOCALIZAÇÃO DE CARGA'!$K$2:$K$702
)="",
"",
_xlfn.XLOOKUP(
B152,
'LOCALIZAÇÃO DE CARGA'!$A$2:$A$702,
'LOCALIZAÇÃO DE CARGA'!$K$2:$K$702
)
),
""
)</f>
        <v/>
      </c>
      <c r="R152" s="5" t="str">
        <f t="shared" si="8"/>
        <v/>
      </c>
      <c r="S152" s="5" t="str" cm="1">
        <f t="array" ref="S152">IF(B152="","",IFERROR(
INDEX(
'VISÃO LOGISTICA'!$L$2:$L$525,
MATCH(
TRUE,
ISNUMBER(FIND(B152,'VISÃO LOGISTICA'!$A$2:$A$525)),
0
)
),
""
))</f>
        <v/>
      </c>
      <c r="T152" s="5" t="str" cm="1">
        <f t="array" ref="T152">IFERROR(
_xlfn.LET(
_xlpm.res,_xlfn.XLOOKUP(B152,'LOCALIZAÇÃO DE CARGA'!$A$2:$A$702,'LOCALIZAÇÃO DE CARGA'!$R$2:$R$702),
IF(_xlpm.res="","",SUBSTITUTE(_xlpm.res,"/BRASIL",""))
),
""
)</f>
        <v/>
      </c>
    </row>
    <row r="153" spans="1:20">
      <c r="A153" s="14" t="str">
        <f t="shared" si="6"/>
        <v/>
      </c>
      <c r="B153" s="5"/>
      <c r="C153" s="45" t="str">
        <f t="shared" ca="1" si="7"/>
        <v/>
      </c>
      <c r="D153" s="28"/>
      <c r="E153" s="28" t="str">
        <f>IFERROR(
IF(
_xlfn.XLOOKUP(
B153,
'LOCALIZAÇÃO DE CARGA'!$A$2:$A$702,
'LOCALIZAÇÃO DE CARGA'!$D$2:$D$702
)="",
"",
_xlfn.XLOOKUP(
B153,
'LOCALIZAÇÃO DE CARGA'!$A$2:$A$702,
'LOCALIZAÇÃO DE CARGA'!$D$2:$D$702
)
),
""
)</f>
        <v/>
      </c>
      <c r="F153" s="13" t="str">
        <f>IFERROR(
IF(
_xlfn.XLOOKUP(
B153,
'LOCALIZAÇÃO DE CARGA'!$A$2:$A$702,
'LOCALIZAÇÃO DE CARGA'!$H$2:$H$702
)="",
"",
_xlfn.XLOOKUP(
B153,
'LOCALIZAÇÃO DE CARGA'!$A$2:$A$702,
'LOCALIZAÇÃO DE CARGA'!$H$2:$H$702
)
),
""
)</f>
        <v/>
      </c>
      <c r="G153" s="5" t="str">
        <f>IFERROR(
IF(
_xlfn.XLOOKUP(
B153,
'LOCALIZAÇÃO DE CARGA'!$A$2:$A$702,
'LOCALIZAÇÃO DE CARGA'!$I$2:$I$702
)="",
"",
_xlfn.XLOOKUP(
B153,
'LOCALIZAÇÃO DE CARGA'!$A$2:$A$702,
'LOCALIZAÇÃO DE CARGA'!$I$2:$I$702
)
),
""
)</f>
        <v/>
      </c>
      <c r="H153" s="5" t="str">
        <f>IFERROR(
IF(
_xlfn.XLOOKUP(
B153,
'LOCALIZAÇÃO DE CARGA'!$A$2:$A$702,
'LOCALIZAÇÃO DE CARGA'!$F$2:$F$702
)="",
"",
_xlfn.XLOOKUP(
B153,
'LOCALIZAÇÃO DE CARGA'!$A$2:$A$702,
'LOCALIZAÇÃO DE CARGA'!$F$2:$F$702
)
),
""
)</f>
        <v/>
      </c>
      <c r="I153" s="13" t="str" cm="1">
        <f t="array" ref="I153">IFERROR(
IF(
INDEX(
'VISÃO LOGISTICA'!$C$2:$C$525,
MATCH(
TRUE,
ISNUMBER(FIND(B153,'VISÃO LOGISTICA'!$A$2:$A$525)),
0
)
)="Em espera",
"",
INDEX(
'VISÃO LOGISTICA'!$C$2:$C$525,
MATCH(
TRUE,
ISNUMBER(FIND(B153,'VISÃO LOGISTICA'!$A$2:$A$525)),
0
)
)
),
""
)</f>
        <v>Em Viagem</v>
      </c>
      <c r="J153" s="5" t="str" cm="1">
        <f t="array" ref="J153">IFERROR(
IF(
OR(
INDEX(
'VISÃO LOGISTICA'!$C$2:$C$2000,
MATCH(
TRUE,
ISNUMBER(FIND(B153,'VISÃO LOGISTICA'!$A$2:$A$2000)),
0
)
)="Em espera",
INDEX(
'VISÃO LOGISTICA'!$C$2:$C$2000,
MATCH(
TRUE,
ISNUMBER(FIND(B153,'VISÃO LOGISTICA'!$A$2:$A$2000)),
0
)
)=""
),
"",
INDEX(
'VISÃO LOGISTICA'!$D$2:$D$2000,
MATCH(
TRUE,
ISNUMBER(FIND(B153,'VISÃO LOGISTICA'!$A$2:$A$2000)),
0
)
)
),
""
)</f>
        <v>BCU5G84</v>
      </c>
      <c r="K153" s="10" t="str">
        <f>IFERROR(
IF(
_xlfn.XLOOKUP(
B153,
'LOCALIZAÇÃO DE CARGA'!$A$2:$A$702,
'LOCALIZAÇÃO DE CARGA'!$E$2:$E$702)="",
"",
_xlfn.XLOOKUP(
B153,
'LOCALIZAÇÃO DE CARGA'!$A$2:$A$702,
'LOCALIZAÇÃO DE CARGA'!$E$2:$E$702)
),
""
)</f>
        <v/>
      </c>
      <c r="L153" s="20" t="str" cm="1">
        <f t="array" ref="L153">IFERROR(
_xlfn.LET(
_xlpm.res,_xlfn.XLOOKUP(B153,'LOCALIZAÇÃO DE CARGA'!$A$2:$A$2000,'LOCALIZAÇÃO DE CARGA'!$G$2:$G$2000),
IF(_xlpm.res="","",_xlpm.res)
),
""
)</f>
        <v/>
      </c>
      <c r="M153" s="20" t="str" cm="1">
        <f t="array" ref="M153">IFERROR(
_xlfn.LET(
_xlpm.load,_xlfn.XLOOKUP(B153,'LOCALIZAÇÃO DE CARGA'!$A$2:$A$2000,'LOCALIZAÇÃO DE CARGA'!$A$2:$A$2000),
_xlpm.res,_xlfn.XLOOKUP(_xlpm.load,DOCUMENTOS!$A$2:$A$2000,DOCUMENTOS!$D$2:$D$2000),
IF(_xlpm.res="","",_xlpm.res)
),
""
)</f>
        <v/>
      </c>
      <c r="N153" s="6" t="str">
        <f>IFERROR(IF(M153="","",M153-TIME(1,0,0)),"")</f>
        <v/>
      </c>
      <c r="O153" s="6" t="str" cm="1">
        <f t="array" ref="O153">IFERROR(
_xlfn.LET(
_xlpm.res,_xlfn.XLOOKUP(B153,'LOCALIZAÇÃO DE CARGA'!$A$2:$A$2000,'LOCALIZAÇÃO DE CARGA'!$S$2:$S$2000),
IF(_xlpm.res="","",_xlpm.res)
),
""
)</f>
        <v/>
      </c>
      <c r="P153" s="6" t="str" cm="1">
        <f t="array" ref="P153">IFERROR(
_xlfn.LET(
_xlpm.res,_xlfn.XLOOKUP(B153,'LOCALIZAÇÃO DE CARGA'!$A$2:$A$702,'LOCALIZAÇÃO DE CARGA'!$T$2:$T$702),
IF(_xlpm.res="","",_xlpm.res)
),
""
)</f>
        <v/>
      </c>
      <c r="Q153" s="5" t="str">
        <f>IFERROR(
IF(
_xlfn.XLOOKUP(
B153,
'LOCALIZAÇÃO DE CARGA'!$A$2:$A$702,
'LOCALIZAÇÃO DE CARGA'!$K$2:$K$702
)="",
"",
_xlfn.XLOOKUP(
B153,
'LOCALIZAÇÃO DE CARGA'!$A$2:$A$702,
'LOCALIZAÇÃO DE CARGA'!$K$2:$K$702
)
),
""
)</f>
        <v/>
      </c>
      <c r="R153" s="5" t="str">
        <f t="shared" si="8"/>
        <v/>
      </c>
      <c r="S153" s="5" t="str" cm="1">
        <f t="array" ref="S153">IF(B153="","",IFERROR(
INDEX(
'VISÃO LOGISTICA'!$L$2:$L$525,
MATCH(
TRUE,
ISNUMBER(FIND(B153,'VISÃO LOGISTICA'!$A$2:$A$525)),
0
)
),
""
))</f>
        <v/>
      </c>
      <c r="T153" s="5" t="str" cm="1">
        <f t="array" ref="T153">IFERROR(
_xlfn.LET(
_xlpm.res,_xlfn.XLOOKUP(B153,'LOCALIZAÇÃO DE CARGA'!$A$2:$A$702,'LOCALIZAÇÃO DE CARGA'!$R$2:$R$702),
IF(_xlpm.res="","",SUBSTITUTE(_xlpm.res,"/BRASIL",""))
),
""
)</f>
        <v/>
      </c>
    </row>
    <row r="154" spans="1:20">
      <c r="A154" s="14" t="str">
        <f t="shared" si="6"/>
        <v/>
      </c>
      <c r="B154" s="5"/>
      <c r="C154" s="45" t="str">
        <f t="shared" ca="1" si="7"/>
        <v/>
      </c>
      <c r="D154" s="28"/>
      <c r="E154" s="28" t="str">
        <f>IFERROR(
IF(
_xlfn.XLOOKUP(
B154,
'LOCALIZAÇÃO DE CARGA'!$A$2:$A$702,
'LOCALIZAÇÃO DE CARGA'!$D$2:$D$702
)="",
"",
_xlfn.XLOOKUP(
B154,
'LOCALIZAÇÃO DE CARGA'!$A$2:$A$702,
'LOCALIZAÇÃO DE CARGA'!$D$2:$D$702
)
),
""
)</f>
        <v/>
      </c>
      <c r="F154" s="13" t="str">
        <f>IFERROR(
IF(
_xlfn.XLOOKUP(
B154,
'LOCALIZAÇÃO DE CARGA'!$A$2:$A$702,
'LOCALIZAÇÃO DE CARGA'!$H$2:$H$702
)="",
"",
_xlfn.XLOOKUP(
B154,
'LOCALIZAÇÃO DE CARGA'!$A$2:$A$702,
'LOCALIZAÇÃO DE CARGA'!$H$2:$H$702
)
),
""
)</f>
        <v/>
      </c>
      <c r="G154" s="5" t="str">
        <f>IFERROR(
IF(
_xlfn.XLOOKUP(
B154,
'LOCALIZAÇÃO DE CARGA'!$A$2:$A$702,
'LOCALIZAÇÃO DE CARGA'!$I$2:$I$702
)="",
"",
_xlfn.XLOOKUP(
B154,
'LOCALIZAÇÃO DE CARGA'!$A$2:$A$702,
'LOCALIZAÇÃO DE CARGA'!$I$2:$I$702
)
),
""
)</f>
        <v/>
      </c>
      <c r="H154" s="5" t="str">
        <f>IFERROR(
IF(
_xlfn.XLOOKUP(
B154,
'LOCALIZAÇÃO DE CARGA'!$A$2:$A$702,
'LOCALIZAÇÃO DE CARGA'!$F$2:$F$702
)="",
"",
_xlfn.XLOOKUP(
B154,
'LOCALIZAÇÃO DE CARGA'!$A$2:$A$702,
'LOCALIZAÇÃO DE CARGA'!$F$2:$F$702
)
),
""
)</f>
        <v/>
      </c>
      <c r="I154" s="13" t="str" cm="1">
        <f t="array" ref="I154">IFERROR(
IF(
INDEX(
'VISÃO LOGISTICA'!$C$2:$C$525,
MATCH(
TRUE,
ISNUMBER(FIND(B154,'VISÃO LOGISTICA'!$A$2:$A$525)),
0
)
)="Em espera",
"",
INDEX(
'VISÃO LOGISTICA'!$C$2:$C$525,
MATCH(
TRUE,
ISNUMBER(FIND(B154,'VISÃO LOGISTICA'!$A$2:$A$525)),
0
)
)
),
""
)</f>
        <v>Em Viagem</v>
      </c>
      <c r="J154" s="5" t="str" cm="1">
        <f t="array" ref="J154">IFERROR(
IF(
OR(
INDEX(
'VISÃO LOGISTICA'!$C$2:$C$2000,
MATCH(
TRUE,
ISNUMBER(FIND(B154,'VISÃO LOGISTICA'!$A$2:$A$2000)),
0
)
)="Em espera",
INDEX(
'VISÃO LOGISTICA'!$C$2:$C$2000,
MATCH(
TRUE,
ISNUMBER(FIND(B154,'VISÃO LOGISTICA'!$A$2:$A$2000)),
0
)
)=""
),
"",
INDEX(
'VISÃO LOGISTICA'!$D$2:$D$2000,
MATCH(
TRUE,
ISNUMBER(FIND(B154,'VISÃO LOGISTICA'!$A$2:$A$2000)),
0
)
)
),
""
)</f>
        <v>BCU5G84</v>
      </c>
      <c r="K154" s="10" t="str">
        <f>IFERROR(
IF(
_xlfn.XLOOKUP(
B154,
'LOCALIZAÇÃO DE CARGA'!$A$2:$A$702,
'LOCALIZAÇÃO DE CARGA'!$E$2:$E$702)="",
"",
_xlfn.XLOOKUP(
B154,
'LOCALIZAÇÃO DE CARGA'!$A$2:$A$702,
'LOCALIZAÇÃO DE CARGA'!$E$2:$E$702)
),
""
)</f>
        <v/>
      </c>
      <c r="L154" s="20" t="str" cm="1">
        <f t="array" ref="L154">IFERROR(
_xlfn.LET(
_xlpm.res,_xlfn.XLOOKUP(B154,'LOCALIZAÇÃO DE CARGA'!$A$2:$A$2000,'LOCALIZAÇÃO DE CARGA'!$G$2:$G$2000),
IF(_xlpm.res="","",_xlpm.res)
),
""
)</f>
        <v/>
      </c>
      <c r="M154" s="20" t="str" cm="1">
        <f t="array" ref="M154">IFERROR(
_xlfn.LET(
_xlpm.load,_xlfn.XLOOKUP(B154,'LOCALIZAÇÃO DE CARGA'!$A$2:$A$2000,'LOCALIZAÇÃO DE CARGA'!$A$2:$A$2000),
_xlpm.res,_xlfn.XLOOKUP(_xlpm.load,DOCUMENTOS!$A$2:$A$2000,DOCUMENTOS!$D$2:$D$2000),
IF(_xlpm.res="","",_xlpm.res)
),
""
)</f>
        <v/>
      </c>
      <c r="N154" s="6" t="str">
        <f>IFERROR(IF(M154="","",M154-TIME(1,0,0)),"")</f>
        <v/>
      </c>
      <c r="O154" s="6" t="str" cm="1">
        <f t="array" ref="O154">IFERROR(
_xlfn.LET(
_xlpm.res,_xlfn.XLOOKUP(B154,'LOCALIZAÇÃO DE CARGA'!$A$2:$A$2000,'LOCALIZAÇÃO DE CARGA'!$S$2:$S$2000),
IF(_xlpm.res="","",_xlpm.res)
),
""
)</f>
        <v/>
      </c>
      <c r="P154" s="6" t="str" cm="1">
        <f t="array" ref="P154">IFERROR(
_xlfn.LET(
_xlpm.res,_xlfn.XLOOKUP(B154,'LOCALIZAÇÃO DE CARGA'!$A$2:$A$702,'LOCALIZAÇÃO DE CARGA'!$T$2:$T$702),
IF(_xlpm.res="","",_xlpm.res)
),
""
)</f>
        <v/>
      </c>
      <c r="Q154" s="5" t="str">
        <f>IFERROR(
IF(
_xlfn.XLOOKUP(
B154,
'LOCALIZAÇÃO DE CARGA'!$A$2:$A$702,
'LOCALIZAÇÃO DE CARGA'!$K$2:$K$702
)="",
"",
_xlfn.XLOOKUP(
B154,
'LOCALIZAÇÃO DE CARGA'!$A$2:$A$702,
'LOCALIZAÇÃO DE CARGA'!$K$2:$K$702
)
),
""
)</f>
        <v/>
      </c>
      <c r="R154" s="5" t="str">
        <f t="shared" si="8"/>
        <v/>
      </c>
      <c r="S154" s="5" t="str" cm="1">
        <f t="array" ref="S154">IF(B154="","",IFERROR(
INDEX(
'VISÃO LOGISTICA'!$L$2:$L$525,
MATCH(
TRUE,
ISNUMBER(FIND(B154,'VISÃO LOGISTICA'!$A$2:$A$525)),
0
)
),
""
))</f>
        <v/>
      </c>
      <c r="T154" s="5" t="str" cm="1">
        <f t="array" ref="T154">IFERROR(
_xlfn.LET(
_xlpm.res,_xlfn.XLOOKUP(B154,'LOCALIZAÇÃO DE CARGA'!$A$2:$A$702,'LOCALIZAÇÃO DE CARGA'!$R$2:$R$702),
IF(_xlpm.res="","",SUBSTITUTE(_xlpm.res,"/BRASIL",""))
),
""
)</f>
        <v/>
      </c>
    </row>
    <row r="155" spans="1:20">
      <c r="A155" s="14" t="str">
        <f t="shared" si="6"/>
        <v/>
      </c>
      <c r="B155" s="5"/>
      <c r="C155" s="45" t="str">
        <f t="shared" ca="1" si="7"/>
        <v/>
      </c>
      <c r="D155" s="28"/>
      <c r="E155" s="28" t="str">
        <f>IFERROR(
IF(
_xlfn.XLOOKUP(
B155,
'LOCALIZAÇÃO DE CARGA'!$A$2:$A$702,
'LOCALIZAÇÃO DE CARGA'!$D$2:$D$702
)="",
"",
_xlfn.XLOOKUP(
B155,
'LOCALIZAÇÃO DE CARGA'!$A$2:$A$702,
'LOCALIZAÇÃO DE CARGA'!$D$2:$D$702
)
),
""
)</f>
        <v/>
      </c>
      <c r="F155" s="13" t="str">
        <f>IFERROR(
IF(
_xlfn.XLOOKUP(
B155,
'LOCALIZAÇÃO DE CARGA'!$A$2:$A$702,
'LOCALIZAÇÃO DE CARGA'!$H$2:$H$702
)="",
"",
_xlfn.XLOOKUP(
B155,
'LOCALIZAÇÃO DE CARGA'!$A$2:$A$702,
'LOCALIZAÇÃO DE CARGA'!$H$2:$H$702
)
),
""
)</f>
        <v/>
      </c>
      <c r="G155" s="5" t="str">
        <f>IFERROR(
IF(
_xlfn.XLOOKUP(
B155,
'LOCALIZAÇÃO DE CARGA'!$A$2:$A$702,
'LOCALIZAÇÃO DE CARGA'!$I$2:$I$702
)="",
"",
_xlfn.XLOOKUP(
B155,
'LOCALIZAÇÃO DE CARGA'!$A$2:$A$702,
'LOCALIZAÇÃO DE CARGA'!$I$2:$I$702
)
),
""
)</f>
        <v/>
      </c>
      <c r="H155" s="5" t="str">
        <f>IFERROR(
IF(
_xlfn.XLOOKUP(
B155,
'LOCALIZAÇÃO DE CARGA'!$A$2:$A$702,
'LOCALIZAÇÃO DE CARGA'!$F$2:$F$702
)="",
"",
_xlfn.XLOOKUP(
B155,
'LOCALIZAÇÃO DE CARGA'!$A$2:$A$702,
'LOCALIZAÇÃO DE CARGA'!$F$2:$F$702
)
),
""
)</f>
        <v/>
      </c>
      <c r="I155" s="13" t="str" cm="1">
        <f t="array" ref="I155">IFERROR(
IF(
INDEX(
'VISÃO LOGISTICA'!$C$2:$C$525,
MATCH(
TRUE,
ISNUMBER(FIND(B155,'VISÃO LOGISTICA'!$A$2:$A$525)),
0
)
)="Em espera",
"",
INDEX(
'VISÃO LOGISTICA'!$C$2:$C$525,
MATCH(
TRUE,
ISNUMBER(FIND(B155,'VISÃO LOGISTICA'!$A$2:$A$525)),
0
)
)
),
""
)</f>
        <v>Em Viagem</v>
      </c>
      <c r="J155" s="5" t="str" cm="1">
        <f t="array" ref="J155">IFERROR(
IF(
OR(
INDEX(
'VISÃO LOGISTICA'!$C$2:$C$2000,
MATCH(
TRUE,
ISNUMBER(FIND(B155,'VISÃO LOGISTICA'!$A$2:$A$2000)),
0
)
)="Em espera",
INDEX(
'VISÃO LOGISTICA'!$C$2:$C$2000,
MATCH(
TRUE,
ISNUMBER(FIND(B155,'VISÃO LOGISTICA'!$A$2:$A$2000)),
0
)
)=""
),
"",
INDEX(
'VISÃO LOGISTICA'!$D$2:$D$2000,
MATCH(
TRUE,
ISNUMBER(FIND(B155,'VISÃO LOGISTICA'!$A$2:$A$2000)),
0
)
)
),
""
)</f>
        <v>BCU5G84</v>
      </c>
      <c r="K155" s="10" t="str">
        <f>IFERROR(
IF(
_xlfn.XLOOKUP(
B155,
'LOCALIZAÇÃO DE CARGA'!$A$2:$A$702,
'LOCALIZAÇÃO DE CARGA'!$E$2:$E$702)="",
"",
_xlfn.XLOOKUP(
B155,
'LOCALIZAÇÃO DE CARGA'!$A$2:$A$702,
'LOCALIZAÇÃO DE CARGA'!$E$2:$E$702)
),
""
)</f>
        <v/>
      </c>
      <c r="L155" s="20" t="str" cm="1">
        <f t="array" ref="L155">IFERROR(
_xlfn.LET(
_xlpm.res,_xlfn.XLOOKUP(B155,'LOCALIZAÇÃO DE CARGA'!$A$2:$A$2000,'LOCALIZAÇÃO DE CARGA'!$G$2:$G$2000),
IF(_xlpm.res="","",_xlpm.res)
),
""
)</f>
        <v/>
      </c>
      <c r="M155" s="20" t="str" cm="1">
        <f t="array" ref="M155">IFERROR(
_xlfn.LET(
_xlpm.load,_xlfn.XLOOKUP(B155,'LOCALIZAÇÃO DE CARGA'!$A$2:$A$2000,'LOCALIZAÇÃO DE CARGA'!$A$2:$A$2000),
_xlpm.res,_xlfn.XLOOKUP(_xlpm.load,DOCUMENTOS!$A$2:$A$2000,DOCUMENTOS!$D$2:$D$2000),
IF(_xlpm.res="","",_xlpm.res)
),
""
)</f>
        <v/>
      </c>
      <c r="N155" s="6" t="str">
        <f>IFERROR(IF(M155="","",M155-TIME(1,0,0)),"")</f>
        <v/>
      </c>
      <c r="O155" s="6" t="str" cm="1">
        <f t="array" ref="O155">IFERROR(
_xlfn.LET(
_xlpm.res,_xlfn.XLOOKUP(B155,'LOCALIZAÇÃO DE CARGA'!$A$2:$A$2000,'LOCALIZAÇÃO DE CARGA'!$S$2:$S$2000),
IF(_xlpm.res="","",_xlpm.res)
),
""
)</f>
        <v/>
      </c>
      <c r="P155" s="6" t="str" cm="1">
        <f t="array" ref="P155">IFERROR(
_xlfn.LET(
_xlpm.res,_xlfn.XLOOKUP(B155,'LOCALIZAÇÃO DE CARGA'!$A$2:$A$702,'LOCALIZAÇÃO DE CARGA'!$T$2:$T$702),
IF(_xlpm.res="","",_xlpm.res)
),
""
)</f>
        <v/>
      </c>
      <c r="Q155" s="5" t="str">
        <f>IFERROR(
IF(
_xlfn.XLOOKUP(
B155,
'LOCALIZAÇÃO DE CARGA'!$A$2:$A$702,
'LOCALIZAÇÃO DE CARGA'!$K$2:$K$702
)="",
"",
_xlfn.XLOOKUP(
B155,
'LOCALIZAÇÃO DE CARGA'!$A$2:$A$702,
'LOCALIZAÇÃO DE CARGA'!$K$2:$K$702
)
),
""
)</f>
        <v/>
      </c>
      <c r="R155" s="5" t="str">
        <f t="shared" si="8"/>
        <v/>
      </c>
      <c r="S155" s="5" t="str" cm="1">
        <f t="array" ref="S155">IF(B155="","",IFERROR(
INDEX(
'VISÃO LOGISTICA'!$L$2:$L$525,
MATCH(
TRUE,
ISNUMBER(FIND(B155,'VISÃO LOGISTICA'!$A$2:$A$525)),
0
)
),
""
))</f>
        <v/>
      </c>
      <c r="T155" s="5" t="str" cm="1">
        <f t="array" ref="T155">IFERROR(
_xlfn.LET(
_xlpm.res,_xlfn.XLOOKUP(B155,'LOCALIZAÇÃO DE CARGA'!$A$2:$A$702,'LOCALIZAÇÃO DE CARGA'!$R$2:$R$702),
IF(_xlpm.res="","",SUBSTITUTE(_xlpm.res,"/BRASIL",""))
),
""
)</f>
        <v/>
      </c>
    </row>
    <row r="156" spans="1:20">
      <c r="A156" s="14" t="str">
        <f t="shared" si="6"/>
        <v/>
      </c>
      <c r="B156" s="5"/>
      <c r="C156" s="45" t="str">
        <f t="shared" ca="1" si="7"/>
        <v/>
      </c>
      <c r="D156" s="28"/>
      <c r="E156" s="28" t="str">
        <f>IFERROR(
IF(
_xlfn.XLOOKUP(
B156,
'LOCALIZAÇÃO DE CARGA'!$A$2:$A$702,
'LOCALIZAÇÃO DE CARGA'!$D$2:$D$702
)="",
"",
_xlfn.XLOOKUP(
B156,
'LOCALIZAÇÃO DE CARGA'!$A$2:$A$702,
'LOCALIZAÇÃO DE CARGA'!$D$2:$D$702
)
),
""
)</f>
        <v/>
      </c>
      <c r="F156" s="13" t="str">
        <f>IFERROR(
IF(
_xlfn.XLOOKUP(
B156,
'LOCALIZAÇÃO DE CARGA'!$A$2:$A$702,
'LOCALIZAÇÃO DE CARGA'!$H$2:$H$702
)="",
"",
_xlfn.XLOOKUP(
B156,
'LOCALIZAÇÃO DE CARGA'!$A$2:$A$702,
'LOCALIZAÇÃO DE CARGA'!$H$2:$H$702
)
),
""
)</f>
        <v/>
      </c>
      <c r="G156" s="5" t="str">
        <f>IFERROR(
IF(
_xlfn.XLOOKUP(
B156,
'LOCALIZAÇÃO DE CARGA'!$A$2:$A$702,
'LOCALIZAÇÃO DE CARGA'!$I$2:$I$702
)="",
"",
_xlfn.XLOOKUP(
B156,
'LOCALIZAÇÃO DE CARGA'!$A$2:$A$702,
'LOCALIZAÇÃO DE CARGA'!$I$2:$I$702
)
),
""
)</f>
        <v/>
      </c>
      <c r="H156" s="5" t="str">
        <f>IFERROR(
IF(
_xlfn.XLOOKUP(
B156,
'LOCALIZAÇÃO DE CARGA'!$A$2:$A$702,
'LOCALIZAÇÃO DE CARGA'!$F$2:$F$702
)="",
"",
_xlfn.XLOOKUP(
B156,
'LOCALIZAÇÃO DE CARGA'!$A$2:$A$702,
'LOCALIZAÇÃO DE CARGA'!$F$2:$F$702
)
),
""
)</f>
        <v/>
      </c>
      <c r="I156" s="13" t="str" cm="1">
        <f t="array" ref="I156">IFERROR(
IF(
INDEX(
'VISÃO LOGISTICA'!$C$2:$C$525,
MATCH(
TRUE,
ISNUMBER(FIND(B156,'VISÃO LOGISTICA'!$A$2:$A$525)),
0
)
)="Em espera",
"",
INDEX(
'VISÃO LOGISTICA'!$C$2:$C$525,
MATCH(
TRUE,
ISNUMBER(FIND(B156,'VISÃO LOGISTICA'!$A$2:$A$525)),
0
)
)
),
""
)</f>
        <v>Em Viagem</v>
      </c>
      <c r="J156" s="5" t="str" cm="1">
        <f t="array" ref="J156">IFERROR(
IF(
OR(
INDEX(
'VISÃO LOGISTICA'!$C$2:$C$2000,
MATCH(
TRUE,
ISNUMBER(FIND(B156,'VISÃO LOGISTICA'!$A$2:$A$2000)),
0
)
)="Em espera",
INDEX(
'VISÃO LOGISTICA'!$C$2:$C$2000,
MATCH(
TRUE,
ISNUMBER(FIND(B156,'VISÃO LOGISTICA'!$A$2:$A$2000)),
0
)
)=""
),
"",
INDEX(
'VISÃO LOGISTICA'!$D$2:$D$2000,
MATCH(
TRUE,
ISNUMBER(FIND(B156,'VISÃO LOGISTICA'!$A$2:$A$2000)),
0
)
)
),
""
)</f>
        <v>BCU5G84</v>
      </c>
      <c r="K156" s="10" t="str">
        <f>IFERROR(
IF(
_xlfn.XLOOKUP(
B156,
'LOCALIZAÇÃO DE CARGA'!$A$2:$A$702,
'LOCALIZAÇÃO DE CARGA'!$E$2:$E$702)="",
"",
_xlfn.XLOOKUP(
B156,
'LOCALIZAÇÃO DE CARGA'!$A$2:$A$702,
'LOCALIZAÇÃO DE CARGA'!$E$2:$E$702)
),
""
)</f>
        <v/>
      </c>
      <c r="L156" s="20" t="str" cm="1">
        <f t="array" ref="L156">IFERROR(
_xlfn.LET(
_xlpm.res,_xlfn.XLOOKUP(B156,'LOCALIZAÇÃO DE CARGA'!$A$2:$A$2000,'LOCALIZAÇÃO DE CARGA'!$G$2:$G$2000),
IF(_xlpm.res="","",_xlpm.res)
),
""
)</f>
        <v/>
      </c>
      <c r="M156" s="20" t="str" cm="1">
        <f t="array" ref="M156">IFERROR(
_xlfn.LET(
_xlpm.load,_xlfn.XLOOKUP(B156,'LOCALIZAÇÃO DE CARGA'!$A$2:$A$2000,'LOCALIZAÇÃO DE CARGA'!$A$2:$A$2000),
_xlpm.res,_xlfn.XLOOKUP(_xlpm.load,DOCUMENTOS!$A$2:$A$2000,DOCUMENTOS!$D$2:$D$2000),
IF(_xlpm.res="","",_xlpm.res)
),
""
)</f>
        <v/>
      </c>
      <c r="N156" s="6" t="str">
        <f>IFERROR(IF(M156="","",M156-TIME(1,0,0)),"")</f>
        <v/>
      </c>
      <c r="O156" s="6" t="str" cm="1">
        <f t="array" ref="O156">IFERROR(
_xlfn.LET(
_xlpm.res,_xlfn.XLOOKUP(B156,'LOCALIZAÇÃO DE CARGA'!$A$2:$A$2000,'LOCALIZAÇÃO DE CARGA'!$S$2:$S$2000),
IF(_xlpm.res="","",_xlpm.res)
),
""
)</f>
        <v/>
      </c>
      <c r="P156" s="6" t="str" cm="1">
        <f t="array" ref="P156">IFERROR(
_xlfn.LET(
_xlpm.res,_xlfn.XLOOKUP(B156,'LOCALIZAÇÃO DE CARGA'!$A$2:$A$702,'LOCALIZAÇÃO DE CARGA'!$T$2:$T$702),
IF(_xlpm.res="","",_xlpm.res)
),
""
)</f>
        <v/>
      </c>
      <c r="Q156" s="5" t="str">
        <f>IFERROR(
IF(
_xlfn.XLOOKUP(
B156,
'LOCALIZAÇÃO DE CARGA'!$A$2:$A$702,
'LOCALIZAÇÃO DE CARGA'!$K$2:$K$702
)="",
"",
_xlfn.XLOOKUP(
B156,
'LOCALIZAÇÃO DE CARGA'!$A$2:$A$702,
'LOCALIZAÇÃO DE CARGA'!$K$2:$K$702
)
),
""
)</f>
        <v/>
      </c>
      <c r="R156" s="5" t="str">
        <f t="shared" si="8"/>
        <v/>
      </c>
      <c r="S156" s="5" t="str" cm="1">
        <f t="array" ref="S156">IF(B156="","",IFERROR(
INDEX(
'VISÃO LOGISTICA'!$L$2:$L$525,
MATCH(
TRUE,
ISNUMBER(FIND(B156,'VISÃO LOGISTICA'!$A$2:$A$525)),
0
)
),
""
))</f>
        <v/>
      </c>
      <c r="T156" s="5" t="str" cm="1">
        <f t="array" ref="T156">IFERROR(
_xlfn.LET(
_xlpm.res,_xlfn.XLOOKUP(B156,'LOCALIZAÇÃO DE CARGA'!$A$2:$A$702,'LOCALIZAÇÃO DE CARGA'!$R$2:$R$702),
IF(_xlpm.res="","",SUBSTITUTE(_xlpm.res,"/BRASIL",""))
),
""
)</f>
        <v/>
      </c>
    </row>
    <row r="157" spans="1:20">
      <c r="A157" s="14" t="str">
        <f t="shared" si="6"/>
        <v/>
      </c>
      <c r="B157" s="5"/>
      <c r="C157" s="45" t="str">
        <f t="shared" ca="1" si="7"/>
        <v/>
      </c>
      <c r="D157" s="28"/>
      <c r="E157" s="28" t="str">
        <f>IFERROR(
IF(
_xlfn.XLOOKUP(
B157,
'LOCALIZAÇÃO DE CARGA'!$A$2:$A$702,
'LOCALIZAÇÃO DE CARGA'!$D$2:$D$702
)="",
"",
_xlfn.XLOOKUP(
B157,
'LOCALIZAÇÃO DE CARGA'!$A$2:$A$702,
'LOCALIZAÇÃO DE CARGA'!$D$2:$D$702
)
),
""
)</f>
        <v/>
      </c>
      <c r="F157" s="13" t="str">
        <f>IFERROR(
IF(
_xlfn.XLOOKUP(
B157,
'LOCALIZAÇÃO DE CARGA'!$A$2:$A$702,
'LOCALIZAÇÃO DE CARGA'!$H$2:$H$702
)="",
"",
_xlfn.XLOOKUP(
B157,
'LOCALIZAÇÃO DE CARGA'!$A$2:$A$702,
'LOCALIZAÇÃO DE CARGA'!$H$2:$H$702
)
),
""
)</f>
        <v/>
      </c>
      <c r="G157" s="5" t="str">
        <f>IFERROR(
IF(
_xlfn.XLOOKUP(
B157,
'LOCALIZAÇÃO DE CARGA'!$A$2:$A$702,
'LOCALIZAÇÃO DE CARGA'!$I$2:$I$702
)="",
"",
_xlfn.XLOOKUP(
B157,
'LOCALIZAÇÃO DE CARGA'!$A$2:$A$702,
'LOCALIZAÇÃO DE CARGA'!$I$2:$I$702
)
),
""
)</f>
        <v/>
      </c>
      <c r="H157" s="5" t="str">
        <f>IFERROR(
IF(
_xlfn.XLOOKUP(
B157,
'LOCALIZAÇÃO DE CARGA'!$A$2:$A$702,
'LOCALIZAÇÃO DE CARGA'!$F$2:$F$702
)="",
"",
_xlfn.XLOOKUP(
B157,
'LOCALIZAÇÃO DE CARGA'!$A$2:$A$702,
'LOCALIZAÇÃO DE CARGA'!$F$2:$F$702
)
),
""
)</f>
        <v/>
      </c>
      <c r="I157" s="13" t="str" cm="1">
        <f t="array" ref="I157">IFERROR(
IF(
INDEX(
'VISÃO LOGISTICA'!$C$2:$C$525,
MATCH(
TRUE,
ISNUMBER(FIND(B157,'VISÃO LOGISTICA'!$A$2:$A$525)),
0
)
)="Em espera",
"",
INDEX(
'VISÃO LOGISTICA'!$C$2:$C$525,
MATCH(
TRUE,
ISNUMBER(FIND(B157,'VISÃO LOGISTICA'!$A$2:$A$525)),
0
)
)
),
""
)</f>
        <v>Em Viagem</v>
      </c>
      <c r="J157" s="5" t="str" cm="1">
        <f t="array" ref="J157">IFERROR(
IF(
OR(
INDEX(
'VISÃO LOGISTICA'!$C$2:$C$2000,
MATCH(
TRUE,
ISNUMBER(FIND(B157,'VISÃO LOGISTICA'!$A$2:$A$2000)),
0
)
)="Em espera",
INDEX(
'VISÃO LOGISTICA'!$C$2:$C$2000,
MATCH(
TRUE,
ISNUMBER(FIND(B157,'VISÃO LOGISTICA'!$A$2:$A$2000)),
0
)
)=""
),
"",
INDEX(
'VISÃO LOGISTICA'!$D$2:$D$2000,
MATCH(
TRUE,
ISNUMBER(FIND(B157,'VISÃO LOGISTICA'!$A$2:$A$2000)),
0
)
)
),
""
)</f>
        <v>BCU5G84</v>
      </c>
      <c r="K157" s="10" t="str">
        <f>IFERROR(
IF(
_xlfn.XLOOKUP(
B157,
'LOCALIZAÇÃO DE CARGA'!$A$2:$A$702,
'LOCALIZAÇÃO DE CARGA'!$E$2:$E$702)="",
"",
_xlfn.XLOOKUP(
B157,
'LOCALIZAÇÃO DE CARGA'!$A$2:$A$702,
'LOCALIZAÇÃO DE CARGA'!$E$2:$E$702)
),
""
)</f>
        <v/>
      </c>
      <c r="L157" s="20" t="str" cm="1">
        <f t="array" ref="L157">IFERROR(
_xlfn.LET(
_xlpm.res,_xlfn.XLOOKUP(B157,'LOCALIZAÇÃO DE CARGA'!$A$2:$A$2000,'LOCALIZAÇÃO DE CARGA'!$G$2:$G$2000),
IF(_xlpm.res="","",_xlpm.res)
),
""
)</f>
        <v/>
      </c>
      <c r="M157" s="20" t="str" cm="1">
        <f t="array" ref="M157">IFERROR(
_xlfn.LET(
_xlpm.load,_xlfn.XLOOKUP(B157,'LOCALIZAÇÃO DE CARGA'!$A$2:$A$2000,'LOCALIZAÇÃO DE CARGA'!$A$2:$A$2000),
_xlpm.res,_xlfn.XLOOKUP(_xlpm.load,DOCUMENTOS!$A$2:$A$2000,DOCUMENTOS!$D$2:$D$2000),
IF(_xlpm.res="","",_xlpm.res)
),
""
)</f>
        <v/>
      </c>
      <c r="N157" s="6" t="str">
        <f>IFERROR(IF(M157="","",M157-TIME(1,0,0)),"")</f>
        <v/>
      </c>
      <c r="O157" s="6" t="str" cm="1">
        <f t="array" ref="O157">IFERROR(
_xlfn.LET(
_xlpm.res,_xlfn.XLOOKUP(B157,'LOCALIZAÇÃO DE CARGA'!$A$2:$A$2000,'LOCALIZAÇÃO DE CARGA'!$S$2:$S$2000),
IF(_xlpm.res="","",_xlpm.res)
),
""
)</f>
        <v/>
      </c>
      <c r="P157" s="6" t="str" cm="1">
        <f t="array" ref="P157">IFERROR(
_xlfn.LET(
_xlpm.res,_xlfn.XLOOKUP(B157,'LOCALIZAÇÃO DE CARGA'!$A$2:$A$702,'LOCALIZAÇÃO DE CARGA'!$T$2:$T$702),
IF(_xlpm.res="","",_xlpm.res)
),
""
)</f>
        <v/>
      </c>
      <c r="Q157" s="5" t="str">
        <f>IFERROR(
IF(
_xlfn.XLOOKUP(
B157,
'LOCALIZAÇÃO DE CARGA'!$A$2:$A$702,
'LOCALIZAÇÃO DE CARGA'!$K$2:$K$702
)="",
"",
_xlfn.XLOOKUP(
B157,
'LOCALIZAÇÃO DE CARGA'!$A$2:$A$702,
'LOCALIZAÇÃO DE CARGA'!$K$2:$K$702
)
),
""
)</f>
        <v/>
      </c>
      <c r="R157" s="5" t="str">
        <f t="shared" si="8"/>
        <v/>
      </c>
      <c r="S157" s="5" t="str" cm="1">
        <f t="array" ref="S157">IF(B157="","",IFERROR(
INDEX(
'VISÃO LOGISTICA'!$L$2:$L$525,
MATCH(
TRUE,
ISNUMBER(FIND(B157,'VISÃO LOGISTICA'!$A$2:$A$525)),
0
)
),
""
))</f>
        <v/>
      </c>
      <c r="T157" s="5" t="str" cm="1">
        <f t="array" ref="T157">IFERROR(
_xlfn.LET(
_xlpm.res,_xlfn.XLOOKUP(B157,'LOCALIZAÇÃO DE CARGA'!$A$2:$A$702,'LOCALIZAÇÃO DE CARGA'!$R$2:$R$702),
IF(_xlpm.res="","",SUBSTITUTE(_xlpm.res,"/BRASIL",""))
),
""
)</f>
        <v/>
      </c>
    </row>
    <row r="158" spans="1:20">
      <c r="A158" s="14" t="str">
        <f t="shared" si="6"/>
        <v/>
      </c>
      <c r="B158" s="5"/>
      <c r="C158" s="45" t="str">
        <f t="shared" ca="1" si="7"/>
        <v/>
      </c>
      <c r="D158" s="28"/>
      <c r="E158" s="28" t="str">
        <f>IFERROR(
IF(
_xlfn.XLOOKUP(
B158,
'LOCALIZAÇÃO DE CARGA'!$A$2:$A$702,
'LOCALIZAÇÃO DE CARGA'!$D$2:$D$702
)="",
"",
_xlfn.XLOOKUP(
B158,
'LOCALIZAÇÃO DE CARGA'!$A$2:$A$702,
'LOCALIZAÇÃO DE CARGA'!$D$2:$D$702
)
),
""
)</f>
        <v/>
      </c>
      <c r="F158" s="13" t="str">
        <f>IFERROR(
IF(
_xlfn.XLOOKUP(
B158,
'LOCALIZAÇÃO DE CARGA'!$A$2:$A$702,
'LOCALIZAÇÃO DE CARGA'!$H$2:$H$702
)="",
"",
_xlfn.XLOOKUP(
B158,
'LOCALIZAÇÃO DE CARGA'!$A$2:$A$702,
'LOCALIZAÇÃO DE CARGA'!$H$2:$H$702
)
),
""
)</f>
        <v/>
      </c>
      <c r="G158" s="5" t="str">
        <f>IFERROR(
IF(
_xlfn.XLOOKUP(
B158,
'LOCALIZAÇÃO DE CARGA'!$A$2:$A$702,
'LOCALIZAÇÃO DE CARGA'!$I$2:$I$702
)="",
"",
_xlfn.XLOOKUP(
B158,
'LOCALIZAÇÃO DE CARGA'!$A$2:$A$702,
'LOCALIZAÇÃO DE CARGA'!$I$2:$I$702
)
),
""
)</f>
        <v/>
      </c>
      <c r="H158" s="5" t="str">
        <f>IFERROR(
IF(
_xlfn.XLOOKUP(
B158,
'LOCALIZAÇÃO DE CARGA'!$A$2:$A$702,
'LOCALIZAÇÃO DE CARGA'!$F$2:$F$702
)="",
"",
_xlfn.XLOOKUP(
B158,
'LOCALIZAÇÃO DE CARGA'!$A$2:$A$702,
'LOCALIZAÇÃO DE CARGA'!$F$2:$F$702
)
),
""
)</f>
        <v/>
      </c>
      <c r="I158" s="13" t="str" cm="1">
        <f t="array" ref="I158">IFERROR(
IF(
INDEX(
'VISÃO LOGISTICA'!$C$2:$C$525,
MATCH(
TRUE,
ISNUMBER(FIND(B158,'VISÃO LOGISTICA'!$A$2:$A$525)),
0
)
)="Em espera",
"",
INDEX(
'VISÃO LOGISTICA'!$C$2:$C$525,
MATCH(
TRUE,
ISNUMBER(FIND(B158,'VISÃO LOGISTICA'!$A$2:$A$525)),
0
)
)
),
""
)</f>
        <v>Em Viagem</v>
      </c>
      <c r="J158" s="5" t="str" cm="1">
        <f t="array" ref="J158">IFERROR(
IF(
OR(
INDEX(
'VISÃO LOGISTICA'!$C$2:$C$2000,
MATCH(
TRUE,
ISNUMBER(FIND(B158,'VISÃO LOGISTICA'!$A$2:$A$2000)),
0
)
)="Em espera",
INDEX(
'VISÃO LOGISTICA'!$C$2:$C$2000,
MATCH(
TRUE,
ISNUMBER(FIND(B158,'VISÃO LOGISTICA'!$A$2:$A$2000)),
0
)
)=""
),
"",
INDEX(
'VISÃO LOGISTICA'!$D$2:$D$2000,
MATCH(
TRUE,
ISNUMBER(FIND(B158,'VISÃO LOGISTICA'!$A$2:$A$2000)),
0
)
)
),
""
)</f>
        <v>BCU5G84</v>
      </c>
      <c r="K158" s="10" t="str">
        <f>IFERROR(
IF(
_xlfn.XLOOKUP(
B158,
'LOCALIZAÇÃO DE CARGA'!$A$2:$A$702,
'LOCALIZAÇÃO DE CARGA'!$E$2:$E$702)="",
"",
_xlfn.XLOOKUP(
B158,
'LOCALIZAÇÃO DE CARGA'!$A$2:$A$702,
'LOCALIZAÇÃO DE CARGA'!$E$2:$E$702)
),
""
)</f>
        <v/>
      </c>
      <c r="L158" s="20" t="str" cm="1">
        <f t="array" ref="L158">IFERROR(
_xlfn.LET(
_xlpm.res,_xlfn.XLOOKUP(B158,'LOCALIZAÇÃO DE CARGA'!$A$2:$A$2000,'LOCALIZAÇÃO DE CARGA'!$G$2:$G$2000),
IF(_xlpm.res="","",_xlpm.res)
),
""
)</f>
        <v/>
      </c>
      <c r="M158" s="20" t="str" cm="1">
        <f t="array" ref="M158">IFERROR(
_xlfn.LET(
_xlpm.load,_xlfn.XLOOKUP(B158,'LOCALIZAÇÃO DE CARGA'!$A$2:$A$2000,'LOCALIZAÇÃO DE CARGA'!$A$2:$A$2000),
_xlpm.res,_xlfn.XLOOKUP(_xlpm.load,DOCUMENTOS!$A$2:$A$2000,DOCUMENTOS!$D$2:$D$2000),
IF(_xlpm.res="","",_xlpm.res)
),
""
)</f>
        <v/>
      </c>
      <c r="N158" s="6" t="str">
        <f>IFERROR(IF(M158="","",M158-TIME(1,0,0)),"")</f>
        <v/>
      </c>
      <c r="O158" s="6" t="str" cm="1">
        <f t="array" ref="O158">IFERROR(
_xlfn.LET(
_xlpm.res,_xlfn.XLOOKUP(B158,'LOCALIZAÇÃO DE CARGA'!$A$2:$A$2000,'LOCALIZAÇÃO DE CARGA'!$S$2:$S$2000),
IF(_xlpm.res="","",_xlpm.res)
),
""
)</f>
        <v/>
      </c>
      <c r="P158" s="6" t="str" cm="1">
        <f t="array" ref="P158">IFERROR(
_xlfn.LET(
_xlpm.res,_xlfn.XLOOKUP(B158,'LOCALIZAÇÃO DE CARGA'!$A$2:$A$702,'LOCALIZAÇÃO DE CARGA'!$T$2:$T$702),
IF(_xlpm.res="","",_xlpm.res)
),
""
)</f>
        <v/>
      </c>
      <c r="Q158" s="5" t="str">
        <f>IFERROR(
IF(
_xlfn.XLOOKUP(
B158,
'LOCALIZAÇÃO DE CARGA'!$A$2:$A$702,
'LOCALIZAÇÃO DE CARGA'!$K$2:$K$702
)="",
"",
_xlfn.XLOOKUP(
B158,
'LOCALIZAÇÃO DE CARGA'!$A$2:$A$702,
'LOCALIZAÇÃO DE CARGA'!$K$2:$K$702
)
),
""
)</f>
        <v/>
      </c>
      <c r="R158" s="5" t="str">
        <f t="shared" si="8"/>
        <v/>
      </c>
      <c r="S158" s="5" t="str" cm="1">
        <f t="array" ref="S158">IF(B158="","",IFERROR(
INDEX(
'VISÃO LOGISTICA'!$L$2:$L$525,
MATCH(
TRUE,
ISNUMBER(FIND(B158,'VISÃO LOGISTICA'!$A$2:$A$525)),
0
)
),
""
))</f>
        <v/>
      </c>
      <c r="T158" s="5" t="str" cm="1">
        <f t="array" ref="T158">IFERROR(
_xlfn.LET(
_xlpm.res,_xlfn.XLOOKUP(B158,'LOCALIZAÇÃO DE CARGA'!$A$2:$A$702,'LOCALIZAÇÃO DE CARGA'!$R$2:$R$702),
IF(_xlpm.res="","",SUBSTITUTE(_xlpm.res,"/BRASIL",""))
),
""
)</f>
        <v/>
      </c>
    </row>
    <row r="159" spans="1:20">
      <c r="A159" s="14" t="str">
        <f t="shared" si="6"/>
        <v/>
      </c>
      <c r="B159" s="5"/>
      <c r="C159" s="45" t="str">
        <f t="shared" ca="1" si="7"/>
        <v/>
      </c>
      <c r="D159" s="28"/>
      <c r="E159" s="28" t="str">
        <f>IFERROR(
IF(
_xlfn.XLOOKUP(
B159,
'LOCALIZAÇÃO DE CARGA'!$A$2:$A$702,
'LOCALIZAÇÃO DE CARGA'!$D$2:$D$702
)="",
"",
_xlfn.XLOOKUP(
B159,
'LOCALIZAÇÃO DE CARGA'!$A$2:$A$702,
'LOCALIZAÇÃO DE CARGA'!$D$2:$D$702
)
),
""
)</f>
        <v/>
      </c>
      <c r="F159" s="13" t="str">
        <f>IFERROR(
IF(
_xlfn.XLOOKUP(
B159,
'LOCALIZAÇÃO DE CARGA'!$A$2:$A$702,
'LOCALIZAÇÃO DE CARGA'!$H$2:$H$702
)="",
"",
_xlfn.XLOOKUP(
B159,
'LOCALIZAÇÃO DE CARGA'!$A$2:$A$702,
'LOCALIZAÇÃO DE CARGA'!$H$2:$H$702
)
),
""
)</f>
        <v/>
      </c>
      <c r="G159" s="5" t="str">
        <f>IFERROR(
IF(
_xlfn.XLOOKUP(
B159,
'LOCALIZAÇÃO DE CARGA'!$A$2:$A$702,
'LOCALIZAÇÃO DE CARGA'!$I$2:$I$702
)="",
"",
_xlfn.XLOOKUP(
B159,
'LOCALIZAÇÃO DE CARGA'!$A$2:$A$702,
'LOCALIZAÇÃO DE CARGA'!$I$2:$I$702
)
),
""
)</f>
        <v/>
      </c>
      <c r="H159" s="5" t="str">
        <f>IFERROR(
IF(
_xlfn.XLOOKUP(
B159,
'LOCALIZAÇÃO DE CARGA'!$A$2:$A$702,
'LOCALIZAÇÃO DE CARGA'!$F$2:$F$702
)="",
"",
_xlfn.XLOOKUP(
B159,
'LOCALIZAÇÃO DE CARGA'!$A$2:$A$702,
'LOCALIZAÇÃO DE CARGA'!$F$2:$F$702
)
),
""
)</f>
        <v/>
      </c>
      <c r="I159" s="13" t="str" cm="1">
        <f t="array" ref="I159">IFERROR(
IF(
INDEX(
'VISÃO LOGISTICA'!$C$2:$C$525,
MATCH(
TRUE,
ISNUMBER(FIND(B159,'VISÃO LOGISTICA'!$A$2:$A$525)),
0
)
)="Em espera",
"",
INDEX(
'VISÃO LOGISTICA'!$C$2:$C$525,
MATCH(
TRUE,
ISNUMBER(FIND(B159,'VISÃO LOGISTICA'!$A$2:$A$525)),
0
)
)
),
""
)</f>
        <v>Em Viagem</v>
      </c>
      <c r="J159" s="5" t="str" cm="1">
        <f t="array" ref="J159">IFERROR(
IF(
OR(
INDEX(
'VISÃO LOGISTICA'!$C$2:$C$2000,
MATCH(
TRUE,
ISNUMBER(FIND(B159,'VISÃO LOGISTICA'!$A$2:$A$2000)),
0
)
)="Em espera",
INDEX(
'VISÃO LOGISTICA'!$C$2:$C$2000,
MATCH(
TRUE,
ISNUMBER(FIND(B159,'VISÃO LOGISTICA'!$A$2:$A$2000)),
0
)
)=""
),
"",
INDEX(
'VISÃO LOGISTICA'!$D$2:$D$2000,
MATCH(
TRUE,
ISNUMBER(FIND(B159,'VISÃO LOGISTICA'!$A$2:$A$2000)),
0
)
)
),
""
)</f>
        <v>BCU5G84</v>
      </c>
      <c r="K159" s="10" t="str">
        <f>IFERROR(
IF(
_xlfn.XLOOKUP(
B159,
'LOCALIZAÇÃO DE CARGA'!$A$2:$A$702,
'LOCALIZAÇÃO DE CARGA'!$E$2:$E$702)="",
"",
_xlfn.XLOOKUP(
B159,
'LOCALIZAÇÃO DE CARGA'!$A$2:$A$702,
'LOCALIZAÇÃO DE CARGA'!$E$2:$E$702)
),
""
)</f>
        <v/>
      </c>
      <c r="L159" s="20" t="str" cm="1">
        <f t="array" ref="L159">IFERROR(
_xlfn.LET(
_xlpm.res,_xlfn.XLOOKUP(B159,'LOCALIZAÇÃO DE CARGA'!$A$2:$A$2000,'LOCALIZAÇÃO DE CARGA'!$G$2:$G$2000),
IF(_xlpm.res="","",_xlpm.res)
),
""
)</f>
        <v/>
      </c>
      <c r="M159" s="20" t="str" cm="1">
        <f t="array" ref="M159">IFERROR(
_xlfn.LET(
_xlpm.load,_xlfn.XLOOKUP(B159,'LOCALIZAÇÃO DE CARGA'!$A$2:$A$2000,'LOCALIZAÇÃO DE CARGA'!$A$2:$A$2000),
_xlpm.res,_xlfn.XLOOKUP(_xlpm.load,DOCUMENTOS!$A$2:$A$2000,DOCUMENTOS!$D$2:$D$2000),
IF(_xlpm.res="","",_xlpm.res)
),
""
)</f>
        <v/>
      </c>
      <c r="N159" s="6" t="str">
        <f>IFERROR(IF(M159="","",M159-TIME(1,0,0)),"")</f>
        <v/>
      </c>
      <c r="O159" s="6" t="str" cm="1">
        <f t="array" ref="O159">IFERROR(
_xlfn.LET(
_xlpm.res,_xlfn.XLOOKUP(B159,'LOCALIZAÇÃO DE CARGA'!$A$2:$A$2000,'LOCALIZAÇÃO DE CARGA'!$S$2:$S$2000),
IF(_xlpm.res="","",_xlpm.res)
),
""
)</f>
        <v/>
      </c>
      <c r="P159" s="6" t="str" cm="1">
        <f t="array" ref="P159">IFERROR(
_xlfn.LET(
_xlpm.res,_xlfn.XLOOKUP(B159,'LOCALIZAÇÃO DE CARGA'!$A$2:$A$702,'LOCALIZAÇÃO DE CARGA'!$T$2:$T$702),
IF(_xlpm.res="","",_xlpm.res)
),
""
)</f>
        <v/>
      </c>
      <c r="Q159" s="5" t="str">
        <f>IFERROR(
IF(
_xlfn.XLOOKUP(
B159,
'LOCALIZAÇÃO DE CARGA'!$A$2:$A$702,
'LOCALIZAÇÃO DE CARGA'!$K$2:$K$702
)="",
"",
_xlfn.XLOOKUP(
B159,
'LOCALIZAÇÃO DE CARGA'!$A$2:$A$702,
'LOCALIZAÇÃO DE CARGA'!$K$2:$K$702
)
),
""
)</f>
        <v/>
      </c>
      <c r="R159" s="5" t="str">
        <f t="shared" si="8"/>
        <v/>
      </c>
      <c r="S159" s="5" t="str" cm="1">
        <f t="array" ref="S159">IF(B159="","",IFERROR(
INDEX(
'VISÃO LOGISTICA'!$L$2:$L$525,
MATCH(
TRUE,
ISNUMBER(FIND(B159,'VISÃO LOGISTICA'!$A$2:$A$525)),
0
)
),
""
))</f>
        <v/>
      </c>
      <c r="T159" s="5" t="str" cm="1">
        <f t="array" ref="T159">IFERROR(
_xlfn.LET(
_xlpm.res,_xlfn.XLOOKUP(B159,'LOCALIZAÇÃO DE CARGA'!$A$2:$A$702,'LOCALIZAÇÃO DE CARGA'!$R$2:$R$702),
IF(_xlpm.res="","",SUBSTITUTE(_xlpm.res,"/BRASIL",""))
),
""
)</f>
        <v/>
      </c>
    </row>
    <row r="160" spans="1:20">
      <c r="A160" s="14" t="str">
        <f t="shared" si="6"/>
        <v/>
      </c>
      <c r="B160" s="5"/>
      <c r="C160" s="45" t="str">
        <f t="shared" ca="1" si="7"/>
        <v/>
      </c>
      <c r="D160" s="28"/>
      <c r="E160" s="28" t="str">
        <f>IFERROR(
IF(
_xlfn.XLOOKUP(
B160,
'LOCALIZAÇÃO DE CARGA'!$A$2:$A$702,
'LOCALIZAÇÃO DE CARGA'!$D$2:$D$702
)="",
"",
_xlfn.XLOOKUP(
B160,
'LOCALIZAÇÃO DE CARGA'!$A$2:$A$702,
'LOCALIZAÇÃO DE CARGA'!$D$2:$D$702
)
),
""
)</f>
        <v/>
      </c>
      <c r="F160" s="13" t="str">
        <f>IFERROR(
IF(
_xlfn.XLOOKUP(
B160,
'LOCALIZAÇÃO DE CARGA'!$A$2:$A$702,
'LOCALIZAÇÃO DE CARGA'!$H$2:$H$702
)="",
"",
_xlfn.XLOOKUP(
B160,
'LOCALIZAÇÃO DE CARGA'!$A$2:$A$702,
'LOCALIZAÇÃO DE CARGA'!$H$2:$H$702
)
),
""
)</f>
        <v/>
      </c>
      <c r="G160" s="5" t="str">
        <f>IFERROR(
IF(
_xlfn.XLOOKUP(
B160,
'LOCALIZAÇÃO DE CARGA'!$A$2:$A$702,
'LOCALIZAÇÃO DE CARGA'!$I$2:$I$702
)="",
"",
_xlfn.XLOOKUP(
B160,
'LOCALIZAÇÃO DE CARGA'!$A$2:$A$702,
'LOCALIZAÇÃO DE CARGA'!$I$2:$I$702
)
),
""
)</f>
        <v/>
      </c>
      <c r="H160" s="5" t="str">
        <f>IFERROR(
IF(
_xlfn.XLOOKUP(
B160,
'LOCALIZAÇÃO DE CARGA'!$A$2:$A$702,
'LOCALIZAÇÃO DE CARGA'!$F$2:$F$702
)="",
"",
_xlfn.XLOOKUP(
B160,
'LOCALIZAÇÃO DE CARGA'!$A$2:$A$702,
'LOCALIZAÇÃO DE CARGA'!$F$2:$F$702
)
),
""
)</f>
        <v/>
      </c>
      <c r="I160" s="13" t="str" cm="1">
        <f t="array" ref="I160">IFERROR(
IF(
INDEX(
'VISÃO LOGISTICA'!$C$2:$C$525,
MATCH(
TRUE,
ISNUMBER(FIND(B160,'VISÃO LOGISTICA'!$A$2:$A$525)),
0
)
)="Em espera",
"",
INDEX(
'VISÃO LOGISTICA'!$C$2:$C$525,
MATCH(
TRUE,
ISNUMBER(FIND(B160,'VISÃO LOGISTICA'!$A$2:$A$525)),
0
)
)
),
""
)</f>
        <v>Em Viagem</v>
      </c>
      <c r="J160" s="5" t="str" cm="1">
        <f t="array" ref="J160">IFERROR(
IF(
OR(
INDEX(
'VISÃO LOGISTICA'!$C$2:$C$2000,
MATCH(
TRUE,
ISNUMBER(FIND(B160,'VISÃO LOGISTICA'!$A$2:$A$2000)),
0
)
)="Em espera",
INDEX(
'VISÃO LOGISTICA'!$C$2:$C$2000,
MATCH(
TRUE,
ISNUMBER(FIND(B160,'VISÃO LOGISTICA'!$A$2:$A$2000)),
0
)
)=""
),
"",
INDEX(
'VISÃO LOGISTICA'!$D$2:$D$2000,
MATCH(
TRUE,
ISNUMBER(FIND(B160,'VISÃO LOGISTICA'!$A$2:$A$2000)),
0
)
)
),
""
)</f>
        <v>BCU5G84</v>
      </c>
      <c r="K160" s="10" t="str">
        <f>IFERROR(
IF(
_xlfn.XLOOKUP(
B160,
'LOCALIZAÇÃO DE CARGA'!$A$2:$A$702,
'LOCALIZAÇÃO DE CARGA'!$E$2:$E$702)="",
"",
_xlfn.XLOOKUP(
B160,
'LOCALIZAÇÃO DE CARGA'!$A$2:$A$702,
'LOCALIZAÇÃO DE CARGA'!$E$2:$E$702)
),
""
)</f>
        <v/>
      </c>
      <c r="L160" s="20" t="str" cm="1">
        <f t="array" ref="L160">IFERROR(
_xlfn.LET(
_xlpm.res,_xlfn.XLOOKUP(B160,'LOCALIZAÇÃO DE CARGA'!$A$2:$A$2000,'LOCALIZAÇÃO DE CARGA'!$G$2:$G$2000),
IF(_xlpm.res="","",_xlpm.res)
),
""
)</f>
        <v/>
      </c>
      <c r="M160" s="20" t="str" cm="1">
        <f t="array" ref="M160">IFERROR(
_xlfn.LET(
_xlpm.load,_xlfn.XLOOKUP(B160,'LOCALIZAÇÃO DE CARGA'!$A$2:$A$2000,'LOCALIZAÇÃO DE CARGA'!$A$2:$A$2000),
_xlpm.res,_xlfn.XLOOKUP(_xlpm.load,DOCUMENTOS!$A$2:$A$2000,DOCUMENTOS!$D$2:$D$2000),
IF(_xlpm.res="","",_xlpm.res)
),
""
)</f>
        <v/>
      </c>
      <c r="N160" s="6" t="str">
        <f>IFERROR(IF(M160="","",M160-TIME(1,0,0)),"")</f>
        <v/>
      </c>
      <c r="O160" s="6" t="str" cm="1">
        <f t="array" ref="O160">IFERROR(
_xlfn.LET(
_xlpm.res,_xlfn.XLOOKUP(B160,'LOCALIZAÇÃO DE CARGA'!$A$2:$A$2000,'LOCALIZAÇÃO DE CARGA'!$S$2:$S$2000),
IF(_xlpm.res="","",_xlpm.res)
),
""
)</f>
        <v/>
      </c>
      <c r="P160" s="6" t="str" cm="1">
        <f t="array" ref="P160">IFERROR(
_xlfn.LET(
_xlpm.res,_xlfn.XLOOKUP(B160,'LOCALIZAÇÃO DE CARGA'!$A$2:$A$702,'LOCALIZAÇÃO DE CARGA'!$T$2:$T$702),
IF(_xlpm.res="","",_xlpm.res)
),
""
)</f>
        <v/>
      </c>
      <c r="Q160" s="5" t="str">
        <f>IFERROR(
IF(
_xlfn.XLOOKUP(
B160,
'LOCALIZAÇÃO DE CARGA'!$A$2:$A$702,
'LOCALIZAÇÃO DE CARGA'!$K$2:$K$702
)="",
"",
_xlfn.XLOOKUP(
B160,
'LOCALIZAÇÃO DE CARGA'!$A$2:$A$702,
'LOCALIZAÇÃO DE CARGA'!$K$2:$K$702
)
),
""
)</f>
        <v/>
      </c>
      <c r="R160" s="5" t="str">
        <f t="shared" si="8"/>
        <v/>
      </c>
      <c r="S160" s="5" t="str" cm="1">
        <f t="array" ref="S160">IF(B160="","",IFERROR(
INDEX(
'VISÃO LOGISTICA'!$L$2:$L$525,
MATCH(
TRUE,
ISNUMBER(FIND(B160,'VISÃO LOGISTICA'!$A$2:$A$525)),
0
)
),
""
))</f>
        <v/>
      </c>
      <c r="T160" s="5" t="str" cm="1">
        <f t="array" ref="T160">IFERROR(
_xlfn.LET(
_xlpm.res,_xlfn.XLOOKUP(B160,'LOCALIZAÇÃO DE CARGA'!$A$2:$A$702,'LOCALIZAÇÃO DE CARGA'!$R$2:$R$702),
IF(_xlpm.res="","",SUBSTITUTE(_xlpm.res,"/BRASIL",""))
),
""
)</f>
        <v/>
      </c>
    </row>
    <row r="161" spans="1:20">
      <c r="A161" s="14" t="str">
        <f t="shared" si="6"/>
        <v/>
      </c>
      <c r="B161" s="5"/>
      <c r="C161" s="45" t="str">
        <f t="shared" ca="1" si="7"/>
        <v/>
      </c>
      <c r="D161" s="28"/>
      <c r="E161" s="28" t="str">
        <f>IFERROR(
IF(
_xlfn.XLOOKUP(
B161,
'LOCALIZAÇÃO DE CARGA'!$A$2:$A$702,
'LOCALIZAÇÃO DE CARGA'!$D$2:$D$702
)="",
"",
_xlfn.XLOOKUP(
B161,
'LOCALIZAÇÃO DE CARGA'!$A$2:$A$702,
'LOCALIZAÇÃO DE CARGA'!$D$2:$D$702
)
),
""
)</f>
        <v/>
      </c>
      <c r="F161" s="13" t="str">
        <f>IFERROR(
IF(
_xlfn.XLOOKUP(
B161,
'LOCALIZAÇÃO DE CARGA'!$A$2:$A$702,
'LOCALIZAÇÃO DE CARGA'!$H$2:$H$702
)="",
"",
_xlfn.XLOOKUP(
B161,
'LOCALIZAÇÃO DE CARGA'!$A$2:$A$702,
'LOCALIZAÇÃO DE CARGA'!$H$2:$H$702
)
),
""
)</f>
        <v/>
      </c>
      <c r="G161" s="5" t="str">
        <f>IFERROR(
IF(
_xlfn.XLOOKUP(
B161,
'LOCALIZAÇÃO DE CARGA'!$A$2:$A$702,
'LOCALIZAÇÃO DE CARGA'!$I$2:$I$702
)="",
"",
_xlfn.XLOOKUP(
B161,
'LOCALIZAÇÃO DE CARGA'!$A$2:$A$702,
'LOCALIZAÇÃO DE CARGA'!$I$2:$I$702
)
),
""
)</f>
        <v/>
      </c>
      <c r="H161" s="5" t="str">
        <f>IFERROR(
IF(
_xlfn.XLOOKUP(
B161,
'LOCALIZAÇÃO DE CARGA'!$A$2:$A$702,
'LOCALIZAÇÃO DE CARGA'!$F$2:$F$702
)="",
"",
_xlfn.XLOOKUP(
B161,
'LOCALIZAÇÃO DE CARGA'!$A$2:$A$702,
'LOCALIZAÇÃO DE CARGA'!$F$2:$F$702
)
),
""
)</f>
        <v/>
      </c>
      <c r="I161" s="13" t="str" cm="1">
        <f t="array" ref="I161">IFERROR(
IF(
INDEX(
'VISÃO LOGISTICA'!$C$2:$C$525,
MATCH(
TRUE,
ISNUMBER(FIND(B161,'VISÃO LOGISTICA'!$A$2:$A$525)),
0
)
)="Em espera",
"",
INDEX(
'VISÃO LOGISTICA'!$C$2:$C$525,
MATCH(
TRUE,
ISNUMBER(FIND(B161,'VISÃO LOGISTICA'!$A$2:$A$525)),
0
)
)
),
""
)</f>
        <v>Em Viagem</v>
      </c>
      <c r="J161" s="5" t="str" cm="1">
        <f t="array" ref="J161">IFERROR(
IF(
OR(
INDEX(
'VISÃO LOGISTICA'!$C$2:$C$2000,
MATCH(
TRUE,
ISNUMBER(FIND(B161,'VISÃO LOGISTICA'!$A$2:$A$2000)),
0
)
)="Em espera",
INDEX(
'VISÃO LOGISTICA'!$C$2:$C$2000,
MATCH(
TRUE,
ISNUMBER(FIND(B161,'VISÃO LOGISTICA'!$A$2:$A$2000)),
0
)
)=""
),
"",
INDEX(
'VISÃO LOGISTICA'!$D$2:$D$2000,
MATCH(
TRUE,
ISNUMBER(FIND(B161,'VISÃO LOGISTICA'!$A$2:$A$2000)),
0
)
)
),
""
)</f>
        <v>BCU5G84</v>
      </c>
      <c r="K161" s="10" t="str">
        <f>IFERROR(
IF(
_xlfn.XLOOKUP(
B161,
'LOCALIZAÇÃO DE CARGA'!$A$2:$A$702,
'LOCALIZAÇÃO DE CARGA'!$E$2:$E$702)="",
"",
_xlfn.XLOOKUP(
B161,
'LOCALIZAÇÃO DE CARGA'!$A$2:$A$702,
'LOCALIZAÇÃO DE CARGA'!$E$2:$E$702)
),
""
)</f>
        <v/>
      </c>
      <c r="L161" s="20" t="str" cm="1">
        <f t="array" ref="L161">IFERROR(
_xlfn.LET(
_xlpm.res,_xlfn.XLOOKUP(B161,'LOCALIZAÇÃO DE CARGA'!$A$2:$A$2000,'LOCALIZAÇÃO DE CARGA'!$G$2:$G$2000),
IF(_xlpm.res="","",_xlpm.res)
),
""
)</f>
        <v/>
      </c>
      <c r="M161" s="20" t="str" cm="1">
        <f t="array" ref="M161">IFERROR(
_xlfn.LET(
_xlpm.load,_xlfn.XLOOKUP(B161,'LOCALIZAÇÃO DE CARGA'!$A$2:$A$2000,'LOCALIZAÇÃO DE CARGA'!$A$2:$A$2000),
_xlpm.res,_xlfn.XLOOKUP(_xlpm.load,DOCUMENTOS!$A$2:$A$2000,DOCUMENTOS!$D$2:$D$2000),
IF(_xlpm.res="","",_xlpm.res)
),
""
)</f>
        <v/>
      </c>
      <c r="N161" s="6" t="str">
        <f>IFERROR(IF(M161="","",M161-TIME(1,0,0)),"")</f>
        <v/>
      </c>
      <c r="O161" s="6" t="str" cm="1">
        <f t="array" ref="O161">IFERROR(
_xlfn.LET(
_xlpm.res,_xlfn.XLOOKUP(B161,'LOCALIZAÇÃO DE CARGA'!$A$2:$A$2000,'LOCALIZAÇÃO DE CARGA'!$S$2:$S$2000),
IF(_xlpm.res="","",_xlpm.res)
),
""
)</f>
        <v/>
      </c>
      <c r="P161" s="6" t="str" cm="1">
        <f t="array" ref="P161">IFERROR(
_xlfn.LET(
_xlpm.res,_xlfn.XLOOKUP(B161,'LOCALIZAÇÃO DE CARGA'!$A$2:$A$702,'LOCALIZAÇÃO DE CARGA'!$T$2:$T$702),
IF(_xlpm.res="","",_xlpm.res)
),
""
)</f>
        <v/>
      </c>
      <c r="Q161" s="5" t="str">
        <f>IFERROR(
IF(
_xlfn.XLOOKUP(
B161,
'LOCALIZAÇÃO DE CARGA'!$A$2:$A$702,
'LOCALIZAÇÃO DE CARGA'!$K$2:$K$702
)="",
"",
_xlfn.XLOOKUP(
B161,
'LOCALIZAÇÃO DE CARGA'!$A$2:$A$702,
'LOCALIZAÇÃO DE CARGA'!$K$2:$K$702
)
),
""
)</f>
        <v/>
      </c>
      <c r="R161" s="5" t="str">
        <f t="shared" si="8"/>
        <v/>
      </c>
      <c r="S161" s="5" t="str" cm="1">
        <f t="array" ref="S161">IF(B161="","",IFERROR(
INDEX(
'VISÃO LOGISTICA'!$L$2:$L$525,
MATCH(
TRUE,
ISNUMBER(FIND(B161,'VISÃO LOGISTICA'!$A$2:$A$525)),
0
)
),
""
))</f>
        <v/>
      </c>
      <c r="T161" s="5" t="str" cm="1">
        <f t="array" ref="T161">IFERROR(
_xlfn.LET(
_xlpm.res,_xlfn.XLOOKUP(B161,'LOCALIZAÇÃO DE CARGA'!$A$2:$A$702,'LOCALIZAÇÃO DE CARGA'!$R$2:$R$702),
IF(_xlpm.res="","",SUBSTITUTE(_xlpm.res,"/BRASIL",""))
),
""
)</f>
        <v/>
      </c>
    </row>
    <row r="162" spans="1:20">
      <c r="A162" s="14" t="str">
        <f t="shared" si="6"/>
        <v/>
      </c>
      <c r="B162" s="5"/>
      <c r="C162" s="45" t="str">
        <f t="shared" ca="1" si="7"/>
        <v/>
      </c>
      <c r="D162" s="28"/>
      <c r="E162" s="28" t="str">
        <f>IFERROR(
IF(
_xlfn.XLOOKUP(
B162,
'LOCALIZAÇÃO DE CARGA'!$A$2:$A$702,
'LOCALIZAÇÃO DE CARGA'!$D$2:$D$702
)="",
"",
_xlfn.XLOOKUP(
B162,
'LOCALIZAÇÃO DE CARGA'!$A$2:$A$702,
'LOCALIZAÇÃO DE CARGA'!$D$2:$D$702
)
),
""
)</f>
        <v/>
      </c>
      <c r="F162" s="13" t="str">
        <f>IFERROR(
IF(
_xlfn.XLOOKUP(
B162,
'LOCALIZAÇÃO DE CARGA'!$A$2:$A$702,
'LOCALIZAÇÃO DE CARGA'!$H$2:$H$702
)="",
"",
_xlfn.XLOOKUP(
B162,
'LOCALIZAÇÃO DE CARGA'!$A$2:$A$702,
'LOCALIZAÇÃO DE CARGA'!$H$2:$H$702
)
),
""
)</f>
        <v/>
      </c>
      <c r="G162" s="5" t="str">
        <f>IFERROR(
IF(
_xlfn.XLOOKUP(
B162,
'LOCALIZAÇÃO DE CARGA'!$A$2:$A$702,
'LOCALIZAÇÃO DE CARGA'!$I$2:$I$702
)="",
"",
_xlfn.XLOOKUP(
B162,
'LOCALIZAÇÃO DE CARGA'!$A$2:$A$702,
'LOCALIZAÇÃO DE CARGA'!$I$2:$I$702
)
),
""
)</f>
        <v/>
      </c>
      <c r="H162" s="5" t="str">
        <f>IFERROR(
IF(
_xlfn.XLOOKUP(
B162,
'LOCALIZAÇÃO DE CARGA'!$A$2:$A$702,
'LOCALIZAÇÃO DE CARGA'!$F$2:$F$702
)="",
"",
_xlfn.XLOOKUP(
B162,
'LOCALIZAÇÃO DE CARGA'!$A$2:$A$702,
'LOCALIZAÇÃO DE CARGA'!$F$2:$F$702
)
),
""
)</f>
        <v/>
      </c>
      <c r="I162" s="13" t="str" cm="1">
        <f t="array" ref="I162">IFERROR(
IF(
INDEX(
'VISÃO LOGISTICA'!$C$2:$C$525,
MATCH(
TRUE,
ISNUMBER(FIND(B162,'VISÃO LOGISTICA'!$A$2:$A$525)),
0
)
)="Em espera",
"",
INDEX(
'VISÃO LOGISTICA'!$C$2:$C$525,
MATCH(
TRUE,
ISNUMBER(FIND(B162,'VISÃO LOGISTICA'!$A$2:$A$525)),
0
)
)
),
""
)</f>
        <v>Em Viagem</v>
      </c>
      <c r="J162" s="5" t="str" cm="1">
        <f t="array" ref="J162">IFERROR(
IF(
OR(
INDEX(
'VISÃO LOGISTICA'!$C$2:$C$2000,
MATCH(
TRUE,
ISNUMBER(FIND(B162,'VISÃO LOGISTICA'!$A$2:$A$2000)),
0
)
)="Em espera",
INDEX(
'VISÃO LOGISTICA'!$C$2:$C$2000,
MATCH(
TRUE,
ISNUMBER(FIND(B162,'VISÃO LOGISTICA'!$A$2:$A$2000)),
0
)
)=""
),
"",
INDEX(
'VISÃO LOGISTICA'!$D$2:$D$2000,
MATCH(
TRUE,
ISNUMBER(FIND(B162,'VISÃO LOGISTICA'!$A$2:$A$2000)),
0
)
)
),
""
)</f>
        <v>BCU5G84</v>
      </c>
      <c r="K162" s="10" t="str">
        <f>IFERROR(
IF(
_xlfn.XLOOKUP(
B162,
'LOCALIZAÇÃO DE CARGA'!$A$2:$A$702,
'LOCALIZAÇÃO DE CARGA'!$E$2:$E$702)="",
"",
_xlfn.XLOOKUP(
B162,
'LOCALIZAÇÃO DE CARGA'!$A$2:$A$702,
'LOCALIZAÇÃO DE CARGA'!$E$2:$E$702)
),
""
)</f>
        <v/>
      </c>
      <c r="L162" s="20" t="str" cm="1">
        <f t="array" ref="L162">IFERROR(
_xlfn.LET(
_xlpm.res,_xlfn.XLOOKUP(B162,'LOCALIZAÇÃO DE CARGA'!$A$2:$A$2000,'LOCALIZAÇÃO DE CARGA'!$G$2:$G$2000),
IF(_xlpm.res="","",_xlpm.res)
),
""
)</f>
        <v/>
      </c>
      <c r="M162" s="20" t="str" cm="1">
        <f t="array" ref="M162">IFERROR(
_xlfn.LET(
_xlpm.load,_xlfn.XLOOKUP(B162,'LOCALIZAÇÃO DE CARGA'!$A$2:$A$2000,'LOCALIZAÇÃO DE CARGA'!$A$2:$A$2000),
_xlpm.res,_xlfn.XLOOKUP(_xlpm.load,DOCUMENTOS!$A$2:$A$2000,DOCUMENTOS!$D$2:$D$2000),
IF(_xlpm.res="","",_xlpm.res)
),
""
)</f>
        <v/>
      </c>
      <c r="N162" s="6" t="str">
        <f>IFERROR(IF(M162="","",M162-TIME(1,0,0)),"")</f>
        <v/>
      </c>
      <c r="O162" s="6" t="str" cm="1">
        <f t="array" ref="O162">IFERROR(
_xlfn.LET(
_xlpm.res,_xlfn.XLOOKUP(B162,'LOCALIZAÇÃO DE CARGA'!$A$2:$A$2000,'LOCALIZAÇÃO DE CARGA'!$S$2:$S$2000),
IF(_xlpm.res="","",_xlpm.res)
),
""
)</f>
        <v/>
      </c>
      <c r="P162" s="6" t="str" cm="1">
        <f t="array" ref="P162">IFERROR(
_xlfn.LET(
_xlpm.res,_xlfn.XLOOKUP(B162,'LOCALIZAÇÃO DE CARGA'!$A$2:$A$702,'LOCALIZAÇÃO DE CARGA'!$T$2:$T$702),
IF(_xlpm.res="","",_xlpm.res)
),
""
)</f>
        <v/>
      </c>
      <c r="Q162" s="5" t="str">
        <f>IFERROR(
IF(
_xlfn.XLOOKUP(
B162,
'LOCALIZAÇÃO DE CARGA'!$A$2:$A$702,
'LOCALIZAÇÃO DE CARGA'!$K$2:$K$702
)="",
"",
_xlfn.XLOOKUP(
B162,
'LOCALIZAÇÃO DE CARGA'!$A$2:$A$702,
'LOCALIZAÇÃO DE CARGA'!$K$2:$K$702
)
),
""
)</f>
        <v/>
      </c>
      <c r="R162" s="5" t="str">
        <f t="shared" si="8"/>
        <v/>
      </c>
      <c r="S162" s="5" t="str" cm="1">
        <f t="array" ref="S162">IF(B162="","",IFERROR(
INDEX(
'VISÃO LOGISTICA'!$L$2:$L$525,
MATCH(
TRUE,
ISNUMBER(FIND(B162,'VISÃO LOGISTICA'!$A$2:$A$525)),
0
)
),
""
))</f>
        <v/>
      </c>
      <c r="T162" s="5" t="str" cm="1">
        <f t="array" ref="T162">IFERROR(
_xlfn.LET(
_xlpm.res,_xlfn.XLOOKUP(B162,'LOCALIZAÇÃO DE CARGA'!$A$2:$A$702,'LOCALIZAÇÃO DE CARGA'!$R$2:$R$702),
IF(_xlpm.res="","",SUBSTITUTE(_xlpm.res,"/BRASIL",""))
),
""
)</f>
        <v/>
      </c>
    </row>
    <row r="163" spans="1:20">
      <c r="A163" s="14" t="str">
        <f t="shared" si="6"/>
        <v/>
      </c>
      <c r="B163" s="5"/>
      <c r="C163" s="45" t="str">
        <f t="shared" ca="1" si="7"/>
        <v/>
      </c>
      <c r="D163" s="28"/>
      <c r="E163" s="28" t="str">
        <f>IFERROR(
IF(
_xlfn.XLOOKUP(
B163,
'LOCALIZAÇÃO DE CARGA'!$A$2:$A$702,
'LOCALIZAÇÃO DE CARGA'!$D$2:$D$702
)="",
"",
_xlfn.XLOOKUP(
B163,
'LOCALIZAÇÃO DE CARGA'!$A$2:$A$702,
'LOCALIZAÇÃO DE CARGA'!$D$2:$D$702
)
),
""
)</f>
        <v/>
      </c>
      <c r="F163" s="13" t="str">
        <f>IFERROR(
IF(
_xlfn.XLOOKUP(
B163,
'LOCALIZAÇÃO DE CARGA'!$A$2:$A$702,
'LOCALIZAÇÃO DE CARGA'!$H$2:$H$702
)="",
"",
_xlfn.XLOOKUP(
B163,
'LOCALIZAÇÃO DE CARGA'!$A$2:$A$702,
'LOCALIZAÇÃO DE CARGA'!$H$2:$H$702
)
),
""
)</f>
        <v/>
      </c>
      <c r="G163" s="5" t="str">
        <f>IFERROR(
IF(
_xlfn.XLOOKUP(
B163,
'LOCALIZAÇÃO DE CARGA'!$A$2:$A$702,
'LOCALIZAÇÃO DE CARGA'!$I$2:$I$702
)="",
"",
_xlfn.XLOOKUP(
B163,
'LOCALIZAÇÃO DE CARGA'!$A$2:$A$702,
'LOCALIZAÇÃO DE CARGA'!$I$2:$I$702
)
),
""
)</f>
        <v/>
      </c>
      <c r="H163" s="5" t="str">
        <f>IFERROR(
IF(
_xlfn.XLOOKUP(
B163,
'LOCALIZAÇÃO DE CARGA'!$A$2:$A$702,
'LOCALIZAÇÃO DE CARGA'!$F$2:$F$702
)="",
"",
_xlfn.XLOOKUP(
B163,
'LOCALIZAÇÃO DE CARGA'!$A$2:$A$702,
'LOCALIZAÇÃO DE CARGA'!$F$2:$F$702
)
),
""
)</f>
        <v/>
      </c>
      <c r="I163" s="13" t="str" cm="1">
        <f t="array" ref="I163">IFERROR(
IF(
INDEX(
'VISÃO LOGISTICA'!$C$2:$C$525,
MATCH(
TRUE,
ISNUMBER(FIND(B163,'VISÃO LOGISTICA'!$A$2:$A$525)),
0
)
)="Em espera",
"",
INDEX(
'VISÃO LOGISTICA'!$C$2:$C$525,
MATCH(
TRUE,
ISNUMBER(FIND(B163,'VISÃO LOGISTICA'!$A$2:$A$525)),
0
)
)
),
""
)</f>
        <v>Em Viagem</v>
      </c>
      <c r="J163" s="5" t="str" cm="1">
        <f t="array" ref="J163">IFERROR(
IF(
OR(
INDEX(
'VISÃO LOGISTICA'!$C$2:$C$2000,
MATCH(
TRUE,
ISNUMBER(FIND(B163,'VISÃO LOGISTICA'!$A$2:$A$2000)),
0
)
)="Em espera",
INDEX(
'VISÃO LOGISTICA'!$C$2:$C$2000,
MATCH(
TRUE,
ISNUMBER(FIND(B163,'VISÃO LOGISTICA'!$A$2:$A$2000)),
0
)
)=""
),
"",
INDEX(
'VISÃO LOGISTICA'!$D$2:$D$2000,
MATCH(
TRUE,
ISNUMBER(FIND(B163,'VISÃO LOGISTICA'!$A$2:$A$2000)),
0
)
)
),
""
)</f>
        <v>BCU5G84</v>
      </c>
      <c r="K163" s="10" t="str">
        <f>IFERROR(
IF(
_xlfn.XLOOKUP(
B163,
'LOCALIZAÇÃO DE CARGA'!$A$2:$A$702,
'LOCALIZAÇÃO DE CARGA'!$E$2:$E$702)="",
"",
_xlfn.XLOOKUP(
B163,
'LOCALIZAÇÃO DE CARGA'!$A$2:$A$702,
'LOCALIZAÇÃO DE CARGA'!$E$2:$E$702)
),
""
)</f>
        <v/>
      </c>
      <c r="L163" s="20" t="str" cm="1">
        <f t="array" ref="L163">IFERROR(
_xlfn.LET(
_xlpm.res,_xlfn.XLOOKUP(B163,'LOCALIZAÇÃO DE CARGA'!$A$2:$A$2000,'LOCALIZAÇÃO DE CARGA'!$G$2:$G$2000),
IF(_xlpm.res="","",_xlpm.res)
),
""
)</f>
        <v/>
      </c>
      <c r="M163" s="20" t="str" cm="1">
        <f t="array" ref="M163">IFERROR(
_xlfn.LET(
_xlpm.load,_xlfn.XLOOKUP(B163,'LOCALIZAÇÃO DE CARGA'!$A$2:$A$2000,'LOCALIZAÇÃO DE CARGA'!$A$2:$A$2000),
_xlpm.res,_xlfn.XLOOKUP(_xlpm.load,DOCUMENTOS!$A$2:$A$2000,DOCUMENTOS!$D$2:$D$2000),
IF(_xlpm.res="","",_xlpm.res)
),
""
)</f>
        <v/>
      </c>
      <c r="N163" s="6" t="str">
        <f>IFERROR(IF(M163="","",M163-TIME(1,0,0)),"")</f>
        <v/>
      </c>
      <c r="O163" s="6" t="str" cm="1">
        <f t="array" ref="O163">IFERROR(
_xlfn.LET(
_xlpm.res,_xlfn.XLOOKUP(B163,'LOCALIZAÇÃO DE CARGA'!$A$2:$A$2000,'LOCALIZAÇÃO DE CARGA'!$S$2:$S$2000),
IF(_xlpm.res="","",_xlpm.res)
),
""
)</f>
        <v/>
      </c>
      <c r="P163" s="6" t="str" cm="1">
        <f t="array" ref="P163">IFERROR(
_xlfn.LET(
_xlpm.res,_xlfn.XLOOKUP(B163,'LOCALIZAÇÃO DE CARGA'!$A$2:$A$702,'LOCALIZAÇÃO DE CARGA'!$T$2:$T$702),
IF(_xlpm.res="","",_xlpm.res)
),
""
)</f>
        <v/>
      </c>
      <c r="Q163" s="5" t="str">
        <f>IFERROR(
IF(
_xlfn.XLOOKUP(
B163,
'LOCALIZAÇÃO DE CARGA'!$A$2:$A$702,
'LOCALIZAÇÃO DE CARGA'!$K$2:$K$702
)="",
"",
_xlfn.XLOOKUP(
B163,
'LOCALIZAÇÃO DE CARGA'!$A$2:$A$702,
'LOCALIZAÇÃO DE CARGA'!$K$2:$K$702
)
),
""
)</f>
        <v/>
      </c>
      <c r="R163" s="5" t="str">
        <f t="shared" si="8"/>
        <v/>
      </c>
      <c r="S163" s="5" t="str" cm="1">
        <f t="array" ref="S163">IF(B163="","",IFERROR(
INDEX(
'VISÃO LOGISTICA'!$L$2:$L$525,
MATCH(
TRUE,
ISNUMBER(FIND(B163,'VISÃO LOGISTICA'!$A$2:$A$525)),
0
)
),
""
))</f>
        <v/>
      </c>
      <c r="T163" s="5" t="str" cm="1">
        <f t="array" ref="T163">IFERROR(
_xlfn.LET(
_xlpm.res,_xlfn.XLOOKUP(B163,'LOCALIZAÇÃO DE CARGA'!$A$2:$A$702,'LOCALIZAÇÃO DE CARGA'!$R$2:$R$702),
IF(_xlpm.res="","",SUBSTITUTE(_xlpm.res,"/BRASIL",""))
),
""
)</f>
        <v/>
      </c>
    </row>
    <row r="164" spans="1:20">
      <c r="A164" s="14" t="str">
        <f t="shared" si="6"/>
        <v/>
      </c>
      <c r="B164" s="5"/>
      <c r="C164" s="45" t="str">
        <f t="shared" ca="1" si="7"/>
        <v/>
      </c>
      <c r="D164" s="28"/>
      <c r="E164" s="28" t="str">
        <f>IFERROR(
IF(
_xlfn.XLOOKUP(
B164,
'LOCALIZAÇÃO DE CARGA'!$A$2:$A$702,
'LOCALIZAÇÃO DE CARGA'!$D$2:$D$702
)="",
"",
_xlfn.XLOOKUP(
B164,
'LOCALIZAÇÃO DE CARGA'!$A$2:$A$702,
'LOCALIZAÇÃO DE CARGA'!$D$2:$D$702
)
),
""
)</f>
        <v/>
      </c>
      <c r="F164" s="13" t="str">
        <f>IFERROR(
IF(
_xlfn.XLOOKUP(
B164,
'LOCALIZAÇÃO DE CARGA'!$A$2:$A$702,
'LOCALIZAÇÃO DE CARGA'!$H$2:$H$702
)="",
"",
_xlfn.XLOOKUP(
B164,
'LOCALIZAÇÃO DE CARGA'!$A$2:$A$702,
'LOCALIZAÇÃO DE CARGA'!$H$2:$H$702
)
),
""
)</f>
        <v/>
      </c>
      <c r="G164" s="5" t="str">
        <f>IFERROR(
IF(
_xlfn.XLOOKUP(
B164,
'LOCALIZAÇÃO DE CARGA'!$A$2:$A$702,
'LOCALIZAÇÃO DE CARGA'!$I$2:$I$702
)="",
"",
_xlfn.XLOOKUP(
B164,
'LOCALIZAÇÃO DE CARGA'!$A$2:$A$702,
'LOCALIZAÇÃO DE CARGA'!$I$2:$I$702
)
),
""
)</f>
        <v/>
      </c>
      <c r="H164" s="5" t="str">
        <f>IFERROR(
IF(
_xlfn.XLOOKUP(
B164,
'LOCALIZAÇÃO DE CARGA'!$A$2:$A$702,
'LOCALIZAÇÃO DE CARGA'!$F$2:$F$702
)="",
"",
_xlfn.XLOOKUP(
B164,
'LOCALIZAÇÃO DE CARGA'!$A$2:$A$702,
'LOCALIZAÇÃO DE CARGA'!$F$2:$F$702
)
),
""
)</f>
        <v/>
      </c>
      <c r="I164" s="13" t="str" cm="1">
        <f t="array" ref="I164">IFERROR(
IF(
INDEX(
'VISÃO LOGISTICA'!$C$2:$C$525,
MATCH(
TRUE,
ISNUMBER(FIND(B164,'VISÃO LOGISTICA'!$A$2:$A$525)),
0
)
)="Em espera",
"",
INDEX(
'VISÃO LOGISTICA'!$C$2:$C$525,
MATCH(
TRUE,
ISNUMBER(FIND(B164,'VISÃO LOGISTICA'!$A$2:$A$525)),
0
)
)
),
""
)</f>
        <v>Em Viagem</v>
      </c>
      <c r="J164" s="5" t="str" cm="1">
        <f t="array" ref="J164">IFERROR(
IF(
OR(
INDEX(
'VISÃO LOGISTICA'!$C$2:$C$2000,
MATCH(
TRUE,
ISNUMBER(FIND(B164,'VISÃO LOGISTICA'!$A$2:$A$2000)),
0
)
)="Em espera",
INDEX(
'VISÃO LOGISTICA'!$C$2:$C$2000,
MATCH(
TRUE,
ISNUMBER(FIND(B164,'VISÃO LOGISTICA'!$A$2:$A$2000)),
0
)
)=""
),
"",
INDEX(
'VISÃO LOGISTICA'!$D$2:$D$2000,
MATCH(
TRUE,
ISNUMBER(FIND(B164,'VISÃO LOGISTICA'!$A$2:$A$2000)),
0
)
)
),
""
)</f>
        <v>BCU5G84</v>
      </c>
      <c r="K164" s="10" t="str">
        <f>IFERROR(
IF(
_xlfn.XLOOKUP(
B164,
'LOCALIZAÇÃO DE CARGA'!$A$2:$A$702,
'LOCALIZAÇÃO DE CARGA'!$E$2:$E$702)="",
"",
_xlfn.XLOOKUP(
B164,
'LOCALIZAÇÃO DE CARGA'!$A$2:$A$702,
'LOCALIZAÇÃO DE CARGA'!$E$2:$E$702)
),
""
)</f>
        <v/>
      </c>
      <c r="L164" s="20" t="str" cm="1">
        <f t="array" ref="L164">IFERROR(
_xlfn.LET(
_xlpm.res,_xlfn.XLOOKUP(B164,'LOCALIZAÇÃO DE CARGA'!$A$2:$A$2000,'LOCALIZAÇÃO DE CARGA'!$G$2:$G$2000),
IF(_xlpm.res="","",_xlpm.res)
),
""
)</f>
        <v/>
      </c>
      <c r="M164" s="20" t="str" cm="1">
        <f t="array" ref="M164">IFERROR(
_xlfn.LET(
_xlpm.load,_xlfn.XLOOKUP(B164,'LOCALIZAÇÃO DE CARGA'!$A$2:$A$2000,'LOCALIZAÇÃO DE CARGA'!$A$2:$A$2000),
_xlpm.res,_xlfn.XLOOKUP(_xlpm.load,DOCUMENTOS!$A$2:$A$2000,DOCUMENTOS!$D$2:$D$2000),
IF(_xlpm.res="","",_xlpm.res)
),
""
)</f>
        <v/>
      </c>
      <c r="N164" s="6" t="str">
        <f>IFERROR(IF(M164="","",M164-TIME(1,0,0)),"")</f>
        <v/>
      </c>
      <c r="O164" s="6" t="str" cm="1">
        <f t="array" ref="O164">IFERROR(
_xlfn.LET(
_xlpm.res,_xlfn.XLOOKUP(B164,'LOCALIZAÇÃO DE CARGA'!$A$2:$A$2000,'LOCALIZAÇÃO DE CARGA'!$S$2:$S$2000),
IF(_xlpm.res="","",_xlpm.res)
),
""
)</f>
        <v/>
      </c>
      <c r="P164" s="6" t="str" cm="1">
        <f t="array" ref="P164">IFERROR(
_xlfn.LET(
_xlpm.res,_xlfn.XLOOKUP(B164,'LOCALIZAÇÃO DE CARGA'!$A$2:$A$702,'LOCALIZAÇÃO DE CARGA'!$T$2:$T$702),
IF(_xlpm.res="","",_xlpm.res)
),
""
)</f>
        <v/>
      </c>
      <c r="Q164" s="5" t="str">
        <f>IFERROR(
IF(
_xlfn.XLOOKUP(
B164,
'LOCALIZAÇÃO DE CARGA'!$A$2:$A$702,
'LOCALIZAÇÃO DE CARGA'!$K$2:$K$702
)="",
"",
_xlfn.XLOOKUP(
B164,
'LOCALIZAÇÃO DE CARGA'!$A$2:$A$702,
'LOCALIZAÇÃO DE CARGA'!$K$2:$K$702
)
),
""
)</f>
        <v/>
      </c>
      <c r="R164" s="5" t="str">
        <f t="shared" si="8"/>
        <v/>
      </c>
      <c r="S164" s="5" t="str" cm="1">
        <f t="array" ref="S164">IF(B164="","",IFERROR(
INDEX(
'VISÃO LOGISTICA'!$L$2:$L$525,
MATCH(
TRUE,
ISNUMBER(FIND(B164,'VISÃO LOGISTICA'!$A$2:$A$525)),
0
)
),
""
))</f>
        <v/>
      </c>
      <c r="T164" s="5" t="str" cm="1">
        <f t="array" ref="T164">IFERROR(
_xlfn.LET(
_xlpm.res,_xlfn.XLOOKUP(B164,'LOCALIZAÇÃO DE CARGA'!$A$2:$A$702,'LOCALIZAÇÃO DE CARGA'!$R$2:$R$702),
IF(_xlpm.res="","",SUBSTITUTE(_xlpm.res,"/BRASIL",""))
),
""
)</f>
        <v/>
      </c>
    </row>
    <row r="165" spans="1:20">
      <c r="A165" s="14" t="str">
        <f t="shared" si="6"/>
        <v/>
      </c>
      <c r="B165" s="5"/>
      <c r="C165" s="45" t="str">
        <f t="shared" ca="1" si="7"/>
        <v/>
      </c>
      <c r="D165" s="28"/>
      <c r="E165" s="28" t="str">
        <f>IFERROR(
IF(
_xlfn.XLOOKUP(
B165,
'LOCALIZAÇÃO DE CARGA'!$A$2:$A$702,
'LOCALIZAÇÃO DE CARGA'!$D$2:$D$702
)="",
"",
_xlfn.XLOOKUP(
B165,
'LOCALIZAÇÃO DE CARGA'!$A$2:$A$702,
'LOCALIZAÇÃO DE CARGA'!$D$2:$D$702
)
),
""
)</f>
        <v/>
      </c>
      <c r="F165" s="13" t="str">
        <f>IFERROR(
IF(
_xlfn.XLOOKUP(
B165,
'LOCALIZAÇÃO DE CARGA'!$A$2:$A$702,
'LOCALIZAÇÃO DE CARGA'!$H$2:$H$702
)="",
"",
_xlfn.XLOOKUP(
B165,
'LOCALIZAÇÃO DE CARGA'!$A$2:$A$702,
'LOCALIZAÇÃO DE CARGA'!$H$2:$H$702
)
),
""
)</f>
        <v/>
      </c>
      <c r="G165" s="5" t="str">
        <f>IFERROR(
IF(
_xlfn.XLOOKUP(
B165,
'LOCALIZAÇÃO DE CARGA'!$A$2:$A$702,
'LOCALIZAÇÃO DE CARGA'!$I$2:$I$702
)="",
"",
_xlfn.XLOOKUP(
B165,
'LOCALIZAÇÃO DE CARGA'!$A$2:$A$702,
'LOCALIZAÇÃO DE CARGA'!$I$2:$I$702
)
),
""
)</f>
        <v/>
      </c>
      <c r="H165" s="5" t="str">
        <f>IFERROR(
IF(
_xlfn.XLOOKUP(
B165,
'LOCALIZAÇÃO DE CARGA'!$A$2:$A$702,
'LOCALIZAÇÃO DE CARGA'!$F$2:$F$702
)="",
"",
_xlfn.XLOOKUP(
B165,
'LOCALIZAÇÃO DE CARGA'!$A$2:$A$702,
'LOCALIZAÇÃO DE CARGA'!$F$2:$F$702
)
),
""
)</f>
        <v/>
      </c>
      <c r="I165" s="13" t="str" cm="1">
        <f t="array" ref="I165">IFERROR(
IF(
INDEX(
'VISÃO LOGISTICA'!$C$2:$C$525,
MATCH(
TRUE,
ISNUMBER(FIND(B165,'VISÃO LOGISTICA'!$A$2:$A$525)),
0
)
)="Em espera",
"",
INDEX(
'VISÃO LOGISTICA'!$C$2:$C$525,
MATCH(
TRUE,
ISNUMBER(FIND(B165,'VISÃO LOGISTICA'!$A$2:$A$525)),
0
)
)
),
""
)</f>
        <v>Em Viagem</v>
      </c>
      <c r="J165" s="5" t="str" cm="1">
        <f t="array" ref="J165">IFERROR(
IF(
OR(
INDEX(
'VISÃO LOGISTICA'!$C$2:$C$2000,
MATCH(
TRUE,
ISNUMBER(FIND(B165,'VISÃO LOGISTICA'!$A$2:$A$2000)),
0
)
)="Em espera",
INDEX(
'VISÃO LOGISTICA'!$C$2:$C$2000,
MATCH(
TRUE,
ISNUMBER(FIND(B165,'VISÃO LOGISTICA'!$A$2:$A$2000)),
0
)
)=""
),
"",
INDEX(
'VISÃO LOGISTICA'!$D$2:$D$2000,
MATCH(
TRUE,
ISNUMBER(FIND(B165,'VISÃO LOGISTICA'!$A$2:$A$2000)),
0
)
)
),
""
)</f>
        <v>BCU5G84</v>
      </c>
      <c r="K165" s="10" t="str">
        <f>IFERROR(
IF(
_xlfn.XLOOKUP(
B165,
'LOCALIZAÇÃO DE CARGA'!$A$2:$A$702,
'LOCALIZAÇÃO DE CARGA'!$E$2:$E$702)="",
"",
_xlfn.XLOOKUP(
B165,
'LOCALIZAÇÃO DE CARGA'!$A$2:$A$702,
'LOCALIZAÇÃO DE CARGA'!$E$2:$E$702)
),
""
)</f>
        <v/>
      </c>
      <c r="L165" s="20" t="str" cm="1">
        <f t="array" ref="L165">IFERROR(
_xlfn.LET(
_xlpm.res,_xlfn.XLOOKUP(B165,'LOCALIZAÇÃO DE CARGA'!$A$2:$A$2000,'LOCALIZAÇÃO DE CARGA'!$G$2:$G$2000),
IF(_xlpm.res="","",_xlpm.res)
),
""
)</f>
        <v/>
      </c>
      <c r="M165" s="20" t="str" cm="1">
        <f t="array" ref="M165">IFERROR(
_xlfn.LET(
_xlpm.load,_xlfn.XLOOKUP(B165,'LOCALIZAÇÃO DE CARGA'!$A$2:$A$2000,'LOCALIZAÇÃO DE CARGA'!$A$2:$A$2000),
_xlpm.res,_xlfn.XLOOKUP(_xlpm.load,DOCUMENTOS!$A$2:$A$2000,DOCUMENTOS!$D$2:$D$2000),
IF(_xlpm.res="","",_xlpm.res)
),
""
)</f>
        <v/>
      </c>
      <c r="N165" s="6" t="str">
        <f>IFERROR(IF(M165="","",M165-TIME(1,0,0)),"")</f>
        <v/>
      </c>
      <c r="O165" s="6" t="str" cm="1">
        <f t="array" ref="O165">IFERROR(
_xlfn.LET(
_xlpm.res,_xlfn.XLOOKUP(B165,'LOCALIZAÇÃO DE CARGA'!$A$2:$A$2000,'LOCALIZAÇÃO DE CARGA'!$S$2:$S$2000),
IF(_xlpm.res="","",_xlpm.res)
),
""
)</f>
        <v/>
      </c>
      <c r="P165" s="6" t="str" cm="1">
        <f t="array" ref="P165">IFERROR(
_xlfn.LET(
_xlpm.res,_xlfn.XLOOKUP(B165,'LOCALIZAÇÃO DE CARGA'!$A$2:$A$702,'LOCALIZAÇÃO DE CARGA'!$T$2:$T$702),
IF(_xlpm.res="","",_xlpm.res)
),
""
)</f>
        <v/>
      </c>
      <c r="Q165" s="5" t="str">
        <f>IFERROR(
IF(
_xlfn.XLOOKUP(
B165,
'LOCALIZAÇÃO DE CARGA'!$A$2:$A$702,
'LOCALIZAÇÃO DE CARGA'!$K$2:$K$702
)="",
"",
_xlfn.XLOOKUP(
B165,
'LOCALIZAÇÃO DE CARGA'!$A$2:$A$702,
'LOCALIZAÇÃO DE CARGA'!$K$2:$K$702
)
),
""
)</f>
        <v/>
      </c>
      <c r="R165" s="5" t="str">
        <f t="shared" si="8"/>
        <v/>
      </c>
      <c r="S165" s="5" t="str" cm="1">
        <f t="array" ref="S165">IF(B165="","",IFERROR(
INDEX(
'VISÃO LOGISTICA'!$L$2:$L$525,
MATCH(
TRUE,
ISNUMBER(FIND(B165,'VISÃO LOGISTICA'!$A$2:$A$525)),
0
)
),
""
))</f>
        <v/>
      </c>
      <c r="T165" s="5" t="str" cm="1">
        <f t="array" ref="T165">IFERROR(
_xlfn.LET(
_xlpm.res,_xlfn.XLOOKUP(B165,'LOCALIZAÇÃO DE CARGA'!$A$2:$A$702,'LOCALIZAÇÃO DE CARGA'!$R$2:$R$702),
IF(_xlpm.res="","",SUBSTITUTE(_xlpm.res,"/BRASIL",""))
),
""
)</f>
        <v/>
      </c>
    </row>
    <row r="166" spans="1:20">
      <c r="A166" s="14" t="str">
        <f t="shared" si="6"/>
        <v/>
      </c>
      <c r="B166" s="5"/>
      <c r="C166" s="45" t="str">
        <f t="shared" ca="1" si="7"/>
        <v/>
      </c>
      <c r="D166" s="28"/>
      <c r="E166" s="28" t="str">
        <f>IFERROR(
IF(
_xlfn.XLOOKUP(
B166,
'LOCALIZAÇÃO DE CARGA'!$A$2:$A$702,
'LOCALIZAÇÃO DE CARGA'!$D$2:$D$702
)="",
"",
_xlfn.XLOOKUP(
B166,
'LOCALIZAÇÃO DE CARGA'!$A$2:$A$702,
'LOCALIZAÇÃO DE CARGA'!$D$2:$D$702
)
),
""
)</f>
        <v/>
      </c>
      <c r="F166" s="13" t="str">
        <f>IFERROR(
IF(
_xlfn.XLOOKUP(
B166,
'LOCALIZAÇÃO DE CARGA'!$A$2:$A$702,
'LOCALIZAÇÃO DE CARGA'!$H$2:$H$702
)="",
"",
_xlfn.XLOOKUP(
B166,
'LOCALIZAÇÃO DE CARGA'!$A$2:$A$702,
'LOCALIZAÇÃO DE CARGA'!$H$2:$H$702
)
),
""
)</f>
        <v/>
      </c>
      <c r="G166" s="5" t="str">
        <f>IFERROR(
IF(
_xlfn.XLOOKUP(
B166,
'LOCALIZAÇÃO DE CARGA'!$A$2:$A$702,
'LOCALIZAÇÃO DE CARGA'!$I$2:$I$702
)="",
"",
_xlfn.XLOOKUP(
B166,
'LOCALIZAÇÃO DE CARGA'!$A$2:$A$702,
'LOCALIZAÇÃO DE CARGA'!$I$2:$I$702
)
),
""
)</f>
        <v/>
      </c>
      <c r="H166" s="5" t="str">
        <f>IFERROR(
IF(
_xlfn.XLOOKUP(
B166,
'LOCALIZAÇÃO DE CARGA'!$A$2:$A$702,
'LOCALIZAÇÃO DE CARGA'!$F$2:$F$702
)="",
"",
_xlfn.XLOOKUP(
B166,
'LOCALIZAÇÃO DE CARGA'!$A$2:$A$702,
'LOCALIZAÇÃO DE CARGA'!$F$2:$F$702
)
),
""
)</f>
        <v/>
      </c>
      <c r="I166" s="13" t="str" cm="1">
        <f t="array" ref="I166">IFERROR(
IF(
INDEX(
'VISÃO LOGISTICA'!$C$2:$C$525,
MATCH(
TRUE,
ISNUMBER(FIND(B166,'VISÃO LOGISTICA'!$A$2:$A$525)),
0
)
)="Em espera",
"",
INDEX(
'VISÃO LOGISTICA'!$C$2:$C$525,
MATCH(
TRUE,
ISNUMBER(FIND(B166,'VISÃO LOGISTICA'!$A$2:$A$525)),
0
)
)
),
""
)</f>
        <v>Em Viagem</v>
      </c>
      <c r="J166" s="5" t="str" cm="1">
        <f t="array" ref="J166">IFERROR(
IF(
OR(
INDEX(
'VISÃO LOGISTICA'!$C$2:$C$2000,
MATCH(
TRUE,
ISNUMBER(FIND(B166,'VISÃO LOGISTICA'!$A$2:$A$2000)),
0
)
)="Em espera",
INDEX(
'VISÃO LOGISTICA'!$C$2:$C$2000,
MATCH(
TRUE,
ISNUMBER(FIND(B166,'VISÃO LOGISTICA'!$A$2:$A$2000)),
0
)
)=""
),
"",
INDEX(
'VISÃO LOGISTICA'!$D$2:$D$2000,
MATCH(
TRUE,
ISNUMBER(FIND(B166,'VISÃO LOGISTICA'!$A$2:$A$2000)),
0
)
)
),
""
)</f>
        <v>BCU5G84</v>
      </c>
      <c r="K166" s="10" t="str">
        <f>IFERROR(
IF(
_xlfn.XLOOKUP(
B166,
'LOCALIZAÇÃO DE CARGA'!$A$2:$A$702,
'LOCALIZAÇÃO DE CARGA'!$E$2:$E$702)="",
"",
_xlfn.XLOOKUP(
B166,
'LOCALIZAÇÃO DE CARGA'!$A$2:$A$702,
'LOCALIZAÇÃO DE CARGA'!$E$2:$E$702)
),
""
)</f>
        <v/>
      </c>
      <c r="L166" s="20" t="str" cm="1">
        <f t="array" ref="L166">IFERROR(
_xlfn.LET(
_xlpm.res,_xlfn.XLOOKUP(B166,'LOCALIZAÇÃO DE CARGA'!$A$2:$A$2000,'LOCALIZAÇÃO DE CARGA'!$G$2:$G$2000),
IF(_xlpm.res="","",_xlpm.res)
),
""
)</f>
        <v/>
      </c>
      <c r="M166" s="20" t="str" cm="1">
        <f t="array" ref="M166">IFERROR(
_xlfn.LET(
_xlpm.load,_xlfn.XLOOKUP(B166,'LOCALIZAÇÃO DE CARGA'!$A$2:$A$2000,'LOCALIZAÇÃO DE CARGA'!$A$2:$A$2000),
_xlpm.res,_xlfn.XLOOKUP(_xlpm.load,DOCUMENTOS!$A$2:$A$2000,DOCUMENTOS!$D$2:$D$2000),
IF(_xlpm.res="","",_xlpm.res)
),
""
)</f>
        <v/>
      </c>
      <c r="N166" s="6" t="str">
        <f>IFERROR(IF(M166="","",M166-TIME(1,0,0)),"")</f>
        <v/>
      </c>
      <c r="O166" s="6" t="str" cm="1">
        <f t="array" ref="O166">IFERROR(
_xlfn.LET(
_xlpm.res,_xlfn.XLOOKUP(B166,'LOCALIZAÇÃO DE CARGA'!$A$2:$A$2000,'LOCALIZAÇÃO DE CARGA'!$S$2:$S$2000),
IF(_xlpm.res="","",_xlpm.res)
),
""
)</f>
        <v/>
      </c>
      <c r="P166" s="6" t="str" cm="1">
        <f t="array" ref="P166">IFERROR(
_xlfn.LET(
_xlpm.res,_xlfn.XLOOKUP(B166,'LOCALIZAÇÃO DE CARGA'!$A$2:$A$702,'LOCALIZAÇÃO DE CARGA'!$T$2:$T$702),
IF(_xlpm.res="","",_xlpm.res)
),
""
)</f>
        <v/>
      </c>
      <c r="Q166" s="5" t="str">
        <f>IFERROR(
IF(
_xlfn.XLOOKUP(
B166,
'LOCALIZAÇÃO DE CARGA'!$A$2:$A$702,
'LOCALIZAÇÃO DE CARGA'!$K$2:$K$702
)="",
"",
_xlfn.XLOOKUP(
B166,
'LOCALIZAÇÃO DE CARGA'!$A$2:$A$702,
'LOCALIZAÇÃO DE CARGA'!$K$2:$K$702
)
),
""
)</f>
        <v/>
      </c>
      <c r="R166" s="5" t="str">
        <f t="shared" si="8"/>
        <v/>
      </c>
      <c r="S166" s="5" t="str" cm="1">
        <f t="array" ref="S166">IF(B166="","",IFERROR(
INDEX(
'VISÃO LOGISTICA'!$L$2:$L$525,
MATCH(
TRUE,
ISNUMBER(FIND(B166,'VISÃO LOGISTICA'!$A$2:$A$525)),
0
)
),
""
))</f>
        <v/>
      </c>
      <c r="T166" s="5" t="str" cm="1">
        <f t="array" ref="T166">IFERROR(
_xlfn.LET(
_xlpm.res,_xlfn.XLOOKUP(B166,'LOCALIZAÇÃO DE CARGA'!$A$2:$A$702,'LOCALIZAÇÃO DE CARGA'!$R$2:$R$702),
IF(_xlpm.res="","",SUBSTITUTE(_xlpm.res,"/BRASIL",""))
),
""
)</f>
        <v/>
      </c>
    </row>
    <row r="167" spans="1:20">
      <c r="A167" s="14" t="str">
        <f t="shared" si="6"/>
        <v/>
      </c>
      <c r="B167" s="5"/>
      <c r="C167" s="45" t="str">
        <f t="shared" ca="1" si="7"/>
        <v/>
      </c>
      <c r="D167" s="28"/>
      <c r="E167" s="28" t="str">
        <f>IFERROR(
IF(
_xlfn.XLOOKUP(
B167,
'LOCALIZAÇÃO DE CARGA'!$A$2:$A$702,
'LOCALIZAÇÃO DE CARGA'!$D$2:$D$702
)="",
"",
_xlfn.XLOOKUP(
B167,
'LOCALIZAÇÃO DE CARGA'!$A$2:$A$702,
'LOCALIZAÇÃO DE CARGA'!$D$2:$D$702
)
),
""
)</f>
        <v/>
      </c>
      <c r="F167" s="13" t="str">
        <f>IFERROR(
IF(
_xlfn.XLOOKUP(
B167,
'LOCALIZAÇÃO DE CARGA'!$A$2:$A$702,
'LOCALIZAÇÃO DE CARGA'!$H$2:$H$702
)="",
"",
_xlfn.XLOOKUP(
B167,
'LOCALIZAÇÃO DE CARGA'!$A$2:$A$702,
'LOCALIZAÇÃO DE CARGA'!$H$2:$H$702
)
),
""
)</f>
        <v/>
      </c>
      <c r="G167" s="5" t="str">
        <f>IFERROR(
IF(
_xlfn.XLOOKUP(
B167,
'LOCALIZAÇÃO DE CARGA'!$A$2:$A$702,
'LOCALIZAÇÃO DE CARGA'!$I$2:$I$702
)="",
"",
_xlfn.XLOOKUP(
B167,
'LOCALIZAÇÃO DE CARGA'!$A$2:$A$702,
'LOCALIZAÇÃO DE CARGA'!$I$2:$I$702
)
),
""
)</f>
        <v/>
      </c>
      <c r="H167" s="5" t="str">
        <f>IFERROR(
IF(
_xlfn.XLOOKUP(
B167,
'LOCALIZAÇÃO DE CARGA'!$A$2:$A$702,
'LOCALIZAÇÃO DE CARGA'!$F$2:$F$702
)="",
"",
_xlfn.XLOOKUP(
B167,
'LOCALIZAÇÃO DE CARGA'!$A$2:$A$702,
'LOCALIZAÇÃO DE CARGA'!$F$2:$F$702
)
),
""
)</f>
        <v/>
      </c>
      <c r="I167" s="13" t="str" cm="1">
        <f t="array" ref="I167">IFERROR(
IF(
INDEX(
'VISÃO LOGISTICA'!$C$2:$C$525,
MATCH(
TRUE,
ISNUMBER(FIND(B167,'VISÃO LOGISTICA'!$A$2:$A$525)),
0
)
)="Em espera",
"",
INDEX(
'VISÃO LOGISTICA'!$C$2:$C$525,
MATCH(
TRUE,
ISNUMBER(FIND(B167,'VISÃO LOGISTICA'!$A$2:$A$525)),
0
)
)
),
""
)</f>
        <v>Em Viagem</v>
      </c>
      <c r="J167" s="5" t="str" cm="1">
        <f t="array" ref="J167">IFERROR(
IF(
OR(
INDEX(
'VISÃO LOGISTICA'!$C$2:$C$2000,
MATCH(
TRUE,
ISNUMBER(FIND(B167,'VISÃO LOGISTICA'!$A$2:$A$2000)),
0
)
)="Em espera",
INDEX(
'VISÃO LOGISTICA'!$C$2:$C$2000,
MATCH(
TRUE,
ISNUMBER(FIND(B167,'VISÃO LOGISTICA'!$A$2:$A$2000)),
0
)
)=""
),
"",
INDEX(
'VISÃO LOGISTICA'!$D$2:$D$2000,
MATCH(
TRUE,
ISNUMBER(FIND(B167,'VISÃO LOGISTICA'!$A$2:$A$2000)),
0
)
)
),
""
)</f>
        <v>BCU5G84</v>
      </c>
      <c r="K167" s="10" t="str">
        <f>IFERROR(
IF(
_xlfn.XLOOKUP(
B167,
'LOCALIZAÇÃO DE CARGA'!$A$2:$A$702,
'LOCALIZAÇÃO DE CARGA'!$E$2:$E$702)="",
"",
_xlfn.XLOOKUP(
B167,
'LOCALIZAÇÃO DE CARGA'!$A$2:$A$702,
'LOCALIZAÇÃO DE CARGA'!$E$2:$E$702)
),
""
)</f>
        <v/>
      </c>
      <c r="L167" s="20" t="str" cm="1">
        <f t="array" ref="L167">IFERROR(
_xlfn.LET(
_xlpm.res,_xlfn.XLOOKUP(B167,'LOCALIZAÇÃO DE CARGA'!$A$2:$A$2000,'LOCALIZAÇÃO DE CARGA'!$G$2:$G$2000),
IF(_xlpm.res="","",_xlpm.res)
),
""
)</f>
        <v/>
      </c>
      <c r="M167" s="20" t="str" cm="1">
        <f t="array" ref="M167">IFERROR(
_xlfn.LET(
_xlpm.load,_xlfn.XLOOKUP(B167,'LOCALIZAÇÃO DE CARGA'!$A$2:$A$2000,'LOCALIZAÇÃO DE CARGA'!$A$2:$A$2000),
_xlpm.res,_xlfn.XLOOKUP(_xlpm.load,DOCUMENTOS!$A$2:$A$2000,DOCUMENTOS!$D$2:$D$2000),
IF(_xlpm.res="","",_xlpm.res)
),
""
)</f>
        <v/>
      </c>
      <c r="N167" s="6" t="str">
        <f>IFERROR(IF(M167="","",M167-TIME(1,0,0)),"")</f>
        <v/>
      </c>
      <c r="O167" s="6" t="str" cm="1">
        <f t="array" ref="O167">IFERROR(
_xlfn.LET(
_xlpm.res,_xlfn.XLOOKUP(B167,'LOCALIZAÇÃO DE CARGA'!$A$2:$A$2000,'LOCALIZAÇÃO DE CARGA'!$S$2:$S$2000),
IF(_xlpm.res="","",_xlpm.res)
),
""
)</f>
        <v/>
      </c>
      <c r="P167" s="6" t="str" cm="1">
        <f t="array" ref="P167">IFERROR(
_xlfn.LET(
_xlpm.res,_xlfn.XLOOKUP(B167,'LOCALIZAÇÃO DE CARGA'!$A$2:$A$702,'LOCALIZAÇÃO DE CARGA'!$T$2:$T$702),
IF(_xlpm.res="","",_xlpm.res)
),
""
)</f>
        <v/>
      </c>
      <c r="Q167" s="5" t="str">
        <f>IFERROR(
IF(
_xlfn.XLOOKUP(
B167,
'LOCALIZAÇÃO DE CARGA'!$A$2:$A$702,
'LOCALIZAÇÃO DE CARGA'!$K$2:$K$702
)="",
"",
_xlfn.XLOOKUP(
B167,
'LOCALIZAÇÃO DE CARGA'!$A$2:$A$702,
'LOCALIZAÇÃO DE CARGA'!$K$2:$K$702
)
),
""
)</f>
        <v/>
      </c>
      <c r="R167" s="5" t="str">
        <f t="shared" si="8"/>
        <v/>
      </c>
      <c r="S167" s="5" t="str" cm="1">
        <f t="array" ref="S167">IF(B167="","",IFERROR(
INDEX(
'VISÃO LOGISTICA'!$L$2:$L$525,
MATCH(
TRUE,
ISNUMBER(FIND(B167,'VISÃO LOGISTICA'!$A$2:$A$525)),
0
)
),
""
))</f>
        <v/>
      </c>
      <c r="T167" s="5" t="str" cm="1">
        <f t="array" ref="T167">IFERROR(
_xlfn.LET(
_xlpm.res,_xlfn.XLOOKUP(B167,'LOCALIZAÇÃO DE CARGA'!$A$2:$A$702,'LOCALIZAÇÃO DE CARGA'!$R$2:$R$702),
IF(_xlpm.res="","",SUBSTITUTE(_xlpm.res,"/BRASIL",""))
),
""
)</f>
        <v/>
      </c>
    </row>
    <row r="168" spans="1:20">
      <c r="A168" s="14" t="str">
        <f t="shared" si="6"/>
        <v/>
      </c>
      <c r="B168" s="5"/>
      <c r="C168" s="45" t="str">
        <f t="shared" ca="1" si="7"/>
        <v/>
      </c>
      <c r="D168" s="28"/>
      <c r="E168" s="28" t="str">
        <f>IFERROR(
IF(
_xlfn.XLOOKUP(
B168,
'LOCALIZAÇÃO DE CARGA'!$A$2:$A$702,
'LOCALIZAÇÃO DE CARGA'!$D$2:$D$702
)="",
"",
_xlfn.XLOOKUP(
B168,
'LOCALIZAÇÃO DE CARGA'!$A$2:$A$702,
'LOCALIZAÇÃO DE CARGA'!$D$2:$D$702
)
),
""
)</f>
        <v/>
      </c>
      <c r="F168" s="13" t="str">
        <f>IFERROR(
IF(
_xlfn.XLOOKUP(
B168,
'LOCALIZAÇÃO DE CARGA'!$A$2:$A$702,
'LOCALIZAÇÃO DE CARGA'!$H$2:$H$702
)="",
"",
_xlfn.XLOOKUP(
B168,
'LOCALIZAÇÃO DE CARGA'!$A$2:$A$702,
'LOCALIZAÇÃO DE CARGA'!$H$2:$H$702
)
),
""
)</f>
        <v/>
      </c>
      <c r="G168" s="5" t="str">
        <f>IFERROR(
IF(
_xlfn.XLOOKUP(
B168,
'LOCALIZAÇÃO DE CARGA'!$A$2:$A$702,
'LOCALIZAÇÃO DE CARGA'!$I$2:$I$702
)="",
"",
_xlfn.XLOOKUP(
B168,
'LOCALIZAÇÃO DE CARGA'!$A$2:$A$702,
'LOCALIZAÇÃO DE CARGA'!$I$2:$I$702
)
),
""
)</f>
        <v/>
      </c>
      <c r="H168" s="5" t="str">
        <f>IFERROR(
IF(
_xlfn.XLOOKUP(
B168,
'LOCALIZAÇÃO DE CARGA'!$A$2:$A$702,
'LOCALIZAÇÃO DE CARGA'!$F$2:$F$702
)="",
"",
_xlfn.XLOOKUP(
B168,
'LOCALIZAÇÃO DE CARGA'!$A$2:$A$702,
'LOCALIZAÇÃO DE CARGA'!$F$2:$F$702
)
),
""
)</f>
        <v/>
      </c>
      <c r="I168" s="13" t="str" cm="1">
        <f t="array" ref="I168">IFERROR(
IF(
INDEX(
'VISÃO LOGISTICA'!$C$2:$C$525,
MATCH(
TRUE,
ISNUMBER(FIND(B168,'VISÃO LOGISTICA'!$A$2:$A$525)),
0
)
)="Em espera",
"",
INDEX(
'VISÃO LOGISTICA'!$C$2:$C$525,
MATCH(
TRUE,
ISNUMBER(FIND(B168,'VISÃO LOGISTICA'!$A$2:$A$525)),
0
)
)
),
""
)</f>
        <v>Em Viagem</v>
      </c>
      <c r="J168" s="5" t="str" cm="1">
        <f t="array" ref="J168">IFERROR(
IF(
OR(
INDEX(
'VISÃO LOGISTICA'!$C$2:$C$2000,
MATCH(
TRUE,
ISNUMBER(FIND(B168,'VISÃO LOGISTICA'!$A$2:$A$2000)),
0
)
)="Em espera",
INDEX(
'VISÃO LOGISTICA'!$C$2:$C$2000,
MATCH(
TRUE,
ISNUMBER(FIND(B168,'VISÃO LOGISTICA'!$A$2:$A$2000)),
0
)
)=""
),
"",
INDEX(
'VISÃO LOGISTICA'!$D$2:$D$2000,
MATCH(
TRUE,
ISNUMBER(FIND(B168,'VISÃO LOGISTICA'!$A$2:$A$2000)),
0
)
)
),
""
)</f>
        <v>BCU5G84</v>
      </c>
      <c r="K168" s="10" t="str">
        <f>IFERROR(
IF(
_xlfn.XLOOKUP(
B168,
'LOCALIZAÇÃO DE CARGA'!$A$2:$A$702,
'LOCALIZAÇÃO DE CARGA'!$E$2:$E$702)="",
"",
_xlfn.XLOOKUP(
B168,
'LOCALIZAÇÃO DE CARGA'!$A$2:$A$702,
'LOCALIZAÇÃO DE CARGA'!$E$2:$E$702)
),
""
)</f>
        <v/>
      </c>
      <c r="L168" s="20" t="str" cm="1">
        <f t="array" ref="L168">IFERROR(
_xlfn.LET(
_xlpm.res,_xlfn.XLOOKUP(B168,'LOCALIZAÇÃO DE CARGA'!$A$2:$A$2000,'LOCALIZAÇÃO DE CARGA'!$G$2:$G$2000),
IF(_xlpm.res="","",_xlpm.res)
),
""
)</f>
        <v/>
      </c>
      <c r="M168" s="20" t="str" cm="1">
        <f t="array" ref="M168">IFERROR(
_xlfn.LET(
_xlpm.load,_xlfn.XLOOKUP(B168,'LOCALIZAÇÃO DE CARGA'!$A$2:$A$2000,'LOCALIZAÇÃO DE CARGA'!$A$2:$A$2000),
_xlpm.res,_xlfn.XLOOKUP(_xlpm.load,DOCUMENTOS!$A$2:$A$2000,DOCUMENTOS!$D$2:$D$2000),
IF(_xlpm.res="","",_xlpm.res)
),
""
)</f>
        <v/>
      </c>
      <c r="N168" s="6" t="str">
        <f>IFERROR(IF(M168="","",M168-TIME(1,0,0)),"")</f>
        <v/>
      </c>
      <c r="O168" s="6" t="str" cm="1">
        <f t="array" ref="O168">IFERROR(
_xlfn.LET(
_xlpm.res,_xlfn.XLOOKUP(B168,'LOCALIZAÇÃO DE CARGA'!$A$2:$A$2000,'LOCALIZAÇÃO DE CARGA'!$S$2:$S$2000),
IF(_xlpm.res="","",_xlpm.res)
),
""
)</f>
        <v/>
      </c>
      <c r="P168" s="6" t="str" cm="1">
        <f t="array" ref="P168">IFERROR(
_xlfn.LET(
_xlpm.res,_xlfn.XLOOKUP(B168,'LOCALIZAÇÃO DE CARGA'!$A$2:$A$702,'LOCALIZAÇÃO DE CARGA'!$T$2:$T$702),
IF(_xlpm.res="","",_xlpm.res)
),
""
)</f>
        <v/>
      </c>
      <c r="Q168" s="5" t="str">
        <f>IFERROR(
IF(
_xlfn.XLOOKUP(
B168,
'LOCALIZAÇÃO DE CARGA'!$A$2:$A$702,
'LOCALIZAÇÃO DE CARGA'!$K$2:$K$702
)="",
"",
_xlfn.XLOOKUP(
B168,
'LOCALIZAÇÃO DE CARGA'!$A$2:$A$702,
'LOCALIZAÇÃO DE CARGA'!$K$2:$K$702
)
),
""
)</f>
        <v/>
      </c>
      <c r="R168" s="5" t="str">
        <f t="shared" si="8"/>
        <v/>
      </c>
      <c r="S168" s="5" t="str" cm="1">
        <f t="array" ref="S168">IF(B168="","",IFERROR(
INDEX(
'VISÃO LOGISTICA'!$L$2:$L$525,
MATCH(
TRUE,
ISNUMBER(FIND(B168,'VISÃO LOGISTICA'!$A$2:$A$525)),
0
)
),
""
))</f>
        <v/>
      </c>
      <c r="T168" s="5" t="str" cm="1">
        <f t="array" ref="T168">IFERROR(
_xlfn.LET(
_xlpm.res,_xlfn.XLOOKUP(B168,'LOCALIZAÇÃO DE CARGA'!$A$2:$A$702,'LOCALIZAÇÃO DE CARGA'!$R$2:$R$702),
IF(_xlpm.res="","",SUBSTITUTE(_xlpm.res,"/BRASIL",""))
),
""
)</f>
        <v/>
      </c>
    </row>
    <row r="169" spans="1:20">
      <c r="A169" s="14" t="str">
        <f t="shared" si="6"/>
        <v/>
      </c>
      <c r="B169" s="5"/>
      <c r="C169" s="45" t="str">
        <f t="shared" ca="1" si="7"/>
        <v/>
      </c>
      <c r="D169" s="28"/>
      <c r="E169" s="28" t="str">
        <f>IFERROR(
IF(
_xlfn.XLOOKUP(
B169,
'LOCALIZAÇÃO DE CARGA'!$A$2:$A$702,
'LOCALIZAÇÃO DE CARGA'!$D$2:$D$702
)="",
"",
_xlfn.XLOOKUP(
B169,
'LOCALIZAÇÃO DE CARGA'!$A$2:$A$702,
'LOCALIZAÇÃO DE CARGA'!$D$2:$D$702
)
),
""
)</f>
        <v/>
      </c>
      <c r="F169" s="13" t="str">
        <f>IFERROR(
IF(
_xlfn.XLOOKUP(
B169,
'LOCALIZAÇÃO DE CARGA'!$A$2:$A$702,
'LOCALIZAÇÃO DE CARGA'!$H$2:$H$702
)="",
"",
_xlfn.XLOOKUP(
B169,
'LOCALIZAÇÃO DE CARGA'!$A$2:$A$702,
'LOCALIZAÇÃO DE CARGA'!$H$2:$H$702
)
),
""
)</f>
        <v/>
      </c>
      <c r="G169" s="5" t="str">
        <f>IFERROR(
IF(
_xlfn.XLOOKUP(
B169,
'LOCALIZAÇÃO DE CARGA'!$A$2:$A$702,
'LOCALIZAÇÃO DE CARGA'!$I$2:$I$702
)="",
"",
_xlfn.XLOOKUP(
B169,
'LOCALIZAÇÃO DE CARGA'!$A$2:$A$702,
'LOCALIZAÇÃO DE CARGA'!$I$2:$I$702
)
),
""
)</f>
        <v/>
      </c>
      <c r="H169" s="5" t="str">
        <f>IFERROR(
IF(
_xlfn.XLOOKUP(
B169,
'LOCALIZAÇÃO DE CARGA'!$A$2:$A$702,
'LOCALIZAÇÃO DE CARGA'!$F$2:$F$702
)="",
"",
_xlfn.XLOOKUP(
B169,
'LOCALIZAÇÃO DE CARGA'!$A$2:$A$702,
'LOCALIZAÇÃO DE CARGA'!$F$2:$F$702
)
),
""
)</f>
        <v/>
      </c>
      <c r="I169" s="13" t="str" cm="1">
        <f t="array" ref="I169">IFERROR(
IF(
INDEX(
'VISÃO LOGISTICA'!$C$2:$C$525,
MATCH(
TRUE,
ISNUMBER(FIND(B169,'VISÃO LOGISTICA'!$A$2:$A$525)),
0
)
)="Em espera",
"",
INDEX(
'VISÃO LOGISTICA'!$C$2:$C$525,
MATCH(
TRUE,
ISNUMBER(FIND(B169,'VISÃO LOGISTICA'!$A$2:$A$525)),
0
)
)
),
""
)</f>
        <v>Em Viagem</v>
      </c>
      <c r="J169" s="5" t="str" cm="1">
        <f t="array" ref="J169">IFERROR(
IF(
OR(
INDEX(
'VISÃO LOGISTICA'!$C$2:$C$2000,
MATCH(
TRUE,
ISNUMBER(FIND(B169,'VISÃO LOGISTICA'!$A$2:$A$2000)),
0
)
)="Em espera",
INDEX(
'VISÃO LOGISTICA'!$C$2:$C$2000,
MATCH(
TRUE,
ISNUMBER(FIND(B169,'VISÃO LOGISTICA'!$A$2:$A$2000)),
0
)
)=""
),
"",
INDEX(
'VISÃO LOGISTICA'!$D$2:$D$2000,
MATCH(
TRUE,
ISNUMBER(FIND(B169,'VISÃO LOGISTICA'!$A$2:$A$2000)),
0
)
)
),
""
)</f>
        <v>BCU5G84</v>
      </c>
      <c r="K169" s="10" t="str">
        <f>IFERROR(
IF(
_xlfn.XLOOKUP(
B169,
'LOCALIZAÇÃO DE CARGA'!$A$2:$A$702,
'LOCALIZAÇÃO DE CARGA'!$E$2:$E$702)="",
"",
_xlfn.XLOOKUP(
B169,
'LOCALIZAÇÃO DE CARGA'!$A$2:$A$702,
'LOCALIZAÇÃO DE CARGA'!$E$2:$E$702)
),
""
)</f>
        <v/>
      </c>
      <c r="L169" s="20" t="str" cm="1">
        <f t="array" ref="L169">IFERROR(
_xlfn.LET(
_xlpm.res,_xlfn.XLOOKUP(B169,'LOCALIZAÇÃO DE CARGA'!$A$2:$A$2000,'LOCALIZAÇÃO DE CARGA'!$G$2:$G$2000),
IF(_xlpm.res="","",_xlpm.res)
),
""
)</f>
        <v/>
      </c>
      <c r="M169" s="20" t="str" cm="1">
        <f t="array" ref="M169">IFERROR(
_xlfn.LET(
_xlpm.load,_xlfn.XLOOKUP(B169,'LOCALIZAÇÃO DE CARGA'!$A$2:$A$2000,'LOCALIZAÇÃO DE CARGA'!$A$2:$A$2000),
_xlpm.res,_xlfn.XLOOKUP(_xlpm.load,DOCUMENTOS!$A$2:$A$2000,DOCUMENTOS!$D$2:$D$2000),
IF(_xlpm.res="","",_xlpm.res)
),
""
)</f>
        <v/>
      </c>
      <c r="N169" s="6" t="str">
        <f>IFERROR(IF(M169="","",M169-TIME(1,0,0)),"")</f>
        <v/>
      </c>
      <c r="O169" s="6" t="str" cm="1">
        <f t="array" ref="O169">IFERROR(
_xlfn.LET(
_xlpm.res,_xlfn.XLOOKUP(B169,'LOCALIZAÇÃO DE CARGA'!$A$2:$A$2000,'LOCALIZAÇÃO DE CARGA'!$S$2:$S$2000),
IF(_xlpm.res="","",_xlpm.res)
),
""
)</f>
        <v/>
      </c>
      <c r="P169" s="6" t="str" cm="1">
        <f t="array" ref="P169">IFERROR(
_xlfn.LET(
_xlpm.res,_xlfn.XLOOKUP(B169,'LOCALIZAÇÃO DE CARGA'!$A$2:$A$702,'LOCALIZAÇÃO DE CARGA'!$T$2:$T$702),
IF(_xlpm.res="","",_xlpm.res)
),
""
)</f>
        <v/>
      </c>
      <c r="Q169" s="5" t="str">
        <f>IFERROR(
IF(
_xlfn.XLOOKUP(
B169,
'LOCALIZAÇÃO DE CARGA'!$A$2:$A$702,
'LOCALIZAÇÃO DE CARGA'!$K$2:$K$702
)="",
"",
_xlfn.XLOOKUP(
B169,
'LOCALIZAÇÃO DE CARGA'!$A$2:$A$702,
'LOCALIZAÇÃO DE CARGA'!$K$2:$K$702
)
),
""
)</f>
        <v/>
      </c>
      <c r="R169" s="5" t="str">
        <f t="shared" si="8"/>
        <v/>
      </c>
      <c r="S169" s="5" t="str" cm="1">
        <f t="array" ref="S169">IF(B169="","",IFERROR(
INDEX(
'VISÃO LOGISTICA'!$L$2:$L$525,
MATCH(
TRUE,
ISNUMBER(FIND(B169,'VISÃO LOGISTICA'!$A$2:$A$525)),
0
)
),
""
))</f>
        <v/>
      </c>
      <c r="T169" s="5" t="str" cm="1">
        <f t="array" ref="T169">IFERROR(
_xlfn.LET(
_xlpm.res,_xlfn.XLOOKUP(B169,'LOCALIZAÇÃO DE CARGA'!$A$2:$A$702,'LOCALIZAÇÃO DE CARGA'!$R$2:$R$702),
IF(_xlpm.res="","",SUBSTITUTE(_xlpm.res,"/BRASIL",""))
),
""
)</f>
        <v/>
      </c>
    </row>
    <row r="170" spans="1:20">
      <c r="A170" s="14" t="str">
        <f t="shared" si="6"/>
        <v/>
      </c>
      <c r="B170" s="5"/>
      <c r="C170" s="45" t="str">
        <f t="shared" ca="1" si="7"/>
        <v/>
      </c>
      <c r="D170" s="28"/>
      <c r="E170" s="28" t="str">
        <f>IFERROR(
IF(
_xlfn.XLOOKUP(
B170,
'LOCALIZAÇÃO DE CARGA'!$A$2:$A$702,
'LOCALIZAÇÃO DE CARGA'!$D$2:$D$702
)="",
"",
_xlfn.XLOOKUP(
B170,
'LOCALIZAÇÃO DE CARGA'!$A$2:$A$702,
'LOCALIZAÇÃO DE CARGA'!$D$2:$D$702
)
),
""
)</f>
        <v/>
      </c>
      <c r="F170" s="13" t="str">
        <f>IFERROR(
IF(
_xlfn.XLOOKUP(
B170,
'LOCALIZAÇÃO DE CARGA'!$A$2:$A$702,
'LOCALIZAÇÃO DE CARGA'!$H$2:$H$702
)="",
"",
_xlfn.XLOOKUP(
B170,
'LOCALIZAÇÃO DE CARGA'!$A$2:$A$702,
'LOCALIZAÇÃO DE CARGA'!$H$2:$H$702
)
),
""
)</f>
        <v/>
      </c>
      <c r="G170" s="5" t="str">
        <f>IFERROR(
IF(
_xlfn.XLOOKUP(
B170,
'LOCALIZAÇÃO DE CARGA'!$A$2:$A$702,
'LOCALIZAÇÃO DE CARGA'!$I$2:$I$702
)="",
"",
_xlfn.XLOOKUP(
B170,
'LOCALIZAÇÃO DE CARGA'!$A$2:$A$702,
'LOCALIZAÇÃO DE CARGA'!$I$2:$I$702
)
),
""
)</f>
        <v/>
      </c>
      <c r="H170" s="5" t="str">
        <f>IFERROR(
IF(
_xlfn.XLOOKUP(
B170,
'LOCALIZAÇÃO DE CARGA'!$A$2:$A$702,
'LOCALIZAÇÃO DE CARGA'!$F$2:$F$702
)="",
"",
_xlfn.XLOOKUP(
B170,
'LOCALIZAÇÃO DE CARGA'!$A$2:$A$702,
'LOCALIZAÇÃO DE CARGA'!$F$2:$F$702
)
),
""
)</f>
        <v/>
      </c>
      <c r="I170" s="13" t="str" cm="1">
        <f t="array" ref="I170">IFERROR(
IF(
INDEX(
'VISÃO LOGISTICA'!$C$2:$C$525,
MATCH(
TRUE,
ISNUMBER(FIND(B170,'VISÃO LOGISTICA'!$A$2:$A$525)),
0
)
)="Em espera",
"",
INDEX(
'VISÃO LOGISTICA'!$C$2:$C$525,
MATCH(
TRUE,
ISNUMBER(FIND(B170,'VISÃO LOGISTICA'!$A$2:$A$525)),
0
)
)
),
""
)</f>
        <v>Em Viagem</v>
      </c>
      <c r="J170" s="5" t="str" cm="1">
        <f t="array" ref="J170">IFERROR(
IF(
OR(
INDEX(
'VISÃO LOGISTICA'!$C$2:$C$2000,
MATCH(
TRUE,
ISNUMBER(FIND(B170,'VISÃO LOGISTICA'!$A$2:$A$2000)),
0
)
)="Em espera",
INDEX(
'VISÃO LOGISTICA'!$C$2:$C$2000,
MATCH(
TRUE,
ISNUMBER(FIND(B170,'VISÃO LOGISTICA'!$A$2:$A$2000)),
0
)
)=""
),
"",
INDEX(
'VISÃO LOGISTICA'!$D$2:$D$2000,
MATCH(
TRUE,
ISNUMBER(FIND(B170,'VISÃO LOGISTICA'!$A$2:$A$2000)),
0
)
)
),
""
)</f>
        <v>BCU5G84</v>
      </c>
      <c r="K170" s="10" t="str">
        <f>IFERROR(
IF(
_xlfn.XLOOKUP(
B170,
'LOCALIZAÇÃO DE CARGA'!$A$2:$A$702,
'LOCALIZAÇÃO DE CARGA'!$E$2:$E$702)="",
"",
_xlfn.XLOOKUP(
B170,
'LOCALIZAÇÃO DE CARGA'!$A$2:$A$702,
'LOCALIZAÇÃO DE CARGA'!$E$2:$E$702)
),
""
)</f>
        <v/>
      </c>
      <c r="L170" s="20" t="str" cm="1">
        <f t="array" ref="L170">IFERROR(
_xlfn.LET(
_xlpm.res,_xlfn.XLOOKUP(B170,'LOCALIZAÇÃO DE CARGA'!$A$2:$A$2000,'LOCALIZAÇÃO DE CARGA'!$G$2:$G$2000),
IF(_xlpm.res="","",_xlpm.res)
),
""
)</f>
        <v/>
      </c>
      <c r="M170" s="20" t="str" cm="1">
        <f t="array" ref="M170">IFERROR(
_xlfn.LET(
_xlpm.load,_xlfn.XLOOKUP(B170,'LOCALIZAÇÃO DE CARGA'!$A$2:$A$2000,'LOCALIZAÇÃO DE CARGA'!$A$2:$A$2000),
_xlpm.res,_xlfn.XLOOKUP(_xlpm.load,DOCUMENTOS!$A$2:$A$2000,DOCUMENTOS!$D$2:$D$2000),
IF(_xlpm.res="","",_xlpm.res)
),
""
)</f>
        <v/>
      </c>
      <c r="N170" s="6" t="str">
        <f>IFERROR(IF(M170="","",M170-TIME(1,0,0)),"")</f>
        <v/>
      </c>
      <c r="O170" s="6" t="str" cm="1">
        <f t="array" ref="O170">IFERROR(
_xlfn.LET(
_xlpm.res,_xlfn.XLOOKUP(B170,'LOCALIZAÇÃO DE CARGA'!$A$2:$A$2000,'LOCALIZAÇÃO DE CARGA'!$S$2:$S$2000),
IF(_xlpm.res="","",_xlpm.res)
),
""
)</f>
        <v/>
      </c>
      <c r="P170" s="6" t="str" cm="1">
        <f t="array" ref="P170">IFERROR(
_xlfn.LET(
_xlpm.res,_xlfn.XLOOKUP(B170,'LOCALIZAÇÃO DE CARGA'!$A$2:$A$702,'LOCALIZAÇÃO DE CARGA'!$T$2:$T$702),
IF(_xlpm.res="","",_xlpm.res)
),
""
)</f>
        <v/>
      </c>
      <c r="Q170" s="5" t="str">
        <f>IFERROR(
IF(
_xlfn.XLOOKUP(
B170,
'LOCALIZAÇÃO DE CARGA'!$A$2:$A$702,
'LOCALIZAÇÃO DE CARGA'!$K$2:$K$702
)="",
"",
_xlfn.XLOOKUP(
B170,
'LOCALIZAÇÃO DE CARGA'!$A$2:$A$702,
'LOCALIZAÇÃO DE CARGA'!$K$2:$K$702
)
),
""
)</f>
        <v/>
      </c>
      <c r="R170" s="5" t="str">
        <f t="shared" si="8"/>
        <v/>
      </c>
      <c r="S170" s="5" t="str" cm="1">
        <f t="array" ref="S170">IF(B170="","",IFERROR(
INDEX(
'VISÃO LOGISTICA'!$L$2:$L$525,
MATCH(
TRUE,
ISNUMBER(FIND(B170,'VISÃO LOGISTICA'!$A$2:$A$525)),
0
)
),
""
))</f>
        <v/>
      </c>
      <c r="T170" s="5" t="str" cm="1">
        <f t="array" ref="T170">IFERROR(
_xlfn.LET(
_xlpm.res,_xlfn.XLOOKUP(B170,'LOCALIZAÇÃO DE CARGA'!$A$2:$A$702,'LOCALIZAÇÃO DE CARGA'!$R$2:$R$702),
IF(_xlpm.res="","",SUBSTITUTE(_xlpm.res,"/BRASIL",""))
),
""
)</f>
        <v/>
      </c>
    </row>
    <row r="171" spans="1:20">
      <c r="A171" s="14" t="str">
        <f t="shared" si="6"/>
        <v/>
      </c>
      <c r="B171" s="5"/>
      <c r="C171" s="45" t="str">
        <f t="shared" ca="1" si="7"/>
        <v/>
      </c>
      <c r="D171" s="28"/>
      <c r="E171" s="28" t="str">
        <f>IFERROR(
IF(
_xlfn.XLOOKUP(
B171,
'LOCALIZAÇÃO DE CARGA'!$A$2:$A$702,
'LOCALIZAÇÃO DE CARGA'!$D$2:$D$702
)="",
"",
_xlfn.XLOOKUP(
B171,
'LOCALIZAÇÃO DE CARGA'!$A$2:$A$702,
'LOCALIZAÇÃO DE CARGA'!$D$2:$D$702
)
),
""
)</f>
        <v/>
      </c>
      <c r="F171" s="13" t="str">
        <f>IFERROR(
IF(
_xlfn.XLOOKUP(
B171,
'LOCALIZAÇÃO DE CARGA'!$A$2:$A$702,
'LOCALIZAÇÃO DE CARGA'!$H$2:$H$702
)="",
"",
_xlfn.XLOOKUP(
B171,
'LOCALIZAÇÃO DE CARGA'!$A$2:$A$702,
'LOCALIZAÇÃO DE CARGA'!$H$2:$H$702
)
),
""
)</f>
        <v/>
      </c>
      <c r="G171" s="5" t="str">
        <f>IFERROR(
IF(
_xlfn.XLOOKUP(
B171,
'LOCALIZAÇÃO DE CARGA'!$A$2:$A$702,
'LOCALIZAÇÃO DE CARGA'!$I$2:$I$702
)="",
"",
_xlfn.XLOOKUP(
B171,
'LOCALIZAÇÃO DE CARGA'!$A$2:$A$702,
'LOCALIZAÇÃO DE CARGA'!$I$2:$I$702
)
),
""
)</f>
        <v/>
      </c>
      <c r="H171" s="5" t="str">
        <f>IFERROR(
IF(
_xlfn.XLOOKUP(
B171,
'LOCALIZAÇÃO DE CARGA'!$A$2:$A$702,
'LOCALIZAÇÃO DE CARGA'!$F$2:$F$702
)="",
"",
_xlfn.XLOOKUP(
B171,
'LOCALIZAÇÃO DE CARGA'!$A$2:$A$702,
'LOCALIZAÇÃO DE CARGA'!$F$2:$F$702
)
),
""
)</f>
        <v/>
      </c>
      <c r="I171" s="13" t="str" cm="1">
        <f t="array" ref="I171">IFERROR(
IF(
INDEX(
'VISÃO LOGISTICA'!$C$2:$C$525,
MATCH(
TRUE,
ISNUMBER(FIND(B171,'VISÃO LOGISTICA'!$A$2:$A$525)),
0
)
)="Em espera",
"",
INDEX(
'VISÃO LOGISTICA'!$C$2:$C$525,
MATCH(
TRUE,
ISNUMBER(FIND(B171,'VISÃO LOGISTICA'!$A$2:$A$525)),
0
)
)
),
""
)</f>
        <v>Em Viagem</v>
      </c>
      <c r="J171" s="5" t="str" cm="1">
        <f t="array" ref="J171">IFERROR(
IF(
OR(
INDEX(
'VISÃO LOGISTICA'!$C$2:$C$2000,
MATCH(
TRUE,
ISNUMBER(FIND(B171,'VISÃO LOGISTICA'!$A$2:$A$2000)),
0
)
)="Em espera",
INDEX(
'VISÃO LOGISTICA'!$C$2:$C$2000,
MATCH(
TRUE,
ISNUMBER(FIND(B171,'VISÃO LOGISTICA'!$A$2:$A$2000)),
0
)
)=""
),
"",
INDEX(
'VISÃO LOGISTICA'!$D$2:$D$2000,
MATCH(
TRUE,
ISNUMBER(FIND(B171,'VISÃO LOGISTICA'!$A$2:$A$2000)),
0
)
)
),
""
)</f>
        <v>BCU5G84</v>
      </c>
      <c r="K171" s="10" t="str">
        <f>IFERROR(
IF(
_xlfn.XLOOKUP(
B171,
'LOCALIZAÇÃO DE CARGA'!$A$2:$A$702,
'LOCALIZAÇÃO DE CARGA'!$E$2:$E$702)="",
"",
_xlfn.XLOOKUP(
B171,
'LOCALIZAÇÃO DE CARGA'!$A$2:$A$702,
'LOCALIZAÇÃO DE CARGA'!$E$2:$E$702)
),
""
)</f>
        <v/>
      </c>
      <c r="L171" s="20" t="str" cm="1">
        <f t="array" ref="L171">IFERROR(
_xlfn.LET(
_xlpm.res,_xlfn.XLOOKUP(B171,'LOCALIZAÇÃO DE CARGA'!$A$2:$A$2000,'LOCALIZAÇÃO DE CARGA'!$G$2:$G$2000),
IF(_xlpm.res="","",_xlpm.res)
),
""
)</f>
        <v/>
      </c>
      <c r="M171" s="20" t="str" cm="1">
        <f t="array" ref="M171">IFERROR(
_xlfn.LET(
_xlpm.load,_xlfn.XLOOKUP(B171,'LOCALIZAÇÃO DE CARGA'!$A$2:$A$2000,'LOCALIZAÇÃO DE CARGA'!$A$2:$A$2000),
_xlpm.res,_xlfn.XLOOKUP(_xlpm.load,DOCUMENTOS!$A$2:$A$2000,DOCUMENTOS!$D$2:$D$2000),
IF(_xlpm.res="","",_xlpm.res)
),
""
)</f>
        <v/>
      </c>
      <c r="N171" s="6" t="str">
        <f>IFERROR(IF(M171="","",M171-TIME(1,0,0)),"")</f>
        <v/>
      </c>
      <c r="O171" s="6" t="str" cm="1">
        <f t="array" ref="O171">IFERROR(
_xlfn.LET(
_xlpm.res,_xlfn.XLOOKUP(B171,'LOCALIZAÇÃO DE CARGA'!$A$2:$A$2000,'LOCALIZAÇÃO DE CARGA'!$S$2:$S$2000),
IF(_xlpm.res="","",_xlpm.res)
),
""
)</f>
        <v/>
      </c>
      <c r="P171" s="6" t="str" cm="1">
        <f t="array" ref="P171">IFERROR(
_xlfn.LET(
_xlpm.res,_xlfn.XLOOKUP(B171,'LOCALIZAÇÃO DE CARGA'!$A$2:$A$702,'LOCALIZAÇÃO DE CARGA'!$T$2:$T$702),
IF(_xlpm.res="","",_xlpm.res)
),
""
)</f>
        <v/>
      </c>
      <c r="Q171" s="5" t="str">
        <f>IFERROR(
IF(
_xlfn.XLOOKUP(
B171,
'LOCALIZAÇÃO DE CARGA'!$A$2:$A$702,
'LOCALIZAÇÃO DE CARGA'!$K$2:$K$702
)="",
"",
_xlfn.XLOOKUP(
B171,
'LOCALIZAÇÃO DE CARGA'!$A$2:$A$702,
'LOCALIZAÇÃO DE CARGA'!$K$2:$K$702
)
),
""
)</f>
        <v/>
      </c>
      <c r="R171" s="5" t="str">
        <f t="shared" si="8"/>
        <v/>
      </c>
      <c r="S171" s="5" t="str" cm="1">
        <f t="array" ref="S171">IF(B171="","",IFERROR(
INDEX(
'VISÃO LOGISTICA'!$L$2:$L$525,
MATCH(
TRUE,
ISNUMBER(FIND(B171,'VISÃO LOGISTICA'!$A$2:$A$525)),
0
)
),
""
))</f>
        <v/>
      </c>
      <c r="T171" s="5" t="str" cm="1">
        <f t="array" ref="T171">IFERROR(
_xlfn.LET(
_xlpm.res,_xlfn.XLOOKUP(B171,'LOCALIZAÇÃO DE CARGA'!$A$2:$A$702,'LOCALIZAÇÃO DE CARGA'!$R$2:$R$702),
IF(_xlpm.res="","",SUBSTITUTE(_xlpm.res,"/BRASIL",""))
),
""
)</f>
        <v/>
      </c>
    </row>
    <row r="172" spans="1:20">
      <c r="A172" s="14" t="str">
        <f t="shared" si="6"/>
        <v/>
      </c>
      <c r="B172" s="5"/>
      <c r="C172" s="45" t="str">
        <f t="shared" ca="1" si="7"/>
        <v/>
      </c>
      <c r="D172" s="28"/>
      <c r="E172" s="28" t="str">
        <f>IFERROR(
IF(
_xlfn.XLOOKUP(
B172,
'LOCALIZAÇÃO DE CARGA'!$A$2:$A$702,
'LOCALIZAÇÃO DE CARGA'!$D$2:$D$702
)="",
"",
_xlfn.XLOOKUP(
B172,
'LOCALIZAÇÃO DE CARGA'!$A$2:$A$702,
'LOCALIZAÇÃO DE CARGA'!$D$2:$D$702
)
),
""
)</f>
        <v/>
      </c>
      <c r="F172" s="13" t="str">
        <f>IFERROR(
IF(
_xlfn.XLOOKUP(
B172,
'LOCALIZAÇÃO DE CARGA'!$A$2:$A$702,
'LOCALIZAÇÃO DE CARGA'!$H$2:$H$702
)="",
"",
_xlfn.XLOOKUP(
B172,
'LOCALIZAÇÃO DE CARGA'!$A$2:$A$702,
'LOCALIZAÇÃO DE CARGA'!$H$2:$H$702
)
),
""
)</f>
        <v/>
      </c>
      <c r="G172" s="5" t="str">
        <f>IFERROR(
IF(
_xlfn.XLOOKUP(
B172,
'LOCALIZAÇÃO DE CARGA'!$A$2:$A$702,
'LOCALIZAÇÃO DE CARGA'!$I$2:$I$702
)="",
"",
_xlfn.XLOOKUP(
B172,
'LOCALIZAÇÃO DE CARGA'!$A$2:$A$702,
'LOCALIZAÇÃO DE CARGA'!$I$2:$I$702
)
),
""
)</f>
        <v/>
      </c>
      <c r="H172" s="5" t="str">
        <f>IFERROR(
IF(
_xlfn.XLOOKUP(
B172,
'LOCALIZAÇÃO DE CARGA'!$A$2:$A$702,
'LOCALIZAÇÃO DE CARGA'!$F$2:$F$702
)="",
"",
_xlfn.XLOOKUP(
B172,
'LOCALIZAÇÃO DE CARGA'!$A$2:$A$702,
'LOCALIZAÇÃO DE CARGA'!$F$2:$F$702
)
),
""
)</f>
        <v/>
      </c>
      <c r="I172" s="13" t="str" cm="1">
        <f t="array" ref="I172">IFERROR(
IF(
INDEX(
'VISÃO LOGISTICA'!$C$2:$C$525,
MATCH(
TRUE,
ISNUMBER(FIND(B172,'VISÃO LOGISTICA'!$A$2:$A$525)),
0
)
)="Em espera",
"",
INDEX(
'VISÃO LOGISTICA'!$C$2:$C$525,
MATCH(
TRUE,
ISNUMBER(FIND(B172,'VISÃO LOGISTICA'!$A$2:$A$525)),
0
)
)
),
""
)</f>
        <v>Em Viagem</v>
      </c>
      <c r="J172" s="5" t="str" cm="1">
        <f t="array" ref="J172">IFERROR(
IF(
OR(
INDEX(
'VISÃO LOGISTICA'!$C$2:$C$2000,
MATCH(
TRUE,
ISNUMBER(FIND(B172,'VISÃO LOGISTICA'!$A$2:$A$2000)),
0
)
)="Em espera",
INDEX(
'VISÃO LOGISTICA'!$C$2:$C$2000,
MATCH(
TRUE,
ISNUMBER(FIND(B172,'VISÃO LOGISTICA'!$A$2:$A$2000)),
0
)
)=""
),
"",
INDEX(
'VISÃO LOGISTICA'!$D$2:$D$2000,
MATCH(
TRUE,
ISNUMBER(FIND(B172,'VISÃO LOGISTICA'!$A$2:$A$2000)),
0
)
)
),
""
)</f>
        <v>BCU5G84</v>
      </c>
      <c r="K172" s="10" t="str">
        <f>IFERROR(
IF(
_xlfn.XLOOKUP(
B172,
'LOCALIZAÇÃO DE CARGA'!$A$2:$A$702,
'LOCALIZAÇÃO DE CARGA'!$E$2:$E$702)="",
"",
_xlfn.XLOOKUP(
B172,
'LOCALIZAÇÃO DE CARGA'!$A$2:$A$702,
'LOCALIZAÇÃO DE CARGA'!$E$2:$E$702)
),
""
)</f>
        <v/>
      </c>
      <c r="L172" s="20" t="str" cm="1">
        <f t="array" ref="L172">IFERROR(
_xlfn.LET(
_xlpm.res,_xlfn.XLOOKUP(B172,'LOCALIZAÇÃO DE CARGA'!$A$2:$A$2000,'LOCALIZAÇÃO DE CARGA'!$G$2:$G$2000),
IF(_xlpm.res="","",_xlpm.res)
),
""
)</f>
        <v/>
      </c>
      <c r="M172" s="20" t="str" cm="1">
        <f t="array" ref="M172">IFERROR(
_xlfn.LET(
_xlpm.load,_xlfn.XLOOKUP(B172,'LOCALIZAÇÃO DE CARGA'!$A$2:$A$2000,'LOCALIZAÇÃO DE CARGA'!$A$2:$A$2000),
_xlpm.res,_xlfn.XLOOKUP(_xlpm.load,DOCUMENTOS!$A$2:$A$2000,DOCUMENTOS!$D$2:$D$2000),
IF(_xlpm.res="","",_xlpm.res)
),
""
)</f>
        <v/>
      </c>
      <c r="N172" s="6" t="str">
        <f>IFERROR(IF(M172="","",M172-TIME(1,0,0)),"")</f>
        <v/>
      </c>
      <c r="O172" s="6" t="str" cm="1">
        <f t="array" ref="O172">IFERROR(
_xlfn.LET(
_xlpm.res,_xlfn.XLOOKUP(B172,'LOCALIZAÇÃO DE CARGA'!$A$2:$A$2000,'LOCALIZAÇÃO DE CARGA'!$S$2:$S$2000),
IF(_xlpm.res="","",_xlpm.res)
),
""
)</f>
        <v/>
      </c>
      <c r="P172" s="6" t="str" cm="1">
        <f t="array" ref="P172">IFERROR(
_xlfn.LET(
_xlpm.res,_xlfn.XLOOKUP(B172,'LOCALIZAÇÃO DE CARGA'!$A$2:$A$702,'LOCALIZAÇÃO DE CARGA'!$T$2:$T$702),
IF(_xlpm.res="","",_xlpm.res)
),
""
)</f>
        <v/>
      </c>
      <c r="Q172" s="5" t="str">
        <f>IFERROR(
IF(
_xlfn.XLOOKUP(
B172,
'LOCALIZAÇÃO DE CARGA'!$A$2:$A$702,
'LOCALIZAÇÃO DE CARGA'!$K$2:$K$702
)="",
"",
_xlfn.XLOOKUP(
B172,
'LOCALIZAÇÃO DE CARGA'!$A$2:$A$702,
'LOCALIZAÇÃO DE CARGA'!$K$2:$K$702
)
),
""
)</f>
        <v/>
      </c>
      <c r="R172" s="5" t="str">
        <f t="shared" si="8"/>
        <v/>
      </c>
      <c r="S172" s="5" t="str" cm="1">
        <f t="array" ref="S172">IF(B172="","",IFERROR(
INDEX(
'VISÃO LOGISTICA'!$L$2:$L$525,
MATCH(
TRUE,
ISNUMBER(FIND(B172,'VISÃO LOGISTICA'!$A$2:$A$525)),
0
)
),
""
))</f>
        <v/>
      </c>
      <c r="T172" s="5" t="str" cm="1">
        <f t="array" ref="T172">IFERROR(
_xlfn.LET(
_xlpm.res,_xlfn.XLOOKUP(B172,'LOCALIZAÇÃO DE CARGA'!$A$2:$A$702,'LOCALIZAÇÃO DE CARGA'!$R$2:$R$702),
IF(_xlpm.res="","",SUBSTITUTE(_xlpm.res,"/BRASIL",""))
),
""
)</f>
        <v/>
      </c>
    </row>
    <row r="173" spans="1:20">
      <c r="A173" s="14" t="str">
        <f t="shared" si="6"/>
        <v/>
      </c>
      <c r="B173" s="5"/>
      <c r="C173" s="45" t="str">
        <f t="shared" ca="1" si="7"/>
        <v/>
      </c>
      <c r="D173" s="28"/>
      <c r="E173" s="28" t="str">
        <f>IFERROR(
IF(
_xlfn.XLOOKUP(
B173,
'LOCALIZAÇÃO DE CARGA'!$A$2:$A$702,
'LOCALIZAÇÃO DE CARGA'!$D$2:$D$702
)="",
"",
_xlfn.XLOOKUP(
B173,
'LOCALIZAÇÃO DE CARGA'!$A$2:$A$702,
'LOCALIZAÇÃO DE CARGA'!$D$2:$D$702
)
),
""
)</f>
        <v/>
      </c>
      <c r="F173" s="13" t="str">
        <f>IFERROR(
IF(
_xlfn.XLOOKUP(
B173,
'LOCALIZAÇÃO DE CARGA'!$A$2:$A$702,
'LOCALIZAÇÃO DE CARGA'!$H$2:$H$702
)="",
"",
_xlfn.XLOOKUP(
B173,
'LOCALIZAÇÃO DE CARGA'!$A$2:$A$702,
'LOCALIZAÇÃO DE CARGA'!$H$2:$H$702
)
),
""
)</f>
        <v/>
      </c>
      <c r="G173" s="5" t="str">
        <f>IFERROR(
IF(
_xlfn.XLOOKUP(
B173,
'LOCALIZAÇÃO DE CARGA'!$A$2:$A$702,
'LOCALIZAÇÃO DE CARGA'!$I$2:$I$702
)="",
"",
_xlfn.XLOOKUP(
B173,
'LOCALIZAÇÃO DE CARGA'!$A$2:$A$702,
'LOCALIZAÇÃO DE CARGA'!$I$2:$I$702
)
),
""
)</f>
        <v/>
      </c>
      <c r="H173" s="5" t="str">
        <f>IFERROR(
IF(
_xlfn.XLOOKUP(
B173,
'LOCALIZAÇÃO DE CARGA'!$A$2:$A$702,
'LOCALIZAÇÃO DE CARGA'!$F$2:$F$702
)="",
"",
_xlfn.XLOOKUP(
B173,
'LOCALIZAÇÃO DE CARGA'!$A$2:$A$702,
'LOCALIZAÇÃO DE CARGA'!$F$2:$F$702
)
),
""
)</f>
        <v/>
      </c>
      <c r="I173" s="13" t="str" cm="1">
        <f t="array" ref="I173">IFERROR(
IF(
INDEX(
'VISÃO LOGISTICA'!$C$2:$C$525,
MATCH(
TRUE,
ISNUMBER(FIND(B173,'VISÃO LOGISTICA'!$A$2:$A$525)),
0
)
)="Em espera",
"",
INDEX(
'VISÃO LOGISTICA'!$C$2:$C$525,
MATCH(
TRUE,
ISNUMBER(FIND(B173,'VISÃO LOGISTICA'!$A$2:$A$525)),
0
)
)
),
""
)</f>
        <v>Em Viagem</v>
      </c>
      <c r="J173" s="5" t="str" cm="1">
        <f t="array" ref="J173">IFERROR(
IF(
OR(
INDEX(
'VISÃO LOGISTICA'!$C$2:$C$2000,
MATCH(
TRUE,
ISNUMBER(FIND(B173,'VISÃO LOGISTICA'!$A$2:$A$2000)),
0
)
)="Em espera",
INDEX(
'VISÃO LOGISTICA'!$C$2:$C$2000,
MATCH(
TRUE,
ISNUMBER(FIND(B173,'VISÃO LOGISTICA'!$A$2:$A$2000)),
0
)
)=""
),
"",
INDEX(
'VISÃO LOGISTICA'!$D$2:$D$2000,
MATCH(
TRUE,
ISNUMBER(FIND(B173,'VISÃO LOGISTICA'!$A$2:$A$2000)),
0
)
)
),
""
)</f>
        <v>BCU5G84</v>
      </c>
      <c r="K173" s="10" t="str">
        <f>IFERROR(
IF(
_xlfn.XLOOKUP(
B173,
'LOCALIZAÇÃO DE CARGA'!$A$2:$A$702,
'LOCALIZAÇÃO DE CARGA'!$E$2:$E$702)="",
"",
_xlfn.XLOOKUP(
B173,
'LOCALIZAÇÃO DE CARGA'!$A$2:$A$702,
'LOCALIZAÇÃO DE CARGA'!$E$2:$E$702)
),
""
)</f>
        <v/>
      </c>
      <c r="L173" s="20" t="str" cm="1">
        <f t="array" ref="L173">IFERROR(
_xlfn.LET(
_xlpm.res,_xlfn.XLOOKUP(B173,'LOCALIZAÇÃO DE CARGA'!$A$2:$A$2000,'LOCALIZAÇÃO DE CARGA'!$G$2:$G$2000),
IF(_xlpm.res="","",_xlpm.res)
),
""
)</f>
        <v/>
      </c>
      <c r="M173" s="20" t="str" cm="1">
        <f t="array" ref="M173">IFERROR(
_xlfn.LET(
_xlpm.load,_xlfn.XLOOKUP(B173,'LOCALIZAÇÃO DE CARGA'!$A$2:$A$2000,'LOCALIZAÇÃO DE CARGA'!$A$2:$A$2000),
_xlpm.res,_xlfn.XLOOKUP(_xlpm.load,DOCUMENTOS!$A$2:$A$2000,DOCUMENTOS!$D$2:$D$2000),
IF(_xlpm.res="","",_xlpm.res)
),
""
)</f>
        <v/>
      </c>
      <c r="N173" s="6" t="str">
        <f>IFERROR(IF(M173="","",M173-TIME(1,0,0)),"")</f>
        <v/>
      </c>
      <c r="O173" s="6" t="str" cm="1">
        <f t="array" ref="O173">IFERROR(
_xlfn.LET(
_xlpm.res,_xlfn.XLOOKUP(B173,'LOCALIZAÇÃO DE CARGA'!$A$2:$A$2000,'LOCALIZAÇÃO DE CARGA'!$S$2:$S$2000),
IF(_xlpm.res="","",_xlpm.res)
),
""
)</f>
        <v/>
      </c>
      <c r="P173" s="6" t="str" cm="1">
        <f t="array" ref="P173">IFERROR(
_xlfn.LET(
_xlpm.res,_xlfn.XLOOKUP(B173,'LOCALIZAÇÃO DE CARGA'!$A$2:$A$702,'LOCALIZAÇÃO DE CARGA'!$T$2:$T$702),
IF(_xlpm.res="","",_xlpm.res)
),
""
)</f>
        <v/>
      </c>
      <c r="Q173" s="5" t="str">
        <f>IFERROR(
IF(
_xlfn.XLOOKUP(
B173,
'LOCALIZAÇÃO DE CARGA'!$A$2:$A$702,
'LOCALIZAÇÃO DE CARGA'!$K$2:$K$702
)="",
"",
_xlfn.XLOOKUP(
B173,
'LOCALIZAÇÃO DE CARGA'!$A$2:$A$702,
'LOCALIZAÇÃO DE CARGA'!$K$2:$K$702
)
),
""
)</f>
        <v/>
      </c>
      <c r="R173" s="5" t="str">
        <f t="shared" si="8"/>
        <v/>
      </c>
      <c r="S173" s="5" t="str" cm="1">
        <f t="array" ref="S173">IF(B173="","",IFERROR(
INDEX(
'VISÃO LOGISTICA'!$L$2:$L$525,
MATCH(
TRUE,
ISNUMBER(FIND(B173,'VISÃO LOGISTICA'!$A$2:$A$525)),
0
)
),
""
))</f>
        <v/>
      </c>
      <c r="T173" s="5" t="str" cm="1">
        <f t="array" ref="T173">IFERROR(
_xlfn.LET(
_xlpm.res,_xlfn.XLOOKUP(B173,'LOCALIZAÇÃO DE CARGA'!$A$2:$A$702,'LOCALIZAÇÃO DE CARGA'!$R$2:$R$702),
IF(_xlpm.res="","",SUBSTITUTE(_xlpm.res,"/BRASIL",""))
),
""
)</f>
        <v/>
      </c>
    </row>
    <row r="174" spans="1:20">
      <c r="A174" s="14" t="str">
        <f t="shared" si="6"/>
        <v/>
      </c>
      <c r="B174" s="5"/>
      <c r="C174" s="45" t="str">
        <f t="shared" ca="1" si="7"/>
        <v/>
      </c>
      <c r="D174" s="28"/>
      <c r="E174" s="28" t="str">
        <f>IFERROR(
IF(
_xlfn.XLOOKUP(
B174,
'LOCALIZAÇÃO DE CARGA'!$A$2:$A$702,
'LOCALIZAÇÃO DE CARGA'!$D$2:$D$702
)="",
"",
_xlfn.XLOOKUP(
B174,
'LOCALIZAÇÃO DE CARGA'!$A$2:$A$702,
'LOCALIZAÇÃO DE CARGA'!$D$2:$D$702
)
),
""
)</f>
        <v/>
      </c>
      <c r="F174" s="13" t="str">
        <f>IFERROR(
IF(
_xlfn.XLOOKUP(
B174,
'LOCALIZAÇÃO DE CARGA'!$A$2:$A$702,
'LOCALIZAÇÃO DE CARGA'!$H$2:$H$702
)="",
"",
_xlfn.XLOOKUP(
B174,
'LOCALIZAÇÃO DE CARGA'!$A$2:$A$702,
'LOCALIZAÇÃO DE CARGA'!$H$2:$H$702
)
),
""
)</f>
        <v/>
      </c>
      <c r="G174" s="5" t="str">
        <f>IFERROR(
IF(
_xlfn.XLOOKUP(
B174,
'LOCALIZAÇÃO DE CARGA'!$A$2:$A$702,
'LOCALIZAÇÃO DE CARGA'!$I$2:$I$702
)="",
"",
_xlfn.XLOOKUP(
B174,
'LOCALIZAÇÃO DE CARGA'!$A$2:$A$702,
'LOCALIZAÇÃO DE CARGA'!$I$2:$I$702
)
),
""
)</f>
        <v/>
      </c>
      <c r="H174" s="5" t="str">
        <f>IFERROR(
IF(
_xlfn.XLOOKUP(
B174,
'LOCALIZAÇÃO DE CARGA'!$A$2:$A$702,
'LOCALIZAÇÃO DE CARGA'!$F$2:$F$702
)="",
"",
_xlfn.XLOOKUP(
B174,
'LOCALIZAÇÃO DE CARGA'!$A$2:$A$702,
'LOCALIZAÇÃO DE CARGA'!$F$2:$F$702
)
),
""
)</f>
        <v/>
      </c>
      <c r="I174" s="13" t="str" cm="1">
        <f t="array" ref="I174">IFERROR(
IF(
INDEX(
'VISÃO LOGISTICA'!$C$2:$C$525,
MATCH(
TRUE,
ISNUMBER(FIND(B174,'VISÃO LOGISTICA'!$A$2:$A$525)),
0
)
)="Em espera",
"",
INDEX(
'VISÃO LOGISTICA'!$C$2:$C$525,
MATCH(
TRUE,
ISNUMBER(FIND(B174,'VISÃO LOGISTICA'!$A$2:$A$525)),
0
)
)
),
""
)</f>
        <v>Em Viagem</v>
      </c>
      <c r="J174" s="5" t="str" cm="1">
        <f t="array" ref="J174">IFERROR(
IF(
OR(
INDEX(
'VISÃO LOGISTICA'!$C$2:$C$2000,
MATCH(
TRUE,
ISNUMBER(FIND(B174,'VISÃO LOGISTICA'!$A$2:$A$2000)),
0
)
)="Em espera",
INDEX(
'VISÃO LOGISTICA'!$C$2:$C$2000,
MATCH(
TRUE,
ISNUMBER(FIND(B174,'VISÃO LOGISTICA'!$A$2:$A$2000)),
0
)
)=""
),
"",
INDEX(
'VISÃO LOGISTICA'!$D$2:$D$2000,
MATCH(
TRUE,
ISNUMBER(FIND(B174,'VISÃO LOGISTICA'!$A$2:$A$2000)),
0
)
)
),
""
)</f>
        <v>BCU5G84</v>
      </c>
      <c r="K174" s="10" t="str">
        <f>IFERROR(
IF(
_xlfn.XLOOKUP(
B174,
'LOCALIZAÇÃO DE CARGA'!$A$2:$A$702,
'LOCALIZAÇÃO DE CARGA'!$E$2:$E$702)="",
"",
_xlfn.XLOOKUP(
B174,
'LOCALIZAÇÃO DE CARGA'!$A$2:$A$702,
'LOCALIZAÇÃO DE CARGA'!$E$2:$E$702)
),
""
)</f>
        <v/>
      </c>
      <c r="L174" s="20" t="str" cm="1">
        <f t="array" ref="L174">IFERROR(
_xlfn.LET(
_xlpm.res,_xlfn.XLOOKUP(B174,'LOCALIZAÇÃO DE CARGA'!$A$2:$A$2000,'LOCALIZAÇÃO DE CARGA'!$G$2:$G$2000),
IF(_xlpm.res="","",_xlpm.res)
),
""
)</f>
        <v/>
      </c>
      <c r="M174" s="20" t="str" cm="1">
        <f t="array" ref="M174">IFERROR(
_xlfn.LET(
_xlpm.load,_xlfn.XLOOKUP(B174,'LOCALIZAÇÃO DE CARGA'!$A$2:$A$2000,'LOCALIZAÇÃO DE CARGA'!$A$2:$A$2000),
_xlpm.res,_xlfn.XLOOKUP(_xlpm.load,DOCUMENTOS!$A$2:$A$2000,DOCUMENTOS!$D$2:$D$2000),
IF(_xlpm.res="","",_xlpm.res)
),
""
)</f>
        <v/>
      </c>
      <c r="N174" s="6" t="str">
        <f>IFERROR(IF(M174="","",M174-TIME(1,0,0)),"")</f>
        <v/>
      </c>
      <c r="O174" s="6" t="str" cm="1">
        <f t="array" ref="O174">IFERROR(
_xlfn.LET(
_xlpm.res,_xlfn.XLOOKUP(B174,'LOCALIZAÇÃO DE CARGA'!$A$2:$A$2000,'LOCALIZAÇÃO DE CARGA'!$S$2:$S$2000),
IF(_xlpm.res="","",_xlpm.res)
),
""
)</f>
        <v/>
      </c>
      <c r="P174" s="6" t="str" cm="1">
        <f t="array" ref="P174">IFERROR(
_xlfn.LET(
_xlpm.res,_xlfn.XLOOKUP(B174,'LOCALIZAÇÃO DE CARGA'!$A$2:$A$702,'LOCALIZAÇÃO DE CARGA'!$T$2:$T$702),
IF(_xlpm.res="","",_xlpm.res)
),
""
)</f>
        <v/>
      </c>
      <c r="Q174" s="5" t="str">
        <f>IFERROR(
IF(
_xlfn.XLOOKUP(
B174,
'LOCALIZAÇÃO DE CARGA'!$A$2:$A$702,
'LOCALIZAÇÃO DE CARGA'!$K$2:$K$702
)="",
"",
_xlfn.XLOOKUP(
B174,
'LOCALIZAÇÃO DE CARGA'!$A$2:$A$702,
'LOCALIZAÇÃO DE CARGA'!$K$2:$K$702
)
),
""
)</f>
        <v/>
      </c>
      <c r="R174" s="5" t="str">
        <f t="shared" si="8"/>
        <v/>
      </c>
      <c r="S174" s="5" t="str" cm="1">
        <f t="array" ref="S174">IF(B174="","",IFERROR(
INDEX(
'VISÃO LOGISTICA'!$L$2:$L$525,
MATCH(
TRUE,
ISNUMBER(FIND(B174,'VISÃO LOGISTICA'!$A$2:$A$525)),
0
)
),
""
))</f>
        <v/>
      </c>
      <c r="T174" s="5" t="str" cm="1">
        <f t="array" ref="T174">IFERROR(
_xlfn.LET(
_xlpm.res,_xlfn.XLOOKUP(B174,'LOCALIZAÇÃO DE CARGA'!$A$2:$A$702,'LOCALIZAÇÃO DE CARGA'!$R$2:$R$702),
IF(_xlpm.res="","",SUBSTITUTE(_xlpm.res,"/BRASIL",""))
),
""
)</f>
        <v/>
      </c>
    </row>
    <row r="175" spans="1:20">
      <c r="A175" s="14" t="str">
        <f t="shared" si="6"/>
        <v/>
      </c>
      <c r="B175" s="5"/>
      <c r="C175" s="45" t="str">
        <f t="shared" ca="1" si="7"/>
        <v/>
      </c>
      <c r="D175" s="28"/>
      <c r="E175" s="28" t="str">
        <f>IFERROR(
IF(
_xlfn.XLOOKUP(
B175,
'LOCALIZAÇÃO DE CARGA'!$A$2:$A$702,
'LOCALIZAÇÃO DE CARGA'!$D$2:$D$702
)="",
"",
_xlfn.XLOOKUP(
B175,
'LOCALIZAÇÃO DE CARGA'!$A$2:$A$702,
'LOCALIZAÇÃO DE CARGA'!$D$2:$D$702
)
),
""
)</f>
        <v/>
      </c>
      <c r="F175" s="13" t="str">
        <f>IFERROR(
IF(
_xlfn.XLOOKUP(
B175,
'LOCALIZAÇÃO DE CARGA'!$A$2:$A$702,
'LOCALIZAÇÃO DE CARGA'!$H$2:$H$702
)="",
"",
_xlfn.XLOOKUP(
B175,
'LOCALIZAÇÃO DE CARGA'!$A$2:$A$702,
'LOCALIZAÇÃO DE CARGA'!$H$2:$H$702
)
),
""
)</f>
        <v/>
      </c>
      <c r="G175" s="5" t="str">
        <f>IFERROR(
IF(
_xlfn.XLOOKUP(
B175,
'LOCALIZAÇÃO DE CARGA'!$A$2:$A$702,
'LOCALIZAÇÃO DE CARGA'!$I$2:$I$702
)="",
"",
_xlfn.XLOOKUP(
B175,
'LOCALIZAÇÃO DE CARGA'!$A$2:$A$702,
'LOCALIZAÇÃO DE CARGA'!$I$2:$I$702
)
),
""
)</f>
        <v/>
      </c>
      <c r="H175" s="5" t="str">
        <f>IFERROR(
IF(
_xlfn.XLOOKUP(
B175,
'LOCALIZAÇÃO DE CARGA'!$A$2:$A$702,
'LOCALIZAÇÃO DE CARGA'!$F$2:$F$702
)="",
"",
_xlfn.XLOOKUP(
B175,
'LOCALIZAÇÃO DE CARGA'!$A$2:$A$702,
'LOCALIZAÇÃO DE CARGA'!$F$2:$F$702
)
),
""
)</f>
        <v/>
      </c>
      <c r="I175" s="13" t="str" cm="1">
        <f t="array" ref="I175">IFERROR(
IF(
INDEX(
'VISÃO LOGISTICA'!$C$2:$C$525,
MATCH(
TRUE,
ISNUMBER(FIND(B175,'VISÃO LOGISTICA'!$A$2:$A$525)),
0
)
)="Em espera",
"",
INDEX(
'VISÃO LOGISTICA'!$C$2:$C$525,
MATCH(
TRUE,
ISNUMBER(FIND(B175,'VISÃO LOGISTICA'!$A$2:$A$525)),
0
)
)
),
""
)</f>
        <v>Em Viagem</v>
      </c>
      <c r="J175" s="5" t="str" cm="1">
        <f t="array" ref="J175">IFERROR(
IF(
OR(
INDEX(
'VISÃO LOGISTICA'!$C$2:$C$2000,
MATCH(
TRUE,
ISNUMBER(FIND(B175,'VISÃO LOGISTICA'!$A$2:$A$2000)),
0
)
)="Em espera",
INDEX(
'VISÃO LOGISTICA'!$C$2:$C$2000,
MATCH(
TRUE,
ISNUMBER(FIND(B175,'VISÃO LOGISTICA'!$A$2:$A$2000)),
0
)
)=""
),
"",
INDEX(
'VISÃO LOGISTICA'!$D$2:$D$2000,
MATCH(
TRUE,
ISNUMBER(FIND(B175,'VISÃO LOGISTICA'!$A$2:$A$2000)),
0
)
)
),
""
)</f>
        <v>BCU5G84</v>
      </c>
      <c r="K175" s="10" t="str">
        <f>IFERROR(
IF(
_xlfn.XLOOKUP(
B175,
'LOCALIZAÇÃO DE CARGA'!$A$2:$A$702,
'LOCALIZAÇÃO DE CARGA'!$E$2:$E$702)="",
"",
_xlfn.XLOOKUP(
B175,
'LOCALIZAÇÃO DE CARGA'!$A$2:$A$702,
'LOCALIZAÇÃO DE CARGA'!$E$2:$E$702)
),
""
)</f>
        <v/>
      </c>
      <c r="L175" s="20" t="str" cm="1">
        <f t="array" ref="L175">IFERROR(
_xlfn.LET(
_xlpm.res,_xlfn.XLOOKUP(B175,'LOCALIZAÇÃO DE CARGA'!$A$2:$A$2000,'LOCALIZAÇÃO DE CARGA'!$G$2:$G$2000),
IF(_xlpm.res="","",_xlpm.res)
),
""
)</f>
        <v/>
      </c>
      <c r="M175" s="20" t="str" cm="1">
        <f t="array" ref="M175">IFERROR(
_xlfn.LET(
_xlpm.load,_xlfn.XLOOKUP(B175,'LOCALIZAÇÃO DE CARGA'!$A$2:$A$2000,'LOCALIZAÇÃO DE CARGA'!$A$2:$A$2000),
_xlpm.res,_xlfn.XLOOKUP(_xlpm.load,DOCUMENTOS!$A$2:$A$2000,DOCUMENTOS!$D$2:$D$2000),
IF(_xlpm.res="","",_xlpm.res)
),
""
)</f>
        <v/>
      </c>
      <c r="N175" s="6" t="str">
        <f>IFERROR(IF(M175="","",M175-TIME(1,0,0)),"")</f>
        <v/>
      </c>
      <c r="O175" s="6" t="str" cm="1">
        <f t="array" ref="O175">IFERROR(
_xlfn.LET(
_xlpm.res,_xlfn.XLOOKUP(B175,'LOCALIZAÇÃO DE CARGA'!$A$2:$A$2000,'LOCALIZAÇÃO DE CARGA'!$S$2:$S$2000),
IF(_xlpm.res="","",_xlpm.res)
),
""
)</f>
        <v/>
      </c>
      <c r="P175" s="6" t="str" cm="1">
        <f t="array" ref="P175">IFERROR(
_xlfn.LET(
_xlpm.res,_xlfn.XLOOKUP(B175,'LOCALIZAÇÃO DE CARGA'!$A$2:$A$702,'LOCALIZAÇÃO DE CARGA'!$T$2:$T$702),
IF(_xlpm.res="","",_xlpm.res)
),
""
)</f>
        <v/>
      </c>
      <c r="Q175" s="5" t="str">
        <f>IFERROR(
IF(
_xlfn.XLOOKUP(
B175,
'LOCALIZAÇÃO DE CARGA'!$A$2:$A$702,
'LOCALIZAÇÃO DE CARGA'!$K$2:$K$702
)="",
"",
_xlfn.XLOOKUP(
B175,
'LOCALIZAÇÃO DE CARGA'!$A$2:$A$702,
'LOCALIZAÇÃO DE CARGA'!$K$2:$K$702
)
),
""
)</f>
        <v/>
      </c>
      <c r="R175" s="5" t="str">
        <f t="shared" si="8"/>
        <v/>
      </c>
      <c r="S175" s="5" t="str" cm="1">
        <f t="array" ref="S175">IF(B175="","",IFERROR(
INDEX(
'VISÃO LOGISTICA'!$L$2:$L$525,
MATCH(
TRUE,
ISNUMBER(FIND(B175,'VISÃO LOGISTICA'!$A$2:$A$525)),
0
)
),
""
))</f>
        <v/>
      </c>
      <c r="T175" s="5" t="str" cm="1">
        <f t="array" ref="T175">IFERROR(
_xlfn.LET(
_xlpm.res,_xlfn.XLOOKUP(B175,'LOCALIZAÇÃO DE CARGA'!$A$2:$A$702,'LOCALIZAÇÃO DE CARGA'!$R$2:$R$702),
IF(_xlpm.res="","",SUBSTITUTE(_xlpm.res,"/BRASIL",""))
),
""
)</f>
        <v/>
      </c>
    </row>
    <row r="176" spans="1:20">
      <c r="A176" s="14" t="str">
        <f t="shared" si="6"/>
        <v/>
      </c>
      <c r="B176" s="5"/>
      <c r="C176" s="45" t="str">
        <f t="shared" ca="1" si="7"/>
        <v/>
      </c>
      <c r="D176" s="28"/>
      <c r="E176" s="28" t="str">
        <f>IFERROR(
IF(
_xlfn.XLOOKUP(
B176,
'LOCALIZAÇÃO DE CARGA'!$A$2:$A$702,
'LOCALIZAÇÃO DE CARGA'!$D$2:$D$702
)="",
"",
_xlfn.XLOOKUP(
B176,
'LOCALIZAÇÃO DE CARGA'!$A$2:$A$702,
'LOCALIZAÇÃO DE CARGA'!$D$2:$D$702
)
),
""
)</f>
        <v/>
      </c>
      <c r="F176" s="13" t="str">
        <f>IFERROR(
IF(
_xlfn.XLOOKUP(
B176,
'LOCALIZAÇÃO DE CARGA'!$A$2:$A$702,
'LOCALIZAÇÃO DE CARGA'!$H$2:$H$702
)="",
"",
_xlfn.XLOOKUP(
B176,
'LOCALIZAÇÃO DE CARGA'!$A$2:$A$702,
'LOCALIZAÇÃO DE CARGA'!$H$2:$H$702
)
),
""
)</f>
        <v/>
      </c>
      <c r="G176" s="5" t="str">
        <f>IFERROR(
IF(
_xlfn.XLOOKUP(
B176,
'LOCALIZAÇÃO DE CARGA'!$A$2:$A$702,
'LOCALIZAÇÃO DE CARGA'!$I$2:$I$702
)="",
"",
_xlfn.XLOOKUP(
B176,
'LOCALIZAÇÃO DE CARGA'!$A$2:$A$702,
'LOCALIZAÇÃO DE CARGA'!$I$2:$I$702
)
),
""
)</f>
        <v/>
      </c>
      <c r="H176" s="5" t="str">
        <f>IFERROR(
IF(
_xlfn.XLOOKUP(
B176,
'LOCALIZAÇÃO DE CARGA'!$A$2:$A$702,
'LOCALIZAÇÃO DE CARGA'!$F$2:$F$702
)="",
"",
_xlfn.XLOOKUP(
B176,
'LOCALIZAÇÃO DE CARGA'!$A$2:$A$702,
'LOCALIZAÇÃO DE CARGA'!$F$2:$F$702
)
),
""
)</f>
        <v/>
      </c>
      <c r="I176" s="13" t="str" cm="1">
        <f t="array" ref="I176">IFERROR(
IF(
INDEX(
'VISÃO LOGISTICA'!$C$2:$C$525,
MATCH(
TRUE,
ISNUMBER(FIND(B176,'VISÃO LOGISTICA'!$A$2:$A$525)),
0
)
)="Em espera",
"",
INDEX(
'VISÃO LOGISTICA'!$C$2:$C$525,
MATCH(
TRUE,
ISNUMBER(FIND(B176,'VISÃO LOGISTICA'!$A$2:$A$525)),
0
)
)
),
""
)</f>
        <v>Em Viagem</v>
      </c>
      <c r="J176" s="5" t="str" cm="1">
        <f t="array" ref="J176">IFERROR(
IF(
OR(
INDEX(
'VISÃO LOGISTICA'!$C$2:$C$2000,
MATCH(
TRUE,
ISNUMBER(FIND(B176,'VISÃO LOGISTICA'!$A$2:$A$2000)),
0
)
)="Em espera",
INDEX(
'VISÃO LOGISTICA'!$C$2:$C$2000,
MATCH(
TRUE,
ISNUMBER(FIND(B176,'VISÃO LOGISTICA'!$A$2:$A$2000)),
0
)
)=""
),
"",
INDEX(
'VISÃO LOGISTICA'!$D$2:$D$2000,
MATCH(
TRUE,
ISNUMBER(FIND(B176,'VISÃO LOGISTICA'!$A$2:$A$2000)),
0
)
)
),
""
)</f>
        <v>BCU5G84</v>
      </c>
      <c r="K176" s="10" t="str">
        <f>IFERROR(
IF(
_xlfn.XLOOKUP(
B176,
'LOCALIZAÇÃO DE CARGA'!$A$2:$A$702,
'LOCALIZAÇÃO DE CARGA'!$E$2:$E$702)="",
"",
_xlfn.XLOOKUP(
B176,
'LOCALIZAÇÃO DE CARGA'!$A$2:$A$702,
'LOCALIZAÇÃO DE CARGA'!$E$2:$E$702)
),
""
)</f>
        <v/>
      </c>
      <c r="L176" s="20" t="str" cm="1">
        <f t="array" ref="L176">IFERROR(
_xlfn.LET(
_xlpm.res,_xlfn.XLOOKUP(B176,'LOCALIZAÇÃO DE CARGA'!$A$2:$A$2000,'LOCALIZAÇÃO DE CARGA'!$G$2:$G$2000),
IF(_xlpm.res="","",_xlpm.res)
),
""
)</f>
        <v/>
      </c>
      <c r="M176" s="20" t="str" cm="1">
        <f t="array" ref="M176">IFERROR(
_xlfn.LET(
_xlpm.load,_xlfn.XLOOKUP(B176,'LOCALIZAÇÃO DE CARGA'!$A$2:$A$2000,'LOCALIZAÇÃO DE CARGA'!$A$2:$A$2000),
_xlpm.res,_xlfn.XLOOKUP(_xlpm.load,DOCUMENTOS!$A$2:$A$2000,DOCUMENTOS!$D$2:$D$2000),
IF(_xlpm.res="","",_xlpm.res)
),
""
)</f>
        <v/>
      </c>
      <c r="N176" s="6" t="str">
        <f>IFERROR(IF(M176="","",M176-TIME(1,0,0)),"")</f>
        <v/>
      </c>
      <c r="O176" s="6" t="str" cm="1">
        <f t="array" ref="O176">IFERROR(
_xlfn.LET(
_xlpm.res,_xlfn.XLOOKUP(B176,'LOCALIZAÇÃO DE CARGA'!$A$2:$A$2000,'LOCALIZAÇÃO DE CARGA'!$S$2:$S$2000),
IF(_xlpm.res="","",_xlpm.res)
),
""
)</f>
        <v/>
      </c>
      <c r="P176" s="6" t="str" cm="1">
        <f t="array" ref="P176">IFERROR(
_xlfn.LET(
_xlpm.res,_xlfn.XLOOKUP(B176,'LOCALIZAÇÃO DE CARGA'!$A$2:$A$702,'LOCALIZAÇÃO DE CARGA'!$T$2:$T$702),
IF(_xlpm.res="","",_xlpm.res)
),
""
)</f>
        <v/>
      </c>
      <c r="Q176" s="5" t="str">
        <f>IFERROR(
IF(
_xlfn.XLOOKUP(
B176,
'LOCALIZAÇÃO DE CARGA'!$A$2:$A$702,
'LOCALIZAÇÃO DE CARGA'!$K$2:$K$702
)="",
"",
_xlfn.XLOOKUP(
B176,
'LOCALIZAÇÃO DE CARGA'!$A$2:$A$702,
'LOCALIZAÇÃO DE CARGA'!$K$2:$K$702
)
),
""
)</f>
        <v/>
      </c>
      <c r="R176" s="5" t="str">
        <f t="shared" si="8"/>
        <v/>
      </c>
      <c r="S176" s="5" t="str" cm="1">
        <f t="array" ref="S176">IF(B176="","",IFERROR(
INDEX(
'VISÃO LOGISTICA'!$L$2:$L$525,
MATCH(
TRUE,
ISNUMBER(FIND(B176,'VISÃO LOGISTICA'!$A$2:$A$525)),
0
)
),
""
))</f>
        <v/>
      </c>
      <c r="T176" s="5" t="str" cm="1">
        <f t="array" ref="T176">IFERROR(
_xlfn.LET(
_xlpm.res,_xlfn.XLOOKUP(B176,'LOCALIZAÇÃO DE CARGA'!$A$2:$A$702,'LOCALIZAÇÃO DE CARGA'!$R$2:$R$702),
IF(_xlpm.res="","",SUBSTITUTE(_xlpm.res,"/BRASIL",""))
),
""
)</f>
        <v/>
      </c>
    </row>
    <row r="177" spans="1:20">
      <c r="A177" s="14" t="str">
        <f t="shared" si="6"/>
        <v/>
      </c>
      <c r="B177" s="5"/>
      <c r="C177" s="45" t="str">
        <f t="shared" ca="1" si="7"/>
        <v/>
      </c>
      <c r="D177" s="28"/>
      <c r="E177" s="28" t="str">
        <f>IFERROR(
IF(
_xlfn.XLOOKUP(
B177,
'LOCALIZAÇÃO DE CARGA'!$A$2:$A$702,
'LOCALIZAÇÃO DE CARGA'!$D$2:$D$702
)="",
"",
_xlfn.XLOOKUP(
B177,
'LOCALIZAÇÃO DE CARGA'!$A$2:$A$702,
'LOCALIZAÇÃO DE CARGA'!$D$2:$D$702
)
),
""
)</f>
        <v/>
      </c>
      <c r="F177" s="13" t="str">
        <f>IFERROR(
IF(
_xlfn.XLOOKUP(
B177,
'LOCALIZAÇÃO DE CARGA'!$A$2:$A$702,
'LOCALIZAÇÃO DE CARGA'!$H$2:$H$702
)="",
"",
_xlfn.XLOOKUP(
B177,
'LOCALIZAÇÃO DE CARGA'!$A$2:$A$702,
'LOCALIZAÇÃO DE CARGA'!$H$2:$H$702
)
),
""
)</f>
        <v/>
      </c>
      <c r="G177" s="5" t="str">
        <f>IFERROR(
IF(
_xlfn.XLOOKUP(
B177,
'LOCALIZAÇÃO DE CARGA'!$A$2:$A$702,
'LOCALIZAÇÃO DE CARGA'!$I$2:$I$702
)="",
"",
_xlfn.XLOOKUP(
B177,
'LOCALIZAÇÃO DE CARGA'!$A$2:$A$702,
'LOCALIZAÇÃO DE CARGA'!$I$2:$I$702
)
),
""
)</f>
        <v/>
      </c>
      <c r="H177" s="5" t="str">
        <f>IFERROR(
IF(
_xlfn.XLOOKUP(
B177,
'LOCALIZAÇÃO DE CARGA'!$A$2:$A$702,
'LOCALIZAÇÃO DE CARGA'!$F$2:$F$702
)="",
"",
_xlfn.XLOOKUP(
B177,
'LOCALIZAÇÃO DE CARGA'!$A$2:$A$702,
'LOCALIZAÇÃO DE CARGA'!$F$2:$F$702
)
),
""
)</f>
        <v/>
      </c>
      <c r="I177" s="13" t="str" cm="1">
        <f t="array" ref="I177">IFERROR(
IF(
INDEX(
'VISÃO LOGISTICA'!$C$2:$C$525,
MATCH(
TRUE,
ISNUMBER(FIND(B177,'VISÃO LOGISTICA'!$A$2:$A$525)),
0
)
)="Em espera",
"",
INDEX(
'VISÃO LOGISTICA'!$C$2:$C$525,
MATCH(
TRUE,
ISNUMBER(FIND(B177,'VISÃO LOGISTICA'!$A$2:$A$525)),
0
)
)
),
""
)</f>
        <v>Em Viagem</v>
      </c>
      <c r="J177" s="5" t="str" cm="1">
        <f t="array" ref="J177">IFERROR(
IF(
OR(
INDEX(
'VISÃO LOGISTICA'!$C$2:$C$2000,
MATCH(
TRUE,
ISNUMBER(FIND(B177,'VISÃO LOGISTICA'!$A$2:$A$2000)),
0
)
)="Em espera",
INDEX(
'VISÃO LOGISTICA'!$C$2:$C$2000,
MATCH(
TRUE,
ISNUMBER(FIND(B177,'VISÃO LOGISTICA'!$A$2:$A$2000)),
0
)
)=""
),
"",
INDEX(
'VISÃO LOGISTICA'!$D$2:$D$2000,
MATCH(
TRUE,
ISNUMBER(FIND(B177,'VISÃO LOGISTICA'!$A$2:$A$2000)),
0
)
)
),
""
)</f>
        <v>BCU5G84</v>
      </c>
      <c r="K177" s="10" t="str">
        <f>IFERROR(
IF(
_xlfn.XLOOKUP(
B177,
'LOCALIZAÇÃO DE CARGA'!$A$2:$A$702,
'LOCALIZAÇÃO DE CARGA'!$E$2:$E$702)="",
"",
_xlfn.XLOOKUP(
B177,
'LOCALIZAÇÃO DE CARGA'!$A$2:$A$702,
'LOCALIZAÇÃO DE CARGA'!$E$2:$E$702)
),
""
)</f>
        <v/>
      </c>
      <c r="L177" s="20" t="str" cm="1">
        <f t="array" ref="L177">IFERROR(
_xlfn.LET(
_xlpm.res,_xlfn.XLOOKUP(B177,'LOCALIZAÇÃO DE CARGA'!$A$2:$A$2000,'LOCALIZAÇÃO DE CARGA'!$G$2:$G$2000),
IF(_xlpm.res="","",_xlpm.res)
),
""
)</f>
        <v/>
      </c>
      <c r="M177" s="20" t="str" cm="1">
        <f t="array" ref="M177">IFERROR(
_xlfn.LET(
_xlpm.load,_xlfn.XLOOKUP(B177,'LOCALIZAÇÃO DE CARGA'!$A$2:$A$2000,'LOCALIZAÇÃO DE CARGA'!$A$2:$A$2000),
_xlpm.res,_xlfn.XLOOKUP(_xlpm.load,DOCUMENTOS!$A$2:$A$2000,DOCUMENTOS!$D$2:$D$2000),
IF(_xlpm.res="","",_xlpm.res)
),
""
)</f>
        <v/>
      </c>
      <c r="N177" s="6" t="str">
        <f>IFERROR(IF(M177="","",M177-TIME(1,0,0)),"")</f>
        <v/>
      </c>
      <c r="O177" s="6" t="str" cm="1">
        <f t="array" ref="O177">IFERROR(
_xlfn.LET(
_xlpm.res,_xlfn.XLOOKUP(B177,'LOCALIZAÇÃO DE CARGA'!$A$2:$A$2000,'LOCALIZAÇÃO DE CARGA'!$S$2:$S$2000),
IF(_xlpm.res="","",_xlpm.res)
),
""
)</f>
        <v/>
      </c>
      <c r="P177" s="6" t="str" cm="1">
        <f t="array" ref="P177">IFERROR(
_xlfn.LET(
_xlpm.res,_xlfn.XLOOKUP(B177,'LOCALIZAÇÃO DE CARGA'!$A$2:$A$702,'LOCALIZAÇÃO DE CARGA'!$T$2:$T$702),
IF(_xlpm.res="","",_xlpm.res)
),
""
)</f>
        <v/>
      </c>
      <c r="Q177" s="5" t="str">
        <f>IFERROR(
IF(
_xlfn.XLOOKUP(
B177,
'LOCALIZAÇÃO DE CARGA'!$A$2:$A$702,
'LOCALIZAÇÃO DE CARGA'!$K$2:$K$702
)="",
"",
_xlfn.XLOOKUP(
B177,
'LOCALIZAÇÃO DE CARGA'!$A$2:$A$702,
'LOCALIZAÇÃO DE CARGA'!$K$2:$K$702
)
),
""
)</f>
        <v/>
      </c>
      <c r="R177" s="5" t="str">
        <f t="shared" si="8"/>
        <v/>
      </c>
      <c r="S177" s="5" t="str" cm="1">
        <f t="array" ref="S177">IF(B177="","",IFERROR(
INDEX(
'VISÃO LOGISTICA'!$L$2:$L$525,
MATCH(
TRUE,
ISNUMBER(FIND(B177,'VISÃO LOGISTICA'!$A$2:$A$525)),
0
)
),
""
))</f>
        <v/>
      </c>
      <c r="T177" s="5" t="str" cm="1">
        <f t="array" ref="T177">IFERROR(
_xlfn.LET(
_xlpm.res,_xlfn.XLOOKUP(B177,'LOCALIZAÇÃO DE CARGA'!$A$2:$A$702,'LOCALIZAÇÃO DE CARGA'!$R$2:$R$702),
IF(_xlpm.res="","",SUBSTITUTE(_xlpm.res,"/BRASIL",""))
),
""
)</f>
        <v/>
      </c>
    </row>
    <row r="178" spans="1:20">
      <c r="A178" s="14" t="str">
        <f t="shared" si="6"/>
        <v/>
      </c>
      <c r="B178" s="5"/>
      <c r="C178" s="45" t="str">
        <f t="shared" ca="1" si="7"/>
        <v/>
      </c>
      <c r="D178" s="28"/>
      <c r="E178" s="28" t="str">
        <f>IFERROR(
IF(
_xlfn.XLOOKUP(
B178,
'LOCALIZAÇÃO DE CARGA'!$A$2:$A$702,
'LOCALIZAÇÃO DE CARGA'!$D$2:$D$702
)="",
"",
_xlfn.XLOOKUP(
B178,
'LOCALIZAÇÃO DE CARGA'!$A$2:$A$702,
'LOCALIZAÇÃO DE CARGA'!$D$2:$D$702
)
),
""
)</f>
        <v/>
      </c>
      <c r="F178" s="13" t="str">
        <f>IFERROR(
IF(
_xlfn.XLOOKUP(
B178,
'LOCALIZAÇÃO DE CARGA'!$A$2:$A$702,
'LOCALIZAÇÃO DE CARGA'!$H$2:$H$702
)="",
"",
_xlfn.XLOOKUP(
B178,
'LOCALIZAÇÃO DE CARGA'!$A$2:$A$702,
'LOCALIZAÇÃO DE CARGA'!$H$2:$H$702
)
),
""
)</f>
        <v/>
      </c>
      <c r="G178" s="5" t="str">
        <f>IFERROR(
IF(
_xlfn.XLOOKUP(
B178,
'LOCALIZAÇÃO DE CARGA'!$A$2:$A$702,
'LOCALIZAÇÃO DE CARGA'!$I$2:$I$702
)="",
"",
_xlfn.XLOOKUP(
B178,
'LOCALIZAÇÃO DE CARGA'!$A$2:$A$702,
'LOCALIZAÇÃO DE CARGA'!$I$2:$I$702
)
),
""
)</f>
        <v/>
      </c>
      <c r="H178" s="5" t="str">
        <f>IFERROR(
IF(
_xlfn.XLOOKUP(
B178,
'LOCALIZAÇÃO DE CARGA'!$A$2:$A$702,
'LOCALIZAÇÃO DE CARGA'!$F$2:$F$702
)="",
"",
_xlfn.XLOOKUP(
B178,
'LOCALIZAÇÃO DE CARGA'!$A$2:$A$702,
'LOCALIZAÇÃO DE CARGA'!$F$2:$F$702
)
),
""
)</f>
        <v/>
      </c>
      <c r="I178" s="13" t="str" cm="1">
        <f t="array" ref="I178">IFERROR(
IF(
INDEX(
'VISÃO LOGISTICA'!$C$2:$C$525,
MATCH(
TRUE,
ISNUMBER(FIND(B178,'VISÃO LOGISTICA'!$A$2:$A$525)),
0
)
)="Em espera",
"",
INDEX(
'VISÃO LOGISTICA'!$C$2:$C$525,
MATCH(
TRUE,
ISNUMBER(FIND(B178,'VISÃO LOGISTICA'!$A$2:$A$525)),
0
)
)
),
""
)</f>
        <v>Em Viagem</v>
      </c>
      <c r="J178" s="5" t="str" cm="1">
        <f t="array" ref="J178">IFERROR(
IF(
OR(
INDEX(
'VISÃO LOGISTICA'!$C$2:$C$2000,
MATCH(
TRUE,
ISNUMBER(FIND(B178,'VISÃO LOGISTICA'!$A$2:$A$2000)),
0
)
)="Em espera",
INDEX(
'VISÃO LOGISTICA'!$C$2:$C$2000,
MATCH(
TRUE,
ISNUMBER(FIND(B178,'VISÃO LOGISTICA'!$A$2:$A$2000)),
0
)
)=""
),
"",
INDEX(
'VISÃO LOGISTICA'!$D$2:$D$2000,
MATCH(
TRUE,
ISNUMBER(FIND(B178,'VISÃO LOGISTICA'!$A$2:$A$2000)),
0
)
)
),
""
)</f>
        <v>BCU5G84</v>
      </c>
      <c r="K178" s="10" t="str">
        <f>IFERROR(
IF(
_xlfn.XLOOKUP(
B178,
'LOCALIZAÇÃO DE CARGA'!$A$2:$A$702,
'LOCALIZAÇÃO DE CARGA'!$E$2:$E$702)="",
"",
_xlfn.XLOOKUP(
B178,
'LOCALIZAÇÃO DE CARGA'!$A$2:$A$702,
'LOCALIZAÇÃO DE CARGA'!$E$2:$E$702)
),
""
)</f>
        <v/>
      </c>
      <c r="L178" s="20" t="str" cm="1">
        <f t="array" ref="L178">IFERROR(
_xlfn.LET(
_xlpm.res,_xlfn.XLOOKUP(B178,'LOCALIZAÇÃO DE CARGA'!$A$2:$A$2000,'LOCALIZAÇÃO DE CARGA'!$G$2:$G$2000),
IF(_xlpm.res="","",_xlpm.res)
),
""
)</f>
        <v/>
      </c>
      <c r="M178" s="20" t="str" cm="1">
        <f t="array" ref="M178">IFERROR(
_xlfn.LET(
_xlpm.load,_xlfn.XLOOKUP(B178,'LOCALIZAÇÃO DE CARGA'!$A$2:$A$2000,'LOCALIZAÇÃO DE CARGA'!$A$2:$A$2000),
_xlpm.res,_xlfn.XLOOKUP(_xlpm.load,DOCUMENTOS!$A$2:$A$2000,DOCUMENTOS!$D$2:$D$2000),
IF(_xlpm.res="","",_xlpm.res)
),
""
)</f>
        <v/>
      </c>
      <c r="N178" s="6" t="str">
        <f>IFERROR(IF(M178="","",M178-TIME(1,0,0)),"")</f>
        <v/>
      </c>
      <c r="O178" s="6" t="str" cm="1">
        <f t="array" ref="O178">IFERROR(
_xlfn.LET(
_xlpm.res,_xlfn.XLOOKUP(B178,'LOCALIZAÇÃO DE CARGA'!$A$2:$A$2000,'LOCALIZAÇÃO DE CARGA'!$S$2:$S$2000),
IF(_xlpm.res="","",_xlpm.res)
),
""
)</f>
        <v/>
      </c>
      <c r="P178" s="6" t="str" cm="1">
        <f t="array" ref="P178">IFERROR(
_xlfn.LET(
_xlpm.res,_xlfn.XLOOKUP(B178,'LOCALIZAÇÃO DE CARGA'!$A$2:$A$702,'LOCALIZAÇÃO DE CARGA'!$T$2:$T$702),
IF(_xlpm.res="","",_xlpm.res)
),
""
)</f>
        <v/>
      </c>
      <c r="Q178" s="5" t="str">
        <f>IFERROR(
IF(
_xlfn.XLOOKUP(
B178,
'LOCALIZAÇÃO DE CARGA'!$A$2:$A$702,
'LOCALIZAÇÃO DE CARGA'!$K$2:$K$702
)="",
"",
_xlfn.XLOOKUP(
B178,
'LOCALIZAÇÃO DE CARGA'!$A$2:$A$702,
'LOCALIZAÇÃO DE CARGA'!$K$2:$K$702
)
),
""
)</f>
        <v/>
      </c>
      <c r="R178" s="5" t="str">
        <f t="shared" si="8"/>
        <v/>
      </c>
      <c r="S178" s="5" t="str" cm="1">
        <f t="array" ref="S178">IF(B178="","",IFERROR(
INDEX(
'VISÃO LOGISTICA'!$L$2:$L$525,
MATCH(
TRUE,
ISNUMBER(FIND(B178,'VISÃO LOGISTICA'!$A$2:$A$525)),
0
)
),
""
))</f>
        <v/>
      </c>
      <c r="T178" s="5" t="str" cm="1">
        <f t="array" ref="T178">IFERROR(
_xlfn.LET(
_xlpm.res,_xlfn.XLOOKUP(B178,'LOCALIZAÇÃO DE CARGA'!$A$2:$A$702,'LOCALIZAÇÃO DE CARGA'!$R$2:$R$702),
IF(_xlpm.res="","",SUBSTITUTE(_xlpm.res,"/BRASIL",""))
),
""
)</f>
        <v/>
      </c>
    </row>
    <row r="179" spans="1:20">
      <c r="A179" s="14" t="str">
        <f t="shared" si="6"/>
        <v/>
      </c>
      <c r="B179" s="5"/>
      <c r="C179" s="45" t="str">
        <f t="shared" ca="1" si="7"/>
        <v/>
      </c>
      <c r="D179" s="28"/>
      <c r="E179" s="28" t="str">
        <f>IFERROR(
IF(
_xlfn.XLOOKUP(
B179,
'LOCALIZAÇÃO DE CARGA'!$A$2:$A$702,
'LOCALIZAÇÃO DE CARGA'!$D$2:$D$702
)="",
"",
_xlfn.XLOOKUP(
B179,
'LOCALIZAÇÃO DE CARGA'!$A$2:$A$702,
'LOCALIZAÇÃO DE CARGA'!$D$2:$D$702
)
),
""
)</f>
        <v/>
      </c>
      <c r="F179" s="13" t="str">
        <f>IFERROR(
IF(
_xlfn.XLOOKUP(
B179,
'LOCALIZAÇÃO DE CARGA'!$A$2:$A$702,
'LOCALIZAÇÃO DE CARGA'!$H$2:$H$702
)="",
"",
_xlfn.XLOOKUP(
B179,
'LOCALIZAÇÃO DE CARGA'!$A$2:$A$702,
'LOCALIZAÇÃO DE CARGA'!$H$2:$H$702
)
),
""
)</f>
        <v/>
      </c>
      <c r="G179" s="5" t="str">
        <f>IFERROR(
IF(
_xlfn.XLOOKUP(
B179,
'LOCALIZAÇÃO DE CARGA'!$A$2:$A$702,
'LOCALIZAÇÃO DE CARGA'!$I$2:$I$702
)="",
"",
_xlfn.XLOOKUP(
B179,
'LOCALIZAÇÃO DE CARGA'!$A$2:$A$702,
'LOCALIZAÇÃO DE CARGA'!$I$2:$I$702
)
),
""
)</f>
        <v/>
      </c>
      <c r="H179" s="5" t="str">
        <f>IFERROR(
IF(
_xlfn.XLOOKUP(
B179,
'LOCALIZAÇÃO DE CARGA'!$A$2:$A$702,
'LOCALIZAÇÃO DE CARGA'!$F$2:$F$702
)="",
"",
_xlfn.XLOOKUP(
B179,
'LOCALIZAÇÃO DE CARGA'!$A$2:$A$702,
'LOCALIZAÇÃO DE CARGA'!$F$2:$F$702
)
),
""
)</f>
        <v/>
      </c>
      <c r="I179" s="13" t="str" cm="1">
        <f t="array" ref="I179">IFERROR(
IF(
INDEX(
'VISÃO LOGISTICA'!$C$2:$C$525,
MATCH(
TRUE,
ISNUMBER(FIND(B179,'VISÃO LOGISTICA'!$A$2:$A$525)),
0
)
)="Em espera",
"",
INDEX(
'VISÃO LOGISTICA'!$C$2:$C$525,
MATCH(
TRUE,
ISNUMBER(FIND(B179,'VISÃO LOGISTICA'!$A$2:$A$525)),
0
)
)
),
""
)</f>
        <v>Em Viagem</v>
      </c>
      <c r="J179" s="5" t="str" cm="1">
        <f t="array" ref="J179">IFERROR(
IF(
OR(
INDEX(
'VISÃO LOGISTICA'!$C$2:$C$2000,
MATCH(
TRUE,
ISNUMBER(FIND(B179,'VISÃO LOGISTICA'!$A$2:$A$2000)),
0
)
)="Em espera",
INDEX(
'VISÃO LOGISTICA'!$C$2:$C$2000,
MATCH(
TRUE,
ISNUMBER(FIND(B179,'VISÃO LOGISTICA'!$A$2:$A$2000)),
0
)
)=""
),
"",
INDEX(
'VISÃO LOGISTICA'!$D$2:$D$2000,
MATCH(
TRUE,
ISNUMBER(FIND(B179,'VISÃO LOGISTICA'!$A$2:$A$2000)),
0
)
)
),
""
)</f>
        <v>BCU5G84</v>
      </c>
      <c r="K179" s="10" t="str">
        <f>IFERROR(
IF(
_xlfn.XLOOKUP(
B179,
'LOCALIZAÇÃO DE CARGA'!$A$2:$A$702,
'LOCALIZAÇÃO DE CARGA'!$E$2:$E$702)="",
"",
_xlfn.XLOOKUP(
B179,
'LOCALIZAÇÃO DE CARGA'!$A$2:$A$702,
'LOCALIZAÇÃO DE CARGA'!$E$2:$E$702)
),
""
)</f>
        <v/>
      </c>
      <c r="L179" s="20" t="str" cm="1">
        <f t="array" ref="L179">IFERROR(
_xlfn.LET(
_xlpm.res,_xlfn.XLOOKUP(B179,'LOCALIZAÇÃO DE CARGA'!$A$2:$A$2000,'LOCALIZAÇÃO DE CARGA'!$G$2:$G$2000),
IF(_xlpm.res="","",_xlpm.res)
),
""
)</f>
        <v/>
      </c>
      <c r="M179" s="20" t="str" cm="1">
        <f t="array" ref="M179">IFERROR(
_xlfn.LET(
_xlpm.load,_xlfn.XLOOKUP(B179,'LOCALIZAÇÃO DE CARGA'!$A$2:$A$2000,'LOCALIZAÇÃO DE CARGA'!$A$2:$A$2000),
_xlpm.res,_xlfn.XLOOKUP(_xlpm.load,DOCUMENTOS!$A$2:$A$2000,DOCUMENTOS!$D$2:$D$2000),
IF(_xlpm.res="","",_xlpm.res)
),
""
)</f>
        <v/>
      </c>
      <c r="N179" s="6" t="str">
        <f>IFERROR(IF(M179="","",M179-TIME(1,0,0)),"")</f>
        <v/>
      </c>
      <c r="O179" s="6" t="str" cm="1">
        <f t="array" ref="O179">IFERROR(
_xlfn.LET(
_xlpm.res,_xlfn.XLOOKUP(B179,'LOCALIZAÇÃO DE CARGA'!$A$2:$A$2000,'LOCALIZAÇÃO DE CARGA'!$S$2:$S$2000),
IF(_xlpm.res="","",_xlpm.res)
),
""
)</f>
        <v/>
      </c>
      <c r="P179" s="6" t="str" cm="1">
        <f t="array" ref="P179">IFERROR(
_xlfn.LET(
_xlpm.res,_xlfn.XLOOKUP(B179,'LOCALIZAÇÃO DE CARGA'!$A$2:$A$702,'LOCALIZAÇÃO DE CARGA'!$T$2:$T$702),
IF(_xlpm.res="","",_xlpm.res)
),
""
)</f>
        <v/>
      </c>
      <c r="Q179" s="5" t="str">
        <f>IFERROR(
IF(
_xlfn.XLOOKUP(
B179,
'LOCALIZAÇÃO DE CARGA'!$A$2:$A$702,
'LOCALIZAÇÃO DE CARGA'!$K$2:$K$702
)="",
"",
_xlfn.XLOOKUP(
B179,
'LOCALIZAÇÃO DE CARGA'!$A$2:$A$702,
'LOCALIZAÇÃO DE CARGA'!$K$2:$K$702
)
),
""
)</f>
        <v/>
      </c>
      <c r="R179" s="5" t="str">
        <f t="shared" si="8"/>
        <v/>
      </c>
      <c r="S179" s="5" t="str" cm="1">
        <f t="array" ref="S179">IF(B179="","",IFERROR(
INDEX(
'VISÃO LOGISTICA'!$L$2:$L$525,
MATCH(
TRUE,
ISNUMBER(FIND(B179,'VISÃO LOGISTICA'!$A$2:$A$525)),
0
)
),
""
))</f>
        <v/>
      </c>
      <c r="T179" s="5" t="str" cm="1">
        <f t="array" ref="T179">IFERROR(
_xlfn.LET(
_xlpm.res,_xlfn.XLOOKUP(B179,'LOCALIZAÇÃO DE CARGA'!$A$2:$A$702,'LOCALIZAÇÃO DE CARGA'!$R$2:$R$702),
IF(_xlpm.res="","",SUBSTITUTE(_xlpm.res,"/BRASIL",""))
),
""
)</f>
        <v/>
      </c>
    </row>
    <row r="180" spans="1:20">
      <c r="A180" s="14" t="str">
        <f t="shared" si="6"/>
        <v/>
      </c>
      <c r="B180" s="5"/>
      <c r="C180" s="45" t="str">
        <f t="shared" ca="1" si="7"/>
        <v/>
      </c>
      <c r="D180" s="28"/>
      <c r="E180" s="28" t="str">
        <f>IFERROR(
IF(
_xlfn.XLOOKUP(
B180,
'LOCALIZAÇÃO DE CARGA'!$A$2:$A$702,
'LOCALIZAÇÃO DE CARGA'!$D$2:$D$702
)="",
"",
_xlfn.XLOOKUP(
B180,
'LOCALIZAÇÃO DE CARGA'!$A$2:$A$702,
'LOCALIZAÇÃO DE CARGA'!$D$2:$D$702
)
),
""
)</f>
        <v/>
      </c>
      <c r="F180" s="13" t="str">
        <f>IFERROR(
IF(
_xlfn.XLOOKUP(
B180,
'LOCALIZAÇÃO DE CARGA'!$A$2:$A$702,
'LOCALIZAÇÃO DE CARGA'!$H$2:$H$702
)="",
"",
_xlfn.XLOOKUP(
B180,
'LOCALIZAÇÃO DE CARGA'!$A$2:$A$702,
'LOCALIZAÇÃO DE CARGA'!$H$2:$H$702
)
),
""
)</f>
        <v/>
      </c>
      <c r="G180" s="5" t="str">
        <f>IFERROR(
IF(
_xlfn.XLOOKUP(
B180,
'LOCALIZAÇÃO DE CARGA'!$A$2:$A$702,
'LOCALIZAÇÃO DE CARGA'!$I$2:$I$702
)="",
"",
_xlfn.XLOOKUP(
B180,
'LOCALIZAÇÃO DE CARGA'!$A$2:$A$702,
'LOCALIZAÇÃO DE CARGA'!$I$2:$I$702
)
),
""
)</f>
        <v/>
      </c>
      <c r="H180" s="5" t="str">
        <f>IFERROR(
IF(
_xlfn.XLOOKUP(
B180,
'LOCALIZAÇÃO DE CARGA'!$A$2:$A$702,
'LOCALIZAÇÃO DE CARGA'!$F$2:$F$702
)="",
"",
_xlfn.XLOOKUP(
B180,
'LOCALIZAÇÃO DE CARGA'!$A$2:$A$702,
'LOCALIZAÇÃO DE CARGA'!$F$2:$F$702
)
),
""
)</f>
        <v/>
      </c>
      <c r="I180" s="13" t="str" cm="1">
        <f t="array" ref="I180">IFERROR(
IF(
INDEX(
'VISÃO LOGISTICA'!$C$2:$C$525,
MATCH(
TRUE,
ISNUMBER(FIND(B180,'VISÃO LOGISTICA'!$A$2:$A$525)),
0
)
)="Em espera",
"",
INDEX(
'VISÃO LOGISTICA'!$C$2:$C$525,
MATCH(
TRUE,
ISNUMBER(FIND(B180,'VISÃO LOGISTICA'!$A$2:$A$525)),
0
)
)
),
""
)</f>
        <v>Em Viagem</v>
      </c>
      <c r="J180" s="5" t="str" cm="1">
        <f t="array" ref="J180">IFERROR(
IF(
OR(
INDEX(
'VISÃO LOGISTICA'!$C$2:$C$2000,
MATCH(
TRUE,
ISNUMBER(FIND(B180,'VISÃO LOGISTICA'!$A$2:$A$2000)),
0
)
)="Em espera",
INDEX(
'VISÃO LOGISTICA'!$C$2:$C$2000,
MATCH(
TRUE,
ISNUMBER(FIND(B180,'VISÃO LOGISTICA'!$A$2:$A$2000)),
0
)
)=""
),
"",
INDEX(
'VISÃO LOGISTICA'!$D$2:$D$2000,
MATCH(
TRUE,
ISNUMBER(FIND(B180,'VISÃO LOGISTICA'!$A$2:$A$2000)),
0
)
)
),
""
)</f>
        <v>BCU5G84</v>
      </c>
      <c r="K180" s="10" t="str">
        <f>IFERROR(
IF(
_xlfn.XLOOKUP(
B180,
'LOCALIZAÇÃO DE CARGA'!$A$2:$A$702,
'LOCALIZAÇÃO DE CARGA'!$E$2:$E$702)="",
"",
_xlfn.XLOOKUP(
B180,
'LOCALIZAÇÃO DE CARGA'!$A$2:$A$702,
'LOCALIZAÇÃO DE CARGA'!$E$2:$E$702)
),
""
)</f>
        <v/>
      </c>
      <c r="L180" s="20" t="str" cm="1">
        <f t="array" ref="L180">IFERROR(
_xlfn.LET(
_xlpm.res,_xlfn.XLOOKUP(B180,'LOCALIZAÇÃO DE CARGA'!$A$2:$A$2000,'LOCALIZAÇÃO DE CARGA'!$G$2:$G$2000),
IF(_xlpm.res="","",_xlpm.res)
),
""
)</f>
        <v/>
      </c>
      <c r="M180" s="20" t="str" cm="1">
        <f t="array" ref="M180">IFERROR(
_xlfn.LET(
_xlpm.load,_xlfn.XLOOKUP(B180,'LOCALIZAÇÃO DE CARGA'!$A$2:$A$2000,'LOCALIZAÇÃO DE CARGA'!$A$2:$A$2000),
_xlpm.res,_xlfn.XLOOKUP(_xlpm.load,DOCUMENTOS!$A$2:$A$2000,DOCUMENTOS!$D$2:$D$2000),
IF(_xlpm.res="","",_xlpm.res)
),
""
)</f>
        <v/>
      </c>
      <c r="N180" s="6" t="str">
        <f>IFERROR(IF(M180="","",M180-TIME(1,0,0)),"")</f>
        <v/>
      </c>
      <c r="O180" s="6" t="str" cm="1">
        <f t="array" ref="O180">IFERROR(
_xlfn.LET(
_xlpm.res,_xlfn.XLOOKUP(B180,'LOCALIZAÇÃO DE CARGA'!$A$2:$A$2000,'LOCALIZAÇÃO DE CARGA'!$S$2:$S$2000),
IF(_xlpm.res="","",_xlpm.res)
),
""
)</f>
        <v/>
      </c>
      <c r="P180" s="6" t="str" cm="1">
        <f t="array" ref="P180">IFERROR(
_xlfn.LET(
_xlpm.res,_xlfn.XLOOKUP(B180,'LOCALIZAÇÃO DE CARGA'!$A$2:$A$702,'LOCALIZAÇÃO DE CARGA'!$T$2:$T$702),
IF(_xlpm.res="","",_xlpm.res)
),
""
)</f>
        <v/>
      </c>
      <c r="Q180" s="5" t="str">
        <f>IFERROR(
IF(
_xlfn.XLOOKUP(
B180,
'LOCALIZAÇÃO DE CARGA'!$A$2:$A$702,
'LOCALIZAÇÃO DE CARGA'!$K$2:$K$702
)="",
"",
_xlfn.XLOOKUP(
B180,
'LOCALIZAÇÃO DE CARGA'!$A$2:$A$702,
'LOCALIZAÇÃO DE CARGA'!$K$2:$K$702
)
),
""
)</f>
        <v/>
      </c>
      <c r="R180" s="5" t="str">
        <f t="shared" si="8"/>
        <v/>
      </c>
      <c r="S180" s="5" t="str" cm="1">
        <f t="array" ref="S180">IF(B180="","",IFERROR(
INDEX(
'VISÃO LOGISTICA'!$L$2:$L$525,
MATCH(
TRUE,
ISNUMBER(FIND(B180,'VISÃO LOGISTICA'!$A$2:$A$525)),
0
)
),
""
))</f>
        <v/>
      </c>
      <c r="T180" s="5" t="str" cm="1">
        <f t="array" ref="T180">IFERROR(
_xlfn.LET(
_xlpm.res,_xlfn.XLOOKUP(B180,'LOCALIZAÇÃO DE CARGA'!$A$2:$A$702,'LOCALIZAÇÃO DE CARGA'!$R$2:$R$702),
IF(_xlpm.res="","",SUBSTITUTE(_xlpm.res,"/BRASIL",""))
),
""
)</f>
        <v/>
      </c>
    </row>
    <row r="181" spans="1:20">
      <c r="A181" s="14" t="str">
        <f t="shared" si="6"/>
        <v/>
      </c>
      <c r="B181" s="5"/>
      <c r="C181" s="45" t="str">
        <f t="shared" ca="1" si="7"/>
        <v/>
      </c>
      <c r="D181" s="28"/>
      <c r="E181" s="28" t="str">
        <f>IFERROR(
IF(
_xlfn.XLOOKUP(
B181,
'LOCALIZAÇÃO DE CARGA'!$A$2:$A$702,
'LOCALIZAÇÃO DE CARGA'!$D$2:$D$702
)="",
"",
_xlfn.XLOOKUP(
B181,
'LOCALIZAÇÃO DE CARGA'!$A$2:$A$702,
'LOCALIZAÇÃO DE CARGA'!$D$2:$D$702
)
),
""
)</f>
        <v/>
      </c>
      <c r="F181" s="13" t="str">
        <f>IFERROR(
IF(
_xlfn.XLOOKUP(
B181,
'LOCALIZAÇÃO DE CARGA'!$A$2:$A$702,
'LOCALIZAÇÃO DE CARGA'!$H$2:$H$702
)="",
"",
_xlfn.XLOOKUP(
B181,
'LOCALIZAÇÃO DE CARGA'!$A$2:$A$702,
'LOCALIZAÇÃO DE CARGA'!$H$2:$H$702
)
),
""
)</f>
        <v/>
      </c>
      <c r="G181" s="5" t="str">
        <f>IFERROR(
IF(
_xlfn.XLOOKUP(
B181,
'LOCALIZAÇÃO DE CARGA'!$A$2:$A$702,
'LOCALIZAÇÃO DE CARGA'!$I$2:$I$702
)="",
"",
_xlfn.XLOOKUP(
B181,
'LOCALIZAÇÃO DE CARGA'!$A$2:$A$702,
'LOCALIZAÇÃO DE CARGA'!$I$2:$I$702
)
),
""
)</f>
        <v/>
      </c>
      <c r="H181" s="5" t="str">
        <f>IFERROR(
IF(
_xlfn.XLOOKUP(
B181,
'LOCALIZAÇÃO DE CARGA'!$A$2:$A$702,
'LOCALIZAÇÃO DE CARGA'!$F$2:$F$702
)="",
"",
_xlfn.XLOOKUP(
B181,
'LOCALIZAÇÃO DE CARGA'!$A$2:$A$702,
'LOCALIZAÇÃO DE CARGA'!$F$2:$F$702
)
),
""
)</f>
        <v/>
      </c>
      <c r="I181" s="13" t="str" cm="1">
        <f t="array" ref="I181">IFERROR(
IF(
INDEX(
'VISÃO LOGISTICA'!$C$2:$C$525,
MATCH(
TRUE,
ISNUMBER(FIND(B181,'VISÃO LOGISTICA'!$A$2:$A$525)),
0
)
)="Em espera",
"",
INDEX(
'VISÃO LOGISTICA'!$C$2:$C$525,
MATCH(
TRUE,
ISNUMBER(FIND(B181,'VISÃO LOGISTICA'!$A$2:$A$525)),
0
)
)
),
""
)</f>
        <v>Em Viagem</v>
      </c>
      <c r="J181" s="5" t="str" cm="1">
        <f t="array" ref="J181">IFERROR(
IF(
OR(
INDEX(
'VISÃO LOGISTICA'!$C$2:$C$2000,
MATCH(
TRUE,
ISNUMBER(FIND(B181,'VISÃO LOGISTICA'!$A$2:$A$2000)),
0
)
)="Em espera",
INDEX(
'VISÃO LOGISTICA'!$C$2:$C$2000,
MATCH(
TRUE,
ISNUMBER(FIND(B181,'VISÃO LOGISTICA'!$A$2:$A$2000)),
0
)
)=""
),
"",
INDEX(
'VISÃO LOGISTICA'!$D$2:$D$2000,
MATCH(
TRUE,
ISNUMBER(FIND(B181,'VISÃO LOGISTICA'!$A$2:$A$2000)),
0
)
)
),
""
)</f>
        <v>BCU5G84</v>
      </c>
      <c r="K181" s="10" t="str">
        <f>IFERROR(
IF(
_xlfn.XLOOKUP(
B181,
'LOCALIZAÇÃO DE CARGA'!$A$2:$A$702,
'LOCALIZAÇÃO DE CARGA'!$E$2:$E$702)="",
"",
_xlfn.XLOOKUP(
B181,
'LOCALIZAÇÃO DE CARGA'!$A$2:$A$702,
'LOCALIZAÇÃO DE CARGA'!$E$2:$E$702)
),
""
)</f>
        <v/>
      </c>
      <c r="L181" s="20" t="str" cm="1">
        <f t="array" ref="L181">IFERROR(
_xlfn.LET(
_xlpm.res,_xlfn.XLOOKUP(B181,'LOCALIZAÇÃO DE CARGA'!$A$2:$A$2000,'LOCALIZAÇÃO DE CARGA'!$G$2:$G$2000),
IF(_xlpm.res="","",_xlpm.res)
),
""
)</f>
        <v/>
      </c>
      <c r="M181" s="20" t="str" cm="1">
        <f t="array" ref="M181">IFERROR(
_xlfn.LET(
_xlpm.load,_xlfn.XLOOKUP(B181,'LOCALIZAÇÃO DE CARGA'!$A$2:$A$2000,'LOCALIZAÇÃO DE CARGA'!$A$2:$A$2000),
_xlpm.res,_xlfn.XLOOKUP(_xlpm.load,DOCUMENTOS!$A$2:$A$2000,DOCUMENTOS!$D$2:$D$2000),
IF(_xlpm.res="","",_xlpm.res)
),
""
)</f>
        <v/>
      </c>
      <c r="N181" s="6" t="str">
        <f>IFERROR(IF(M181="","",M181-TIME(1,0,0)),"")</f>
        <v/>
      </c>
      <c r="O181" s="6" t="str" cm="1">
        <f t="array" ref="O181">IFERROR(
_xlfn.LET(
_xlpm.res,_xlfn.XLOOKUP(B181,'LOCALIZAÇÃO DE CARGA'!$A$2:$A$2000,'LOCALIZAÇÃO DE CARGA'!$S$2:$S$2000),
IF(_xlpm.res="","",_xlpm.res)
),
""
)</f>
        <v/>
      </c>
      <c r="P181" s="6" t="str" cm="1">
        <f t="array" ref="P181">IFERROR(
_xlfn.LET(
_xlpm.res,_xlfn.XLOOKUP(B181,'LOCALIZAÇÃO DE CARGA'!$A$2:$A$702,'LOCALIZAÇÃO DE CARGA'!$T$2:$T$702),
IF(_xlpm.res="","",_xlpm.res)
),
""
)</f>
        <v/>
      </c>
      <c r="Q181" s="5" t="str">
        <f>IFERROR(
IF(
_xlfn.XLOOKUP(
B181,
'LOCALIZAÇÃO DE CARGA'!$A$2:$A$702,
'LOCALIZAÇÃO DE CARGA'!$K$2:$K$702
)="",
"",
_xlfn.XLOOKUP(
B181,
'LOCALIZAÇÃO DE CARGA'!$A$2:$A$702,
'LOCALIZAÇÃO DE CARGA'!$K$2:$K$702
)
),
""
)</f>
        <v/>
      </c>
      <c r="R181" s="5" t="str">
        <f t="shared" si="8"/>
        <v/>
      </c>
      <c r="S181" s="5" t="str" cm="1">
        <f t="array" ref="S181">IF(B181="","",IFERROR(
INDEX(
'VISÃO LOGISTICA'!$L$2:$L$525,
MATCH(
TRUE,
ISNUMBER(FIND(B181,'VISÃO LOGISTICA'!$A$2:$A$525)),
0
)
),
""
))</f>
        <v/>
      </c>
      <c r="T181" s="5" t="str" cm="1">
        <f t="array" ref="T181">IFERROR(
_xlfn.LET(
_xlpm.res,_xlfn.XLOOKUP(B181,'LOCALIZAÇÃO DE CARGA'!$A$2:$A$702,'LOCALIZAÇÃO DE CARGA'!$R$2:$R$702),
IF(_xlpm.res="","",SUBSTITUTE(_xlpm.res,"/BRASIL",""))
),
""
)</f>
        <v/>
      </c>
    </row>
    <row r="182" spans="1:20">
      <c r="A182" s="14" t="str">
        <f t="shared" si="6"/>
        <v/>
      </c>
      <c r="B182" s="5"/>
      <c r="C182" s="45" t="str">
        <f t="shared" ca="1" si="7"/>
        <v/>
      </c>
      <c r="D182" s="28"/>
      <c r="E182" s="28" t="str">
        <f>IFERROR(
IF(
_xlfn.XLOOKUP(
B182,
'LOCALIZAÇÃO DE CARGA'!$A$2:$A$702,
'LOCALIZAÇÃO DE CARGA'!$D$2:$D$702
)="",
"",
_xlfn.XLOOKUP(
B182,
'LOCALIZAÇÃO DE CARGA'!$A$2:$A$702,
'LOCALIZAÇÃO DE CARGA'!$D$2:$D$702
)
),
""
)</f>
        <v/>
      </c>
      <c r="F182" s="13" t="str">
        <f>IFERROR(
IF(
_xlfn.XLOOKUP(
B182,
'LOCALIZAÇÃO DE CARGA'!$A$2:$A$702,
'LOCALIZAÇÃO DE CARGA'!$H$2:$H$702
)="",
"",
_xlfn.XLOOKUP(
B182,
'LOCALIZAÇÃO DE CARGA'!$A$2:$A$702,
'LOCALIZAÇÃO DE CARGA'!$H$2:$H$702
)
),
""
)</f>
        <v/>
      </c>
      <c r="G182" s="5" t="str">
        <f>IFERROR(
IF(
_xlfn.XLOOKUP(
B182,
'LOCALIZAÇÃO DE CARGA'!$A$2:$A$702,
'LOCALIZAÇÃO DE CARGA'!$I$2:$I$702
)="",
"",
_xlfn.XLOOKUP(
B182,
'LOCALIZAÇÃO DE CARGA'!$A$2:$A$702,
'LOCALIZAÇÃO DE CARGA'!$I$2:$I$702
)
),
""
)</f>
        <v/>
      </c>
      <c r="H182" s="5" t="str">
        <f>IFERROR(
IF(
_xlfn.XLOOKUP(
B182,
'LOCALIZAÇÃO DE CARGA'!$A$2:$A$702,
'LOCALIZAÇÃO DE CARGA'!$F$2:$F$702
)="",
"",
_xlfn.XLOOKUP(
B182,
'LOCALIZAÇÃO DE CARGA'!$A$2:$A$702,
'LOCALIZAÇÃO DE CARGA'!$F$2:$F$702
)
),
""
)</f>
        <v/>
      </c>
      <c r="I182" s="13" t="str" cm="1">
        <f t="array" ref="I182">IFERROR(
IF(
INDEX(
'VISÃO LOGISTICA'!$C$2:$C$525,
MATCH(
TRUE,
ISNUMBER(FIND(B182,'VISÃO LOGISTICA'!$A$2:$A$525)),
0
)
)="Em espera",
"",
INDEX(
'VISÃO LOGISTICA'!$C$2:$C$525,
MATCH(
TRUE,
ISNUMBER(FIND(B182,'VISÃO LOGISTICA'!$A$2:$A$525)),
0
)
)
),
""
)</f>
        <v>Em Viagem</v>
      </c>
      <c r="J182" s="5" t="str" cm="1">
        <f t="array" ref="J182">IFERROR(
IF(
OR(
INDEX(
'VISÃO LOGISTICA'!$C$2:$C$2000,
MATCH(
TRUE,
ISNUMBER(FIND(B182,'VISÃO LOGISTICA'!$A$2:$A$2000)),
0
)
)="Em espera",
INDEX(
'VISÃO LOGISTICA'!$C$2:$C$2000,
MATCH(
TRUE,
ISNUMBER(FIND(B182,'VISÃO LOGISTICA'!$A$2:$A$2000)),
0
)
)=""
),
"",
INDEX(
'VISÃO LOGISTICA'!$D$2:$D$2000,
MATCH(
TRUE,
ISNUMBER(FIND(B182,'VISÃO LOGISTICA'!$A$2:$A$2000)),
0
)
)
),
""
)</f>
        <v>BCU5G84</v>
      </c>
      <c r="K182" s="10" t="str">
        <f>IFERROR(
IF(
_xlfn.XLOOKUP(
B182,
'LOCALIZAÇÃO DE CARGA'!$A$2:$A$702,
'LOCALIZAÇÃO DE CARGA'!$E$2:$E$702)="",
"",
_xlfn.XLOOKUP(
B182,
'LOCALIZAÇÃO DE CARGA'!$A$2:$A$702,
'LOCALIZAÇÃO DE CARGA'!$E$2:$E$702)
),
""
)</f>
        <v/>
      </c>
      <c r="L182" s="20" t="str" cm="1">
        <f t="array" ref="L182">IFERROR(
_xlfn.LET(
_xlpm.res,_xlfn.XLOOKUP(B182,'LOCALIZAÇÃO DE CARGA'!$A$2:$A$2000,'LOCALIZAÇÃO DE CARGA'!$G$2:$G$2000),
IF(_xlpm.res="","",_xlpm.res)
),
""
)</f>
        <v/>
      </c>
      <c r="M182" s="20" t="str" cm="1">
        <f t="array" ref="M182">IFERROR(
_xlfn.LET(
_xlpm.load,_xlfn.XLOOKUP(B182,'LOCALIZAÇÃO DE CARGA'!$A$2:$A$2000,'LOCALIZAÇÃO DE CARGA'!$A$2:$A$2000),
_xlpm.res,_xlfn.XLOOKUP(_xlpm.load,DOCUMENTOS!$A$2:$A$2000,DOCUMENTOS!$D$2:$D$2000),
IF(_xlpm.res="","",_xlpm.res)
),
""
)</f>
        <v/>
      </c>
      <c r="N182" s="6" t="str">
        <f>IFERROR(IF(M182="","",M182-TIME(1,0,0)),"")</f>
        <v/>
      </c>
      <c r="O182" s="6" t="str" cm="1">
        <f t="array" ref="O182">IFERROR(
_xlfn.LET(
_xlpm.res,_xlfn.XLOOKUP(B182,'LOCALIZAÇÃO DE CARGA'!$A$2:$A$2000,'LOCALIZAÇÃO DE CARGA'!$S$2:$S$2000),
IF(_xlpm.res="","",_xlpm.res)
),
""
)</f>
        <v/>
      </c>
      <c r="P182" s="6" t="str" cm="1">
        <f t="array" ref="P182">IFERROR(
_xlfn.LET(
_xlpm.res,_xlfn.XLOOKUP(B182,'LOCALIZAÇÃO DE CARGA'!$A$2:$A$702,'LOCALIZAÇÃO DE CARGA'!$T$2:$T$702),
IF(_xlpm.res="","",_xlpm.res)
),
""
)</f>
        <v/>
      </c>
      <c r="Q182" s="5" t="str">
        <f>IFERROR(
IF(
_xlfn.XLOOKUP(
B182,
'LOCALIZAÇÃO DE CARGA'!$A$2:$A$702,
'LOCALIZAÇÃO DE CARGA'!$K$2:$K$702
)="",
"",
_xlfn.XLOOKUP(
B182,
'LOCALIZAÇÃO DE CARGA'!$A$2:$A$702,
'LOCALIZAÇÃO DE CARGA'!$K$2:$K$702
)
),
""
)</f>
        <v/>
      </c>
      <c r="R182" s="5" t="str">
        <f t="shared" si="8"/>
        <v/>
      </c>
      <c r="S182" s="5" t="str" cm="1">
        <f t="array" ref="S182">IF(B182="","",IFERROR(
INDEX(
'VISÃO LOGISTICA'!$L$2:$L$525,
MATCH(
TRUE,
ISNUMBER(FIND(B182,'VISÃO LOGISTICA'!$A$2:$A$525)),
0
)
),
""
))</f>
        <v/>
      </c>
      <c r="T182" s="5" t="str" cm="1">
        <f t="array" ref="T182">IFERROR(
_xlfn.LET(
_xlpm.res,_xlfn.XLOOKUP(B182,'LOCALIZAÇÃO DE CARGA'!$A$2:$A$702,'LOCALIZAÇÃO DE CARGA'!$R$2:$R$702),
IF(_xlpm.res="","",SUBSTITUTE(_xlpm.res,"/BRASIL",""))
),
""
)</f>
        <v/>
      </c>
    </row>
    <row r="183" spans="1:20">
      <c r="A183" s="14" t="str">
        <f t="shared" si="6"/>
        <v/>
      </c>
      <c r="B183" s="5"/>
      <c r="C183" s="45" t="str">
        <f t="shared" ca="1" si="7"/>
        <v/>
      </c>
      <c r="D183" s="28"/>
      <c r="E183" s="28" t="str">
        <f>IFERROR(
IF(
_xlfn.XLOOKUP(
B183,
'LOCALIZAÇÃO DE CARGA'!$A$2:$A$702,
'LOCALIZAÇÃO DE CARGA'!$D$2:$D$702
)="",
"",
_xlfn.XLOOKUP(
B183,
'LOCALIZAÇÃO DE CARGA'!$A$2:$A$702,
'LOCALIZAÇÃO DE CARGA'!$D$2:$D$702
)
),
""
)</f>
        <v/>
      </c>
      <c r="F183" s="13" t="str">
        <f>IFERROR(
IF(
_xlfn.XLOOKUP(
B183,
'LOCALIZAÇÃO DE CARGA'!$A$2:$A$702,
'LOCALIZAÇÃO DE CARGA'!$H$2:$H$702
)="",
"",
_xlfn.XLOOKUP(
B183,
'LOCALIZAÇÃO DE CARGA'!$A$2:$A$702,
'LOCALIZAÇÃO DE CARGA'!$H$2:$H$702
)
),
""
)</f>
        <v/>
      </c>
      <c r="G183" s="5" t="str">
        <f>IFERROR(
IF(
_xlfn.XLOOKUP(
B183,
'LOCALIZAÇÃO DE CARGA'!$A$2:$A$702,
'LOCALIZAÇÃO DE CARGA'!$I$2:$I$702
)="",
"",
_xlfn.XLOOKUP(
B183,
'LOCALIZAÇÃO DE CARGA'!$A$2:$A$702,
'LOCALIZAÇÃO DE CARGA'!$I$2:$I$702
)
),
""
)</f>
        <v/>
      </c>
      <c r="H183" s="5" t="str">
        <f>IFERROR(
IF(
_xlfn.XLOOKUP(
B183,
'LOCALIZAÇÃO DE CARGA'!$A$2:$A$702,
'LOCALIZAÇÃO DE CARGA'!$F$2:$F$702
)="",
"",
_xlfn.XLOOKUP(
B183,
'LOCALIZAÇÃO DE CARGA'!$A$2:$A$702,
'LOCALIZAÇÃO DE CARGA'!$F$2:$F$702
)
),
""
)</f>
        <v/>
      </c>
      <c r="I183" s="13" t="str" cm="1">
        <f t="array" ref="I183">IFERROR(
IF(
INDEX(
'VISÃO LOGISTICA'!$C$2:$C$525,
MATCH(
TRUE,
ISNUMBER(FIND(B183,'VISÃO LOGISTICA'!$A$2:$A$525)),
0
)
)="Em espera",
"",
INDEX(
'VISÃO LOGISTICA'!$C$2:$C$525,
MATCH(
TRUE,
ISNUMBER(FIND(B183,'VISÃO LOGISTICA'!$A$2:$A$525)),
0
)
)
),
""
)</f>
        <v>Em Viagem</v>
      </c>
      <c r="J183" s="5" t="str" cm="1">
        <f t="array" ref="J183">IFERROR(
IF(
OR(
INDEX(
'VISÃO LOGISTICA'!$C$2:$C$2000,
MATCH(
TRUE,
ISNUMBER(FIND(B183,'VISÃO LOGISTICA'!$A$2:$A$2000)),
0
)
)="Em espera",
INDEX(
'VISÃO LOGISTICA'!$C$2:$C$2000,
MATCH(
TRUE,
ISNUMBER(FIND(B183,'VISÃO LOGISTICA'!$A$2:$A$2000)),
0
)
)=""
),
"",
INDEX(
'VISÃO LOGISTICA'!$D$2:$D$2000,
MATCH(
TRUE,
ISNUMBER(FIND(B183,'VISÃO LOGISTICA'!$A$2:$A$2000)),
0
)
)
),
""
)</f>
        <v>BCU5G84</v>
      </c>
      <c r="K183" s="10" t="str">
        <f>IFERROR(
IF(
_xlfn.XLOOKUP(
B183,
'LOCALIZAÇÃO DE CARGA'!$A$2:$A$702,
'LOCALIZAÇÃO DE CARGA'!$E$2:$E$702)="",
"",
_xlfn.XLOOKUP(
B183,
'LOCALIZAÇÃO DE CARGA'!$A$2:$A$702,
'LOCALIZAÇÃO DE CARGA'!$E$2:$E$702)
),
""
)</f>
        <v/>
      </c>
      <c r="L183" s="20" t="str" cm="1">
        <f t="array" ref="L183">IFERROR(
_xlfn.LET(
_xlpm.res,_xlfn.XLOOKUP(B183,'LOCALIZAÇÃO DE CARGA'!$A$2:$A$2000,'LOCALIZAÇÃO DE CARGA'!$G$2:$G$2000),
IF(_xlpm.res="","",_xlpm.res)
),
""
)</f>
        <v/>
      </c>
      <c r="M183" s="20" t="str" cm="1">
        <f t="array" ref="M183">IFERROR(
_xlfn.LET(
_xlpm.load,_xlfn.XLOOKUP(B183,'LOCALIZAÇÃO DE CARGA'!$A$2:$A$2000,'LOCALIZAÇÃO DE CARGA'!$A$2:$A$2000),
_xlpm.res,_xlfn.XLOOKUP(_xlpm.load,DOCUMENTOS!$A$2:$A$2000,DOCUMENTOS!$D$2:$D$2000),
IF(_xlpm.res="","",_xlpm.res)
),
""
)</f>
        <v/>
      </c>
      <c r="N183" s="6" t="str">
        <f>IFERROR(IF(M183="","",M183-TIME(1,0,0)),"")</f>
        <v/>
      </c>
      <c r="O183" s="6" t="str" cm="1">
        <f t="array" ref="O183">IFERROR(
_xlfn.LET(
_xlpm.res,_xlfn.XLOOKUP(B183,'LOCALIZAÇÃO DE CARGA'!$A$2:$A$2000,'LOCALIZAÇÃO DE CARGA'!$S$2:$S$2000),
IF(_xlpm.res="","",_xlpm.res)
),
""
)</f>
        <v/>
      </c>
      <c r="P183" s="6" t="str" cm="1">
        <f t="array" ref="P183">IFERROR(
_xlfn.LET(
_xlpm.res,_xlfn.XLOOKUP(B183,'LOCALIZAÇÃO DE CARGA'!$A$2:$A$702,'LOCALIZAÇÃO DE CARGA'!$T$2:$T$702),
IF(_xlpm.res="","",_xlpm.res)
),
""
)</f>
        <v/>
      </c>
      <c r="Q183" s="5" t="str">
        <f>IFERROR(
IF(
_xlfn.XLOOKUP(
B183,
'LOCALIZAÇÃO DE CARGA'!$A$2:$A$702,
'LOCALIZAÇÃO DE CARGA'!$K$2:$K$702
)="",
"",
_xlfn.XLOOKUP(
B183,
'LOCALIZAÇÃO DE CARGA'!$A$2:$A$702,
'LOCALIZAÇÃO DE CARGA'!$K$2:$K$702
)
),
""
)</f>
        <v/>
      </c>
      <c r="R183" s="5" t="str">
        <f t="shared" si="8"/>
        <v/>
      </c>
      <c r="S183" s="5" t="str" cm="1">
        <f t="array" ref="S183">IF(B183="","",IFERROR(
INDEX(
'VISÃO LOGISTICA'!$L$2:$L$525,
MATCH(
TRUE,
ISNUMBER(FIND(B183,'VISÃO LOGISTICA'!$A$2:$A$525)),
0
)
),
""
))</f>
        <v/>
      </c>
      <c r="T183" s="5" t="str" cm="1">
        <f t="array" ref="T183">IFERROR(
_xlfn.LET(
_xlpm.res,_xlfn.XLOOKUP(B183,'LOCALIZAÇÃO DE CARGA'!$A$2:$A$702,'LOCALIZAÇÃO DE CARGA'!$R$2:$R$702),
IF(_xlpm.res="","",SUBSTITUTE(_xlpm.res,"/BRASIL",""))
),
""
)</f>
        <v/>
      </c>
    </row>
    <row r="184" spans="1:20">
      <c r="A184" s="14" t="str">
        <f t="shared" si="6"/>
        <v/>
      </c>
      <c r="B184" s="5"/>
      <c r="C184" s="45" t="str">
        <f t="shared" ca="1" si="7"/>
        <v/>
      </c>
      <c r="D184" s="28"/>
      <c r="E184" s="28" t="str">
        <f>IFERROR(
IF(
_xlfn.XLOOKUP(
B184,
'LOCALIZAÇÃO DE CARGA'!$A$2:$A$702,
'LOCALIZAÇÃO DE CARGA'!$D$2:$D$702
)="",
"",
_xlfn.XLOOKUP(
B184,
'LOCALIZAÇÃO DE CARGA'!$A$2:$A$702,
'LOCALIZAÇÃO DE CARGA'!$D$2:$D$702
)
),
""
)</f>
        <v/>
      </c>
      <c r="F184" s="13" t="str">
        <f>IFERROR(
IF(
_xlfn.XLOOKUP(
B184,
'LOCALIZAÇÃO DE CARGA'!$A$2:$A$702,
'LOCALIZAÇÃO DE CARGA'!$H$2:$H$702
)="",
"",
_xlfn.XLOOKUP(
B184,
'LOCALIZAÇÃO DE CARGA'!$A$2:$A$702,
'LOCALIZAÇÃO DE CARGA'!$H$2:$H$702
)
),
""
)</f>
        <v/>
      </c>
      <c r="G184" s="5" t="str">
        <f>IFERROR(
IF(
_xlfn.XLOOKUP(
B184,
'LOCALIZAÇÃO DE CARGA'!$A$2:$A$702,
'LOCALIZAÇÃO DE CARGA'!$I$2:$I$702
)="",
"",
_xlfn.XLOOKUP(
B184,
'LOCALIZAÇÃO DE CARGA'!$A$2:$A$702,
'LOCALIZAÇÃO DE CARGA'!$I$2:$I$702
)
),
""
)</f>
        <v/>
      </c>
      <c r="H184" s="5" t="str">
        <f>IFERROR(
IF(
_xlfn.XLOOKUP(
B184,
'LOCALIZAÇÃO DE CARGA'!$A$2:$A$702,
'LOCALIZAÇÃO DE CARGA'!$F$2:$F$702
)="",
"",
_xlfn.XLOOKUP(
B184,
'LOCALIZAÇÃO DE CARGA'!$A$2:$A$702,
'LOCALIZAÇÃO DE CARGA'!$F$2:$F$702
)
),
""
)</f>
        <v/>
      </c>
      <c r="I184" s="13" t="str" cm="1">
        <f t="array" ref="I184">IFERROR(
IF(
INDEX(
'VISÃO LOGISTICA'!$C$2:$C$525,
MATCH(
TRUE,
ISNUMBER(FIND(B184,'VISÃO LOGISTICA'!$A$2:$A$525)),
0
)
)="Em espera",
"",
INDEX(
'VISÃO LOGISTICA'!$C$2:$C$525,
MATCH(
TRUE,
ISNUMBER(FIND(B184,'VISÃO LOGISTICA'!$A$2:$A$525)),
0
)
)
),
""
)</f>
        <v>Em Viagem</v>
      </c>
      <c r="J184" s="5" t="str" cm="1">
        <f t="array" ref="J184">IFERROR(
IF(
OR(
INDEX(
'VISÃO LOGISTICA'!$C$2:$C$2000,
MATCH(
TRUE,
ISNUMBER(FIND(B184,'VISÃO LOGISTICA'!$A$2:$A$2000)),
0
)
)="Em espera",
INDEX(
'VISÃO LOGISTICA'!$C$2:$C$2000,
MATCH(
TRUE,
ISNUMBER(FIND(B184,'VISÃO LOGISTICA'!$A$2:$A$2000)),
0
)
)=""
),
"",
INDEX(
'VISÃO LOGISTICA'!$D$2:$D$2000,
MATCH(
TRUE,
ISNUMBER(FIND(B184,'VISÃO LOGISTICA'!$A$2:$A$2000)),
0
)
)
),
""
)</f>
        <v>BCU5G84</v>
      </c>
      <c r="K184" s="10" t="str">
        <f>IFERROR(
IF(
_xlfn.XLOOKUP(
B184,
'LOCALIZAÇÃO DE CARGA'!$A$2:$A$702,
'LOCALIZAÇÃO DE CARGA'!$E$2:$E$702)="",
"",
_xlfn.XLOOKUP(
B184,
'LOCALIZAÇÃO DE CARGA'!$A$2:$A$702,
'LOCALIZAÇÃO DE CARGA'!$E$2:$E$702)
),
""
)</f>
        <v/>
      </c>
      <c r="L184" s="20" t="str" cm="1">
        <f t="array" ref="L184">IFERROR(
_xlfn.LET(
_xlpm.res,_xlfn.XLOOKUP(B184,'LOCALIZAÇÃO DE CARGA'!$A$2:$A$2000,'LOCALIZAÇÃO DE CARGA'!$G$2:$G$2000),
IF(_xlpm.res="","",_xlpm.res)
),
""
)</f>
        <v/>
      </c>
      <c r="M184" s="20" t="str" cm="1">
        <f t="array" ref="M184">IFERROR(
_xlfn.LET(
_xlpm.load,_xlfn.XLOOKUP(B184,'LOCALIZAÇÃO DE CARGA'!$A$2:$A$2000,'LOCALIZAÇÃO DE CARGA'!$A$2:$A$2000),
_xlpm.res,_xlfn.XLOOKUP(_xlpm.load,DOCUMENTOS!$A$2:$A$2000,DOCUMENTOS!$D$2:$D$2000),
IF(_xlpm.res="","",_xlpm.res)
),
""
)</f>
        <v/>
      </c>
      <c r="N184" s="6" t="str">
        <f>IFERROR(IF(M184="","",M184-TIME(1,0,0)),"")</f>
        <v/>
      </c>
      <c r="O184" s="6" t="str" cm="1">
        <f t="array" ref="O184">IFERROR(
_xlfn.LET(
_xlpm.res,_xlfn.XLOOKUP(B184,'LOCALIZAÇÃO DE CARGA'!$A$2:$A$2000,'LOCALIZAÇÃO DE CARGA'!$S$2:$S$2000),
IF(_xlpm.res="","",_xlpm.res)
),
""
)</f>
        <v/>
      </c>
      <c r="P184" s="6" t="str" cm="1">
        <f t="array" ref="P184">IFERROR(
_xlfn.LET(
_xlpm.res,_xlfn.XLOOKUP(B184,'LOCALIZAÇÃO DE CARGA'!$A$2:$A$702,'LOCALIZAÇÃO DE CARGA'!$T$2:$T$702),
IF(_xlpm.res="","",_xlpm.res)
),
""
)</f>
        <v/>
      </c>
      <c r="Q184" s="5" t="str">
        <f>IFERROR(
IF(
_xlfn.XLOOKUP(
B184,
'LOCALIZAÇÃO DE CARGA'!$A$2:$A$702,
'LOCALIZAÇÃO DE CARGA'!$K$2:$K$702
)="",
"",
_xlfn.XLOOKUP(
B184,
'LOCALIZAÇÃO DE CARGA'!$A$2:$A$702,
'LOCALIZAÇÃO DE CARGA'!$K$2:$K$702
)
),
""
)</f>
        <v/>
      </c>
      <c r="R184" s="5" t="str">
        <f t="shared" si="8"/>
        <v/>
      </c>
      <c r="S184" s="5" t="str" cm="1">
        <f t="array" ref="S184">IF(B184="","",IFERROR(
INDEX(
'VISÃO LOGISTICA'!$L$2:$L$525,
MATCH(
TRUE,
ISNUMBER(FIND(B184,'VISÃO LOGISTICA'!$A$2:$A$525)),
0
)
),
""
))</f>
        <v/>
      </c>
      <c r="T184" s="5" t="str" cm="1">
        <f t="array" ref="T184">IFERROR(
_xlfn.LET(
_xlpm.res,_xlfn.XLOOKUP(B184,'LOCALIZAÇÃO DE CARGA'!$A$2:$A$702,'LOCALIZAÇÃO DE CARGA'!$R$2:$R$702),
IF(_xlpm.res="","",SUBSTITUTE(_xlpm.res,"/BRASIL",""))
),
""
)</f>
        <v/>
      </c>
    </row>
    <row r="185" spans="1:20">
      <c r="A185" s="14" t="str">
        <f t="shared" si="6"/>
        <v/>
      </c>
      <c r="B185" s="5"/>
      <c r="C185" s="45" t="str">
        <f t="shared" ca="1" si="7"/>
        <v/>
      </c>
      <c r="D185" s="28"/>
      <c r="E185" s="28" t="str">
        <f>IFERROR(
IF(
_xlfn.XLOOKUP(
B185,
'LOCALIZAÇÃO DE CARGA'!$A$2:$A$702,
'LOCALIZAÇÃO DE CARGA'!$D$2:$D$702
)="",
"",
_xlfn.XLOOKUP(
B185,
'LOCALIZAÇÃO DE CARGA'!$A$2:$A$702,
'LOCALIZAÇÃO DE CARGA'!$D$2:$D$702
)
),
""
)</f>
        <v/>
      </c>
      <c r="F185" s="13" t="str">
        <f>IFERROR(
IF(
_xlfn.XLOOKUP(
B185,
'LOCALIZAÇÃO DE CARGA'!$A$2:$A$702,
'LOCALIZAÇÃO DE CARGA'!$H$2:$H$702
)="",
"",
_xlfn.XLOOKUP(
B185,
'LOCALIZAÇÃO DE CARGA'!$A$2:$A$702,
'LOCALIZAÇÃO DE CARGA'!$H$2:$H$702
)
),
""
)</f>
        <v/>
      </c>
      <c r="G185" s="5" t="str">
        <f>IFERROR(
IF(
_xlfn.XLOOKUP(
B185,
'LOCALIZAÇÃO DE CARGA'!$A$2:$A$702,
'LOCALIZAÇÃO DE CARGA'!$I$2:$I$702
)="",
"",
_xlfn.XLOOKUP(
B185,
'LOCALIZAÇÃO DE CARGA'!$A$2:$A$702,
'LOCALIZAÇÃO DE CARGA'!$I$2:$I$702
)
),
""
)</f>
        <v/>
      </c>
      <c r="H185" s="5" t="str">
        <f>IFERROR(
IF(
_xlfn.XLOOKUP(
B185,
'LOCALIZAÇÃO DE CARGA'!$A$2:$A$702,
'LOCALIZAÇÃO DE CARGA'!$F$2:$F$702
)="",
"",
_xlfn.XLOOKUP(
B185,
'LOCALIZAÇÃO DE CARGA'!$A$2:$A$702,
'LOCALIZAÇÃO DE CARGA'!$F$2:$F$702
)
),
""
)</f>
        <v/>
      </c>
      <c r="I185" s="13" t="str" cm="1">
        <f t="array" ref="I185">IFERROR(
IF(
INDEX(
'VISÃO LOGISTICA'!$C$2:$C$525,
MATCH(
TRUE,
ISNUMBER(FIND(B185,'VISÃO LOGISTICA'!$A$2:$A$525)),
0
)
)="Em espera",
"",
INDEX(
'VISÃO LOGISTICA'!$C$2:$C$525,
MATCH(
TRUE,
ISNUMBER(FIND(B185,'VISÃO LOGISTICA'!$A$2:$A$525)),
0
)
)
),
""
)</f>
        <v>Em Viagem</v>
      </c>
      <c r="J185" s="5" t="str" cm="1">
        <f t="array" ref="J185">IFERROR(
IF(
OR(
INDEX(
'VISÃO LOGISTICA'!$C$2:$C$2000,
MATCH(
TRUE,
ISNUMBER(FIND(B185,'VISÃO LOGISTICA'!$A$2:$A$2000)),
0
)
)="Em espera",
INDEX(
'VISÃO LOGISTICA'!$C$2:$C$2000,
MATCH(
TRUE,
ISNUMBER(FIND(B185,'VISÃO LOGISTICA'!$A$2:$A$2000)),
0
)
)=""
),
"",
INDEX(
'VISÃO LOGISTICA'!$D$2:$D$2000,
MATCH(
TRUE,
ISNUMBER(FIND(B185,'VISÃO LOGISTICA'!$A$2:$A$2000)),
0
)
)
),
""
)</f>
        <v>BCU5G84</v>
      </c>
      <c r="K185" s="10" t="str">
        <f>IFERROR(
IF(
_xlfn.XLOOKUP(
B185,
'LOCALIZAÇÃO DE CARGA'!$A$2:$A$702,
'LOCALIZAÇÃO DE CARGA'!$E$2:$E$702)="",
"",
_xlfn.XLOOKUP(
B185,
'LOCALIZAÇÃO DE CARGA'!$A$2:$A$702,
'LOCALIZAÇÃO DE CARGA'!$E$2:$E$702)
),
""
)</f>
        <v/>
      </c>
      <c r="L185" s="20" t="str" cm="1">
        <f t="array" ref="L185">IFERROR(
_xlfn.LET(
_xlpm.res,_xlfn.XLOOKUP(B185,'LOCALIZAÇÃO DE CARGA'!$A$2:$A$2000,'LOCALIZAÇÃO DE CARGA'!$G$2:$G$2000),
IF(_xlpm.res="","",_xlpm.res)
),
""
)</f>
        <v/>
      </c>
      <c r="M185" s="20" t="str" cm="1">
        <f t="array" ref="M185">IFERROR(
_xlfn.LET(
_xlpm.load,_xlfn.XLOOKUP(B185,'LOCALIZAÇÃO DE CARGA'!$A$2:$A$2000,'LOCALIZAÇÃO DE CARGA'!$A$2:$A$2000),
_xlpm.res,_xlfn.XLOOKUP(_xlpm.load,DOCUMENTOS!$A$2:$A$2000,DOCUMENTOS!$D$2:$D$2000),
IF(_xlpm.res="","",_xlpm.res)
),
""
)</f>
        <v/>
      </c>
      <c r="N185" s="6" t="str">
        <f>IFERROR(IF(M185="","",M185-TIME(1,0,0)),"")</f>
        <v/>
      </c>
      <c r="O185" s="6" t="str" cm="1">
        <f t="array" ref="O185">IFERROR(
_xlfn.LET(
_xlpm.res,_xlfn.XLOOKUP(B185,'LOCALIZAÇÃO DE CARGA'!$A$2:$A$2000,'LOCALIZAÇÃO DE CARGA'!$S$2:$S$2000),
IF(_xlpm.res="","",_xlpm.res)
),
""
)</f>
        <v/>
      </c>
      <c r="P185" s="6" t="str" cm="1">
        <f t="array" ref="P185">IFERROR(
_xlfn.LET(
_xlpm.res,_xlfn.XLOOKUP(B185,'LOCALIZAÇÃO DE CARGA'!$A$2:$A$702,'LOCALIZAÇÃO DE CARGA'!$T$2:$T$702),
IF(_xlpm.res="","",_xlpm.res)
),
""
)</f>
        <v/>
      </c>
      <c r="Q185" s="5" t="str">
        <f>IFERROR(
IF(
_xlfn.XLOOKUP(
B185,
'LOCALIZAÇÃO DE CARGA'!$A$2:$A$702,
'LOCALIZAÇÃO DE CARGA'!$K$2:$K$702
)="",
"",
_xlfn.XLOOKUP(
B185,
'LOCALIZAÇÃO DE CARGA'!$A$2:$A$702,
'LOCALIZAÇÃO DE CARGA'!$K$2:$K$702
)
),
""
)</f>
        <v/>
      </c>
      <c r="R185" s="5" t="str">
        <f t="shared" si="8"/>
        <v/>
      </c>
      <c r="S185" s="5" t="str" cm="1">
        <f t="array" ref="S185">IF(B185="","",IFERROR(
INDEX(
'VISÃO LOGISTICA'!$L$2:$L$525,
MATCH(
TRUE,
ISNUMBER(FIND(B185,'VISÃO LOGISTICA'!$A$2:$A$525)),
0
)
),
""
))</f>
        <v/>
      </c>
      <c r="T185" s="5" t="str" cm="1">
        <f t="array" ref="T185">IFERROR(
_xlfn.LET(
_xlpm.res,_xlfn.XLOOKUP(B185,'LOCALIZAÇÃO DE CARGA'!$A$2:$A$702,'LOCALIZAÇÃO DE CARGA'!$R$2:$R$702),
IF(_xlpm.res="","",SUBSTITUTE(_xlpm.res,"/BRASIL",""))
),
""
)</f>
        <v/>
      </c>
    </row>
    <row r="186" spans="1:20">
      <c r="A186" s="14" t="str">
        <f t="shared" si="6"/>
        <v/>
      </c>
      <c r="B186" s="5"/>
      <c r="C186" s="45" t="str">
        <f t="shared" ca="1" si="7"/>
        <v/>
      </c>
      <c r="D186" s="28"/>
      <c r="E186" s="28" t="str">
        <f>IFERROR(
IF(
_xlfn.XLOOKUP(
B186,
'LOCALIZAÇÃO DE CARGA'!$A$2:$A$702,
'LOCALIZAÇÃO DE CARGA'!$D$2:$D$702
)="",
"",
_xlfn.XLOOKUP(
B186,
'LOCALIZAÇÃO DE CARGA'!$A$2:$A$702,
'LOCALIZAÇÃO DE CARGA'!$D$2:$D$702
)
),
""
)</f>
        <v/>
      </c>
      <c r="F186" s="13" t="str">
        <f>IFERROR(
IF(
_xlfn.XLOOKUP(
B186,
'LOCALIZAÇÃO DE CARGA'!$A$2:$A$702,
'LOCALIZAÇÃO DE CARGA'!$H$2:$H$702
)="",
"",
_xlfn.XLOOKUP(
B186,
'LOCALIZAÇÃO DE CARGA'!$A$2:$A$702,
'LOCALIZAÇÃO DE CARGA'!$H$2:$H$702
)
),
""
)</f>
        <v/>
      </c>
      <c r="G186" s="5" t="str">
        <f>IFERROR(
IF(
_xlfn.XLOOKUP(
B186,
'LOCALIZAÇÃO DE CARGA'!$A$2:$A$702,
'LOCALIZAÇÃO DE CARGA'!$I$2:$I$702
)="",
"",
_xlfn.XLOOKUP(
B186,
'LOCALIZAÇÃO DE CARGA'!$A$2:$A$702,
'LOCALIZAÇÃO DE CARGA'!$I$2:$I$702
)
),
""
)</f>
        <v/>
      </c>
      <c r="H186" s="5" t="str">
        <f>IFERROR(
IF(
_xlfn.XLOOKUP(
B186,
'LOCALIZAÇÃO DE CARGA'!$A$2:$A$702,
'LOCALIZAÇÃO DE CARGA'!$F$2:$F$702
)="",
"",
_xlfn.XLOOKUP(
B186,
'LOCALIZAÇÃO DE CARGA'!$A$2:$A$702,
'LOCALIZAÇÃO DE CARGA'!$F$2:$F$702
)
),
""
)</f>
        <v/>
      </c>
      <c r="I186" s="13" t="str" cm="1">
        <f t="array" ref="I186">IFERROR(
IF(
INDEX(
'VISÃO LOGISTICA'!$C$2:$C$525,
MATCH(
TRUE,
ISNUMBER(FIND(B186,'VISÃO LOGISTICA'!$A$2:$A$525)),
0
)
)="Em espera",
"",
INDEX(
'VISÃO LOGISTICA'!$C$2:$C$525,
MATCH(
TRUE,
ISNUMBER(FIND(B186,'VISÃO LOGISTICA'!$A$2:$A$525)),
0
)
)
),
""
)</f>
        <v>Em Viagem</v>
      </c>
      <c r="J186" s="5" t="str" cm="1">
        <f t="array" ref="J186">IFERROR(
IF(
OR(
INDEX(
'VISÃO LOGISTICA'!$C$2:$C$2000,
MATCH(
TRUE,
ISNUMBER(FIND(B186,'VISÃO LOGISTICA'!$A$2:$A$2000)),
0
)
)="Em espera",
INDEX(
'VISÃO LOGISTICA'!$C$2:$C$2000,
MATCH(
TRUE,
ISNUMBER(FIND(B186,'VISÃO LOGISTICA'!$A$2:$A$2000)),
0
)
)=""
),
"",
INDEX(
'VISÃO LOGISTICA'!$D$2:$D$2000,
MATCH(
TRUE,
ISNUMBER(FIND(B186,'VISÃO LOGISTICA'!$A$2:$A$2000)),
0
)
)
),
""
)</f>
        <v>BCU5G84</v>
      </c>
      <c r="K186" s="10" t="str">
        <f>IFERROR(
IF(
_xlfn.XLOOKUP(
B186,
'LOCALIZAÇÃO DE CARGA'!$A$2:$A$702,
'LOCALIZAÇÃO DE CARGA'!$E$2:$E$702)="",
"",
_xlfn.XLOOKUP(
B186,
'LOCALIZAÇÃO DE CARGA'!$A$2:$A$702,
'LOCALIZAÇÃO DE CARGA'!$E$2:$E$702)
),
""
)</f>
        <v/>
      </c>
      <c r="L186" s="20" t="str" cm="1">
        <f t="array" ref="L186">IFERROR(
_xlfn.LET(
_xlpm.res,_xlfn.XLOOKUP(B186,'LOCALIZAÇÃO DE CARGA'!$A$2:$A$2000,'LOCALIZAÇÃO DE CARGA'!$G$2:$G$2000),
IF(_xlpm.res="","",_xlpm.res)
),
""
)</f>
        <v/>
      </c>
      <c r="M186" s="20" t="str" cm="1">
        <f t="array" ref="M186">IFERROR(
_xlfn.LET(
_xlpm.load,_xlfn.XLOOKUP(B186,'LOCALIZAÇÃO DE CARGA'!$A$2:$A$2000,'LOCALIZAÇÃO DE CARGA'!$A$2:$A$2000),
_xlpm.res,_xlfn.XLOOKUP(_xlpm.load,DOCUMENTOS!$A$2:$A$2000,DOCUMENTOS!$D$2:$D$2000),
IF(_xlpm.res="","",_xlpm.res)
),
""
)</f>
        <v/>
      </c>
      <c r="N186" s="6" t="str">
        <f>IFERROR(IF(M186="","",M186-TIME(1,0,0)),"")</f>
        <v/>
      </c>
      <c r="O186" s="6" t="str" cm="1">
        <f t="array" ref="O186">IFERROR(
_xlfn.LET(
_xlpm.res,_xlfn.XLOOKUP(B186,'LOCALIZAÇÃO DE CARGA'!$A$2:$A$2000,'LOCALIZAÇÃO DE CARGA'!$S$2:$S$2000),
IF(_xlpm.res="","",_xlpm.res)
),
""
)</f>
        <v/>
      </c>
      <c r="P186" s="6" t="str" cm="1">
        <f t="array" ref="P186">IFERROR(
_xlfn.LET(
_xlpm.res,_xlfn.XLOOKUP(B186,'LOCALIZAÇÃO DE CARGA'!$A$2:$A$702,'LOCALIZAÇÃO DE CARGA'!$T$2:$T$702),
IF(_xlpm.res="","",_xlpm.res)
),
""
)</f>
        <v/>
      </c>
      <c r="Q186" s="5" t="str">
        <f>IFERROR(
IF(
_xlfn.XLOOKUP(
B186,
'LOCALIZAÇÃO DE CARGA'!$A$2:$A$702,
'LOCALIZAÇÃO DE CARGA'!$K$2:$K$702
)="",
"",
_xlfn.XLOOKUP(
B186,
'LOCALIZAÇÃO DE CARGA'!$A$2:$A$702,
'LOCALIZAÇÃO DE CARGA'!$K$2:$K$702
)
),
""
)</f>
        <v/>
      </c>
      <c r="R186" s="5" t="str">
        <f t="shared" si="8"/>
        <v/>
      </c>
      <c r="S186" s="5" t="str" cm="1">
        <f t="array" ref="S186">IF(B186="","",IFERROR(
INDEX(
'VISÃO LOGISTICA'!$L$2:$L$525,
MATCH(
TRUE,
ISNUMBER(FIND(B186,'VISÃO LOGISTICA'!$A$2:$A$525)),
0
)
),
""
))</f>
        <v/>
      </c>
      <c r="T186" s="5" t="str" cm="1">
        <f t="array" ref="T186">IFERROR(
_xlfn.LET(
_xlpm.res,_xlfn.XLOOKUP(B186,'LOCALIZAÇÃO DE CARGA'!$A$2:$A$702,'LOCALIZAÇÃO DE CARGA'!$R$2:$R$702),
IF(_xlpm.res="","",SUBSTITUTE(_xlpm.res,"/BRASIL",""))
),
""
)</f>
        <v/>
      </c>
    </row>
    <row r="187" spans="1:20">
      <c r="A187" s="14" t="str">
        <f t="shared" si="6"/>
        <v/>
      </c>
      <c r="B187" s="5"/>
      <c r="C187" s="45" t="str">
        <f t="shared" ca="1" si="7"/>
        <v/>
      </c>
      <c r="D187" s="28"/>
      <c r="E187" s="28" t="str">
        <f>IFERROR(
IF(
_xlfn.XLOOKUP(
B187,
'LOCALIZAÇÃO DE CARGA'!$A$2:$A$702,
'LOCALIZAÇÃO DE CARGA'!$D$2:$D$702
)="",
"",
_xlfn.XLOOKUP(
B187,
'LOCALIZAÇÃO DE CARGA'!$A$2:$A$702,
'LOCALIZAÇÃO DE CARGA'!$D$2:$D$702
)
),
""
)</f>
        <v/>
      </c>
      <c r="F187" s="13" t="str">
        <f>IFERROR(
IF(
_xlfn.XLOOKUP(
B187,
'LOCALIZAÇÃO DE CARGA'!$A$2:$A$702,
'LOCALIZAÇÃO DE CARGA'!$H$2:$H$702
)="",
"",
_xlfn.XLOOKUP(
B187,
'LOCALIZAÇÃO DE CARGA'!$A$2:$A$702,
'LOCALIZAÇÃO DE CARGA'!$H$2:$H$702
)
),
""
)</f>
        <v/>
      </c>
      <c r="G187" s="5" t="str">
        <f>IFERROR(
IF(
_xlfn.XLOOKUP(
B187,
'LOCALIZAÇÃO DE CARGA'!$A$2:$A$702,
'LOCALIZAÇÃO DE CARGA'!$I$2:$I$702
)="",
"",
_xlfn.XLOOKUP(
B187,
'LOCALIZAÇÃO DE CARGA'!$A$2:$A$702,
'LOCALIZAÇÃO DE CARGA'!$I$2:$I$702
)
),
""
)</f>
        <v/>
      </c>
      <c r="H187" s="5" t="str">
        <f>IFERROR(
IF(
_xlfn.XLOOKUP(
B187,
'LOCALIZAÇÃO DE CARGA'!$A$2:$A$702,
'LOCALIZAÇÃO DE CARGA'!$F$2:$F$702
)="",
"",
_xlfn.XLOOKUP(
B187,
'LOCALIZAÇÃO DE CARGA'!$A$2:$A$702,
'LOCALIZAÇÃO DE CARGA'!$F$2:$F$702
)
),
""
)</f>
        <v/>
      </c>
      <c r="I187" s="13" t="str" cm="1">
        <f t="array" ref="I187">IFERROR(
IF(
INDEX(
'VISÃO LOGISTICA'!$C$2:$C$525,
MATCH(
TRUE,
ISNUMBER(FIND(B187,'VISÃO LOGISTICA'!$A$2:$A$525)),
0
)
)="Em espera",
"",
INDEX(
'VISÃO LOGISTICA'!$C$2:$C$525,
MATCH(
TRUE,
ISNUMBER(FIND(B187,'VISÃO LOGISTICA'!$A$2:$A$525)),
0
)
)
),
""
)</f>
        <v>Em Viagem</v>
      </c>
      <c r="J187" s="5" t="str" cm="1">
        <f t="array" ref="J187">IFERROR(
IF(
OR(
INDEX(
'VISÃO LOGISTICA'!$C$2:$C$2000,
MATCH(
TRUE,
ISNUMBER(FIND(B187,'VISÃO LOGISTICA'!$A$2:$A$2000)),
0
)
)="Em espera",
INDEX(
'VISÃO LOGISTICA'!$C$2:$C$2000,
MATCH(
TRUE,
ISNUMBER(FIND(B187,'VISÃO LOGISTICA'!$A$2:$A$2000)),
0
)
)=""
),
"",
INDEX(
'VISÃO LOGISTICA'!$D$2:$D$2000,
MATCH(
TRUE,
ISNUMBER(FIND(B187,'VISÃO LOGISTICA'!$A$2:$A$2000)),
0
)
)
),
""
)</f>
        <v>BCU5G84</v>
      </c>
      <c r="K187" s="10" t="str">
        <f>IFERROR(
IF(
_xlfn.XLOOKUP(
B187,
'LOCALIZAÇÃO DE CARGA'!$A$2:$A$702,
'LOCALIZAÇÃO DE CARGA'!$E$2:$E$702)="",
"",
_xlfn.XLOOKUP(
B187,
'LOCALIZAÇÃO DE CARGA'!$A$2:$A$702,
'LOCALIZAÇÃO DE CARGA'!$E$2:$E$702)
),
""
)</f>
        <v/>
      </c>
      <c r="L187" s="20" t="str" cm="1">
        <f t="array" ref="L187">IFERROR(
_xlfn.LET(
_xlpm.res,_xlfn.XLOOKUP(B187,'LOCALIZAÇÃO DE CARGA'!$A$2:$A$2000,'LOCALIZAÇÃO DE CARGA'!$G$2:$G$2000),
IF(_xlpm.res="","",_xlpm.res)
),
""
)</f>
        <v/>
      </c>
      <c r="M187" s="20" t="str" cm="1">
        <f t="array" ref="M187">IFERROR(
_xlfn.LET(
_xlpm.load,_xlfn.XLOOKUP(B187,'LOCALIZAÇÃO DE CARGA'!$A$2:$A$2000,'LOCALIZAÇÃO DE CARGA'!$A$2:$A$2000),
_xlpm.res,_xlfn.XLOOKUP(_xlpm.load,DOCUMENTOS!$A$2:$A$2000,DOCUMENTOS!$D$2:$D$2000),
IF(_xlpm.res="","",_xlpm.res)
),
""
)</f>
        <v/>
      </c>
      <c r="N187" s="6" t="str">
        <f>IFERROR(IF(M187="","",M187-TIME(1,0,0)),"")</f>
        <v/>
      </c>
      <c r="O187" s="6" t="str" cm="1">
        <f t="array" ref="O187">IFERROR(
_xlfn.LET(
_xlpm.res,_xlfn.XLOOKUP(B187,'LOCALIZAÇÃO DE CARGA'!$A$2:$A$2000,'LOCALIZAÇÃO DE CARGA'!$S$2:$S$2000),
IF(_xlpm.res="","",_xlpm.res)
),
""
)</f>
        <v/>
      </c>
      <c r="P187" s="6" t="str" cm="1">
        <f t="array" ref="P187">IFERROR(
_xlfn.LET(
_xlpm.res,_xlfn.XLOOKUP(B187,'LOCALIZAÇÃO DE CARGA'!$A$2:$A$702,'LOCALIZAÇÃO DE CARGA'!$T$2:$T$702),
IF(_xlpm.res="","",_xlpm.res)
),
""
)</f>
        <v/>
      </c>
      <c r="Q187" s="5" t="str">
        <f>IFERROR(
IF(
_xlfn.XLOOKUP(
B187,
'LOCALIZAÇÃO DE CARGA'!$A$2:$A$702,
'LOCALIZAÇÃO DE CARGA'!$K$2:$K$702
)="",
"",
_xlfn.XLOOKUP(
B187,
'LOCALIZAÇÃO DE CARGA'!$A$2:$A$702,
'LOCALIZAÇÃO DE CARGA'!$K$2:$K$702
)
),
""
)</f>
        <v/>
      </c>
      <c r="R187" s="5" t="str">
        <f t="shared" si="8"/>
        <v/>
      </c>
      <c r="S187" s="5" t="str" cm="1">
        <f t="array" ref="S187">IF(B187="","",IFERROR(
INDEX(
'VISÃO LOGISTICA'!$L$2:$L$525,
MATCH(
TRUE,
ISNUMBER(FIND(B187,'VISÃO LOGISTICA'!$A$2:$A$525)),
0
)
),
""
))</f>
        <v/>
      </c>
      <c r="T187" s="5" t="str" cm="1">
        <f t="array" ref="T187">IFERROR(
_xlfn.LET(
_xlpm.res,_xlfn.XLOOKUP(B187,'LOCALIZAÇÃO DE CARGA'!$A$2:$A$702,'LOCALIZAÇÃO DE CARGA'!$R$2:$R$702),
IF(_xlpm.res="","",SUBSTITUTE(_xlpm.res,"/BRASIL",""))
),
""
)</f>
        <v/>
      </c>
    </row>
    <row r="188" spans="1:20">
      <c r="A188" s="14" t="str">
        <f t="shared" si="6"/>
        <v/>
      </c>
      <c r="B188" s="5"/>
      <c r="C188" s="45" t="str">
        <f t="shared" ca="1" si="7"/>
        <v/>
      </c>
      <c r="D188" s="28"/>
      <c r="E188" s="28" t="str">
        <f>IFERROR(
IF(
_xlfn.XLOOKUP(
B188,
'LOCALIZAÇÃO DE CARGA'!$A$2:$A$702,
'LOCALIZAÇÃO DE CARGA'!$D$2:$D$702
)="",
"",
_xlfn.XLOOKUP(
B188,
'LOCALIZAÇÃO DE CARGA'!$A$2:$A$702,
'LOCALIZAÇÃO DE CARGA'!$D$2:$D$702
)
),
""
)</f>
        <v/>
      </c>
      <c r="F188" s="13" t="str">
        <f>IFERROR(
IF(
_xlfn.XLOOKUP(
B188,
'LOCALIZAÇÃO DE CARGA'!$A$2:$A$702,
'LOCALIZAÇÃO DE CARGA'!$H$2:$H$702
)="",
"",
_xlfn.XLOOKUP(
B188,
'LOCALIZAÇÃO DE CARGA'!$A$2:$A$702,
'LOCALIZAÇÃO DE CARGA'!$H$2:$H$702
)
),
""
)</f>
        <v/>
      </c>
      <c r="G188" s="5" t="str">
        <f>IFERROR(
IF(
_xlfn.XLOOKUP(
B188,
'LOCALIZAÇÃO DE CARGA'!$A$2:$A$702,
'LOCALIZAÇÃO DE CARGA'!$I$2:$I$702
)="",
"",
_xlfn.XLOOKUP(
B188,
'LOCALIZAÇÃO DE CARGA'!$A$2:$A$702,
'LOCALIZAÇÃO DE CARGA'!$I$2:$I$702
)
),
""
)</f>
        <v/>
      </c>
      <c r="H188" s="5" t="str">
        <f>IFERROR(
IF(
_xlfn.XLOOKUP(
B188,
'LOCALIZAÇÃO DE CARGA'!$A$2:$A$702,
'LOCALIZAÇÃO DE CARGA'!$F$2:$F$702
)="",
"",
_xlfn.XLOOKUP(
B188,
'LOCALIZAÇÃO DE CARGA'!$A$2:$A$702,
'LOCALIZAÇÃO DE CARGA'!$F$2:$F$702
)
),
""
)</f>
        <v/>
      </c>
      <c r="I188" s="13" t="str" cm="1">
        <f t="array" ref="I188">IFERROR(
IF(
INDEX(
'VISÃO LOGISTICA'!$C$2:$C$525,
MATCH(
TRUE,
ISNUMBER(FIND(B188,'VISÃO LOGISTICA'!$A$2:$A$525)),
0
)
)="Em espera",
"",
INDEX(
'VISÃO LOGISTICA'!$C$2:$C$525,
MATCH(
TRUE,
ISNUMBER(FIND(B188,'VISÃO LOGISTICA'!$A$2:$A$525)),
0
)
)
),
""
)</f>
        <v>Em Viagem</v>
      </c>
      <c r="J188" s="5" t="str" cm="1">
        <f t="array" ref="J188">IFERROR(
IF(
OR(
INDEX(
'VISÃO LOGISTICA'!$C$2:$C$2000,
MATCH(
TRUE,
ISNUMBER(FIND(B188,'VISÃO LOGISTICA'!$A$2:$A$2000)),
0
)
)="Em espera",
INDEX(
'VISÃO LOGISTICA'!$C$2:$C$2000,
MATCH(
TRUE,
ISNUMBER(FIND(B188,'VISÃO LOGISTICA'!$A$2:$A$2000)),
0
)
)=""
),
"",
INDEX(
'VISÃO LOGISTICA'!$D$2:$D$2000,
MATCH(
TRUE,
ISNUMBER(FIND(B188,'VISÃO LOGISTICA'!$A$2:$A$2000)),
0
)
)
),
""
)</f>
        <v>BCU5G84</v>
      </c>
      <c r="K188" s="10" t="str">
        <f>IFERROR(
IF(
_xlfn.XLOOKUP(
B188,
'LOCALIZAÇÃO DE CARGA'!$A$2:$A$702,
'LOCALIZAÇÃO DE CARGA'!$E$2:$E$702)="",
"",
_xlfn.XLOOKUP(
B188,
'LOCALIZAÇÃO DE CARGA'!$A$2:$A$702,
'LOCALIZAÇÃO DE CARGA'!$E$2:$E$702)
),
""
)</f>
        <v/>
      </c>
      <c r="L188" s="20" t="str" cm="1">
        <f t="array" ref="L188">IFERROR(
_xlfn.LET(
_xlpm.res,_xlfn.XLOOKUP(B188,'LOCALIZAÇÃO DE CARGA'!$A$2:$A$2000,'LOCALIZAÇÃO DE CARGA'!$G$2:$G$2000),
IF(_xlpm.res="","",_xlpm.res)
),
""
)</f>
        <v/>
      </c>
      <c r="M188" s="20" t="str" cm="1">
        <f t="array" ref="M188">IFERROR(
_xlfn.LET(
_xlpm.load,_xlfn.XLOOKUP(B188,'LOCALIZAÇÃO DE CARGA'!$A$2:$A$2000,'LOCALIZAÇÃO DE CARGA'!$A$2:$A$2000),
_xlpm.res,_xlfn.XLOOKUP(_xlpm.load,DOCUMENTOS!$A$2:$A$2000,DOCUMENTOS!$D$2:$D$2000),
IF(_xlpm.res="","",_xlpm.res)
),
""
)</f>
        <v/>
      </c>
      <c r="N188" s="6" t="str">
        <f>IFERROR(IF(M188="","",M188-TIME(1,0,0)),"")</f>
        <v/>
      </c>
      <c r="O188" s="6" t="str" cm="1">
        <f t="array" ref="O188">IFERROR(
_xlfn.LET(
_xlpm.res,_xlfn.XLOOKUP(B188,'LOCALIZAÇÃO DE CARGA'!$A$2:$A$2000,'LOCALIZAÇÃO DE CARGA'!$S$2:$S$2000),
IF(_xlpm.res="","",_xlpm.res)
),
""
)</f>
        <v/>
      </c>
      <c r="P188" s="6" t="str" cm="1">
        <f t="array" ref="P188">IFERROR(
_xlfn.LET(
_xlpm.res,_xlfn.XLOOKUP(B188,'LOCALIZAÇÃO DE CARGA'!$A$2:$A$702,'LOCALIZAÇÃO DE CARGA'!$T$2:$T$702),
IF(_xlpm.res="","",_xlpm.res)
),
""
)</f>
        <v/>
      </c>
      <c r="Q188" s="5" t="str">
        <f>IFERROR(
IF(
_xlfn.XLOOKUP(
B188,
'LOCALIZAÇÃO DE CARGA'!$A$2:$A$702,
'LOCALIZAÇÃO DE CARGA'!$K$2:$K$702
)="",
"",
_xlfn.XLOOKUP(
B188,
'LOCALIZAÇÃO DE CARGA'!$A$2:$A$702,
'LOCALIZAÇÃO DE CARGA'!$K$2:$K$702
)
),
""
)</f>
        <v/>
      </c>
      <c r="R188" s="5" t="str">
        <f t="shared" si="8"/>
        <v/>
      </c>
      <c r="S188" s="5" t="str" cm="1">
        <f t="array" ref="S188">IF(B188="","",IFERROR(
INDEX(
'VISÃO LOGISTICA'!$L$2:$L$525,
MATCH(
TRUE,
ISNUMBER(FIND(B188,'VISÃO LOGISTICA'!$A$2:$A$525)),
0
)
),
""
))</f>
        <v/>
      </c>
      <c r="T188" s="5" t="str" cm="1">
        <f t="array" ref="T188">IFERROR(
_xlfn.LET(
_xlpm.res,_xlfn.XLOOKUP(B188,'LOCALIZAÇÃO DE CARGA'!$A$2:$A$702,'LOCALIZAÇÃO DE CARGA'!$R$2:$R$702),
IF(_xlpm.res="","",SUBSTITUTE(_xlpm.res,"/BRASIL",""))
),
""
)</f>
        <v/>
      </c>
    </row>
    <row r="189" spans="1:20">
      <c r="A189" s="14" t="str">
        <f t="shared" si="6"/>
        <v/>
      </c>
      <c r="B189" s="5"/>
      <c r="C189" s="45" t="str">
        <f t="shared" ca="1" si="7"/>
        <v/>
      </c>
      <c r="D189" s="28"/>
      <c r="E189" s="28" t="str">
        <f>IFERROR(
IF(
_xlfn.XLOOKUP(
B189,
'LOCALIZAÇÃO DE CARGA'!$A$2:$A$702,
'LOCALIZAÇÃO DE CARGA'!$D$2:$D$702
)="",
"",
_xlfn.XLOOKUP(
B189,
'LOCALIZAÇÃO DE CARGA'!$A$2:$A$702,
'LOCALIZAÇÃO DE CARGA'!$D$2:$D$702
)
),
""
)</f>
        <v/>
      </c>
      <c r="F189" s="13" t="str">
        <f>IFERROR(
IF(
_xlfn.XLOOKUP(
B189,
'LOCALIZAÇÃO DE CARGA'!$A$2:$A$702,
'LOCALIZAÇÃO DE CARGA'!$H$2:$H$702
)="",
"",
_xlfn.XLOOKUP(
B189,
'LOCALIZAÇÃO DE CARGA'!$A$2:$A$702,
'LOCALIZAÇÃO DE CARGA'!$H$2:$H$702
)
),
""
)</f>
        <v/>
      </c>
      <c r="G189" s="5" t="str">
        <f>IFERROR(
IF(
_xlfn.XLOOKUP(
B189,
'LOCALIZAÇÃO DE CARGA'!$A$2:$A$702,
'LOCALIZAÇÃO DE CARGA'!$I$2:$I$702
)="",
"",
_xlfn.XLOOKUP(
B189,
'LOCALIZAÇÃO DE CARGA'!$A$2:$A$702,
'LOCALIZAÇÃO DE CARGA'!$I$2:$I$702
)
),
""
)</f>
        <v/>
      </c>
      <c r="H189" s="5" t="str">
        <f>IFERROR(
IF(
_xlfn.XLOOKUP(
B189,
'LOCALIZAÇÃO DE CARGA'!$A$2:$A$702,
'LOCALIZAÇÃO DE CARGA'!$F$2:$F$702
)="",
"",
_xlfn.XLOOKUP(
B189,
'LOCALIZAÇÃO DE CARGA'!$A$2:$A$702,
'LOCALIZAÇÃO DE CARGA'!$F$2:$F$702
)
),
""
)</f>
        <v/>
      </c>
      <c r="I189" s="13" t="str" cm="1">
        <f t="array" ref="I189">IFERROR(
IF(
INDEX(
'VISÃO LOGISTICA'!$C$2:$C$525,
MATCH(
TRUE,
ISNUMBER(FIND(B189,'VISÃO LOGISTICA'!$A$2:$A$525)),
0
)
)="Em espera",
"",
INDEX(
'VISÃO LOGISTICA'!$C$2:$C$525,
MATCH(
TRUE,
ISNUMBER(FIND(B189,'VISÃO LOGISTICA'!$A$2:$A$525)),
0
)
)
),
""
)</f>
        <v>Em Viagem</v>
      </c>
      <c r="J189" s="5" t="str" cm="1">
        <f t="array" ref="J189">IFERROR(
IF(
OR(
INDEX(
'VISÃO LOGISTICA'!$C$2:$C$2000,
MATCH(
TRUE,
ISNUMBER(FIND(B189,'VISÃO LOGISTICA'!$A$2:$A$2000)),
0
)
)="Em espera",
INDEX(
'VISÃO LOGISTICA'!$C$2:$C$2000,
MATCH(
TRUE,
ISNUMBER(FIND(B189,'VISÃO LOGISTICA'!$A$2:$A$2000)),
0
)
)=""
),
"",
INDEX(
'VISÃO LOGISTICA'!$D$2:$D$2000,
MATCH(
TRUE,
ISNUMBER(FIND(B189,'VISÃO LOGISTICA'!$A$2:$A$2000)),
0
)
)
),
""
)</f>
        <v>BCU5G84</v>
      </c>
      <c r="K189" s="10" t="str">
        <f>IFERROR(
IF(
_xlfn.XLOOKUP(
B189,
'LOCALIZAÇÃO DE CARGA'!$A$2:$A$702,
'LOCALIZAÇÃO DE CARGA'!$E$2:$E$702)="",
"",
_xlfn.XLOOKUP(
B189,
'LOCALIZAÇÃO DE CARGA'!$A$2:$A$702,
'LOCALIZAÇÃO DE CARGA'!$E$2:$E$702)
),
""
)</f>
        <v/>
      </c>
      <c r="L189" s="20" t="str" cm="1">
        <f t="array" ref="L189">IFERROR(
_xlfn.LET(
_xlpm.res,_xlfn.XLOOKUP(B189,'LOCALIZAÇÃO DE CARGA'!$A$2:$A$2000,'LOCALIZAÇÃO DE CARGA'!$G$2:$G$2000),
IF(_xlpm.res="","",_xlpm.res)
),
""
)</f>
        <v/>
      </c>
      <c r="M189" s="20" t="str" cm="1">
        <f t="array" ref="M189">IFERROR(
_xlfn.LET(
_xlpm.load,_xlfn.XLOOKUP(B189,'LOCALIZAÇÃO DE CARGA'!$A$2:$A$2000,'LOCALIZAÇÃO DE CARGA'!$A$2:$A$2000),
_xlpm.res,_xlfn.XLOOKUP(_xlpm.load,DOCUMENTOS!$A$2:$A$2000,DOCUMENTOS!$D$2:$D$2000),
IF(_xlpm.res="","",_xlpm.res)
),
""
)</f>
        <v/>
      </c>
      <c r="N189" s="6" t="str">
        <f>IFERROR(IF(M189="","",M189-TIME(1,0,0)),"")</f>
        <v/>
      </c>
      <c r="O189" s="6" t="str" cm="1">
        <f t="array" ref="O189">IFERROR(
_xlfn.LET(
_xlpm.res,_xlfn.XLOOKUP(B189,'LOCALIZAÇÃO DE CARGA'!$A$2:$A$2000,'LOCALIZAÇÃO DE CARGA'!$S$2:$S$2000),
IF(_xlpm.res="","",_xlpm.res)
),
""
)</f>
        <v/>
      </c>
      <c r="P189" s="6" t="str" cm="1">
        <f t="array" ref="P189">IFERROR(
_xlfn.LET(
_xlpm.res,_xlfn.XLOOKUP(B189,'LOCALIZAÇÃO DE CARGA'!$A$2:$A$702,'LOCALIZAÇÃO DE CARGA'!$T$2:$T$702),
IF(_xlpm.res="","",_xlpm.res)
),
""
)</f>
        <v/>
      </c>
      <c r="Q189" s="5" t="str">
        <f>IFERROR(
IF(
_xlfn.XLOOKUP(
B189,
'LOCALIZAÇÃO DE CARGA'!$A$2:$A$702,
'LOCALIZAÇÃO DE CARGA'!$K$2:$K$702
)="",
"",
_xlfn.XLOOKUP(
B189,
'LOCALIZAÇÃO DE CARGA'!$A$2:$A$702,
'LOCALIZAÇÃO DE CARGA'!$K$2:$K$702
)
),
""
)</f>
        <v/>
      </c>
      <c r="R189" s="5" t="str">
        <f t="shared" si="8"/>
        <v/>
      </c>
      <c r="S189" s="5" t="str" cm="1">
        <f t="array" ref="S189">IF(B189="","",IFERROR(
INDEX(
'VISÃO LOGISTICA'!$L$2:$L$525,
MATCH(
TRUE,
ISNUMBER(FIND(B189,'VISÃO LOGISTICA'!$A$2:$A$525)),
0
)
),
""
))</f>
        <v/>
      </c>
      <c r="T189" s="5" t="str" cm="1">
        <f t="array" ref="T189">IFERROR(
_xlfn.LET(
_xlpm.res,_xlfn.XLOOKUP(B189,'LOCALIZAÇÃO DE CARGA'!$A$2:$A$702,'LOCALIZAÇÃO DE CARGA'!$R$2:$R$702),
IF(_xlpm.res="","",SUBSTITUTE(_xlpm.res,"/BRASIL",""))
),
""
)</f>
        <v/>
      </c>
    </row>
    <row r="190" spans="1:20">
      <c r="A190" s="14" t="str">
        <f t="shared" si="6"/>
        <v/>
      </c>
      <c r="B190" s="5"/>
      <c r="C190" s="45" t="str">
        <f t="shared" ca="1" si="7"/>
        <v/>
      </c>
      <c r="D190" s="28"/>
      <c r="E190" s="28" t="str">
        <f>IFERROR(
IF(
_xlfn.XLOOKUP(
B190,
'LOCALIZAÇÃO DE CARGA'!$A$2:$A$702,
'LOCALIZAÇÃO DE CARGA'!$D$2:$D$702
)="",
"",
_xlfn.XLOOKUP(
B190,
'LOCALIZAÇÃO DE CARGA'!$A$2:$A$702,
'LOCALIZAÇÃO DE CARGA'!$D$2:$D$702
)
),
""
)</f>
        <v/>
      </c>
      <c r="F190" s="13" t="str">
        <f>IFERROR(
IF(
_xlfn.XLOOKUP(
B190,
'LOCALIZAÇÃO DE CARGA'!$A$2:$A$702,
'LOCALIZAÇÃO DE CARGA'!$H$2:$H$702
)="",
"",
_xlfn.XLOOKUP(
B190,
'LOCALIZAÇÃO DE CARGA'!$A$2:$A$702,
'LOCALIZAÇÃO DE CARGA'!$H$2:$H$702
)
),
""
)</f>
        <v/>
      </c>
      <c r="G190" s="5" t="str">
        <f>IFERROR(
IF(
_xlfn.XLOOKUP(
B190,
'LOCALIZAÇÃO DE CARGA'!$A$2:$A$702,
'LOCALIZAÇÃO DE CARGA'!$I$2:$I$702
)="",
"",
_xlfn.XLOOKUP(
B190,
'LOCALIZAÇÃO DE CARGA'!$A$2:$A$702,
'LOCALIZAÇÃO DE CARGA'!$I$2:$I$702
)
),
""
)</f>
        <v/>
      </c>
      <c r="H190" s="5" t="str">
        <f>IFERROR(
IF(
_xlfn.XLOOKUP(
B190,
'LOCALIZAÇÃO DE CARGA'!$A$2:$A$702,
'LOCALIZAÇÃO DE CARGA'!$F$2:$F$702
)="",
"",
_xlfn.XLOOKUP(
B190,
'LOCALIZAÇÃO DE CARGA'!$A$2:$A$702,
'LOCALIZAÇÃO DE CARGA'!$F$2:$F$702
)
),
""
)</f>
        <v/>
      </c>
      <c r="I190" s="13" t="str" cm="1">
        <f t="array" ref="I190">IFERROR(
IF(
INDEX(
'VISÃO LOGISTICA'!$C$2:$C$525,
MATCH(
TRUE,
ISNUMBER(FIND(B190,'VISÃO LOGISTICA'!$A$2:$A$525)),
0
)
)="Em espera",
"",
INDEX(
'VISÃO LOGISTICA'!$C$2:$C$525,
MATCH(
TRUE,
ISNUMBER(FIND(B190,'VISÃO LOGISTICA'!$A$2:$A$525)),
0
)
)
),
""
)</f>
        <v>Em Viagem</v>
      </c>
      <c r="J190" s="5" t="str" cm="1">
        <f t="array" ref="J190">IFERROR(
IF(
OR(
INDEX(
'VISÃO LOGISTICA'!$C$2:$C$2000,
MATCH(
TRUE,
ISNUMBER(FIND(B190,'VISÃO LOGISTICA'!$A$2:$A$2000)),
0
)
)="Em espera",
INDEX(
'VISÃO LOGISTICA'!$C$2:$C$2000,
MATCH(
TRUE,
ISNUMBER(FIND(B190,'VISÃO LOGISTICA'!$A$2:$A$2000)),
0
)
)=""
),
"",
INDEX(
'VISÃO LOGISTICA'!$D$2:$D$2000,
MATCH(
TRUE,
ISNUMBER(FIND(B190,'VISÃO LOGISTICA'!$A$2:$A$2000)),
0
)
)
),
""
)</f>
        <v>BCU5G84</v>
      </c>
      <c r="K190" s="10" t="str">
        <f>IFERROR(
IF(
_xlfn.XLOOKUP(
B190,
'LOCALIZAÇÃO DE CARGA'!$A$2:$A$702,
'LOCALIZAÇÃO DE CARGA'!$E$2:$E$702)="",
"",
_xlfn.XLOOKUP(
B190,
'LOCALIZAÇÃO DE CARGA'!$A$2:$A$702,
'LOCALIZAÇÃO DE CARGA'!$E$2:$E$702)
),
""
)</f>
        <v/>
      </c>
      <c r="L190" s="20" t="str" cm="1">
        <f t="array" ref="L190">IFERROR(
_xlfn.LET(
_xlpm.res,_xlfn.XLOOKUP(B190,'LOCALIZAÇÃO DE CARGA'!$A$2:$A$2000,'LOCALIZAÇÃO DE CARGA'!$G$2:$G$2000),
IF(_xlpm.res="","",_xlpm.res)
),
""
)</f>
        <v/>
      </c>
      <c r="M190" s="20" t="str" cm="1">
        <f t="array" ref="M190">IFERROR(
_xlfn.LET(
_xlpm.load,_xlfn.XLOOKUP(B190,'LOCALIZAÇÃO DE CARGA'!$A$2:$A$2000,'LOCALIZAÇÃO DE CARGA'!$A$2:$A$2000),
_xlpm.res,_xlfn.XLOOKUP(_xlpm.load,DOCUMENTOS!$A$2:$A$2000,DOCUMENTOS!$D$2:$D$2000),
IF(_xlpm.res="","",_xlpm.res)
),
""
)</f>
        <v/>
      </c>
      <c r="N190" s="6" t="str">
        <f>IFERROR(IF(M190="","",M190-TIME(1,0,0)),"")</f>
        <v/>
      </c>
      <c r="O190" s="6" t="str" cm="1">
        <f t="array" ref="O190">IFERROR(
_xlfn.LET(
_xlpm.res,_xlfn.XLOOKUP(B190,'LOCALIZAÇÃO DE CARGA'!$A$2:$A$2000,'LOCALIZAÇÃO DE CARGA'!$S$2:$S$2000),
IF(_xlpm.res="","",_xlpm.res)
),
""
)</f>
        <v/>
      </c>
      <c r="P190" s="6" t="str" cm="1">
        <f t="array" ref="P190">IFERROR(
_xlfn.LET(
_xlpm.res,_xlfn.XLOOKUP(B190,'LOCALIZAÇÃO DE CARGA'!$A$2:$A$702,'LOCALIZAÇÃO DE CARGA'!$T$2:$T$702),
IF(_xlpm.res="","",_xlpm.res)
),
""
)</f>
        <v/>
      </c>
      <c r="Q190" s="5" t="str">
        <f>IFERROR(
IF(
_xlfn.XLOOKUP(
B190,
'LOCALIZAÇÃO DE CARGA'!$A$2:$A$702,
'LOCALIZAÇÃO DE CARGA'!$K$2:$K$702
)="",
"",
_xlfn.XLOOKUP(
B190,
'LOCALIZAÇÃO DE CARGA'!$A$2:$A$702,
'LOCALIZAÇÃO DE CARGA'!$K$2:$K$702
)
),
""
)</f>
        <v/>
      </c>
      <c r="R190" s="5" t="str">
        <f t="shared" si="8"/>
        <v/>
      </c>
      <c r="S190" s="5" t="str" cm="1">
        <f t="array" ref="S190">IF(B190="","",IFERROR(
INDEX(
'VISÃO LOGISTICA'!$L$2:$L$525,
MATCH(
TRUE,
ISNUMBER(FIND(B190,'VISÃO LOGISTICA'!$A$2:$A$525)),
0
)
),
""
))</f>
        <v/>
      </c>
      <c r="T190" s="5" t="str" cm="1">
        <f t="array" ref="T190">IFERROR(
_xlfn.LET(
_xlpm.res,_xlfn.XLOOKUP(B190,'LOCALIZAÇÃO DE CARGA'!$A$2:$A$702,'LOCALIZAÇÃO DE CARGA'!$R$2:$R$702),
IF(_xlpm.res="","",SUBSTITUTE(_xlpm.res,"/BRASIL",""))
),
""
)</f>
        <v/>
      </c>
    </row>
    <row r="191" spans="1:20">
      <c r="A191" s="14" t="str">
        <f t="shared" si="6"/>
        <v/>
      </c>
      <c r="B191" s="5"/>
      <c r="C191" s="45" t="str">
        <f t="shared" ca="1" si="7"/>
        <v/>
      </c>
      <c r="D191" s="28"/>
      <c r="E191" s="28" t="str">
        <f>IFERROR(
IF(
_xlfn.XLOOKUP(
B191,
'LOCALIZAÇÃO DE CARGA'!$A$2:$A$702,
'LOCALIZAÇÃO DE CARGA'!$D$2:$D$702
)="",
"",
_xlfn.XLOOKUP(
B191,
'LOCALIZAÇÃO DE CARGA'!$A$2:$A$702,
'LOCALIZAÇÃO DE CARGA'!$D$2:$D$702
)
),
""
)</f>
        <v/>
      </c>
      <c r="F191" s="13" t="str">
        <f>IFERROR(
IF(
_xlfn.XLOOKUP(
B191,
'LOCALIZAÇÃO DE CARGA'!$A$2:$A$702,
'LOCALIZAÇÃO DE CARGA'!$H$2:$H$702
)="",
"",
_xlfn.XLOOKUP(
B191,
'LOCALIZAÇÃO DE CARGA'!$A$2:$A$702,
'LOCALIZAÇÃO DE CARGA'!$H$2:$H$702
)
),
""
)</f>
        <v/>
      </c>
      <c r="G191" s="5" t="str">
        <f>IFERROR(
IF(
_xlfn.XLOOKUP(
B191,
'LOCALIZAÇÃO DE CARGA'!$A$2:$A$702,
'LOCALIZAÇÃO DE CARGA'!$I$2:$I$702
)="",
"",
_xlfn.XLOOKUP(
B191,
'LOCALIZAÇÃO DE CARGA'!$A$2:$A$702,
'LOCALIZAÇÃO DE CARGA'!$I$2:$I$702
)
),
""
)</f>
        <v/>
      </c>
      <c r="H191" s="5" t="str">
        <f>IFERROR(
IF(
_xlfn.XLOOKUP(
B191,
'LOCALIZAÇÃO DE CARGA'!$A$2:$A$702,
'LOCALIZAÇÃO DE CARGA'!$F$2:$F$702
)="",
"",
_xlfn.XLOOKUP(
B191,
'LOCALIZAÇÃO DE CARGA'!$A$2:$A$702,
'LOCALIZAÇÃO DE CARGA'!$F$2:$F$702
)
),
""
)</f>
        <v/>
      </c>
      <c r="I191" s="13" t="str" cm="1">
        <f t="array" ref="I191">IFERROR(
IF(
INDEX(
'VISÃO LOGISTICA'!$C$2:$C$525,
MATCH(
TRUE,
ISNUMBER(FIND(B191,'VISÃO LOGISTICA'!$A$2:$A$525)),
0
)
)="Em espera",
"",
INDEX(
'VISÃO LOGISTICA'!$C$2:$C$525,
MATCH(
TRUE,
ISNUMBER(FIND(B191,'VISÃO LOGISTICA'!$A$2:$A$525)),
0
)
)
),
""
)</f>
        <v>Em Viagem</v>
      </c>
      <c r="J191" s="5" t="str" cm="1">
        <f t="array" ref="J191">IFERROR(
IF(
OR(
INDEX(
'VISÃO LOGISTICA'!$C$2:$C$2000,
MATCH(
TRUE,
ISNUMBER(FIND(B191,'VISÃO LOGISTICA'!$A$2:$A$2000)),
0
)
)="Em espera",
INDEX(
'VISÃO LOGISTICA'!$C$2:$C$2000,
MATCH(
TRUE,
ISNUMBER(FIND(B191,'VISÃO LOGISTICA'!$A$2:$A$2000)),
0
)
)=""
),
"",
INDEX(
'VISÃO LOGISTICA'!$D$2:$D$2000,
MATCH(
TRUE,
ISNUMBER(FIND(B191,'VISÃO LOGISTICA'!$A$2:$A$2000)),
0
)
)
),
""
)</f>
        <v>BCU5G84</v>
      </c>
      <c r="K191" s="10" t="str">
        <f>IFERROR(
IF(
_xlfn.XLOOKUP(
B191,
'LOCALIZAÇÃO DE CARGA'!$A$2:$A$702,
'LOCALIZAÇÃO DE CARGA'!$E$2:$E$702)="",
"",
_xlfn.XLOOKUP(
B191,
'LOCALIZAÇÃO DE CARGA'!$A$2:$A$702,
'LOCALIZAÇÃO DE CARGA'!$E$2:$E$702)
),
""
)</f>
        <v/>
      </c>
      <c r="L191" s="20" t="str" cm="1">
        <f t="array" ref="L191">IFERROR(
_xlfn.LET(
_xlpm.res,_xlfn.XLOOKUP(B191,'LOCALIZAÇÃO DE CARGA'!$A$2:$A$2000,'LOCALIZAÇÃO DE CARGA'!$G$2:$G$2000),
IF(_xlpm.res="","",_xlpm.res)
),
""
)</f>
        <v/>
      </c>
      <c r="M191" s="20" t="str" cm="1">
        <f t="array" ref="M191">IFERROR(
_xlfn.LET(
_xlpm.load,_xlfn.XLOOKUP(B191,'LOCALIZAÇÃO DE CARGA'!$A$2:$A$2000,'LOCALIZAÇÃO DE CARGA'!$A$2:$A$2000),
_xlpm.res,_xlfn.XLOOKUP(_xlpm.load,DOCUMENTOS!$A$2:$A$2000,DOCUMENTOS!$D$2:$D$2000),
IF(_xlpm.res="","",_xlpm.res)
),
""
)</f>
        <v/>
      </c>
      <c r="N191" s="6" t="str">
        <f>IFERROR(IF(M191="","",M191-TIME(1,0,0)),"")</f>
        <v/>
      </c>
      <c r="O191" s="6" t="str" cm="1">
        <f t="array" ref="O191">IFERROR(
_xlfn.LET(
_xlpm.res,_xlfn.XLOOKUP(B191,'LOCALIZAÇÃO DE CARGA'!$A$2:$A$2000,'LOCALIZAÇÃO DE CARGA'!$S$2:$S$2000),
IF(_xlpm.res="","",_xlpm.res)
),
""
)</f>
        <v/>
      </c>
      <c r="P191" s="6" t="str" cm="1">
        <f t="array" ref="P191">IFERROR(
_xlfn.LET(
_xlpm.res,_xlfn.XLOOKUP(B191,'LOCALIZAÇÃO DE CARGA'!$A$2:$A$702,'LOCALIZAÇÃO DE CARGA'!$T$2:$T$702),
IF(_xlpm.res="","",_xlpm.res)
),
""
)</f>
        <v/>
      </c>
      <c r="Q191" s="5" t="str">
        <f>IFERROR(
IF(
_xlfn.XLOOKUP(
B191,
'LOCALIZAÇÃO DE CARGA'!$A$2:$A$702,
'LOCALIZAÇÃO DE CARGA'!$K$2:$K$702
)="",
"",
_xlfn.XLOOKUP(
B191,
'LOCALIZAÇÃO DE CARGA'!$A$2:$A$702,
'LOCALIZAÇÃO DE CARGA'!$K$2:$K$702
)
),
""
)</f>
        <v/>
      </c>
      <c r="R191" s="5" t="str">
        <f t="shared" si="8"/>
        <v/>
      </c>
      <c r="S191" s="5" t="str" cm="1">
        <f t="array" ref="S191">IF(B191="","",IFERROR(
INDEX(
'VISÃO LOGISTICA'!$L$2:$L$525,
MATCH(
TRUE,
ISNUMBER(FIND(B191,'VISÃO LOGISTICA'!$A$2:$A$525)),
0
)
),
""
))</f>
        <v/>
      </c>
      <c r="T191" s="5" t="str" cm="1">
        <f t="array" ref="T191">IFERROR(
_xlfn.LET(
_xlpm.res,_xlfn.XLOOKUP(B191,'LOCALIZAÇÃO DE CARGA'!$A$2:$A$702,'LOCALIZAÇÃO DE CARGA'!$R$2:$R$702),
IF(_xlpm.res="","",SUBSTITUTE(_xlpm.res,"/BRASIL",""))
),
""
)</f>
        <v/>
      </c>
    </row>
    <row r="192" spans="1:20">
      <c r="A192" s="14" t="str">
        <f t="shared" si="6"/>
        <v/>
      </c>
      <c r="B192" s="5"/>
      <c r="C192" s="45" t="str">
        <f t="shared" ca="1" si="7"/>
        <v/>
      </c>
      <c r="D192" s="28"/>
      <c r="E192" s="28" t="str">
        <f>IFERROR(
IF(
_xlfn.XLOOKUP(
B192,
'LOCALIZAÇÃO DE CARGA'!$A$2:$A$702,
'LOCALIZAÇÃO DE CARGA'!$D$2:$D$702
)="",
"",
_xlfn.XLOOKUP(
B192,
'LOCALIZAÇÃO DE CARGA'!$A$2:$A$702,
'LOCALIZAÇÃO DE CARGA'!$D$2:$D$702
)
),
""
)</f>
        <v/>
      </c>
      <c r="F192" s="13" t="str">
        <f>IFERROR(
IF(
_xlfn.XLOOKUP(
B192,
'LOCALIZAÇÃO DE CARGA'!$A$2:$A$702,
'LOCALIZAÇÃO DE CARGA'!$H$2:$H$702
)="",
"",
_xlfn.XLOOKUP(
B192,
'LOCALIZAÇÃO DE CARGA'!$A$2:$A$702,
'LOCALIZAÇÃO DE CARGA'!$H$2:$H$702
)
),
""
)</f>
        <v/>
      </c>
      <c r="G192" s="5" t="str">
        <f>IFERROR(
IF(
_xlfn.XLOOKUP(
B192,
'LOCALIZAÇÃO DE CARGA'!$A$2:$A$702,
'LOCALIZAÇÃO DE CARGA'!$I$2:$I$702
)="",
"",
_xlfn.XLOOKUP(
B192,
'LOCALIZAÇÃO DE CARGA'!$A$2:$A$702,
'LOCALIZAÇÃO DE CARGA'!$I$2:$I$702
)
),
""
)</f>
        <v/>
      </c>
      <c r="H192" s="5" t="str">
        <f>IFERROR(
IF(
_xlfn.XLOOKUP(
B192,
'LOCALIZAÇÃO DE CARGA'!$A$2:$A$702,
'LOCALIZAÇÃO DE CARGA'!$F$2:$F$702
)="",
"",
_xlfn.XLOOKUP(
B192,
'LOCALIZAÇÃO DE CARGA'!$A$2:$A$702,
'LOCALIZAÇÃO DE CARGA'!$F$2:$F$702
)
),
""
)</f>
        <v/>
      </c>
      <c r="I192" s="13" t="str" cm="1">
        <f t="array" ref="I192">IFERROR(
IF(
INDEX(
'VISÃO LOGISTICA'!$C$2:$C$525,
MATCH(
TRUE,
ISNUMBER(FIND(B192,'VISÃO LOGISTICA'!$A$2:$A$525)),
0
)
)="Em espera",
"",
INDEX(
'VISÃO LOGISTICA'!$C$2:$C$525,
MATCH(
TRUE,
ISNUMBER(FIND(B192,'VISÃO LOGISTICA'!$A$2:$A$525)),
0
)
)
),
""
)</f>
        <v>Em Viagem</v>
      </c>
      <c r="J192" s="5" t="str" cm="1">
        <f t="array" ref="J192">IFERROR(
IF(
OR(
INDEX(
'VISÃO LOGISTICA'!$C$2:$C$2000,
MATCH(
TRUE,
ISNUMBER(FIND(B192,'VISÃO LOGISTICA'!$A$2:$A$2000)),
0
)
)="Em espera",
INDEX(
'VISÃO LOGISTICA'!$C$2:$C$2000,
MATCH(
TRUE,
ISNUMBER(FIND(B192,'VISÃO LOGISTICA'!$A$2:$A$2000)),
0
)
)=""
),
"",
INDEX(
'VISÃO LOGISTICA'!$D$2:$D$2000,
MATCH(
TRUE,
ISNUMBER(FIND(B192,'VISÃO LOGISTICA'!$A$2:$A$2000)),
0
)
)
),
""
)</f>
        <v>BCU5G84</v>
      </c>
      <c r="K192" s="10" t="str">
        <f>IFERROR(
IF(
_xlfn.XLOOKUP(
B192,
'LOCALIZAÇÃO DE CARGA'!$A$2:$A$702,
'LOCALIZAÇÃO DE CARGA'!$E$2:$E$702)="",
"",
_xlfn.XLOOKUP(
B192,
'LOCALIZAÇÃO DE CARGA'!$A$2:$A$702,
'LOCALIZAÇÃO DE CARGA'!$E$2:$E$702)
),
""
)</f>
        <v/>
      </c>
      <c r="L192" s="20" t="str" cm="1">
        <f t="array" ref="L192">IFERROR(
_xlfn.LET(
_xlpm.res,_xlfn.XLOOKUP(B192,'LOCALIZAÇÃO DE CARGA'!$A$2:$A$2000,'LOCALIZAÇÃO DE CARGA'!$G$2:$G$2000),
IF(_xlpm.res="","",_xlpm.res)
),
""
)</f>
        <v/>
      </c>
      <c r="M192" s="20" t="str" cm="1">
        <f t="array" ref="M192">IFERROR(
_xlfn.LET(
_xlpm.load,_xlfn.XLOOKUP(B192,'LOCALIZAÇÃO DE CARGA'!$A$2:$A$2000,'LOCALIZAÇÃO DE CARGA'!$A$2:$A$2000),
_xlpm.res,_xlfn.XLOOKUP(_xlpm.load,DOCUMENTOS!$A$2:$A$2000,DOCUMENTOS!$D$2:$D$2000),
IF(_xlpm.res="","",_xlpm.res)
),
""
)</f>
        <v/>
      </c>
      <c r="N192" s="6" t="str">
        <f>IFERROR(IF(M192="","",M192-TIME(1,0,0)),"")</f>
        <v/>
      </c>
      <c r="O192" s="6" t="str" cm="1">
        <f t="array" ref="O192">IFERROR(
_xlfn.LET(
_xlpm.res,_xlfn.XLOOKUP(B192,'LOCALIZAÇÃO DE CARGA'!$A$2:$A$2000,'LOCALIZAÇÃO DE CARGA'!$S$2:$S$2000),
IF(_xlpm.res="","",_xlpm.res)
),
""
)</f>
        <v/>
      </c>
      <c r="P192" s="6" t="str" cm="1">
        <f t="array" ref="P192">IFERROR(
_xlfn.LET(
_xlpm.res,_xlfn.XLOOKUP(B192,'LOCALIZAÇÃO DE CARGA'!$A$2:$A$702,'LOCALIZAÇÃO DE CARGA'!$T$2:$T$702),
IF(_xlpm.res="","",_xlpm.res)
),
""
)</f>
        <v/>
      </c>
      <c r="Q192" s="5" t="str">
        <f>IFERROR(
IF(
_xlfn.XLOOKUP(
B192,
'LOCALIZAÇÃO DE CARGA'!$A$2:$A$702,
'LOCALIZAÇÃO DE CARGA'!$K$2:$K$702
)="",
"",
_xlfn.XLOOKUP(
B192,
'LOCALIZAÇÃO DE CARGA'!$A$2:$A$702,
'LOCALIZAÇÃO DE CARGA'!$K$2:$K$702
)
),
""
)</f>
        <v/>
      </c>
      <c r="R192" s="5" t="str">
        <f t="shared" si="8"/>
        <v/>
      </c>
      <c r="S192" s="5" t="str" cm="1">
        <f t="array" ref="S192">IF(B192="","",IFERROR(
INDEX(
'VISÃO LOGISTICA'!$L$2:$L$525,
MATCH(
TRUE,
ISNUMBER(FIND(B192,'VISÃO LOGISTICA'!$A$2:$A$525)),
0
)
),
""
))</f>
        <v/>
      </c>
      <c r="T192" s="5" t="str" cm="1">
        <f t="array" ref="T192">IFERROR(
_xlfn.LET(
_xlpm.res,_xlfn.XLOOKUP(B192,'LOCALIZAÇÃO DE CARGA'!$A$2:$A$702,'LOCALIZAÇÃO DE CARGA'!$R$2:$R$702),
IF(_xlpm.res="","",SUBSTITUTE(_xlpm.res,"/BRASIL",""))
),
""
)</f>
        <v/>
      </c>
    </row>
    <row r="193" spans="1:20">
      <c r="A193" s="14" t="str">
        <f t="shared" si="6"/>
        <v/>
      </c>
      <c r="B193" s="5"/>
      <c r="C193" s="45" t="str">
        <f t="shared" ca="1" si="7"/>
        <v/>
      </c>
      <c r="D193" s="28"/>
      <c r="E193" s="28" t="str">
        <f>IFERROR(
IF(
_xlfn.XLOOKUP(
B193,
'LOCALIZAÇÃO DE CARGA'!$A$2:$A$702,
'LOCALIZAÇÃO DE CARGA'!$D$2:$D$702
)="",
"",
_xlfn.XLOOKUP(
B193,
'LOCALIZAÇÃO DE CARGA'!$A$2:$A$702,
'LOCALIZAÇÃO DE CARGA'!$D$2:$D$702
)
),
""
)</f>
        <v/>
      </c>
      <c r="F193" s="13" t="str">
        <f>IFERROR(
IF(
_xlfn.XLOOKUP(
B193,
'LOCALIZAÇÃO DE CARGA'!$A$2:$A$702,
'LOCALIZAÇÃO DE CARGA'!$H$2:$H$702
)="",
"",
_xlfn.XLOOKUP(
B193,
'LOCALIZAÇÃO DE CARGA'!$A$2:$A$702,
'LOCALIZAÇÃO DE CARGA'!$H$2:$H$702
)
),
""
)</f>
        <v/>
      </c>
      <c r="G193" s="5" t="str">
        <f>IFERROR(
IF(
_xlfn.XLOOKUP(
B193,
'LOCALIZAÇÃO DE CARGA'!$A$2:$A$702,
'LOCALIZAÇÃO DE CARGA'!$I$2:$I$702
)="",
"",
_xlfn.XLOOKUP(
B193,
'LOCALIZAÇÃO DE CARGA'!$A$2:$A$702,
'LOCALIZAÇÃO DE CARGA'!$I$2:$I$702
)
),
""
)</f>
        <v/>
      </c>
      <c r="H193" s="5" t="str">
        <f>IFERROR(
IF(
_xlfn.XLOOKUP(
B193,
'LOCALIZAÇÃO DE CARGA'!$A$2:$A$702,
'LOCALIZAÇÃO DE CARGA'!$F$2:$F$702
)="",
"",
_xlfn.XLOOKUP(
B193,
'LOCALIZAÇÃO DE CARGA'!$A$2:$A$702,
'LOCALIZAÇÃO DE CARGA'!$F$2:$F$702
)
),
""
)</f>
        <v/>
      </c>
      <c r="I193" s="13" t="str" cm="1">
        <f t="array" ref="I193">IFERROR(
IF(
INDEX(
'VISÃO LOGISTICA'!$C$2:$C$525,
MATCH(
TRUE,
ISNUMBER(FIND(B193,'VISÃO LOGISTICA'!$A$2:$A$525)),
0
)
)="Em espera",
"",
INDEX(
'VISÃO LOGISTICA'!$C$2:$C$525,
MATCH(
TRUE,
ISNUMBER(FIND(B193,'VISÃO LOGISTICA'!$A$2:$A$525)),
0
)
)
),
""
)</f>
        <v>Em Viagem</v>
      </c>
      <c r="J193" s="5" t="str" cm="1">
        <f t="array" ref="J193">IFERROR(
IF(
OR(
INDEX(
'VISÃO LOGISTICA'!$C$2:$C$2000,
MATCH(
TRUE,
ISNUMBER(FIND(B193,'VISÃO LOGISTICA'!$A$2:$A$2000)),
0
)
)="Em espera",
INDEX(
'VISÃO LOGISTICA'!$C$2:$C$2000,
MATCH(
TRUE,
ISNUMBER(FIND(B193,'VISÃO LOGISTICA'!$A$2:$A$2000)),
0
)
)=""
),
"",
INDEX(
'VISÃO LOGISTICA'!$D$2:$D$2000,
MATCH(
TRUE,
ISNUMBER(FIND(B193,'VISÃO LOGISTICA'!$A$2:$A$2000)),
0
)
)
),
""
)</f>
        <v>BCU5G84</v>
      </c>
      <c r="K193" s="10" t="str">
        <f>IFERROR(
IF(
_xlfn.XLOOKUP(
B193,
'LOCALIZAÇÃO DE CARGA'!$A$2:$A$702,
'LOCALIZAÇÃO DE CARGA'!$E$2:$E$702)="",
"",
_xlfn.XLOOKUP(
B193,
'LOCALIZAÇÃO DE CARGA'!$A$2:$A$702,
'LOCALIZAÇÃO DE CARGA'!$E$2:$E$702)
),
""
)</f>
        <v/>
      </c>
      <c r="L193" s="20" t="str" cm="1">
        <f t="array" ref="L193">IFERROR(
_xlfn.LET(
_xlpm.res,_xlfn.XLOOKUP(B193,'LOCALIZAÇÃO DE CARGA'!$A$2:$A$2000,'LOCALIZAÇÃO DE CARGA'!$G$2:$G$2000),
IF(_xlpm.res="","",_xlpm.res)
),
""
)</f>
        <v/>
      </c>
      <c r="M193" s="20" t="str" cm="1">
        <f t="array" ref="M193">IFERROR(
_xlfn.LET(
_xlpm.load,_xlfn.XLOOKUP(B193,'LOCALIZAÇÃO DE CARGA'!$A$2:$A$2000,'LOCALIZAÇÃO DE CARGA'!$A$2:$A$2000),
_xlpm.res,_xlfn.XLOOKUP(_xlpm.load,DOCUMENTOS!$A$2:$A$2000,DOCUMENTOS!$D$2:$D$2000),
IF(_xlpm.res="","",_xlpm.res)
),
""
)</f>
        <v/>
      </c>
      <c r="N193" s="6" t="str">
        <f>IFERROR(IF(M193="","",M193-TIME(1,0,0)),"")</f>
        <v/>
      </c>
      <c r="O193" s="6" t="str" cm="1">
        <f t="array" ref="O193">IFERROR(
_xlfn.LET(
_xlpm.res,_xlfn.XLOOKUP(B193,'LOCALIZAÇÃO DE CARGA'!$A$2:$A$2000,'LOCALIZAÇÃO DE CARGA'!$S$2:$S$2000),
IF(_xlpm.res="","",_xlpm.res)
),
""
)</f>
        <v/>
      </c>
      <c r="P193" s="6" t="str" cm="1">
        <f t="array" ref="P193">IFERROR(
_xlfn.LET(
_xlpm.res,_xlfn.XLOOKUP(B193,'LOCALIZAÇÃO DE CARGA'!$A$2:$A$702,'LOCALIZAÇÃO DE CARGA'!$T$2:$T$702),
IF(_xlpm.res="","",_xlpm.res)
),
""
)</f>
        <v/>
      </c>
      <c r="Q193" s="5" t="str">
        <f>IFERROR(
IF(
_xlfn.XLOOKUP(
B193,
'LOCALIZAÇÃO DE CARGA'!$A$2:$A$702,
'LOCALIZAÇÃO DE CARGA'!$K$2:$K$702
)="",
"",
_xlfn.XLOOKUP(
B193,
'LOCALIZAÇÃO DE CARGA'!$A$2:$A$702,
'LOCALIZAÇÃO DE CARGA'!$K$2:$K$702
)
),
""
)</f>
        <v/>
      </c>
      <c r="R193" s="5" t="str">
        <f t="shared" si="8"/>
        <v/>
      </c>
      <c r="S193" s="5" t="str" cm="1">
        <f t="array" ref="S193">IF(B193="","",IFERROR(
INDEX(
'VISÃO LOGISTICA'!$L$2:$L$525,
MATCH(
TRUE,
ISNUMBER(FIND(B193,'VISÃO LOGISTICA'!$A$2:$A$525)),
0
)
),
""
))</f>
        <v/>
      </c>
      <c r="T193" s="5" t="str" cm="1">
        <f t="array" ref="T193">IFERROR(
_xlfn.LET(
_xlpm.res,_xlfn.XLOOKUP(B193,'LOCALIZAÇÃO DE CARGA'!$A$2:$A$702,'LOCALIZAÇÃO DE CARGA'!$R$2:$R$702),
IF(_xlpm.res="","",SUBSTITUTE(_xlpm.res,"/BRASIL",""))
),
""
)</f>
        <v/>
      </c>
    </row>
    <row r="194" spans="1:20">
      <c r="A194" s="14" t="str">
        <f t="shared" si="6"/>
        <v/>
      </c>
      <c r="B194" s="5"/>
      <c r="C194" s="45" t="str">
        <f t="shared" ca="1" si="7"/>
        <v/>
      </c>
      <c r="D194" s="28"/>
      <c r="E194" s="28" t="str">
        <f>IFERROR(
IF(
_xlfn.XLOOKUP(
B194,
'LOCALIZAÇÃO DE CARGA'!$A$2:$A$702,
'LOCALIZAÇÃO DE CARGA'!$D$2:$D$702
)="",
"",
_xlfn.XLOOKUP(
B194,
'LOCALIZAÇÃO DE CARGA'!$A$2:$A$702,
'LOCALIZAÇÃO DE CARGA'!$D$2:$D$702
)
),
""
)</f>
        <v/>
      </c>
      <c r="F194" s="13" t="str">
        <f>IFERROR(
IF(
_xlfn.XLOOKUP(
B194,
'LOCALIZAÇÃO DE CARGA'!$A$2:$A$702,
'LOCALIZAÇÃO DE CARGA'!$H$2:$H$702
)="",
"",
_xlfn.XLOOKUP(
B194,
'LOCALIZAÇÃO DE CARGA'!$A$2:$A$702,
'LOCALIZAÇÃO DE CARGA'!$H$2:$H$702
)
),
""
)</f>
        <v/>
      </c>
      <c r="G194" s="5" t="str">
        <f>IFERROR(
IF(
_xlfn.XLOOKUP(
B194,
'LOCALIZAÇÃO DE CARGA'!$A$2:$A$702,
'LOCALIZAÇÃO DE CARGA'!$I$2:$I$702
)="",
"",
_xlfn.XLOOKUP(
B194,
'LOCALIZAÇÃO DE CARGA'!$A$2:$A$702,
'LOCALIZAÇÃO DE CARGA'!$I$2:$I$702
)
),
""
)</f>
        <v/>
      </c>
      <c r="H194" s="5" t="str">
        <f>IFERROR(
IF(
_xlfn.XLOOKUP(
B194,
'LOCALIZAÇÃO DE CARGA'!$A$2:$A$702,
'LOCALIZAÇÃO DE CARGA'!$F$2:$F$702
)="",
"",
_xlfn.XLOOKUP(
B194,
'LOCALIZAÇÃO DE CARGA'!$A$2:$A$702,
'LOCALIZAÇÃO DE CARGA'!$F$2:$F$702
)
),
""
)</f>
        <v/>
      </c>
      <c r="I194" s="13" t="str" cm="1">
        <f t="array" ref="I194">IFERROR(
IF(
INDEX(
'VISÃO LOGISTICA'!$C$2:$C$525,
MATCH(
TRUE,
ISNUMBER(FIND(B194,'VISÃO LOGISTICA'!$A$2:$A$525)),
0
)
)="Em espera",
"",
INDEX(
'VISÃO LOGISTICA'!$C$2:$C$525,
MATCH(
TRUE,
ISNUMBER(FIND(B194,'VISÃO LOGISTICA'!$A$2:$A$525)),
0
)
)
),
""
)</f>
        <v>Em Viagem</v>
      </c>
      <c r="J194" s="5" t="str" cm="1">
        <f t="array" ref="J194">IFERROR(
IF(
OR(
INDEX(
'VISÃO LOGISTICA'!$C$2:$C$2000,
MATCH(
TRUE,
ISNUMBER(FIND(B194,'VISÃO LOGISTICA'!$A$2:$A$2000)),
0
)
)="Em espera",
INDEX(
'VISÃO LOGISTICA'!$C$2:$C$2000,
MATCH(
TRUE,
ISNUMBER(FIND(B194,'VISÃO LOGISTICA'!$A$2:$A$2000)),
0
)
)=""
),
"",
INDEX(
'VISÃO LOGISTICA'!$D$2:$D$2000,
MATCH(
TRUE,
ISNUMBER(FIND(B194,'VISÃO LOGISTICA'!$A$2:$A$2000)),
0
)
)
),
""
)</f>
        <v>BCU5G84</v>
      </c>
      <c r="K194" s="10" t="str">
        <f>IFERROR(
IF(
_xlfn.XLOOKUP(
B194,
'LOCALIZAÇÃO DE CARGA'!$A$2:$A$702,
'LOCALIZAÇÃO DE CARGA'!$E$2:$E$702)="",
"",
_xlfn.XLOOKUP(
B194,
'LOCALIZAÇÃO DE CARGA'!$A$2:$A$702,
'LOCALIZAÇÃO DE CARGA'!$E$2:$E$702)
),
""
)</f>
        <v/>
      </c>
      <c r="L194" s="20" t="str" cm="1">
        <f t="array" ref="L194">IFERROR(
_xlfn.LET(
_xlpm.res,_xlfn.XLOOKUP(B194,'LOCALIZAÇÃO DE CARGA'!$A$2:$A$2000,'LOCALIZAÇÃO DE CARGA'!$G$2:$G$2000),
IF(_xlpm.res="","",_xlpm.res)
),
""
)</f>
        <v/>
      </c>
      <c r="M194" s="20" t="str" cm="1">
        <f t="array" ref="M194">IFERROR(
_xlfn.LET(
_xlpm.load,_xlfn.XLOOKUP(B194,'LOCALIZAÇÃO DE CARGA'!$A$2:$A$2000,'LOCALIZAÇÃO DE CARGA'!$A$2:$A$2000),
_xlpm.res,_xlfn.XLOOKUP(_xlpm.load,DOCUMENTOS!$A$2:$A$2000,DOCUMENTOS!$D$2:$D$2000),
IF(_xlpm.res="","",_xlpm.res)
),
""
)</f>
        <v/>
      </c>
      <c r="N194" s="6" t="str">
        <f>IFERROR(IF(M194="","",M194-TIME(1,0,0)),"")</f>
        <v/>
      </c>
      <c r="O194" s="6" t="str" cm="1">
        <f t="array" ref="O194">IFERROR(
_xlfn.LET(
_xlpm.res,_xlfn.XLOOKUP(B194,'LOCALIZAÇÃO DE CARGA'!$A$2:$A$2000,'LOCALIZAÇÃO DE CARGA'!$S$2:$S$2000),
IF(_xlpm.res="","",_xlpm.res)
),
""
)</f>
        <v/>
      </c>
      <c r="P194" s="6" t="str" cm="1">
        <f t="array" ref="P194">IFERROR(
_xlfn.LET(
_xlpm.res,_xlfn.XLOOKUP(B194,'LOCALIZAÇÃO DE CARGA'!$A$2:$A$702,'LOCALIZAÇÃO DE CARGA'!$T$2:$T$702),
IF(_xlpm.res="","",_xlpm.res)
),
""
)</f>
        <v/>
      </c>
      <c r="Q194" s="5" t="str">
        <f>IFERROR(
IF(
_xlfn.XLOOKUP(
B194,
'LOCALIZAÇÃO DE CARGA'!$A$2:$A$702,
'LOCALIZAÇÃO DE CARGA'!$K$2:$K$702
)="",
"",
_xlfn.XLOOKUP(
B194,
'LOCALIZAÇÃO DE CARGA'!$A$2:$A$702,
'LOCALIZAÇÃO DE CARGA'!$K$2:$K$702
)
),
""
)</f>
        <v/>
      </c>
      <c r="R194" s="5" t="str">
        <f t="shared" si="8"/>
        <v/>
      </c>
      <c r="S194" s="5" t="str" cm="1">
        <f t="array" ref="S194">IF(B194="","",IFERROR(
INDEX(
'VISÃO LOGISTICA'!$L$2:$L$525,
MATCH(
TRUE,
ISNUMBER(FIND(B194,'VISÃO LOGISTICA'!$A$2:$A$525)),
0
)
),
""
))</f>
        <v/>
      </c>
      <c r="T194" s="5" t="str" cm="1">
        <f t="array" ref="T194">IFERROR(
_xlfn.LET(
_xlpm.res,_xlfn.XLOOKUP(B194,'LOCALIZAÇÃO DE CARGA'!$A$2:$A$702,'LOCALIZAÇÃO DE CARGA'!$R$2:$R$702),
IF(_xlpm.res="","",SUBSTITUTE(_xlpm.res,"/BRASIL",""))
),
""
)</f>
        <v/>
      </c>
    </row>
    <row r="195" spans="1:20">
      <c r="A195" s="14" t="str">
        <f t="shared" si="6"/>
        <v/>
      </c>
      <c r="B195" s="5"/>
      <c r="C195" s="45" t="str">
        <f t="shared" ca="1" si="7"/>
        <v/>
      </c>
      <c r="D195" s="28"/>
      <c r="E195" s="28" t="str">
        <f>IFERROR(
IF(
_xlfn.XLOOKUP(
B195,
'LOCALIZAÇÃO DE CARGA'!$A$2:$A$702,
'LOCALIZAÇÃO DE CARGA'!$D$2:$D$702
)="",
"",
_xlfn.XLOOKUP(
B195,
'LOCALIZAÇÃO DE CARGA'!$A$2:$A$702,
'LOCALIZAÇÃO DE CARGA'!$D$2:$D$702
)
),
""
)</f>
        <v/>
      </c>
      <c r="F195" s="13" t="str">
        <f>IFERROR(
IF(
_xlfn.XLOOKUP(
B195,
'LOCALIZAÇÃO DE CARGA'!$A$2:$A$702,
'LOCALIZAÇÃO DE CARGA'!$H$2:$H$702
)="",
"",
_xlfn.XLOOKUP(
B195,
'LOCALIZAÇÃO DE CARGA'!$A$2:$A$702,
'LOCALIZAÇÃO DE CARGA'!$H$2:$H$702
)
),
""
)</f>
        <v/>
      </c>
      <c r="G195" s="5" t="str">
        <f>IFERROR(
IF(
_xlfn.XLOOKUP(
B195,
'LOCALIZAÇÃO DE CARGA'!$A$2:$A$702,
'LOCALIZAÇÃO DE CARGA'!$I$2:$I$702
)="",
"",
_xlfn.XLOOKUP(
B195,
'LOCALIZAÇÃO DE CARGA'!$A$2:$A$702,
'LOCALIZAÇÃO DE CARGA'!$I$2:$I$702
)
),
""
)</f>
        <v/>
      </c>
      <c r="H195" s="5" t="str">
        <f>IFERROR(
IF(
_xlfn.XLOOKUP(
B195,
'LOCALIZAÇÃO DE CARGA'!$A$2:$A$702,
'LOCALIZAÇÃO DE CARGA'!$F$2:$F$702
)="",
"",
_xlfn.XLOOKUP(
B195,
'LOCALIZAÇÃO DE CARGA'!$A$2:$A$702,
'LOCALIZAÇÃO DE CARGA'!$F$2:$F$702
)
),
""
)</f>
        <v/>
      </c>
      <c r="I195" s="13" t="str" cm="1">
        <f t="array" ref="I195">IFERROR(
IF(
INDEX(
'VISÃO LOGISTICA'!$C$2:$C$525,
MATCH(
TRUE,
ISNUMBER(FIND(B195,'VISÃO LOGISTICA'!$A$2:$A$525)),
0
)
)="Em espera",
"",
INDEX(
'VISÃO LOGISTICA'!$C$2:$C$525,
MATCH(
TRUE,
ISNUMBER(FIND(B195,'VISÃO LOGISTICA'!$A$2:$A$525)),
0
)
)
),
""
)</f>
        <v>Em Viagem</v>
      </c>
      <c r="J195" s="5" t="str" cm="1">
        <f t="array" ref="J195">IFERROR(
IF(
OR(
INDEX(
'VISÃO LOGISTICA'!$C$2:$C$2000,
MATCH(
TRUE,
ISNUMBER(FIND(B195,'VISÃO LOGISTICA'!$A$2:$A$2000)),
0
)
)="Em espera",
INDEX(
'VISÃO LOGISTICA'!$C$2:$C$2000,
MATCH(
TRUE,
ISNUMBER(FIND(B195,'VISÃO LOGISTICA'!$A$2:$A$2000)),
0
)
)=""
),
"",
INDEX(
'VISÃO LOGISTICA'!$D$2:$D$2000,
MATCH(
TRUE,
ISNUMBER(FIND(B195,'VISÃO LOGISTICA'!$A$2:$A$2000)),
0
)
)
),
""
)</f>
        <v>BCU5G84</v>
      </c>
      <c r="K195" s="10" t="str">
        <f>IFERROR(
IF(
_xlfn.XLOOKUP(
B195,
'LOCALIZAÇÃO DE CARGA'!$A$2:$A$702,
'LOCALIZAÇÃO DE CARGA'!$E$2:$E$702)="",
"",
_xlfn.XLOOKUP(
B195,
'LOCALIZAÇÃO DE CARGA'!$A$2:$A$702,
'LOCALIZAÇÃO DE CARGA'!$E$2:$E$702)
),
""
)</f>
        <v/>
      </c>
      <c r="L195" s="20" t="str" cm="1">
        <f t="array" ref="L195">IFERROR(
_xlfn.LET(
_xlpm.res,_xlfn.XLOOKUP(B195,'LOCALIZAÇÃO DE CARGA'!$A$2:$A$2000,'LOCALIZAÇÃO DE CARGA'!$G$2:$G$2000),
IF(_xlpm.res="","",_xlpm.res)
),
""
)</f>
        <v/>
      </c>
      <c r="M195" s="20" t="str" cm="1">
        <f t="array" ref="M195">IFERROR(
_xlfn.LET(
_xlpm.load,_xlfn.XLOOKUP(B195,'LOCALIZAÇÃO DE CARGA'!$A$2:$A$2000,'LOCALIZAÇÃO DE CARGA'!$A$2:$A$2000),
_xlpm.res,_xlfn.XLOOKUP(_xlpm.load,DOCUMENTOS!$A$2:$A$2000,DOCUMENTOS!$D$2:$D$2000),
IF(_xlpm.res="","",_xlpm.res)
),
""
)</f>
        <v/>
      </c>
      <c r="N195" s="6" t="str">
        <f>IFERROR(IF(M195="","",M195-TIME(1,0,0)),"")</f>
        <v/>
      </c>
      <c r="O195" s="6" t="str" cm="1">
        <f t="array" ref="O195">IFERROR(
_xlfn.LET(
_xlpm.res,_xlfn.XLOOKUP(B195,'LOCALIZAÇÃO DE CARGA'!$A$2:$A$2000,'LOCALIZAÇÃO DE CARGA'!$S$2:$S$2000),
IF(_xlpm.res="","",_xlpm.res)
),
""
)</f>
        <v/>
      </c>
      <c r="P195" s="6" t="str" cm="1">
        <f t="array" ref="P195">IFERROR(
_xlfn.LET(
_xlpm.res,_xlfn.XLOOKUP(B195,'LOCALIZAÇÃO DE CARGA'!$A$2:$A$702,'LOCALIZAÇÃO DE CARGA'!$T$2:$T$702),
IF(_xlpm.res="","",_xlpm.res)
),
""
)</f>
        <v/>
      </c>
      <c r="Q195" s="5" t="str">
        <f>IFERROR(
IF(
_xlfn.XLOOKUP(
B195,
'LOCALIZAÇÃO DE CARGA'!$A$2:$A$702,
'LOCALIZAÇÃO DE CARGA'!$K$2:$K$702
)="",
"",
_xlfn.XLOOKUP(
B195,
'LOCALIZAÇÃO DE CARGA'!$A$2:$A$702,
'LOCALIZAÇÃO DE CARGA'!$K$2:$K$702
)
),
""
)</f>
        <v/>
      </c>
      <c r="R195" s="5" t="str">
        <f t="shared" si="8"/>
        <v/>
      </c>
      <c r="S195" s="5" t="str" cm="1">
        <f t="array" ref="S195">IF(B195="","",IFERROR(
INDEX(
'VISÃO LOGISTICA'!$L$2:$L$525,
MATCH(
TRUE,
ISNUMBER(FIND(B195,'VISÃO LOGISTICA'!$A$2:$A$525)),
0
)
),
""
))</f>
        <v/>
      </c>
      <c r="T195" s="5" t="str" cm="1">
        <f t="array" ref="T195">IFERROR(
_xlfn.LET(
_xlpm.res,_xlfn.XLOOKUP(B195,'LOCALIZAÇÃO DE CARGA'!$A$2:$A$702,'LOCALIZAÇÃO DE CARGA'!$R$2:$R$702),
IF(_xlpm.res="","",SUBSTITUTE(_xlpm.res,"/BRASIL",""))
),
""
)</f>
        <v/>
      </c>
    </row>
    <row r="196" spans="1:20">
      <c r="A196" s="14" t="str">
        <f t="shared" si="6"/>
        <v/>
      </c>
      <c r="B196" s="5"/>
      <c r="C196" s="45" t="str">
        <f t="shared" ca="1" si="7"/>
        <v/>
      </c>
      <c r="D196" s="28"/>
      <c r="E196" s="28" t="str">
        <f>IFERROR(
IF(
_xlfn.XLOOKUP(
B196,
'LOCALIZAÇÃO DE CARGA'!$A$2:$A$702,
'LOCALIZAÇÃO DE CARGA'!$D$2:$D$702
)="",
"",
_xlfn.XLOOKUP(
B196,
'LOCALIZAÇÃO DE CARGA'!$A$2:$A$702,
'LOCALIZAÇÃO DE CARGA'!$D$2:$D$702
)
),
""
)</f>
        <v/>
      </c>
      <c r="F196" s="13" t="str">
        <f>IFERROR(
IF(
_xlfn.XLOOKUP(
B196,
'LOCALIZAÇÃO DE CARGA'!$A$2:$A$702,
'LOCALIZAÇÃO DE CARGA'!$H$2:$H$702
)="",
"",
_xlfn.XLOOKUP(
B196,
'LOCALIZAÇÃO DE CARGA'!$A$2:$A$702,
'LOCALIZAÇÃO DE CARGA'!$H$2:$H$702
)
),
""
)</f>
        <v/>
      </c>
      <c r="G196" s="5" t="str">
        <f>IFERROR(
IF(
_xlfn.XLOOKUP(
B196,
'LOCALIZAÇÃO DE CARGA'!$A$2:$A$702,
'LOCALIZAÇÃO DE CARGA'!$I$2:$I$702
)="",
"",
_xlfn.XLOOKUP(
B196,
'LOCALIZAÇÃO DE CARGA'!$A$2:$A$702,
'LOCALIZAÇÃO DE CARGA'!$I$2:$I$702
)
),
""
)</f>
        <v/>
      </c>
      <c r="H196" s="5" t="str">
        <f>IFERROR(
IF(
_xlfn.XLOOKUP(
B196,
'LOCALIZAÇÃO DE CARGA'!$A$2:$A$702,
'LOCALIZAÇÃO DE CARGA'!$F$2:$F$702
)="",
"",
_xlfn.XLOOKUP(
B196,
'LOCALIZAÇÃO DE CARGA'!$A$2:$A$702,
'LOCALIZAÇÃO DE CARGA'!$F$2:$F$702
)
),
""
)</f>
        <v/>
      </c>
      <c r="I196" s="13" t="str" cm="1">
        <f t="array" ref="I196">IFERROR(
IF(
INDEX(
'VISÃO LOGISTICA'!$C$2:$C$525,
MATCH(
TRUE,
ISNUMBER(FIND(B196,'VISÃO LOGISTICA'!$A$2:$A$525)),
0
)
)="Em espera",
"",
INDEX(
'VISÃO LOGISTICA'!$C$2:$C$525,
MATCH(
TRUE,
ISNUMBER(FIND(B196,'VISÃO LOGISTICA'!$A$2:$A$525)),
0
)
)
),
""
)</f>
        <v>Em Viagem</v>
      </c>
      <c r="J196" s="5" t="str" cm="1">
        <f t="array" ref="J196">IFERROR(
IF(
OR(
INDEX(
'VISÃO LOGISTICA'!$C$2:$C$2000,
MATCH(
TRUE,
ISNUMBER(FIND(B196,'VISÃO LOGISTICA'!$A$2:$A$2000)),
0
)
)="Em espera",
INDEX(
'VISÃO LOGISTICA'!$C$2:$C$2000,
MATCH(
TRUE,
ISNUMBER(FIND(B196,'VISÃO LOGISTICA'!$A$2:$A$2000)),
0
)
)=""
),
"",
INDEX(
'VISÃO LOGISTICA'!$D$2:$D$2000,
MATCH(
TRUE,
ISNUMBER(FIND(B196,'VISÃO LOGISTICA'!$A$2:$A$2000)),
0
)
)
),
""
)</f>
        <v>BCU5G84</v>
      </c>
      <c r="K196" s="10" t="str">
        <f>IFERROR(
IF(
_xlfn.XLOOKUP(
B196,
'LOCALIZAÇÃO DE CARGA'!$A$2:$A$702,
'LOCALIZAÇÃO DE CARGA'!$E$2:$E$702)="",
"",
_xlfn.XLOOKUP(
B196,
'LOCALIZAÇÃO DE CARGA'!$A$2:$A$702,
'LOCALIZAÇÃO DE CARGA'!$E$2:$E$702)
),
""
)</f>
        <v/>
      </c>
      <c r="L196" s="20" t="str" cm="1">
        <f t="array" ref="L196">IFERROR(
_xlfn.LET(
_xlpm.res,_xlfn.XLOOKUP(B196,'LOCALIZAÇÃO DE CARGA'!$A$2:$A$2000,'LOCALIZAÇÃO DE CARGA'!$G$2:$G$2000),
IF(_xlpm.res="","",_xlpm.res)
),
""
)</f>
        <v/>
      </c>
      <c r="M196" s="20" t="str" cm="1">
        <f t="array" ref="M196">IFERROR(
_xlfn.LET(
_xlpm.load,_xlfn.XLOOKUP(B196,'LOCALIZAÇÃO DE CARGA'!$A$2:$A$2000,'LOCALIZAÇÃO DE CARGA'!$A$2:$A$2000),
_xlpm.res,_xlfn.XLOOKUP(_xlpm.load,DOCUMENTOS!$A$2:$A$2000,DOCUMENTOS!$D$2:$D$2000),
IF(_xlpm.res="","",_xlpm.res)
),
""
)</f>
        <v/>
      </c>
      <c r="N196" s="6" t="str">
        <f>IFERROR(IF(M196="","",M196-TIME(1,0,0)),"")</f>
        <v/>
      </c>
      <c r="O196" s="6" t="str" cm="1">
        <f t="array" ref="O196">IFERROR(
_xlfn.LET(
_xlpm.res,_xlfn.XLOOKUP(B196,'LOCALIZAÇÃO DE CARGA'!$A$2:$A$2000,'LOCALIZAÇÃO DE CARGA'!$S$2:$S$2000),
IF(_xlpm.res="","",_xlpm.res)
),
""
)</f>
        <v/>
      </c>
      <c r="P196" s="6" t="str" cm="1">
        <f t="array" ref="P196">IFERROR(
_xlfn.LET(
_xlpm.res,_xlfn.XLOOKUP(B196,'LOCALIZAÇÃO DE CARGA'!$A$2:$A$702,'LOCALIZAÇÃO DE CARGA'!$T$2:$T$702),
IF(_xlpm.res="","",_xlpm.res)
),
""
)</f>
        <v/>
      </c>
      <c r="Q196" s="5" t="str">
        <f>IFERROR(
IF(
_xlfn.XLOOKUP(
B196,
'LOCALIZAÇÃO DE CARGA'!$A$2:$A$702,
'LOCALIZAÇÃO DE CARGA'!$K$2:$K$702
)="",
"",
_xlfn.XLOOKUP(
B196,
'LOCALIZAÇÃO DE CARGA'!$A$2:$A$702,
'LOCALIZAÇÃO DE CARGA'!$K$2:$K$702
)
),
""
)</f>
        <v/>
      </c>
      <c r="R196" s="5" t="str">
        <f t="shared" si="8"/>
        <v/>
      </c>
      <c r="S196" s="5" t="str" cm="1">
        <f t="array" ref="S196">IF(B196="","",IFERROR(
INDEX(
'VISÃO LOGISTICA'!$L$2:$L$525,
MATCH(
TRUE,
ISNUMBER(FIND(B196,'VISÃO LOGISTICA'!$A$2:$A$525)),
0
)
),
""
))</f>
        <v/>
      </c>
      <c r="T196" s="5" t="str" cm="1">
        <f t="array" ref="T196">IFERROR(
_xlfn.LET(
_xlpm.res,_xlfn.XLOOKUP(B196,'LOCALIZAÇÃO DE CARGA'!$A$2:$A$702,'LOCALIZAÇÃO DE CARGA'!$R$2:$R$702),
IF(_xlpm.res="","",SUBSTITUTE(_xlpm.res,"/BRASIL",""))
),
""
)</f>
        <v/>
      </c>
    </row>
    <row r="197" spans="1:20">
      <c r="A197" s="14" t="str">
        <f t="shared" ref="A197:A230" si="9">IF(M197="","",INT(M197))</f>
        <v/>
      </c>
      <c r="B197" s="5"/>
      <c r="C197" s="45" t="str">
        <f t="shared" ref="C197:C230" ca="1" si="10">IFERROR(
IF(B197="","",
IF(I197="Encerrada",
"VERIFICAR SMP EM ANDAMENTO",
IF(VALUE(SUBSTITUTE(K197,".",""))&lt;100000,
"DESCONSIDERA, VALOR NÃO RASTREADO",
IF(AND(I197="EM VIAGEM",ISNUMBER(FIND("CAJAMAR/SP",S197))),
IF(E197="Patio",
"NA PENSKE - COM SMP - AGUARDANDO CARREGAMENTO",
"NA PENSKE - COM SMP - AGUARDANDO SAÍDA"),
IF(AND(I197="Pré-SMP",ISNUMBER(FIND("CAJAMAR/SP",S197))),
IF(E197="Patio",
"NA PENSKE - PRÉ-SMP - AGUARDANDO CARREGAMENTO",
"NA PENSKE - PRÉ-SMP - AGUARDANDO SAÍDA"),
IF(AND(I197="EM VIAGEM",ISNUMBER(FIND("ITAPOA/SC",S197))),
"NA CLIF - COM SMP - AGUARDANDO SAÍDA",
IF(AND(I197="Pré-SMP",ISNUMBER(FIND("ITAPOA/SC",S197))),
"NA CLIF - PRÉ-SMP - AGUARDANDO SAÍDA",
IF(I197="EM VIAGEM",
"EM VIAGEM",
IF(OR(L197="",N197=""),
IF(I197="EM VIAGEM","SEM PREVISAO - COM SMP",
IF(I197="Pré-SMP","SEM PREVISAO - PRÉ-SMP",
"SEM PREVISAO - SEM SMP")),
IF(M197&gt;L197,
IF(NOW()&gt;N197,
IF(E197="Finalizado",
IF(I197="EM VIAGEM","CARREGADO - COM SMP",
IF(I197="Pré-SMP","CARREGADO - PRÉ-SMP",
"CARREGADO - SEM SMP")),
IF(I197="EM VIAGEM","ATRASADO CARREGAMENTO - COM SMP - VERIFICAR AGENDAMENTO",
IF(I197="Pré-SMP","ATRASADO CARREGAMENTO - PRÉ-SMP - VERIFICAR AGENDAMENTO",
"ATRASADO CARREGAMENTO - SEM SMP - VERIFICAR AGENDAMENTO"))),
IF(NOW()&gt;L197,
IF(I197="EM VIAGEM","ATRASADO ENTREGA - COM SMP - VERIFICAR AGENDAMENTO",
IF(I197="Pré-SMP","ATRASADO ENTREGA - PRÉ-SMP - VERIFICAR AGENDAMENTO",
"ATRASADO ENTREGA - SEM SMP - VERIFICAR AGENDAMENTO")),
"OK NO PRAZO - VERIFICAR AGENDAMENTO")),
IF(NOW()&gt;L197,
IF(I197="EM VIAGEM","ATRASADO ENTREGA - COM SMP",
IF(I197="Pré-SMP","ATRASADO ENTREGA - PRÉ-SMP",
"ATRASADO ENTREGA - SEM SMP")),
IF(NOW()&gt;N197,
IF(E197="Finalizado",
IF(I197="EM VIAGEM","CARREGADO - COM SMP",
IF(I197="Pré-SMP","CARREGADO - PRÉ-SMP",
"CARREGADO - SEM SMP")),
IF(I197="EM VIAGEM","ATRASADO CARREGAMENTO - COM SMP",
IF(I197="Pré-SMP","ATRASADO CARREGAMENTO - PRÉ-SMP",
"ATRASADO CARREGAMENTO - SEM SMP"))),
IF(L197-NOW()&lt;=1,
"ATENCAO - PROXIMO",
"OK - NO PRAZO"
))))))))))))),"")</f>
        <v/>
      </c>
      <c r="D197" s="28"/>
      <c r="E197" s="28" t="str">
        <f>IFERROR(
IF(
_xlfn.XLOOKUP(
B197,
'LOCALIZAÇÃO DE CARGA'!$A$2:$A$702,
'LOCALIZAÇÃO DE CARGA'!$D$2:$D$702
)="",
"",
_xlfn.XLOOKUP(
B197,
'LOCALIZAÇÃO DE CARGA'!$A$2:$A$702,
'LOCALIZAÇÃO DE CARGA'!$D$2:$D$702
)
),
""
)</f>
        <v/>
      </c>
      <c r="F197" s="13" t="str">
        <f>IFERROR(
IF(
_xlfn.XLOOKUP(
B197,
'LOCALIZAÇÃO DE CARGA'!$A$2:$A$702,
'LOCALIZAÇÃO DE CARGA'!$H$2:$H$702
)="",
"",
_xlfn.XLOOKUP(
B197,
'LOCALIZAÇÃO DE CARGA'!$A$2:$A$702,
'LOCALIZAÇÃO DE CARGA'!$H$2:$H$702
)
),
""
)</f>
        <v/>
      </c>
      <c r="G197" s="5" t="str">
        <f>IFERROR(
IF(
_xlfn.XLOOKUP(
B197,
'LOCALIZAÇÃO DE CARGA'!$A$2:$A$702,
'LOCALIZAÇÃO DE CARGA'!$I$2:$I$702
)="",
"",
_xlfn.XLOOKUP(
B197,
'LOCALIZAÇÃO DE CARGA'!$A$2:$A$702,
'LOCALIZAÇÃO DE CARGA'!$I$2:$I$702
)
),
""
)</f>
        <v/>
      </c>
      <c r="H197" s="5" t="str">
        <f>IFERROR(
IF(
_xlfn.XLOOKUP(
B197,
'LOCALIZAÇÃO DE CARGA'!$A$2:$A$702,
'LOCALIZAÇÃO DE CARGA'!$F$2:$F$702
)="",
"",
_xlfn.XLOOKUP(
B197,
'LOCALIZAÇÃO DE CARGA'!$A$2:$A$702,
'LOCALIZAÇÃO DE CARGA'!$F$2:$F$702
)
),
""
)</f>
        <v/>
      </c>
      <c r="I197" s="13" t="str" cm="1">
        <f t="array" ref="I197">IFERROR(
IF(
INDEX(
'VISÃO LOGISTICA'!$C$2:$C$525,
MATCH(
TRUE,
ISNUMBER(FIND(B197,'VISÃO LOGISTICA'!$A$2:$A$525)),
0
)
)="Em espera",
"",
INDEX(
'VISÃO LOGISTICA'!$C$2:$C$525,
MATCH(
TRUE,
ISNUMBER(FIND(B197,'VISÃO LOGISTICA'!$A$2:$A$525)),
0
)
)
),
""
)</f>
        <v>Em Viagem</v>
      </c>
      <c r="J197" s="5" t="str" cm="1">
        <f t="array" ref="J197">IFERROR(
IF(
OR(
INDEX(
'VISÃO LOGISTICA'!$C$2:$C$2000,
MATCH(
TRUE,
ISNUMBER(FIND(B197,'VISÃO LOGISTICA'!$A$2:$A$2000)),
0
)
)="Em espera",
INDEX(
'VISÃO LOGISTICA'!$C$2:$C$2000,
MATCH(
TRUE,
ISNUMBER(FIND(B197,'VISÃO LOGISTICA'!$A$2:$A$2000)),
0
)
)=""
),
"",
INDEX(
'VISÃO LOGISTICA'!$D$2:$D$2000,
MATCH(
TRUE,
ISNUMBER(FIND(B197,'VISÃO LOGISTICA'!$A$2:$A$2000)),
0
)
)
),
""
)</f>
        <v>BCU5G84</v>
      </c>
      <c r="K197" s="10" t="str">
        <f>IFERROR(
IF(
_xlfn.XLOOKUP(
B197,
'LOCALIZAÇÃO DE CARGA'!$A$2:$A$702,
'LOCALIZAÇÃO DE CARGA'!$E$2:$E$702)="",
"",
_xlfn.XLOOKUP(
B197,
'LOCALIZAÇÃO DE CARGA'!$A$2:$A$702,
'LOCALIZAÇÃO DE CARGA'!$E$2:$E$702)
),
""
)</f>
        <v/>
      </c>
      <c r="L197" s="20" t="str" cm="1">
        <f t="array" ref="L197">IFERROR(
_xlfn.LET(
_xlpm.res,_xlfn.XLOOKUP(B197,'LOCALIZAÇÃO DE CARGA'!$A$2:$A$2000,'LOCALIZAÇÃO DE CARGA'!$G$2:$G$2000),
IF(_xlpm.res="","",_xlpm.res)
),
""
)</f>
        <v/>
      </c>
      <c r="M197" s="20" t="str" cm="1">
        <f t="array" ref="M197">IFERROR(
_xlfn.LET(
_xlpm.load,_xlfn.XLOOKUP(B197,'LOCALIZAÇÃO DE CARGA'!$A$2:$A$2000,'LOCALIZAÇÃO DE CARGA'!$A$2:$A$2000),
_xlpm.res,_xlfn.XLOOKUP(_xlpm.load,DOCUMENTOS!$A$2:$A$2000,DOCUMENTOS!$D$2:$D$2000),
IF(_xlpm.res="","",_xlpm.res)
),
""
)</f>
        <v/>
      </c>
      <c r="N197" s="6" t="str">
        <f>IFERROR(IF(M197="","",M197-TIME(1,0,0)),"")</f>
        <v/>
      </c>
      <c r="O197" s="6" t="str" cm="1">
        <f t="array" ref="O197">IFERROR(
_xlfn.LET(
_xlpm.res,_xlfn.XLOOKUP(B197,'LOCALIZAÇÃO DE CARGA'!$A$2:$A$2000,'LOCALIZAÇÃO DE CARGA'!$S$2:$S$2000),
IF(_xlpm.res="","",_xlpm.res)
),
""
)</f>
        <v/>
      </c>
      <c r="P197" s="6" t="str" cm="1">
        <f t="array" ref="P197">IFERROR(
_xlfn.LET(
_xlpm.res,_xlfn.XLOOKUP(B197,'LOCALIZAÇÃO DE CARGA'!$A$2:$A$702,'LOCALIZAÇÃO DE CARGA'!$T$2:$T$702),
IF(_xlpm.res="","",_xlpm.res)
),
""
)</f>
        <v/>
      </c>
      <c r="Q197" s="5" t="str">
        <f>IFERROR(
IF(
_xlfn.XLOOKUP(
B197,
'LOCALIZAÇÃO DE CARGA'!$A$2:$A$702,
'LOCALIZAÇÃO DE CARGA'!$K$2:$K$702
)="",
"",
_xlfn.XLOOKUP(
B197,
'LOCALIZAÇÃO DE CARGA'!$A$2:$A$702,
'LOCALIZAÇÃO DE CARGA'!$K$2:$K$702
)
),
""
)</f>
        <v/>
      </c>
      <c r="R197" s="5" t="str">
        <f t="shared" ref="R197:R230" si="11">IF(Q197="","",TRIM(IFERROR(LEFT(LEFT(Q197,FIND(" - ",Q197)-1),FIND("(",LEFT(Q197,FIND(" - ",Q197)-1))-1),LEFT(Q197,FIND(" - ",Q197)-1))))</f>
        <v/>
      </c>
      <c r="S197" s="5" t="str" cm="1">
        <f t="array" ref="S197">IF(B197="","",IFERROR(
INDEX(
'VISÃO LOGISTICA'!$L$2:$L$525,
MATCH(
TRUE,
ISNUMBER(FIND(B197,'VISÃO LOGISTICA'!$A$2:$A$525)),
0
)
),
""
))</f>
        <v/>
      </c>
      <c r="T197" s="5" t="str" cm="1">
        <f t="array" ref="T197">IFERROR(
_xlfn.LET(
_xlpm.res,_xlfn.XLOOKUP(B197,'LOCALIZAÇÃO DE CARGA'!$A$2:$A$702,'LOCALIZAÇÃO DE CARGA'!$R$2:$R$702),
IF(_xlpm.res="","",SUBSTITUTE(_xlpm.res,"/BRASIL",""))
),
""
)</f>
        <v/>
      </c>
    </row>
    <row r="198" spans="1:20">
      <c r="A198" s="14" t="str">
        <f t="shared" si="9"/>
        <v/>
      </c>
      <c r="B198" s="5"/>
      <c r="C198" s="45" t="str">
        <f t="shared" ca="1" si="10"/>
        <v/>
      </c>
      <c r="D198" s="28"/>
      <c r="E198" s="28" t="str">
        <f>IFERROR(
IF(
_xlfn.XLOOKUP(
B198,
'LOCALIZAÇÃO DE CARGA'!$A$2:$A$702,
'LOCALIZAÇÃO DE CARGA'!$D$2:$D$702
)="",
"",
_xlfn.XLOOKUP(
B198,
'LOCALIZAÇÃO DE CARGA'!$A$2:$A$702,
'LOCALIZAÇÃO DE CARGA'!$D$2:$D$702
)
),
""
)</f>
        <v/>
      </c>
      <c r="F198" s="13" t="str">
        <f>IFERROR(
IF(
_xlfn.XLOOKUP(
B198,
'LOCALIZAÇÃO DE CARGA'!$A$2:$A$702,
'LOCALIZAÇÃO DE CARGA'!$H$2:$H$702
)="",
"",
_xlfn.XLOOKUP(
B198,
'LOCALIZAÇÃO DE CARGA'!$A$2:$A$702,
'LOCALIZAÇÃO DE CARGA'!$H$2:$H$702
)
),
""
)</f>
        <v/>
      </c>
      <c r="G198" s="5" t="str">
        <f>IFERROR(
IF(
_xlfn.XLOOKUP(
B198,
'LOCALIZAÇÃO DE CARGA'!$A$2:$A$702,
'LOCALIZAÇÃO DE CARGA'!$I$2:$I$702
)="",
"",
_xlfn.XLOOKUP(
B198,
'LOCALIZAÇÃO DE CARGA'!$A$2:$A$702,
'LOCALIZAÇÃO DE CARGA'!$I$2:$I$702
)
),
""
)</f>
        <v/>
      </c>
      <c r="H198" s="5" t="str">
        <f>IFERROR(
IF(
_xlfn.XLOOKUP(
B198,
'LOCALIZAÇÃO DE CARGA'!$A$2:$A$702,
'LOCALIZAÇÃO DE CARGA'!$F$2:$F$702
)="",
"",
_xlfn.XLOOKUP(
B198,
'LOCALIZAÇÃO DE CARGA'!$A$2:$A$702,
'LOCALIZAÇÃO DE CARGA'!$F$2:$F$702
)
),
""
)</f>
        <v/>
      </c>
      <c r="I198" s="13" t="str" cm="1">
        <f t="array" ref="I198">IFERROR(
IF(
INDEX(
'VISÃO LOGISTICA'!$C$2:$C$525,
MATCH(
TRUE,
ISNUMBER(FIND(B198,'VISÃO LOGISTICA'!$A$2:$A$525)),
0
)
)="Em espera",
"",
INDEX(
'VISÃO LOGISTICA'!$C$2:$C$525,
MATCH(
TRUE,
ISNUMBER(FIND(B198,'VISÃO LOGISTICA'!$A$2:$A$525)),
0
)
)
),
""
)</f>
        <v>Em Viagem</v>
      </c>
      <c r="J198" s="5" t="str" cm="1">
        <f t="array" ref="J198">IFERROR(
IF(
OR(
INDEX(
'VISÃO LOGISTICA'!$C$2:$C$2000,
MATCH(
TRUE,
ISNUMBER(FIND(B198,'VISÃO LOGISTICA'!$A$2:$A$2000)),
0
)
)="Em espera",
INDEX(
'VISÃO LOGISTICA'!$C$2:$C$2000,
MATCH(
TRUE,
ISNUMBER(FIND(B198,'VISÃO LOGISTICA'!$A$2:$A$2000)),
0
)
)=""
),
"",
INDEX(
'VISÃO LOGISTICA'!$D$2:$D$2000,
MATCH(
TRUE,
ISNUMBER(FIND(B198,'VISÃO LOGISTICA'!$A$2:$A$2000)),
0
)
)
),
""
)</f>
        <v>BCU5G84</v>
      </c>
      <c r="K198" s="10" t="str">
        <f>IFERROR(
IF(
_xlfn.XLOOKUP(
B198,
'LOCALIZAÇÃO DE CARGA'!$A$2:$A$702,
'LOCALIZAÇÃO DE CARGA'!$E$2:$E$702)="",
"",
_xlfn.XLOOKUP(
B198,
'LOCALIZAÇÃO DE CARGA'!$A$2:$A$702,
'LOCALIZAÇÃO DE CARGA'!$E$2:$E$702)
),
""
)</f>
        <v/>
      </c>
      <c r="L198" s="20" t="str" cm="1">
        <f t="array" ref="L198">IFERROR(
_xlfn.LET(
_xlpm.res,_xlfn.XLOOKUP(B198,'LOCALIZAÇÃO DE CARGA'!$A$2:$A$2000,'LOCALIZAÇÃO DE CARGA'!$G$2:$G$2000),
IF(_xlpm.res="","",_xlpm.res)
),
""
)</f>
        <v/>
      </c>
      <c r="M198" s="20" t="str" cm="1">
        <f t="array" ref="M198">IFERROR(
_xlfn.LET(
_xlpm.load,_xlfn.XLOOKUP(B198,'LOCALIZAÇÃO DE CARGA'!$A$2:$A$2000,'LOCALIZAÇÃO DE CARGA'!$A$2:$A$2000),
_xlpm.res,_xlfn.XLOOKUP(_xlpm.load,DOCUMENTOS!$A$2:$A$2000,DOCUMENTOS!$D$2:$D$2000),
IF(_xlpm.res="","",_xlpm.res)
),
""
)</f>
        <v/>
      </c>
      <c r="N198" s="6" t="str">
        <f>IFERROR(IF(M198="","",M198-TIME(1,0,0)),"")</f>
        <v/>
      </c>
      <c r="O198" s="6" t="str" cm="1">
        <f t="array" ref="O198">IFERROR(
_xlfn.LET(
_xlpm.res,_xlfn.XLOOKUP(B198,'LOCALIZAÇÃO DE CARGA'!$A$2:$A$2000,'LOCALIZAÇÃO DE CARGA'!$S$2:$S$2000),
IF(_xlpm.res="","",_xlpm.res)
),
""
)</f>
        <v/>
      </c>
      <c r="P198" s="6" t="str" cm="1">
        <f t="array" ref="P198">IFERROR(
_xlfn.LET(
_xlpm.res,_xlfn.XLOOKUP(B198,'LOCALIZAÇÃO DE CARGA'!$A$2:$A$702,'LOCALIZAÇÃO DE CARGA'!$T$2:$T$702),
IF(_xlpm.res="","",_xlpm.res)
),
""
)</f>
        <v/>
      </c>
      <c r="Q198" s="5" t="str">
        <f>IFERROR(
IF(
_xlfn.XLOOKUP(
B198,
'LOCALIZAÇÃO DE CARGA'!$A$2:$A$702,
'LOCALIZAÇÃO DE CARGA'!$K$2:$K$702
)="",
"",
_xlfn.XLOOKUP(
B198,
'LOCALIZAÇÃO DE CARGA'!$A$2:$A$702,
'LOCALIZAÇÃO DE CARGA'!$K$2:$K$702
)
),
""
)</f>
        <v/>
      </c>
      <c r="R198" s="5" t="str">
        <f t="shared" si="11"/>
        <v/>
      </c>
      <c r="S198" s="5" t="str" cm="1">
        <f t="array" ref="S198">IF(B198="","",IFERROR(
INDEX(
'VISÃO LOGISTICA'!$L$2:$L$525,
MATCH(
TRUE,
ISNUMBER(FIND(B198,'VISÃO LOGISTICA'!$A$2:$A$525)),
0
)
),
""
))</f>
        <v/>
      </c>
      <c r="T198" s="5" t="str" cm="1">
        <f t="array" ref="T198">IFERROR(
_xlfn.LET(
_xlpm.res,_xlfn.XLOOKUP(B198,'LOCALIZAÇÃO DE CARGA'!$A$2:$A$702,'LOCALIZAÇÃO DE CARGA'!$R$2:$R$702),
IF(_xlpm.res="","",SUBSTITUTE(_xlpm.res,"/BRASIL",""))
),
""
)</f>
        <v/>
      </c>
    </row>
    <row r="199" spans="1:20">
      <c r="A199" s="14" t="str">
        <f t="shared" si="9"/>
        <v/>
      </c>
      <c r="B199" s="5"/>
      <c r="C199" s="45" t="str">
        <f t="shared" ca="1" si="10"/>
        <v/>
      </c>
      <c r="D199" s="28"/>
      <c r="E199" s="28" t="str">
        <f>IFERROR(
IF(
_xlfn.XLOOKUP(
B199,
'LOCALIZAÇÃO DE CARGA'!$A$2:$A$702,
'LOCALIZAÇÃO DE CARGA'!$D$2:$D$702
)="",
"",
_xlfn.XLOOKUP(
B199,
'LOCALIZAÇÃO DE CARGA'!$A$2:$A$702,
'LOCALIZAÇÃO DE CARGA'!$D$2:$D$702
)
),
""
)</f>
        <v/>
      </c>
      <c r="F199" s="13" t="str">
        <f>IFERROR(
IF(
_xlfn.XLOOKUP(
B199,
'LOCALIZAÇÃO DE CARGA'!$A$2:$A$702,
'LOCALIZAÇÃO DE CARGA'!$H$2:$H$702
)="",
"",
_xlfn.XLOOKUP(
B199,
'LOCALIZAÇÃO DE CARGA'!$A$2:$A$702,
'LOCALIZAÇÃO DE CARGA'!$H$2:$H$702
)
),
""
)</f>
        <v/>
      </c>
      <c r="G199" s="5" t="str">
        <f>IFERROR(
IF(
_xlfn.XLOOKUP(
B199,
'LOCALIZAÇÃO DE CARGA'!$A$2:$A$702,
'LOCALIZAÇÃO DE CARGA'!$I$2:$I$702
)="",
"",
_xlfn.XLOOKUP(
B199,
'LOCALIZAÇÃO DE CARGA'!$A$2:$A$702,
'LOCALIZAÇÃO DE CARGA'!$I$2:$I$702
)
),
""
)</f>
        <v/>
      </c>
      <c r="H199" s="5" t="str">
        <f>IFERROR(
IF(
_xlfn.XLOOKUP(
B199,
'LOCALIZAÇÃO DE CARGA'!$A$2:$A$702,
'LOCALIZAÇÃO DE CARGA'!$F$2:$F$702
)="",
"",
_xlfn.XLOOKUP(
B199,
'LOCALIZAÇÃO DE CARGA'!$A$2:$A$702,
'LOCALIZAÇÃO DE CARGA'!$F$2:$F$702
)
),
""
)</f>
        <v/>
      </c>
      <c r="I199" s="13" t="str" cm="1">
        <f t="array" ref="I199">IFERROR(
IF(
INDEX(
'VISÃO LOGISTICA'!$C$2:$C$525,
MATCH(
TRUE,
ISNUMBER(FIND(B199,'VISÃO LOGISTICA'!$A$2:$A$525)),
0
)
)="Em espera",
"",
INDEX(
'VISÃO LOGISTICA'!$C$2:$C$525,
MATCH(
TRUE,
ISNUMBER(FIND(B199,'VISÃO LOGISTICA'!$A$2:$A$525)),
0
)
)
),
""
)</f>
        <v>Em Viagem</v>
      </c>
      <c r="J199" s="5" t="str" cm="1">
        <f t="array" ref="J199">IFERROR(
IF(
OR(
INDEX(
'VISÃO LOGISTICA'!$C$2:$C$2000,
MATCH(
TRUE,
ISNUMBER(FIND(B199,'VISÃO LOGISTICA'!$A$2:$A$2000)),
0
)
)="Em espera",
INDEX(
'VISÃO LOGISTICA'!$C$2:$C$2000,
MATCH(
TRUE,
ISNUMBER(FIND(B199,'VISÃO LOGISTICA'!$A$2:$A$2000)),
0
)
)=""
),
"",
INDEX(
'VISÃO LOGISTICA'!$D$2:$D$2000,
MATCH(
TRUE,
ISNUMBER(FIND(B199,'VISÃO LOGISTICA'!$A$2:$A$2000)),
0
)
)
),
""
)</f>
        <v>BCU5G84</v>
      </c>
      <c r="K199" s="10" t="str">
        <f>IFERROR(
IF(
_xlfn.XLOOKUP(
B199,
'LOCALIZAÇÃO DE CARGA'!$A$2:$A$702,
'LOCALIZAÇÃO DE CARGA'!$E$2:$E$702)="",
"",
_xlfn.XLOOKUP(
B199,
'LOCALIZAÇÃO DE CARGA'!$A$2:$A$702,
'LOCALIZAÇÃO DE CARGA'!$E$2:$E$702)
),
""
)</f>
        <v/>
      </c>
      <c r="L199" s="20" t="str" cm="1">
        <f t="array" ref="L199">IFERROR(
_xlfn.LET(
_xlpm.res,_xlfn.XLOOKUP(B199,'LOCALIZAÇÃO DE CARGA'!$A$2:$A$2000,'LOCALIZAÇÃO DE CARGA'!$G$2:$G$2000),
IF(_xlpm.res="","",_xlpm.res)
),
""
)</f>
        <v/>
      </c>
      <c r="M199" s="20" t="str" cm="1">
        <f t="array" ref="M199">IFERROR(
_xlfn.LET(
_xlpm.load,_xlfn.XLOOKUP(B199,'LOCALIZAÇÃO DE CARGA'!$A$2:$A$2000,'LOCALIZAÇÃO DE CARGA'!$A$2:$A$2000),
_xlpm.res,_xlfn.XLOOKUP(_xlpm.load,DOCUMENTOS!$A$2:$A$2000,DOCUMENTOS!$D$2:$D$2000),
IF(_xlpm.res="","",_xlpm.res)
),
""
)</f>
        <v/>
      </c>
      <c r="N199" s="6" t="str">
        <f>IFERROR(IF(M199="","",M199-TIME(1,0,0)),"")</f>
        <v/>
      </c>
      <c r="O199" s="6" t="str" cm="1">
        <f t="array" ref="O199">IFERROR(
_xlfn.LET(
_xlpm.res,_xlfn.XLOOKUP(B199,'LOCALIZAÇÃO DE CARGA'!$A$2:$A$2000,'LOCALIZAÇÃO DE CARGA'!$S$2:$S$2000),
IF(_xlpm.res="","",_xlpm.res)
),
""
)</f>
        <v/>
      </c>
      <c r="P199" s="6" t="str" cm="1">
        <f t="array" ref="P199">IFERROR(
_xlfn.LET(
_xlpm.res,_xlfn.XLOOKUP(B199,'LOCALIZAÇÃO DE CARGA'!$A$2:$A$702,'LOCALIZAÇÃO DE CARGA'!$T$2:$T$702),
IF(_xlpm.res="","",_xlpm.res)
),
""
)</f>
        <v/>
      </c>
      <c r="Q199" s="5" t="str">
        <f>IFERROR(
IF(
_xlfn.XLOOKUP(
B199,
'LOCALIZAÇÃO DE CARGA'!$A$2:$A$702,
'LOCALIZAÇÃO DE CARGA'!$K$2:$K$702
)="",
"",
_xlfn.XLOOKUP(
B199,
'LOCALIZAÇÃO DE CARGA'!$A$2:$A$702,
'LOCALIZAÇÃO DE CARGA'!$K$2:$K$702
)
),
""
)</f>
        <v/>
      </c>
      <c r="R199" s="5" t="str">
        <f t="shared" si="11"/>
        <v/>
      </c>
      <c r="S199" s="5" t="str" cm="1">
        <f t="array" ref="S199">IF(B199="","",IFERROR(
INDEX(
'VISÃO LOGISTICA'!$L$2:$L$525,
MATCH(
TRUE,
ISNUMBER(FIND(B199,'VISÃO LOGISTICA'!$A$2:$A$525)),
0
)
),
""
))</f>
        <v/>
      </c>
      <c r="T199" s="5" t="str" cm="1">
        <f t="array" ref="T199">IFERROR(
_xlfn.LET(
_xlpm.res,_xlfn.XLOOKUP(B199,'LOCALIZAÇÃO DE CARGA'!$A$2:$A$702,'LOCALIZAÇÃO DE CARGA'!$R$2:$R$702),
IF(_xlpm.res="","",SUBSTITUTE(_xlpm.res,"/BRASIL",""))
),
""
)</f>
        <v/>
      </c>
    </row>
    <row r="200" spans="1:20">
      <c r="A200" s="14" t="str">
        <f t="shared" si="9"/>
        <v/>
      </c>
      <c r="B200" s="5"/>
      <c r="C200" s="45" t="str">
        <f t="shared" ca="1" si="10"/>
        <v/>
      </c>
      <c r="D200" s="28"/>
      <c r="E200" s="28" t="str">
        <f>IFERROR(
IF(
_xlfn.XLOOKUP(
B200,
'LOCALIZAÇÃO DE CARGA'!$A$2:$A$702,
'LOCALIZAÇÃO DE CARGA'!$D$2:$D$702
)="",
"",
_xlfn.XLOOKUP(
B200,
'LOCALIZAÇÃO DE CARGA'!$A$2:$A$702,
'LOCALIZAÇÃO DE CARGA'!$D$2:$D$702
)
),
""
)</f>
        <v/>
      </c>
      <c r="F200" s="13" t="str">
        <f>IFERROR(
IF(
_xlfn.XLOOKUP(
B200,
'LOCALIZAÇÃO DE CARGA'!$A$2:$A$702,
'LOCALIZAÇÃO DE CARGA'!$H$2:$H$702
)="",
"",
_xlfn.XLOOKUP(
B200,
'LOCALIZAÇÃO DE CARGA'!$A$2:$A$702,
'LOCALIZAÇÃO DE CARGA'!$H$2:$H$702
)
),
""
)</f>
        <v/>
      </c>
      <c r="G200" s="5" t="str">
        <f>IFERROR(
IF(
_xlfn.XLOOKUP(
B200,
'LOCALIZAÇÃO DE CARGA'!$A$2:$A$702,
'LOCALIZAÇÃO DE CARGA'!$I$2:$I$702
)="",
"",
_xlfn.XLOOKUP(
B200,
'LOCALIZAÇÃO DE CARGA'!$A$2:$A$702,
'LOCALIZAÇÃO DE CARGA'!$I$2:$I$702
)
),
""
)</f>
        <v/>
      </c>
      <c r="H200" s="5" t="str">
        <f>IFERROR(
IF(
_xlfn.XLOOKUP(
B200,
'LOCALIZAÇÃO DE CARGA'!$A$2:$A$702,
'LOCALIZAÇÃO DE CARGA'!$F$2:$F$702
)="",
"",
_xlfn.XLOOKUP(
B200,
'LOCALIZAÇÃO DE CARGA'!$A$2:$A$702,
'LOCALIZAÇÃO DE CARGA'!$F$2:$F$702
)
),
""
)</f>
        <v/>
      </c>
      <c r="I200" s="13" t="str" cm="1">
        <f t="array" ref="I200">IFERROR(
IF(
INDEX(
'VISÃO LOGISTICA'!$C$2:$C$525,
MATCH(
TRUE,
ISNUMBER(FIND(B200,'VISÃO LOGISTICA'!$A$2:$A$525)),
0
)
)="Em espera",
"",
INDEX(
'VISÃO LOGISTICA'!$C$2:$C$525,
MATCH(
TRUE,
ISNUMBER(FIND(B200,'VISÃO LOGISTICA'!$A$2:$A$525)),
0
)
)
),
""
)</f>
        <v>Em Viagem</v>
      </c>
      <c r="J200" s="5" t="str" cm="1">
        <f t="array" ref="J200">IFERROR(
IF(
OR(
INDEX(
'VISÃO LOGISTICA'!$C$2:$C$2000,
MATCH(
TRUE,
ISNUMBER(FIND(B200,'VISÃO LOGISTICA'!$A$2:$A$2000)),
0
)
)="Em espera",
INDEX(
'VISÃO LOGISTICA'!$C$2:$C$2000,
MATCH(
TRUE,
ISNUMBER(FIND(B200,'VISÃO LOGISTICA'!$A$2:$A$2000)),
0
)
)=""
),
"",
INDEX(
'VISÃO LOGISTICA'!$D$2:$D$2000,
MATCH(
TRUE,
ISNUMBER(FIND(B200,'VISÃO LOGISTICA'!$A$2:$A$2000)),
0
)
)
),
""
)</f>
        <v>BCU5G84</v>
      </c>
      <c r="K200" s="10" t="str">
        <f>IFERROR(
IF(
_xlfn.XLOOKUP(
B200,
'LOCALIZAÇÃO DE CARGA'!$A$2:$A$702,
'LOCALIZAÇÃO DE CARGA'!$E$2:$E$702)="",
"",
_xlfn.XLOOKUP(
B200,
'LOCALIZAÇÃO DE CARGA'!$A$2:$A$702,
'LOCALIZAÇÃO DE CARGA'!$E$2:$E$702)
),
""
)</f>
        <v/>
      </c>
      <c r="L200" s="20" t="str" cm="1">
        <f t="array" ref="L200">IFERROR(
_xlfn.LET(
_xlpm.res,_xlfn.XLOOKUP(B200,'LOCALIZAÇÃO DE CARGA'!$A$2:$A$2000,'LOCALIZAÇÃO DE CARGA'!$G$2:$G$2000),
IF(_xlpm.res="","",_xlpm.res)
),
""
)</f>
        <v/>
      </c>
      <c r="M200" s="20" t="str" cm="1">
        <f t="array" ref="M200">IFERROR(
_xlfn.LET(
_xlpm.load,_xlfn.XLOOKUP(B200,'LOCALIZAÇÃO DE CARGA'!$A$2:$A$2000,'LOCALIZAÇÃO DE CARGA'!$A$2:$A$2000),
_xlpm.res,_xlfn.XLOOKUP(_xlpm.load,DOCUMENTOS!$A$2:$A$2000,DOCUMENTOS!$D$2:$D$2000),
IF(_xlpm.res="","",_xlpm.res)
),
""
)</f>
        <v/>
      </c>
      <c r="N200" s="6" t="str">
        <f>IFERROR(IF(M200="","",M200-TIME(1,0,0)),"")</f>
        <v/>
      </c>
      <c r="O200" s="6" t="str" cm="1">
        <f t="array" ref="O200">IFERROR(
_xlfn.LET(
_xlpm.res,_xlfn.XLOOKUP(B200,'LOCALIZAÇÃO DE CARGA'!$A$2:$A$2000,'LOCALIZAÇÃO DE CARGA'!$S$2:$S$2000),
IF(_xlpm.res="","",_xlpm.res)
),
""
)</f>
        <v/>
      </c>
      <c r="P200" s="6" t="str" cm="1">
        <f t="array" ref="P200">IFERROR(
_xlfn.LET(
_xlpm.res,_xlfn.XLOOKUP(B200,'LOCALIZAÇÃO DE CARGA'!$A$2:$A$702,'LOCALIZAÇÃO DE CARGA'!$T$2:$T$702),
IF(_xlpm.res="","",_xlpm.res)
),
""
)</f>
        <v/>
      </c>
      <c r="Q200" s="5" t="str">
        <f>IFERROR(
IF(
_xlfn.XLOOKUP(
B200,
'LOCALIZAÇÃO DE CARGA'!$A$2:$A$702,
'LOCALIZAÇÃO DE CARGA'!$K$2:$K$702
)="",
"",
_xlfn.XLOOKUP(
B200,
'LOCALIZAÇÃO DE CARGA'!$A$2:$A$702,
'LOCALIZAÇÃO DE CARGA'!$K$2:$K$702
)
),
""
)</f>
        <v/>
      </c>
      <c r="R200" s="5" t="str">
        <f t="shared" si="11"/>
        <v/>
      </c>
      <c r="S200" s="5" t="str" cm="1">
        <f t="array" ref="S200">IF(B200="","",IFERROR(
INDEX(
'VISÃO LOGISTICA'!$L$2:$L$525,
MATCH(
TRUE,
ISNUMBER(FIND(B200,'VISÃO LOGISTICA'!$A$2:$A$525)),
0
)
),
""
))</f>
        <v/>
      </c>
      <c r="T200" s="5" t="str" cm="1">
        <f t="array" ref="T200">IFERROR(
_xlfn.LET(
_xlpm.res,_xlfn.XLOOKUP(B200,'LOCALIZAÇÃO DE CARGA'!$A$2:$A$702,'LOCALIZAÇÃO DE CARGA'!$R$2:$R$702),
IF(_xlpm.res="","",SUBSTITUTE(_xlpm.res,"/BRASIL",""))
),
""
)</f>
        <v/>
      </c>
    </row>
    <row r="201" spans="1:20">
      <c r="A201" s="14" t="str">
        <f t="shared" si="9"/>
        <v/>
      </c>
      <c r="B201" s="5"/>
      <c r="C201" s="45" t="str">
        <f t="shared" ca="1" si="10"/>
        <v/>
      </c>
      <c r="D201" s="28"/>
      <c r="E201" s="28" t="str">
        <f>IFERROR(
IF(
_xlfn.XLOOKUP(
B201,
'LOCALIZAÇÃO DE CARGA'!$A$2:$A$702,
'LOCALIZAÇÃO DE CARGA'!$D$2:$D$702
)="",
"",
_xlfn.XLOOKUP(
B201,
'LOCALIZAÇÃO DE CARGA'!$A$2:$A$702,
'LOCALIZAÇÃO DE CARGA'!$D$2:$D$702
)
),
""
)</f>
        <v/>
      </c>
      <c r="F201" s="13" t="str">
        <f>IFERROR(
IF(
_xlfn.XLOOKUP(
B201,
'LOCALIZAÇÃO DE CARGA'!$A$2:$A$702,
'LOCALIZAÇÃO DE CARGA'!$H$2:$H$702
)="",
"",
_xlfn.XLOOKUP(
B201,
'LOCALIZAÇÃO DE CARGA'!$A$2:$A$702,
'LOCALIZAÇÃO DE CARGA'!$H$2:$H$702
)
),
""
)</f>
        <v/>
      </c>
      <c r="G201" s="5" t="str">
        <f>IFERROR(
IF(
_xlfn.XLOOKUP(
B201,
'LOCALIZAÇÃO DE CARGA'!$A$2:$A$702,
'LOCALIZAÇÃO DE CARGA'!$I$2:$I$702
)="",
"",
_xlfn.XLOOKUP(
B201,
'LOCALIZAÇÃO DE CARGA'!$A$2:$A$702,
'LOCALIZAÇÃO DE CARGA'!$I$2:$I$702
)
),
""
)</f>
        <v/>
      </c>
      <c r="H201" s="5" t="str">
        <f>IFERROR(
IF(
_xlfn.XLOOKUP(
B201,
'LOCALIZAÇÃO DE CARGA'!$A$2:$A$702,
'LOCALIZAÇÃO DE CARGA'!$F$2:$F$702
)="",
"",
_xlfn.XLOOKUP(
B201,
'LOCALIZAÇÃO DE CARGA'!$A$2:$A$702,
'LOCALIZAÇÃO DE CARGA'!$F$2:$F$702
)
),
""
)</f>
        <v/>
      </c>
      <c r="I201" s="13" t="str" cm="1">
        <f t="array" ref="I201">IFERROR(
IF(
INDEX(
'VISÃO LOGISTICA'!$C$2:$C$525,
MATCH(
TRUE,
ISNUMBER(FIND(B201,'VISÃO LOGISTICA'!$A$2:$A$525)),
0
)
)="Em espera",
"",
INDEX(
'VISÃO LOGISTICA'!$C$2:$C$525,
MATCH(
TRUE,
ISNUMBER(FIND(B201,'VISÃO LOGISTICA'!$A$2:$A$525)),
0
)
)
),
""
)</f>
        <v>Em Viagem</v>
      </c>
      <c r="J201" s="5" t="str" cm="1">
        <f t="array" ref="J201">IFERROR(
IF(
OR(
INDEX(
'VISÃO LOGISTICA'!$C$2:$C$2000,
MATCH(
TRUE,
ISNUMBER(FIND(B201,'VISÃO LOGISTICA'!$A$2:$A$2000)),
0
)
)="Em espera",
INDEX(
'VISÃO LOGISTICA'!$C$2:$C$2000,
MATCH(
TRUE,
ISNUMBER(FIND(B201,'VISÃO LOGISTICA'!$A$2:$A$2000)),
0
)
)=""
),
"",
INDEX(
'VISÃO LOGISTICA'!$D$2:$D$2000,
MATCH(
TRUE,
ISNUMBER(FIND(B201,'VISÃO LOGISTICA'!$A$2:$A$2000)),
0
)
)
),
""
)</f>
        <v>BCU5G84</v>
      </c>
      <c r="K201" s="10" t="str">
        <f>IFERROR(
IF(
_xlfn.XLOOKUP(
B201,
'LOCALIZAÇÃO DE CARGA'!$A$2:$A$702,
'LOCALIZAÇÃO DE CARGA'!$E$2:$E$702)="",
"",
_xlfn.XLOOKUP(
B201,
'LOCALIZAÇÃO DE CARGA'!$A$2:$A$702,
'LOCALIZAÇÃO DE CARGA'!$E$2:$E$702)
),
""
)</f>
        <v/>
      </c>
      <c r="L201" s="20" t="str" cm="1">
        <f t="array" ref="L201">IFERROR(
_xlfn.LET(
_xlpm.res,_xlfn.XLOOKUP(B201,'LOCALIZAÇÃO DE CARGA'!$A$2:$A$2000,'LOCALIZAÇÃO DE CARGA'!$G$2:$G$2000),
IF(_xlpm.res="","",_xlpm.res)
),
""
)</f>
        <v/>
      </c>
      <c r="M201" s="20" t="str" cm="1">
        <f t="array" ref="M201">IFERROR(
_xlfn.LET(
_xlpm.load,_xlfn.XLOOKUP(B201,'LOCALIZAÇÃO DE CARGA'!$A$2:$A$2000,'LOCALIZAÇÃO DE CARGA'!$A$2:$A$2000),
_xlpm.res,_xlfn.XLOOKUP(_xlpm.load,DOCUMENTOS!$A$2:$A$2000,DOCUMENTOS!$D$2:$D$2000),
IF(_xlpm.res="","",_xlpm.res)
),
""
)</f>
        <v/>
      </c>
      <c r="N201" s="6" t="str">
        <f>IFERROR(IF(M201="","",M201-TIME(1,0,0)),"")</f>
        <v/>
      </c>
      <c r="O201" s="6" t="str" cm="1">
        <f t="array" ref="O201">IFERROR(
_xlfn.LET(
_xlpm.res,_xlfn.XLOOKUP(B201,'LOCALIZAÇÃO DE CARGA'!$A$2:$A$2000,'LOCALIZAÇÃO DE CARGA'!$S$2:$S$2000),
IF(_xlpm.res="","",_xlpm.res)
),
""
)</f>
        <v/>
      </c>
      <c r="P201" s="6" t="str" cm="1">
        <f t="array" ref="P201">IFERROR(
_xlfn.LET(
_xlpm.res,_xlfn.XLOOKUP(B201,'LOCALIZAÇÃO DE CARGA'!$A$2:$A$702,'LOCALIZAÇÃO DE CARGA'!$T$2:$T$702),
IF(_xlpm.res="","",_xlpm.res)
),
""
)</f>
        <v/>
      </c>
      <c r="Q201" s="5" t="str">
        <f>IFERROR(
IF(
_xlfn.XLOOKUP(
B201,
'LOCALIZAÇÃO DE CARGA'!$A$2:$A$702,
'LOCALIZAÇÃO DE CARGA'!$K$2:$K$702
)="",
"",
_xlfn.XLOOKUP(
B201,
'LOCALIZAÇÃO DE CARGA'!$A$2:$A$702,
'LOCALIZAÇÃO DE CARGA'!$K$2:$K$702
)
),
""
)</f>
        <v/>
      </c>
      <c r="R201" s="5" t="str">
        <f t="shared" si="11"/>
        <v/>
      </c>
      <c r="S201" s="5" t="str" cm="1">
        <f t="array" ref="S201">IF(B201="","",IFERROR(
INDEX(
'VISÃO LOGISTICA'!$L$2:$L$525,
MATCH(
TRUE,
ISNUMBER(FIND(B201,'VISÃO LOGISTICA'!$A$2:$A$525)),
0
)
),
""
))</f>
        <v/>
      </c>
      <c r="T201" s="5" t="str" cm="1">
        <f t="array" ref="T201">IFERROR(
_xlfn.LET(
_xlpm.res,_xlfn.XLOOKUP(B201,'LOCALIZAÇÃO DE CARGA'!$A$2:$A$702,'LOCALIZAÇÃO DE CARGA'!$R$2:$R$702),
IF(_xlpm.res="","",SUBSTITUTE(_xlpm.res,"/BRASIL",""))
),
""
)</f>
        <v/>
      </c>
    </row>
    <row r="202" spans="1:20">
      <c r="A202" s="14" t="str">
        <f t="shared" si="9"/>
        <v/>
      </c>
      <c r="B202" s="5"/>
      <c r="C202" s="45" t="str">
        <f t="shared" ca="1" si="10"/>
        <v/>
      </c>
      <c r="D202" s="28"/>
      <c r="E202" s="28" t="str">
        <f>IFERROR(
IF(
_xlfn.XLOOKUP(
B202,
'LOCALIZAÇÃO DE CARGA'!$A$2:$A$702,
'LOCALIZAÇÃO DE CARGA'!$D$2:$D$702
)="",
"",
_xlfn.XLOOKUP(
B202,
'LOCALIZAÇÃO DE CARGA'!$A$2:$A$702,
'LOCALIZAÇÃO DE CARGA'!$D$2:$D$702
)
),
""
)</f>
        <v/>
      </c>
      <c r="F202" s="13" t="str">
        <f>IFERROR(
IF(
_xlfn.XLOOKUP(
B202,
'LOCALIZAÇÃO DE CARGA'!$A$2:$A$702,
'LOCALIZAÇÃO DE CARGA'!$H$2:$H$702
)="",
"",
_xlfn.XLOOKUP(
B202,
'LOCALIZAÇÃO DE CARGA'!$A$2:$A$702,
'LOCALIZAÇÃO DE CARGA'!$H$2:$H$702
)
),
""
)</f>
        <v/>
      </c>
      <c r="G202" s="5" t="str">
        <f>IFERROR(
IF(
_xlfn.XLOOKUP(
B202,
'LOCALIZAÇÃO DE CARGA'!$A$2:$A$702,
'LOCALIZAÇÃO DE CARGA'!$I$2:$I$702
)="",
"",
_xlfn.XLOOKUP(
B202,
'LOCALIZAÇÃO DE CARGA'!$A$2:$A$702,
'LOCALIZAÇÃO DE CARGA'!$I$2:$I$702
)
),
""
)</f>
        <v/>
      </c>
      <c r="H202" s="5" t="str">
        <f>IFERROR(
IF(
_xlfn.XLOOKUP(
B202,
'LOCALIZAÇÃO DE CARGA'!$A$2:$A$702,
'LOCALIZAÇÃO DE CARGA'!$F$2:$F$702
)="",
"",
_xlfn.XLOOKUP(
B202,
'LOCALIZAÇÃO DE CARGA'!$A$2:$A$702,
'LOCALIZAÇÃO DE CARGA'!$F$2:$F$702
)
),
""
)</f>
        <v/>
      </c>
      <c r="I202" s="13" t="str" cm="1">
        <f t="array" ref="I202">IFERROR(
IF(
INDEX(
'VISÃO LOGISTICA'!$C$2:$C$525,
MATCH(
TRUE,
ISNUMBER(FIND(B202,'VISÃO LOGISTICA'!$A$2:$A$525)),
0
)
)="Em espera",
"",
INDEX(
'VISÃO LOGISTICA'!$C$2:$C$525,
MATCH(
TRUE,
ISNUMBER(FIND(B202,'VISÃO LOGISTICA'!$A$2:$A$525)),
0
)
)
),
""
)</f>
        <v>Em Viagem</v>
      </c>
      <c r="J202" s="5" t="str" cm="1">
        <f t="array" ref="J202">IFERROR(
IF(
OR(
INDEX(
'VISÃO LOGISTICA'!$C$2:$C$2000,
MATCH(
TRUE,
ISNUMBER(FIND(B202,'VISÃO LOGISTICA'!$A$2:$A$2000)),
0
)
)="Em espera",
INDEX(
'VISÃO LOGISTICA'!$C$2:$C$2000,
MATCH(
TRUE,
ISNUMBER(FIND(B202,'VISÃO LOGISTICA'!$A$2:$A$2000)),
0
)
)=""
),
"",
INDEX(
'VISÃO LOGISTICA'!$D$2:$D$2000,
MATCH(
TRUE,
ISNUMBER(FIND(B202,'VISÃO LOGISTICA'!$A$2:$A$2000)),
0
)
)
),
""
)</f>
        <v>BCU5G84</v>
      </c>
      <c r="K202" s="10" t="str">
        <f>IFERROR(
IF(
_xlfn.XLOOKUP(
B202,
'LOCALIZAÇÃO DE CARGA'!$A$2:$A$702,
'LOCALIZAÇÃO DE CARGA'!$E$2:$E$702)="",
"",
_xlfn.XLOOKUP(
B202,
'LOCALIZAÇÃO DE CARGA'!$A$2:$A$702,
'LOCALIZAÇÃO DE CARGA'!$E$2:$E$702)
),
""
)</f>
        <v/>
      </c>
      <c r="L202" s="20" t="str" cm="1">
        <f t="array" ref="L202">IFERROR(
_xlfn.LET(
_xlpm.res,_xlfn.XLOOKUP(B202,'LOCALIZAÇÃO DE CARGA'!$A$2:$A$2000,'LOCALIZAÇÃO DE CARGA'!$G$2:$G$2000),
IF(_xlpm.res="","",_xlpm.res)
),
""
)</f>
        <v/>
      </c>
      <c r="M202" s="20" t="str" cm="1">
        <f t="array" ref="M202">IFERROR(
_xlfn.LET(
_xlpm.load,_xlfn.XLOOKUP(B202,'LOCALIZAÇÃO DE CARGA'!$A$2:$A$2000,'LOCALIZAÇÃO DE CARGA'!$A$2:$A$2000),
_xlpm.res,_xlfn.XLOOKUP(_xlpm.load,DOCUMENTOS!$A$2:$A$2000,DOCUMENTOS!$D$2:$D$2000),
IF(_xlpm.res="","",_xlpm.res)
),
""
)</f>
        <v/>
      </c>
      <c r="N202" s="6" t="str">
        <f>IFERROR(IF(M202="","",M202-TIME(1,0,0)),"")</f>
        <v/>
      </c>
      <c r="O202" s="6" t="str" cm="1">
        <f t="array" ref="O202">IFERROR(
_xlfn.LET(
_xlpm.res,_xlfn.XLOOKUP(B202,'LOCALIZAÇÃO DE CARGA'!$A$2:$A$2000,'LOCALIZAÇÃO DE CARGA'!$S$2:$S$2000),
IF(_xlpm.res="","",_xlpm.res)
),
""
)</f>
        <v/>
      </c>
      <c r="P202" s="6" t="str" cm="1">
        <f t="array" ref="P202">IFERROR(
_xlfn.LET(
_xlpm.res,_xlfn.XLOOKUP(B202,'LOCALIZAÇÃO DE CARGA'!$A$2:$A$702,'LOCALIZAÇÃO DE CARGA'!$T$2:$T$702),
IF(_xlpm.res="","",_xlpm.res)
),
""
)</f>
        <v/>
      </c>
      <c r="Q202" s="5" t="str">
        <f>IFERROR(
IF(
_xlfn.XLOOKUP(
B202,
'LOCALIZAÇÃO DE CARGA'!$A$2:$A$702,
'LOCALIZAÇÃO DE CARGA'!$K$2:$K$702
)="",
"",
_xlfn.XLOOKUP(
B202,
'LOCALIZAÇÃO DE CARGA'!$A$2:$A$702,
'LOCALIZAÇÃO DE CARGA'!$K$2:$K$702
)
),
""
)</f>
        <v/>
      </c>
      <c r="R202" s="5" t="str">
        <f t="shared" si="11"/>
        <v/>
      </c>
      <c r="S202" s="5" t="str" cm="1">
        <f t="array" ref="S202">IF(B202="","",IFERROR(
INDEX(
'VISÃO LOGISTICA'!$L$2:$L$525,
MATCH(
TRUE,
ISNUMBER(FIND(B202,'VISÃO LOGISTICA'!$A$2:$A$525)),
0
)
),
""
))</f>
        <v/>
      </c>
      <c r="T202" s="5" t="str" cm="1">
        <f t="array" ref="T202">IFERROR(
_xlfn.LET(
_xlpm.res,_xlfn.XLOOKUP(B202,'LOCALIZAÇÃO DE CARGA'!$A$2:$A$702,'LOCALIZAÇÃO DE CARGA'!$R$2:$R$702),
IF(_xlpm.res="","",SUBSTITUTE(_xlpm.res,"/BRASIL",""))
),
""
)</f>
        <v/>
      </c>
    </row>
    <row r="203" spans="1:20">
      <c r="A203" s="14" t="str">
        <f t="shared" si="9"/>
        <v/>
      </c>
      <c r="B203" s="5"/>
      <c r="C203" s="45" t="str">
        <f t="shared" ca="1" si="10"/>
        <v/>
      </c>
      <c r="D203" s="28"/>
      <c r="E203" s="28" t="str">
        <f>IFERROR(
IF(
_xlfn.XLOOKUP(
B203,
'LOCALIZAÇÃO DE CARGA'!$A$2:$A$702,
'LOCALIZAÇÃO DE CARGA'!$D$2:$D$702
)="",
"",
_xlfn.XLOOKUP(
B203,
'LOCALIZAÇÃO DE CARGA'!$A$2:$A$702,
'LOCALIZAÇÃO DE CARGA'!$D$2:$D$702
)
),
""
)</f>
        <v/>
      </c>
      <c r="F203" s="13" t="str">
        <f>IFERROR(
IF(
_xlfn.XLOOKUP(
B203,
'LOCALIZAÇÃO DE CARGA'!$A$2:$A$702,
'LOCALIZAÇÃO DE CARGA'!$H$2:$H$702
)="",
"",
_xlfn.XLOOKUP(
B203,
'LOCALIZAÇÃO DE CARGA'!$A$2:$A$702,
'LOCALIZAÇÃO DE CARGA'!$H$2:$H$702
)
),
""
)</f>
        <v/>
      </c>
      <c r="G203" s="5" t="str">
        <f>IFERROR(
IF(
_xlfn.XLOOKUP(
B203,
'LOCALIZAÇÃO DE CARGA'!$A$2:$A$702,
'LOCALIZAÇÃO DE CARGA'!$I$2:$I$702
)="",
"",
_xlfn.XLOOKUP(
B203,
'LOCALIZAÇÃO DE CARGA'!$A$2:$A$702,
'LOCALIZAÇÃO DE CARGA'!$I$2:$I$702
)
),
""
)</f>
        <v/>
      </c>
      <c r="H203" s="5" t="str">
        <f>IFERROR(
IF(
_xlfn.XLOOKUP(
B203,
'LOCALIZAÇÃO DE CARGA'!$A$2:$A$702,
'LOCALIZAÇÃO DE CARGA'!$F$2:$F$702
)="",
"",
_xlfn.XLOOKUP(
B203,
'LOCALIZAÇÃO DE CARGA'!$A$2:$A$702,
'LOCALIZAÇÃO DE CARGA'!$F$2:$F$702
)
),
""
)</f>
        <v/>
      </c>
      <c r="I203" s="13" t="str" cm="1">
        <f t="array" ref="I203">IFERROR(
IF(
INDEX(
'VISÃO LOGISTICA'!$C$2:$C$525,
MATCH(
TRUE,
ISNUMBER(FIND(B203,'VISÃO LOGISTICA'!$A$2:$A$525)),
0
)
)="Em espera",
"",
INDEX(
'VISÃO LOGISTICA'!$C$2:$C$525,
MATCH(
TRUE,
ISNUMBER(FIND(B203,'VISÃO LOGISTICA'!$A$2:$A$525)),
0
)
)
),
""
)</f>
        <v>Em Viagem</v>
      </c>
      <c r="J203" s="5" t="str" cm="1">
        <f t="array" ref="J203">IFERROR(
IF(
OR(
INDEX(
'VISÃO LOGISTICA'!$C$2:$C$2000,
MATCH(
TRUE,
ISNUMBER(FIND(B203,'VISÃO LOGISTICA'!$A$2:$A$2000)),
0
)
)="Em espera",
INDEX(
'VISÃO LOGISTICA'!$C$2:$C$2000,
MATCH(
TRUE,
ISNUMBER(FIND(B203,'VISÃO LOGISTICA'!$A$2:$A$2000)),
0
)
)=""
),
"",
INDEX(
'VISÃO LOGISTICA'!$D$2:$D$2000,
MATCH(
TRUE,
ISNUMBER(FIND(B203,'VISÃO LOGISTICA'!$A$2:$A$2000)),
0
)
)
),
""
)</f>
        <v>BCU5G84</v>
      </c>
      <c r="K203" s="10" t="str">
        <f>IFERROR(
IF(
_xlfn.XLOOKUP(
B203,
'LOCALIZAÇÃO DE CARGA'!$A$2:$A$702,
'LOCALIZAÇÃO DE CARGA'!$E$2:$E$702)="",
"",
_xlfn.XLOOKUP(
B203,
'LOCALIZAÇÃO DE CARGA'!$A$2:$A$702,
'LOCALIZAÇÃO DE CARGA'!$E$2:$E$702)
),
""
)</f>
        <v/>
      </c>
      <c r="L203" s="20" t="str" cm="1">
        <f t="array" ref="L203">IFERROR(
_xlfn.LET(
_xlpm.res,_xlfn.XLOOKUP(B203,'LOCALIZAÇÃO DE CARGA'!$A$2:$A$2000,'LOCALIZAÇÃO DE CARGA'!$G$2:$G$2000),
IF(_xlpm.res="","",_xlpm.res)
),
""
)</f>
        <v/>
      </c>
      <c r="M203" s="20" t="str" cm="1">
        <f t="array" ref="M203">IFERROR(
_xlfn.LET(
_xlpm.load,_xlfn.XLOOKUP(B203,'LOCALIZAÇÃO DE CARGA'!$A$2:$A$2000,'LOCALIZAÇÃO DE CARGA'!$A$2:$A$2000),
_xlpm.res,_xlfn.XLOOKUP(_xlpm.load,DOCUMENTOS!$A$2:$A$2000,DOCUMENTOS!$D$2:$D$2000),
IF(_xlpm.res="","",_xlpm.res)
),
""
)</f>
        <v/>
      </c>
      <c r="N203" s="6" t="str">
        <f>IFERROR(IF(M203="","",M203-TIME(1,0,0)),"")</f>
        <v/>
      </c>
      <c r="O203" s="6" t="str" cm="1">
        <f t="array" ref="O203">IFERROR(
_xlfn.LET(
_xlpm.res,_xlfn.XLOOKUP(B203,'LOCALIZAÇÃO DE CARGA'!$A$2:$A$2000,'LOCALIZAÇÃO DE CARGA'!$S$2:$S$2000),
IF(_xlpm.res="","",_xlpm.res)
),
""
)</f>
        <v/>
      </c>
      <c r="P203" s="6" t="str" cm="1">
        <f t="array" ref="P203">IFERROR(
_xlfn.LET(
_xlpm.res,_xlfn.XLOOKUP(B203,'LOCALIZAÇÃO DE CARGA'!$A$2:$A$702,'LOCALIZAÇÃO DE CARGA'!$T$2:$T$702),
IF(_xlpm.res="","",_xlpm.res)
),
""
)</f>
        <v/>
      </c>
      <c r="Q203" s="5" t="str">
        <f>IFERROR(
IF(
_xlfn.XLOOKUP(
B203,
'LOCALIZAÇÃO DE CARGA'!$A$2:$A$702,
'LOCALIZAÇÃO DE CARGA'!$K$2:$K$702
)="",
"",
_xlfn.XLOOKUP(
B203,
'LOCALIZAÇÃO DE CARGA'!$A$2:$A$702,
'LOCALIZAÇÃO DE CARGA'!$K$2:$K$702
)
),
""
)</f>
        <v/>
      </c>
      <c r="R203" s="5" t="str">
        <f t="shared" si="11"/>
        <v/>
      </c>
      <c r="S203" s="5" t="str" cm="1">
        <f t="array" ref="S203">IF(B203="","",IFERROR(
INDEX(
'VISÃO LOGISTICA'!$L$2:$L$525,
MATCH(
TRUE,
ISNUMBER(FIND(B203,'VISÃO LOGISTICA'!$A$2:$A$525)),
0
)
),
""
))</f>
        <v/>
      </c>
      <c r="T203" s="5" t="str" cm="1">
        <f t="array" ref="T203">IFERROR(
_xlfn.LET(
_xlpm.res,_xlfn.XLOOKUP(B203,'LOCALIZAÇÃO DE CARGA'!$A$2:$A$702,'LOCALIZAÇÃO DE CARGA'!$R$2:$R$702),
IF(_xlpm.res="","",SUBSTITUTE(_xlpm.res,"/BRASIL",""))
),
""
)</f>
        <v/>
      </c>
    </row>
    <row r="204" spans="1:20">
      <c r="A204" s="14" t="str">
        <f t="shared" si="9"/>
        <v/>
      </c>
      <c r="B204" s="5"/>
      <c r="C204" s="45" t="str">
        <f t="shared" ca="1" si="10"/>
        <v/>
      </c>
      <c r="D204" s="28"/>
      <c r="E204" s="28" t="str">
        <f>IFERROR(
IF(
_xlfn.XLOOKUP(
B204,
'LOCALIZAÇÃO DE CARGA'!$A$2:$A$702,
'LOCALIZAÇÃO DE CARGA'!$D$2:$D$702
)="",
"",
_xlfn.XLOOKUP(
B204,
'LOCALIZAÇÃO DE CARGA'!$A$2:$A$702,
'LOCALIZAÇÃO DE CARGA'!$D$2:$D$702
)
),
""
)</f>
        <v/>
      </c>
      <c r="F204" s="13" t="str">
        <f>IFERROR(
IF(
_xlfn.XLOOKUP(
B204,
'LOCALIZAÇÃO DE CARGA'!$A$2:$A$702,
'LOCALIZAÇÃO DE CARGA'!$H$2:$H$702
)="",
"",
_xlfn.XLOOKUP(
B204,
'LOCALIZAÇÃO DE CARGA'!$A$2:$A$702,
'LOCALIZAÇÃO DE CARGA'!$H$2:$H$702
)
),
""
)</f>
        <v/>
      </c>
      <c r="G204" s="5" t="str">
        <f>IFERROR(
IF(
_xlfn.XLOOKUP(
B204,
'LOCALIZAÇÃO DE CARGA'!$A$2:$A$702,
'LOCALIZAÇÃO DE CARGA'!$I$2:$I$702
)="",
"",
_xlfn.XLOOKUP(
B204,
'LOCALIZAÇÃO DE CARGA'!$A$2:$A$702,
'LOCALIZAÇÃO DE CARGA'!$I$2:$I$702
)
),
""
)</f>
        <v/>
      </c>
      <c r="H204" s="5" t="str">
        <f>IFERROR(
IF(
_xlfn.XLOOKUP(
B204,
'LOCALIZAÇÃO DE CARGA'!$A$2:$A$702,
'LOCALIZAÇÃO DE CARGA'!$F$2:$F$702
)="",
"",
_xlfn.XLOOKUP(
B204,
'LOCALIZAÇÃO DE CARGA'!$A$2:$A$702,
'LOCALIZAÇÃO DE CARGA'!$F$2:$F$702
)
),
""
)</f>
        <v/>
      </c>
      <c r="I204" s="13" t="str" cm="1">
        <f t="array" ref="I204">IFERROR(
IF(
INDEX(
'VISÃO LOGISTICA'!$C$2:$C$525,
MATCH(
TRUE,
ISNUMBER(FIND(B204,'VISÃO LOGISTICA'!$A$2:$A$525)),
0
)
)="Em espera",
"",
INDEX(
'VISÃO LOGISTICA'!$C$2:$C$525,
MATCH(
TRUE,
ISNUMBER(FIND(B204,'VISÃO LOGISTICA'!$A$2:$A$525)),
0
)
)
),
""
)</f>
        <v>Em Viagem</v>
      </c>
      <c r="J204" s="5" t="str" cm="1">
        <f t="array" ref="J204">IFERROR(
IF(
OR(
INDEX(
'VISÃO LOGISTICA'!$C$2:$C$2000,
MATCH(
TRUE,
ISNUMBER(FIND(B204,'VISÃO LOGISTICA'!$A$2:$A$2000)),
0
)
)="Em espera",
INDEX(
'VISÃO LOGISTICA'!$C$2:$C$2000,
MATCH(
TRUE,
ISNUMBER(FIND(B204,'VISÃO LOGISTICA'!$A$2:$A$2000)),
0
)
)=""
),
"",
INDEX(
'VISÃO LOGISTICA'!$D$2:$D$2000,
MATCH(
TRUE,
ISNUMBER(FIND(B204,'VISÃO LOGISTICA'!$A$2:$A$2000)),
0
)
)
),
""
)</f>
        <v>BCU5G84</v>
      </c>
      <c r="K204" s="10" t="str">
        <f>IFERROR(
IF(
_xlfn.XLOOKUP(
B204,
'LOCALIZAÇÃO DE CARGA'!$A$2:$A$702,
'LOCALIZAÇÃO DE CARGA'!$E$2:$E$702)="",
"",
_xlfn.XLOOKUP(
B204,
'LOCALIZAÇÃO DE CARGA'!$A$2:$A$702,
'LOCALIZAÇÃO DE CARGA'!$E$2:$E$702)
),
""
)</f>
        <v/>
      </c>
      <c r="L204" s="20" t="str" cm="1">
        <f t="array" ref="L204">IFERROR(
_xlfn.LET(
_xlpm.res,_xlfn.XLOOKUP(B204,'LOCALIZAÇÃO DE CARGA'!$A$2:$A$2000,'LOCALIZAÇÃO DE CARGA'!$G$2:$G$2000),
IF(_xlpm.res="","",_xlpm.res)
),
""
)</f>
        <v/>
      </c>
      <c r="M204" s="20" t="str" cm="1">
        <f t="array" ref="M204">IFERROR(
_xlfn.LET(
_xlpm.load,_xlfn.XLOOKUP(B204,'LOCALIZAÇÃO DE CARGA'!$A$2:$A$2000,'LOCALIZAÇÃO DE CARGA'!$A$2:$A$2000),
_xlpm.res,_xlfn.XLOOKUP(_xlpm.load,DOCUMENTOS!$A$2:$A$2000,DOCUMENTOS!$D$2:$D$2000),
IF(_xlpm.res="","",_xlpm.res)
),
""
)</f>
        <v/>
      </c>
      <c r="N204" s="6" t="str">
        <f>IFERROR(IF(M204="","",M204-TIME(1,0,0)),"")</f>
        <v/>
      </c>
      <c r="O204" s="6" t="str" cm="1">
        <f t="array" ref="O204">IFERROR(
_xlfn.LET(
_xlpm.res,_xlfn.XLOOKUP(B204,'LOCALIZAÇÃO DE CARGA'!$A$2:$A$2000,'LOCALIZAÇÃO DE CARGA'!$S$2:$S$2000),
IF(_xlpm.res="","",_xlpm.res)
),
""
)</f>
        <v/>
      </c>
      <c r="P204" s="6" t="str" cm="1">
        <f t="array" ref="P204">IFERROR(
_xlfn.LET(
_xlpm.res,_xlfn.XLOOKUP(B204,'LOCALIZAÇÃO DE CARGA'!$A$2:$A$702,'LOCALIZAÇÃO DE CARGA'!$T$2:$T$702),
IF(_xlpm.res="","",_xlpm.res)
),
""
)</f>
        <v/>
      </c>
      <c r="Q204" s="5" t="str">
        <f>IFERROR(
IF(
_xlfn.XLOOKUP(
B204,
'LOCALIZAÇÃO DE CARGA'!$A$2:$A$702,
'LOCALIZAÇÃO DE CARGA'!$K$2:$K$702
)="",
"",
_xlfn.XLOOKUP(
B204,
'LOCALIZAÇÃO DE CARGA'!$A$2:$A$702,
'LOCALIZAÇÃO DE CARGA'!$K$2:$K$702
)
),
""
)</f>
        <v/>
      </c>
      <c r="R204" s="5" t="str">
        <f t="shared" si="11"/>
        <v/>
      </c>
      <c r="S204" s="5" t="str" cm="1">
        <f t="array" ref="S204">IF(B204="","",IFERROR(
INDEX(
'VISÃO LOGISTICA'!$L$2:$L$525,
MATCH(
TRUE,
ISNUMBER(FIND(B204,'VISÃO LOGISTICA'!$A$2:$A$525)),
0
)
),
""
))</f>
        <v/>
      </c>
      <c r="T204" s="5" t="str" cm="1">
        <f t="array" ref="T204">IFERROR(
_xlfn.LET(
_xlpm.res,_xlfn.XLOOKUP(B204,'LOCALIZAÇÃO DE CARGA'!$A$2:$A$702,'LOCALIZAÇÃO DE CARGA'!$R$2:$R$702),
IF(_xlpm.res="","",SUBSTITUTE(_xlpm.res,"/BRASIL",""))
),
""
)</f>
        <v/>
      </c>
    </row>
    <row r="205" spans="1:20">
      <c r="A205" s="14" t="str">
        <f t="shared" si="9"/>
        <v/>
      </c>
      <c r="B205" s="5"/>
      <c r="C205" s="45" t="str">
        <f t="shared" ca="1" si="10"/>
        <v/>
      </c>
      <c r="D205" s="28"/>
      <c r="E205" s="28" t="str">
        <f>IFERROR(
IF(
_xlfn.XLOOKUP(
B205,
'LOCALIZAÇÃO DE CARGA'!$A$2:$A$702,
'LOCALIZAÇÃO DE CARGA'!$D$2:$D$702
)="",
"",
_xlfn.XLOOKUP(
B205,
'LOCALIZAÇÃO DE CARGA'!$A$2:$A$702,
'LOCALIZAÇÃO DE CARGA'!$D$2:$D$702
)
),
""
)</f>
        <v/>
      </c>
      <c r="F205" s="13" t="str">
        <f>IFERROR(
IF(
_xlfn.XLOOKUP(
B205,
'LOCALIZAÇÃO DE CARGA'!$A$2:$A$702,
'LOCALIZAÇÃO DE CARGA'!$H$2:$H$702
)="",
"",
_xlfn.XLOOKUP(
B205,
'LOCALIZAÇÃO DE CARGA'!$A$2:$A$702,
'LOCALIZAÇÃO DE CARGA'!$H$2:$H$702
)
),
""
)</f>
        <v/>
      </c>
      <c r="G205" s="5" t="str">
        <f>IFERROR(
IF(
_xlfn.XLOOKUP(
B205,
'LOCALIZAÇÃO DE CARGA'!$A$2:$A$702,
'LOCALIZAÇÃO DE CARGA'!$I$2:$I$702
)="",
"",
_xlfn.XLOOKUP(
B205,
'LOCALIZAÇÃO DE CARGA'!$A$2:$A$702,
'LOCALIZAÇÃO DE CARGA'!$I$2:$I$702
)
),
""
)</f>
        <v/>
      </c>
      <c r="H205" s="5" t="str">
        <f>IFERROR(
IF(
_xlfn.XLOOKUP(
B205,
'LOCALIZAÇÃO DE CARGA'!$A$2:$A$702,
'LOCALIZAÇÃO DE CARGA'!$F$2:$F$702
)="",
"",
_xlfn.XLOOKUP(
B205,
'LOCALIZAÇÃO DE CARGA'!$A$2:$A$702,
'LOCALIZAÇÃO DE CARGA'!$F$2:$F$702
)
),
""
)</f>
        <v/>
      </c>
      <c r="I205" s="13" t="str" cm="1">
        <f t="array" ref="I205">IFERROR(
IF(
INDEX(
'VISÃO LOGISTICA'!$C$2:$C$525,
MATCH(
TRUE,
ISNUMBER(FIND(B205,'VISÃO LOGISTICA'!$A$2:$A$525)),
0
)
)="Em espera",
"",
INDEX(
'VISÃO LOGISTICA'!$C$2:$C$525,
MATCH(
TRUE,
ISNUMBER(FIND(B205,'VISÃO LOGISTICA'!$A$2:$A$525)),
0
)
)
),
""
)</f>
        <v>Em Viagem</v>
      </c>
      <c r="J205" s="5" t="str" cm="1">
        <f t="array" ref="J205">IFERROR(
IF(
OR(
INDEX(
'VISÃO LOGISTICA'!$C$2:$C$2000,
MATCH(
TRUE,
ISNUMBER(FIND(B205,'VISÃO LOGISTICA'!$A$2:$A$2000)),
0
)
)="Em espera",
INDEX(
'VISÃO LOGISTICA'!$C$2:$C$2000,
MATCH(
TRUE,
ISNUMBER(FIND(B205,'VISÃO LOGISTICA'!$A$2:$A$2000)),
0
)
)=""
),
"",
INDEX(
'VISÃO LOGISTICA'!$D$2:$D$2000,
MATCH(
TRUE,
ISNUMBER(FIND(B205,'VISÃO LOGISTICA'!$A$2:$A$2000)),
0
)
)
),
""
)</f>
        <v>BCU5G84</v>
      </c>
      <c r="K205" s="10" t="str">
        <f>IFERROR(
IF(
_xlfn.XLOOKUP(
B205,
'LOCALIZAÇÃO DE CARGA'!$A$2:$A$702,
'LOCALIZAÇÃO DE CARGA'!$E$2:$E$702)="",
"",
_xlfn.XLOOKUP(
B205,
'LOCALIZAÇÃO DE CARGA'!$A$2:$A$702,
'LOCALIZAÇÃO DE CARGA'!$E$2:$E$702)
),
""
)</f>
        <v/>
      </c>
      <c r="L205" s="20" t="str" cm="1">
        <f t="array" ref="L205">IFERROR(
_xlfn.LET(
_xlpm.res,_xlfn.XLOOKUP(B205,'LOCALIZAÇÃO DE CARGA'!$A$2:$A$2000,'LOCALIZAÇÃO DE CARGA'!$G$2:$G$2000),
IF(_xlpm.res="","",_xlpm.res)
),
""
)</f>
        <v/>
      </c>
      <c r="M205" s="20" t="str" cm="1">
        <f t="array" ref="M205">IFERROR(
_xlfn.LET(
_xlpm.load,_xlfn.XLOOKUP(B205,'LOCALIZAÇÃO DE CARGA'!$A$2:$A$2000,'LOCALIZAÇÃO DE CARGA'!$A$2:$A$2000),
_xlpm.res,_xlfn.XLOOKUP(_xlpm.load,DOCUMENTOS!$A$2:$A$2000,DOCUMENTOS!$D$2:$D$2000),
IF(_xlpm.res="","",_xlpm.res)
),
""
)</f>
        <v/>
      </c>
      <c r="N205" s="6" t="str">
        <f>IFERROR(IF(M205="","",M205-TIME(1,0,0)),"")</f>
        <v/>
      </c>
      <c r="O205" s="6" t="str" cm="1">
        <f t="array" ref="O205">IFERROR(
_xlfn.LET(
_xlpm.res,_xlfn.XLOOKUP(B205,'LOCALIZAÇÃO DE CARGA'!$A$2:$A$2000,'LOCALIZAÇÃO DE CARGA'!$S$2:$S$2000),
IF(_xlpm.res="","",_xlpm.res)
),
""
)</f>
        <v/>
      </c>
      <c r="P205" s="6" t="str" cm="1">
        <f t="array" ref="P205">IFERROR(
_xlfn.LET(
_xlpm.res,_xlfn.XLOOKUP(B205,'LOCALIZAÇÃO DE CARGA'!$A$2:$A$702,'LOCALIZAÇÃO DE CARGA'!$T$2:$T$702),
IF(_xlpm.res="","",_xlpm.res)
),
""
)</f>
        <v/>
      </c>
      <c r="Q205" s="5" t="str">
        <f>IFERROR(
IF(
_xlfn.XLOOKUP(
B205,
'LOCALIZAÇÃO DE CARGA'!$A$2:$A$702,
'LOCALIZAÇÃO DE CARGA'!$K$2:$K$702
)="",
"",
_xlfn.XLOOKUP(
B205,
'LOCALIZAÇÃO DE CARGA'!$A$2:$A$702,
'LOCALIZAÇÃO DE CARGA'!$K$2:$K$702
)
),
""
)</f>
        <v/>
      </c>
      <c r="R205" s="5" t="str">
        <f t="shared" si="11"/>
        <v/>
      </c>
      <c r="S205" s="5" t="str" cm="1">
        <f t="array" ref="S205">IF(B205="","",IFERROR(
INDEX(
'VISÃO LOGISTICA'!$L$2:$L$525,
MATCH(
TRUE,
ISNUMBER(FIND(B205,'VISÃO LOGISTICA'!$A$2:$A$525)),
0
)
),
""
))</f>
        <v/>
      </c>
      <c r="T205" s="5" t="str" cm="1">
        <f t="array" ref="T205">IFERROR(
_xlfn.LET(
_xlpm.res,_xlfn.XLOOKUP(B205,'LOCALIZAÇÃO DE CARGA'!$A$2:$A$702,'LOCALIZAÇÃO DE CARGA'!$R$2:$R$702),
IF(_xlpm.res="","",SUBSTITUTE(_xlpm.res,"/BRASIL",""))
),
""
)</f>
        <v/>
      </c>
    </row>
    <row r="206" spans="1:20">
      <c r="A206" s="14" t="str">
        <f t="shared" si="9"/>
        <v/>
      </c>
      <c r="B206" s="5"/>
      <c r="C206" s="45" t="str">
        <f t="shared" ca="1" si="10"/>
        <v/>
      </c>
      <c r="D206" s="28"/>
      <c r="E206" s="28" t="str">
        <f>IFERROR(
IF(
_xlfn.XLOOKUP(
B206,
'LOCALIZAÇÃO DE CARGA'!$A$2:$A$702,
'LOCALIZAÇÃO DE CARGA'!$D$2:$D$702
)="",
"",
_xlfn.XLOOKUP(
B206,
'LOCALIZAÇÃO DE CARGA'!$A$2:$A$702,
'LOCALIZAÇÃO DE CARGA'!$D$2:$D$702
)
),
""
)</f>
        <v/>
      </c>
      <c r="F206" s="13" t="str">
        <f>IFERROR(
IF(
_xlfn.XLOOKUP(
B206,
'LOCALIZAÇÃO DE CARGA'!$A$2:$A$702,
'LOCALIZAÇÃO DE CARGA'!$H$2:$H$702
)="",
"",
_xlfn.XLOOKUP(
B206,
'LOCALIZAÇÃO DE CARGA'!$A$2:$A$702,
'LOCALIZAÇÃO DE CARGA'!$H$2:$H$702
)
),
""
)</f>
        <v/>
      </c>
      <c r="G206" s="5" t="str">
        <f>IFERROR(
IF(
_xlfn.XLOOKUP(
B206,
'LOCALIZAÇÃO DE CARGA'!$A$2:$A$702,
'LOCALIZAÇÃO DE CARGA'!$I$2:$I$702
)="",
"",
_xlfn.XLOOKUP(
B206,
'LOCALIZAÇÃO DE CARGA'!$A$2:$A$702,
'LOCALIZAÇÃO DE CARGA'!$I$2:$I$702
)
),
""
)</f>
        <v/>
      </c>
      <c r="H206" s="5" t="str">
        <f>IFERROR(
IF(
_xlfn.XLOOKUP(
B206,
'LOCALIZAÇÃO DE CARGA'!$A$2:$A$702,
'LOCALIZAÇÃO DE CARGA'!$F$2:$F$702
)="",
"",
_xlfn.XLOOKUP(
B206,
'LOCALIZAÇÃO DE CARGA'!$A$2:$A$702,
'LOCALIZAÇÃO DE CARGA'!$F$2:$F$702
)
),
""
)</f>
        <v/>
      </c>
      <c r="I206" s="13" t="str" cm="1">
        <f t="array" ref="I206">IFERROR(
IF(
INDEX(
'VISÃO LOGISTICA'!$C$2:$C$525,
MATCH(
TRUE,
ISNUMBER(FIND(B206,'VISÃO LOGISTICA'!$A$2:$A$525)),
0
)
)="Em espera",
"",
INDEX(
'VISÃO LOGISTICA'!$C$2:$C$525,
MATCH(
TRUE,
ISNUMBER(FIND(B206,'VISÃO LOGISTICA'!$A$2:$A$525)),
0
)
)
),
""
)</f>
        <v>Em Viagem</v>
      </c>
      <c r="J206" s="5" t="str" cm="1">
        <f t="array" ref="J206">IFERROR(
IF(
OR(
INDEX(
'VISÃO LOGISTICA'!$C$2:$C$2000,
MATCH(
TRUE,
ISNUMBER(FIND(B206,'VISÃO LOGISTICA'!$A$2:$A$2000)),
0
)
)="Em espera",
INDEX(
'VISÃO LOGISTICA'!$C$2:$C$2000,
MATCH(
TRUE,
ISNUMBER(FIND(B206,'VISÃO LOGISTICA'!$A$2:$A$2000)),
0
)
)=""
),
"",
INDEX(
'VISÃO LOGISTICA'!$D$2:$D$2000,
MATCH(
TRUE,
ISNUMBER(FIND(B206,'VISÃO LOGISTICA'!$A$2:$A$2000)),
0
)
)
),
""
)</f>
        <v>BCU5G84</v>
      </c>
      <c r="K206" s="10" t="str">
        <f>IFERROR(
IF(
_xlfn.XLOOKUP(
B206,
'LOCALIZAÇÃO DE CARGA'!$A$2:$A$702,
'LOCALIZAÇÃO DE CARGA'!$E$2:$E$702)="",
"",
_xlfn.XLOOKUP(
B206,
'LOCALIZAÇÃO DE CARGA'!$A$2:$A$702,
'LOCALIZAÇÃO DE CARGA'!$E$2:$E$702)
),
""
)</f>
        <v/>
      </c>
      <c r="L206" s="20" t="str" cm="1">
        <f t="array" ref="L206">IFERROR(
_xlfn.LET(
_xlpm.res,_xlfn.XLOOKUP(B206,'LOCALIZAÇÃO DE CARGA'!$A$2:$A$2000,'LOCALIZAÇÃO DE CARGA'!$G$2:$G$2000),
IF(_xlpm.res="","",_xlpm.res)
),
""
)</f>
        <v/>
      </c>
      <c r="M206" s="20" t="str" cm="1">
        <f t="array" ref="M206">IFERROR(
_xlfn.LET(
_xlpm.load,_xlfn.XLOOKUP(B206,'LOCALIZAÇÃO DE CARGA'!$A$2:$A$2000,'LOCALIZAÇÃO DE CARGA'!$A$2:$A$2000),
_xlpm.res,_xlfn.XLOOKUP(_xlpm.load,DOCUMENTOS!$A$2:$A$2000,DOCUMENTOS!$D$2:$D$2000),
IF(_xlpm.res="","",_xlpm.res)
),
""
)</f>
        <v/>
      </c>
      <c r="N206" s="6" t="str">
        <f>IFERROR(IF(M206="","",M206-TIME(1,0,0)),"")</f>
        <v/>
      </c>
      <c r="O206" s="6" t="str" cm="1">
        <f t="array" ref="O206">IFERROR(
_xlfn.LET(
_xlpm.res,_xlfn.XLOOKUP(B206,'LOCALIZAÇÃO DE CARGA'!$A$2:$A$2000,'LOCALIZAÇÃO DE CARGA'!$S$2:$S$2000),
IF(_xlpm.res="","",_xlpm.res)
),
""
)</f>
        <v/>
      </c>
      <c r="P206" s="6" t="str" cm="1">
        <f t="array" ref="P206">IFERROR(
_xlfn.LET(
_xlpm.res,_xlfn.XLOOKUP(B206,'LOCALIZAÇÃO DE CARGA'!$A$2:$A$702,'LOCALIZAÇÃO DE CARGA'!$T$2:$T$702),
IF(_xlpm.res="","",_xlpm.res)
),
""
)</f>
        <v/>
      </c>
      <c r="Q206" s="5" t="str">
        <f>IFERROR(
IF(
_xlfn.XLOOKUP(
B206,
'LOCALIZAÇÃO DE CARGA'!$A$2:$A$702,
'LOCALIZAÇÃO DE CARGA'!$K$2:$K$702
)="",
"",
_xlfn.XLOOKUP(
B206,
'LOCALIZAÇÃO DE CARGA'!$A$2:$A$702,
'LOCALIZAÇÃO DE CARGA'!$K$2:$K$702
)
),
""
)</f>
        <v/>
      </c>
      <c r="R206" s="5" t="str">
        <f t="shared" si="11"/>
        <v/>
      </c>
      <c r="S206" s="5" t="str" cm="1">
        <f t="array" ref="S206">IF(B206="","",IFERROR(
INDEX(
'VISÃO LOGISTICA'!$L$2:$L$525,
MATCH(
TRUE,
ISNUMBER(FIND(B206,'VISÃO LOGISTICA'!$A$2:$A$525)),
0
)
),
""
))</f>
        <v/>
      </c>
      <c r="T206" s="5" t="str" cm="1">
        <f t="array" ref="T206">IFERROR(
_xlfn.LET(
_xlpm.res,_xlfn.XLOOKUP(B206,'LOCALIZAÇÃO DE CARGA'!$A$2:$A$702,'LOCALIZAÇÃO DE CARGA'!$R$2:$R$702),
IF(_xlpm.res="","",SUBSTITUTE(_xlpm.res,"/BRASIL",""))
),
""
)</f>
        <v/>
      </c>
    </row>
    <row r="207" spans="1:20">
      <c r="A207" s="14" t="str">
        <f t="shared" si="9"/>
        <v/>
      </c>
      <c r="B207" s="5"/>
      <c r="C207" s="45" t="str">
        <f t="shared" ca="1" si="10"/>
        <v/>
      </c>
      <c r="D207" s="28"/>
      <c r="E207" s="28" t="str">
        <f>IFERROR(
IF(
_xlfn.XLOOKUP(
B207,
'LOCALIZAÇÃO DE CARGA'!$A$2:$A$702,
'LOCALIZAÇÃO DE CARGA'!$D$2:$D$702
)="",
"",
_xlfn.XLOOKUP(
B207,
'LOCALIZAÇÃO DE CARGA'!$A$2:$A$702,
'LOCALIZAÇÃO DE CARGA'!$D$2:$D$702
)
),
""
)</f>
        <v/>
      </c>
      <c r="F207" s="13" t="str">
        <f>IFERROR(
IF(
_xlfn.XLOOKUP(
B207,
'LOCALIZAÇÃO DE CARGA'!$A$2:$A$702,
'LOCALIZAÇÃO DE CARGA'!$H$2:$H$702
)="",
"",
_xlfn.XLOOKUP(
B207,
'LOCALIZAÇÃO DE CARGA'!$A$2:$A$702,
'LOCALIZAÇÃO DE CARGA'!$H$2:$H$702
)
),
""
)</f>
        <v/>
      </c>
      <c r="G207" s="5" t="str">
        <f>IFERROR(
IF(
_xlfn.XLOOKUP(
B207,
'LOCALIZAÇÃO DE CARGA'!$A$2:$A$702,
'LOCALIZAÇÃO DE CARGA'!$I$2:$I$702
)="",
"",
_xlfn.XLOOKUP(
B207,
'LOCALIZAÇÃO DE CARGA'!$A$2:$A$702,
'LOCALIZAÇÃO DE CARGA'!$I$2:$I$702
)
),
""
)</f>
        <v/>
      </c>
      <c r="H207" s="5" t="str">
        <f>IFERROR(
IF(
_xlfn.XLOOKUP(
B207,
'LOCALIZAÇÃO DE CARGA'!$A$2:$A$702,
'LOCALIZAÇÃO DE CARGA'!$F$2:$F$702
)="",
"",
_xlfn.XLOOKUP(
B207,
'LOCALIZAÇÃO DE CARGA'!$A$2:$A$702,
'LOCALIZAÇÃO DE CARGA'!$F$2:$F$702
)
),
""
)</f>
        <v/>
      </c>
      <c r="I207" s="13" t="str" cm="1">
        <f t="array" ref="I207">IFERROR(
IF(
INDEX(
'VISÃO LOGISTICA'!$C$2:$C$525,
MATCH(
TRUE,
ISNUMBER(FIND(B207,'VISÃO LOGISTICA'!$A$2:$A$525)),
0
)
)="Em espera",
"",
INDEX(
'VISÃO LOGISTICA'!$C$2:$C$525,
MATCH(
TRUE,
ISNUMBER(FIND(B207,'VISÃO LOGISTICA'!$A$2:$A$525)),
0
)
)
),
""
)</f>
        <v>Em Viagem</v>
      </c>
      <c r="J207" s="5" t="str" cm="1">
        <f t="array" ref="J207">IFERROR(
IF(
OR(
INDEX(
'VISÃO LOGISTICA'!$C$2:$C$2000,
MATCH(
TRUE,
ISNUMBER(FIND(B207,'VISÃO LOGISTICA'!$A$2:$A$2000)),
0
)
)="Em espera",
INDEX(
'VISÃO LOGISTICA'!$C$2:$C$2000,
MATCH(
TRUE,
ISNUMBER(FIND(B207,'VISÃO LOGISTICA'!$A$2:$A$2000)),
0
)
)=""
),
"",
INDEX(
'VISÃO LOGISTICA'!$D$2:$D$2000,
MATCH(
TRUE,
ISNUMBER(FIND(B207,'VISÃO LOGISTICA'!$A$2:$A$2000)),
0
)
)
),
""
)</f>
        <v>BCU5G84</v>
      </c>
      <c r="K207" s="10" t="str">
        <f>IFERROR(
IF(
_xlfn.XLOOKUP(
B207,
'LOCALIZAÇÃO DE CARGA'!$A$2:$A$702,
'LOCALIZAÇÃO DE CARGA'!$E$2:$E$702)="",
"",
_xlfn.XLOOKUP(
B207,
'LOCALIZAÇÃO DE CARGA'!$A$2:$A$702,
'LOCALIZAÇÃO DE CARGA'!$E$2:$E$702)
),
""
)</f>
        <v/>
      </c>
      <c r="L207" s="20" t="str" cm="1">
        <f t="array" ref="L207">IFERROR(
_xlfn.LET(
_xlpm.res,_xlfn.XLOOKUP(B207,'LOCALIZAÇÃO DE CARGA'!$A$2:$A$2000,'LOCALIZAÇÃO DE CARGA'!$G$2:$G$2000),
IF(_xlpm.res="","",_xlpm.res)
),
""
)</f>
        <v/>
      </c>
      <c r="M207" s="20" t="str" cm="1">
        <f t="array" ref="M207">IFERROR(
_xlfn.LET(
_xlpm.load,_xlfn.XLOOKUP(B207,'LOCALIZAÇÃO DE CARGA'!$A$2:$A$2000,'LOCALIZAÇÃO DE CARGA'!$A$2:$A$2000),
_xlpm.res,_xlfn.XLOOKUP(_xlpm.load,DOCUMENTOS!$A$2:$A$2000,DOCUMENTOS!$D$2:$D$2000),
IF(_xlpm.res="","",_xlpm.res)
),
""
)</f>
        <v/>
      </c>
      <c r="N207" s="6" t="str">
        <f>IFERROR(IF(M207="","",M207-TIME(1,0,0)),"")</f>
        <v/>
      </c>
      <c r="O207" s="6" t="str" cm="1">
        <f t="array" ref="O207">IFERROR(
_xlfn.LET(
_xlpm.res,_xlfn.XLOOKUP(B207,'LOCALIZAÇÃO DE CARGA'!$A$2:$A$2000,'LOCALIZAÇÃO DE CARGA'!$S$2:$S$2000),
IF(_xlpm.res="","",_xlpm.res)
),
""
)</f>
        <v/>
      </c>
      <c r="P207" s="6" t="str" cm="1">
        <f t="array" ref="P207">IFERROR(
_xlfn.LET(
_xlpm.res,_xlfn.XLOOKUP(B207,'LOCALIZAÇÃO DE CARGA'!$A$2:$A$702,'LOCALIZAÇÃO DE CARGA'!$T$2:$T$702),
IF(_xlpm.res="","",_xlpm.res)
),
""
)</f>
        <v/>
      </c>
      <c r="Q207" s="5" t="str">
        <f>IFERROR(
IF(
_xlfn.XLOOKUP(
B207,
'LOCALIZAÇÃO DE CARGA'!$A$2:$A$702,
'LOCALIZAÇÃO DE CARGA'!$K$2:$K$702
)="",
"",
_xlfn.XLOOKUP(
B207,
'LOCALIZAÇÃO DE CARGA'!$A$2:$A$702,
'LOCALIZAÇÃO DE CARGA'!$K$2:$K$702
)
),
""
)</f>
        <v/>
      </c>
      <c r="R207" s="5" t="str">
        <f t="shared" si="11"/>
        <v/>
      </c>
      <c r="S207" s="5" t="str" cm="1">
        <f t="array" ref="S207">IF(B207="","",IFERROR(
INDEX(
'VISÃO LOGISTICA'!$L$2:$L$525,
MATCH(
TRUE,
ISNUMBER(FIND(B207,'VISÃO LOGISTICA'!$A$2:$A$525)),
0
)
),
""
))</f>
        <v/>
      </c>
      <c r="T207" s="5" t="str" cm="1">
        <f t="array" ref="T207">IFERROR(
_xlfn.LET(
_xlpm.res,_xlfn.XLOOKUP(B207,'LOCALIZAÇÃO DE CARGA'!$A$2:$A$702,'LOCALIZAÇÃO DE CARGA'!$R$2:$R$702),
IF(_xlpm.res="","",SUBSTITUTE(_xlpm.res,"/BRASIL",""))
),
""
)</f>
        <v/>
      </c>
    </row>
    <row r="208" spans="1:20">
      <c r="A208" s="14" t="str">
        <f t="shared" si="9"/>
        <v/>
      </c>
      <c r="B208" s="5"/>
      <c r="C208" s="45" t="str">
        <f t="shared" ca="1" si="10"/>
        <v/>
      </c>
      <c r="D208" s="28"/>
      <c r="E208" s="28" t="str">
        <f>IFERROR(
IF(
_xlfn.XLOOKUP(
B208,
'LOCALIZAÇÃO DE CARGA'!$A$2:$A$702,
'LOCALIZAÇÃO DE CARGA'!$D$2:$D$702
)="",
"",
_xlfn.XLOOKUP(
B208,
'LOCALIZAÇÃO DE CARGA'!$A$2:$A$702,
'LOCALIZAÇÃO DE CARGA'!$D$2:$D$702
)
),
""
)</f>
        <v/>
      </c>
      <c r="F208" s="13" t="str">
        <f>IFERROR(
IF(
_xlfn.XLOOKUP(
B208,
'LOCALIZAÇÃO DE CARGA'!$A$2:$A$702,
'LOCALIZAÇÃO DE CARGA'!$H$2:$H$702
)="",
"",
_xlfn.XLOOKUP(
B208,
'LOCALIZAÇÃO DE CARGA'!$A$2:$A$702,
'LOCALIZAÇÃO DE CARGA'!$H$2:$H$702
)
),
""
)</f>
        <v/>
      </c>
      <c r="G208" s="5" t="str">
        <f>IFERROR(
IF(
_xlfn.XLOOKUP(
B208,
'LOCALIZAÇÃO DE CARGA'!$A$2:$A$702,
'LOCALIZAÇÃO DE CARGA'!$I$2:$I$702
)="",
"",
_xlfn.XLOOKUP(
B208,
'LOCALIZAÇÃO DE CARGA'!$A$2:$A$702,
'LOCALIZAÇÃO DE CARGA'!$I$2:$I$702
)
),
""
)</f>
        <v/>
      </c>
      <c r="H208" s="5" t="str">
        <f>IFERROR(
IF(
_xlfn.XLOOKUP(
B208,
'LOCALIZAÇÃO DE CARGA'!$A$2:$A$702,
'LOCALIZAÇÃO DE CARGA'!$F$2:$F$702
)="",
"",
_xlfn.XLOOKUP(
B208,
'LOCALIZAÇÃO DE CARGA'!$A$2:$A$702,
'LOCALIZAÇÃO DE CARGA'!$F$2:$F$702
)
),
""
)</f>
        <v/>
      </c>
      <c r="I208" s="13" t="str" cm="1">
        <f t="array" ref="I208">IFERROR(
IF(
INDEX(
'VISÃO LOGISTICA'!$C$2:$C$525,
MATCH(
TRUE,
ISNUMBER(FIND(B208,'VISÃO LOGISTICA'!$A$2:$A$525)),
0
)
)="Em espera",
"",
INDEX(
'VISÃO LOGISTICA'!$C$2:$C$525,
MATCH(
TRUE,
ISNUMBER(FIND(B208,'VISÃO LOGISTICA'!$A$2:$A$525)),
0
)
)
),
""
)</f>
        <v>Em Viagem</v>
      </c>
      <c r="J208" s="5" t="str" cm="1">
        <f t="array" ref="J208">IFERROR(
IF(
OR(
INDEX(
'VISÃO LOGISTICA'!$C$2:$C$2000,
MATCH(
TRUE,
ISNUMBER(FIND(B208,'VISÃO LOGISTICA'!$A$2:$A$2000)),
0
)
)="Em espera",
INDEX(
'VISÃO LOGISTICA'!$C$2:$C$2000,
MATCH(
TRUE,
ISNUMBER(FIND(B208,'VISÃO LOGISTICA'!$A$2:$A$2000)),
0
)
)=""
),
"",
INDEX(
'VISÃO LOGISTICA'!$D$2:$D$2000,
MATCH(
TRUE,
ISNUMBER(FIND(B208,'VISÃO LOGISTICA'!$A$2:$A$2000)),
0
)
)
),
""
)</f>
        <v>BCU5G84</v>
      </c>
      <c r="K208" s="10" t="str">
        <f>IFERROR(
IF(
_xlfn.XLOOKUP(
B208,
'LOCALIZAÇÃO DE CARGA'!$A$2:$A$702,
'LOCALIZAÇÃO DE CARGA'!$E$2:$E$702)="",
"",
_xlfn.XLOOKUP(
B208,
'LOCALIZAÇÃO DE CARGA'!$A$2:$A$702,
'LOCALIZAÇÃO DE CARGA'!$E$2:$E$702)
),
""
)</f>
        <v/>
      </c>
      <c r="L208" s="20" t="str" cm="1">
        <f t="array" ref="L208">IFERROR(
_xlfn.LET(
_xlpm.res,_xlfn.XLOOKUP(B208,'LOCALIZAÇÃO DE CARGA'!$A$2:$A$2000,'LOCALIZAÇÃO DE CARGA'!$G$2:$G$2000),
IF(_xlpm.res="","",_xlpm.res)
),
""
)</f>
        <v/>
      </c>
      <c r="M208" s="20" t="str" cm="1">
        <f t="array" ref="M208">IFERROR(
_xlfn.LET(
_xlpm.load,_xlfn.XLOOKUP(B208,'LOCALIZAÇÃO DE CARGA'!$A$2:$A$2000,'LOCALIZAÇÃO DE CARGA'!$A$2:$A$2000),
_xlpm.res,_xlfn.XLOOKUP(_xlpm.load,DOCUMENTOS!$A$2:$A$2000,DOCUMENTOS!$D$2:$D$2000),
IF(_xlpm.res="","",_xlpm.res)
),
""
)</f>
        <v/>
      </c>
      <c r="N208" s="6" t="str">
        <f>IFERROR(IF(M208="","",M208-TIME(1,0,0)),"")</f>
        <v/>
      </c>
      <c r="O208" s="6" t="str" cm="1">
        <f t="array" ref="O208">IFERROR(
_xlfn.LET(
_xlpm.res,_xlfn.XLOOKUP(B208,'LOCALIZAÇÃO DE CARGA'!$A$2:$A$2000,'LOCALIZAÇÃO DE CARGA'!$S$2:$S$2000),
IF(_xlpm.res="","",_xlpm.res)
),
""
)</f>
        <v/>
      </c>
      <c r="P208" s="6" t="str" cm="1">
        <f t="array" ref="P208">IFERROR(
_xlfn.LET(
_xlpm.res,_xlfn.XLOOKUP(B208,'LOCALIZAÇÃO DE CARGA'!$A$2:$A$702,'LOCALIZAÇÃO DE CARGA'!$T$2:$T$702),
IF(_xlpm.res="","",_xlpm.res)
),
""
)</f>
        <v/>
      </c>
      <c r="Q208" s="5" t="str">
        <f>IFERROR(
IF(
_xlfn.XLOOKUP(
B208,
'LOCALIZAÇÃO DE CARGA'!$A$2:$A$702,
'LOCALIZAÇÃO DE CARGA'!$K$2:$K$702
)="",
"",
_xlfn.XLOOKUP(
B208,
'LOCALIZAÇÃO DE CARGA'!$A$2:$A$702,
'LOCALIZAÇÃO DE CARGA'!$K$2:$K$702
)
),
""
)</f>
        <v/>
      </c>
      <c r="R208" s="5" t="str">
        <f t="shared" si="11"/>
        <v/>
      </c>
      <c r="S208" s="5" t="str" cm="1">
        <f t="array" ref="S208">IF(B208="","",IFERROR(
INDEX(
'VISÃO LOGISTICA'!$L$2:$L$525,
MATCH(
TRUE,
ISNUMBER(FIND(B208,'VISÃO LOGISTICA'!$A$2:$A$525)),
0
)
),
""
))</f>
        <v/>
      </c>
      <c r="T208" s="5" t="str" cm="1">
        <f t="array" ref="T208">IFERROR(
_xlfn.LET(
_xlpm.res,_xlfn.XLOOKUP(B208,'LOCALIZAÇÃO DE CARGA'!$A$2:$A$702,'LOCALIZAÇÃO DE CARGA'!$R$2:$R$702),
IF(_xlpm.res="","",SUBSTITUTE(_xlpm.res,"/BRASIL",""))
),
""
)</f>
        <v/>
      </c>
    </row>
    <row r="209" spans="1:20">
      <c r="A209" s="14" t="str">
        <f t="shared" si="9"/>
        <v/>
      </c>
      <c r="B209" s="5"/>
      <c r="C209" s="45" t="str">
        <f t="shared" ca="1" si="10"/>
        <v/>
      </c>
      <c r="D209" s="28"/>
      <c r="E209" s="28" t="str">
        <f>IFERROR(
IF(
_xlfn.XLOOKUP(
B209,
'LOCALIZAÇÃO DE CARGA'!$A$2:$A$702,
'LOCALIZAÇÃO DE CARGA'!$D$2:$D$702
)="",
"",
_xlfn.XLOOKUP(
B209,
'LOCALIZAÇÃO DE CARGA'!$A$2:$A$702,
'LOCALIZAÇÃO DE CARGA'!$D$2:$D$702
)
),
""
)</f>
        <v/>
      </c>
      <c r="F209" s="13" t="str">
        <f>IFERROR(
IF(
_xlfn.XLOOKUP(
B209,
'LOCALIZAÇÃO DE CARGA'!$A$2:$A$702,
'LOCALIZAÇÃO DE CARGA'!$H$2:$H$702
)="",
"",
_xlfn.XLOOKUP(
B209,
'LOCALIZAÇÃO DE CARGA'!$A$2:$A$702,
'LOCALIZAÇÃO DE CARGA'!$H$2:$H$702
)
),
""
)</f>
        <v/>
      </c>
      <c r="G209" s="5" t="str">
        <f>IFERROR(
IF(
_xlfn.XLOOKUP(
B209,
'LOCALIZAÇÃO DE CARGA'!$A$2:$A$702,
'LOCALIZAÇÃO DE CARGA'!$I$2:$I$702
)="",
"",
_xlfn.XLOOKUP(
B209,
'LOCALIZAÇÃO DE CARGA'!$A$2:$A$702,
'LOCALIZAÇÃO DE CARGA'!$I$2:$I$702
)
),
""
)</f>
        <v/>
      </c>
      <c r="H209" s="5" t="str">
        <f>IFERROR(
IF(
_xlfn.XLOOKUP(
B209,
'LOCALIZAÇÃO DE CARGA'!$A$2:$A$702,
'LOCALIZAÇÃO DE CARGA'!$F$2:$F$702
)="",
"",
_xlfn.XLOOKUP(
B209,
'LOCALIZAÇÃO DE CARGA'!$A$2:$A$702,
'LOCALIZAÇÃO DE CARGA'!$F$2:$F$702
)
),
""
)</f>
        <v/>
      </c>
      <c r="I209" s="13" t="str" cm="1">
        <f t="array" ref="I209">IFERROR(
IF(
INDEX(
'VISÃO LOGISTICA'!$C$2:$C$525,
MATCH(
TRUE,
ISNUMBER(FIND(B209,'VISÃO LOGISTICA'!$A$2:$A$525)),
0
)
)="Em espera",
"",
INDEX(
'VISÃO LOGISTICA'!$C$2:$C$525,
MATCH(
TRUE,
ISNUMBER(FIND(B209,'VISÃO LOGISTICA'!$A$2:$A$525)),
0
)
)
),
""
)</f>
        <v>Em Viagem</v>
      </c>
      <c r="J209" s="5" t="str" cm="1">
        <f t="array" ref="J209">IFERROR(
IF(
OR(
INDEX(
'VISÃO LOGISTICA'!$C$2:$C$2000,
MATCH(
TRUE,
ISNUMBER(FIND(B209,'VISÃO LOGISTICA'!$A$2:$A$2000)),
0
)
)="Em espera",
INDEX(
'VISÃO LOGISTICA'!$C$2:$C$2000,
MATCH(
TRUE,
ISNUMBER(FIND(B209,'VISÃO LOGISTICA'!$A$2:$A$2000)),
0
)
)=""
),
"",
INDEX(
'VISÃO LOGISTICA'!$D$2:$D$2000,
MATCH(
TRUE,
ISNUMBER(FIND(B209,'VISÃO LOGISTICA'!$A$2:$A$2000)),
0
)
)
),
""
)</f>
        <v>BCU5G84</v>
      </c>
      <c r="K209" s="10" t="str">
        <f>IFERROR(
IF(
_xlfn.XLOOKUP(
B209,
'LOCALIZAÇÃO DE CARGA'!$A$2:$A$702,
'LOCALIZAÇÃO DE CARGA'!$E$2:$E$702)="",
"",
_xlfn.XLOOKUP(
B209,
'LOCALIZAÇÃO DE CARGA'!$A$2:$A$702,
'LOCALIZAÇÃO DE CARGA'!$E$2:$E$702)
),
""
)</f>
        <v/>
      </c>
      <c r="L209" s="20" t="str" cm="1">
        <f t="array" ref="L209">IFERROR(
_xlfn.LET(
_xlpm.res,_xlfn.XLOOKUP(B209,'LOCALIZAÇÃO DE CARGA'!$A$2:$A$2000,'LOCALIZAÇÃO DE CARGA'!$G$2:$G$2000),
IF(_xlpm.res="","",_xlpm.res)
),
""
)</f>
        <v/>
      </c>
      <c r="M209" s="20" t="str" cm="1">
        <f t="array" ref="M209">IFERROR(
_xlfn.LET(
_xlpm.load,_xlfn.XLOOKUP(B209,'LOCALIZAÇÃO DE CARGA'!$A$2:$A$2000,'LOCALIZAÇÃO DE CARGA'!$A$2:$A$2000),
_xlpm.res,_xlfn.XLOOKUP(_xlpm.load,DOCUMENTOS!$A$2:$A$2000,DOCUMENTOS!$D$2:$D$2000),
IF(_xlpm.res="","",_xlpm.res)
),
""
)</f>
        <v/>
      </c>
      <c r="N209" s="6" t="str">
        <f>IFERROR(IF(M209="","",M209-TIME(1,0,0)),"")</f>
        <v/>
      </c>
      <c r="O209" s="6" t="str" cm="1">
        <f t="array" ref="O209">IFERROR(
_xlfn.LET(
_xlpm.res,_xlfn.XLOOKUP(B209,'LOCALIZAÇÃO DE CARGA'!$A$2:$A$2000,'LOCALIZAÇÃO DE CARGA'!$S$2:$S$2000),
IF(_xlpm.res="","",_xlpm.res)
),
""
)</f>
        <v/>
      </c>
      <c r="P209" s="6" t="str" cm="1">
        <f t="array" ref="P209">IFERROR(
_xlfn.LET(
_xlpm.res,_xlfn.XLOOKUP(B209,'LOCALIZAÇÃO DE CARGA'!$A$2:$A$702,'LOCALIZAÇÃO DE CARGA'!$T$2:$T$702),
IF(_xlpm.res="","",_xlpm.res)
),
""
)</f>
        <v/>
      </c>
      <c r="Q209" s="5" t="str">
        <f>IFERROR(
IF(
_xlfn.XLOOKUP(
B209,
'LOCALIZAÇÃO DE CARGA'!$A$2:$A$702,
'LOCALIZAÇÃO DE CARGA'!$K$2:$K$702
)="",
"",
_xlfn.XLOOKUP(
B209,
'LOCALIZAÇÃO DE CARGA'!$A$2:$A$702,
'LOCALIZAÇÃO DE CARGA'!$K$2:$K$702
)
),
""
)</f>
        <v/>
      </c>
      <c r="R209" s="5" t="str">
        <f t="shared" si="11"/>
        <v/>
      </c>
      <c r="S209" s="5" t="str" cm="1">
        <f t="array" ref="S209">IF(B209="","",IFERROR(
INDEX(
'VISÃO LOGISTICA'!$L$2:$L$525,
MATCH(
TRUE,
ISNUMBER(FIND(B209,'VISÃO LOGISTICA'!$A$2:$A$525)),
0
)
),
""
))</f>
        <v/>
      </c>
      <c r="T209" s="5" t="str" cm="1">
        <f t="array" ref="T209">IFERROR(
_xlfn.LET(
_xlpm.res,_xlfn.XLOOKUP(B209,'LOCALIZAÇÃO DE CARGA'!$A$2:$A$702,'LOCALIZAÇÃO DE CARGA'!$R$2:$R$702),
IF(_xlpm.res="","",SUBSTITUTE(_xlpm.res,"/BRASIL",""))
),
""
)</f>
        <v/>
      </c>
    </row>
    <row r="210" spans="1:20">
      <c r="A210" s="14" t="str">
        <f t="shared" si="9"/>
        <v/>
      </c>
      <c r="B210" s="5"/>
      <c r="C210" s="45" t="str">
        <f t="shared" ca="1" si="10"/>
        <v/>
      </c>
      <c r="D210" s="28"/>
      <c r="E210" s="28" t="str">
        <f>IFERROR(
IF(
_xlfn.XLOOKUP(
B210,
'LOCALIZAÇÃO DE CARGA'!$A$2:$A$702,
'LOCALIZAÇÃO DE CARGA'!$D$2:$D$702
)="",
"",
_xlfn.XLOOKUP(
B210,
'LOCALIZAÇÃO DE CARGA'!$A$2:$A$702,
'LOCALIZAÇÃO DE CARGA'!$D$2:$D$702
)
),
""
)</f>
        <v/>
      </c>
      <c r="F210" s="13" t="str">
        <f>IFERROR(
IF(
_xlfn.XLOOKUP(
B210,
'LOCALIZAÇÃO DE CARGA'!$A$2:$A$702,
'LOCALIZAÇÃO DE CARGA'!$H$2:$H$702
)="",
"",
_xlfn.XLOOKUP(
B210,
'LOCALIZAÇÃO DE CARGA'!$A$2:$A$702,
'LOCALIZAÇÃO DE CARGA'!$H$2:$H$702
)
),
""
)</f>
        <v/>
      </c>
      <c r="G210" s="5" t="str">
        <f>IFERROR(
IF(
_xlfn.XLOOKUP(
B210,
'LOCALIZAÇÃO DE CARGA'!$A$2:$A$702,
'LOCALIZAÇÃO DE CARGA'!$I$2:$I$702
)="",
"",
_xlfn.XLOOKUP(
B210,
'LOCALIZAÇÃO DE CARGA'!$A$2:$A$702,
'LOCALIZAÇÃO DE CARGA'!$I$2:$I$702
)
),
""
)</f>
        <v/>
      </c>
      <c r="H210" s="5" t="str">
        <f>IFERROR(
IF(
_xlfn.XLOOKUP(
B210,
'LOCALIZAÇÃO DE CARGA'!$A$2:$A$702,
'LOCALIZAÇÃO DE CARGA'!$F$2:$F$702
)="",
"",
_xlfn.XLOOKUP(
B210,
'LOCALIZAÇÃO DE CARGA'!$A$2:$A$702,
'LOCALIZAÇÃO DE CARGA'!$F$2:$F$702
)
),
""
)</f>
        <v/>
      </c>
      <c r="I210" s="13" t="str" cm="1">
        <f t="array" ref="I210">IFERROR(
IF(
INDEX(
'VISÃO LOGISTICA'!$C$2:$C$525,
MATCH(
TRUE,
ISNUMBER(FIND(B210,'VISÃO LOGISTICA'!$A$2:$A$525)),
0
)
)="Em espera",
"",
INDEX(
'VISÃO LOGISTICA'!$C$2:$C$525,
MATCH(
TRUE,
ISNUMBER(FIND(B210,'VISÃO LOGISTICA'!$A$2:$A$525)),
0
)
)
),
""
)</f>
        <v>Em Viagem</v>
      </c>
      <c r="J210" s="5" t="str" cm="1">
        <f t="array" ref="J210">IFERROR(
IF(
OR(
INDEX(
'VISÃO LOGISTICA'!$C$2:$C$2000,
MATCH(
TRUE,
ISNUMBER(FIND(B210,'VISÃO LOGISTICA'!$A$2:$A$2000)),
0
)
)="Em espera",
INDEX(
'VISÃO LOGISTICA'!$C$2:$C$2000,
MATCH(
TRUE,
ISNUMBER(FIND(B210,'VISÃO LOGISTICA'!$A$2:$A$2000)),
0
)
)=""
),
"",
INDEX(
'VISÃO LOGISTICA'!$D$2:$D$2000,
MATCH(
TRUE,
ISNUMBER(FIND(B210,'VISÃO LOGISTICA'!$A$2:$A$2000)),
0
)
)
),
""
)</f>
        <v>BCU5G84</v>
      </c>
      <c r="K210" s="10" t="str">
        <f>IFERROR(
IF(
_xlfn.XLOOKUP(
B210,
'LOCALIZAÇÃO DE CARGA'!$A$2:$A$702,
'LOCALIZAÇÃO DE CARGA'!$E$2:$E$702)="",
"",
_xlfn.XLOOKUP(
B210,
'LOCALIZAÇÃO DE CARGA'!$A$2:$A$702,
'LOCALIZAÇÃO DE CARGA'!$E$2:$E$702)
),
""
)</f>
        <v/>
      </c>
      <c r="L210" s="20" t="str" cm="1">
        <f t="array" ref="L210">IFERROR(
_xlfn.LET(
_xlpm.res,_xlfn.XLOOKUP(B210,'LOCALIZAÇÃO DE CARGA'!$A$2:$A$2000,'LOCALIZAÇÃO DE CARGA'!$G$2:$G$2000),
IF(_xlpm.res="","",_xlpm.res)
),
""
)</f>
        <v/>
      </c>
      <c r="M210" s="20" t="str" cm="1">
        <f t="array" ref="M210">IFERROR(
_xlfn.LET(
_xlpm.load,_xlfn.XLOOKUP(B210,'LOCALIZAÇÃO DE CARGA'!$A$2:$A$2000,'LOCALIZAÇÃO DE CARGA'!$A$2:$A$2000),
_xlpm.res,_xlfn.XLOOKUP(_xlpm.load,DOCUMENTOS!$A$2:$A$2000,DOCUMENTOS!$D$2:$D$2000),
IF(_xlpm.res="","",_xlpm.res)
),
""
)</f>
        <v/>
      </c>
      <c r="N210" s="6" t="str">
        <f>IFERROR(IF(M210="","",M210-TIME(1,0,0)),"")</f>
        <v/>
      </c>
      <c r="O210" s="6" t="str" cm="1">
        <f t="array" ref="O210">IFERROR(
_xlfn.LET(
_xlpm.res,_xlfn.XLOOKUP(B210,'LOCALIZAÇÃO DE CARGA'!$A$2:$A$2000,'LOCALIZAÇÃO DE CARGA'!$S$2:$S$2000),
IF(_xlpm.res="","",_xlpm.res)
),
""
)</f>
        <v/>
      </c>
      <c r="P210" s="6" t="str" cm="1">
        <f t="array" ref="P210">IFERROR(
_xlfn.LET(
_xlpm.res,_xlfn.XLOOKUP(B210,'LOCALIZAÇÃO DE CARGA'!$A$2:$A$702,'LOCALIZAÇÃO DE CARGA'!$T$2:$T$702),
IF(_xlpm.res="","",_xlpm.res)
),
""
)</f>
        <v/>
      </c>
      <c r="Q210" s="5" t="str">
        <f>IFERROR(
IF(
_xlfn.XLOOKUP(
B210,
'LOCALIZAÇÃO DE CARGA'!$A$2:$A$702,
'LOCALIZAÇÃO DE CARGA'!$K$2:$K$702
)="",
"",
_xlfn.XLOOKUP(
B210,
'LOCALIZAÇÃO DE CARGA'!$A$2:$A$702,
'LOCALIZAÇÃO DE CARGA'!$K$2:$K$702
)
),
""
)</f>
        <v/>
      </c>
      <c r="R210" s="5" t="str">
        <f t="shared" si="11"/>
        <v/>
      </c>
      <c r="S210" s="5" t="str" cm="1">
        <f t="array" ref="S210">IF(B210="","",IFERROR(
INDEX(
'VISÃO LOGISTICA'!$L$2:$L$525,
MATCH(
TRUE,
ISNUMBER(FIND(B210,'VISÃO LOGISTICA'!$A$2:$A$525)),
0
)
),
""
))</f>
        <v/>
      </c>
      <c r="T210" s="5" t="str" cm="1">
        <f t="array" ref="T210">IFERROR(
_xlfn.LET(
_xlpm.res,_xlfn.XLOOKUP(B210,'LOCALIZAÇÃO DE CARGA'!$A$2:$A$702,'LOCALIZAÇÃO DE CARGA'!$R$2:$R$702),
IF(_xlpm.res="","",SUBSTITUTE(_xlpm.res,"/BRASIL",""))
),
""
)</f>
        <v/>
      </c>
    </row>
    <row r="211" spans="1:20">
      <c r="A211" s="14" t="str">
        <f t="shared" si="9"/>
        <v/>
      </c>
      <c r="B211" s="5"/>
      <c r="C211" s="45" t="str">
        <f t="shared" ca="1" si="10"/>
        <v/>
      </c>
      <c r="D211" s="28"/>
      <c r="E211" s="28" t="str">
        <f>IFERROR(
IF(
_xlfn.XLOOKUP(
B211,
'LOCALIZAÇÃO DE CARGA'!$A$2:$A$702,
'LOCALIZAÇÃO DE CARGA'!$D$2:$D$702
)="",
"",
_xlfn.XLOOKUP(
B211,
'LOCALIZAÇÃO DE CARGA'!$A$2:$A$702,
'LOCALIZAÇÃO DE CARGA'!$D$2:$D$702
)
),
""
)</f>
        <v/>
      </c>
      <c r="F211" s="13" t="str">
        <f>IFERROR(
IF(
_xlfn.XLOOKUP(
B211,
'LOCALIZAÇÃO DE CARGA'!$A$2:$A$702,
'LOCALIZAÇÃO DE CARGA'!$H$2:$H$702
)="",
"",
_xlfn.XLOOKUP(
B211,
'LOCALIZAÇÃO DE CARGA'!$A$2:$A$702,
'LOCALIZAÇÃO DE CARGA'!$H$2:$H$702
)
),
""
)</f>
        <v/>
      </c>
      <c r="G211" s="5" t="str">
        <f>IFERROR(
IF(
_xlfn.XLOOKUP(
B211,
'LOCALIZAÇÃO DE CARGA'!$A$2:$A$702,
'LOCALIZAÇÃO DE CARGA'!$I$2:$I$702
)="",
"",
_xlfn.XLOOKUP(
B211,
'LOCALIZAÇÃO DE CARGA'!$A$2:$A$702,
'LOCALIZAÇÃO DE CARGA'!$I$2:$I$702
)
),
""
)</f>
        <v/>
      </c>
      <c r="H211" s="5" t="str">
        <f>IFERROR(
IF(
_xlfn.XLOOKUP(
B211,
'LOCALIZAÇÃO DE CARGA'!$A$2:$A$702,
'LOCALIZAÇÃO DE CARGA'!$F$2:$F$702
)="",
"",
_xlfn.XLOOKUP(
B211,
'LOCALIZAÇÃO DE CARGA'!$A$2:$A$702,
'LOCALIZAÇÃO DE CARGA'!$F$2:$F$702
)
),
""
)</f>
        <v/>
      </c>
      <c r="I211" s="13" t="str" cm="1">
        <f t="array" ref="I211">IFERROR(
IF(
INDEX(
'VISÃO LOGISTICA'!$C$2:$C$525,
MATCH(
TRUE,
ISNUMBER(FIND(B211,'VISÃO LOGISTICA'!$A$2:$A$525)),
0
)
)="Em espera",
"",
INDEX(
'VISÃO LOGISTICA'!$C$2:$C$525,
MATCH(
TRUE,
ISNUMBER(FIND(B211,'VISÃO LOGISTICA'!$A$2:$A$525)),
0
)
)
),
""
)</f>
        <v>Em Viagem</v>
      </c>
      <c r="J211" s="5" t="str" cm="1">
        <f t="array" ref="J211">IFERROR(
IF(
OR(
INDEX(
'VISÃO LOGISTICA'!$C$2:$C$2000,
MATCH(
TRUE,
ISNUMBER(FIND(B211,'VISÃO LOGISTICA'!$A$2:$A$2000)),
0
)
)="Em espera",
INDEX(
'VISÃO LOGISTICA'!$C$2:$C$2000,
MATCH(
TRUE,
ISNUMBER(FIND(B211,'VISÃO LOGISTICA'!$A$2:$A$2000)),
0
)
)=""
),
"",
INDEX(
'VISÃO LOGISTICA'!$D$2:$D$2000,
MATCH(
TRUE,
ISNUMBER(FIND(B211,'VISÃO LOGISTICA'!$A$2:$A$2000)),
0
)
)
),
""
)</f>
        <v>BCU5G84</v>
      </c>
      <c r="K211" s="10" t="str">
        <f>IFERROR(
IF(
_xlfn.XLOOKUP(
B211,
'LOCALIZAÇÃO DE CARGA'!$A$2:$A$702,
'LOCALIZAÇÃO DE CARGA'!$E$2:$E$702)="",
"",
_xlfn.XLOOKUP(
B211,
'LOCALIZAÇÃO DE CARGA'!$A$2:$A$702,
'LOCALIZAÇÃO DE CARGA'!$E$2:$E$702)
),
""
)</f>
        <v/>
      </c>
      <c r="L211" s="20" t="str" cm="1">
        <f t="array" ref="L211">IFERROR(
_xlfn.LET(
_xlpm.res,_xlfn.XLOOKUP(B211,'LOCALIZAÇÃO DE CARGA'!$A$2:$A$2000,'LOCALIZAÇÃO DE CARGA'!$G$2:$G$2000),
IF(_xlpm.res="","",_xlpm.res)
),
""
)</f>
        <v/>
      </c>
      <c r="M211" s="20" t="str" cm="1">
        <f t="array" ref="M211">IFERROR(
_xlfn.LET(
_xlpm.load,_xlfn.XLOOKUP(B211,'LOCALIZAÇÃO DE CARGA'!$A$2:$A$2000,'LOCALIZAÇÃO DE CARGA'!$A$2:$A$2000),
_xlpm.res,_xlfn.XLOOKUP(_xlpm.load,DOCUMENTOS!$A$2:$A$2000,DOCUMENTOS!$D$2:$D$2000),
IF(_xlpm.res="","",_xlpm.res)
),
""
)</f>
        <v/>
      </c>
      <c r="N211" s="6" t="str">
        <f>IFERROR(IF(M211="","",M211-TIME(1,0,0)),"")</f>
        <v/>
      </c>
      <c r="O211" s="6" t="str" cm="1">
        <f t="array" ref="O211">IFERROR(
_xlfn.LET(
_xlpm.res,_xlfn.XLOOKUP(B211,'LOCALIZAÇÃO DE CARGA'!$A$2:$A$2000,'LOCALIZAÇÃO DE CARGA'!$S$2:$S$2000),
IF(_xlpm.res="","",_xlpm.res)
),
""
)</f>
        <v/>
      </c>
      <c r="P211" s="6" t="str" cm="1">
        <f t="array" ref="P211">IFERROR(
_xlfn.LET(
_xlpm.res,_xlfn.XLOOKUP(B211,'LOCALIZAÇÃO DE CARGA'!$A$2:$A$702,'LOCALIZAÇÃO DE CARGA'!$T$2:$T$702),
IF(_xlpm.res="","",_xlpm.res)
),
""
)</f>
        <v/>
      </c>
      <c r="Q211" s="5" t="str">
        <f>IFERROR(
IF(
_xlfn.XLOOKUP(
B211,
'LOCALIZAÇÃO DE CARGA'!$A$2:$A$702,
'LOCALIZAÇÃO DE CARGA'!$K$2:$K$702
)="",
"",
_xlfn.XLOOKUP(
B211,
'LOCALIZAÇÃO DE CARGA'!$A$2:$A$702,
'LOCALIZAÇÃO DE CARGA'!$K$2:$K$702
)
),
""
)</f>
        <v/>
      </c>
      <c r="R211" s="5" t="str">
        <f t="shared" si="11"/>
        <v/>
      </c>
      <c r="S211" s="5" t="str" cm="1">
        <f t="array" ref="S211">IF(B211="","",IFERROR(
INDEX(
'VISÃO LOGISTICA'!$L$2:$L$525,
MATCH(
TRUE,
ISNUMBER(FIND(B211,'VISÃO LOGISTICA'!$A$2:$A$525)),
0
)
),
""
))</f>
        <v/>
      </c>
      <c r="T211" s="5" t="str" cm="1">
        <f t="array" ref="T211">IFERROR(
_xlfn.LET(
_xlpm.res,_xlfn.XLOOKUP(B211,'LOCALIZAÇÃO DE CARGA'!$A$2:$A$702,'LOCALIZAÇÃO DE CARGA'!$R$2:$R$702),
IF(_xlpm.res="","",SUBSTITUTE(_xlpm.res,"/BRASIL",""))
),
""
)</f>
        <v/>
      </c>
    </row>
    <row r="212" spans="1:20">
      <c r="A212" s="14" t="str">
        <f t="shared" si="9"/>
        <v/>
      </c>
      <c r="B212" s="5"/>
      <c r="C212" s="45" t="str">
        <f t="shared" ca="1" si="10"/>
        <v/>
      </c>
      <c r="D212" s="28"/>
      <c r="E212" s="28" t="str">
        <f>IFERROR(
IF(
_xlfn.XLOOKUP(
B212,
'LOCALIZAÇÃO DE CARGA'!$A$2:$A$702,
'LOCALIZAÇÃO DE CARGA'!$D$2:$D$702
)="",
"",
_xlfn.XLOOKUP(
B212,
'LOCALIZAÇÃO DE CARGA'!$A$2:$A$702,
'LOCALIZAÇÃO DE CARGA'!$D$2:$D$702
)
),
""
)</f>
        <v/>
      </c>
      <c r="F212" s="13" t="str">
        <f>IFERROR(
IF(
_xlfn.XLOOKUP(
B212,
'LOCALIZAÇÃO DE CARGA'!$A$2:$A$702,
'LOCALIZAÇÃO DE CARGA'!$H$2:$H$702
)="",
"",
_xlfn.XLOOKUP(
B212,
'LOCALIZAÇÃO DE CARGA'!$A$2:$A$702,
'LOCALIZAÇÃO DE CARGA'!$H$2:$H$702
)
),
""
)</f>
        <v/>
      </c>
      <c r="G212" s="5" t="str">
        <f>IFERROR(
IF(
_xlfn.XLOOKUP(
B212,
'LOCALIZAÇÃO DE CARGA'!$A$2:$A$702,
'LOCALIZAÇÃO DE CARGA'!$I$2:$I$702
)="",
"",
_xlfn.XLOOKUP(
B212,
'LOCALIZAÇÃO DE CARGA'!$A$2:$A$702,
'LOCALIZAÇÃO DE CARGA'!$I$2:$I$702
)
),
""
)</f>
        <v/>
      </c>
      <c r="H212" s="5" t="str">
        <f>IFERROR(
IF(
_xlfn.XLOOKUP(
B212,
'LOCALIZAÇÃO DE CARGA'!$A$2:$A$702,
'LOCALIZAÇÃO DE CARGA'!$F$2:$F$702
)="",
"",
_xlfn.XLOOKUP(
B212,
'LOCALIZAÇÃO DE CARGA'!$A$2:$A$702,
'LOCALIZAÇÃO DE CARGA'!$F$2:$F$702
)
),
""
)</f>
        <v/>
      </c>
      <c r="I212" s="13" t="str" cm="1">
        <f t="array" ref="I212">IFERROR(
IF(
INDEX(
'VISÃO LOGISTICA'!$C$2:$C$525,
MATCH(
TRUE,
ISNUMBER(FIND(B212,'VISÃO LOGISTICA'!$A$2:$A$525)),
0
)
)="Em espera",
"",
INDEX(
'VISÃO LOGISTICA'!$C$2:$C$525,
MATCH(
TRUE,
ISNUMBER(FIND(B212,'VISÃO LOGISTICA'!$A$2:$A$525)),
0
)
)
),
""
)</f>
        <v>Em Viagem</v>
      </c>
      <c r="J212" s="5" t="str" cm="1">
        <f t="array" ref="J212">IFERROR(
IF(
OR(
INDEX(
'VISÃO LOGISTICA'!$C$2:$C$2000,
MATCH(
TRUE,
ISNUMBER(FIND(B212,'VISÃO LOGISTICA'!$A$2:$A$2000)),
0
)
)="Em espera",
INDEX(
'VISÃO LOGISTICA'!$C$2:$C$2000,
MATCH(
TRUE,
ISNUMBER(FIND(B212,'VISÃO LOGISTICA'!$A$2:$A$2000)),
0
)
)=""
),
"",
INDEX(
'VISÃO LOGISTICA'!$D$2:$D$2000,
MATCH(
TRUE,
ISNUMBER(FIND(B212,'VISÃO LOGISTICA'!$A$2:$A$2000)),
0
)
)
),
""
)</f>
        <v>BCU5G84</v>
      </c>
      <c r="K212" s="10" t="str">
        <f>IFERROR(
IF(
_xlfn.XLOOKUP(
B212,
'LOCALIZAÇÃO DE CARGA'!$A$2:$A$702,
'LOCALIZAÇÃO DE CARGA'!$E$2:$E$702)="",
"",
_xlfn.XLOOKUP(
B212,
'LOCALIZAÇÃO DE CARGA'!$A$2:$A$702,
'LOCALIZAÇÃO DE CARGA'!$E$2:$E$702)
),
""
)</f>
        <v/>
      </c>
      <c r="L212" s="20" t="str" cm="1">
        <f t="array" ref="L212">IFERROR(
_xlfn.LET(
_xlpm.res,_xlfn.XLOOKUP(B212,'LOCALIZAÇÃO DE CARGA'!$A$2:$A$2000,'LOCALIZAÇÃO DE CARGA'!$G$2:$G$2000),
IF(_xlpm.res="","",_xlpm.res)
),
""
)</f>
        <v/>
      </c>
      <c r="M212" s="20" t="str" cm="1">
        <f t="array" ref="M212">IFERROR(
_xlfn.LET(
_xlpm.load,_xlfn.XLOOKUP(B212,'LOCALIZAÇÃO DE CARGA'!$A$2:$A$2000,'LOCALIZAÇÃO DE CARGA'!$A$2:$A$2000),
_xlpm.res,_xlfn.XLOOKUP(_xlpm.load,DOCUMENTOS!$A$2:$A$2000,DOCUMENTOS!$D$2:$D$2000),
IF(_xlpm.res="","",_xlpm.res)
),
""
)</f>
        <v/>
      </c>
      <c r="N212" s="6" t="str">
        <f>IFERROR(IF(M212="","",M212-TIME(1,0,0)),"")</f>
        <v/>
      </c>
      <c r="O212" s="6" t="str" cm="1">
        <f t="array" ref="O212">IFERROR(
_xlfn.LET(
_xlpm.res,_xlfn.XLOOKUP(B212,'LOCALIZAÇÃO DE CARGA'!$A$2:$A$2000,'LOCALIZAÇÃO DE CARGA'!$S$2:$S$2000),
IF(_xlpm.res="","",_xlpm.res)
),
""
)</f>
        <v/>
      </c>
      <c r="P212" s="6" t="str" cm="1">
        <f t="array" ref="P212">IFERROR(
_xlfn.LET(
_xlpm.res,_xlfn.XLOOKUP(B212,'LOCALIZAÇÃO DE CARGA'!$A$2:$A$702,'LOCALIZAÇÃO DE CARGA'!$T$2:$T$702),
IF(_xlpm.res="","",_xlpm.res)
),
""
)</f>
        <v/>
      </c>
      <c r="Q212" s="5" t="str">
        <f>IFERROR(
IF(
_xlfn.XLOOKUP(
B212,
'LOCALIZAÇÃO DE CARGA'!$A$2:$A$702,
'LOCALIZAÇÃO DE CARGA'!$K$2:$K$702
)="",
"",
_xlfn.XLOOKUP(
B212,
'LOCALIZAÇÃO DE CARGA'!$A$2:$A$702,
'LOCALIZAÇÃO DE CARGA'!$K$2:$K$702
)
),
""
)</f>
        <v/>
      </c>
      <c r="R212" s="5" t="str">
        <f t="shared" si="11"/>
        <v/>
      </c>
      <c r="S212" s="5" t="str" cm="1">
        <f t="array" ref="S212">IF(B212="","",IFERROR(
INDEX(
'VISÃO LOGISTICA'!$L$2:$L$525,
MATCH(
TRUE,
ISNUMBER(FIND(B212,'VISÃO LOGISTICA'!$A$2:$A$525)),
0
)
),
""
))</f>
        <v/>
      </c>
      <c r="T212" s="5" t="str" cm="1">
        <f t="array" ref="T212">IFERROR(
_xlfn.LET(
_xlpm.res,_xlfn.XLOOKUP(B212,'LOCALIZAÇÃO DE CARGA'!$A$2:$A$702,'LOCALIZAÇÃO DE CARGA'!$R$2:$R$702),
IF(_xlpm.res="","",SUBSTITUTE(_xlpm.res,"/BRASIL",""))
),
""
)</f>
        <v/>
      </c>
    </row>
    <row r="213" spans="1:20">
      <c r="A213" s="14" t="str">
        <f t="shared" si="9"/>
        <v/>
      </c>
      <c r="B213" s="5"/>
      <c r="C213" s="45" t="str">
        <f t="shared" ca="1" si="10"/>
        <v/>
      </c>
      <c r="D213" s="28"/>
      <c r="E213" s="28" t="str">
        <f>IFERROR(
IF(
_xlfn.XLOOKUP(
B213,
'LOCALIZAÇÃO DE CARGA'!$A$2:$A$702,
'LOCALIZAÇÃO DE CARGA'!$D$2:$D$702
)="",
"",
_xlfn.XLOOKUP(
B213,
'LOCALIZAÇÃO DE CARGA'!$A$2:$A$702,
'LOCALIZAÇÃO DE CARGA'!$D$2:$D$702
)
),
""
)</f>
        <v/>
      </c>
      <c r="F213" s="13" t="str">
        <f>IFERROR(
IF(
_xlfn.XLOOKUP(
B213,
'LOCALIZAÇÃO DE CARGA'!$A$2:$A$702,
'LOCALIZAÇÃO DE CARGA'!$H$2:$H$702
)="",
"",
_xlfn.XLOOKUP(
B213,
'LOCALIZAÇÃO DE CARGA'!$A$2:$A$702,
'LOCALIZAÇÃO DE CARGA'!$H$2:$H$702
)
),
""
)</f>
        <v/>
      </c>
      <c r="G213" s="5" t="str">
        <f>IFERROR(
IF(
_xlfn.XLOOKUP(
B213,
'LOCALIZAÇÃO DE CARGA'!$A$2:$A$702,
'LOCALIZAÇÃO DE CARGA'!$I$2:$I$702
)="",
"",
_xlfn.XLOOKUP(
B213,
'LOCALIZAÇÃO DE CARGA'!$A$2:$A$702,
'LOCALIZAÇÃO DE CARGA'!$I$2:$I$702
)
),
""
)</f>
        <v/>
      </c>
      <c r="H213" s="5" t="str">
        <f>IFERROR(
IF(
_xlfn.XLOOKUP(
B213,
'LOCALIZAÇÃO DE CARGA'!$A$2:$A$702,
'LOCALIZAÇÃO DE CARGA'!$F$2:$F$702
)="",
"",
_xlfn.XLOOKUP(
B213,
'LOCALIZAÇÃO DE CARGA'!$A$2:$A$702,
'LOCALIZAÇÃO DE CARGA'!$F$2:$F$702
)
),
""
)</f>
        <v/>
      </c>
      <c r="I213" s="13" t="str" cm="1">
        <f t="array" ref="I213">IFERROR(
IF(
INDEX(
'VISÃO LOGISTICA'!$C$2:$C$525,
MATCH(
TRUE,
ISNUMBER(FIND(B213,'VISÃO LOGISTICA'!$A$2:$A$525)),
0
)
)="Em espera",
"",
INDEX(
'VISÃO LOGISTICA'!$C$2:$C$525,
MATCH(
TRUE,
ISNUMBER(FIND(B213,'VISÃO LOGISTICA'!$A$2:$A$525)),
0
)
)
),
""
)</f>
        <v>Em Viagem</v>
      </c>
      <c r="J213" s="5" t="str" cm="1">
        <f t="array" ref="J213">IFERROR(
IF(
OR(
INDEX(
'VISÃO LOGISTICA'!$C$2:$C$2000,
MATCH(
TRUE,
ISNUMBER(FIND(B213,'VISÃO LOGISTICA'!$A$2:$A$2000)),
0
)
)="Em espera",
INDEX(
'VISÃO LOGISTICA'!$C$2:$C$2000,
MATCH(
TRUE,
ISNUMBER(FIND(B213,'VISÃO LOGISTICA'!$A$2:$A$2000)),
0
)
)=""
),
"",
INDEX(
'VISÃO LOGISTICA'!$D$2:$D$2000,
MATCH(
TRUE,
ISNUMBER(FIND(B213,'VISÃO LOGISTICA'!$A$2:$A$2000)),
0
)
)
),
""
)</f>
        <v>BCU5G84</v>
      </c>
      <c r="K213" s="10" t="str">
        <f>IFERROR(
IF(
_xlfn.XLOOKUP(
B213,
'LOCALIZAÇÃO DE CARGA'!$A$2:$A$702,
'LOCALIZAÇÃO DE CARGA'!$E$2:$E$702)="",
"",
_xlfn.XLOOKUP(
B213,
'LOCALIZAÇÃO DE CARGA'!$A$2:$A$702,
'LOCALIZAÇÃO DE CARGA'!$E$2:$E$702)
),
""
)</f>
        <v/>
      </c>
      <c r="L213" s="20" t="str" cm="1">
        <f t="array" ref="L213">IFERROR(
_xlfn.LET(
_xlpm.res,_xlfn.XLOOKUP(B213,'LOCALIZAÇÃO DE CARGA'!$A$2:$A$2000,'LOCALIZAÇÃO DE CARGA'!$G$2:$G$2000),
IF(_xlpm.res="","",_xlpm.res)
),
""
)</f>
        <v/>
      </c>
      <c r="M213" s="20" t="str" cm="1">
        <f t="array" ref="M213">IFERROR(
_xlfn.LET(
_xlpm.load,_xlfn.XLOOKUP(B213,'LOCALIZAÇÃO DE CARGA'!$A$2:$A$2000,'LOCALIZAÇÃO DE CARGA'!$A$2:$A$2000),
_xlpm.res,_xlfn.XLOOKUP(_xlpm.load,DOCUMENTOS!$A$2:$A$2000,DOCUMENTOS!$D$2:$D$2000),
IF(_xlpm.res="","",_xlpm.res)
),
""
)</f>
        <v/>
      </c>
      <c r="N213" s="6" t="str">
        <f>IFERROR(IF(M213="","",M213-TIME(1,0,0)),"")</f>
        <v/>
      </c>
      <c r="O213" s="6" t="str" cm="1">
        <f t="array" ref="O213">IFERROR(
_xlfn.LET(
_xlpm.res,_xlfn.XLOOKUP(B213,'LOCALIZAÇÃO DE CARGA'!$A$2:$A$2000,'LOCALIZAÇÃO DE CARGA'!$S$2:$S$2000),
IF(_xlpm.res="","",_xlpm.res)
),
""
)</f>
        <v/>
      </c>
      <c r="P213" s="6" t="str" cm="1">
        <f t="array" ref="P213">IFERROR(
_xlfn.LET(
_xlpm.res,_xlfn.XLOOKUP(B213,'LOCALIZAÇÃO DE CARGA'!$A$2:$A$702,'LOCALIZAÇÃO DE CARGA'!$T$2:$T$702),
IF(_xlpm.res="","",_xlpm.res)
),
""
)</f>
        <v/>
      </c>
      <c r="Q213" s="5" t="str">
        <f>IFERROR(
IF(
_xlfn.XLOOKUP(
B213,
'LOCALIZAÇÃO DE CARGA'!$A$2:$A$702,
'LOCALIZAÇÃO DE CARGA'!$K$2:$K$702
)="",
"",
_xlfn.XLOOKUP(
B213,
'LOCALIZAÇÃO DE CARGA'!$A$2:$A$702,
'LOCALIZAÇÃO DE CARGA'!$K$2:$K$702
)
),
""
)</f>
        <v/>
      </c>
      <c r="R213" s="5" t="str">
        <f t="shared" si="11"/>
        <v/>
      </c>
      <c r="S213" s="5" t="str" cm="1">
        <f t="array" ref="S213">IF(B213="","",IFERROR(
INDEX(
'VISÃO LOGISTICA'!$L$2:$L$525,
MATCH(
TRUE,
ISNUMBER(FIND(B213,'VISÃO LOGISTICA'!$A$2:$A$525)),
0
)
),
""
))</f>
        <v/>
      </c>
      <c r="T213" s="5" t="str" cm="1">
        <f t="array" ref="T213">IFERROR(
_xlfn.LET(
_xlpm.res,_xlfn.XLOOKUP(B213,'LOCALIZAÇÃO DE CARGA'!$A$2:$A$702,'LOCALIZAÇÃO DE CARGA'!$R$2:$R$702),
IF(_xlpm.res="","",SUBSTITUTE(_xlpm.res,"/BRASIL",""))
),
""
)</f>
        <v/>
      </c>
    </row>
    <row r="214" spans="1:20">
      <c r="A214" s="14" t="str">
        <f t="shared" si="9"/>
        <v/>
      </c>
      <c r="B214" s="5"/>
      <c r="C214" s="45" t="str">
        <f t="shared" ca="1" si="10"/>
        <v/>
      </c>
      <c r="D214" s="28"/>
      <c r="E214" s="28" t="str">
        <f>IFERROR(
IF(
_xlfn.XLOOKUP(
B214,
'LOCALIZAÇÃO DE CARGA'!$A$2:$A$702,
'LOCALIZAÇÃO DE CARGA'!$D$2:$D$702
)="",
"",
_xlfn.XLOOKUP(
B214,
'LOCALIZAÇÃO DE CARGA'!$A$2:$A$702,
'LOCALIZAÇÃO DE CARGA'!$D$2:$D$702
)
),
""
)</f>
        <v/>
      </c>
      <c r="F214" s="13" t="str">
        <f>IFERROR(
IF(
_xlfn.XLOOKUP(
B214,
'LOCALIZAÇÃO DE CARGA'!$A$2:$A$702,
'LOCALIZAÇÃO DE CARGA'!$H$2:$H$702
)="",
"",
_xlfn.XLOOKUP(
B214,
'LOCALIZAÇÃO DE CARGA'!$A$2:$A$702,
'LOCALIZAÇÃO DE CARGA'!$H$2:$H$702
)
),
""
)</f>
        <v/>
      </c>
      <c r="G214" s="5" t="str">
        <f>IFERROR(
IF(
_xlfn.XLOOKUP(
B214,
'LOCALIZAÇÃO DE CARGA'!$A$2:$A$702,
'LOCALIZAÇÃO DE CARGA'!$I$2:$I$702
)="",
"",
_xlfn.XLOOKUP(
B214,
'LOCALIZAÇÃO DE CARGA'!$A$2:$A$702,
'LOCALIZAÇÃO DE CARGA'!$I$2:$I$702
)
),
""
)</f>
        <v/>
      </c>
      <c r="H214" s="5" t="str">
        <f>IFERROR(
IF(
_xlfn.XLOOKUP(
B214,
'LOCALIZAÇÃO DE CARGA'!$A$2:$A$702,
'LOCALIZAÇÃO DE CARGA'!$F$2:$F$702
)="",
"",
_xlfn.XLOOKUP(
B214,
'LOCALIZAÇÃO DE CARGA'!$A$2:$A$702,
'LOCALIZAÇÃO DE CARGA'!$F$2:$F$702
)
),
""
)</f>
        <v/>
      </c>
      <c r="I214" s="13" t="str" cm="1">
        <f t="array" ref="I214">IFERROR(
IF(
INDEX(
'VISÃO LOGISTICA'!$C$2:$C$525,
MATCH(
TRUE,
ISNUMBER(FIND(B214,'VISÃO LOGISTICA'!$A$2:$A$525)),
0
)
)="Em espera",
"",
INDEX(
'VISÃO LOGISTICA'!$C$2:$C$525,
MATCH(
TRUE,
ISNUMBER(FIND(B214,'VISÃO LOGISTICA'!$A$2:$A$525)),
0
)
)
),
""
)</f>
        <v>Em Viagem</v>
      </c>
      <c r="J214" s="5" t="str" cm="1">
        <f t="array" ref="J214">IFERROR(
IF(
OR(
INDEX(
'VISÃO LOGISTICA'!$C$2:$C$2000,
MATCH(
TRUE,
ISNUMBER(FIND(B214,'VISÃO LOGISTICA'!$A$2:$A$2000)),
0
)
)="Em espera",
INDEX(
'VISÃO LOGISTICA'!$C$2:$C$2000,
MATCH(
TRUE,
ISNUMBER(FIND(B214,'VISÃO LOGISTICA'!$A$2:$A$2000)),
0
)
)=""
),
"",
INDEX(
'VISÃO LOGISTICA'!$D$2:$D$2000,
MATCH(
TRUE,
ISNUMBER(FIND(B214,'VISÃO LOGISTICA'!$A$2:$A$2000)),
0
)
)
),
""
)</f>
        <v>BCU5G84</v>
      </c>
      <c r="K214" s="10" t="str">
        <f>IFERROR(
IF(
_xlfn.XLOOKUP(
B214,
'LOCALIZAÇÃO DE CARGA'!$A$2:$A$702,
'LOCALIZAÇÃO DE CARGA'!$E$2:$E$702)="",
"",
_xlfn.XLOOKUP(
B214,
'LOCALIZAÇÃO DE CARGA'!$A$2:$A$702,
'LOCALIZAÇÃO DE CARGA'!$E$2:$E$702)
),
""
)</f>
        <v/>
      </c>
      <c r="L214" s="20" t="str" cm="1">
        <f t="array" ref="L214">IFERROR(
_xlfn.LET(
_xlpm.res,_xlfn.XLOOKUP(B214,'LOCALIZAÇÃO DE CARGA'!$A$2:$A$2000,'LOCALIZAÇÃO DE CARGA'!$G$2:$G$2000),
IF(_xlpm.res="","",_xlpm.res)
),
""
)</f>
        <v/>
      </c>
      <c r="M214" s="20" t="str" cm="1">
        <f t="array" ref="M214">IFERROR(
_xlfn.LET(
_xlpm.load,_xlfn.XLOOKUP(B214,'LOCALIZAÇÃO DE CARGA'!$A$2:$A$2000,'LOCALIZAÇÃO DE CARGA'!$A$2:$A$2000),
_xlpm.res,_xlfn.XLOOKUP(_xlpm.load,DOCUMENTOS!$A$2:$A$2000,DOCUMENTOS!$D$2:$D$2000),
IF(_xlpm.res="","",_xlpm.res)
),
""
)</f>
        <v/>
      </c>
      <c r="N214" s="6" t="str">
        <f>IFERROR(IF(M214="","",M214-TIME(1,0,0)),"")</f>
        <v/>
      </c>
      <c r="O214" s="6" t="str" cm="1">
        <f t="array" ref="O214">IFERROR(
_xlfn.LET(
_xlpm.res,_xlfn.XLOOKUP(B214,'LOCALIZAÇÃO DE CARGA'!$A$2:$A$2000,'LOCALIZAÇÃO DE CARGA'!$S$2:$S$2000),
IF(_xlpm.res="","",_xlpm.res)
),
""
)</f>
        <v/>
      </c>
      <c r="P214" s="6" t="str" cm="1">
        <f t="array" ref="P214">IFERROR(
_xlfn.LET(
_xlpm.res,_xlfn.XLOOKUP(B214,'LOCALIZAÇÃO DE CARGA'!$A$2:$A$702,'LOCALIZAÇÃO DE CARGA'!$T$2:$T$702),
IF(_xlpm.res="","",_xlpm.res)
),
""
)</f>
        <v/>
      </c>
      <c r="Q214" s="5" t="str">
        <f>IFERROR(
IF(
_xlfn.XLOOKUP(
B214,
'LOCALIZAÇÃO DE CARGA'!$A$2:$A$702,
'LOCALIZAÇÃO DE CARGA'!$K$2:$K$702
)="",
"",
_xlfn.XLOOKUP(
B214,
'LOCALIZAÇÃO DE CARGA'!$A$2:$A$702,
'LOCALIZAÇÃO DE CARGA'!$K$2:$K$702
)
),
""
)</f>
        <v/>
      </c>
      <c r="R214" s="5" t="str">
        <f t="shared" si="11"/>
        <v/>
      </c>
      <c r="S214" s="5" t="str" cm="1">
        <f t="array" ref="S214">IF(B214="","",IFERROR(
INDEX(
'VISÃO LOGISTICA'!$L$2:$L$525,
MATCH(
TRUE,
ISNUMBER(FIND(B214,'VISÃO LOGISTICA'!$A$2:$A$525)),
0
)
),
""
))</f>
        <v/>
      </c>
      <c r="T214" s="5" t="str" cm="1">
        <f t="array" ref="T214">IFERROR(
_xlfn.LET(
_xlpm.res,_xlfn.XLOOKUP(B214,'LOCALIZAÇÃO DE CARGA'!$A$2:$A$702,'LOCALIZAÇÃO DE CARGA'!$R$2:$R$702),
IF(_xlpm.res="","",SUBSTITUTE(_xlpm.res,"/BRASIL",""))
),
""
)</f>
        <v/>
      </c>
    </row>
    <row r="215" spans="1:20">
      <c r="A215" s="14" t="str">
        <f t="shared" si="9"/>
        <v/>
      </c>
      <c r="B215" s="5"/>
      <c r="C215" s="45" t="str">
        <f t="shared" ca="1" si="10"/>
        <v/>
      </c>
      <c r="D215" s="28"/>
      <c r="E215" s="28" t="str">
        <f>IFERROR(
IF(
_xlfn.XLOOKUP(
B215,
'LOCALIZAÇÃO DE CARGA'!$A$2:$A$702,
'LOCALIZAÇÃO DE CARGA'!$D$2:$D$702
)="",
"",
_xlfn.XLOOKUP(
B215,
'LOCALIZAÇÃO DE CARGA'!$A$2:$A$702,
'LOCALIZAÇÃO DE CARGA'!$D$2:$D$702
)
),
""
)</f>
        <v/>
      </c>
      <c r="F215" s="13" t="str">
        <f>IFERROR(
IF(
_xlfn.XLOOKUP(
B215,
'LOCALIZAÇÃO DE CARGA'!$A$2:$A$702,
'LOCALIZAÇÃO DE CARGA'!$H$2:$H$702
)="",
"",
_xlfn.XLOOKUP(
B215,
'LOCALIZAÇÃO DE CARGA'!$A$2:$A$702,
'LOCALIZAÇÃO DE CARGA'!$H$2:$H$702
)
),
""
)</f>
        <v/>
      </c>
      <c r="G215" s="5" t="str">
        <f>IFERROR(
IF(
_xlfn.XLOOKUP(
B215,
'LOCALIZAÇÃO DE CARGA'!$A$2:$A$702,
'LOCALIZAÇÃO DE CARGA'!$I$2:$I$702
)="",
"",
_xlfn.XLOOKUP(
B215,
'LOCALIZAÇÃO DE CARGA'!$A$2:$A$702,
'LOCALIZAÇÃO DE CARGA'!$I$2:$I$702
)
),
""
)</f>
        <v/>
      </c>
      <c r="H215" s="5" t="str">
        <f>IFERROR(
IF(
_xlfn.XLOOKUP(
B215,
'LOCALIZAÇÃO DE CARGA'!$A$2:$A$702,
'LOCALIZAÇÃO DE CARGA'!$F$2:$F$702
)="",
"",
_xlfn.XLOOKUP(
B215,
'LOCALIZAÇÃO DE CARGA'!$A$2:$A$702,
'LOCALIZAÇÃO DE CARGA'!$F$2:$F$702
)
),
""
)</f>
        <v/>
      </c>
      <c r="I215" s="13" t="str" cm="1">
        <f t="array" ref="I215">IFERROR(
IF(
INDEX(
'VISÃO LOGISTICA'!$C$2:$C$525,
MATCH(
TRUE,
ISNUMBER(FIND(B215,'VISÃO LOGISTICA'!$A$2:$A$525)),
0
)
)="Em espera",
"",
INDEX(
'VISÃO LOGISTICA'!$C$2:$C$525,
MATCH(
TRUE,
ISNUMBER(FIND(B215,'VISÃO LOGISTICA'!$A$2:$A$525)),
0
)
)
),
""
)</f>
        <v>Em Viagem</v>
      </c>
      <c r="J215" s="5" t="str" cm="1">
        <f t="array" ref="J215">IFERROR(
IF(
OR(
INDEX(
'VISÃO LOGISTICA'!$C$2:$C$2000,
MATCH(
TRUE,
ISNUMBER(FIND(B215,'VISÃO LOGISTICA'!$A$2:$A$2000)),
0
)
)="Em espera",
INDEX(
'VISÃO LOGISTICA'!$C$2:$C$2000,
MATCH(
TRUE,
ISNUMBER(FIND(B215,'VISÃO LOGISTICA'!$A$2:$A$2000)),
0
)
)=""
),
"",
INDEX(
'VISÃO LOGISTICA'!$D$2:$D$2000,
MATCH(
TRUE,
ISNUMBER(FIND(B215,'VISÃO LOGISTICA'!$A$2:$A$2000)),
0
)
)
),
""
)</f>
        <v>BCU5G84</v>
      </c>
      <c r="K215" s="10" t="str">
        <f>IFERROR(
IF(
_xlfn.XLOOKUP(
B215,
'LOCALIZAÇÃO DE CARGA'!$A$2:$A$702,
'LOCALIZAÇÃO DE CARGA'!$E$2:$E$702)="",
"",
_xlfn.XLOOKUP(
B215,
'LOCALIZAÇÃO DE CARGA'!$A$2:$A$702,
'LOCALIZAÇÃO DE CARGA'!$E$2:$E$702)
),
""
)</f>
        <v/>
      </c>
      <c r="L215" s="20" t="str" cm="1">
        <f t="array" ref="L215">IFERROR(
_xlfn.LET(
_xlpm.res,_xlfn.XLOOKUP(B215,'LOCALIZAÇÃO DE CARGA'!$A$2:$A$2000,'LOCALIZAÇÃO DE CARGA'!$G$2:$G$2000),
IF(_xlpm.res="","",_xlpm.res)
),
""
)</f>
        <v/>
      </c>
      <c r="M215" s="20" t="str" cm="1">
        <f t="array" ref="M215">IFERROR(
_xlfn.LET(
_xlpm.load,_xlfn.XLOOKUP(B215,'LOCALIZAÇÃO DE CARGA'!$A$2:$A$2000,'LOCALIZAÇÃO DE CARGA'!$A$2:$A$2000),
_xlpm.res,_xlfn.XLOOKUP(_xlpm.load,DOCUMENTOS!$A$2:$A$2000,DOCUMENTOS!$D$2:$D$2000),
IF(_xlpm.res="","",_xlpm.res)
),
""
)</f>
        <v/>
      </c>
      <c r="N215" s="6" t="str">
        <f>IFERROR(IF(M215="","",M215-TIME(1,0,0)),"")</f>
        <v/>
      </c>
      <c r="O215" s="6" t="str" cm="1">
        <f t="array" ref="O215">IFERROR(
_xlfn.LET(
_xlpm.res,_xlfn.XLOOKUP(B215,'LOCALIZAÇÃO DE CARGA'!$A$2:$A$2000,'LOCALIZAÇÃO DE CARGA'!$S$2:$S$2000),
IF(_xlpm.res="","",_xlpm.res)
),
""
)</f>
        <v/>
      </c>
      <c r="P215" s="6" t="str" cm="1">
        <f t="array" ref="P215">IFERROR(
_xlfn.LET(
_xlpm.res,_xlfn.XLOOKUP(B215,'LOCALIZAÇÃO DE CARGA'!$A$2:$A$702,'LOCALIZAÇÃO DE CARGA'!$T$2:$T$702),
IF(_xlpm.res="","",_xlpm.res)
),
""
)</f>
        <v/>
      </c>
      <c r="Q215" s="5" t="str">
        <f>IFERROR(
IF(
_xlfn.XLOOKUP(
B215,
'LOCALIZAÇÃO DE CARGA'!$A$2:$A$702,
'LOCALIZAÇÃO DE CARGA'!$K$2:$K$702
)="",
"",
_xlfn.XLOOKUP(
B215,
'LOCALIZAÇÃO DE CARGA'!$A$2:$A$702,
'LOCALIZAÇÃO DE CARGA'!$K$2:$K$702
)
),
""
)</f>
        <v/>
      </c>
      <c r="R215" s="5" t="str">
        <f t="shared" si="11"/>
        <v/>
      </c>
      <c r="S215" s="5" t="str" cm="1">
        <f t="array" ref="S215">IF(B215="","",IFERROR(
INDEX(
'VISÃO LOGISTICA'!$L$2:$L$525,
MATCH(
TRUE,
ISNUMBER(FIND(B215,'VISÃO LOGISTICA'!$A$2:$A$525)),
0
)
),
""
))</f>
        <v/>
      </c>
      <c r="T215" s="5" t="str" cm="1">
        <f t="array" ref="T215">IFERROR(
_xlfn.LET(
_xlpm.res,_xlfn.XLOOKUP(B215,'LOCALIZAÇÃO DE CARGA'!$A$2:$A$702,'LOCALIZAÇÃO DE CARGA'!$R$2:$R$702),
IF(_xlpm.res="","",SUBSTITUTE(_xlpm.res,"/BRASIL",""))
),
""
)</f>
        <v/>
      </c>
    </row>
    <row r="216" spans="1:20">
      <c r="A216" s="14" t="str">
        <f t="shared" si="9"/>
        <v/>
      </c>
      <c r="B216" s="5"/>
      <c r="C216" s="45" t="str">
        <f t="shared" ca="1" si="10"/>
        <v/>
      </c>
      <c r="D216" s="28"/>
      <c r="E216" s="28" t="str">
        <f>IFERROR(
IF(
_xlfn.XLOOKUP(
B216,
'LOCALIZAÇÃO DE CARGA'!$A$2:$A$702,
'LOCALIZAÇÃO DE CARGA'!$D$2:$D$702
)="",
"",
_xlfn.XLOOKUP(
B216,
'LOCALIZAÇÃO DE CARGA'!$A$2:$A$702,
'LOCALIZAÇÃO DE CARGA'!$D$2:$D$702
)
),
""
)</f>
        <v/>
      </c>
      <c r="F216" s="13" t="str">
        <f>IFERROR(
IF(
_xlfn.XLOOKUP(
B216,
'LOCALIZAÇÃO DE CARGA'!$A$2:$A$702,
'LOCALIZAÇÃO DE CARGA'!$H$2:$H$702
)="",
"",
_xlfn.XLOOKUP(
B216,
'LOCALIZAÇÃO DE CARGA'!$A$2:$A$702,
'LOCALIZAÇÃO DE CARGA'!$H$2:$H$702
)
),
""
)</f>
        <v/>
      </c>
      <c r="G216" s="5" t="str">
        <f>IFERROR(
IF(
_xlfn.XLOOKUP(
B216,
'LOCALIZAÇÃO DE CARGA'!$A$2:$A$702,
'LOCALIZAÇÃO DE CARGA'!$I$2:$I$702
)="",
"",
_xlfn.XLOOKUP(
B216,
'LOCALIZAÇÃO DE CARGA'!$A$2:$A$702,
'LOCALIZAÇÃO DE CARGA'!$I$2:$I$702
)
),
""
)</f>
        <v/>
      </c>
      <c r="H216" s="5" t="str">
        <f>IFERROR(
IF(
_xlfn.XLOOKUP(
B216,
'LOCALIZAÇÃO DE CARGA'!$A$2:$A$702,
'LOCALIZAÇÃO DE CARGA'!$F$2:$F$702
)="",
"",
_xlfn.XLOOKUP(
B216,
'LOCALIZAÇÃO DE CARGA'!$A$2:$A$702,
'LOCALIZAÇÃO DE CARGA'!$F$2:$F$702
)
),
""
)</f>
        <v/>
      </c>
      <c r="I216" s="13" t="str" cm="1">
        <f t="array" ref="I216">IFERROR(
IF(
INDEX(
'VISÃO LOGISTICA'!$C$2:$C$525,
MATCH(
TRUE,
ISNUMBER(FIND(B216,'VISÃO LOGISTICA'!$A$2:$A$525)),
0
)
)="Em espera",
"",
INDEX(
'VISÃO LOGISTICA'!$C$2:$C$525,
MATCH(
TRUE,
ISNUMBER(FIND(B216,'VISÃO LOGISTICA'!$A$2:$A$525)),
0
)
)
),
""
)</f>
        <v>Em Viagem</v>
      </c>
      <c r="J216" s="5" t="str" cm="1">
        <f t="array" ref="J216">IFERROR(
IF(
OR(
INDEX(
'VISÃO LOGISTICA'!$C$2:$C$2000,
MATCH(
TRUE,
ISNUMBER(FIND(B216,'VISÃO LOGISTICA'!$A$2:$A$2000)),
0
)
)="Em espera",
INDEX(
'VISÃO LOGISTICA'!$C$2:$C$2000,
MATCH(
TRUE,
ISNUMBER(FIND(B216,'VISÃO LOGISTICA'!$A$2:$A$2000)),
0
)
)=""
),
"",
INDEX(
'VISÃO LOGISTICA'!$D$2:$D$2000,
MATCH(
TRUE,
ISNUMBER(FIND(B216,'VISÃO LOGISTICA'!$A$2:$A$2000)),
0
)
)
),
""
)</f>
        <v>BCU5G84</v>
      </c>
      <c r="K216" s="10" t="str">
        <f>IFERROR(
IF(
_xlfn.XLOOKUP(
B216,
'LOCALIZAÇÃO DE CARGA'!$A$2:$A$702,
'LOCALIZAÇÃO DE CARGA'!$E$2:$E$702)="",
"",
_xlfn.XLOOKUP(
B216,
'LOCALIZAÇÃO DE CARGA'!$A$2:$A$702,
'LOCALIZAÇÃO DE CARGA'!$E$2:$E$702)
),
""
)</f>
        <v/>
      </c>
      <c r="L216" s="20" t="str" cm="1">
        <f t="array" ref="L216">IFERROR(
_xlfn.LET(
_xlpm.res,_xlfn.XLOOKUP(B216,'LOCALIZAÇÃO DE CARGA'!$A$2:$A$2000,'LOCALIZAÇÃO DE CARGA'!$G$2:$G$2000),
IF(_xlpm.res="","",_xlpm.res)
),
""
)</f>
        <v/>
      </c>
      <c r="M216" s="20" t="str" cm="1">
        <f t="array" ref="M216">IFERROR(
_xlfn.LET(
_xlpm.load,_xlfn.XLOOKUP(B216,'LOCALIZAÇÃO DE CARGA'!$A$2:$A$2000,'LOCALIZAÇÃO DE CARGA'!$A$2:$A$2000),
_xlpm.res,_xlfn.XLOOKUP(_xlpm.load,DOCUMENTOS!$A$2:$A$2000,DOCUMENTOS!$D$2:$D$2000),
IF(_xlpm.res="","",_xlpm.res)
),
""
)</f>
        <v/>
      </c>
      <c r="N216" s="6" t="str">
        <f>IFERROR(IF(M216="","",M216-TIME(1,0,0)),"")</f>
        <v/>
      </c>
      <c r="O216" s="6" t="str" cm="1">
        <f t="array" ref="O216">IFERROR(
_xlfn.LET(
_xlpm.res,_xlfn.XLOOKUP(B216,'LOCALIZAÇÃO DE CARGA'!$A$2:$A$2000,'LOCALIZAÇÃO DE CARGA'!$S$2:$S$2000),
IF(_xlpm.res="","",_xlpm.res)
),
""
)</f>
        <v/>
      </c>
      <c r="P216" s="6" t="str" cm="1">
        <f t="array" ref="P216">IFERROR(
_xlfn.LET(
_xlpm.res,_xlfn.XLOOKUP(B216,'LOCALIZAÇÃO DE CARGA'!$A$2:$A$702,'LOCALIZAÇÃO DE CARGA'!$T$2:$T$702),
IF(_xlpm.res="","",_xlpm.res)
),
""
)</f>
        <v/>
      </c>
      <c r="Q216" s="5" t="str">
        <f>IFERROR(
IF(
_xlfn.XLOOKUP(
B216,
'LOCALIZAÇÃO DE CARGA'!$A$2:$A$702,
'LOCALIZAÇÃO DE CARGA'!$K$2:$K$702
)="",
"",
_xlfn.XLOOKUP(
B216,
'LOCALIZAÇÃO DE CARGA'!$A$2:$A$702,
'LOCALIZAÇÃO DE CARGA'!$K$2:$K$702
)
),
""
)</f>
        <v/>
      </c>
      <c r="R216" s="5" t="str">
        <f t="shared" si="11"/>
        <v/>
      </c>
      <c r="S216" s="5" t="str" cm="1">
        <f t="array" ref="S216">IF(B216="","",IFERROR(
INDEX(
'VISÃO LOGISTICA'!$L$2:$L$525,
MATCH(
TRUE,
ISNUMBER(FIND(B216,'VISÃO LOGISTICA'!$A$2:$A$525)),
0
)
),
""
))</f>
        <v/>
      </c>
      <c r="T216" s="5" t="str" cm="1">
        <f t="array" ref="T216">IFERROR(
_xlfn.LET(
_xlpm.res,_xlfn.XLOOKUP(B216,'LOCALIZAÇÃO DE CARGA'!$A$2:$A$702,'LOCALIZAÇÃO DE CARGA'!$R$2:$R$702),
IF(_xlpm.res="","",SUBSTITUTE(_xlpm.res,"/BRASIL",""))
),
""
)</f>
        <v/>
      </c>
    </row>
    <row r="217" spans="1:20">
      <c r="A217" s="14" t="str">
        <f t="shared" si="9"/>
        <v/>
      </c>
      <c r="B217" s="5"/>
      <c r="C217" s="45" t="str">
        <f t="shared" ca="1" si="10"/>
        <v/>
      </c>
      <c r="D217" s="28"/>
      <c r="E217" s="28" t="str">
        <f>IFERROR(
IF(
_xlfn.XLOOKUP(
B217,
'LOCALIZAÇÃO DE CARGA'!$A$2:$A$702,
'LOCALIZAÇÃO DE CARGA'!$D$2:$D$702
)="",
"",
_xlfn.XLOOKUP(
B217,
'LOCALIZAÇÃO DE CARGA'!$A$2:$A$702,
'LOCALIZAÇÃO DE CARGA'!$D$2:$D$702
)
),
""
)</f>
        <v/>
      </c>
      <c r="F217" s="13" t="str">
        <f>IFERROR(
IF(
_xlfn.XLOOKUP(
B217,
'LOCALIZAÇÃO DE CARGA'!$A$2:$A$702,
'LOCALIZAÇÃO DE CARGA'!$H$2:$H$702
)="",
"",
_xlfn.XLOOKUP(
B217,
'LOCALIZAÇÃO DE CARGA'!$A$2:$A$702,
'LOCALIZAÇÃO DE CARGA'!$H$2:$H$702
)
),
""
)</f>
        <v/>
      </c>
      <c r="G217" s="5" t="str">
        <f>IFERROR(
IF(
_xlfn.XLOOKUP(
B217,
'LOCALIZAÇÃO DE CARGA'!$A$2:$A$702,
'LOCALIZAÇÃO DE CARGA'!$I$2:$I$702
)="",
"",
_xlfn.XLOOKUP(
B217,
'LOCALIZAÇÃO DE CARGA'!$A$2:$A$702,
'LOCALIZAÇÃO DE CARGA'!$I$2:$I$702
)
),
""
)</f>
        <v/>
      </c>
      <c r="H217" s="5" t="str">
        <f>IFERROR(
IF(
_xlfn.XLOOKUP(
B217,
'LOCALIZAÇÃO DE CARGA'!$A$2:$A$702,
'LOCALIZAÇÃO DE CARGA'!$F$2:$F$702
)="",
"",
_xlfn.XLOOKUP(
B217,
'LOCALIZAÇÃO DE CARGA'!$A$2:$A$702,
'LOCALIZAÇÃO DE CARGA'!$F$2:$F$702
)
),
""
)</f>
        <v/>
      </c>
      <c r="I217" s="13" t="str" cm="1">
        <f t="array" ref="I217">IFERROR(
IF(
INDEX(
'VISÃO LOGISTICA'!$C$2:$C$525,
MATCH(
TRUE,
ISNUMBER(FIND(B217,'VISÃO LOGISTICA'!$A$2:$A$525)),
0
)
)="Em espera",
"",
INDEX(
'VISÃO LOGISTICA'!$C$2:$C$525,
MATCH(
TRUE,
ISNUMBER(FIND(B217,'VISÃO LOGISTICA'!$A$2:$A$525)),
0
)
)
),
""
)</f>
        <v>Em Viagem</v>
      </c>
      <c r="J217" s="5" t="str" cm="1">
        <f t="array" ref="J217">IFERROR(
IF(
OR(
INDEX(
'VISÃO LOGISTICA'!$C$2:$C$2000,
MATCH(
TRUE,
ISNUMBER(FIND(B217,'VISÃO LOGISTICA'!$A$2:$A$2000)),
0
)
)="Em espera",
INDEX(
'VISÃO LOGISTICA'!$C$2:$C$2000,
MATCH(
TRUE,
ISNUMBER(FIND(B217,'VISÃO LOGISTICA'!$A$2:$A$2000)),
0
)
)=""
),
"",
INDEX(
'VISÃO LOGISTICA'!$D$2:$D$2000,
MATCH(
TRUE,
ISNUMBER(FIND(B217,'VISÃO LOGISTICA'!$A$2:$A$2000)),
0
)
)
),
""
)</f>
        <v>BCU5G84</v>
      </c>
      <c r="K217" s="10" t="str">
        <f>IFERROR(
IF(
_xlfn.XLOOKUP(
B217,
'LOCALIZAÇÃO DE CARGA'!$A$2:$A$702,
'LOCALIZAÇÃO DE CARGA'!$E$2:$E$702)="",
"",
_xlfn.XLOOKUP(
B217,
'LOCALIZAÇÃO DE CARGA'!$A$2:$A$702,
'LOCALIZAÇÃO DE CARGA'!$E$2:$E$702)
),
""
)</f>
        <v/>
      </c>
      <c r="L217" s="20" t="str" cm="1">
        <f t="array" ref="L217">IFERROR(
_xlfn.LET(
_xlpm.res,_xlfn.XLOOKUP(B217,'LOCALIZAÇÃO DE CARGA'!$A$2:$A$2000,'LOCALIZAÇÃO DE CARGA'!$G$2:$G$2000),
IF(_xlpm.res="","",_xlpm.res)
),
""
)</f>
        <v/>
      </c>
      <c r="M217" s="20" t="str" cm="1">
        <f t="array" ref="M217">IFERROR(
_xlfn.LET(
_xlpm.load,_xlfn.XLOOKUP(B217,'LOCALIZAÇÃO DE CARGA'!$A$2:$A$2000,'LOCALIZAÇÃO DE CARGA'!$A$2:$A$2000),
_xlpm.res,_xlfn.XLOOKUP(_xlpm.load,DOCUMENTOS!$A$2:$A$2000,DOCUMENTOS!$D$2:$D$2000),
IF(_xlpm.res="","",_xlpm.res)
),
""
)</f>
        <v/>
      </c>
      <c r="N217" s="6" t="str">
        <f>IFERROR(IF(M217="","",M217-TIME(1,0,0)),"")</f>
        <v/>
      </c>
      <c r="O217" s="6" t="str" cm="1">
        <f t="array" ref="O217">IFERROR(
_xlfn.LET(
_xlpm.res,_xlfn.XLOOKUP(B217,'LOCALIZAÇÃO DE CARGA'!$A$2:$A$2000,'LOCALIZAÇÃO DE CARGA'!$S$2:$S$2000),
IF(_xlpm.res="","",_xlpm.res)
),
""
)</f>
        <v/>
      </c>
      <c r="P217" s="6" t="str" cm="1">
        <f t="array" ref="P217">IFERROR(
_xlfn.LET(
_xlpm.res,_xlfn.XLOOKUP(B217,'LOCALIZAÇÃO DE CARGA'!$A$2:$A$702,'LOCALIZAÇÃO DE CARGA'!$T$2:$T$702),
IF(_xlpm.res="","",_xlpm.res)
),
""
)</f>
        <v/>
      </c>
      <c r="Q217" s="5" t="str">
        <f>IFERROR(
IF(
_xlfn.XLOOKUP(
B217,
'LOCALIZAÇÃO DE CARGA'!$A$2:$A$702,
'LOCALIZAÇÃO DE CARGA'!$K$2:$K$702
)="",
"",
_xlfn.XLOOKUP(
B217,
'LOCALIZAÇÃO DE CARGA'!$A$2:$A$702,
'LOCALIZAÇÃO DE CARGA'!$K$2:$K$702
)
),
""
)</f>
        <v/>
      </c>
      <c r="R217" s="5" t="str">
        <f t="shared" si="11"/>
        <v/>
      </c>
      <c r="S217" s="5" t="str" cm="1">
        <f t="array" ref="S217">IF(B217="","",IFERROR(
INDEX(
'VISÃO LOGISTICA'!$L$2:$L$525,
MATCH(
TRUE,
ISNUMBER(FIND(B217,'VISÃO LOGISTICA'!$A$2:$A$525)),
0
)
),
""
))</f>
        <v/>
      </c>
      <c r="T217" s="5" t="str" cm="1">
        <f t="array" ref="T217">IFERROR(
_xlfn.LET(
_xlpm.res,_xlfn.XLOOKUP(B217,'LOCALIZAÇÃO DE CARGA'!$A$2:$A$702,'LOCALIZAÇÃO DE CARGA'!$R$2:$R$702),
IF(_xlpm.res="","",SUBSTITUTE(_xlpm.res,"/BRASIL",""))
),
""
)</f>
        <v/>
      </c>
    </row>
    <row r="218" spans="1:20">
      <c r="A218" s="14" t="str">
        <f t="shared" si="9"/>
        <v/>
      </c>
      <c r="B218" s="5"/>
      <c r="C218" s="45" t="str">
        <f t="shared" ca="1" si="10"/>
        <v/>
      </c>
      <c r="D218" s="28"/>
      <c r="E218" s="28" t="str">
        <f>IFERROR(
IF(
_xlfn.XLOOKUP(
B218,
'LOCALIZAÇÃO DE CARGA'!$A$2:$A$702,
'LOCALIZAÇÃO DE CARGA'!$D$2:$D$702
)="",
"",
_xlfn.XLOOKUP(
B218,
'LOCALIZAÇÃO DE CARGA'!$A$2:$A$702,
'LOCALIZAÇÃO DE CARGA'!$D$2:$D$702
)
),
""
)</f>
        <v/>
      </c>
      <c r="F218" s="13" t="str">
        <f>IFERROR(
IF(
_xlfn.XLOOKUP(
B218,
'LOCALIZAÇÃO DE CARGA'!$A$2:$A$702,
'LOCALIZAÇÃO DE CARGA'!$H$2:$H$702
)="",
"",
_xlfn.XLOOKUP(
B218,
'LOCALIZAÇÃO DE CARGA'!$A$2:$A$702,
'LOCALIZAÇÃO DE CARGA'!$H$2:$H$702
)
),
""
)</f>
        <v/>
      </c>
      <c r="G218" s="5" t="str">
        <f>IFERROR(
IF(
_xlfn.XLOOKUP(
B218,
'LOCALIZAÇÃO DE CARGA'!$A$2:$A$702,
'LOCALIZAÇÃO DE CARGA'!$I$2:$I$702
)="",
"",
_xlfn.XLOOKUP(
B218,
'LOCALIZAÇÃO DE CARGA'!$A$2:$A$702,
'LOCALIZAÇÃO DE CARGA'!$I$2:$I$702
)
),
""
)</f>
        <v/>
      </c>
      <c r="H218" s="5" t="str">
        <f>IFERROR(
IF(
_xlfn.XLOOKUP(
B218,
'LOCALIZAÇÃO DE CARGA'!$A$2:$A$702,
'LOCALIZAÇÃO DE CARGA'!$F$2:$F$702
)="",
"",
_xlfn.XLOOKUP(
B218,
'LOCALIZAÇÃO DE CARGA'!$A$2:$A$702,
'LOCALIZAÇÃO DE CARGA'!$F$2:$F$702
)
),
""
)</f>
        <v/>
      </c>
      <c r="I218" s="13" t="str" cm="1">
        <f t="array" ref="I218">IFERROR(
IF(
INDEX(
'VISÃO LOGISTICA'!$C$2:$C$525,
MATCH(
TRUE,
ISNUMBER(FIND(B218,'VISÃO LOGISTICA'!$A$2:$A$525)),
0
)
)="Em espera",
"",
INDEX(
'VISÃO LOGISTICA'!$C$2:$C$525,
MATCH(
TRUE,
ISNUMBER(FIND(B218,'VISÃO LOGISTICA'!$A$2:$A$525)),
0
)
)
),
""
)</f>
        <v>Em Viagem</v>
      </c>
      <c r="J218" s="5" t="str" cm="1">
        <f t="array" ref="J218">IFERROR(
IF(
OR(
INDEX(
'VISÃO LOGISTICA'!$C$2:$C$2000,
MATCH(
TRUE,
ISNUMBER(FIND(B218,'VISÃO LOGISTICA'!$A$2:$A$2000)),
0
)
)="Em espera",
INDEX(
'VISÃO LOGISTICA'!$C$2:$C$2000,
MATCH(
TRUE,
ISNUMBER(FIND(B218,'VISÃO LOGISTICA'!$A$2:$A$2000)),
0
)
)=""
),
"",
INDEX(
'VISÃO LOGISTICA'!$D$2:$D$2000,
MATCH(
TRUE,
ISNUMBER(FIND(B218,'VISÃO LOGISTICA'!$A$2:$A$2000)),
0
)
)
),
""
)</f>
        <v>BCU5G84</v>
      </c>
      <c r="K218" s="10" t="str">
        <f>IFERROR(
IF(
_xlfn.XLOOKUP(
B218,
'LOCALIZAÇÃO DE CARGA'!$A$2:$A$702,
'LOCALIZAÇÃO DE CARGA'!$E$2:$E$702)="",
"",
_xlfn.XLOOKUP(
B218,
'LOCALIZAÇÃO DE CARGA'!$A$2:$A$702,
'LOCALIZAÇÃO DE CARGA'!$E$2:$E$702)
),
""
)</f>
        <v/>
      </c>
      <c r="L218" s="20" t="str" cm="1">
        <f t="array" ref="L218">IFERROR(
_xlfn.LET(
_xlpm.res,_xlfn.XLOOKUP(B218,'LOCALIZAÇÃO DE CARGA'!$A$2:$A$2000,'LOCALIZAÇÃO DE CARGA'!$G$2:$G$2000),
IF(_xlpm.res="","",_xlpm.res)
),
""
)</f>
        <v/>
      </c>
      <c r="M218" s="20" t="str" cm="1">
        <f t="array" ref="M218">IFERROR(
_xlfn.LET(
_xlpm.load,_xlfn.XLOOKUP(B218,'LOCALIZAÇÃO DE CARGA'!$A$2:$A$2000,'LOCALIZAÇÃO DE CARGA'!$A$2:$A$2000),
_xlpm.res,_xlfn.XLOOKUP(_xlpm.load,DOCUMENTOS!$A$2:$A$2000,DOCUMENTOS!$D$2:$D$2000),
IF(_xlpm.res="","",_xlpm.res)
),
""
)</f>
        <v/>
      </c>
      <c r="N218" s="6" t="str">
        <f>IFERROR(IF(M218="","",M218-TIME(1,0,0)),"")</f>
        <v/>
      </c>
      <c r="O218" s="6" t="str" cm="1">
        <f t="array" ref="O218">IFERROR(
_xlfn.LET(
_xlpm.res,_xlfn.XLOOKUP(B218,'LOCALIZAÇÃO DE CARGA'!$A$2:$A$2000,'LOCALIZAÇÃO DE CARGA'!$S$2:$S$2000),
IF(_xlpm.res="","",_xlpm.res)
),
""
)</f>
        <v/>
      </c>
      <c r="P218" s="6" t="str" cm="1">
        <f t="array" ref="P218">IFERROR(
_xlfn.LET(
_xlpm.res,_xlfn.XLOOKUP(B218,'LOCALIZAÇÃO DE CARGA'!$A$2:$A$702,'LOCALIZAÇÃO DE CARGA'!$T$2:$T$702),
IF(_xlpm.res="","",_xlpm.res)
),
""
)</f>
        <v/>
      </c>
      <c r="Q218" s="5" t="str">
        <f>IFERROR(
IF(
_xlfn.XLOOKUP(
B218,
'LOCALIZAÇÃO DE CARGA'!$A$2:$A$702,
'LOCALIZAÇÃO DE CARGA'!$K$2:$K$702
)="",
"",
_xlfn.XLOOKUP(
B218,
'LOCALIZAÇÃO DE CARGA'!$A$2:$A$702,
'LOCALIZAÇÃO DE CARGA'!$K$2:$K$702
)
),
""
)</f>
        <v/>
      </c>
      <c r="R218" s="5" t="str">
        <f t="shared" si="11"/>
        <v/>
      </c>
      <c r="S218" s="5" t="str" cm="1">
        <f t="array" ref="S218">IF(B218="","",IFERROR(
INDEX(
'VISÃO LOGISTICA'!$L$2:$L$525,
MATCH(
TRUE,
ISNUMBER(FIND(B218,'VISÃO LOGISTICA'!$A$2:$A$525)),
0
)
),
""
))</f>
        <v/>
      </c>
      <c r="T218" s="5" t="str" cm="1">
        <f t="array" ref="T218">IFERROR(
_xlfn.LET(
_xlpm.res,_xlfn.XLOOKUP(B218,'LOCALIZAÇÃO DE CARGA'!$A$2:$A$702,'LOCALIZAÇÃO DE CARGA'!$R$2:$R$702),
IF(_xlpm.res="","",SUBSTITUTE(_xlpm.res,"/BRASIL",""))
),
""
)</f>
        <v/>
      </c>
    </row>
    <row r="219" spans="1:20">
      <c r="A219" s="14" t="str">
        <f t="shared" si="9"/>
        <v/>
      </c>
      <c r="B219" s="5"/>
      <c r="C219" s="45" t="str">
        <f t="shared" ca="1" si="10"/>
        <v/>
      </c>
      <c r="D219" s="28"/>
      <c r="E219" s="28" t="str">
        <f>IFERROR(
IF(
_xlfn.XLOOKUP(
B219,
'LOCALIZAÇÃO DE CARGA'!$A$2:$A$702,
'LOCALIZAÇÃO DE CARGA'!$D$2:$D$702
)="",
"",
_xlfn.XLOOKUP(
B219,
'LOCALIZAÇÃO DE CARGA'!$A$2:$A$702,
'LOCALIZAÇÃO DE CARGA'!$D$2:$D$702
)
),
""
)</f>
        <v/>
      </c>
      <c r="F219" s="13" t="str">
        <f>IFERROR(
IF(
_xlfn.XLOOKUP(
B219,
'LOCALIZAÇÃO DE CARGA'!$A$2:$A$702,
'LOCALIZAÇÃO DE CARGA'!$H$2:$H$702
)="",
"",
_xlfn.XLOOKUP(
B219,
'LOCALIZAÇÃO DE CARGA'!$A$2:$A$702,
'LOCALIZAÇÃO DE CARGA'!$H$2:$H$702
)
),
""
)</f>
        <v/>
      </c>
      <c r="G219" s="5" t="str">
        <f>IFERROR(
IF(
_xlfn.XLOOKUP(
B219,
'LOCALIZAÇÃO DE CARGA'!$A$2:$A$702,
'LOCALIZAÇÃO DE CARGA'!$I$2:$I$702
)="",
"",
_xlfn.XLOOKUP(
B219,
'LOCALIZAÇÃO DE CARGA'!$A$2:$A$702,
'LOCALIZAÇÃO DE CARGA'!$I$2:$I$702
)
),
""
)</f>
        <v/>
      </c>
      <c r="H219" s="5" t="str">
        <f>IFERROR(
IF(
_xlfn.XLOOKUP(
B219,
'LOCALIZAÇÃO DE CARGA'!$A$2:$A$702,
'LOCALIZAÇÃO DE CARGA'!$F$2:$F$702
)="",
"",
_xlfn.XLOOKUP(
B219,
'LOCALIZAÇÃO DE CARGA'!$A$2:$A$702,
'LOCALIZAÇÃO DE CARGA'!$F$2:$F$702
)
),
""
)</f>
        <v/>
      </c>
      <c r="I219" s="13" t="str" cm="1">
        <f t="array" ref="I219">IFERROR(
IF(
INDEX(
'VISÃO LOGISTICA'!$C$2:$C$525,
MATCH(
TRUE,
ISNUMBER(FIND(B219,'VISÃO LOGISTICA'!$A$2:$A$525)),
0
)
)="Em espera",
"",
INDEX(
'VISÃO LOGISTICA'!$C$2:$C$525,
MATCH(
TRUE,
ISNUMBER(FIND(B219,'VISÃO LOGISTICA'!$A$2:$A$525)),
0
)
)
),
""
)</f>
        <v>Em Viagem</v>
      </c>
      <c r="J219" s="5" t="str" cm="1">
        <f t="array" ref="J219">IFERROR(
IF(
OR(
INDEX(
'VISÃO LOGISTICA'!$C$2:$C$2000,
MATCH(
TRUE,
ISNUMBER(FIND(B219,'VISÃO LOGISTICA'!$A$2:$A$2000)),
0
)
)="Em espera",
INDEX(
'VISÃO LOGISTICA'!$C$2:$C$2000,
MATCH(
TRUE,
ISNUMBER(FIND(B219,'VISÃO LOGISTICA'!$A$2:$A$2000)),
0
)
)=""
),
"",
INDEX(
'VISÃO LOGISTICA'!$D$2:$D$2000,
MATCH(
TRUE,
ISNUMBER(FIND(B219,'VISÃO LOGISTICA'!$A$2:$A$2000)),
0
)
)
),
""
)</f>
        <v>BCU5G84</v>
      </c>
      <c r="K219" s="10" t="str">
        <f>IFERROR(
IF(
_xlfn.XLOOKUP(
B219,
'LOCALIZAÇÃO DE CARGA'!$A$2:$A$702,
'LOCALIZAÇÃO DE CARGA'!$E$2:$E$702)="",
"",
_xlfn.XLOOKUP(
B219,
'LOCALIZAÇÃO DE CARGA'!$A$2:$A$702,
'LOCALIZAÇÃO DE CARGA'!$E$2:$E$702)
),
""
)</f>
        <v/>
      </c>
      <c r="L219" s="20" t="str" cm="1">
        <f t="array" ref="L219">IFERROR(
_xlfn.LET(
_xlpm.res,_xlfn.XLOOKUP(B219,'LOCALIZAÇÃO DE CARGA'!$A$2:$A$2000,'LOCALIZAÇÃO DE CARGA'!$G$2:$G$2000),
IF(_xlpm.res="","",_xlpm.res)
),
""
)</f>
        <v/>
      </c>
      <c r="M219" s="20" t="str" cm="1">
        <f t="array" ref="M219">IFERROR(
_xlfn.LET(
_xlpm.load,_xlfn.XLOOKUP(B219,'LOCALIZAÇÃO DE CARGA'!$A$2:$A$2000,'LOCALIZAÇÃO DE CARGA'!$A$2:$A$2000),
_xlpm.res,_xlfn.XLOOKUP(_xlpm.load,DOCUMENTOS!$A$2:$A$2000,DOCUMENTOS!$D$2:$D$2000),
IF(_xlpm.res="","",_xlpm.res)
),
""
)</f>
        <v/>
      </c>
      <c r="N219" s="6" t="str">
        <f>IFERROR(IF(M219="","",M219-TIME(1,0,0)),"")</f>
        <v/>
      </c>
      <c r="O219" s="6" t="str" cm="1">
        <f t="array" ref="O219">IFERROR(
_xlfn.LET(
_xlpm.res,_xlfn.XLOOKUP(B219,'LOCALIZAÇÃO DE CARGA'!$A$2:$A$2000,'LOCALIZAÇÃO DE CARGA'!$S$2:$S$2000),
IF(_xlpm.res="","",_xlpm.res)
),
""
)</f>
        <v/>
      </c>
      <c r="P219" s="6" t="str" cm="1">
        <f t="array" ref="P219">IFERROR(
_xlfn.LET(
_xlpm.res,_xlfn.XLOOKUP(B219,'LOCALIZAÇÃO DE CARGA'!$A$2:$A$702,'LOCALIZAÇÃO DE CARGA'!$T$2:$T$702),
IF(_xlpm.res="","",_xlpm.res)
),
""
)</f>
        <v/>
      </c>
      <c r="Q219" s="5" t="str">
        <f>IFERROR(
IF(
_xlfn.XLOOKUP(
B219,
'LOCALIZAÇÃO DE CARGA'!$A$2:$A$702,
'LOCALIZAÇÃO DE CARGA'!$K$2:$K$702
)="",
"",
_xlfn.XLOOKUP(
B219,
'LOCALIZAÇÃO DE CARGA'!$A$2:$A$702,
'LOCALIZAÇÃO DE CARGA'!$K$2:$K$702
)
),
""
)</f>
        <v/>
      </c>
      <c r="R219" s="5" t="str">
        <f t="shared" si="11"/>
        <v/>
      </c>
      <c r="S219" s="5" t="str" cm="1">
        <f t="array" ref="S219">IF(B219="","",IFERROR(
INDEX(
'VISÃO LOGISTICA'!$L$2:$L$525,
MATCH(
TRUE,
ISNUMBER(FIND(B219,'VISÃO LOGISTICA'!$A$2:$A$525)),
0
)
),
""
))</f>
        <v/>
      </c>
      <c r="T219" s="5" t="str" cm="1">
        <f t="array" ref="T219">IFERROR(
_xlfn.LET(
_xlpm.res,_xlfn.XLOOKUP(B219,'LOCALIZAÇÃO DE CARGA'!$A$2:$A$702,'LOCALIZAÇÃO DE CARGA'!$R$2:$R$702),
IF(_xlpm.res="","",SUBSTITUTE(_xlpm.res,"/BRASIL",""))
),
""
)</f>
        <v/>
      </c>
    </row>
    <row r="220" spans="1:20">
      <c r="A220" s="14" t="str">
        <f t="shared" si="9"/>
        <v/>
      </c>
      <c r="B220" s="5"/>
      <c r="C220" s="45" t="str">
        <f t="shared" ca="1" si="10"/>
        <v/>
      </c>
      <c r="D220" s="28"/>
      <c r="E220" s="28" t="str">
        <f>IFERROR(
IF(
_xlfn.XLOOKUP(
B220,
'LOCALIZAÇÃO DE CARGA'!$A$2:$A$702,
'LOCALIZAÇÃO DE CARGA'!$D$2:$D$702
)="",
"",
_xlfn.XLOOKUP(
B220,
'LOCALIZAÇÃO DE CARGA'!$A$2:$A$702,
'LOCALIZAÇÃO DE CARGA'!$D$2:$D$702
)
),
""
)</f>
        <v/>
      </c>
      <c r="F220" s="13" t="str">
        <f>IFERROR(
IF(
_xlfn.XLOOKUP(
B220,
'LOCALIZAÇÃO DE CARGA'!$A$2:$A$702,
'LOCALIZAÇÃO DE CARGA'!$H$2:$H$702
)="",
"",
_xlfn.XLOOKUP(
B220,
'LOCALIZAÇÃO DE CARGA'!$A$2:$A$702,
'LOCALIZAÇÃO DE CARGA'!$H$2:$H$702
)
),
""
)</f>
        <v/>
      </c>
      <c r="G220" s="5" t="str">
        <f>IFERROR(
IF(
_xlfn.XLOOKUP(
B220,
'LOCALIZAÇÃO DE CARGA'!$A$2:$A$702,
'LOCALIZAÇÃO DE CARGA'!$I$2:$I$702
)="",
"",
_xlfn.XLOOKUP(
B220,
'LOCALIZAÇÃO DE CARGA'!$A$2:$A$702,
'LOCALIZAÇÃO DE CARGA'!$I$2:$I$702
)
),
""
)</f>
        <v/>
      </c>
      <c r="H220" s="5" t="str">
        <f>IFERROR(
IF(
_xlfn.XLOOKUP(
B220,
'LOCALIZAÇÃO DE CARGA'!$A$2:$A$702,
'LOCALIZAÇÃO DE CARGA'!$F$2:$F$702
)="",
"",
_xlfn.XLOOKUP(
B220,
'LOCALIZAÇÃO DE CARGA'!$A$2:$A$702,
'LOCALIZAÇÃO DE CARGA'!$F$2:$F$702
)
),
""
)</f>
        <v/>
      </c>
      <c r="I220" s="13" t="str" cm="1">
        <f t="array" ref="I220">IFERROR(
IF(
INDEX(
'VISÃO LOGISTICA'!$C$2:$C$525,
MATCH(
TRUE,
ISNUMBER(FIND(B220,'VISÃO LOGISTICA'!$A$2:$A$525)),
0
)
)="Em espera",
"",
INDEX(
'VISÃO LOGISTICA'!$C$2:$C$525,
MATCH(
TRUE,
ISNUMBER(FIND(B220,'VISÃO LOGISTICA'!$A$2:$A$525)),
0
)
)
),
""
)</f>
        <v>Em Viagem</v>
      </c>
      <c r="J220" s="5" t="str" cm="1">
        <f t="array" ref="J220">IFERROR(
IF(
OR(
INDEX(
'VISÃO LOGISTICA'!$C$2:$C$2000,
MATCH(
TRUE,
ISNUMBER(FIND(B220,'VISÃO LOGISTICA'!$A$2:$A$2000)),
0
)
)="Em espera",
INDEX(
'VISÃO LOGISTICA'!$C$2:$C$2000,
MATCH(
TRUE,
ISNUMBER(FIND(B220,'VISÃO LOGISTICA'!$A$2:$A$2000)),
0
)
)=""
),
"",
INDEX(
'VISÃO LOGISTICA'!$D$2:$D$2000,
MATCH(
TRUE,
ISNUMBER(FIND(B220,'VISÃO LOGISTICA'!$A$2:$A$2000)),
0
)
)
),
""
)</f>
        <v>BCU5G84</v>
      </c>
      <c r="K220" s="10" t="str">
        <f>IFERROR(
IF(
_xlfn.XLOOKUP(
B220,
'LOCALIZAÇÃO DE CARGA'!$A$2:$A$702,
'LOCALIZAÇÃO DE CARGA'!$E$2:$E$702)="",
"",
_xlfn.XLOOKUP(
B220,
'LOCALIZAÇÃO DE CARGA'!$A$2:$A$702,
'LOCALIZAÇÃO DE CARGA'!$E$2:$E$702)
),
""
)</f>
        <v/>
      </c>
      <c r="L220" s="20" t="str" cm="1">
        <f t="array" ref="L220">IFERROR(
_xlfn.LET(
_xlpm.res,_xlfn.XLOOKUP(B220,'LOCALIZAÇÃO DE CARGA'!$A$2:$A$2000,'LOCALIZAÇÃO DE CARGA'!$G$2:$G$2000),
IF(_xlpm.res="","",_xlpm.res)
),
""
)</f>
        <v/>
      </c>
      <c r="M220" s="20" t="str" cm="1">
        <f t="array" ref="M220">IFERROR(
_xlfn.LET(
_xlpm.load,_xlfn.XLOOKUP(B220,'LOCALIZAÇÃO DE CARGA'!$A$2:$A$2000,'LOCALIZAÇÃO DE CARGA'!$A$2:$A$2000),
_xlpm.res,_xlfn.XLOOKUP(_xlpm.load,DOCUMENTOS!$A$2:$A$2000,DOCUMENTOS!$D$2:$D$2000),
IF(_xlpm.res="","",_xlpm.res)
),
""
)</f>
        <v/>
      </c>
      <c r="N220" s="6" t="str">
        <f>IFERROR(IF(M220="","",M220-TIME(1,0,0)),"")</f>
        <v/>
      </c>
      <c r="O220" s="6" t="str" cm="1">
        <f t="array" ref="O220">IFERROR(
_xlfn.LET(
_xlpm.res,_xlfn.XLOOKUP(B220,'LOCALIZAÇÃO DE CARGA'!$A$2:$A$2000,'LOCALIZAÇÃO DE CARGA'!$S$2:$S$2000),
IF(_xlpm.res="","",_xlpm.res)
),
""
)</f>
        <v/>
      </c>
      <c r="P220" s="6" t="str" cm="1">
        <f t="array" ref="P220">IFERROR(
_xlfn.LET(
_xlpm.res,_xlfn.XLOOKUP(B220,'LOCALIZAÇÃO DE CARGA'!$A$2:$A$702,'LOCALIZAÇÃO DE CARGA'!$T$2:$T$702),
IF(_xlpm.res="","",_xlpm.res)
),
""
)</f>
        <v/>
      </c>
      <c r="Q220" s="5" t="str">
        <f>IFERROR(
IF(
_xlfn.XLOOKUP(
B220,
'LOCALIZAÇÃO DE CARGA'!$A$2:$A$702,
'LOCALIZAÇÃO DE CARGA'!$K$2:$K$702
)="",
"",
_xlfn.XLOOKUP(
B220,
'LOCALIZAÇÃO DE CARGA'!$A$2:$A$702,
'LOCALIZAÇÃO DE CARGA'!$K$2:$K$702
)
),
""
)</f>
        <v/>
      </c>
      <c r="R220" s="5" t="str">
        <f t="shared" si="11"/>
        <v/>
      </c>
      <c r="S220" s="5" t="str" cm="1">
        <f t="array" ref="S220">IF(B220="","",IFERROR(
INDEX(
'VISÃO LOGISTICA'!$L$2:$L$525,
MATCH(
TRUE,
ISNUMBER(FIND(B220,'VISÃO LOGISTICA'!$A$2:$A$525)),
0
)
),
""
))</f>
        <v/>
      </c>
      <c r="T220" s="5" t="str" cm="1">
        <f t="array" ref="T220">IFERROR(
_xlfn.LET(
_xlpm.res,_xlfn.XLOOKUP(B220,'LOCALIZAÇÃO DE CARGA'!$A$2:$A$702,'LOCALIZAÇÃO DE CARGA'!$R$2:$R$702),
IF(_xlpm.res="","",SUBSTITUTE(_xlpm.res,"/BRASIL",""))
),
""
)</f>
        <v/>
      </c>
    </row>
    <row r="221" spans="1:20">
      <c r="A221" s="14" t="str">
        <f t="shared" si="9"/>
        <v/>
      </c>
      <c r="B221" s="5"/>
      <c r="C221" s="45" t="str">
        <f t="shared" ca="1" si="10"/>
        <v/>
      </c>
      <c r="D221" s="28"/>
      <c r="E221" s="28" t="str">
        <f>IFERROR(
IF(
_xlfn.XLOOKUP(
B221,
'LOCALIZAÇÃO DE CARGA'!$A$2:$A$702,
'LOCALIZAÇÃO DE CARGA'!$D$2:$D$702
)="",
"",
_xlfn.XLOOKUP(
B221,
'LOCALIZAÇÃO DE CARGA'!$A$2:$A$702,
'LOCALIZAÇÃO DE CARGA'!$D$2:$D$702
)
),
""
)</f>
        <v/>
      </c>
      <c r="F221" s="13" t="str">
        <f>IFERROR(
IF(
_xlfn.XLOOKUP(
B221,
'LOCALIZAÇÃO DE CARGA'!$A$2:$A$702,
'LOCALIZAÇÃO DE CARGA'!$H$2:$H$702
)="",
"",
_xlfn.XLOOKUP(
B221,
'LOCALIZAÇÃO DE CARGA'!$A$2:$A$702,
'LOCALIZAÇÃO DE CARGA'!$H$2:$H$702
)
),
""
)</f>
        <v/>
      </c>
      <c r="G221" s="5" t="str">
        <f>IFERROR(
IF(
_xlfn.XLOOKUP(
B221,
'LOCALIZAÇÃO DE CARGA'!$A$2:$A$702,
'LOCALIZAÇÃO DE CARGA'!$I$2:$I$702
)="",
"",
_xlfn.XLOOKUP(
B221,
'LOCALIZAÇÃO DE CARGA'!$A$2:$A$702,
'LOCALIZAÇÃO DE CARGA'!$I$2:$I$702
)
),
""
)</f>
        <v/>
      </c>
      <c r="H221" s="5" t="str">
        <f>IFERROR(
IF(
_xlfn.XLOOKUP(
B221,
'LOCALIZAÇÃO DE CARGA'!$A$2:$A$702,
'LOCALIZAÇÃO DE CARGA'!$F$2:$F$702
)="",
"",
_xlfn.XLOOKUP(
B221,
'LOCALIZAÇÃO DE CARGA'!$A$2:$A$702,
'LOCALIZAÇÃO DE CARGA'!$F$2:$F$702
)
),
""
)</f>
        <v/>
      </c>
      <c r="I221" s="13" t="str" cm="1">
        <f t="array" ref="I221">IFERROR(
IF(
INDEX(
'VISÃO LOGISTICA'!$C$2:$C$525,
MATCH(
TRUE,
ISNUMBER(FIND(B221,'VISÃO LOGISTICA'!$A$2:$A$525)),
0
)
)="Em espera",
"",
INDEX(
'VISÃO LOGISTICA'!$C$2:$C$525,
MATCH(
TRUE,
ISNUMBER(FIND(B221,'VISÃO LOGISTICA'!$A$2:$A$525)),
0
)
)
),
""
)</f>
        <v>Em Viagem</v>
      </c>
      <c r="J221" s="5" t="str" cm="1">
        <f t="array" ref="J221">IFERROR(
IF(
OR(
INDEX(
'VISÃO LOGISTICA'!$C$2:$C$2000,
MATCH(
TRUE,
ISNUMBER(FIND(B221,'VISÃO LOGISTICA'!$A$2:$A$2000)),
0
)
)="Em espera",
INDEX(
'VISÃO LOGISTICA'!$C$2:$C$2000,
MATCH(
TRUE,
ISNUMBER(FIND(B221,'VISÃO LOGISTICA'!$A$2:$A$2000)),
0
)
)=""
),
"",
INDEX(
'VISÃO LOGISTICA'!$D$2:$D$2000,
MATCH(
TRUE,
ISNUMBER(FIND(B221,'VISÃO LOGISTICA'!$A$2:$A$2000)),
0
)
)
),
""
)</f>
        <v>BCU5G84</v>
      </c>
      <c r="K221" s="10" t="str">
        <f>IFERROR(
IF(
_xlfn.XLOOKUP(
B221,
'LOCALIZAÇÃO DE CARGA'!$A$2:$A$702,
'LOCALIZAÇÃO DE CARGA'!$E$2:$E$702)="",
"",
_xlfn.XLOOKUP(
B221,
'LOCALIZAÇÃO DE CARGA'!$A$2:$A$702,
'LOCALIZAÇÃO DE CARGA'!$E$2:$E$702)
),
""
)</f>
        <v/>
      </c>
      <c r="L221" s="20" t="str" cm="1">
        <f t="array" ref="L221">IFERROR(
_xlfn.LET(
_xlpm.res,_xlfn.XLOOKUP(B221,'LOCALIZAÇÃO DE CARGA'!$A$2:$A$2000,'LOCALIZAÇÃO DE CARGA'!$G$2:$G$2000),
IF(_xlpm.res="","",_xlpm.res)
),
""
)</f>
        <v/>
      </c>
      <c r="M221" s="20" t="str" cm="1">
        <f t="array" ref="M221">IFERROR(
_xlfn.LET(
_xlpm.load,_xlfn.XLOOKUP(B221,'LOCALIZAÇÃO DE CARGA'!$A$2:$A$2000,'LOCALIZAÇÃO DE CARGA'!$A$2:$A$2000),
_xlpm.res,_xlfn.XLOOKUP(_xlpm.load,DOCUMENTOS!$A$2:$A$2000,DOCUMENTOS!$D$2:$D$2000),
IF(_xlpm.res="","",_xlpm.res)
),
""
)</f>
        <v/>
      </c>
      <c r="N221" s="6" t="str">
        <f>IFERROR(IF(M221="","",M221-TIME(1,0,0)),"")</f>
        <v/>
      </c>
      <c r="O221" s="6" t="str" cm="1">
        <f t="array" ref="O221">IFERROR(
_xlfn.LET(
_xlpm.res,_xlfn.XLOOKUP(B221,'LOCALIZAÇÃO DE CARGA'!$A$2:$A$2000,'LOCALIZAÇÃO DE CARGA'!$S$2:$S$2000),
IF(_xlpm.res="","",_xlpm.res)
),
""
)</f>
        <v/>
      </c>
      <c r="P221" s="6" t="str" cm="1">
        <f t="array" ref="P221">IFERROR(
_xlfn.LET(
_xlpm.res,_xlfn.XLOOKUP(B221,'LOCALIZAÇÃO DE CARGA'!$A$2:$A$702,'LOCALIZAÇÃO DE CARGA'!$T$2:$T$702),
IF(_xlpm.res="","",_xlpm.res)
),
""
)</f>
        <v/>
      </c>
      <c r="Q221" s="5" t="str">
        <f>IFERROR(
IF(
_xlfn.XLOOKUP(
B221,
'LOCALIZAÇÃO DE CARGA'!$A$2:$A$702,
'LOCALIZAÇÃO DE CARGA'!$K$2:$K$702
)="",
"",
_xlfn.XLOOKUP(
B221,
'LOCALIZAÇÃO DE CARGA'!$A$2:$A$702,
'LOCALIZAÇÃO DE CARGA'!$K$2:$K$702
)
),
""
)</f>
        <v/>
      </c>
      <c r="R221" s="5" t="str">
        <f t="shared" si="11"/>
        <v/>
      </c>
      <c r="S221" s="5" t="str" cm="1">
        <f t="array" ref="S221">IF(B221="","",IFERROR(
INDEX(
'VISÃO LOGISTICA'!$L$2:$L$525,
MATCH(
TRUE,
ISNUMBER(FIND(B221,'VISÃO LOGISTICA'!$A$2:$A$525)),
0
)
),
""
))</f>
        <v/>
      </c>
      <c r="T221" s="5" t="str" cm="1">
        <f t="array" ref="T221">IFERROR(
_xlfn.LET(
_xlpm.res,_xlfn.XLOOKUP(B221,'LOCALIZAÇÃO DE CARGA'!$A$2:$A$702,'LOCALIZAÇÃO DE CARGA'!$R$2:$R$702),
IF(_xlpm.res="","",SUBSTITUTE(_xlpm.res,"/BRASIL",""))
),
""
)</f>
        <v/>
      </c>
    </row>
    <row r="222" spans="1:20">
      <c r="A222" s="14" t="str">
        <f t="shared" si="9"/>
        <v/>
      </c>
      <c r="B222" s="5"/>
      <c r="C222" s="45" t="str">
        <f t="shared" ca="1" si="10"/>
        <v/>
      </c>
      <c r="D222" s="28"/>
      <c r="E222" s="28" t="str">
        <f>IFERROR(
IF(
_xlfn.XLOOKUP(
B222,
'LOCALIZAÇÃO DE CARGA'!$A$2:$A$702,
'LOCALIZAÇÃO DE CARGA'!$D$2:$D$702
)="",
"",
_xlfn.XLOOKUP(
B222,
'LOCALIZAÇÃO DE CARGA'!$A$2:$A$702,
'LOCALIZAÇÃO DE CARGA'!$D$2:$D$702
)
),
""
)</f>
        <v/>
      </c>
      <c r="F222" s="13" t="str">
        <f>IFERROR(
IF(
_xlfn.XLOOKUP(
B222,
'LOCALIZAÇÃO DE CARGA'!$A$2:$A$702,
'LOCALIZAÇÃO DE CARGA'!$H$2:$H$702
)="",
"",
_xlfn.XLOOKUP(
B222,
'LOCALIZAÇÃO DE CARGA'!$A$2:$A$702,
'LOCALIZAÇÃO DE CARGA'!$H$2:$H$702
)
),
""
)</f>
        <v/>
      </c>
      <c r="G222" s="5" t="str">
        <f>IFERROR(
IF(
_xlfn.XLOOKUP(
B222,
'LOCALIZAÇÃO DE CARGA'!$A$2:$A$702,
'LOCALIZAÇÃO DE CARGA'!$I$2:$I$702
)="",
"",
_xlfn.XLOOKUP(
B222,
'LOCALIZAÇÃO DE CARGA'!$A$2:$A$702,
'LOCALIZAÇÃO DE CARGA'!$I$2:$I$702
)
),
""
)</f>
        <v/>
      </c>
      <c r="H222" s="5" t="str">
        <f>IFERROR(
IF(
_xlfn.XLOOKUP(
B222,
'LOCALIZAÇÃO DE CARGA'!$A$2:$A$702,
'LOCALIZAÇÃO DE CARGA'!$F$2:$F$702
)="",
"",
_xlfn.XLOOKUP(
B222,
'LOCALIZAÇÃO DE CARGA'!$A$2:$A$702,
'LOCALIZAÇÃO DE CARGA'!$F$2:$F$702
)
),
""
)</f>
        <v/>
      </c>
      <c r="I222" s="13" t="str" cm="1">
        <f t="array" ref="I222">IFERROR(
IF(
INDEX(
'VISÃO LOGISTICA'!$C$2:$C$525,
MATCH(
TRUE,
ISNUMBER(FIND(B222,'VISÃO LOGISTICA'!$A$2:$A$525)),
0
)
)="Em espera",
"",
INDEX(
'VISÃO LOGISTICA'!$C$2:$C$525,
MATCH(
TRUE,
ISNUMBER(FIND(B222,'VISÃO LOGISTICA'!$A$2:$A$525)),
0
)
)
),
""
)</f>
        <v>Em Viagem</v>
      </c>
      <c r="J222" s="5" t="str" cm="1">
        <f t="array" ref="J222">IFERROR(
IF(
OR(
INDEX(
'VISÃO LOGISTICA'!$C$2:$C$2000,
MATCH(
TRUE,
ISNUMBER(FIND(B222,'VISÃO LOGISTICA'!$A$2:$A$2000)),
0
)
)="Em espera",
INDEX(
'VISÃO LOGISTICA'!$C$2:$C$2000,
MATCH(
TRUE,
ISNUMBER(FIND(B222,'VISÃO LOGISTICA'!$A$2:$A$2000)),
0
)
)=""
),
"",
INDEX(
'VISÃO LOGISTICA'!$D$2:$D$2000,
MATCH(
TRUE,
ISNUMBER(FIND(B222,'VISÃO LOGISTICA'!$A$2:$A$2000)),
0
)
)
),
""
)</f>
        <v>BCU5G84</v>
      </c>
      <c r="K222" s="10" t="str">
        <f>IFERROR(
IF(
_xlfn.XLOOKUP(
B222,
'LOCALIZAÇÃO DE CARGA'!$A$2:$A$702,
'LOCALIZAÇÃO DE CARGA'!$E$2:$E$702)="",
"",
_xlfn.XLOOKUP(
B222,
'LOCALIZAÇÃO DE CARGA'!$A$2:$A$702,
'LOCALIZAÇÃO DE CARGA'!$E$2:$E$702)
),
""
)</f>
        <v/>
      </c>
      <c r="L222" s="20" t="str" cm="1">
        <f t="array" ref="L222">IFERROR(
_xlfn.LET(
_xlpm.res,_xlfn.XLOOKUP(B222,'LOCALIZAÇÃO DE CARGA'!$A$2:$A$2000,'LOCALIZAÇÃO DE CARGA'!$G$2:$G$2000),
IF(_xlpm.res="","",_xlpm.res)
),
""
)</f>
        <v/>
      </c>
      <c r="M222" s="20" t="str" cm="1">
        <f t="array" ref="M222">IFERROR(
_xlfn.LET(
_xlpm.load,_xlfn.XLOOKUP(B222,'LOCALIZAÇÃO DE CARGA'!$A$2:$A$2000,'LOCALIZAÇÃO DE CARGA'!$A$2:$A$2000),
_xlpm.res,_xlfn.XLOOKUP(_xlpm.load,DOCUMENTOS!$A$2:$A$2000,DOCUMENTOS!$D$2:$D$2000),
IF(_xlpm.res="","",_xlpm.res)
),
""
)</f>
        <v/>
      </c>
      <c r="N222" s="6" t="str">
        <f>IFERROR(IF(M222="","",M222-TIME(1,0,0)),"")</f>
        <v/>
      </c>
      <c r="O222" s="6" t="str" cm="1">
        <f t="array" ref="O222">IFERROR(
_xlfn.LET(
_xlpm.res,_xlfn.XLOOKUP(B222,'LOCALIZAÇÃO DE CARGA'!$A$2:$A$2000,'LOCALIZAÇÃO DE CARGA'!$S$2:$S$2000),
IF(_xlpm.res="","",_xlpm.res)
),
""
)</f>
        <v/>
      </c>
      <c r="P222" s="6" t="str" cm="1">
        <f t="array" ref="P222">IFERROR(
_xlfn.LET(
_xlpm.res,_xlfn.XLOOKUP(B222,'LOCALIZAÇÃO DE CARGA'!$A$2:$A$702,'LOCALIZAÇÃO DE CARGA'!$T$2:$T$702),
IF(_xlpm.res="","",_xlpm.res)
),
""
)</f>
        <v/>
      </c>
      <c r="Q222" s="5" t="str">
        <f>IFERROR(
IF(
_xlfn.XLOOKUP(
B222,
'LOCALIZAÇÃO DE CARGA'!$A$2:$A$702,
'LOCALIZAÇÃO DE CARGA'!$K$2:$K$702
)="",
"",
_xlfn.XLOOKUP(
B222,
'LOCALIZAÇÃO DE CARGA'!$A$2:$A$702,
'LOCALIZAÇÃO DE CARGA'!$K$2:$K$702
)
),
""
)</f>
        <v/>
      </c>
      <c r="R222" s="5" t="str">
        <f t="shared" si="11"/>
        <v/>
      </c>
      <c r="S222" s="5" t="str" cm="1">
        <f t="array" ref="S222">IF(B222="","",IFERROR(
INDEX(
'VISÃO LOGISTICA'!$L$2:$L$525,
MATCH(
TRUE,
ISNUMBER(FIND(B222,'VISÃO LOGISTICA'!$A$2:$A$525)),
0
)
),
""
))</f>
        <v/>
      </c>
      <c r="T222" s="5" t="str" cm="1">
        <f t="array" ref="T222">IFERROR(
_xlfn.LET(
_xlpm.res,_xlfn.XLOOKUP(B222,'LOCALIZAÇÃO DE CARGA'!$A$2:$A$702,'LOCALIZAÇÃO DE CARGA'!$R$2:$R$702),
IF(_xlpm.res="","",SUBSTITUTE(_xlpm.res,"/BRASIL",""))
),
""
)</f>
        <v/>
      </c>
    </row>
    <row r="223" spans="1:20">
      <c r="A223" s="14" t="str">
        <f t="shared" si="9"/>
        <v/>
      </c>
      <c r="B223" s="5"/>
      <c r="C223" s="45" t="str">
        <f t="shared" ca="1" si="10"/>
        <v/>
      </c>
      <c r="D223" s="28"/>
      <c r="E223" s="28" t="str">
        <f>IFERROR(
IF(
_xlfn.XLOOKUP(
B223,
'LOCALIZAÇÃO DE CARGA'!$A$2:$A$702,
'LOCALIZAÇÃO DE CARGA'!$D$2:$D$702
)="",
"",
_xlfn.XLOOKUP(
B223,
'LOCALIZAÇÃO DE CARGA'!$A$2:$A$702,
'LOCALIZAÇÃO DE CARGA'!$D$2:$D$702
)
),
""
)</f>
        <v/>
      </c>
      <c r="F223" s="13" t="str">
        <f>IFERROR(
IF(
_xlfn.XLOOKUP(
B223,
'LOCALIZAÇÃO DE CARGA'!$A$2:$A$702,
'LOCALIZAÇÃO DE CARGA'!$H$2:$H$702
)="",
"",
_xlfn.XLOOKUP(
B223,
'LOCALIZAÇÃO DE CARGA'!$A$2:$A$702,
'LOCALIZAÇÃO DE CARGA'!$H$2:$H$702
)
),
""
)</f>
        <v/>
      </c>
      <c r="G223" s="5" t="str">
        <f>IFERROR(
IF(
_xlfn.XLOOKUP(
B223,
'LOCALIZAÇÃO DE CARGA'!$A$2:$A$702,
'LOCALIZAÇÃO DE CARGA'!$I$2:$I$702
)="",
"",
_xlfn.XLOOKUP(
B223,
'LOCALIZAÇÃO DE CARGA'!$A$2:$A$702,
'LOCALIZAÇÃO DE CARGA'!$I$2:$I$702
)
),
""
)</f>
        <v/>
      </c>
      <c r="H223" s="5" t="str">
        <f>IFERROR(
IF(
_xlfn.XLOOKUP(
B223,
'LOCALIZAÇÃO DE CARGA'!$A$2:$A$702,
'LOCALIZAÇÃO DE CARGA'!$F$2:$F$702
)="",
"",
_xlfn.XLOOKUP(
B223,
'LOCALIZAÇÃO DE CARGA'!$A$2:$A$702,
'LOCALIZAÇÃO DE CARGA'!$F$2:$F$702
)
),
""
)</f>
        <v/>
      </c>
      <c r="I223" s="13" t="str" cm="1">
        <f t="array" ref="I223">IFERROR(
IF(
INDEX(
'VISÃO LOGISTICA'!$C$2:$C$525,
MATCH(
TRUE,
ISNUMBER(FIND(B223,'VISÃO LOGISTICA'!$A$2:$A$525)),
0
)
)="Em espera",
"",
INDEX(
'VISÃO LOGISTICA'!$C$2:$C$525,
MATCH(
TRUE,
ISNUMBER(FIND(B223,'VISÃO LOGISTICA'!$A$2:$A$525)),
0
)
)
),
""
)</f>
        <v>Em Viagem</v>
      </c>
      <c r="J223" s="5" t="str" cm="1">
        <f t="array" ref="J223">IFERROR(
IF(
OR(
INDEX(
'VISÃO LOGISTICA'!$C$2:$C$2000,
MATCH(
TRUE,
ISNUMBER(FIND(B223,'VISÃO LOGISTICA'!$A$2:$A$2000)),
0
)
)="Em espera",
INDEX(
'VISÃO LOGISTICA'!$C$2:$C$2000,
MATCH(
TRUE,
ISNUMBER(FIND(B223,'VISÃO LOGISTICA'!$A$2:$A$2000)),
0
)
)=""
),
"",
INDEX(
'VISÃO LOGISTICA'!$D$2:$D$2000,
MATCH(
TRUE,
ISNUMBER(FIND(B223,'VISÃO LOGISTICA'!$A$2:$A$2000)),
0
)
)
),
""
)</f>
        <v>BCU5G84</v>
      </c>
      <c r="K223" s="10" t="str">
        <f>IFERROR(
IF(
_xlfn.XLOOKUP(
B223,
'LOCALIZAÇÃO DE CARGA'!$A$2:$A$702,
'LOCALIZAÇÃO DE CARGA'!$E$2:$E$702)="",
"",
_xlfn.XLOOKUP(
B223,
'LOCALIZAÇÃO DE CARGA'!$A$2:$A$702,
'LOCALIZAÇÃO DE CARGA'!$E$2:$E$702)
),
""
)</f>
        <v/>
      </c>
      <c r="L223" s="20" t="str" cm="1">
        <f t="array" ref="L223">IFERROR(
_xlfn.LET(
_xlpm.res,_xlfn.XLOOKUP(B223,'LOCALIZAÇÃO DE CARGA'!$A$2:$A$2000,'LOCALIZAÇÃO DE CARGA'!$G$2:$G$2000),
IF(_xlpm.res="","",_xlpm.res)
),
""
)</f>
        <v/>
      </c>
      <c r="M223" s="20" t="str" cm="1">
        <f t="array" ref="M223">IFERROR(
_xlfn.LET(
_xlpm.load,_xlfn.XLOOKUP(B223,'LOCALIZAÇÃO DE CARGA'!$A$2:$A$2000,'LOCALIZAÇÃO DE CARGA'!$A$2:$A$2000),
_xlpm.res,_xlfn.XLOOKUP(_xlpm.load,DOCUMENTOS!$A$2:$A$2000,DOCUMENTOS!$D$2:$D$2000),
IF(_xlpm.res="","",_xlpm.res)
),
""
)</f>
        <v/>
      </c>
      <c r="N223" s="6" t="str">
        <f>IFERROR(IF(M223="","",M223-TIME(1,0,0)),"")</f>
        <v/>
      </c>
      <c r="O223" s="6" t="str" cm="1">
        <f t="array" ref="O223">IFERROR(
_xlfn.LET(
_xlpm.res,_xlfn.XLOOKUP(B223,'LOCALIZAÇÃO DE CARGA'!$A$2:$A$2000,'LOCALIZAÇÃO DE CARGA'!$S$2:$S$2000),
IF(_xlpm.res="","",_xlpm.res)
),
""
)</f>
        <v/>
      </c>
      <c r="P223" s="6" t="str" cm="1">
        <f t="array" ref="P223">IFERROR(
_xlfn.LET(
_xlpm.res,_xlfn.XLOOKUP(B223,'LOCALIZAÇÃO DE CARGA'!$A$2:$A$702,'LOCALIZAÇÃO DE CARGA'!$T$2:$T$702),
IF(_xlpm.res="","",_xlpm.res)
),
""
)</f>
        <v/>
      </c>
      <c r="Q223" s="5" t="str">
        <f>IFERROR(
IF(
_xlfn.XLOOKUP(
B223,
'LOCALIZAÇÃO DE CARGA'!$A$2:$A$702,
'LOCALIZAÇÃO DE CARGA'!$K$2:$K$702
)="",
"",
_xlfn.XLOOKUP(
B223,
'LOCALIZAÇÃO DE CARGA'!$A$2:$A$702,
'LOCALIZAÇÃO DE CARGA'!$K$2:$K$702
)
),
""
)</f>
        <v/>
      </c>
      <c r="R223" s="5" t="str">
        <f t="shared" si="11"/>
        <v/>
      </c>
      <c r="S223" s="5" t="str" cm="1">
        <f t="array" ref="S223">IF(B223="","",IFERROR(
INDEX(
'VISÃO LOGISTICA'!$L$2:$L$525,
MATCH(
TRUE,
ISNUMBER(FIND(B223,'VISÃO LOGISTICA'!$A$2:$A$525)),
0
)
),
""
))</f>
        <v/>
      </c>
      <c r="T223" s="5" t="str" cm="1">
        <f t="array" ref="T223">IFERROR(
_xlfn.LET(
_xlpm.res,_xlfn.XLOOKUP(B223,'LOCALIZAÇÃO DE CARGA'!$A$2:$A$702,'LOCALIZAÇÃO DE CARGA'!$R$2:$R$702),
IF(_xlpm.res="","",SUBSTITUTE(_xlpm.res,"/BRASIL",""))
),
""
)</f>
        <v/>
      </c>
    </row>
    <row r="224" spans="1:20">
      <c r="A224" s="14" t="str">
        <f t="shared" si="9"/>
        <v/>
      </c>
      <c r="B224" s="5"/>
      <c r="C224" s="45" t="str">
        <f t="shared" ca="1" si="10"/>
        <v/>
      </c>
      <c r="D224" s="28"/>
      <c r="E224" s="28" t="str">
        <f>IFERROR(
IF(
_xlfn.XLOOKUP(
B224,
'LOCALIZAÇÃO DE CARGA'!$A$2:$A$702,
'LOCALIZAÇÃO DE CARGA'!$D$2:$D$702
)="",
"",
_xlfn.XLOOKUP(
B224,
'LOCALIZAÇÃO DE CARGA'!$A$2:$A$702,
'LOCALIZAÇÃO DE CARGA'!$D$2:$D$702
)
),
""
)</f>
        <v/>
      </c>
      <c r="F224" s="13" t="str">
        <f>IFERROR(
IF(
_xlfn.XLOOKUP(
B224,
'LOCALIZAÇÃO DE CARGA'!$A$2:$A$702,
'LOCALIZAÇÃO DE CARGA'!$H$2:$H$702
)="",
"",
_xlfn.XLOOKUP(
B224,
'LOCALIZAÇÃO DE CARGA'!$A$2:$A$702,
'LOCALIZAÇÃO DE CARGA'!$H$2:$H$702
)
),
""
)</f>
        <v/>
      </c>
      <c r="G224" s="5" t="str">
        <f>IFERROR(
IF(
_xlfn.XLOOKUP(
B224,
'LOCALIZAÇÃO DE CARGA'!$A$2:$A$702,
'LOCALIZAÇÃO DE CARGA'!$I$2:$I$702
)="",
"",
_xlfn.XLOOKUP(
B224,
'LOCALIZAÇÃO DE CARGA'!$A$2:$A$702,
'LOCALIZAÇÃO DE CARGA'!$I$2:$I$702
)
),
""
)</f>
        <v/>
      </c>
      <c r="H224" s="5" t="str">
        <f>IFERROR(
IF(
_xlfn.XLOOKUP(
B224,
'LOCALIZAÇÃO DE CARGA'!$A$2:$A$702,
'LOCALIZAÇÃO DE CARGA'!$F$2:$F$702
)="",
"",
_xlfn.XLOOKUP(
B224,
'LOCALIZAÇÃO DE CARGA'!$A$2:$A$702,
'LOCALIZAÇÃO DE CARGA'!$F$2:$F$702
)
),
""
)</f>
        <v/>
      </c>
      <c r="I224" s="13" t="str" cm="1">
        <f t="array" ref="I224">IFERROR(
IF(
INDEX(
'VISÃO LOGISTICA'!$C$2:$C$525,
MATCH(
TRUE,
ISNUMBER(FIND(B224,'VISÃO LOGISTICA'!$A$2:$A$525)),
0
)
)="Em espera",
"",
INDEX(
'VISÃO LOGISTICA'!$C$2:$C$525,
MATCH(
TRUE,
ISNUMBER(FIND(B224,'VISÃO LOGISTICA'!$A$2:$A$525)),
0
)
)
),
""
)</f>
        <v>Em Viagem</v>
      </c>
      <c r="J224" s="5" t="str" cm="1">
        <f t="array" ref="J224">IFERROR(
IF(
OR(
INDEX(
'VISÃO LOGISTICA'!$C$2:$C$2000,
MATCH(
TRUE,
ISNUMBER(FIND(B224,'VISÃO LOGISTICA'!$A$2:$A$2000)),
0
)
)="Em espera",
INDEX(
'VISÃO LOGISTICA'!$C$2:$C$2000,
MATCH(
TRUE,
ISNUMBER(FIND(B224,'VISÃO LOGISTICA'!$A$2:$A$2000)),
0
)
)=""
),
"",
INDEX(
'VISÃO LOGISTICA'!$D$2:$D$2000,
MATCH(
TRUE,
ISNUMBER(FIND(B224,'VISÃO LOGISTICA'!$A$2:$A$2000)),
0
)
)
),
""
)</f>
        <v>BCU5G84</v>
      </c>
      <c r="K224" s="10" t="str">
        <f>IFERROR(
IF(
_xlfn.XLOOKUP(
B224,
'LOCALIZAÇÃO DE CARGA'!$A$2:$A$702,
'LOCALIZAÇÃO DE CARGA'!$E$2:$E$702)="",
"",
_xlfn.XLOOKUP(
B224,
'LOCALIZAÇÃO DE CARGA'!$A$2:$A$702,
'LOCALIZAÇÃO DE CARGA'!$E$2:$E$702)
),
""
)</f>
        <v/>
      </c>
      <c r="L224" s="20" t="str" cm="1">
        <f t="array" ref="L224">IFERROR(
_xlfn.LET(
_xlpm.res,_xlfn.XLOOKUP(B224,'LOCALIZAÇÃO DE CARGA'!$A$2:$A$2000,'LOCALIZAÇÃO DE CARGA'!$G$2:$G$2000),
IF(_xlpm.res="","",_xlpm.res)
),
""
)</f>
        <v/>
      </c>
      <c r="M224" s="20" t="str" cm="1">
        <f t="array" ref="M224">IFERROR(
_xlfn.LET(
_xlpm.load,_xlfn.XLOOKUP(B224,'LOCALIZAÇÃO DE CARGA'!$A$2:$A$2000,'LOCALIZAÇÃO DE CARGA'!$A$2:$A$2000),
_xlpm.res,_xlfn.XLOOKUP(_xlpm.load,DOCUMENTOS!$A$2:$A$2000,DOCUMENTOS!$D$2:$D$2000),
IF(_xlpm.res="","",_xlpm.res)
),
""
)</f>
        <v/>
      </c>
      <c r="N224" s="6" t="str">
        <f>IFERROR(IF(M224="","",M224-TIME(1,0,0)),"")</f>
        <v/>
      </c>
      <c r="O224" s="6" t="str" cm="1">
        <f t="array" ref="O224">IFERROR(
_xlfn.LET(
_xlpm.res,_xlfn.XLOOKUP(B224,'LOCALIZAÇÃO DE CARGA'!$A$2:$A$2000,'LOCALIZAÇÃO DE CARGA'!$S$2:$S$2000),
IF(_xlpm.res="","",_xlpm.res)
),
""
)</f>
        <v/>
      </c>
      <c r="P224" s="6" t="str" cm="1">
        <f t="array" ref="P224">IFERROR(
_xlfn.LET(
_xlpm.res,_xlfn.XLOOKUP(B224,'LOCALIZAÇÃO DE CARGA'!$A$2:$A$702,'LOCALIZAÇÃO DE CARGA'!$T$2:$T$702),
IF(_xlpm.res="","",_xlpm.res)
),
""
)</f>
        <v/>
      </c>
      <c r="Q224" s="5" t="str">
        <f>IFERROR(
IF(
_xlfn.XLOOKUP(
B224,
'LOCALIZAÇÃO DE CARGA'!$A$2:$A$702,
'LOCALIZAÇÃO DE CARGA'!$K$2:$K$702
)="",
"",
_xlfn.XLOOKUP(
B224,
'LOCALIZAÇÃO DE CARGA'!$A$2:$A$702,
'LOCALIZAÇÃO DE CARGA'!$K$2:$K$702
)
),
""
)</f>
        <v/>
      </c>
      <c r="R224" s="5" t="str">
        <f t="shared" si="11"/>
        <v/>
      </c>
      <c r="S224" s="5" t="str" cm="1">
        <f t="array" ref="S224">IF(B224="","",IFERROR(
INDEX(
'VISÃO LOGISTICA'!$L$2:$L$525,
MATCH(
TRUE,
ISNUMBER(FIND(B224,'VISÃO LOGISTICA'!$A$2:$A$525)),
0
)
),
""
))</f>
        <v/>
      </c>
      <c r="T224" s="5" t="str" cm="1">
        <f t="array" ref="T224">IFERROR(
_xlfn.LET(
_xlpm.res,_xlfn.XLOOKUP(B224,'LOCALIZAÇÃO DE CARGA'!$A$2:$A$702,'LOCALIZAÇÃO DE CARGA'!$R$2:$R$702),
IF(_xlpm.res="","",SUBSTITUTE(_xlpm.res,"/BRASIL",""))
),
""
)</f>
        <v/>
      </c>
    </row>
    <row r="225" spans="1:20">
      <c r="A225" s="14" t="str">
        <f t="shared" si="9"/>
        <v/>
      </c>
      <c r="B225" s="5"/>
      <c r="C225" s="45" t="str">
        <f t="shared" ca="1" si="10"/>
        <v/>
      </c>
      <c r="D225" s="28"/>
      <c r="E225" s="28" t="str">
        <f>IFERROR(
IF(
_xlfn.XLOOKUP(
B225,
'LOCALIZAÇÃO DE CARGA'!$A$2:$A$702,
'LOCALIZAÇÃO DE CARGA'!$D$2:$D$702
)="",
"",
_xlfn.XLOOKUP(
B225,
'LOCALIZAÇÃO DE CARGA'!$A$2:$A$702,
'LOCALIZAÇÃO DE CARGA'!$D$2:$D$702
)
),
""
)</f>
        <v/>
      </c>
      <c r="F225" s="13" t="str">
        <f>IFERROR(
IF(
_xlfn.XLOOKUP(
B225,
'LOCALIZAÇÃO DE CARGA'!$A$2:$A$702,
'LOCALIZAÇÃO DE CARGA'!$H$2:$H$702
)="",
"",
_xlfn.XLOOKUP(
B225,
'LOCALIZAÇÃO DE CARGA'!$A$2:$A$702,
'LOCALIZAÇÃO DE CARGA'!$H$2:$H$702
)
),
""
)</f>
        <v/>
      </c>
      <c r="G225" s="5" t="str">
        <f>IFERROR(
IF(
_xlfn.XLOOKUP(
B225,
'LOCALIZAÇÃO DE CARGA'!$A$2:$A$702,
'LOCALIZAÇÃO DE CARGA'!$I$2:$I$702
)="",
"",
_xlfn.XLOOKUP(
B225,
'LOCALIZAÇÃO DE CARGA'!$A$2:$A$702,
'LOCALIZAÇÃO DE CARGA'!$I$2:$I$702
)
),
""
)</f>
        <v/>
      </c>
      <c r="H225" s="5" t="str">
        <f>IFERROR(
IF(
_xlfn.XLOOKUP(
B225,
'LOCALIZAÇÃO DE CARGA'!$A$2:$A$702,
'LOCALIZAÇÃO DE CARGA'!$F$2:$F$702
)="",
"",
_xlfn.XLOOKUP(
B225,
'LOCALIZAÇÃO DE CARGA'!$A$2:$A$702,
'LOCALIZAÇÃO DE CARGA'!$F$2:$F$702
)
),
""
)</f>
        <v/>
      </c>
      <c r="I225" s="13" t="str" cm="1">
        <f t="array" ref="I225">IFERROR(
IF(
INDEX(
'VISÃO LOGISTICA'!$C$2:$C$525,
MATCH(
TRUE,
ISNUMBER(FIND(B225,'VISÃO LOGISTICA'!$A$2:$A$525)),
0
)
)="Em espera",
"",
INDEX(
'VISÃO LOGISTICA'!$C$2:$C$525,
MATCH(
TRUE,
ISNUMBER(FIND(B225,'VISÃO LOGISTICA'!$A$2:$A$525)),
0
)
)
),
""
)</f>
        <v>Em Viagem</v>
      </c>
      <c r="J225" s="5" t="str" cm="1">
        <f t="array" ref="J225">IFERROR(
IF(
OR(
INDEX(
'VISÃO LOGISTICA'!$C$2:$C$2000,
MATCH(
TRUE,
ISNUMBER(FIND(B225,'VISÃO LOGISTICA'!$A$2:$A$2000)),
0
)
)="Em espera",
INDEX(
'VISÃO LOGISTICA'!$C$2:$C$2000,
MATCH(
TRUE,
ISNUMBER(FIND(B225,'VISÃO LOGISTICA'!$A$2:$A$2000)),
0
)
)=""
),
"",
INDEX(
'VISÃO LOGISTICA'!$D$2:$D$2000,
MATCH(
TRUE,
ISNUMBER(FIND(B225,'VISÃO LOGISTICA'!$A$2:$A$2000)),
0
)
)
),
""
)</f>
        <v>BCU5G84</v>
      </c>
      <c r="K225" s="10" t="str">
        <f>IFERROR(
IF(
_xlfn.XLOOKUP(
B225,
'LOCALIZAÇÃO DE CARGA'!$A$2:$A$702,
'LOCALIZAÇÃO DE CARGA'!$E$2:$E$702)="",
"",
_xlfn.XLOOKUP(
B225,
'LOCALIZAÇÃO DE CARGA'!$A$2:$A$702,
'LOCALIZAÇÃO DE CARGA'!$E$2:$E$702)
),
""
)</f>
        <v/>
      </c>
      <c r="L225" s="20" t="str" cm="1">
        <f t="array" ref="L225">IFERROR(
_xlfn.LET(
_xlpm.res,_xlfn.XLOOKUP(B225,'LOCALIZAÇÃO DE CARGA'!$A$2:$A$2000,'LOCALIZAÇÃO DE CARGA'!$G$2:$G$2000),
IF(_xlpm.res="","",_xlpm.res)
),
""
)</f>
        <v/>
      </c>
      <c r="M225" s="20" t="str" cm="1">
        <f t="array" ref="M225">IFERROR(
_xlfn.LET(
_xlpm.load,_xlfn.XLOOKUP(B225,'LOCALIZAÇÃO DE CARGA'!$A$2:$A$2000,'LOCALIZAÇÃO DE CARGA'!$A$2:$A$2000),
_xlpm.res,_xlfn.XLOOKUP(_xlpm.load,DOCUMENTOS!$A$2:$A$2000,DOCUMENTOS!$D$2:$D$2000),
IF(_xlpm.res="","",_xlpm.res)
),
""
)</f>
        <v/>
      </c>
      <c r="N225" s="6" t="str">
        <f>IFERROR(IF(M225="","",M225-TIME(1,0,0)),"")</f>
        <v/>
      </c>
      <c r="O225" s="6" t="str" cm="1">
        <f t="array" ref="O225">IFERROR(
_xlfn.LET(
_xlpm.res,_xlfn.XLOOKUP(B225,'LOCALIZAÇÃO DE CARGA'!$A$2:$A$2000,'LOCALIZAÇÃO DE CARGA'!$S$2:$S$2000),
IF(_xlpm.res="","",_xlpm.res)
),
""
)</f>
        <v/>
      </c>
      <c r="P225" s="6" t="str" cm="1">
        <f t="array" ref="P225">IFERROR(
_xlfn.LET(
_xlpm.res,_xlfn.XLOOKUP(B225,'LOCALIZAÇÃO DE CARGA'!$A$2:$A$702,'LOCALIZAÇÃO DE CARGA'!$T$2:$T$702),
IF(_xlpm.res="","",_xlpm.res)
),
""
)</f>
        <v/>
      </c>
      <c r="Q225" s="5" t="str">
        <f>IFERROR(
IF(
_xlfn.XLOOKUP(
B225,
'LOCALIZAÇÃO DE CARGA'!$A$2:$A$702,
'LOCALIZAÇÃO DE CARGA'!$K$2:$K$702
)="",
"",
_xlfn.XLOOKUP(
B225,
'LOCALIZAÇÃO DE CARGA'!$A$2:$A$702,
'LOCALIZAÇÃO DE CARGA'!$K$2:$K$702
)
),
""
)</f>
        <v/>
      </c>
      <c r="R225" s="5" t="str">
        <f t="shared" si="11"/>
        <v/>
      </c>
      <c r="S225" s="5" t="str" cm="1">
        <f t="array" ref="S225">IF(B225="","",IFERROR(
INDEX(
'VISÃO LOGISTICA'!$L$2:$L$525,
MATCH(
TRUE,
ISNUMBER(FIND(B225,'VISÃO LOGISTICA'!$A$2:$A$525)),
0
)
),
""
))</f>
        <v/>
      </c>
      <c r="T225" s="5" t="str" cm="1">
        <f t="array" ref="T225">IFERROR(
_xlfn.LET(
_xlpm.res,_xlfn.XLOOKUP(B225,'LOCALIZAÇÃO DE CARGA'!$A$2:$A$702,'LOCALIZAÇÃO DE CARGA'!$R$2:$R$702),
IF(_xlpm.res="","",SUBSTITUTE(_xlpm.res,"/BRASIL",""))
),
""
)</f>
        <v/>
      </c>
    </row>
    <row r="226" spans="1:20">
      <c r="A226" s="14" t="str">
        <f t="shared" si="9"/>
        <v/>
      </c>
      <c r="B226" s="5"/>
      <c r="C226" s="45" t="str">
        <f t="shared" ca="1" si="10"/>
        <v/>
      </c>
      <c r="D226" s="28"/>
      <c r="E226" s="28" t="str">
        <f>IFERROR(
IF(
_xlfn.XLOOKUP(
B226,
'LOCALIZAÇÃO DE CARGA'!$A$2:$A$702,
'LOCALIZAÇÃO DE CARGA'!$D$2:$D$702
)="",
"",
_xlfn.XLOOKUP(
B226,
'LOCALIZAÇÃO DE CARGA'!$A$2:$A$702,
'LOCALIZAÇÃO DE CARGA'!$D$2:$D$702
)
),
""
)</f>
        <v/>
      </c>
      <c r="F226" s="13" t="str">
        <f>IFERROR(
IF(
_xlfn.XLOOKUP(
B226,
'LOCALIZAÇÃO DE CARGA'!$A$2:$A$702,
'LOCALIZAÇÃO DE CARGA'!$H$2:$H$702
)="",
"",
_xlfn.XLOOKUP(
B226,
'LOCALIZAÇÃO DE CARGA'!$A$2:$A$702,
'LOCALIZAÇÃO DE CARGA'!$H$2:$H$702
)
),
""
)</f>
        <v/>
      </c>
      <c r="G226" s="5" t="str">
        <f>IFERROR(
IF(
_xlfn.XLOOKUP(
B226,
'LOCALIZAÇÃO DE CARGA'!$A$2:$A$702,
'LOCALIZAÇÃO DE CARGA'!$I$2:$I$702
)="",
"",
_xlfn.XLOOKUP(
B226,
'LOCALIZAÇÃO DE CARGA'!$A$2:$A$702,
'LOCALIZAÇÃO DE CARGA'!$I$2:$I$702
)
),
""
)</f>
        <v/>
      </c>
      <c r="H226" s="5" t="str">
        <f>IFERROR(
IF(
_xlfn.XLOOKUP(
B226,
'LOCALIZAÇÃO DE CARGA'!$A$2:$A$702,
'LOCALIZAÇÃO DE CARGA'!$F$2:$F$702
)="",
"",
_xlfn.XLOOKUP(
B226,
'LOCALIZAÇÃO DE CARGA'!$A$2:$A$702,
'LOCALIZAÇÃO DE CARGA'!$F$2:$F$702
)
),
""
)</f>
        <v/>
      </c>
      <c r="I226" s="13" t="str" cm="1">
        <f t="array" ref="I226">IFERROR(
IF(
INDEX(
'VISÃO LOGISTICA'!$C$2:$C$525,
MATCH(
TRUE,
ISNUMBER(FIND(B226,'VISÃO LOGISTICA'!$A$2:$A$525)),
0
)
)="Em espera",
"",
INDEX(
'VISÃO LOGISTICA'!$C$2:$C$525,
MATCH(
TRUE,
ISNUMBER(FIND(B226,'VISÃO LOGISTICA'!$A$2:$A$525)),
0
)
)
),
""
)</f>
        <v>Em Viagem</v>
      </c>
      <c r="J226" s="5" t="str" cm="1">
        <f t="array" ref="J226">IFERROR(
IF(
OR(
INDEX(
'VISÃO LOGISTICA'!$C$2:$C$2000,
MATCH(
TRUE,
ISNUMBER(FIND(B226,'VISÃO LOGISTICA'!$A$2:$A$2000)),
0
)
)="Em espera",
INDEX(
'VISÃO LOGISTICA'!$C$2:$C$2000,
MATCH(
TRUE,
ISNUMBER(FIND(B226,'VISÃO LOGISTICA'!$A$2:$A$2000)),
0
)
)=""
),
"",
INDEX(
'VISÃO LOGISTICA'!$D$2:$D$2000,
MATCH(
TRUE,
ISNUMBER(FIND(B226,'VISÃO LOGISTICA'!$A$2:$A$2000)),
0
)
)
),
""
)</f>
        <v>BCU5G84</v>
      </c>
      <c r="K226" s="10" t="str">
        <f>IFERROR(
IF(
_xlfn.XLOOKUP(
B226,
'LOCALIZAÇÃO DE CARGA'!$A$2:$A$702,
'LOCALIZAÇÃO DE CARGA'!$E$2:$E$702)="",
"",
_xlfn.XLOOKUP(
B226,
'LOCALIZAÇÃO DE CARGA'!$A$2:$A$702,
'LOCALIZAÇÃO DE CARGA'!$E$2:$E$702)
),
""
)</f>
        <v/>
      </c>
      <c r="L226" s="20" t="str" cm="1">
        <f t="array" ref="L226">IFERROR(
_xlfn.LET(
_xlpm.res,_xlfn.XLOOKUP(B226,'LOCALIZAÇÃO DE CARGA'!$A$2:$A$2000,'LOCALIZAÇÃO DE CARGA'!$G$2:$G$2000),
IF(_xlpm.res="","",_xlpm.res)
),
""
)</f>
        <v/>
      </c>
      <c r="M226" s="20" t="str" cm="1">
        <f t="array" ref="M226">IFERROR(
_xlfn.LET(
_xlpm.load,_xlfn.XLOOKUP(B226,'LOCALIZAÇÃO DE CARGA'!$A$2:$A$2000,'LOCALIZAÇÃO DE CARGA'!$A$2:$A$2000),
_xlpm.res,_xlfn.XLOOKUP(_xlpm.load,DOCUMENTOS!$A$2:$A$2000,DOCUMENTOS!$D$2:$D$2000),
IF(_xlpm.res="","",_xlpm.res)
),
""
)</f>
        <v/>
      </c>
      <c r="N226" s="6" t="str">
        <f>IFERROR(IF(M226="","",M226-TIME(1,0,0)),"")</f>
        <v/>
      </c>
      <c r="O226" s="6" t="str" cm="1">
        <f t="array" ref="O226">IFERROR(
_xlfn.LET(
_xlpm.res,_xlfn.XLOOKUP(B226,'LOCALIZAÇÃO DE CARGA'!$A$2:$A$2000,'LOCALIZAÇÃO DE CARGA'!$S$2:$S$2000),
IF(_xlpm.res="","",_xlpm.res)
),
""
)</f>
        <v/>
      </c>
      <c r="P226" s="6" t="str" cm="1">
        <f t="array" ref="P226">IFERROR(
_xlfn.LET(
_xlpm.res,_xlfn.XLOOKUP(B226,'LOCALIZAÇÃO DE CARGA'!$A$2:$A$702,'LOCALIZAÇÃO DE CARGA'!$T$2:$T$702),
IF(_xlpm.res="","",_xlpm.res)
),
""
)</f>
        <v/>
      </c>
      <c r="Q226" s="5" t="str">
        <f>IFERROR(
IF(
_xlfn.XLOOKUP(
B226,
'LOCALIZAÇÃO DE CARGA'!$A$2:$A$702,
'LOCALIZAÇÃO DE CARGA'!$K$2:$K$702
)="",
"",
_xlfn.XLOOKUP(
B226,
'LOCALIZAÇÃO DE CARGA'!$A$2:$A$702,
'LOCALIZAÇÃO DE CARGA'!$K$2:$K$702
)
),
""
)</f>
        <v/>
      </c>
      <c r="R226" s="5" t="str">
        <f t="shared" si="11"/>
        <v/>
      </c>
      <c r="S226" s="5" t="str" cm="1">
        <f t="array" ref="S226">IF(B226="","",IFERROR(
INDEX(
'VISÃO LOGISTICA'!$L$2:$L$525,
MATCH(
TRUE,
ISNUMBER(FIND(B226,'VISÃO LOGISTICA'!$A$2:$A$525)),
0
)
),
""
))</f>
        <v/>
      </c>
      <c r="T226" s="5" t="str" cm="1">
        <f t="array" ref="T226">IFERROR(
_xlfn.LET(
_xlpm.res,_xlfn.XLOOKUP(B226,'LOCALIZAÇÃO DE CARGA'!$A$2:$A$702,'LOCALIZAÇÃO DE CARGA'!$R$2:$R$702),
IF(_xlpm.res="","",SUBSTITUTE(_xlpm.res,"/BRASIL",""))
),
""
)</f>
        <v/>
      </c>
    </row>
    <row r="227" spans="1:20">
      <c r="A227" s="14" t="str">
        <f t="shared" si="9"/>
        <v/>
      </c>
      <c r="B227" s="5"/>
      <c r="C227" s="45" t="str">
        <f t="shared" ca="1" si="10"/>
        <v/>
      </c>
      <c r="D227" s="28"/>
      <c r="E227" s="28" t="str">
        <f>IFERROR(
IF(
_xlfn.XLOOKUP(
B227,
'LOCALIZAÇÃO DE CARGA'!$A$2:$A$702,
'LOCALIZAÇÃO DE CARGA'!$D$2:$D$702
)="",
"",
_xlfn.XLOOKUP(
B227,
'LOCALIZAÇÃO DE CARGA'!$A$2:$A$702,
'LOCALIZAÇÃO DE CARGA'!$D$2:$D$702
)
),
""
)</f>
        <v/>
      </c>
      <c r="F227" s="13" t="str">
        <f>IFERROR(
IF(
_xlfn.XLOOKUP(
B227,
'LOCALIZAÇÃO DE CARGA'!$A$2:$A$702,
'LOCALIZAÇÃO DE CARGA'!$H$2:$H$702
)="",
"",
_xlfn.XLOOKUP(
B227,
'LOCALIZAÇÃO DE CARGA'!$A$2:$A$702,
'LOCALIZAÇÃO DE CARGA'!$H$2:$H$702
)
),
""
)</f>
        <v/>
      </c>
      <c r="G227" s="5" t="str">
        <f>IFERROR(
IF(
_xlfn.XLOOKUP(
B227,
'LOCALIZAÇÃO DE CARGA'!$A$2:$A$702,
'LOCALIZAÇÃO DE CARGA'!$I$2:$I$702
)="",
"",
_xlfn.XLOOKUP(
B227,
'LOCALIZAÇÃO DE CARGA'!$A$2:$A$702,
'LOCALIZAÇÃO DE CARGA'!$I$2:$I$702
)
),
""
)</f>
        <v/>
      </c>
      <c r="H227" s="5" t="str">
        <f>IFERROR(
IF(
_xlfn.XLOOKUP(
B227,
'LOCALIZAÇÃO DE CARGA'!$A$2:$A$702,
'LOCALIZAÇÃO DE CARGA'!$F$2:$F$702
)="",
"",
_xlfn.XLOOKUP(
B227,
'LOCALIZAÇÃO DE CARGA'!$A$2:$A$702,
'LOCALIZAÇÃO DE CARGA'!$F$2:$F$702
)
),
""
)</f>
        <v/>
      </c>
      <c r="I227" s="13" t="str" cm="1">
        <f t="array" ref="I227">IFERROR(
IF(
INDEX(
'VISÃO LOGISTICA'!$C$2:$C$525,
MATCH(
TRUE,
ISNUMBER(FIND(B227,'VISÃO LOGISTICA'!$A$2:$A$525)),
0
)
)="Em espera",
"",
INDEX(
'VISÃO LOGISTICA'!$C$2:$C$525,
MATCH(
TRUE,
ISNUMBER(FIND(B227,'VISÃO LOGISTICA'!$A$2:$A$525)),
0
)
)
),
""
)</f>
        <v>Em Viagem</v>
      </c>
      <c r="J227" s="5" t="str" cm="1">
        <f t="array" ref="J227">IFERROR(
IF(
OR(
INDEX(
'VISÃO LOGISTICA'!$C$2:$C$2000,
MATCH(
TRUE,
ISNUMBER(FIND(B227,'VISÃO LOGISTICA'!$A$2:$A$2000)),
0
)
)="Em espera",
INDEX(
'VISÃO LOGISTICA'!$C$2:$C$2000,
MATCH(
TRUE,
ISNUMBER(FIND(B227,'VISÃO LOGISTICA'!$A$2:$A$2000)),
0
)
)=""
),
"",
INDEX(
'VISÃO LOGISTICA'!$D$2:$D$2000,
MATCH(
TRUE,
ISNUMBER(FIND(B227,'VISÃO LOGISTICA'!$A$2:$A$2000)),
0
)
)
),
""
)</f>
        <v>BCU5G84</v>
      </c>
      <c r="K227" s="10" t="str">
        <f>IFERROR(
IF(
_xlfn.XLOOKUP(
B227,
'LOCALIZAÇÃO DE CARGA'!$A$2:$A$702,
'LOCALIZAÇÃO DE CARGA'!$E$2:$E$702)="",
"",
_xlfn.XLOOKUP(
B227,
'LOCALIZAÇÃO DE CARGA'!$A$2:$A$702,
'LOCALIZAÇÃO DE CARGA'!$E$2:$E$702)
),
""
)</f>
        <v/>
      </c>
      <c r="L227" s="20" t="str" cm="1">
        <f t="array" ref="L227">IFERROR(
_xlfn.LET(
_xlpm.res,_xlfn.XLOOKUP(B227,'LOCALIZAÇÃO DE CARGA'!$A$2:$A$2000,'LOCALIZAÇÃO DE CARGA'!$G$2:$G$2000),
IF(_xlpm.res="","",_xlpm.res)
),
""
)</f>
        <v/>
      </c>
      <c r="M227" s="20" t="str" cm="1">
        <f t="array" ref="M227">IFERROR(
_xlfn.LET(
_xlpm.load,_xlfn.XLOOKUP(B227,'LOCALIZAÇÃO DE CARGA'!$A$2:$A$2000,'LOCALIZAÇÃO DE CARGA'!$A$2:$A$2000),
_xlpm.res,_xlfn.XLOOKUP(_xlpm.load,DOCUMENTOS!$A$2:$A$2000,DOCUMENTOS!$D$2:$D$2000),
IF(_xlpm.res="","",_xlpm.res)
),
""
)</f>
        <v/>
      </c>
      <c r="N227" s="6" t="str">
        <f>IFERROR(IF(M227="","",M227-TIME(1,0,0)),"")</f>
        <v/>
      </c>
      <c r="O227" s="6" t="str" cm="1">
        <f t="array" ref="O227">IFERROR(
_xlfn.LET(
_xlpm.res,_xlfn.XLOOKUP(B227,'LOCALIZAÇÃO DE CARGA'!$A$2:$A$2000,'LOCALIZAÇÃO DE CARGA'!$S$2:$S$2000),
IF(_xlpm.res="","",_xlpm.res)
),
""
)</f>
        <v/>
      </c>
      <c r="P227" s="6" t="str" cm="1">
        <f t="array" ref="P227">IFERROR(
_xlfn.LET(
_xlpm.res,_xlfn.XLOOKUP(B227,'LOCALIZAÇÃO DE CARGA'!$A$2:$A$702,'LOCALIZAÇÃO DE CARGA'!$T$2:$T$702),
IF(_xlpm.res="","",_xlpm.res)
),
""
)</f>
        <v/>
      </c>
      <c r="Q227" s="5" t="str">
        <f>IFERROR(
IF(
_xlfn.XLOOKUP(
B227,
'LOCALIZAÇÃO DE CARGA'!$A$2:$A$702,
'LOCALIZAÇÃO DE CARGA'!$K$2:$K$702
)="",
"",
_xlfn.XLOOKUP(
B227,
'LOCALIZAÇÃO DE CARGA'!$A$2:$A$702,
'LOCALIZAÇÃO DE CARGA'!$K$2:$K$702
)
),
""
)</f>
        <v/>
      </c>
      <c r="R227" s="5" t="str">
        <f t="shared" si="11"/>
        <v/>
      </c>
      <c r="S227" s="5" t="str" cm="1">
        <f t="array" ref="S227">IF(B227="","",IFERROR(
INDEX(
'VISÃO LOGISTICA'!$L$2:$L$525,
MATCH(
TRUE,
ISNUMBER(FIND(B227,'VISÃO LOGISTICA'!$A$2:$A$525)),
0
)
),
""
))</f>
        <v/>
      </c>
      <c r="T227" s="5" t="str" cm="1">
        <f t="array" ref="T227">IFERROR(
_xlfn.LET(
_xlpm.res,_xlfn.XLOOKUP(B227,'LOCALIZAÇÃO DE CARGA'!$A$2:$A$702,'LOCALIZAÇÃO DE CARGA'!$R$2:$R$702),
IF(_xlpm.res="","",SUBSTITUTE(_xlpm.res,"/BRASIL",""))
),
""
)</f>
        <v/>
      </c>
    </row>
    <row r="228" spans="1:20">
      <c r="A228" s="14" t="str">
        <f t="shared" si="9"/>
        <v/>
      </c>
      <c r="B228" s="5"/>
      <c r="C228" s="45" t="str">
        <f t="shared" ca="1" si="10"/>
        <v/>
      </c>
      <c r="D228" s="28"/>
      <c r="E228" s="28" t="str">
        <f>IFERROR(
IF(
_xlfn.XLOOKUP(
B228,
'LOCALIZAÇÃO DE CARGA'!$A$2:$A$702,
'LOCALIZAÇÃO DE CARGA'!$D$2:$D$702
)="",
"",
_xlfn.XLOOKUP(
B228,
'LOCALIZAÇÃO DE CARGA'!$A$2:$A$702,
'LOCALIZAÇÃO DE CARGA'!$D$2:$D$702
)
),
""
)</f>
        <v/>
      </c>
      <c r="F228" s="13" t="str">
        <f>IFERROR(
IF(
_xlfn.XLOOKUP(
B228,
'LOCALIZAÇÃO DE CARGA'!$A$2:$A$702,
'LOCALIZAÇÃO DE CARGA'!$H$2:$H$702
)="",
"",
_xlfn.XLOOKUP(
B228,
'LOCALIZAÇÃO DE CARGA'!$A$2:$A$702,
'LOCALIZAÇÃO DE CARGA'!$H$2:$H$702
)
),
""
)</f>
        <v/>
      </c>
      <c r="G228" s="5" t="str">
        <f>IFERROR(
IF(
_xlfn.XLOOKUP(
B228,
'LOCALIZAÇÃO DE CARGA'!$A$2:$A$702,
'LOCALIZAÇÃO DE CARGA'!$I$2:$I$702
)="",
"",
_xlfn.XLOOKUP(
B228,
'LOCALIZAÇÃO DE CARGA'!$A$2:$A$702,
'LOCALIZAÇÃO DE CARGA'!$I$2:$I$702
)
),
""
)</f>
        <v/>
      </c>
      <c r="H228" s="5" t="str">
        <f>IFERROR(
IF(
_xlfn.XLOOKUP(
B228,
'LOCALIZAÇÃO DE CARGA'!$A$2:$A$702,
'LOCALIZAÇÃO DE CARGA'!$F$2:$F$702
)="",
"",
_xlfn.XLOOKUP(
B228,
'LOCALIZAÇÃO DE CARGA'!$A$2:$A$702,
'LOCALIZAÇÃO DE CARGA'!$F$2:$F$702
)
),
""
)</f>
        <v/>
      </c>
      <c r="I228" s="13" t="str" cm="1">
        <f t="array" ref="I228">IFERROR(
IF(
INDEX(
'VISÃO LOGISTICA'!$C$2:$C$525,
MATCH(
TRUE,
ISNUMBER(FIND(B228,'VISÃO LOGISTICA'!$A$2:$A$525)),
0
)
)="Em espera",
"",
INDEX(
'VISÃO LOGISTICA'!$C$2:$C$525,
MATCH(
TRUE,
ISNUMBER(FIND(B228,'VISÃO LOGISTICA'!$A$2:$A$525)),
0
)
)
),
""
)</f>
        <v>Em Viagem</v>
      </c>
      <c r="J228" s="5" t="str" cm="1">
        <f t="array" ref="J228">IFERROR(
IF(
OR(
INDEX(
'VISÃO LOGISTICA'!$C$2:$C$2000,
MATCH(
TRUE,
ISNUMBER(FIND(B228,'VISÃO LOGISTICA'!$A$2:$A$2000)),
0
)
)="Em espera",
INDEX(
'VISÃO LOGISTICA'!$C$2:$C$2000,
MATCH(
TRUE,
ISNUMBER(FIND(B228,'VISÃO LOGISTICA'!$A$2:$A$2000)),
0
)
)=""
),
"",
INDEX(
'VISÃO LOGISTICA'!$D$2:$D$2000,
MATCH(
TRUE,
ISNUMBER(FIND(B228,'VISÃO LOGISTICA'!$A$2:$A$2000)),
0
)
)
),
""
)</f>
        <v>BCU5G84</v>
      </c>
      <c r="K228" s="10" t="str">
        <f>IFERROR(
IF(
_xlfn.XLOOKUP(
B228,
'LOCALIZAÇÃO DE CARGA'!$A$2:$A$702,
'LOCALIZAÇÃO DE CARGA'!$E$2:$E$702)="",
"",
_xlfn.XLOOKUP(
B228,
'LOCALIZAÇÃO DE CARGA'!$A$2:$A$702,
'LOCALIZAÇÃO DE CARGA'!$E$2:$E$702)
),
""
)</f>
        <v/>
      </c>
      <c r="L228" s="20" t="str" cm="1">
        <f t="array" ref="L228">IFERROR(
_xlfn.LET(
_xlpm.res,_xlfn.XLOOKUP(B228,'LOCALIZAÇÃO DE CARGA'!$A$2:$A$2000,'LOCALIZAÇÃO DE CARGA'!$G$2:$G$2000),
IF(_xlpm.res="","",_xlpm.res)
),
""
)</f>
        <v/>
      </c>
      <c r="M228" s="20" t="str" cm="1">
        <f t="array" ref="M228">IFERROR(
_xlfn.LET(
_xlpm.load,_xlfn.XLOOKUP(B228,'LOCALIZAÇÃO DE CARGA'!$A$2:$A$2000,'LOCALIZAÇÃO DE CARGA'!$A$2:$A$2000),
_xlpm.res,_xlfn.XLOOKUP(_xlpm.load,DOCUMENTOS!$A$2:$A$2000,DOCUMENTOS!$D$2:$D$2000),
IF(_xlpm.res="","",_xlpm.res)
),
""
)</f>
        <v/>
      </c>
      <c r="N228" s="6" t="str">
        <f>IFERROR(IF(M228="","",M228-TIME(1,0,0)),"")</f>
        <v/>
      </c>
      <c r="O228" s="6" t="str" cm="1">
        <f t="array" ref="O228">IFERROR(
_xlfn.LET(
_xlpm.res,_xlfn.XLOOKUP(B228,'LOCALIZAÇÃO DE CARGA'!$A$2:$A$2000,'LOCALIZAÇÃO DE CARGA'!$S$2:$S$2000),
IF(_xlpm.res="","",_xlpm.res)
),
""
)</f>
        <v/>
      </c>
      <c r="P228" s="6" t="str" cm="1">
        <f t="array" ref="P228">IFERROR(
_xlfn.LET(
_xlpm.res,_xlfn.XLOOKUP(B228,'LOCALIZAÇÃO DE CARGA'!$A$2:$A$702,'LOCALIZAÇÃO DE CARGA'!$T$2:$T$702),
IF(_xlpm.res="","",_xlpm.res)
),
""
)</f>
        <v/>
      </c>
      <c r="Q228" s="5" t="str">
        <f>IFERROR(
IF(
_xlfn.XLOOKUP(
B228,
'LOCALIZAÇÃO DE CARGA'!$A$2:$A$702,
'LOCALIZAÇÃO DE CARGA'!$K$2:$K$702
)="",
"",
_xlfn.XLOOKUP(
B228,
'LOCALIZAÇÃO DE CARGA'!$A$2:$A$702,
'LOCALIZAÇÃO DE CARGA'!$K$2:$K$702
)
),
""
)</f>
        <v/>
      </c>
      <c r="R228" s="5" t="str">
        <f t="shared" si="11"/>
        <v/>
      </c>
      <c r="S228" s="5" t="str" cm="1">
        <f t="array" ref="S228">IF(B228="","",IFERROR(
INDEX(
'VISÃO LOGISTICA'!$L$2:$L$525,
MATCH(
TRUE,
ISNUMBER(FIND(B228,'VISÃO LOGISTICA'!$A$2:$A$525)),
0
)
),
""
))</f>
        <v/>
      </c>
      <c r="T228" s="5" t="str" cm="1">
        <f t="array" ref="T228">IFERROR(
_xlfn.LET(
_xlpm.res,_xlfn.XLOOKUP(B228,'LOCALIZAÇÃO DE CARGA'!$A$2:$A$702,'LOCALIZAÇÃO DE CARGA'!$R$2:$R$702),
IF(_xlpm.res="","",SUBSTITUTE(_xlpm.res,"/BRASIL",""))
),
""
)</f>
        <v/>
      </c>
    </row>
    <row r="229" spans="1:20">
      <c r="A229" s="14" t="str">
        <f t="shared" si="9"/>
        <v/>
      </c>
      <c r="B229" s="5"/>
      <c r="C229" s="45" t="str">
        <f t="shared" ca="1" si="10"/>
        <v/>
      </c>
      <c r="D229" s="28"/>
      <c r="E229" s="28" t="str">
        <f>IFERROR(
IF(
_xlfn.XLOOKUP(
B229,
'LOCALIZAÇÃO DE CARGA'!$A$2:$A$702,
'LOCALIZAÇÃO DE CARGA'!$D$2:$D$702
)="",
"",
_xlfn.XLOOKUP(
B229,
'LOCALIZAÇÃO DE CARGA'!$A$2:$A$702,
'LOCALIZAÇÃO DE CARGA'!$D$2:$D$702
)
),
""
)</f>
        <v/>
      </c>
      <c r="F229" s="13" t="str">
        <f>IFERROR(
IF(
_xlfn.XLOOKUP(
B229,
'LOCALIZAÇÃO DE CARGA'!$A$2:$A$702,
'LOCALIZAÇÃO DE CARGA'!$H$2:$H$702
)="",
"",
_xlfn.XLOOKUP(
B229,
'LOCALIZAÇÃO DE CARGA'!$A$2:$A$702,
'LOCALIZAÇÃO DE CARGA'!$H$2:$H$702
)
),
""
)</f>
        <v/>
      </c>
      <c r="G229" s="5" t="str">
        <f>IFERROR(
IF(
_xlfn.XLOOKUP(
B229,
'LOCALIZAÇÃO DE CARGA'!$A$2:$A$702,
'LOCALIZAÇÃO DE CARGA'!$I$2:$I$702
)="",
"",
_xlfn.XLOOKUP(
B229,
'LOCALIZAÇÃO DE CARGA'!$A$2:$A$702,
'LOCALIZAÇÃO DE CARGA'!$I$2:$I$702
)
),
""
)</f>
        <v/>
      </c>
      <c r="H229" s="5" t="str">
        <f>IFERROR(
IF(
_xlfn.XLOOKUP(
B229,
'LOCALIZAÇÃO DE CARGA'!$A$2:$A$702,
'LOCALIZAÇÃO DE CARGA'!$F$2:$F$702
)="",
"",
_xlfn.XLOOKUP(
B229,
'LOCALIZAÇÃO DE CARGA'!$A$2:$A$702,
'LOCALIZAÇÃO DE CARGA'!$F$2:$F$702
)
),
""
)</f>
        <v/>
      </c>
      <c r="I229" s="13" t="str" cm="1">
        <f t="array" ref="I229">IFERROR(
IF(
INDEX(
'VISÃO LOGISTICA'!$C$2:$C$525,
MATCH(
TRUE,
ISNUMBER(FIND(B229,'VISÃO LOGISTICA'!$A$2:$A$525)),
0
)
)="Em espera",
"",
INDEX(
'VISÃO LOGISTICA'!$C$2:$C$525,
MATCH(
TRUE,
ISNUMBER(FIND(B229,'VISÃO LOGISTICA'!$A$2:$A$525)),
0
)
)
),
""
)</f>
        <v>Em Viagem</v>
      </c>
      <c r="J229" s="5" t="str" cm="1">
        <f t="array" ref="J229">IFERROR(
IF(
OR(
INDEX(
'VISÃO LOGISTICA'!$C$2:$C$2000,
MATCH(
TRUE,
ISNUMBER(FIND(B229,'VISÃO LOGISTICA'!$A$2:$A$2000)),
0
)
)="Em espera",
INDEX(
'VISÃO LOGISTICA'!$C$2:$C$2000,
MATCH(
TRUE,
ISNUMBER(FIND(B229,'VISÃO LOGISTICA'!$A$2:$A$2000)),
0
)
)=""
),
"",
INDEX(
'VISÃO LOGISTICA'!$D$2:$D$2000,
MATCH(
TRUE,
ISNUMBER(FIND(B229,'VISÃO LOGISTICA'!$A$2:$A$2000)),
0
)
)
),
""
)</f>
        <v>BCU5G84</v>
      </c>
      <c r="K229" s="10" t="str">
        <f>IFERROR(
IF(
_xlfn.XLOOKUP(
B229,
'LOCALIZAÇÃO DE CARGA'!$A$2:$A$702,
'LOCALIZAÇÃO DE CARGA'!$E$2:$E$702)="",
"",
_xlfn.XLOOKUP(
B229,
'LOCALIZAÇÃO DE CARGA'!$A$2:$A$702,
'LOCALIZAÇÃO DE CARGA'!$E$2:$E$702)
),
""
)</f>
        <v/>
      </c>
      <c r="L229" s="20" t="str" cm="1">
        <f t="array" ref="L229">IFERROR(
_xlfn.LET(
_xlpm.res,_xlfn.XLOOKUP(B229,'LOCALIZAÇÃO DE CARGA'!$A$2:$A$2000,'LOCALIZAÇÃO DE CARGA'!$G$2:$G$2000),
IF(_xlpm.res="","",_xlpm.res)
),
""
)</f>
        <v/>
      </c>
      <c r="M229" s="20" t="str" cm="1">
        <f t="array" ref="M229">IFERROR(
_xlfn.LET(
_xlpm.load,_xlfn.XLOOKUP(B229,'LOCALIZAÇÃO DE CARGA'!$A$2:$A$2000,'LOCALIZAÇÃO DE CARGA'!$A$2:$A$2000),
_xlpm.res,_xlfn.XLOOKUP(_xlpm.load,DOCUMENTOS!$A$2:$A$2000,DOCUMENTOS!$D$2:$D$2000),
IF(_xlpm.res="","",_xlpm.res)
),
""
)</f>
        <v/>
      </c>
      <c r="N229" s="6" t="str">
        <f>IFERROR(IF(M229="","",M229-TIME(1,0,0)),"")</f>
        <v/>
      </c>
      <c r="O229" s="6" t="str" cm="1">
        <f t="array" ref="O229">IFERROR(
_xlfn.LET(
_xlpm.res,_xlfn.XLOOKUP(B229,'LOCALIZAÇÃO DE CARGA'!$A$2:$A$2000,'LOCALIZAÇÃO DE CARGA'!$S$2:$S$2000),
IF(_xlpm.res="","",_xlpm.res)
),
""
)</f>
        <v/>
      </c>
      <c r="P229" s="6" t="str" cm="1">
        <f t="array" ref="P229">IFERROR(
_xlfn.LET(
_xlpm.res,_xlfn.XLOOKUP(B229,'LOCALIZAÇÃO DE CARGA'!$A$2:$A$702,'LOCALIZAÇÃO DE CARGA'!$T$2:$T$702),
IF(_xlpm.res="","",_xlpm.res)
),
""
)</f>
        <v/>
      </c>
      <c r="Q229" s="5" t="str">
        <f>IFERROR(
IF(
_xlfn.XLOOKUP(
B229,
'LOCALIZAÇÃO DE CARGA'!$A$2:$A$702,
'LOCALIZAÇÃO DE CARGA'!$K$2:$K$702
)="",
"",
_xlfn.XLOOKUP(
B229,
'LOCALIZAÇÃO DE CARGA'!$A$2:$A$702,
'LOCALIZAÇÃO DE CARGA'!$K$2:$K$702
)
),
""
)</f>
        <v/>
      </c>
      <c r="R229" s="5" t="str">
        <f t="shared" si="11"/>
        <v/>
      </c>
      <c r="S229" s="5" t="str" cm="1">
        <f t="array" ref="S229">IF(B229="","",IFERROR(
INDEX(
'VISÃO LOGISTICA'!$L$2:$L$525,
MATCH(
TRUE,
ISNUMBER(FIND(B229,'VISÃO LOGISTICA'!$A$2:$A$525)),
0
)
),
""
))</f>
        <v/>
      </c>
      <c r="T229" s="5" t="str" cm="1">
        <f t="array" ref="T229">IFERROR(
_xlfn.LET(
_xlpm.res,_xlfn.XLOOKUP(B229,'LOCALIZAÇÃO DE CARGA'!$A$2:$A$702,'LOCALIZAÇÃO DE CARGA'!$R$2:$R$702),
IF(_xlpm.res="","",SUBSTITUTE(_xlpm.res,"/BRASIL",""))
),
""
)</f>
        <v/>
      </c>
    </row>
    <row r="230" spans="1:20">
      <c r="A230" s="14" t="str">
        <f t="shared" si="9"/>
        <v/>
      </c>
      <c r="B230" s="5"/>
      <c r="C230" s="45" t="str">
        <f t="shared" ca="1" si="10"/>
        <v/>
      </c>
      <c r="D230" s="28"/>
      <c r="E230" s="28" t="str">
        <f>IFERROR(
IF(
_xlfn.XLOOKUP(
B230,
'LOCALIZAÇÃO DE CARGA'!$A$2:$A$702,
'LOCALIZAÇÃO DE CARGA'!$D$2:$D$702
)="",
"",
_xlfn.XLOOKUP(
B230,
'LOCALIZAÇÃO DE CARGA'!$A$2:$A$702,
'LOCALIZAÇÃO DE CARGA'!$D$2:$D$702
)
),
""
)</f>
        <v/>
      </c>
      <c r="F230" s="13" t="str">
        <f>IFERROR(
IF(
_xlfn.XLOOKUP(
B230,
'LOCALIZAÇÃO DE CARGA'!$A$2:$A$702,
'LOCALIZAÇÃO DE CARGA'!$H$2:$H$702
)="",
"",
_xlfn.XLOOKUP(
B230,
'LOCALIZAÇÃO DE CARGA'!$A$2:$A$702,
'LOCALIZAÇÃO DE CARGA'!$H$2:$H$702
)
),
""
)</f>
        <v/>
      </c>
      <c r="G230" s="5" t="str">
        <f>IFERROR(
IF(
_xlfn.XLOOKUP(
B230,
'LOCALIZAÇÃO DE CARGA'!$A$2:$A$702,
'LOCALIZAÇÃO DE CARGA'!$I$2:$I$702
)="",
"",
_xlfn.XLOOKUP(
B230,
'LOCALIZAÇÃO DE CARGA'!$A$2:$A$702,
'LOCALIZAÇÃO DE CARGA'!$I$2:$I$702
)
),
""
)</f>
        <v/>
      </c>
      <c r="H230" s="5" t="str">
        <f>IFERROR(
IF(
_xlfn.XLOOKUP(
B230,
'LOCALIZAÇÃO DE CARGA'!$A$2:$A$702,
'LOCALIZAÇÃO DE CARGA'!$F$2:$F$702
)="",
"",
_xlfn.XLOOKUP(
B230,
'LOCALIZAÇÃO DE CARGA'!$A$2:$A$702,
'LOCALIZAÇÃO DE CARGA'!$F$2:$F$702
)
),
""
)</f>
        <v/>
      </c>
      <c r="I230" s="13" t="str" cm="1">
        <f t="array" ref="I230">IFERROR(
IF(
INDEX(
'VISÃO LOGISTICA'!$C$2:$C$525,
MATCH(
TRUE,
ISNUMBER(FIND(B230,'VISÃO LOGISTICA'!$A$2:$A$525)),
0
)
)="Em espera",
"",
INDEX(
'VISÃO LOGISTICA'!$C$2:$C$525,
MATCH(
TRUE,
ISNUMBER(FIND(B230,'VISÃO LOGISTICA'!$A$2:$A$525)),
0
)
)
),
""
)</f>
        <v>Em Viagem</v>
      </c>
      <c r="J230" s="5" t="str" cm="1">
        <f t="array" ref="J230">IFERROR(
IF(
OR(
INDEX(
'VISÃO LOGISTICA'!$C$2:$C$2000,
MATCH(
TRUE,
ISNUMBER(FIND(B230,'VISÃO LOGISTICA'!$A$2:$A$2000)),
0
)
)="Em espera",
INDEX(
'VISÃO LOGISTICA'!$C$2:$C$2000,
MATCH(
TRUE,
ISNUMBER(FIND(B230,'VISÃO LOGISTICA'!$A$2:$A$2000)),
0
)
)=""
),
"",
INDEX(
'VISÃO LOGISTICA'!$D$2:$D$2000,
MATCH(
TRUE,
ISNUMBER(FIND(B230,'VISÃO LOGISTICA'!$A$2:$A$2000)),
0
)
)
),
""
)</f>
        <v>BCU5G84</v>
      </c>
      <c r="K230" s="10" t="str">
        <f>IFERROR(
IF(
_xlfn.XLOOKUP(
B230,
'LOCALIZAÇÃO DE CARGA'!$A$2:$A$702,
'LOCALIZAÇÃO DE CARGA'!$E$2:$E$702)="",
"",
_xlfn.XLOOKUP(
B230,
'LOCALIZAÇÃO DE CARGA'!$A$2:$A$702,
'LOCALIZAÇÃO DE CARGA'!$E$2:$E$702)
),
""
)</f>
        <v/>
      </c>
      <c r="L230" s="20" t="str" cm="1">
        <f t="array" ref="L230">IFERROR(
_xlfn.LET(
_xlpm.res,_xlfn.XLOOKUP(B230,'LOCALIZAÇÃO DE CARGA'!$A$2:$A$2000,'LOCALIZAÇÃO DE CARGA'!$G$2:$G$2000),
IF(_xlpm.res="","",_xlpm.res)
),
""
)</f>
        <v/>
      </c>
      <c r="M230" s="20" t="str" cm="1">
        <f t="array" ref="M230">IFERROR(
_xlfn.LET(
_xlpm.load,_xlfn.XLOOKUP(B230,'LOCALIZAÇÃO DE CARGA'!$A$2:$A$2000,'LOCALIZAÇÃO DE CARGA'!$A$2:$A$2000),
_xlpm.res,_xlfn.XLOOKUP(_xlpm.load,DOCUMENTOS!$A$2:$A$2000,DOCUMENTOS!$D$2:$D$2000),
IF(_xlpm.res="","",_xlpm.res)
),
""
)</f>
        <v/>
      </c>
      <c r="N230" s="6" t="str">
        <f>IFERROR(IF(M230="","",M230-TIME(1,0,0)),"")</f>
        <v/>
      </c>
      <c r="O230" s="6" t="str" cm="1">
        <f t="array" ref="O230">IFERROR(
_xlfn.LET(
_xlpm.res,_xlfn.XLOOKUP(B230,'LOCALIZAÇÃO DE CARGA'!$A$2:$A$2000,'LOCALIZAÇÃO DE CARGA'!$S$2:$S$2000),
IF(_xlpm.res="","",_xlpm.res)
),
""
)</f>
        <v/>
      </c>
      <c r="P230" s="6" t="str" cm="1">
        <f t="array" ref="P230">IFERROR(
_xlfn.LET(
_xlpm.res,_xlfn.XLOOKUP(B230,'LOCALIZAÇÃO DE CARGA'!$A$2:$A$702,'LOCALIZAÇÃO DE CARGA'!$T$2:$T$702),
IF(_xlpm.res="","",_xlpm.res)
),
""
)</f>
        <v/>
      </c>
      <c r="Q230" s="5" t="str">
        <f>IFERROR(
IF(
_xlfn.XLOOKUP(
B230,
'LOCALIZAÇÃO DE CARGA'!$A$2:$A$702,
'LOCALIZAÇÃO DE CARGA'!$K$2:$K$702
)="",
"",
_xlfn.XLOOKUP(
B230,
'LOCALIZAÇÃO DE CARGA'!$A$2:$A$702,
'LOCALIZAÇÃO DE CARGA'!$K$2:$K$702
)
),
""
)</f>
        <v/>
      </c>
      <c r="R230" s="5" t="str">
        <f t="shared" si="11"/>
        <v/>
      </c>
      <c r="S230" s="5" t="str" cm="1">
        <f t="array" ref="S230">IF(B230="","",IFERROR(
INDEX(
'VISÃO LOGISTICA'!$L$2:$L$525,
MATCH(
TRUE,
ISNUMBER(FIND(B230,'VISÃO LOGISTICA'!$A$2:$A$525)),
0
)
),
""
))</f>
        <v/>
      </c>
      <c r="T230" s="5" t="str" cm="1">
        <f t="array" ref="T230">IFERROR(
_xlfn.LET(
_xlpm.res,_xlfn.XLOOKUP(B230,'LOCALIZAÇÃO DE CARGA'!$A$2:$A$702,'LOCALIZAÇÃO DE CARGA'!$R$2:$R$702),
IF(_xlpm.res="","",SUBSTITUTE(_xlpm.res,"/BRASIL",""))
),
""
)</f>
        <v/>
      </c>
    </row>
    <row r="231" spans="1:20">
      <c r="B231" s="5"/>
      <c r="C231" s="5"/>
      <c r="D231" s="5"/>
      <c r="E231" s="5"/>
      <c r="F231" s="5"/>
      <c r="G231" s="5"/>
      <c r="H231" s="5"/>
      <c r="I231" s="5"/>
      <c r="J231" s="5"/>
      <c r="K231" s="10"/>
      <c r="L231" s="6"/>
      <c r="M231" s="6"/>
      <c r="N231" s="6"/>
      <c r="O231" s="6"/>
      <c r="P231" s="6"/>
      <c r="Q231" s="5"/>
      <c r="R231" s="5"/>
      <c r="S231" s="5"/>
      <c r="T231" s="5"/>
    </row>
    <row r="232" spans="1:20">
      <c r="B232" s="5"/>
      <c r="C232" s="5"/>
      <c r="D232" s="5"/>
      <c r="E232" s="5"/>
      <c r="F232" s="5"/>
      <c r="G232" s="5"/>
      <c r="H232" s="5"/>
      <c r="I232" s="5"/>
      <c r="J232" s="5"/>
      <c r="K232" s="10"/>
      <c r="L232" s="6"/>
      <c r="M232" s="6"/>
      <c r="N232" s="6"/>
      <c r="O232" s="6"/>
      <c r="P232" s="6"/>
      <c r="Q232" s="5"/>
      <c r="R232" s="5"/>
      <c r="S232" s="5"/>
      <c r="T232" s="5"/>
    </row>
    <row r="233" spans="1:20">
      <c r="B233" s="5"/>
      <c r="C233" s="5"/>
      <c r="D233" s="5"/>
      <c r="E233" s="5"/>
      <c r="F233" s="5"/>
      <c r="G233" s="5"/>
      <c r="H233" s="5"/>
      <c r="I233" s="5"/>
      <c r="J233" s="5"/>
      <c r="K233" s="10"/>
      <c r="L233" s="6"/>
      <c r="M233" s="6"/>
      <c r="N233" s="6"/>
      <c r="O233" s="6"/>
      <c r="P233" s="6"/>
      <c r="Q233" s="5"/>
      <c r="R233" s="5"/>
      <c r="S233" s="5"/>
      <c r="T233" s="5"/>
    </row>
    <row r="234" spans="1:20">
      <c r="B234" s="5"/>
      <c r="C234" s="5"/>
      <c r="D234" s="5"/>
      <c r="E234" s="5"/>
      <c r="F234" s="5"/>
      <c r="G234" s="5"/>
      <c r="H234" s="5"/>
      <c r="I234" s="5"/>
      <c r="J234" s="5"/>
      <c r="K234" s="10"/>
      <c r="L234" s="6"/>
      <c r="M234" s="6"/>
      <c r="N234" s="6"/>
      <c r="O234" s="6"/>
      <c r="P234" s="6"/>
      <c r="Q234" s="5"/>
      <c r="R234" s="5"/>
      <c r="S234" s="5"/>
      <c r="T234" s="5"/>
    </row>
    <row r="235" spans="1:20">
      <c r="B235" s="5"/>
      <c r="C235" s="5"/>
      <c r="D235" s="5"/>
      <c r="E235" s="5"/>
      <c r="F235" s="5"/>
      <c r="G235" s="5"/>
      <c r="H235" s="5"/>
      <c r="I235" s="5"/>
      <c r="J235" s="5"/>
      <c r="K235" s="10"/>
      <c r="L235" s="6"/>
      <c r="M235" s="6"/>
      <c r="N235" s="6"/>
      <c r="O235" s="6"/>
      <c r="P235" s="6"/>
      <c r="Q235" s="5"/>
      <c r="R235" s="5"/>
      <c r="S235" s="5"/>
      <c r="T235" s="5"/>
    </row>
    <row r="236" spans="1:20">
      <c r="B236" s="5"/>
      <c r="C236" s="5"/>
      <c r="D236" s="5"/>
      <c r="E236" s="5"/>
      <c r="F236" s="5"/>
      <c r="G236" s="5"/>
      <c r="H236" s="5"/>
      <c r="I236" s="5"/>
      <c r="J236" s="5"/>
      <c r="K236" s="10"/>
      <c r="L236" s="6"/>
      <c r="M236" s="6"/>
      <c r="N236" s="6"/>
      <c r="O236" s="6"/>
      <c r="P236" s="6"/>
      <c r="Q236" s="5"/>
      <c r="R236" s="5"/>
      <c r="S236" s="5"/>
      <c r="T236" s="5"/>
    </row>
    <row r="237" spans="1:20">
      <c r="B237" s="5"/>
      <c r="C237" s="5"/>
      <c r="D237" s="5"/>
      <c r="E237" s="5"/>
      <c r="F237" s="5"/>
      <c r="G237" s="5"/>
      <c r="H237" s="5"/>
      <c r="I237" s="5"/>
      <c r="J237" s="5"/>
      <c r="K237" s="10"/>
      <c r="L237" s="6"/>
      <c r="M237" s="6"/>
      <c r="N237" s="6"/>
      <c r="O237" s="6"/>
      <c r="P237" s="6"/>
      <c r="Q237" s="5"/>
      <c r="R237" s="5"/>
      <c r="S237" s="5"/>
      <c r="T237" s="5"/>
    </row>
    <row r="238" spans="1:20">
      <c r="B238" s="5"/>
      <c r="C238" s="5"/>
      <c r="D238" s="5"/>
      <c r="E238" s="5"/>
      <c r="F238" s="5"/>
      <c r="G238" s="5"/>
      <c r="H238" s="5"/>
      <c r="I238" s="5"/>
      <c r="J238" s="5"/>
      <c r="K238" s="10"/>
      <c r="L238" s="6"/>
      <c r="M238" s="6"/>
      <c r="N238" s="6"/>
      <c r="O238" s="6"/>
      <c r="P238" s="6"/>
      <c r="Q238" s="5"/>
      <c r="R238" s="5"/>
      <c r="S238" s="5"/>
      <c r="T238" s="5"/>
    </row>
    <row r="239" spans="1:20">
      <c r="B239" s="5"/>
      <c r="C239" s="5"/>
      <c r="D239" s="5"/>
      <c r="E239" s="5"/>
      <c r="F239" s="5"/>
      <c r="G239" s="5"/>
      <c r="H239" s="5"/>
      <c r="I239" s="5"/>
      <c r="J239" s="5"/>
      <c r="K239" s="10"/>
      <c r="L239" s="6"/>
      <c r="M239" s="6"/>
      <c r="N239" s="6"/>
      <c r="O239" s="6"/>
      <c r="P239" s="6"/>
      <c r="Q239" s="5"/>
      <c r="R239" s="5"/>
      <c r="S239" s="5"/>
      <c r="T239" s="5"/>
    </row>
    <row r="240" spans="1:20">
      <c r="B240" s="5"/>
      <c r="C240" s="5"/>
      <c r="D240" s="5"/>
      <c r="E240" s="5"/>
      <c r="F240" s="5"/>
      <c r="G240" s="5"/>
      <c r="H240" s="5"/>
      <c r="I240" s="5"/>
      <c r="J240" s="5"/>
      <c r="K240" s="10"/>
      <c r="L240" s="6"/>
      <c r="M240" s="6"/>
      <c r="N240" s="6"/>
      <c r="O240" s="6"/>
      <c r="P240" s="6"/>
      <c r="Q240" s="5"/>
      <c r="R240" s="5"/>
      <c r="S240" s="5"/>
      <c r="T240" s="5"/>
    </row>
    <row r="241" spans="2:20">
      <c r="B241" s="5"/>
      <c r="C241" s="5"/>
      <c r="D241" s="5"/>
      <c r="E241" s="5"/>
      <c r="F241" s="5"/>
      <c r="G241" s="5"/>
      <c r="H241" s="5"/>
      <c r="I241" s="5"/>
      <c r="J241" s="5"/>
      <c r="K241" s="10"/>
      <c r="L241" s="6"/>
      <c r="M241" s="6"/>
      <c r="N241" s="6"/>
      <c r="O241" s="6"/>
      <c r="P241" s="6"/>
      <c r="Q241" s="5"/>
      <c r="R241" s="5"/>
      <c r="S241" s="5"/>
      <c r="T241" s="5"/>
    </row>
    <row r="242" spans="2:20">
      <c r="B242" s="5"/>
      <c r="C242" s="5"/>
      <c r="D242" s="5"/>
      <c r="E242" s="5"/>
      <c r="F242" s="5"/>
      <c r="G242" s="5"/>
      <c r="H242" s="5"/>
      <c r="I242" s="5"/>
      <c r="J242" s="5"/>
      <c r="K242" s="10"/>
      <c r="L242" s="6"/>
      <c r="M242" s="6"/>
      <c r="N242" s="6"/>
      <c r="O242" s="6"/>
      <c r="P242" s="6"/>
      <c r="Q242" s="5"/>
      <c r="R242" s="5"/>
      <c r="S242" s="5"/>
      <c r="T242" s="5"/>
    </row>
    <row r="243" spans="2:20">
      <c r="B243" s="5"/>
      <c r="C243" s="5"/>
      <c r="D243" s="5"/>
      <c r="E243" s="5"/>
      <c r="F243" s="5"/>
      <c r="G243" s="5"/>
      <c r="H243" s="5"/>
      <c r="I243" s="5"/>
      <c r="J243" s="5"/>
      <c r="K243" s="10"/>
      <c r="L243" s="6"/>
      <c r="M243" s="6"/>
      <c r="N243" s="6"/>
      <c r="O243" s="6"/>
      <c r="P243" s="6"/>
      <c r="Q243" s="5"/>
      <c r="R243" s="5"/>
      <c r="S243" s="5"/>
      <c r="T243" s="5"/>
    </row>
    <row r="244" spans="2:20">
      <c r="B244" s="5"/>
      <c r="C244" s="5"/>
      <c r="D244" s="5"/>
      <c r="E244" s="5"/>
      <c r="F244" s="5"/>
      <c r="G244" s="5"/>
      <c r="H244" s="5"/>
      <c r="I244" s="5"/>
      <c r="J244" s="5"/>
      <c r="K244" s="10"/>
      <c r="L244" s="6"/>
      <c r="M244" s="6"/>
      <c r="N244" s="6"/>
      <c r="O244" s="6"/>
      <c r="P244" s="6"/>
      <c r="Q244" s="5"/>
      <c r="R244" s="5"/>
      <c r="S244" s="5"/>
      <c r="T244" s="5"/>
    </row>
    <row r="245" spans="2:20">
      <c r="B245" s="5"/>
      <c r="C245" s="5"/>
      <c r="D245" s="5"/>
      <c r="E245" s="5"/>
      <c r="F245" s="5"/>
      <c r="G245" s="5"/>
      <c r="H245" s="5"/>
      <c r="I245" s="5"/>
      <c r="J245" s="5"/>
      <c r="K245" s="10"/>
      <c r="L245" s="6"/>
      <c r="M245" s="6"/>
      <c r="N245" s="6"/>
      <c r="O245" s="6"/>
      <c r="P245" s="6"/>
      <c r="Q245" s="5"/>
      <c r="R245" s="5"/>
      <c r="S245" s="5"/>
      <c r="T245" s="5"/>
    </row>
    <row r="246" spans="2:20">
      <c r="B246" s="5"/>
      <c r="C246" s="5"/>
      <c r="D246" s="5"/>
      <c r="E246" s="5"/>
      <c r="F246" s="5"/>
      <c r="G246" s="5"/>
      <c r="H246" s="5"/>
      <c r="I246" s="5"/>
      <c r="J246" s="5"/>
      <c r="K246" s="10"/>
      <c r="L246" s="6"/>
      <c r="M246" s="6"/>
      <c r="N246" s="6"/>
      <c r="O246" s="6"/>
      <c r="P246" s="6"/>
      <c r="Q246" s="5"/>
      <c r="R246" s="5"/>
      <c r="S246" s="5"/>
      <c r="T246" s="5"/>
    </row>
    <row r="247" spans="2:20">
      <c r="B247" s="5"/>
      <c r="C247" s="5"/>
      <c r="D247" s="5"/>
      <c r="E247" s="5"/>
      <c r="F247" s="5"/>
      <c r="G247" s="5"/>
      <c r="H247" s="5"/>
      <c r="I247" s="5"/>
      <c r="J247" s="5"/>
      <c r="K247" s="10"/>
      <c r="L247" s="6"/>
      <c r="M247" s="6"/>
      <c r="N247" s="6"/>
      <c r="O247" s="6"/>
      <c r="P247" s="6"/>
      <c r="Q247" s="5"/>
      <c r="R247" s="5"/>
      <c r="S247" s="5"/>
      <c r="T247" s="5"/>
    </row>
    <row r="248" spans="2:20">
      <c r="B248" s="5"/>
      <c r="C248" s="5"/>
      <c r="D248" s="5"/>
      <c r="E248" s="5"/>
      <c r="F248" s="5"/>
      <c r="G248" s="5"/>
      <c r="H248" s="5"/>
      <c r="I248" s="5"/>
      <c r="J248" s="5"/>
      <c r="K248" s="10"/>
      <c r="L248" s="6"/>
      <c r="M248" s="6"/>
      <c r="N248" s="6"/>
      <c r="O248" s="6"/>
      <c r="P248" s="6"/>
      <c r="Q248" s="5"/>
      <c r="R248" s="5"/>
      <c r="S248" s="5"/>
      <c r="T248" s="5"/>
    </row>
    <row r="249" spans="2:20">
      <c r="B249" s="5"/>
      <c r="C249" s="5"/>
      <c r="D249" s="5"/>
      <c r="E249" s="5"/>
      <c r="F249" s="5"/>
      <c r="G249" s="5"/>
      <c r="H249" s="5"/>
      <c r="I249" s="5"/>
      <c r="J249" s="5"/>
      <c r="K249" s="10"/>
      <c r="L249" s="6"/>
      <c r="M249" s="6"/>
      <c r="N249" s="6"/>
      <c r="O249" s="6"/>
      <c r="P249" s="6"/>
      <c r="Q249" s="5"/>
      <c r="R249" s="5"/>
      <c r="S249" s="5"/>
      <c r="T249" s="5"/>
    </row>
    <row r="250" spans="2:20">
      <c r="B250" s="5"/>
      <c r="C250" s="5"/>
      <c r="D250" s="5"/>
      <c r="E250" s="5"/>
      <c r="F250" s="5"/>
      <c r="G250" s="5"/>
      <c r="H250" s="5"/>
      <c r="I250" s="5"/>
      <c r="J250" s="5"/>
      <c r="K250" s="10"/>
      <c r="L250" s="6"/>
      <c r="M250" s="6"/>
      <c r="N250" s="6"/>
      <c r="O250" s="6"/>
      <c r="P250" s="6"/>
      <c r="Q250" s="5"/>
      <c r="R250" s="5"/>
      <c r="S250" s="5"/>
      <c r="T250" s="5"/>
    </row>
    <row r="251" spans="2:20">
      <c r="B251" s="5"/>
      <c r="C251" s="5"/>
      <c r="D251" s="5"/>
      <c r="E251" s="5"/>
      <c r="F251" s="5"/>
      <c r="G251" s="5"/>
      <c r="H251" s="5"/>
      <c r="I251" s="5"/>
      <c r="J251" s="5"/>
      <c r="K251" s="10"/>
      <c r="L251" s="6"/>
      <c r="M251" s="6"/>
      <c r="N251" s="6"/>
      <c r="O251" s="6"/>
      <c r="P251" s="6"/>
      <c r="Q251" s="5"/>
      <c r="R251" s="5"/>
      <c r="S251" s="5"/>
      <c r="T251" s="5"/>
    </row>
    <row r="252" spans="2:20">
      <c r="B252" s="5"/>
      <c r="C252" s="5"/>
      <c r="D252" s="5"/>
      <c r="E252" s="5"/>
      <c r="F252" s="5"/>
      <c r="G252" s="5"/>
      <c r="H252" s="5"/>
      <c r="I252" s="5"/>
      <c r="J252" s="5"/>
      <c r="K252" s="10"/>
      <c r="L252" s="6"/>
      <c r="M252" s="6"/>
      <c r="N252" s="6"/>
      <c r="O252" s="6"/>
      <c r="P252" s="6"/>
      <c r="Q252" s="5"/>
      <c r="R252" s="5"/>
      <c r="S252" s="5"/>
      <c r="T252" s="5"/>
    </row>
    <row r="253" spans="2:20">
      <c r="B253" s="5"/>
      <c r="C253" s="5"/>
      <c r="D253" s="5"/>
      <c r="E253" s="5"/>
      <c r="F253" s="5"/>
      <c r="G253" s="5"/>
      <c r="H253" s="5"/>
      <c r="I253" s="5"/>
      <c r="J253" s="5"/>
      <c r="K253" s="10"/>
      <c r="L253" s="6"/>
      <c r="M253" s="6"/>
      <c r="N253" s="6"/>
      <c r="O253" s="6"/>
      <c r="P253" s="6"/>
      <c r="Q253" s="5"/>
      <c r="R253" s="5"/>
      <c r="S253" s="5"/>
      <c r="T253" s="5"/>
    </row>
    <row r="254" spans="2:20">
      <c r="B254" s="5"/>
      <c r="C254" s="5"/>
      <c r="D254" s="5"/>
      <c r="E254" s="5"/>
      <c r="F254" s="5"/>
      <c r="G254" s="5"/>
      <c r="H254" s="5"/>
      <c r="I254" s="5"/>
      <c r="J254" s="5"/>
      <c r="K254" s="10"/>
      <c r="L254" s="6"/>
      <c r="M254" s="6"/>
      <c r="N254" s="6"/>
      <c r="O254" s="6"/>
      <c r="P254" s="6"/>
      <c r="Q254" s="5"/>
      <c r="R254" s="5"/>
      <c r="S254" s="5"/>
      <c r="T254" s="5"/>
    </row>
    <row r="255" spans="2:20">
      <c r="B255" s="5"/>
      <c r="C255" s="5"/>
      <c r="D255" s="5"/>
      <c r="E255" s="5"/>
      <c r="F255" s="5"/>
      <c r="G255" s="5"/>
      <c r="H255" s="5"/>
      <c r="I255" s="5"/>
      <c r="J255" s="5"/>
      <c r="K255" s="10"/>
      <c r="L255" s="6"/>
      <c r="M255" s="6"/>
      <c r="N255" s="6"/>
      <c r="O255" s="6"/>
      <c r="P255" s="6"/>
      <c r="Q255" s="5"/>
      <c r="R255" s="5"/>
      <c r="S255" s="5"/>
      <c r="T255" s="5"/>
    </row>
    <row r="256" spans="2:20">
      <c r="B256" s="5"/>
      <c r="C256" s="5"/>
      <c r="D256" s="5"/>
      <c r="E256" s="5"/>
      <c r="F256" s="5"/>
      <c r="G256" s="5"/>
      <c r="H256" s="5"/>
      <c r="I256" s="5"/>
      <c r="J256" s="5"/>
      <c r="K256" s="10"/>
      <c r="L256" s="6"/>
      <c r="M256" s="6"/>
      <c r="N256" s="6"/>
      <c r="O256" s="6"/>
      <c r="P256" s="6"/>
      <c r="Q256" s="5"/>
      <c r="R256" s="5"/>
      <c r="S256" s="5"/>
      <c r="T256" s="5"/>
    </row>
    <row r="257" spans="2:20">
      <c r="B257" s="5"/>
      <c r="C257" s="5"/>
      <c r="D257" s="5"/>
      <c r="E257" s="5"/>
      <c r="F257" s="5"/>
      <c r="G257" s="5"/>
      <c r="H257" s="5"/>
      <c r="I257" s="5"/>
      <c r="J257" s="5"/>
      <c r="K257" s="10"/>
      <c r="L257" s="6"/>
      <c r="M257" s="6"/>
      <c r="N257" s="6"/>
      <c r="O257" s="6"/>
      <c r="P257" s="6"/>
      <c r="Q257" s="5"/>
      <c r="R257" s="5"/>
      <c r="S257" s="5"/>
      <c r="T257" s="5"/>
    </row>
    <row r="258" spans="2:20">
      <c r="B258" s="5"/>
      <c r="C258" s="5"/>
      <c r="D258" s="5"/>
      <c r="E258" s="5"/>
      <c r="F258" s="5"/>
      <c r="G258" s="5"/>
      <c r="H258" s="5"/>
      <c r="I258" s="5"/>
      <c r="J258" s="5"/>
      <c r="K258" s="10"/>
      <c r="L258" s="6"/>
      <c r="M258" s="6"/>
      <c r="N258" s="6"/>
      <c r="O258" s="6"/>
      <c r="P258" s="6"/>
      <c r="Q258" s="5"/>
      <c r="R258" s="5"/>
      <c r="S258" s="5"/>
      <c r="T258" s="5"/>
    </row>
    <row r="259" spans="2:20">
      <c r="B259" s="5"/>
      <c r="C259" s="5"/>
      <c r="D259" s="5"/>
      <c r="E259" s="5"/>
      <c r="F259" s="5"/>
      <c r="G259" s="5"/>
      <c r="H259" s="5"/>
      <c r="I259" s="5"/>
      <c r="J259" s="5"/>
      <c r="K259" s="10"/>
      <c r="L259" s="6"/>
      <c r="M259" s="6"/>
      <c r="N259" s="6"/>
      <c r="O259" s="6"/>
      <c r="P259" s="6"/>
      <c r="Q259" s="5"/>
      <c r="R259" s="5"/>
      <c r="S259" s="5"/>
      <c r="T259" s="5"/>
    </row>
    <row r="260" spans="2:20">
      <c r="B260" s="5"/>
      <c r="C260" s="5"/>
      <c r="D260" s="5"/>
      <c r="E260" s="5"/>
      <c r="F260" s="5"/>
      <c r="G260" s="5"/>
      <c r="H260" s="5"/>
      <c r="I260" s="5"/>
      <c r="J260" s="5"/>
      <c r="K260" s="10"/>
      <c r="L260" s="6"/>
      <c r="M260" s="6"/>
      <c r="N260" s="6"/>
      <c r="O260" s="6"/>
      <c r="P260" s="6"/>
      <c r="Q260" s="5"/>
      <c r="R260" s="5"/>
      <c r="S260" s="5"/>
      <c r="T260" s="5"/>
    </row>
    <row r="261" spans="2:20">
      <c r="B261" s="5"/>
      <c r="C261" s="5"/>
      <c r="D261" s="5"/>
      <c r="E261" s="5"/>
      <c r="F261" s="5"/>
      <c r="G261" s="5"/>
      <c r="H261" s="5"/>
      <c r="I261" s="5"/>
      <c r="J261" s="5"/>
      <c r="K261" s="10"/>
      <c r="L261" s="6"/>
      <c r="M261" s="6"/>
      <c r="N261" s="6"/>
      <c r="O261" s="6"/>
      <c r="P261" s="6"/>
      <c r="Q261" s="5"/>
      <c r="R261" s="5"/>
      <c r="S261" s="5"/>
      <c r="T261" s="5"/>
    </row>
    <row r="262" spans="2:20">
      <c r="B262" s="5"/>
      <c r="C262" s="5"/>
      <c r="D262" s="5"/>
      <c r="E262" s="5"/>
      <c r="F262" s="5"/>
      <c r="G262" s="5"/>
      <c r="H262" s="5"/>
      <c r="I262" s="5"/>
      <c r="J262" s="5"/>
      <c r="K262" s="10"/>
      <c r="L262" s="6"/>
      <c r="M262" s="6"/>
      <c r="N262" s="6"/>
      <c r="O262" s="6"/>
      <c r="P262" s="6"/>
      <c r="Q262" s="5"/>
      <c r="R262" s="5"/>
      <c r="S262" s="5"/>
      <c r="T262" s="5"/>
    </row>
    <row r="263" spans="2:20">
      <c r="B263" s="5"/>
      <c r="C263" s="5"/>
      <c r="D263" s="5"/>
      <c r="E263" s="5"/>
      <c r="F263" s="5"/>
      <c r="G263" s="5"/>
      <c r="H263" s="5"/>
      <c r="I263" s="5"/>
      <c r="J263" s="5"/>
      <c r="K263" s="10"/>
      <c r="L263" s="6"/>
      <c r="M263" s="6"/>
      <c r="N263" s="6"/>
      <c r="O263" s="6"/>
      <c r="P263" s="6"/>
      <c r="Q263" s="5"/>
      <c r="R263" s="5"/>
      <c r="S263" s="5"/>
      <c r="T263" s="5"/>
    </row>
    <row r="264" spans="2:20">
      <c r="B264" s="5"/>
      <c r="C264" s="5"/>
      <c r="D264" s="5"/>
      <c r="E264" s="5"/>
      <c r="F264" s="5"/>
      <c r="G264" s="5"/>
      <c r="H264" s="5"/>
      <c r="I264" s="5"/>
      <c r="J264" s="5"/>
      <c r="K264" s="10"/>
      <c r="L264" s="6"/>
      <c r="M264" s="6"/>
      <c r="N264" s="6"/>
      <c r="O264" s="6"/>
      <c r="P264" s="6"/>
      <c r="Q264" s="5"/>
      <c r="R264" s="5"/>
      <c r="S264" s="5"/>
      <c r="T264" s="5"/>
    </row>
    <row r="265" spans="2:20">
      <c r="B265" s="5"/>
      <c r="C265" s="5"/>
      <c r="D265" s="5"/>
      <c r="E265" s="5"/>
      <c r="F265" s="5"/>
      <c r="G265" s="5"/>
      <c r="H265" s="5"/>
      <c r="I265" s="5"/>
      <c r="J265" s="5"/>
      <c r="K265" s="10"/>
      <c r="L265" s="6"/>
      <c r="M265" s="6"/>
      <c r="N265" s="6"/>
      <c r="O265" s="6"/>
      <c r="P265" s="6"/>
      <c r="Q265" s="5"/>
      <c r="R265" s="5"/>
      <c r="S265" s="5"/>
      <c r="T265" s="5"/>
    </row>
    <row r="266" spans="2:20">
      <c r="B266" s="5"/>
      <c r="C266" s="5"/>
      <c r="D266" s="5"/>
      <c r="E266" s="5"/>
      <c r="F266" s="5"/>
      <c r="G266" s="5"/>
      <c r="H266" s="5"/>
      <c r="I266" s="5"/>
      <c r="J266" s="5"/>
      <c r="K266" s="10"/>
      <c r="L266" s="6"/>
      <c r="M266" s="6"/>
      <c r="N266" s="6"/>
      <c r="O266" s="6"/>
      <c r="P266" s="6"/>
      <c r="Q266" s="5"/>
      <c r="R266" s="5"/>
      <c r="S266" s="5"/>
      <c r="T266" s="5"/>
    </row>
    <row r="267" spans="2:20">
      <c r="B267" s="5"/>
      <c r="C267" s="5"/>
      <c r="D267" s="5"/>
      <c r="E267" s="5"/>
      <c r="F267" s="5"/>
      <c r="G267" s="5"/>
      <c r="H267" s="5"/>
      <c r="I267" s="5"/>
      <c r="J267" s="5"/>
      <c r="K267" s="10"/>
      <c r="L267" s="6"/>
      <c r="M267" s="6"/>
      <c r="N267" s="6"/>
      <c r="O267" s="6"/>
      <c r="P267" s="6"/>
      <c r="Q267" s="5"/>
      <c r="R267" s="5"/>
      <c r="S267" s="5"/>
      <c r="T267" s="5"/>
    </row>
    <row r="268" spans="2:20">
      <c r="B268" s="5"/>
      <c r="C268" s="5"/>
      <c r="D268" s="5"/>
      <c r="E268" s="5"/>
      <c r="F268" s="5"/>
      <c r="G268" s="5"/>
      <c r="H268" s="5"/>
      <c r="I268" s="5"/>
      <c r="J268" s="5"/>
      <c r="K268" s="10"/>
      <c r="L268" s="6"/>
      <c r="M268" s="6"/>
      <c r="N268" s="6"/>
      <c r="O268" s="6"/>
      <c r="P268" s="6"/>
      <c r="Q268" s="5"/>
      <c r="R268" s="5"/>
      <c r="S268" s="5"/>
      <c r="T268" s="5"/>
    </row>
    <row r="269" spans="2:20">
      <c r="B269" s="5"/>
      <c r="C269" s="5"/>
      <c r="D269" s="5"/>
      <c r="E269" s="5"/>
      <c r="F269" s="5"/>
      <c r="G269" s="5"/>
      <c r="H269" s="5"/>
      <c r="I269" s="5"/>
      <c r="J269" s="5"/>
      <c r="K269" s="10"/>
      <c r="L269" s="6"/>
      <c r="M269" s="6"/>
      <c r="N269" s="6"/>
      <c r="O269" s="6"/>
      <c r="P269" s="6"/>
      <c r="Q269" s="5"/>
      <c r="R269" s="5"/>
      <c r="S269" s="5"/>
      <c r="T269" s="5"/>
    </row>
    <row r="270" spans="2:20">
      <c r="B270" s="5"/>
      <c r="C270" s="5"/>
      <c r="D270" s="5"/>
      <c r="E270" s="5"/>
      <c r="F270" s="5"/>
      <c r="G270" s="5"/>
      <c r="H270" s="5"/>
      <c r="I270" s="5"/>
      <c r="J270" s="5"/>
      <c r="K270" s="10"/>
      <c r="L270" s="6"/>
      <c r="M270" s="6"/>
      <c r="N270" s="6"/>
      <c r="O270" s="6"/>
      <c r="P270" s="6"/>
      <c r="Q270" s="5"/>
      <c r="R270" s="5"/>
      <c r="S270" s="5"/>
      <c r="T270" s="5"/>
    </row>
    <row r="271" spans="2:20">
      <c r="B271" s="5"/>
      <c r="C271" s="5"/>
      <c r="D271" s="5"/>
      <c r="E271" s="5"/>
      <c r="F271" s="5"/>
      <c r="G271" s="5"/>
      <c r="H271" s="5"/>
      <c r="I271" s="5"/>
      <c r="J271" s="5"/>
      <c r="K271" s="10"/>
      <c r="L271" s="6"/>
      <c r="M271" s="6"/>
      <c r="N271" s="6"/>
      <c r="O271" s="6"/>
      <c r="P271" s="6"/>
      <c r="Q271" s="5"/>
      <c r="R271" s="5"/>
      <c r="S271" s="5"/>
      <c r="T271" s="5"/>
    </row>
    <row r="272" spans="2:20">
      <c r="B272" s="5"/>
      <c r="C272" s="5"/>
      <c r="D272" s="5"/>
      <c r="E272" s="5"/>
      <c r="F272" s="5"/>
      <c r="G272" s="5"/>
      <c r="H272" s="5"/>
      <c r="I272" s="5"/>
      <c r="J272" s="5"/>
      <c r="K272" s="10"/>
      <c r="L272" s="6"/>
      <c r="M272" s="6"/>
      <c r="N272" s="6"/>
      <c r="O272" s="6"/>
      <c r="P272" s="6"/>
      <c r="Q272" s="5"/>
      <c r="R272" s="5"/>
      <c r="S272" s="5"/>
      <c r="T272" s="5"/>
    </row>
    <row r="273" spans="2:20">
      <c r="B273" s="5"/>
      <c r="C273" s="5"/>
      <c r="D273" s="5"/>
      <c r="E273" s="5"/>
      <c r="F273" s="5"/>
      <c r="G273" s="5"/>
      <c r="H273" s="5"/>
      <c r="I273" s="5"/>
      <c r="J273" s="5"/>
      <c r="K273" s="10"/>
      <c r="L273" s="6"/>
      <c r="M273" s="6"/>
      <c r="N273" s="6"/>
      <c r="O273" s="6"/>
      <c r="P273" s="6"/>
      <c r="Q273" s="5"/>
      <c r="R273" s="5"/>
      <c r="S273" s="5"/>
      <c r="T273" s="5"/>
    </row>
    <row r="274" spans="2:20">
      <c r="B274" s="5"/>
      <c r="C274" s="5"/>
      <c r="D274" s="5"/>
      <c r="E274" s="5"/>
      <c r="F274" s="5"/>
      <c r="G274" s="5"/>
      <c r="H274" s="5"/>
      <c r="I274" s="5"/>
      <c r="J274" s="5"/>
      <c r="K274" s="10"/>
      <c r="L274" s="6"/>
      <c r="M274" s="6"/>
      <c r="N274" s="6"/>
      <c r="O274" s="6"/>
      <c r="P274" s="6"/>
      <c r="Q274" s="5"/>
      <c r="R274" s="5"/>
      <c r="S274" s="5"/>
      <c r="T274" s="5"/>
    </row>
    <row r="275" spans="2:20">
      <c r="B275" s="5"/>
      <c r="C275" s="5"/>
      <c r="D275" s="5"/>
      <c r="E275" s="5"/>
      <c r="F275" s="5"/>
      <c r="G275" s="5"/>
      <c r="H275" s="5"/>
      <c r="I275" s="5"/>
      <c r="J275" s="5"/>
      <c r="K275" s="10"/>
      <c r="L275" s="6"/>
      <c r="M275" s="6"/>
      <c r="N275" s="6"/>
      <c r="O275" s="6"/>
      <c r="P275" s="6"/>
      <c r="Q275" s="5"/>
      <c r="R275" s="5"/>
      <c r="S275" s="5"/>
      <c r="T275" s="5"/>
    </row>
    <row r="276" spans="2:20" hidden="1">
      <c r="B276" s="5"/>
      <c r="C276" s="5"/>
      <c r="D276" s="5"/>
      <c r="E276" s="5"/>
      <c r="F276" s="5"/>
      <c r="G276" s="5"/>
      <c r="H276" s="5"/>
      <c r="I276" s="5"/>
      <c r="J276" s="5"/>
      <c r="K276" s="10"/>
      <c r="L276" s="6"/>
      <c r="M276" s="6"/>
      <c r="N276" s="6"/>
      <c r="O276" s="6"/>
      <c r="P276" s="6"/>
      <c r="Q276" s="5"/>
      <c r="R276" s="5"/>
      <c r="S276" s="5"/>
      <c r="T276" s="5"/>
    </row>
    <row r="277" spans="2:20" hidden="1">
      <c r="B277" s="5"/>
      <c r="C277" s="5"/>
      <c r="D277" s="5"/>
      <c r="E277" s="5"/>
      <c r="F277" s="5"/>
      <c r="G277" s="5"/>
      <c r="H277" s="5"/>
      <c r="I277" s="5"/>
      <c r="J277" s="5"/>
      <c r="K277" s="10"/>
      <c r="L277" s="6"/>
      <c r="M277" s="6"/>
      <c r="N277" s="6"/>
      <c r="O277" s="6"/>
      <c r="P277" s="6"/>
      <c r="Q277" s="5"/>
      <c r="R277" s="5"/>
      <c r="S277" s="5"/>
      <c r="T277" s="5"/>
    </row>
    <row r="278" spans="2:20" hidden="1">
      <c r="B278" s="5"/>
      <c r="C278" s="5"/>
      <c r="D278" s="5"/>
      <c r="E278" s="5"/>
      <c r="F278" s="5"/>
      <c r="G278" s="5"/>
      <c r="H278" s="5"/>
      <c r="I278" s="5"/>
      <c r="J278" s="5"/>
      <c r="K278" s="10"/>
      <c r="L278" s="6"/>
      <c r="M278" s="6"/>
      <c r="N278" s="6"/>
      <c r="O278" s="6"/>
      <c r="P278" s="6"/>
      <c r="Q278" s="5"/>
      <c r="R278" s="5"/>
      <c r="S278" s="5"/>
      <c r="T278" s="5"/>
    </row>
    <row r="279" spans="2:20" hidden="1">
      <c r="B279" s="5"/>
      <c r="C279" s="5"/>
      <c r="D279" s="5"/>
      <c r="E279" s="5"/>
      <c r="F279" s="5"/>
      <c r="G279" s="5"/>
      <c r="H279" s="5"/>
      <c r="I279" s="5"/>
      <c r="J279" s="5"/>
      <c r="K279" s="10"/>
      <c r="L279" s="6"/>
      <c r="M279" s="6"/>
      <c r="N279" s="6"/>
      <c r="O279" s="6"/>
      <c r="P279" s="6"/>
      <c r="Q279" s="5"/>
      <c r="R279" s="5"/>
      <c r="S279" s="5"/>
      <c r="T279" s="5"/>
    </row>
    <row r="280" spans="2:20" hidden="1">
      <c r="B280" s="5"/>
      <c r="C280" s="5"/>
      <c r="D280" s="5"/>
      <c r="E280" s="5"/>
      <c r="F280" s="5"/>
      <c r="G280" s="5"/>
      <c r="H280" s="5"/>
      <c r="I280" s="5"/>
      <c r="J280" s="5"/>
      <c r="K280" s="10"/>
      <c r="L280" s="6"/>
      <c r="M280" s="6"/>
      <c r="N280" s="6"/>
      <c r="O280" s="6"/>
      <c r="P280" s="6"/>
      <c r="Q280" s="5"/>
      <c r="R280" s="5"/>
      <c r="S280" s="5"/>
      <c r="T280" s="5"/>
    </row>
    <row r="281" spans="2:20" hidden="1">
      <c r="B281" s="5"/>
      <c r="C281" s="5"/>
      <c r="D281" s="5"/>
      <c r="E281" s="5"/>
      <c r="F281" s="5"/>
      <c r="G281" s="5"/>
      <c r="H281" s="5"/>
      <c r="I281" s="5"/>
      <c r="J281" s="5"/>
      <c r="K281" s="10"/>
      <c r="L281" s="6"/>
      <c r="M281" s="6"/>
      <c r="N281" s="6"/>
      <c r="O281" s="6"/>
      <c r="P281" s="6"/>
      <c r="Q281" s="5"/>
      <c r="R281" s="5"/>
      <c r="S281" s="5"/>
      <c r="T281" s="5"/>
    </row>
    <row r="282" spans="2:20" hidden="1">
      <c r="B282" s="5"/>
      <c r="C282" s="5"/>
      <c r="D282" s="5"/>
      <c r="E282" s="5"/>
      <c r="F282" s="5"/>
      <c r="G282" s="5"/>
      <c r="H282" s="5"/>
      <c r="I282" s="5"/>
      <c r="J282" s="5"/>
      <c r="K282" s="10"/>
      <c r="L282" s="6"/>
      <c r="M282" s="6"/>
      <c r="N282" s="6"/>
      <c r="O282" s="6"/>
      <c r="P282" s="6"/>
      <c r="Q282" s="5"/>
      <c r="R282" s="5"/>
      <c r="S282" s="5"/>
      <c r="T282" s="5"/>
    </row>
    <row r="283" spans="2:20" hidden="1">
      <c r="B283" s="5"/>
      <c r="C283" s="5"/>
      <c r="D283" s="5"/>
      <c r="E283" s="5"/>
      <c r="F283" s="5"/>
      <c r="G283" s="5"/>
      <c r="H283" s="5"/>
      <c r="I283" s="5"/>
      <c r="J283" s="5"/>
      <c r="K283" s="10"/>
      <c r="L283" s="6"/>
      <c r="M283" s="6"/>
      <c r="N283" s="6"/>
      <c r="O283" s="6"/>
      <c r="P283" s="6"/>
      <c r="Q283" s="5"/>
      <c r="R283" s="5"/>
      <c r="S283" s="5"/>
      <c r="T283" s="5"/>
    </row>
    <row r="284" spans="2:20" hidden="1">
      <c r="B284" s="5"/>
      <c r="C284" s="5"/>
      <c r="D284" s="5"/>
      <c r="E284" s="5"/>
      <c r="F284" s="5"/>
      <c r="G284" s="5"/>
      <c r="H284" s="5"/>
      <c r="I284" s="5"/>
      <c r="J284" s="5"/>
      <c r="K284" s="10"/>
      <c r="L284" s="6"/>
      <c r="M284" s="6"/>
      <c r="N284" s="6"/>
      <c r="O284" s="6"/>
      <c r="P284" s="6"/>
      <c r="Q284" s="5"/>
      <c r="R284" s="5"/>
      <c r="S284" s="5"/>
      <c r="T284" s="5"/>
    </row>
    <row r="285" spans="2:20" hidden="1">
      <c r="B285" s="5"/>
      <c r="C285" s="5"/>
      <c r="D285" s="5"/>
      <c r="E285" s="5"/>
      <c r="F285" s="5"/>
      <c r="G285" s="5"/>
      <c r="H285" s="5"/>
      <c r="I285" s="5"/>
      <c r="J285" s="5"/>
      <c r="K285" s="10"/>
      <c r="L285" s="6"/>
      <c r="M285" s="6"/>
      <c r="N285" s="6"/>
      <c r="O285" s="6"/>
      <c r="P285" s="6"/>
      <c r="Q285" s="5"/>
      <c r="R285" s="5"/>
      <c r="S285" s="5"/>
      <c r="T285" s="5"/>
    </row>
    <row r="286" spans="2:20" hidden="1">
      <c r="B286" s="5"/>
      <c r="C286" s="5"/>
      <c r="D286" s="5"/>
      <c r="E286" s="5"/>
      <c r="F286" s="5"/>
      <c r="G286" s="5"/>
      <c r="H286" s="5"/>
      <c r="I286" s="5"/>
      <c r="J286" s="5"/>
      <c r="K286" s="10"/>
      <c r="L286" s="6"/>
      <c r="M286" s="6"/>
      <c r="N286" s="6"/>
      <c r="O286" s="6"/>
      <c r="P286" s="6"/>
      <c r="Q286" s="5"/>
      <c r="R286" s="5"/>
      <c r="S286" s="5"/>
      <c r="T286" s="5"/>
    </row>
    <row r="287" spans="2:20" hidden="1">
      <c r="B287" s="5"/>
      <c r="C287" s="5"/>
      <c r="D287" s="5"/>
      <c r="E287" s="5"/>
      <c r="F287" s="5"/>
      <c r="G287" s="5"/>
      <c r="H287" s="5"/>
      <c r="I287" s="5"/>
      <c r="J287" s="5"/>
      <c r="K287" s="10"/>
      <c r="L287" s="6"/>
      <c r="M287" s="6"/>
      <c r="N287" s="6"/>
      <c r="O287" s="6"/>
      <c r="P287" s="6"/>
      <c r="Q287" s="5"/>
      <c r="R287" s="5"/>
      <c r="S287" s="5"/>
      <c r="T287" s="5"/>
    </row>
    <row r="288" spans="2:20" hidden="1">
      <c r="B288" s="5"/>
      <c r="C288" s="5"/>
      <c r="D288" s="5"/>
      <c r="E288" s="5"/>
      <c r="F288" s="5"/>
      <c r="G288" s="5"/>
      <c r="H288" s="5"/>
      <c r="I288" s="5"/>
      <c r="J288" s="5"/>
      <c r="K288" s="10"/>
      <c r="L288" s="6"/>
      <c r="M288" s="6"/>
      <c r="N288" s="6"/>
      <c r="O288" s="6"/>
      <c r="P288" s="6"/>
      <c r="Q288" s="5"/>
      <c r="R288" s="5"/>
      <c r="S288" s="5"/>
      <c r="T288" s="5"/>
    </row>
    <row r="289" spans="2:20" hidden="1">
      <c r="B289" s="5"/>
      <c r="C289" s="5"/>
      <c r="D289" s="5"/>
      <c r="E289" s="5"/>
      <c r="F289" s="5"/>
      <c r="G289" s="5"/>
      <c r="H289" s="5"/>
      <c r="I289" s="5"/>
      <c r="J289" s="5"/>
      <c r="K289" s="10"/>
      <c r="L289" s="6"/>
      <c r="M289" s="6"/>
      <c r="N289" s="6"/>
      <c r="O289" s="6"/>
      <c r="P289" s="6"/>
      <c r="Q289" s="5"/>
      <c r="R289" s="5"/>
      <c r="S289" s="5"/>
      <c r="T289" s="5"/>
    </row>
    <row r="290" spans="2:20" hidden="1">
      <c r="B290" s="5"/>
      <c r="C290" s="5"/>
      <c r="D290" s="5"/>
      <c r="E290" s="5"/>
      <c r="F290" s="5"/>
      <c r="G290" s="5"/>
      <c r="H290" s="5"/>
      <c r="I290" s="5"/>
      <c r="J290" s="5"/>
      <c r="K290" s="10"/>
      <c r="L290" s="6"/>
      <c r="M290" s="6"/>
      <c r="N290" s="6"/>
      <c r="O290" s="6"/>
      <c r="P290" s="6"/>
      <c r="Q290" s="5"/>
      <c r="R290" s="5"/>
      <c r="S290" s="5"/>
      <c r="T290" s="5"/>
    </row>
    <row r="291" spans="2:20" hidden="1">
      <c r="B291" s="5"/>
      <c r="C291" s="5"/>
      <c r="D291" s="5"/>
      <c r="E291" s="5"/>
      <c r="F291" s="5"/>
      <c r="G291" s="5"/>
      <c r="H291" s="5"/>
      <c r="I291" s="5"/>
      <c r="J291" s="5"/>
      <c r="K291" s="10"/>
      <c r="L291" s="6"/>
      <c r="M291" s="6"/>
      <c r="N291" s="6"/>
      <c r="O291" s="6"/>
      <c r="P291" s="6"/>
      <c r="Q291" s="5"/>
      <c r="R291" s="5"/>
      <c r="S291" s="5"/>
      <c r="T291" s="5"/>
    </row>
    <row r="292" spans="2:20" hidden="1">
      <c r="B292" s="5"/>
      <c r="C292" s="5"/>
      <c r="D292" s="5"/>
      <c r="E292" s="5"/>
      <c r="F292" s="5"/>
      <c r="G292" s="5"/>
      <c r="H292" s="5"/>
      <c r="I292" s="5"/>
      <c r="J292" s="5"/>
      <c r="K292" s="10"/>
      <c r="L292" s="6"/>
      <c r="M292" s="6"/>
      <c r="N292" s="6"/>
      <c r="O292" s="6"/>
      <c r="P292" s="6"/>
      <c r="Q292" s="5"/>
      <c r="R292" s="5"/>
      <c r="S292" s="5"/>
      <c r="T292" s="5"/>
    </row>
    <row r="293" spans="2:20" hidden="1">
      <c r="B293" s="5"/>
      <c r="C293" s="5"/>
      <c r="D293" s="5"/>
      <c r="E293" s="5"/>
      <c r="F293" s="5"/>
      <c r="G293" s="5"/>
      <c r="H293" s="5"/>
      <c r="I293" s="5"/>
      <c r="J293" s="5"/>
      <c r="K293" s="10"/>
      <c r="L293" s="6"/>
      <c r="M293" s="6"/>
      <c r="N293" s="6"/>
      <c r="O293" s="6"/>
      <c r="P293" s="6"/>
      <c r="Q293" s="5"/>
      <c r="R293" s="5"/>
      <c r="S293" s="5"/>
      <c r="T293" s="5"/>
    </row>
    <row r="294" spans="2:20" hidden="1">
      <c r="B294" s="5"/>
      <c r="C294" s="5"/>
      <c r="D294" s="5"/>
      <c r="E294" s="5"/>
      <c r="F294" s="5"/>
      <c r="G294" s="5"/>
      <c r="H294" s="5"/>
      <c r="I294" s="5"/>
      <c r="J294" s="5"/>
      <c r="K294" s="10"/>
      <c r="L294" s="6"/>
      <c r="M294" s="6"/>
      <c r="N294" s="6"/>
      <c r="O294" s="6"/>
      <c r="P294" s="6"/>
      <c r="Q294" s="5"/>
      <c r="R294" s="5"/>
      <c r="S294" s="5"/>
      <c r="T294" s="5"/>
    </row>
    <row r="295" spans="2:20" hidden="1">
      <c r="B295" s="5"/>
      <c r="C295" s="5"/>
      <c r="D295" s="5"/>
      <c r="E295" s="5"/>
      <c r="F295" s="5"/>
      <c r="G295" s="5"/>
      <c r="H295" s="5"/>
      <c r="I295" s="5"/>
      <c r="J295" s="5"/>
      <c r="K295" s="10"/>
      <c r="L295" s="6"/>
      <c r="M295" s="6"/>
      <c r="N295" s="6"/>
      <c r="O295" s="6"/>
      <c r="P295" s="6"/>
      <c r="Q295" s="5"/>
      <c r="R295" s="5"/>
      <c r="S295" s="5"/>
      <c r="T295" s="5"/>
    </row>
    <row r="296" spans="2:20" hidden="1">
      <c r="B296" s="5"/>
      <c r="C296" s="5"/>
      <c r="D296" s="5"/>
      <c r="E296" s="5"/>
      <c r="F296" s="5"/>
      <c r="G296" s="5"/>
      <c r="H296" s="5"/>
      <c r="I296" s="5"/>
      <c r="J296" s="5"/>
      <c r="K296" s="10"/>
      <c r="L296" s="6"/>
      <c r="M296" s="6"/>
      <c r="N296" s="6"/>
      <c r="O296" s="6"/>
      <c r="P296" s="6"/>
      <c r="Q296" s="5"/>
      <c r="R296" s="5"/>
      <c r="S296" s="5"/>
      <c r="T296" s="5"/>
    </row>
    <row r="297" spans="2:20" hidden="1">
      <c r="B297" s="5"/>
      <c r="C297" s="5"/>
      <c r="D297" s="5"/>
      <c r="E297" s="5"/>
      <c r="F297" s="5"/>
      <c r="G297" s="5"/>
      <c r="H297" s="5"/>
      <c r="I297" s="5"/>
      <c r="J297" s="5"/>
      <c r="K297" s="10"/>
      <c r="L297" s="6"/>
      <c r="M297" s="6"/>
      <c r="N297" s="6"/>
      <c r="O297" s="6"/>
      <c r="P297" s="6"/>
      <c r="Q297" s="5"/>
      <c r="R297" s="5"/>
      <c r="S297" s="5"/>
      <c r="T297" s="5"/>
    </row>
    <row r="298" spans="2:20" hidden="1">
      <c r="B298" s="5"/>
      <c r="C298" s="5"/>
      <c r="D298" s="5"/>
      <c r="E298" s="5"/>
      <c r="F298" s="5"/>
      <c r="G298" s="5"/>
      <c r="H298" s="5"/>
      <c r="I298" s="5"/>
      <c r="J298" s="5"/>
      <c r="K298" s="10"/>
      <c r="L298" s="6"/>
      <c r="M298" s="6"/>
      <c r="N298" s="6"/>
      <c r="O298" s="6"/>
      <c r="P298" s="6"/>
      <c r="Q298" s="5"/>
      <c r="R298" s="5"/>
      <c r="S298" s="5"/>
      <c r="T298" s="5"/>
    </row>
    <row r="299" spans="2:20" hidden="1">
      <c r="B299" s="5"/>
      <c r="C299" s="5"/>
      <c r="D299" s="5"/>
      <c r="E299" s="5"/>
      <c r="F299" s="5"/>
      <c r="G299" s="5"/>
      <c r="H299" s="5"/>
      <c r="I299" s="5"/>
      <c r="J299" s="5"/>
      <c r="K299" s="10"/>
      <c r="L299" s="6"/>
      <c r="M299" s="6"/>
      <c r="N299" s="6"/>
      <c r="O299" s="6"/>
      <c r="P299" s="6"/>
      <c r="Q299" s="5"/>
      <c r="R299" s="5"/>
      <c r="S299" s="5"/>
      <c r="T299" s="5"/>
    </row>
    <row r="300" spans="2:20" hidden="1">
      <c r="B300" s="5"/>
      <c r="C300" s="5"/>
      <c r="D300" s="5"/>
      <c r="E300" s="5"/>
      <c r="F300" s="5"/>
      <c r="G300" s="5"/>
      <c r="H300" s="5"/>
      <c r="I300" s="5"/>
      <c r="J300" s="5"/>
      <c r="K300" s="10"/>
      <c r="L300" s="6"/>
      <c r="M300" s="6"/>
      <c r="N300" s="6"/>
      <c r="O300" s="6"/>
      <c r="P300" s="6"/>
      <c r="Q300" s="5"/>
      <c r="R300" s="5"/>
      <c r="S300" s="5"/>
      <c r="T300" s="5"/>
    </row>
    <row r="301" spans="2:20" hidden="1">
      <c r="B301" s="5"/>
      <c r="C301" s="5"/>
      <c r="D301" s="5"/>
      <c r="E301" s="5"/>
      <c r="F301" s="5"/>
      <c r="G301" s="5"/>
      <c r="H301" s="5"/>
      <c r="I301" s="5"/>
      <c r="J301" s="5"/>
      <c r="K301" s="10"/>
      <c r="L301" s="6"/>
      <c r="M301" s="6"/>
      <c r="N301" s="6"/>
      <c r="O301" s="6"/>
      <c r="P301" s="6"/>
      <c r="Q301" s="5"/>
      <c r="R301" s="5"/>
      <c r="S301" s="5"/>
      <c r="T301" s="5"/>
    </row>
    <row r="302" spans="2:20" hidden="1">
      <c r="B302" s="5"/>
      <c r="C302" s="5"/>
      <c r="D302" s="5"/>
      <c r="E302" s="5"/>
      <c r="F302" s="5"/>
      <c r="G302" s="5"/>
      <c r="H302" s="5"/>
      <c r="I302" s="5"/>
      <c r="J302" s="5"/>
      <c r="K302" s="10"/>
      <c r="L302" s="6"/>
      <c r="M302" s="6"/>
      <c r="N302" s="6"/>
      <c r="O302" s="6"/>
      <c r="P302" s="6"/>
      <c r="Q302" s="5"/>
      <c r="R302" s="5"/>
      <c r="S302" s="5"/>
      <c r="T302" s="5"/>
    </row>
    <row r="303" spans="2:20" hidden="1">
      <c r="B303" s="5"/>
      <c r="C303" s="5"/>
      <c r="D303" s="5"/>
      <c r="E303" s="5"/>
      <c r="F303" s="5"/>
      <c r="G303" s="5"/>
      <c r="H303" s="5"/>
      <c r="I303" s="5"/>
      <c r="J303" s="5"/>
      <c r="K303" s="10"/>
      <c r="L303" s="6"/>
      <c r="M303" s="6"/>
      <c r="N303" s="6"/>
      <c r="O303" s="6"/>
      <c r="P303" s="6"/>
      <c r="Q303" s="5"/>
      <c r="R303" s="5"/>
      <c r="S303" s="5"/>
      <c r="T303" s="5"/>
    </row>
    <row r="304" spans="2:20" hidden="1">
      <c r="B304" s="5"/>
      <c r="C304" s="5"/>
      <c r="D304" s="5"/>
      <c r="E304" s="5"/>
      <c r="F304" s="5"/>
      <c r="G304" s="5"/>
      <c r="H304" s="5"/>
      <c r="I304" s="5"/>
      <c r="J304" s="5"/>
      <c r="K304" s="10"/>
      <c r="L304" s="6"/>
      <c r="M304" s="6"/>
      <c r="N304" s="6"/>
      <c r="O304" s="6"/>
      <c r="P304" s="6"/>
      <c r="Q304" s="5"/>
      <c r="R304" s="5"/>
      <c r="S304" s="5"/>
      <c r="T304" s="5"/>
    </row>
    <row r="305" spans="2:20" hidden="1">
      <c r="B305" s="5"/>
      <c r="C305" s="5"/>
      <c r="D305" s="5"/>
      <c r="E305" s="5"/>
      <c r="F305" s="5"/>
      <c r="G305" s="5"/>
      <c r="H305" s="5"/>
      <c r="I305" s="5"/>
      <c r="J305" s="5"/>
      <c r="K305" s="10"/>
      <c r="L305" s="6"/>
      <c r="M305" s="6"/>
      <c r="N305" s="6"/>
      <c r="O305" s="6"/>
      <c r="P305" s="6"/>
      <c r="Q305" s="5"/>
      <c r="R305" s="5"/>
      <c r="S305" s="5"/>
      <c r="T305" s="5"/>
    </row>
    <row r="306" spans="2:20" hidden="1">
      <c r="B306" s="5"/>
      <c r="C306" s="5"/>
      <c r="D306" s="5"/>
      <c r="E306" s="5"/>
      <c r="F306" s="5"/>
      <c r="G306" s="5"/>
      <c r="H306" s="5"/>
      <c r="I306" s="5"/>
      <c r="J306" s="5"/>
      <c r="K306" s="10"/>
      <c r="L306" s="6"/>
      <c r="M306" s="6"/>
      <c r="N306" s="6"/>
      <c r="O306" s="6"/>
      <c r="P306" s="6"/>
      <c r="Q306" s="5"/>
      <c r="R306" s="5"/>
      <c r="S306" s="5"/>
      <c r="T306" s="5"/>
    </row>
    <row r="307" spans="2:20" hidden="1">
      <c r="B307" s="5"/>
      <c r="C307" s="5"/>
      <c r="D307" s="5"/>
      <c r="E307" s="5"/>
      <c r="F307" s="5"/>
      <c r="G307" s="5"/>
      <c r="H307" s="5"/>
      <c r="I307" s="5"/>
      <c r="J307" s="5"/>
      <c r="K307" s="10"/>
      <c r="L307" s="6"/>
      <c r="M307" s="6"/>
      <c r="N307" s="6"/>
      <c r="O307" s="6"/>
      <c r="P307" s="6"/>
      <c r="Q307" s="5"/>
      <c r="R307" s="5"/>
      <c r="S307" s="5"/>
      <c r="T307" s="5"/>
    </row>
    <row r="308" spans="2:20" hidden="1">
      <c r="B308" s="5"/>
      <c r="C308" s="5"/>
      <c r="D308" s="5"/>
      <c r="E308" s="5"/>
      <c r="F308" s="5"/>
      <c r="G308" s="5"/>
      <c r="H308" s="5"/>
      <c r="I308" s="5"/>
      <c r="J308" s="5"/>
      <c r="K308" s="10"/>
      <c r="L308" s="6"/>
      <c r="M308" s="6"/>
      <c r="N308" s="6"/>
      <c r="O308" s="6"/>
      <c r="P308" s="6"/>
      <c r="Q308" s="5"/>
      <c r="R308" s="5"/>
      <c r="S308" s="5"/>
      <c r="T308" s="5"/>
    </row>
    <row r="309" spans="2:20" hidden="1">
      <c r="B309" s="5"/>
      <c r="C309" s="5"/>
      <c r="D309" s="5"/>
      <c r="E309" s="5"/>
      <c r="F309" s="5"/>
      <c r="G309" s="5"/>
      <c r="H309" s="5"/>
      <c r="I309" s="5"/>
      <c r="J309" s="5"/>
      <c r="K309" s="10"/>
      <c r="L309" s="6"/>
      <c r="M309" s="6"/>
      <c r="N309" s="6"/>
      <c r="O309" s="6"/>
      <c r="P309" s="6"/>
      <c r="Q309" s="5"/>
      <c r="R309" s="5"/>
      <c r="S309" s="5"/>
      <c r="T309" s="5"/>
    </row>
    <row r="310" spans="2:20" hidden="1">
      <c r="B310" s="5"/>
      <c r="C310" s="5"/>
      <c r="D310" s="5"/>
      <c r="E310" s="5"/>
      <c r="F310" s="5"/>
      <c r="G310" s="5"/>
      <c r="H310" s="5"/>
      <c r="I310" s="5"/>
      <c r="J310" s="5"/>
      <c r="K310" s="10"/>
      <c r="L310" s="6"/>
      <c r="M310" s="6"/>
      <c r="N310" s="6"/>
      <c r="O310" s="6"/>
      <c r="P310" s="6"/>
      <c r="Q310" s="5"/>
      <c r="R310" s="5"/>
      <c r="S310" s="5"/>
      <c r="T310" s="5"/>
    </row>
    <row r="311" spans="2:20" hidden="1">
      <c r="B311" s="5"/>
      <c r="C311" s="5"/>
      <c r="D311" s="5"/>
      <c r="E311" s="5"/>
      <c r="F311" s="5"/>
      <c r="G311" s="5"/>
      <c r="H311" s="5"/>
      <c r="I311" s="5"/>
      <c r="J311" s="5"/>
      <c r="K311" s="10"/>
      <c r="L311" s="6"/>
      <c r="M311" s="6"/>
      <c r="N311" s="6"/>
      <c r="O311" s="6"/>
      <c r="P311" s="6"/>
      <c r="Q311" s="5"/>
      <c r="R311" s="5"/>
      <c r="S311" s="5"/>
      <c r="T311" s="5"/>
    </row>
    <row r="312" spans="2:20" hidden="1">
      <c r="B312" s="5"/>
      <c r="C312" s="5"/>
      <c r="D312" s="5"/>
      <c r="E312" s="5"/>
      <c r="F312" s="5"/>
      <c r="G312" s="5"/>
      <c r="H312" s="5"/>
      <c r="I312" s="5"/>
      <c r="J312" s="5"/>
      <c r="K312" s="10"/>
      <c r="L312" s="6"/>
      <c r="M312" s="6"/>
      <c r="N312" s="6"/>
      <c r="O312" s="6"/>
      <c r="P312" s="6"/>
      <c r="Q312" s="5"/>
      <c r="R312" s="5"/>
      <c r="S312" s="5"/>
      <c r="T312" s="5"/>
    </row>
    <row r="313" spans="2:20" hidden="1">
      <c r="B313" s="5"/>
      <c r="C313" s="5"/>
      <c r="D313" s="5"/>
      <c r="E313" s="5"/>
      <c r="F313" s="5"/>
      <c r="G313" s="5"/>
      <c r="H313" s="5"/>
      <c r="I313" s="5"/>
      <c r="J313" s="5"/>
      <c r="K313" s="10"/>
      <c r="L313" s="6"/>
      <c r="M313" s="6"/>
      <c r="N313" s="6"/>
      <c r="O313" s="6"/>
      <c r="P313" s="6"/>
      <c r="Q313" s="5"/>
      <c r="R313" s="5"/>
      <c r="S313" s="5"/>
      <c r="T313" s="5"/>
    </row>
    <row r="314" spans="2:20" hidden="1">
      <c r="B314" s="5"/>
      <c r="C314" s="5"/>
      <c r="D314" s="5"/>
      <c r="E314" s="5"/>
      <c r="F314" s="5"/>
      <c r="G314" s="5"/>
      <c r="H314" s="5"/>
      <c r="I314" s="5"/>
      <c r="J314" s="5"/>
      <c r="K314" s="10"/>
      <c r="L314" s="6"/>
      <c r="M314" s="6"/>
      <c r="N314" s="6"/>
      <c r="O314" s="6"/>
      <c r="P314" s="6"/>
      <c r="Q314" s="5"/>
      <c r="R314" s="5"/>
      <c r="S314" s="5"/>
      <c r="T314" s="5"/>
    </row>
    <row r="315" spans="2:20" hidden="1">
      <c r="B315" s="5"/>
      <c r="C315" s="5"/>
      <c r="D315" s="5"/>
      <c r="E315" s="5"/>
      <c r="F315" s="5"/>
      <c r="G315" s="5"/>
      <c r="H315" s="5"/>
      <c r="I315" s="5"/>
      <c r="J315" s="5"/>
      <c r="K315" s="10"/>
      <c r="L315" s="6"/>
      <c r="M315" s="6"/>
      <c r="N315" s="6"/>
      <c r="O315" s="6"/>
      <c r="P315" s="6"/>
      <c r="Q315" s="5"/>
      <c r="R315" s="5"/>
      <c r="S315" s="5"/>
      <c r="T315" s="5"/>
    </row>
    <row r="316" spans="2:20" hidden="1">
      <c r="B316" s="5"/>
      <c r="C316" s="5"/>
      <c r="D316" s="5"/>
      <c r="E316" s="5"/>
      <c r="F316" s="5"/>
      <c r="G316" s="5"/>
      <c r="H316" s="5"/>
      <c r="I316" s="5"/>
      <c r="J316" s="5"/>
      <c r="K316" s="10"/>
      <c r="L316" s="6"/>
      <c r="M316" s="6"/>
      <c r="N316" s="6"/>
      <c r="O316" s="6"/>
      <c r="P316" s="6"/>
      <c r="Q316" s="5"/>
      <c r="R316" s="5"/>
      <c r="S316" s="5"/>
      <c r="T316" s="5"/>
    </row>
    <row r="317" spans="2:20" hidden="1">
      <c r="B317" s="5"/>
      <c r="C317" s="5"/>
      <c r="D317" s="5"/>
      <c r="E317" s="5"/>
      <c r="F317" s="5"/>
      <c r="G317" s="5"/>
      <c r="H317" s="5"/>
      <c r="I317" s="5"/>
      <c r="J317" s="5"/>
      <c r="K317" s="10"/>
      <c r="L317" s="6"/>
      <c r="M317" s="6"/>
      <c r="N317" s="6"/>
      <c r="O317" s="6"/>
      <c r="P317" s="6"/>
      <c r="Q317" s="5"/>
      <c r="R317" s="5"/>
      <c r="S317" s="5"/>
      <c r="T317" s="5"/>
    </row>
    <row r="318" spans="2:20" hidden="1">
      <c r="B318" s="5"/>
      <c r="C318" s="5"/>
      <c r="D318" s="5"/>
      <c r="E318" s="5"/>
      <c r="F318" s="5"/>
      <c r="G318" s="5"/>
      <c r="H318" s="5"/>
      <c r="I318" s="5"/>
      <c r="J318" s="5"/>
      <c r="K318" s="10"/>
      <c r="L318" s="6"/>
      <c r="M318" s="6"/>
      <c r="N318" s="6"/>
      <c r="O318" s="6"/>
      <c r="P318" s="6"/>
      <c r="Q318" s="5"/>
      <c r="R318" s="5"/>
      <c r="S318" s="5"/>
      <c r="T318" s="5"/>
    </row>
    <row r="319" spans="2:20" hidden="1">
      <c r="B319" s="5"/>
      <c r="C319" s="5"/>
      <c r="D319" s="5"/>
      <c r="E319" s="5"/>
      <c r="F319" s="5"/>
      <c r="G319" s="5"/>
      <c r="H319" s="5"/>
      <c r="I319" s="5"/>
      <c r="J319" s="5"/>
      <c r="K319" s="10"/>
      <c r="L319" s="6"/>
      <c r="M319" s="6"/>
      <c r="N319" s="6"/>
      <c r="O319" s="6"/>
      <c r="P319" s="6"/>
      <c r="Q319" s="5"/>
      <c r="R319" s="5"/>
      <c r="S319" s="5"/>
      <c r="T319" s="5"/>
    </row>
    <row r="320" spans="2:20" hidden="1">
      <c r="B320" s="5"/>
      <c r="C320" s="5"/>
      <c r="D320" s="5"/>
      <c r="E320" s="5"/>
      <c r="F320" s="5"/>
      <c r="G320" s="5"/>
      <c r="H320" s="5"/>
      <c r="I320" s="5"/>
      <c r="J320" s="5"/>
      <c r="K320" s="10"/>
      <c r="L320" s="6"/>
      <c r="M320" s="6"/>
      <c r="N320" s="6"/>
      <c r="O320" s="6"/>
      <c r="P320" s="6"/>
      <c r="Q320" s="5"/>
      <c r="R320" s="5"/>
      <c r="S320" s="5"/>
      <c r="T320" s="5"/>
    </row>
    <row r="321" spans="2:20" hidden="1">
      <c r="B321" s="5"/>
      <c r="C321" s="5"/>
      <c r="D321" s="5"/>
      <c r="E321" s="5"/>
      <c r="F321" s="5"/>
      <c r="G321" s="5"/>
      <c r="H321" s="5"/>
      <c r="I321" s="5"/>
      <c r="J321" s="5"/>
      <c r="K321" s="10"/>
      <c r="L321" s="6"/>
      <c r="M321" s="6"/>
      <c r="N321" s="6"/>
      <c r="O321" s="6"/>
      <c r="P321" s="6"/>
      <c r="Q321" s="5"/>
      <c r="R321" s="5"/>
      <c r="S321" s="5"/>
      <c r="T321" s="5"/>
    </row>
    <row r="322" spans="2:20" hidden="1">
      <c r="B322" s="5"/>
      <c r="C322" s="5"/>
      <c r="D322" s="5"/>
      <c r="E322" s="5"/>
      <c r="F322" s="5"/>
      <c r="G322" s="5"/>
      <c r="H322" s="5"/>
      <c r="I322" s="5"/>
      <c r="J322" s="5"/>
      <c r="K322" s="10"/>
      <c r="L322" s="6"/>
      <c r="M322" s="6"/>
      <c r="N322" s="6"/>
      <c r="O322" s="6"/>
      <c r="P322" s="6"/>
      <c r="Q322" s="5"/>
      <c r="R322" s="5"/>
      <c r="S322" s="5"/>
      <c r="T322" s="5"/>
    </row>
    <row r="323" spans="2:20" hidden="1">
      <c r="B323" s="5"/>
      <c r="C323" s="5"/>
      <c r="D323" s="5"/>
      <c r="E323" s="5"/>
      <c r="F323" s="5"/>
      <c r="G323" s="5"/>
      <c r="H323" s="5"/>
      <c r="I323" s="5"/>
      <c r="J323" s="5"/>
      <c r="K323" s="10"/>
      <c r="L323" s="6"/>
      <c r="M323" s="6"/>
      <c r="N323" s="6"/>
      <c r="O323" s="6"/>
      <c r="P323" s="6"/>
      <c r="Q323" s="5"/>
      <c r="R323" s="5"/>
      <c r="S323" s="5"/>
      <c r="T323" s="5"/>
    </row>
    <row r="324" spans="2:20" hidden="1">
      <c r="B324" s="5"/>
      <c r="C324" s="5"/>
      <c r="D324" s="5"/>
      <c r="E324" s="5"/>
      <c r="F324" s="5"/>
      <c r="G324" s="5"/>
      <c r="H324" s="5"/>
      <c r="I324" s="5"/>
      <c r="J324" s="5"/>
      <c r="K324" s="10"/>
      <c r="L324" s="6"/>
      <c r="M324" s="6"/>
      <c r="N324" s="6"/>
      <c r="O324" s="6"/>
      <c r="P324" s="6"/>
      <c r="Q324" s="5"/>
      <c r="R324" s="5"/>
      <c r="S324" s="5"/>
      <c r="T324" s="5"/>
    </row>
    <row r="325" spans="2:20" hidden="1">
      <c r="B325" s="5"/>
      <c r="C325" s="5"/>
      <c r="D325" s="5"/>
      <c r="E325" s="5"/>
      <c r="F325" s="5"/>
      <c r="G325" s="5"/>
      <c r="H325" s="5"/>
      <c r="I325" s="5"/>
      <c r="J325" s="5"/>
      <c r="K325" s="10"/>
      <c r="L325" s="6"/>
      <c r="M325" s="6"/>
      <c r="N325" s="6"/>
      <c r="O325" s="6"/>
      <c r="P325" s="6"/>
      <c r="Q325" s="5"/>
      <c r="R325" s="5"/>
      <c r="S325" s="5"/>
      <c r="T325" s="5"/>
    </row>
    <row r="326" spans="2:20" hidden="1">
      <c r="B326" s="5"/>
      <c r="C326" s="5"/>
      <c r="D326" s="5"/>
      <c r="E326" s="5"/>
      <c r="F326" s="5"/>
      <c r="G326" s="5"/>
      <c r="H326" s="5"/>
      <c r="I326" s="5"/>
      <c r="J326" s="5"/>
      <c r="K326" s="10"/>
      <c r="L326" s="6"/>
      <c r="M326" s="6"/>
      <c r="N326" s="6"/>
      <c r="O326" s="6"/>
      <c r="P326" s="6"/>
      <c r="Q326" s="5"/>
      <c r="R326" s="5"/>
      <c r="S326" s="5"/>
      <c r="T326" s="5"/>
    </row>
    <row r="327" spans="2:20" hidden="1">
      <c r="B327" s="5"/>
      <c r="C327" s="5"/>
      <c r="D327" s="5"/>
      <c r="E327" s="5"/>
      <c r="F327" s="5"/>
      <c r="G327" s="5"/>
      <c r="H327" s="5"/>
      <c r="I327" s="5"/>
      <c r="J327" s="5"/>
      <c r="K327" s="10"/>
      <c r="L327" s="6"/>
      <c r="M327" s="6"/>
      <c r="N327" s="6"/>
      <c r="O327" s="6"/>
      <c r="P327" s="6"/>
      <c r="Q327" s="5"/>
      <c r="R327" s="5"/>
      <c r="S327" s="5"/>
      <c r="T327" s="5"/>
    </row>
    <row r="328" spans="2:20" hidden="1">
      <c r="B328" s="5"/>
      <c r="C328" s="5"/>
      <c r="D328" s="5"/>
      <c r="E328" s="5"/>
      <c r="F328" s="5"/>
      <c r="G328" s="5"/>
      <c r="H328" s="5"/>
      <c r="I328" s="5"/>
      <c r="J328" s="5"/>
      <c r="K328" s="10"/>
      <c r="L328" s="6"/>
      <c r="M328" s="6"/>
      <c r="N328" s="6"/>
      <c r="O328" s="6"/>
      <c r="P328" s="6"/>
      <c r="Q328" s="5"/>
      <c r="R328" s="5"/>
      <c r="S328" s="5"/>
      <c r="T328" s="5"/>
    </row>
    <row r="329" spans="2:20" hidden="1">
      <c r="B329" s="5"/>
      <c r="C329" s="5"/>
      <c r="D329" s="5"/>
      <c r="E329" s="5"/>
      <c r="F329" s="5"/>
      <c r="G329" s="5"/>
      <c r="H329" s="5"/>
      <c r="I329" s="5"/>
      <c r="J329" s="5"/>
      <c r="K329" s="10"/>
      <c r="L329" s="6"/>
      <c r="M329" s="6"/>
      <c r="N329" s="6"/>
      <c r="O329" s="6"/>
      <c r="P329" s="6"/>
      <c r="Q329" s="5"/>
      <c r="R329" s="5"/>
      <c r="S329" s="5"/>
      <c r="T329" s="5"/>
    </row>
    <row r="330" spans="2:20" hidden="1">
      <c r="B330" s="5"/>
      <c r="C330" s="5"/>
      <c r="D330" s="5"/>
      <c r="E330" s="5"/>
      <c r="F330" s="5"/>
      <c r="G330" s="5"/>
      <c r="H330" s="5"/>
      <c r="I330" s="5"/>
      <c r="J330" s="5"/>
      <c r="K330" s="10"/>
      <c r="L330" s="6"/>
      <c r="M330" s="6"/>
      <c r="N330" s="6"/>
      <c r="O330" s="6"/>
      <c r="P330" s="6"/>
      <c r="Q330" s="5"/>
      <c r="R330" s="5"/>
      <c r="S330" s="5"/>
      <c r="T330" s="5"/>
    </row>
    <row r="331" spans="2:20" hidden="1">
      <c r="B331" s="5"/>
      <c r="C331" s="5"/>
      <c r="D331" s="5"/>
      <c r="E331" s="5"/>
      <c r="F331" s="5"/>
      <c r="G331" s="5"/>
      <c r="H331" s="5"/>
      <c r="I331" s="5"/>
      <c r="J331" s="5"/>
      <c r="K331" s="10"/>
      <c r="L331" s="6"/>
      <c r="M331" s="6"/>
      <c r="N331" s="6"/>
      <c r="O331" s="6"/>
      <c r="P331" s="6"/>
      <c r="Q331" s="5"/>
      <c r="R331" s="5"/>
      <c r="S331" s="5"/>
      <c r="T331" s="5"/>
    </row>
    <row r="332" spans="2:20" hidden="1">
      <c r="B332" s="5"/>
      <c r="C332" s="5"/>
      <c r="D332" s="5"/>
      <c r="E332" s="5"/>
      <c r="F332" s="5"/>
      <c r="G332" s="5"/>
      <c r="H332" s="5"/>
      <c r="I332" s="5"/>
      <c r="J332" s="5"/>
      <c r="K332" s="10"/>
      <c r="L332" s="6"/>
      <c r="M332" s="6"/>
      <c r="N332" s="6"/>
      <c r="O332" s="6"/>
      <c r="P332" s="6"/>
      <c r="Q332" s="5"/>
      <c r="R332" s="5"/>
      <c r="S332" s="5"/>
      <c r="T332" s="5"/>
    </row>
    <row r="333" spans="2:20" hidden="1">
      <c r="B333" s="5"/>
      <c r="C333" s="5"/>
      <c r="D333" s="5"/>
      <c r="E333" s="5"/>
      <c r="F333" s="5"/>
      <c r="G333" s="5"/>
      <c r="H333" s="5"/>
      <c r="I333" s="5"/>
      <c r="J333" s="5"/>
      <c r="K333" s="10"/>
      <c r="L333" s="6"/>
      <c r="M333" s="6"/>
      <c r="N333" s="6"/>
      <c r="O333" s="6"/>
      <c r="P333" s="6"/>
      <c r="Q333" s="5"/>
      <c r="R333" s="5"/>
      <c r="S333" s="5"/>
      <c r="T333" s="5"/>
    </row>
    <row r="334" spans="2:20" hidden="1">
      <c r="B334" s="5"/>
      <c r="C334" s="5"/>
      <c r="D334" s="5"/>
      <c r="E334" s="5"/>
      <c r="F334" s="5"/>
      <c r="G334" s="5"/>
      <c r="H334" s="5"/>
      <c r="I334" s="5"/>
      <c r="J334" s="5"/>
      <c r="K334" s="10"/>
      <c r="L334" s="6"/>
      <c r="M334" s="6"/>
      <c r="N334" s="6"/>
      <c r="O334" s="6"/>
      <c r="P334" s="6"/>
      <c r="Q334" s="5"/>
      <c r="R334" s="5"/>
      <c r="S334" s="5"/>
      <c r="T334" s="5"/>
    </row>
    <row r="335" spans="2:20" hidden="1">
      <c r="B335" s="5"/>
      <c r="C335" s="5"/>
      <c r="D335" s="5"/>
      <c r="E335" s="5"/>
      <c r="F335" s="5"/>
      <c r="G335" s="5"/>
      <c r="H335" s="5"/>
      <c r="I335" s="5"/>
      <c r="J335" s="5"/>
      <c r="K335" s="10"/>
      <c r="L335" s="6"/>
      <c r="M335" s="6"/>
      <c r="N335" s="6"/>
      <c r="O335" s="6"/>
      <c r="P335" s="6"/>
      <c r="Q335" s="5"/>
      <c r="R335" s="5"/>
      <c r="S335" s="5"/>
      <c r="T335" s="5"/>
    </row>
    <row r="336" spans="2:20" hidden="1">
      <c r="B336" s="5"/>
      <c r="C336" s="5"/>
      <c r="D336" s="5"/>
      <c r="E336" s="5"/>
      <c r="F336" s="5"/>
      <c r="G336" s="5"/>
      <c r="H336" s="5"/>
      <c r="I336" s="5"/>
      <c r="J336" s="5"/>
      <c r="K336" s="10"/>
      <c r="L336" s="6"/>
      <c r="M336" s="6"/>
      <c r="N336" s="6"/>
      <c r="O336" s="6"/>
      <c r="P336" s="6"/>
      <c r="Q336" s="5"/>
      <c r="R336" s="5"/>
      <c r="S336" s="5"/>
      <c r="T336" s="5"/>
    </row>
    <row r="337" spans="2:20" hidden="1">
      <c r="B337" s="5"/>
      <c r="C337" s="5"/>
      <c r="D337" s="5"/>
      <c r="E337" s="5"/>
      <c r="F337" s="5"/>
      <c r="G337" s="5"/>
      <c r="H337" s="5"/>
      <c r="I337" s="5"/>
      <c r="J337" s="5"/>
      <c r="K337" s="10"/>
      <c r="L337" s="6"/>
      <c r="M337" s="6"/>
      <c r="N337" s="6"/>
      <c r="O337" s="6"/>
      <c r="P337" s="6"/>
      <c r="Q337" s="5"/>
      <c r="R337" s="5"/>
      <c r="S337" s="5"/>
      <c r="T337" s="5"/>
    </row>
    <row r="338" spans="2:20" hidden="1">
      <c r="B338" s="5"/>
      <c r="C338" s="5"/>
      <c r="D338" s="5"/>
      <c r="E338" s="5"/>
      <c r="F338" s="5"/>
      <c r="G338" s="5"/>
      <c r="H338" s="5"/>
      <c r="I338" s="5"/>
      <c r="J338" s="5"/>
      <c r="K338" s="10"/>
      <c r="L338" s="6"/>
      <c r="M338" s="6"/>
      <c r="N338" s="6"/>
      <c r="O338" s="6"/>
      <c r="P338" s="6"/>
      <c r="Q338" s="5"/>
      <c r="R338" s="5"/>
      <c r="S338" s="5"/>
      <c r="T338" s="5"/>
    </row>
    <row r="339" spans="2:20" hidden="1">
      <c r="B339" s="5"/>
      <c r="C339" s="5"/>
      <c r="D339" s="5"/>
      <c r="E339" s="5"/>
      <c r="F339" s="5"/>
      <c r="G339" s="5"/>
      <c r="H339" s="5"/>
      <c r="I339" s="5"/>
      <c r="J339" s="5"/>
      <c r="K339" s="10"/>
      <c r="L339" s="6"/>
      <c r="M339" s="6"/>
      <c r="N339" s="6"/>
      <c r="O339" s="6"/>
      <c r="P339" s="6"/>
      <c r="Q339" s="5"/>
      <c r="R339" s="5"/>
      <c r="S339" s="5"/>
      <c r="T339" s="5"/>
    </row>
    <row r="340" spans="2:20" hidden="1">
      <c r="B340" s="5"/>
      <c r="C340" s="5"/>
      <c r="D340" s="5"/>
      <c r="E340" s="5"/>
      <c r="F340" s="5"/>
      <c r="G340" s="5"/>
      <c r="H340" s="5"/>
      <c r="I340" s="5"/>
      <c r="J340" s="5"/>
      <c r="K340" s="10"/>
      <c r="L340" s="6"/>
      <c r="M340" s="6"/>
      <c r="N340" s="6"/>
      <c r="O340" s="6"/>
      <c r="P340" s="6"/>
      <c r="Q340" s="5"/>
      <c r="R340" s="5"/>
      <c r="S340" s="5"/>
      <c r="T340" s="5"/>
    </row>
    <row r="341" spans="2:20" hidden="1">
      <c r="B341" s="5"/>
      <c r="C341" s="5"/>
      <c r="D341" s="5"/>
      <c r="E341" s="5"/>
      <c r="F341" s="5"/>
      <c r="G341" s="5"/>
      <c r="H341" s="5"/>
      <c r="I341" s="5"/>
      <c r="J341" s="5"/>
      <c r="K341" s="10"/>
      <c r="L341" s="6"/>
      <c r="M341" s="6"/>
      <c r="N341" s="6"/>
      <c r="O341" s="6"/>
      <c r="P341" s="6"/>
      <c r="Q341" s="5"/>
      <c r="R341" s="5"/>
      <c r="S341" s="5"/>
      <c r="T341" s="5"/>
    </row>
    <row r="342" spans="2:20" hidden="1">
      <c r="B342" s="5"/>
      <c r="C342" s="5"/>
      <c r="D342" s="5"/>
      <c r="E342" s="5"/>
      <c r="F342" s="5"/>
      <c r="G342" s="5"/>
      <c r="H342" s="5"/>
      <c r="I342" s="5"/>
      <c r="J342" s="5"/>
      <c r="K342" s="10"/>
      <c r="L342" s="6"/>
      <c r="M342" s="6"/>
      <c r="N342" s="6"/>
      <c r="O342" s="6"/>
      <c r="P342" s="6"/>
      <c r="Q342" s="5"/>
      <c r="R342" s="5"/>
      <c r="S342" s="5"/>
      <c r="T342" s="5"/>
    </row>
    <row r="343" spans="2:20" hidden="1">
      <c r="B343" s="5"/>
      <c r="C343" s="5"/>
      <c r="D343" s="5"/>
      <c r="E343" s="5"/>
      <c r="F343" s="5"/>
      <c r="G343" s="5"/>
      <c r="H343" s="5"/>
      <c r="I343" s="5"/>
      <c r="J343" s="5"/>
      <c r="K343" s="10"/>
      <c r="L343" s="6"/>
      <c r="M343" s="6"/>
      <c r="N343" s="6"/>
      <c r="O343" s="6"/>
      <c r="P343" s="6"/>
      <c r="Q343" s="5"/>
      <c r="R343" s="5"/>
      <c r="S343" s="5"/>
      <c r="T343" s="5"/>
    </row>
    <row r="344" spans="2:20" hidden="1">
      <c r="B344" s="5"/>
      <c r="C344" s="5"/>
      <c r="D344" s="5"/>
      <c r="E344" s="5"/>
      <c r="F344" s="5"/>
      <c r="G344" s="5"/>
      <c r="H344" s="5"/>
      <c r="I344" s="5"/>
      <c r="J344" s="5"/>
      <c r="K344" s="10"/>
      <c r="L344" s="6"/>
      <c r="M344" s="6"/>
      <c r="N344" s="6"/>
      <c r="O344" s="6"/>
      <c r="P344" s="6"/>
      <c r="Q344" s="5"/>
      <c r="R344" s="5"/>
      <c r="S344" s="5"/>
      <c r="T344" s="5"/>
    </row>
    <row r="345" spans="2:20" hidden="1">
      <c r="B345" s="5"/>
      <c r="C345" s="5"/>
      <c r="D345" s="5"/>
      <c r="E345" s="5"/>
      <c r="F345" s="5"/>
      <c r="G345" s="5"/>
      <c r="H345" s="5"/>
      <c r="I345" s="5"/>
      <c r="J345" s="5"/>
      <c r="K345" s="10"/>
      <c r="L345" s="6"/>
      <c r="M345" s="6"/>
      <c r="N345" s="6"/>
      <c r="O345" s="6"/>
      <c r="P345" s="6"/>
      <c r="Q345" s="5"/>
      <c r="R345" s="5"/>
      <c r="S345" s="5"/>
      <c r="T345" s="5"/>
    </row>
    <row r="346" spans="2:20" hidden="1">
      <c r="B346" s="5"/>
      <c r="C346" s="5"/>
      <c r="D346" s="5"/>
      <c r="E346" s="5"/>
      <c r="F346" s="5"/>
      <c r="G346" s="5"/>
      <c r="H346" s="5"/>
      <c r="I346" s="5"/>
      <c r="J346" s="5"/>
      <c r="K346" s="10"/>
      <c r="L346" s="6"/>
      <c r="M346" s="6"/>
      <c r="N346" s="6"/>
      <c r="O346" s="6"/>
      <c r="P346" s="6"/>
      <c r="Q346" s="5"/>
      <c r="R346" s="5"/>
      <c r="S346" s="5"/>
      <c r="T346" s="5"/>
    </row>
    <row r="347" spans="2:20" hidden="1">
      <c r="B347" s="5"/>
      <c r="C347" s="5"/>
      <c r="D347" s="5"/>
      <c r="E347" s="5"/>
      <c r="F347" s="5"/>
      <c r="G347" s="5"/>
      <c r="H347" s="5"/>
      <c r="I347" s="5"/>
      <c r="J347" s="5"/>
      <c r="K347" s="10"/>
      <c r="L347" s="6"/>
      <c r="M347" s="6"/>
      <c r="N347" s="6"/>
      <c r="O347" s="6"/>
      <c r="P347" s="6"/>
      <c r="Q347" s="5"/>
      <c r="R347" s="5"/>
      <c r="S347" s="5"/>
      <c r="T347" s="5"/>
    </row>
    <row r="348" spans="2:20" hidden="1">
      <c r="B348" s="5"/>
      <c r="C348" s="5"/>
      <c r="D348" s="5"/>
      <c r="E348" s="5"/>
      <c r="F348" s="5"/>
      <c r="G348" s="5"/>
      <c r="H348" s="5"/>
      <c r="I348" s="5"/>
      <c r="J348" s="5"/>
      <c r="K348" s="10"/>
      <c r="L348" s="6"/>
      <c r="M348" s="6"/>
      <c r="N348" s="6"/>
      <c r="O348" s="6"/>
      <c r="P348" s="6"/>
      <c r="Q348" s="5"/>
      <c r="R348" s="5"/>
      <c r="S348" s="5"/>
      <c r="T348" s="5"/>
    </row>
    <row r="349" spans="2:20" hidden="1">
      <c r="B349" s="5"/>
      <c r="C349" s="5"/>
      <c r="D349" s="5"/>
      <c r="E349" s="5"/>
      <c r="F349" s="5"/>
      <c r="G349" s="5"/>
      <c r="H349" s="5"/>
      <c r="I349" s="5"/>
      <c r="J349" s="5"/>
      <c r="K349" s="10"/>
      <c r="L349" s="6"/>
      <c r="M349" s="6"/>
      <c r="N349" s="6"/>
      <c r="O349" s="6"/>
      <c r="P349" s="6"/>
      <c r="Q349" s="5"/>
      <c r="R349" s="5"/>
      <c r="S349" s="5"/>
      <c r="T349" s="5"/>
    </row>
    <row r="350" spans="2:20" hidden="1">
      <c r="B350" s="5"/>
      <c r="C350" s="5"/>
      <c r="D350" s="5"/>
      <c r="E350" s="5"/>
      <c r="F350" s="5"/>
      <c r="G350" s="5"/>
      <c r="H350" s="5"/>
      <c r="I350" s="5"/>
      <c r="J350" s="5"/>
      <c r="K350" s="10"/>
      <c r="L350" s="6"/>
      <c r="M350" s="6"/>
      <c r="N350" s="6"/>
      <c r="O350" s="6"/>
      <c r="P350" s="6"/>
      <c r="Q350" s="5"/>
      <c r="R350" s="5"/>
      <c r="S350" s="5"/>
      <c r="T350" s="5"/>
    </row>
    <row r="351" spans="2:20" hidden="1">
      <c r="B351" s="5"/>
      <c r="C351" s="5"/>
      <c r="D351" s="5"/>
      <c r="E351" s="5"/>
      <c r="F351" s="5"/>
      <c r="G351" s="5"/>
      <c r="H351" s="5"/>
      <c r="I351" s="5"/>
      <c r="J351" s="5"/>
      <c r="K351" s="10"/>
      <c r="L351" s="6"/>
      <c r="M351" s="6"/>
      <c r="N351" s="6"/>
      <c r="O351" s="6"/>
      <c r="P351" s="6"/>
      <c r="Q351" s="5"/>
      <c r="R351" s="5"/>
      <c r="S351" s="5"/>
      <c r="T351" s="5"/>
    </row>
    <row r="352" spans="2:20" hidden="1">
      <c r="B352" s="5"/>
      <c r="C352" s="5"/>
      <c r="D352" s="5"/>
      <c r="E352" s="5"/>
      <c r="F352" s="5"/>
      <c r="G352" s="5"/>
      <c r="H352" s="5"/>
      <c r="I352" s="5"/>
      <c r="J352" s="5"/>
      <c r="K352" s="10"/>
      <c r="L352" s="6"/>
      <c r="M352" s="6"/>
      <c r="N352" s="6"/>
      <c r="O352" s="6"/>
      <c r="P352" s="6"/>
      <c r="Q352" s="5"/>
      <c r="R352" s="5"/>
      <c r="S352" s="5"/>
      <c r="T352" s="5"/>
    </row>
    <row r="353" spans="2:20" hidden="1">
      <c r="B353" s="5"/>
      <c r="C353" s="5"/>
      <c r="D353" s="5"/>
      <c r="E353" s="5"/>
      <c r="F353" s="5"/>
      <c r="G353" s="5"/>
      <c r="H353" s="5"/>
      <c r="I353" s="5"/>
      <c r="J353" s="5"/>
      <c r="K353" s="10"/>
      <c r="L353" s="6"/>
      <c r="M353" s="6"/>
      <c r="N353" s="6"/>
      <c r="O353" s="6"/>
      <c r="P353" s="6"/>
      <c r="Q353" s="5"/>
      <c r="R353" s="5"/>
      <c r="S353" s="5"/>
      <c r="T353" s="5"/>
    </row>
    <row r="354" spans="2:20" hidden="1">
      <c r="B354" s="5"/>
      <c r="C354" s="5"/>
      <c r="D354" s="5"/>
      <c r="E354" s="5"/>
      <c r="F354" s="5"/>
      <c r="G354" s="5"/>
      <c r="H354" s="5"/>
      <c r="I354" s="5"/>
      <c r="J354" s="5"/>
      <c r="K354" s="10"/>
      <c r="L354" s="6"/>
      <c r="M354" s="6"/>
      <c r="N354" s="6"/>
      <c r="O354" s="6"/>
      <c r="P354" s="6"/>
      <c r="Q354" s="5"/>
      <c r="R354" s="5"/>
      <c r="S354" s="5"/>
      <c r="T354" s="5"/>
    </row>
    <row r="355" spans="2:20" hidden="1">
      <c r="B355" s="5"/>
      <c r="C355" s="5"/>
      <c r="D355" s="5"/>
      <c r="E355" s="5"/>
      <c r="F355" s="5"/>
      <c r="G355" s="5"/>
      <c r="H355" s="5"/>
      <c r="I355" s="5"/>
      <c r="J355" s="5"/>
      <c r="K355" s="10"/>
      <c r="L355" s="6"/>
      <c r="M355" s="6"/>
      <c r="N355" s="6"/>
      <c r="O355" s="6"/>
      <c r="P355" s="6"/>
      <c r="Q355" s="5"/>
      <c r="R355" s="5"/>
      <c r="S355" s="5"/>
      <c r="T355" s="5"/>
    </row>
    <row r="356" spans="2:20" hidden="1">
      <c r="B356" s="5"/>
      <c r="C356" s="5"/>
      <c r="D356" s="5"/>
      <c r="E356" s="5"/>
      <c r="F356" s="5"/>
      <c r="G356" s="5"/>
      <c r="H356" s="5"/>
      <c r="I356" s="5"/>
      <c r="J356" s="5"/>
      <c r="K356" s="10"/>
      <c r="L356" s="6"/>
      <c r="M356" s="6"/>
      <c r="N356" s="6"/>
      <c r="O356" s="6"/>
      <c r="P356" s="6"/>
      <c r="Q356" s="5"/>
      <c r="R356" s="5"/>
      <c r="S356" s="5"/>
      <c r="T356" s="5"/>
    </row>
    <row r="357" spans="2:20" hidden="1">
      <c r="B357" s="5"/>
      <c r="C357" s="5"/>
      <c r="D357" s="5"/>
      <c r="E357" s="5"/>
      <c r="F357" s="5"/>
      <c r="G357" s="5"/>
      <c r="H357" s="5"/>
      <c r="I357" s="5"/>
      <c r="J357" s="5"/>
      <c r="K357" s="10"/>
      <c r="L357" s="6"/>
      <c r="M357" s="6"/>
      <c r="N357" s="6"/>
      <c r="O357" s="6"/>
      <c r="P357" s="6"/>
      <c r="Q357" s="5"/>
      <c r="R357" s="5"/>
      <c r="S357" s="5"/>
      <c r="T357" s="5"/>
    </row>
    <row r="358" spans="2:20" hidden="1">
      <c r="B358" s="5"/>
      <c r="C358" s="5"/>
      <c r="D358" s="5"/>
      <c r="E358" s="5"/>
      <c r="F358" s="5"/>
      <c r="G358" s="5"/>
      <c r="H358" s="5"/>
      <c r="I358" s="5"/>
      <c r="J358" s="5"/>
      <c r="K358" s="10"/>
      <c r="L358" s="6"/>
      <c r="M358" s="6"/>
      <c r="N358" s="6"/>
      <c r="O358" s="6"/>
      <c r="P358" s="6"/>
      <c r="Q358" s="5"/>
      <c r="R358" s="5"/>
      <c r="S358" s="5"/>
      <c r="T358" s="5"/>
    </row>
    <row r="359" spans="2:20" hidden="1">
      <c r="B359" s="5"/>
      <c r="C359" s="5"/>
      <c r="D359" s="5"/>
      <c r="E359" s="5"/>
      <c r="F359" s="5"/>
      <c r="G359" s="5"/>
      <c r="H359" s="5"/>
      <c r="I359" s="5"/>
      <c r="J359" s="5"/>
      <c r="K359" s="10"/>
      <c r="L359" s="6"/>
      <c r="M359" s="6"/>
      <c r="N359" s="6"/>
      <c r="O359" s="6"/>
      <c r="P359" s="6"/>
      <c r="Q359" s="5"/>
      <c r="R359" s="5"/>
      <c r="S359" s="5"/>
      <c r="T359" s="5"/>
    </row>
    <row r="360" spans="2:20" hidden="1">
      <c r="B360" s="5"/>
      <c r="C360" s="5"/>
      <c r="D360" s="5"/>
      <c r="E360" s="5"/>
      <c r="F360" s="5"/>
      <c r="G360" s="5"/>
      <c r="H360" s="5"/>
      <c r="I360" s="5"/>
      <c r="J360" s="5"/>
      <c r="K360" s="10"/>
      <c r="L360" s="6"/>
      <c r="M360" s="6"/>
      <c r="N360" s="6"/>
      <c r="O360" s="6"/>
      <c r="P360" s="6"/>
      <c r="Q360" s="5"/>
      <c r="R360" s="5"/>
      <c r="S360" s="5"/>
      <c r="T360" s="5"/>
    </row>
    <row r="361" spans="2:20" hidden="1">
      <c r="B361" s="5"/>
      <c r="C361" s="5"/>
      <c r="D361" s="5"/>
      <c r="E361" s="5"/>
      <c r="F361" s="5"/>
      <c r="G361" s="5"/>
      <c r="H361" s="5"/>
      <c r="I361" s="5"/>
      <c r="J361" s="5"/>
      <c r="K361" s="10"/>
      <c r="L361" s="6"/>
      <c r="M361" s="6"/>
      <c r="N361" s="6"/>
      <c r="O361" s="6"/>
      <c r="P361" s="6"/>
      <c r="Q361" s="5"/>
      <c r="R361" s="5"/>
      <c r="S361" s="5"/>
      <c r="T361" s="5"/>
    </row>
    <row r="362" spans="2:20" hidden="1">
      <c r="B362" s="5"/>
      <c r="C362" s="5"/>
      <c r="D362" s="5"/>
      <c r="E362" s="5"/>
      <c r="F362" s="5"/>
      <c r="G362" s="5"/>
      <c r="H362" s="5"/>
      <c r="I362" s="5"/>
      <c r="J362" s="5"/>
      <c r="K362" s="10"/>
      <c r="L362" s="6"/>
      <c r="M362" s="6"/>
      <c r="N362" s="6"/>
      <c r="O362" s="6"/>
      <c r="P362" s="6"/>
      <c r="Q362" s="5"/>
      <c r="R362" s="5"/>
      <c r="S362" s="5"/>
      <c r="T362" s="5"/>
    </row>
    <row r="363" spans="2:20" hidden="1">
      <c r="B363" s="5"/>
      <c r="C363" s="5"/>
      <c r="D363" s="5"/>
      <c r="E363" s="5"/>
      <c r="F363" s="5"/>
      <c r="G363" s="5"/>
      <c r="H363" s="5"/>
      <c r="I363" s="5"/>
      <c r="J363" s="5"/>
      <c r="K363" s="10"/>
      <c r="L363" s="6"/>
      <c r="M363" s="6"/>
      <c r="N363" s="6"/>
      <c r="O363" s="6"/>
      <c r="P363" s="6"/>
      <c r="Q363" s="5"/>
      <c r="R363" s="5"/>
      <c r="S363" s="5"/>
      <c r="T363" s="5"/>
    </row>
    <row r="364" spans="2:20" hidden="1">
      <c r="B364" s="5"/>
      <c r="C364" s="5"/>
      <c r="D364" s="5"/>
      <c r="E364" s="5"/>
      <c r="F364" s="5"/>
      <c r="G364" s="5"/>
      <c r="H364" s="5"/>
      <c r="I364" s="5"/>
      <c r="J364" s="5"/>
      <c r="K364" s="10"/>
      <c r="L364" s="6"/>
      <c r="M364" s="6"/>
      <c r="N364" s="6"/>
      <c r="O364" s="6"/>
      <c r="P364" s="6"/>
      <c r="Q364" s="5"/>
      <c r="R364" s="5"/>
      <c r="S364" s="5"/>
      <c r="T364" s="5"/>
    </row>
    <row r="365" spans="2:20" hidden="1">
      <c r="B365" s="5"/>
      <c r="C365" s="5"/>
      <c r="D365" s="5"/>
      <c r="E365" s="5"/>
      <c r="F365" s="5"/>
      <c r="G365" s="5"/>
      <c r="H365" s="5"/>
      <c r="I365" s="5"/>
      <c r="J365" s="5"/>
      <c r="K365" s="10"/>
      <c r="L365" s="6"/>
      <c r="M365" s="6"/>
      <c r="N365" s="6"/>
      <c r="O365" s="6"/>
      <c r="P365" s="6"/>
      <c r="Q365" s="5"/>
      <c r="R365" s="5"/>
      <c r="S365" s="5"/>
      <c r="T365" s="5"/>
    </row>
    <row r="366" spans="2:20" hidden="1">
      <c r="B366" s="5"/>
      <c r="C366" s="5"/>
      <c r="D366" s="5"/>
      <c r="E366" s="5"/>
      <c r="F366" s="5"/>
      <c r="G366" s="5"/>
      <c r="H366" s="5"/>
      <c r="I366" s="5"/>
      <c r="J366" s="5"/>
      <c r="K366" s="10"/>
      <c r="L366" s="6"/>
      <c r="M366" s="6"/>
      <c r="N366" s="6"/>
      <c r="O366" s="6"/>
      <c r="P366" s="6"/>
      <c r="Q366" s="5"/>
      <c r="R366" s="5"/>
      <c r="S366" s="5"/>
      <c r="T366" s="5"/>
    </row>
    <row r="367" spans="2:20" hidden="1">
      <c r="B367" s="5"/>
      <c r="C367" s="5"/>
      <c r="D367" s="5"/>
      <c r="E367" s="5"/>
      <c r="F367" s="5"/>
      <c r="G367" s="5"/>
      <c r="H367" s="5"/>
      <c r="I367" s="5"/>
      <c r="J367" s="5"/>
      <c r="K367" s="10"/>
      <c r="L367" s="6"/>
      <c r="M367" s="6"/>
      <c r="N367" s="6"/>
      <c r="O367" s="6"/>
      <c r="P367" s="6"/>
      <c r="Q367" s="5"/>
      <c r="R367" s="5"/>
      <c r="S367" s="5"/>
      <c r="T367" s="5"/>
    </row>
    <row r="368" spans="2:20" hidden="1">
      <c r="B368" s="5"/>
      <c r="C368" s="5"/>
      <c r="D368" s="5"/>
      <c r="E368" s="5"/>
      <c r="F368" s="5"/>
      <c r="G368" s="5"/>
      <c r="H368" s="5"/>
      <c r="I368" s="5"/>
      <c r="J368" s="5"/>
      <c r="K368" s="10"/>
      <c r="L368" s="6"/>
      <c r="M368" s="6"/>
      <c r="N368" s="6"/>
      <c r="O368" s="6"/>
      <c r="P368" s="6"/>
      <c r="Q368" s="5"/>
      <c r="R368" s="5"/>
      <c r="S368" s="5"/>
      <c r="T368" s="5"/>
    </row>
    <row r="369" spans="2:20" hidden="1">
      <c r="B369" s="5"/>
      <c r="C369" s="5"/>
      <c r="D369" s="5"/>
      <c r="E369" s="5"/>
      <c r="F369" s="5"/>
      <c r="G369" s="5"/>
      <c r="H369" s="5"/>
      <c r="I369" s="5"/>
      <c r="J369" s="5"/>
      <c r="K369" s="10"/>
      <c r="L369" s="6"/>
      <c r="M369" s="6"/>
      <c r="N369" s="6"/>
      <c r="O369" s="6"/>
      <c r="P369" s="6"/>
      <c r="Q369" s="5"/>
      <c r="R369" s="5"/>
      <c r="S369" s="5"/>
      <c r="T369" s="5"/>
    </row>
    <row r="370" spans="2:20" hidden="1">
      <c r="B370" s="5"/>
      <c r="C370" s="5"/>
      <c r="D370" s="5"/>
      <c r="E370" s="5"/>
      <c r="F370" s="5"/>
      <c r="G370" s="5"/>
      <c r="H370" s="5"/>
      <c r="I370" s="5"/>
      <c r="J370" s="5"/>
      <c r="K370" s="10"/>
      <c r="L370" s="6"/>
      <c r="M370" s="6"/>
      <c r="N370" s="6"/>
      <c r="O370" s="6"/>
      <c r="P370" s="6"/>
      <c r="Q370" s="5"/>
      <c r="R370" s="5"/>
      <c r="S370" s="5"/>
      <c r="T370" s="5"/>
    </row>
    <row r="371" spans="2:20" hidden="1">
      <c r="B371" s="5"/>
      <c r="C371" s="5"/>
      <c r="D371" s="5"/>
      <c r="E371" s="5"/>
      <c r="F371" s="5"/>
      <c r="G371" s="5"/>
      <c r="H371" s="5"/>
      <c r="I371" s="5"/>
      <c r="J371" s="5"/>
      <c r="K371" s="10"/>
      <c r="L371" s="6"/>
      <c r="M371" s="6"/>
      <c r="N371" s="6"/>
      <c r="O371" s="6"/>
      <c r="P371" s="6"/>
      <c r="Q371" s="5"/>
      <c r="R371" s="5"/>
      <c r="S371" s="5"/>
      <c r="T371" s="5"/>
    </row>
    <row r="372" spans="2:20" hidden="1">
      <c r="B372" s="5"/>
      <c r="C372" s="5"/>
      <c r="D372" s="5"/>
      <c r="E372" s="5"/>
      <c r="F372" s="5"/>
      <c r="G372" s="5"/>
      <c r="H372" s="5"/>
      <c r="I372" s="5"/>
      <c r="J372" s="5"/>
      <c r="K372" s="10"/>
      <c r="L372" s="6"/>
      <c r="M372" s="6"/>
      <c r="N372" s="6"/>
      <c r="O372" s="6"/>
      <c r="P372" s="6"/>
      <c r="Q372" s="5"/>
      <c r="R372" s="5"/>
      <c r="S372" s="5"/>
      <c r="T372" s="5"/>
    </row>
    <row r="373" spans="2:20" hidden="1">
      <c r="B373" s="5"/>
      <c r="C373" s="5"/>
      <c r="D373" s="5"/>
      <c r="E373" s="5"/>
      <c r="F373" s="5"/>
      <c r="G373" s="5"/>
      <c r="H373" s="5"/>
      <c r="I373" s="5"/>
      <c r="J373" s="5"/>
      <c r="K373" s="10"/>
      <c r="L373" s="6"/>
      <c r="M373" s="6"/>
      <c r="N373" s="6"/>
      <c r="O373" s="6"/>
      <c r="P373" s="6"/>
      <c r="Q373" s="5"/>
      <c r="R373" s="5"/>
      <c r="S373" s="5"/>
      <c r="T373" s="5"/>
    </row>
    <row r="374" spans="2:20" hidden="1">
      <c r="B374" s="5"/>
      <c r="C374" s="5"/>
      <c r="D374" s="5"/>
      <c r="E374" s="5"/>
      <c r="F374" s="5"/>
      <c r="G374" s="5"/>
      <c r="H374" s="5"/>
      <c r="I374" s="5"/>
      <c r="J374" s="5"/>
      <c r="K374" s="10"/>
      <c r="L374" s="6"/>
      <c r="M374" s="6"/>
      <c r="N374" s="6"/>
      <c r="O374" s="6"/>
      <c r="P374" s="6"/>
      <c r="Q374" s="5"/>
      <c r="R374" s="5"/>
      <c r="S374" s="5"/>
      <c r="T374" s="5"/>
    </row>
    <row r="375" spans="2:20" hidden="1">
      <c r="B375" s="5"/>
      <c r="C375" s="5"/>
      <c r="D375" s="5"/>
      <c r="E375" s="5"/>
      <c r="F375" s="5"/>
      <c r="G375" s="5"/>
      <c r="H375" s="5"/>
      <c r="I375" s="5"/>
      <c r="J375" s="5"/>
      <c r="K375" s="10"/>
      <c r="L375" s="6"/>
      <c r="M375" s="6"/>
      <c r="N375" s="6"/>
      <c r="O375" s="6"/>
      <c r="P375" s="6"/>
      <c r="Q375" s="5"/>
      <c r="R375" s="5"/>
      <c r="S375" s="5"/>
      <c r="T375" s="5"/>
    </row>
    <row r="376" spans="2:20" hidden="1">
      <c r="B376" s="5"/>
      <c r="C376" s="5"/>
      <c r="D376" s="5"/>
      <c r="E376" s="5"/>
      <c r="F376" s="5"/>
      <c r="G376" s="5"/>
      <c r="H376" s="5"/>
      <c r="I376" s="5"/>
      <c r="J376" s="5"/>
      <c r="K376" s="10"/>
      <c r="L376" s="6"/>
      <c r="M376" s="6"/>
      <c r="N376" s="6"/>
      <c r="O376" s="6"/>
      <c r="P376" s="6"/>
      <c r="Q376" s="5"/>
      <c r="R376" s="5"/>
      <c r="S376" s="5"/>
      <c r="T376" s="5"/>
    </row>
    <row r="377" spans="2:20" hidden="1">
      <c r="B377" s="5"/>
      <c r="C377" s="5"/>
      <c r="D377" s="5"/>
      <c r="E377" s="5"/>
      <c r="F377" s="5"/>
      <c r="G377" s="5"/>
      <c r="H377" s="5"/>
      <c r="I377" s="5"/>
      <c r="J377" s="5"/>
      <c r="K377" s="10"/>
      <c r="L377" s="6"/>
      <c r="M377" s="6"/>
      <c r="N377" s="6"/>
      <c r="O377" s="6"/>
      <c r="P377" s="6"/>
      <c r="Q377" s="5"/>
      <c r="R377" s="5"/>
      <c r="S377" s="5"/>
      <c r="T377" s="5"/>
    </row>
    <row r="378" spans="2:20" hidden="1">
      <c r="B378" s="5"/>
      <c r="C378" s="5"/>
      <c r="D378" s="5"/>
      <c r="E378" s="5"/>
      <c r="F378" s="5"/>
      <c r="G378" s="5"/>
      <c r="H378" s="5"/>
      <c r="I378" s="5"/>
      <c r="J378" s="5"/>
      <c r="K378" s="10"/>
      <c r="L378" s="6"/>
      <c r="M378" s="6"/>
      <c r="N378" s="6"/>
      <c r="O378" s="6"/>
      <c r="P378" s="6"/>
      <c r="Q378" s="5"/>
      <c r="R378" s="5"/>
      <c r="S378" s="5"/>
      <c r="T378" s="5"/>
    </row>
    <row r="379" spans="2:20" hidden="1">
      <c r="B379" s="5"/>
      <c r="C379" s="5"/>
      <c r="D379" s="5"/>
      <c r="E379" s="5"/>
      <c r="F379" s="5"/>
      <c r="G379" s="5"/>
      <c r="H379" s="5"/>
      <c r="I379" s="5"/>
      <c r="J379" s="5"/>
      <c r="K379" s="10"/>
      <c r="L379" s="6"/>
      <c r="M379" s="6"/>
      <c r="N379" s="6"/>
      <c r="O379" s="6"/>
      <c r="P379" s="6"/>
      <c r="Q379" s="5"/>
      <c r="R379" s="5"/>
      <c r="S379" s="5"/>
      <c r="T379" s="5"/>
    </row>
    <row r="380" spans="2:20" hidden="1">
      <c r="B380" s="5"/>
      <c r="C380" s="5"/>
      <c r="D380" s="5"/>
      <c r="E380" s="5"/>
      <c r="F380" s="5"/>
      <c r="G380" s="5"/>
      <c r="H380" s="5"/>
      <c r="I380" s="5"/>
      <c r="J380" s="5"/>
      <c r="K380" s="10"/>
      <c r="L380" s="6"/>
      <c r="M380" s="6"/>
      <c r="N380" s="6"/>
      <c r="O380" s="6"/>
      <c r="P380" s="6"/>
      <c r="Q380" s="5"/>
      <c r="R380" s="5"/>
      <c r="S380" s="5"/>
      <c r="T380" s="5"/>
    </row>
    <row r="381" spans="2:20" hidden="1">
      <c r="B381" s="5"/>
      <c r="C381" s="5"/>
      <c r="D381" s="5"/>
      <c r="E381" s="5"/>
      <c r="F381" s="5"/>
      <c r="G381" s="5"/>
      <c r="H381" s="5"/>
      <c r="I381" s="5"/>
      <c r="J381" s="5"/>
      <c r="K381" s="10"/>
      <c r="L381" s="6"/>
      <c r="M381" s="6"/>
      <c r="N381" s="6"/>
      <c r="O381" s="6"/>
      <c r="P381" s="6"/>
      <c r="Q381" s="5"/>
      <c r="R381" s="5"/>
      <c r="S381" s="5"/>
      <c r="T381" s="5"/>
    </row>
    <row r="382" spans="2:20" hidden="1">
      <c r="B382" s="5"/>
      <c r="C382" s="5"/>
      <c r="D382" s="5"/>
      <c r="E382" s="5"/>
      <c r="F382" s="5"/>
      <c r="G382" s="5"/>
      <c r="H382" s="5"/>
      <c r="I382" s="5"/>
      <c r="J382" s="5"/>
      <c r="K382" s="10"/>
      <c r="L382" s="6"/>
      <c r="M382" s="6"/>
      <c r="N382" s="6"/>
      <c r="O382" s="6"/>
      <c r="P382" s="6"/>
      <c r="Q382" s="5"/>
      <c r="R382" s="5"/>
      <c r="S382" s="5"/>
      <c r="T382" s="5"/>
    </row>
    <row r="383" spans="2:20" hidden="1">
      <c r="B383" s="5"/>
      <c r="C383" s="5"/>
      <c r="D383" s="5"/>
      <c r="E383" s="5"/>
      <c r="F383" s="5"/>
      <c r="G383" s="5"/>
      <c r="H383" s="5"/>
      <c r="I383" s="5"/>
      <c r="J383" s="5"/>
      <c r="K383" s="10"/>
      <c r="L383" s="6"/>
      <c r="M383" s="6"/>
      <c r="N383" s="6"/>
      <c r="O383" s="6"/>
      <c r="P383" s="6"/>
      <c r="Q383" s="5"/>
      <c r="R383" s="5"/>
      <c r="S383" s="5"/>
      <c r="T383" s="5"/>
    </row>
    <row r="384" spans="2:20" hidden="1">
      <c r="B384" s="5"/>
      <c r="C384" s="5"/>
      <c r="D384" s="5"/>
      <c r="E384" s="5"/>
      <c r="F384" s="5"/>
      <c r="G384" s="5"/>
      <c r="H384" s="5"/>
      <c r="I384" s="5"/>
      <c r="J384" s="5"/>
      <c r="K384" s="10"/>
      <c r="L384" s="6"/>
      <c r="M384" s="6"/>
      <c r="N384" s="6"/>
      <c r="O384" s="6"/>
      <c r="P384" s="6"/>
      <c r="Q384" s="5"/>
      <c r="R384" s="5"/>
      <c r="S384" s="5"/>
      <c r="T384" s="5"/>
    </row>
    <row r="385" spans="2:20" hidden="1">
      <c r="B385" s="5"/>
      <c r="C385" s="5"/>
      <c r="D385" s="5"/>
      <c r="E385" s="5"/>
      <c r="F385" s="5"/>
      <c r="G385" s="5"/>
      <c r="H385" s="5"/>
      <c r="I385" s="5"/>
      <c r="J385" s="5"/>
      <c r="K385" s="10"/>
      <c r="L385" s="6"/>
      <c r="M385" s="6"/>
      <c r="N385" s="6"/>
      <c r="O385" s="6"/>
      <c r="P385" s="6"/>
      <c r="Q385" s="5"/>
      <c r="R385" s="5"/>
      <c r="S385" s="5"/>
      <c r="T385" s="5"/>
    </row>
    <row r="386" spans="2:20" hidden="1">
      <c r="B386" s="5"/>
      <c r="C386" s="5"/>
      <c r="D386" s="5"/>
      <c r="E386" s="5"/>
      <c r="F386" s="5"/>
      <c r="G386" s="5"/>
      <c r="H386" s="5"/>
      <c r="I386" s="5"/>
      <c r="J386" s="5"/>
      <c r="K386" s="10"/>
      <c r="L386" s="6"/>
      <c r="M386" s="6"/>
      <c r="N386" s="6"/>
      <c r="O386" s="6"/>
      <c r="P386" s="6"/>
      <c r="Q386" s="5"/>
      <c r="R386" s="5"/>
      <c r="S386" s="5"/>
      <c r="T386" s="5"/>
    </row>
    <row r="387" spans="2:20" hidden="1">
      <c r="B387" s="5"/>
      <c r="C387" s="5"/>
      <c r="D387" s="5"/>
      <c r="E387" s="5"/>
      <c r="F387" s="5"/>
      <c r="G387" s="5"/>
      <c r="H387" s="5"/>
      <c r="I387" s="5"/>
      <c r="J387" s="5"/>
      <c r="K387" s="10"/>
      <c r="L387" s="6"/>
      <c r="M387" s="6"/>
      <c r="N387" s="6"/>
      <c r="O387" s="6"/>
      <c r="P387" s="6"/>
      <c r="Q387" s="5"/>
      <c r="R387" s="5"/>
      <c r="S387" s="5"/>
      <c r="T387" s="5"/>
    </row>
    <row r="388" spans="2:20" hidden="1">
      <c r="B388" s="5"/>
      <c r="C388" s="5"/>
      <c r="D388" s="5"/>
      <c r="E388" s="5"/>
      <c r="F388" s="5"/>
      <c r="G388" s="5"/>
      <c r="H388" s="5"/>
      <c r="I388" s="5"/>
      <c r="J388" s="5"/>
      <c r="K388" s="10"/>
      <c r="L388" s="6"/>
      <c r="M388" s="6"/>
      <c r="N388" s="6"/>
      <c r="O388" s="6"/>
      <c r="P388" s="6"/>
      <c r="Q388" s="5"/>
      <c r="R388" s="5"/>
      <c r="S388" s="5"/>
      <c r="T388" s="5"/>
    </row>
    <row r="389" spans="2:20" hidden="1">
      <c r="B389" s="5"/>
      <c r="C389" s="5"/>
      <c r="D389" s="5"/>
      <c r="E389" s="5"/>
      <c r="F389" s="5"/>
      <c r="G389" s="5"/>
      <c r="H389" s="5"/>
      <c r="I389" s="5"/>
      <c r="J389" s="5"/>
      <c r="K389" s="10"/>
      <c r="L389" s="6"/>
      <c r="M389" s="6"/>
      <c r="N389" s="6"/>
      <c r="O389" s="6"/>
      <c r="P389" s="6"/>
      <c r="Q389" s="5"/>
      <c r="R389" s="5"/>
      <c r="S389" s="5"/>
      <c r="T389" s="5"/>
    </row>
    <row r="390" spans="2:20" hidden="1">
      <c r="B390" s="5"/>
      <c r="C390" s="5"/>
      <c r="D390" s="5"/>
      <c r="E390" s="5"/>
      <c r="F390" s="5"/>
      <c r="G390" s="5"/>
      <c r="H390" s="5"/>
      <c r="I390" s="5"/>
      <c r="J390" s="5"/>
      <c r="K390" s="10"/>
      <c r="L390" s="6"/>
      <c r="M390" s="6"/>
      <c r="N390" s="6"/>
      <c r="O390" s="6"/>
      <c r="P390" s="6"/>
      <c r="Q390" s="5"/>
      <c r="R390" s="5"/>
      <c r="S390" s="5"/>
      <c r="T390" s="5"/>
    </row>
    <row r="391" spans="2:20" hidden="1">
      <c r="B391" s="5"/>
      <c r="C391" s="5"/>
      <c r="D391" s="5"/>
      <c r="E391" s="5"/>
      <c r="F391" s="5"/>
      <c r="G391" s="5"/>
      <c r="H391" s="5"/>
      <c r="I391" s="5"/>
      <c r="J391" s="5"/>
      <c r="K391" s="10"/>
      <c r="L391" s="6"/>
      <c r="M391" s="6"/>
      <c r="N391" s="6"/>
      <c r="O391" s="6"/>
      <c r="P391" s="6"/>
      <c r="Q391" s="5"/>
      <c r="R391" s="5"/>
      <c r="S391" s="5"/>
      <c r="T391" s="5"/>
    </row>
    <row r="392" spans="2:20" hidden="1">
      <c r="B392" s="5"/>
      <c r="C392" s="5"/>
      <c r="D392" s="5"/>
      <c r="E392" s="5"/>
      <c r="F392" s="5"/>
      <c r="G392" s="5"/>
      <c r="H392" s="5"/>
      <c r="I392" s="5"/>
      <c r="J392" s="5"/>
      <c r="K392" s="10"/>
      <c r="L392" s="6"/>
      <c r="M392" s="6"/>
      <c r="N392" s="6"/>
      <c r="O392" s="6"/>
      <c r="P392" s="6"/>
      <c r="Q392" s="5"/>
      <c r="R392" s="5"/>
      <c r="S392" s="5"/>
      <c r="T392" s="5"/>
    </row>
    <row r="393" spans="2:20" hidden="1">
      <c r="B393" s="5"/>
      <c r="C393" s="5"/>
      <c r="D393" s="5"/>
      <c r="E393" s="5"/>
      <c r="F393" s="5"/>
      <c r="G393" s="5"/>
      <c r="H393" s="5"/>
      <c r="I393" s="5"/>
      <c r="J393" s="5"/>
      <c r="K393" s="10"/>
      <c r="L393" s="6"/>
      <c r="M393" s="6"/>
      <c r="N393" s="6"/>
      <c r="O393" s="6"/>
      <c r="P393" s="6"/>
      <c r="Q393" s="5"/>
      <c r="R393" s="5"/>
      <c r="S393" s="5"/>
      <c r="T393" s="5"/>
    </row>
    <row r="394" spans="2:20" hidden="1">
      <c r="B394" s="5"/>
      <c r="C394" s="5"/>
      <c r="D394" s="5"/>
      <c r="E394" s="5"/>
      <c r="F394" s="5"/>
      <c r="G394" s="5"/>
      <c r="H394" s="5"/>
      <c r="I394" s="5"/>
      <c r="J394" s="5"/>
      <c r="K394" s="10"/>
      <c r="L394" s="6"/>
      <c r="M394" s="6"/>
      <c r="N394" s="6"/>
      <c r="O394" s="6"/>
      <c r="P394" s="6"/>
      <c r="Q394" s="5"/>
      <c r="R394" s="5"/>
      <c r="S394" s="5"/>
      <c r="T394" s="5"/>
    </row>
    <row r="395" spans="2:20" hidden="1">
      <c r="B395" s="5"/>
      <c r="C395" s="5"/>
      <c r="D395" s="5"/>
      <c r="E395" s="5"/>
      <c r="F395" s="5"/>
      <c r="G395" s="5"/>
      <c r="H395" s="5"/>
      <c r="I395" s="5"/>
      <c r="J395" s="5"/>
      <c r="K395" s="10"/>
      <c r="L395" s="6"/>
      <c r="M395" s="6"/>
      <c r="N395" s="6"/>
      <c r="O395" s="6"/>
      <c r="P395" s="6"/>
      <c r="Q395" s="5"/>
      <c r="R395" s="5"/>
      <c r="S395" s="5"/>
      <c r="T395" s="5"/>
    </row>
    <row r="396" spans="2:20" hidden="1">
      <c r="B396" s="5"/>
      <c r="C396" s="5"/>
      <c r="D396" s="5"/>
      <c r="E396" s="5"/>
      <c r="F396" s="5"/>
      <c r="G396" s="5"/>
      <c r="H396" s="5"/>
      <c r="I396" s="5"/>
      <c r="J396" s="5"/>
      <c r="K396" s="10"/>
      <c r="L396" s="6"/>
      <c r="M396" s="6"/>
      <c r="N396" s="6"/>
      <c r="O396" s="6"/>
      <c r="P396" s="6"/>
      <c r="Q396" s="5"/>
      <c r="R396" s="5"/>
      <c r="S396" s="5"/>
      <c r="T396" s="5"/>
    </row>
    <row r="397" spans="2:20" hidden="1">
      <c r="B397" s="5"/>
      <c r="C397" s="5"/>
      <c r="D397" s="5"/>
      <c r="E397" s="5"/>
      <c r="F397" s="5"/>
      <c r="G397" s="5"/>
      <c r="H397" s="5"/>
      <c r="I397" s="5"/>
      <c r="J397" s="5"/>
      <c r="K397" s="10"/>
      <c r="L397" s="6"/>
      <c r="M397" s="6"/>
      <c r="N397" s="6"/>
      <c r="O397" s="6"/>
      <c r="P397" s="6"/>
      <c r="Q397" s="5"/>
      <c r="R397" s="5"/>
      <c r="S397" s="5"/>
      <c r="T397" s="5"/>
    </row>
    <row r="398" spans="2:20" hidden="1">
      <c r="B398" s="5"/>
      <c r="C398" s="5"/>
      <c r="D398" s="5"/>
      <c r="E398" s="5"/>
      <c r="F398" s="5"/>
      <c r="G398" s="5"/>
      <c r="H398" s="5"/>
      <c r="I398" s="5"/>
      <c r="J398" s="5"/>
      <c r="K398" s="10"/>
      <c r="L398" s="6"/>
      <c r="M398" s="6"/>
      <c r="N398" s="6"/>
      <c r="O398" s="6"/>
      <c r="P398" s="6"/>
      <c r="Q398" s="5"/>
      <c r="R398" s="5"/>
      <c r="S398" s="5"/>
      <c r="T398" s="5"/>
    </row>
    <row r="399" spans="2:20" hidden="1">
      <c r="B399" s="5"/>
      <c r="C399" s="5"/>
      <c r="D399" s="5"/>
      <c r="E399" s="5"/>
      <c r="F399" s="5"/>
      <c r="G399" s="5"/>
      <c r="H399" s="5"/>
      <c r="I399" s="5"/>
      <c r="J399" s="5"/>
      <c r="K399" s="10"/>
      <c r="L399" s="6"/>
      <c r="M399" s="6"/>
      <c r="N399" s="6"/>
      <c r="O399" s="6"/>
      <c r="P399" s="6"/>
      <c r="Q399" s="5"/>
      <c r="R399" s="5"/>
      <c r="S399" s="5"/>
      <c r="T399" s="5"/>
    </row>
    <row r="400" spans="2:20" hidden="1">
      <c r="B400" s="5"/>
      <c r="C400" s="5"/>
      <c r="D400" s="5"/>
      <c r="E400" s="5"/>
      <c r="F400" s="5"/>
      <c r="G400" s="5"/>
      <c r="H400" s="5"/>
      <c r="I400" s="5"/>
      <c r="J400" s="5"/>
      <c r="K400" s="10"/>
      <c r="L400" s="6"/>
      <c r="M400" s="6"/>
      <c r="N400" s="6"/>
      <c r="O400" s="6"/>
      <c r="P400" s="6"/>
      <c r="Q400" s="5"/>
      <c r="R400" s="5"/>
      <c r="S400" s="5"/>
      <c r="T400" s="5"/>
    </row>
    <row r="401" spans="2:20" hidden="1">
      <c r="B401" s="5"/>
      <c r="C401" s="5"/>
      <c r="D401" s="5"/>
      <c r="E401" s="5"/>
      <c r="F401" s="5"/>
      <c r="G401" s="5"/>
      <c r="H401" s="5"/>
      <c r="I401" s="5"/>
      <c r="J401" s="5"/>
      <c r="K401" s="10"/>
      <c r="L401" s="6"/>
      <c r="M401" s="6"/>
      <c r="N401" s="6"/>
      <c r="O401" s="6"/>
      <c r="P401" s="6"/>
      <c r="Q401" s="5"/>
      <c r="R401" s="5"/>
      <c r="S401" s="5"/>
      <c r="T401" s="5"/>
    </row>
    <row r="402" spans="2:20" hidden="1">
      <c r="B402" s="5"/>
      <c r="C402" s="5"/>
      <c r="D402" s="5"/>
      <c r="E402" s="5"/>
      <c r="F402" s="5"/>
      <c r="G402" s="5"/>
      <c r="H402" s="5"/>
      <c r="I402" s="5"/>
      <c r="J402" s="5"/>
      <c r="K402" s="10"/>
      <c r="L402" s="6"/>
      <c r="M402" s="6"/>
      <c r="N402" s="6"/>
      <c r="O402" s="6"/>
      <c r="P402" s="6"/>
      <c r="Q402" s="5"/>
      <c r="R402" s="5"/>
      <c r="S402" s="5"/>
      <c r="T402" s="5"/>
    </row>
    <row r="403" spans="2:20" hidden="1">
      <c r="B403" s="5"/>
      <c r="C403" s="5"/>
      <c r="D403" s="5"/>
      <c r="E403" s="5"/>
      <c r="F403" s="5"/>
      <c r="G403" s="5"/>
      <c r="H403" s="5"/>
      <c r="I403" s="5"/>
      <c r="J403" s="5"/>
      <c r="K403" s="10"/>
      <c r="L403" s="6"/>
      <c r="M403" s="6"/>
      <c r="N403" s="6"/>
      <c r="O403" s="6"/>
      <c r="P403" s="6"/>
      <c r="Q403" s="5"/>
      <c r="R403" s="5"/>
      <c r="S403" s="5"/>
      <c r="T403" s="5"/>
    </row>
    <row r="404" spans="2:20" hidden="1">
      <c r="B404" s="5"/>
      <c r="C404" s="5"/>
      <c r="D404" s="5"/>
      <c r="E404" s="5"/>
      <c r="F404" s="5"/>
      <c r="G404" s="5"/>
      <c r="H404" s="5"/>
      <c r="I404" s="5"/>
      <c r="J404" s="5"/>
      <c r="K404" s="10"/>
      <c r="L404" s="6"/>
      <c r="M404" s="6"/>
      <c r="N404" s="6"/>
      <c r="O404" s="6"/>
      <c r="P404" s="6"/>
      <c r="Q404" s="5"/>
      <c r="R404" s="5"/>
      <c r="S404" s="5"/>
      <c r="T404" s="5"/>
    </row>
    <row r="405" spans="2:20" hidden="1">
      <c r="B405" s="5"/>
      <c r="C405" s="5"/>
      <c r="D405" s="5"/>
      <c r="E405" s="5"/>
      <c r="F405" s="5"/>
      <c r="G405" s="5"/>
      <c r="H405" s="5"/>
      <c r="I405" s="5"/>
      <c r="J405" s="5"/>
      <c r="K405" s="10"/>
      <c r="L405" s="6"/>
      <c r="M405" s="6"/>
      <c r="N405" s="6"/>
      <c r="O405" s="6"/>
      <c r="P405" s="6"/>
      <c r="Q405" s="5"/>
      <c r="R405" s="5"/>
      <c r="S405" s="5"/>
      <c r="T405" s="5"/>
    </row>
    <row r="406" spans="2:20" hidden="1">
      <c r="B406" s="5"/>
      <c r="C406" s="5"/>
      <c r="D406" s="5"/>
      <c r="E406" s="5"/>
      <c r="F406" s="5"/>
      <c r="G406" s="5"/>
      <c r="H406" s="5"/>
      <c r="I406" s="5"/>
      <c r="J406" s="5"/>
      <c r="K406" s="10"/>
      <c r="L406" s="6"/>
      <c r="M406" s="6"/>
      <c r="N406" s="6"/>
      <c r="O406" s="6"/>
      <c r="P406" s="6"/>
      <c r="Q406" s="5"/>
      <c r="R406" s="5"/>
      <c r="S406" s="5"/>
      <c r="T406" s="5"/>
    </row>
    <row r="407" spans="2:20" hidden="1">
      <c r="B407" s="5"/>
      <c r="C407" s="5"/>
      <c r="D407" s="5"/>
      <c r="E407" s="5"/>
      <c r="F407" s="5"/>
      <c r="G407" s="5"/>
      <c r="H407" s="5"/>
      <c r="I407" s="5"/>
      <c r="J407" s="5"/>
      <c r="K407" s="10"/>
      <c r="L407" s="6"/>
      <c r="M407" s="6"/>
      <c r="N407" s="6"/>
      <c r="O407" s="6"/>
      <c r="P407" s="6"/>
      <c r="Q407" s="5"/>
      <c r="R407" s="5"/>
      <c r="S407" s="5"/>
      <c r="T407" s="5"/>
    </row>
    <row r="408" spans="2:20" hidden="1">
      <c r="B408" s="5"/>
      <c r="C408" s="5"/>
      <c r="D408" s="5"/>
      <c r="E408" s="5"/>
      <c r="F408" s="5"/>
      <c r="G408" s="5"/>
      <c r="H408" s="5"/>
      <c r="I408" s="5"/>
      <c r="J408" s="5"/>
      <c r="K408" s="10"/>
      <c r="L408" s="6"/>
      <c r="M408" s="6"/>
      <c r="N408" s="6"/>
      <c r="O408" s="6"/>
      <c r="P408" s="6"/>
      <c r="Q408" s="5"/>
      <c r="R408" s="5"/>
      <c r="S408" s="5"/>
      <c r="T408" s="5"/>
    </row>
    <row r="409" spans="2:20" hidden="1">
      <c r="B409" s="5"/>
      <c r="C409" s="5"/>
      <c r="D409" s="5"/>
      <c r="E409" s="5"/>
      <c r="F409" s="5"/>
      <c r="G409" s="5"/>
      <c r="H409" s="5"/>
      <c r="I409" s="5"/>
      <c r="J409" s="5"/>
      <c r="K409" s="10"/>
      <c r="L409" s="6"/>
      <c r="M409" s="6"/>
      <c r="N409" s="6"/>
      <c r="O409" s="6"/>
      <c r="P409" s="6"/>
      <c r="Q409" s="5"/>
      <c r="R409" s="5"/>
      <c r="S409" s="5"/>
      <c r="T409" s="5"/>
    </row>
    <row r="410" spans="2:20" hidden="1">
      <c r="B410" s="5"/>
      <c r="C410" s="5"/>
      <c r="D410" s="5"/>
      <c r="E410" s="5"/>
      <c r="F410" s="5"/>
      <c r="G410" s="5"/>
      <c r="H410" s="5"/>
      <c r="I410" s="5"/>
      <c r="J410" s="5"/>
      <c r="K410" s="10"/>
      <c r="L410" s="6"/>
      <c r="M410" s="6"/>
      <c r="N410" s="6"/>
      <c r="O410" s="6"/>
      <c r="P410" s="6"/>
      <c r="Q410" s="5"/>
      <c r="R410" s="5"/>
      <c r="S410" s="5"/>
      <c r="T410" s="5"/>
    </row>
    <row r="411" spans="2:20" hidden="1">
      <c r="B411" s="5"/>
      <c r="C411" s="5"/>
      <c r="D411" s="5"/>
      <c r="E411" s="5"/>
      <c r="F411" s="5"/>
      <c r="G411" s="5"/>
      <c r="H411" s="5"/>
      <c r="I411" s="5"/>
      <c r="J411" s="5"/>
      <c r="K411" s="10"/>
      <c r="L411" s="6"/>
      <c r="M411" s="6"/>
      <c r="N411" s="6"/>
      <c r="O411" s="6"/>
      <c r="P411" s="6"/>
      <c r="Q411" s="5"/>
      <c r="R411" s="5"/>
      <c r="S411" s="5"/>
      <c r="T411" s="5"/>
    </row>
    <row r="412" spans="2:20" hidden="1">
      <c r="B412" s="5"/>
      <c r="C412" s="5"/>
      <c r="D412" s="5"/>
      <c r="E412" s="5"/>
      <c r="F412" s="5"/>
      <c r="G412" s="5"/>
      <c r="H412" s="5"/>
      <c r="I412" s="5"/>
      <c r="J412" s="5"/>
      <c r="K412" s="10"/>
      <c r="L412" s="6"/>
      <c r="M412" s="6"/>
      <c r="N412" s="6"/>
      <c r="O412" s="6"/>
      <c r="P412" s="6"/>
      <c r="Q412" s="5"/>
      <c r="R412" s="5"/>
      <c r="S412" s="5"/>
      <c r="T412" s="5"/>
    </row>
    <row r="413" spans="2:20" hidden="1">
      <c r="B413" s="5"/>
      <c r="C413" s="5"/>
      <c r="D413" s="5"/>
      <c r="E413" s="5"/>
      <c r="F413" s="5"/>
      <c r="G413" s="5"/>
      <c r="H413" s="5"/>
      <c r="I413" s="5"/>
      <c r="J413" s="5"/>
      <c r="K413" s="10"/>
      <c r="L413" s="6"/>
      <c r="M413" s="6"/>
      <c r="N413" s="6"/>
      <c r="O413" s="6"/>
      <c r="P413" s="6"/>
      <c r="Q413" s="5"/>
      <c r="R413" s="5"/>
      <c r="S413" s="5"/>
      <c r="T413" s="5"/>
    </row>
    <row r="414" spans="2:20" hidden="1">
      <c r="B414" s="5"/>
      <c r="C414" s="5"/>
      <c r="D414" s="5"/>
      <c r="E414" s="5"/>
      <c r="F414" s="5"/>
      <c r="G414" s="5"/>
      <c r="H414" s="5"/>
      <c r="I414" s="5"/>
      <c r="J414" s="5"/>
      <c r="K414" s="10"/>
      <c r="L414" s="6"/>
      <c r="M414" s="6"/>
      <c r="N414" s="6"/>
      <c r="O414" s="6"/>
      <c r="P414" s="6"/>
      <c r="Q414" s="5"/>
      <c r="R414" s="5"/>
      <c r="S414" s="5"/>
      <c r="T414" s="5"/>
    </row>
    <row r="415" spans="2:20" hidden="1">
      <c r="B415" s="5"/>
      <c r="C415" s="5"/>
      <c r="D415" s="5"/>
      <c r="E415" s="5"/>
      <c r="F415" s="5"/>
      <c r="G415" s="5"/>
      <c r="H415" s="5"/>
      <c r="I415" s="5"/>
      <c r="J415" s="5"/>
      <c r="K415" s="10"/>
      <c r="L415" s="6"/>
      <c r="M415" s="6"/>
      <c r="N415" s="6"/>
      <c r="O415" s="6"/>
      <c r="P415" s="6"/>
      <c r="Q415" s="5"/>
      <c r="R415" s="5"/>
      <c r="S415" s="5"/>
      <c r="T415" s="5"/>
    </row>
    <row r="416" spans="2:20" hidden="1">
      <c r="B416" s="5"/>
      <c r="C416" s="5"/>
      <c r="D416" s="5"/>
      <c r="E416" s="5"/>
      <c r="F416" s="5"/>
      <c r="G416" s="5"/>
      <c r="H416" s="5"/>
      <c r="I416" s="5"/>
      <c r="J416" s="5"/>
      <c r="K416" s="10"/>
      <c r="L416" s="6"/>
      <c r="M416" s="6"/>
      <c r="N416" s="6"/>
      <c r="O416" s="6"/>
      <c r="P416" s="6"/>
      <c r="Q416" s="5"/>
      <c r="R416" s="5"/>
      <c r="S416" s="5"/>
      <c r="T416" s="5"/>
    </row>
    <row r="417" spans="2:20" hidden="1">
      <c r="B417" s="5"/>
      <c r="C417" s="5"/>
      <c r="D417" s="5"/>
      <c r="E417" s="5"/>
      <c r="F417" s="5"/>
      <c r="G417" s="5"/>
      <c r="H417" s="5"/>
      <c r="I417" s="5"/>
      <c r="J417" s="5"/>
      <c r="K417" s="10"/>
      <c r="L417" s="6"/>
      <c r="M417" s="6"/>
      <c r="N417" s="6"/>
      <c r="O417" s="6"/>
      <c r="P417" s="6"/>
      <c r="Q417" s="5"/>
      <c r="R417" s="5"/>
      <c r="S417" s="5"/>
      <c r="T417" s="5"/>
    </row>
    <row r="418" spans="2:20" hidden="1">
      <c r="B418" s="5"/>
      <c r="C418" s="5"/>
      <c r="D418" s="5"/>
      <c r="E418" s="5"/>
      <c r="F418" s="5"/>
      <c r="G418" s="5"/>
      <c r="H418" s="5"/>
      <c r="I418" s="5"/>
      <c r="J418" s="5"/>
      <c r="K418" s="10"/>
      <c r="L418" s="6"/>
      <c r="M418" s="6"/>
      <c r="N418" s="6"/>
      <c r="O418" s="6"/>
      <c r="P418" s="6"/>
      <c r="Q418" s="5"/>
      <c r="R418" s="5"/>
      <c r="S418" s="5"/>
      <c r="T418" s="5"/>
    </row>
    <row r="419" spans="2:20" hidden="1">
      <c r="B419" s="5"/>
      <c r="C419" s="5"/>
      <c r="D419" s="5"/>
      <c r="E419" s="5"/>
      <c r="F419" s="5"/>
      <c r="G419" s="5"/>
      <c r="H419" s="5"/>
      <c r="I419" s="5"/>
      <c r="J419" s="5"/>
      <c r="K419" s="10"/>
      <c r="L419" s="6"/>
      <c r="M419" s="6"/>
      <c r="N419" s="6"/>
      <c r="O419" s="6"/>
      <c r="P419" s="6"/>
      <c r="Q419" s="5"/>
      <c r="R419" s="5"/>
      <c r="S419" s="5"/>
      <c r="T419" s="5"/>
    </row>
    <row r="420" spans="2:20" hidden="1">
      <c r="B420" s="5"/>
      <c r="C420" s="5"/>
      <c r="D420" s="5"/>
      <c r="E420" s="5"/>
      <c r="F420" s="5"/>
      <c r="G420" s="5"/>
      <c r="H420" s="5"/>
      <c r="I420" s="5"/>
      <c r="J420" s="5"/>
      <c r="K420" s="10"/>
      <c r="L420" s="6"/>
      <c r="M420" s="6"/>
      <c r="N420" s="6"/>
      <c r="O420" s="6"/>
      <c r="P420" s="6"/>
      <c r="Q420" s="5"/>
      <c r="R420" s="5"/>
      <c r="S420" s="5"/>
      <c r="T420" s="5"/>
    </row>
    <row r="421" spans="2:20" hidden="1">
      <c r="B421" s="5"/>
      <c r="C421" s="5"/>
      <c r="D421" s="5"/>
      <c r="E421" s="5"/>
      <c r="F421" s="5"/>
      <c r="G421" s="5"/>
      <c r="H421" s="5"/>
      <c r="I421" s="5"/>
      <c r="J421" s="5"/>
      <c r="K421" s="10"/>
      <c r="L421" s="6"/>
      <c r="M421" s="6"/>
      <c r="N421" s="6"/>
      <c r="O421" s="6"/>
      <c r="P421" s="6"/>
      <c r="Q421" s="5"/>
      <c r="R421" s="5"/>
      <c r="S421" s="5"/>
      <c r="T421" s="5"/>
    </row>
    <row r="422" spans="2:20" hidden="1">
      <c r="B422" s="5"/>
      <c r="C422" s="5"/>
      <c r="D422" s="5"/>
      <c r="E422" s="5"/>
      <c r="F422" s="5"/>
      <c r="G422" s="5"/>
      <c r="H422" s="5"/>
      <c r="I422" s="5"/>
      <c r="J422" s="5"/>
      <c r="K422" s="10"/>
      <c r="L422" s="6"/>
      <c r="M422" s="6"/>
      <c r="N422" s="6"/>
      <c r="O422" s="6"/>
      <c r="P422" s="6"/>
      <c r="Q422" s="5"/>
      <c r="R422" s="5"/>
      <c r="S422" s="5"/>
      <c r="T422" s="5"/>
    </row>
    <row r="423" spans="2:20" hidden="1">
      <c r="B423" s="5"/>
      <c r="C423" s="5"/>
      <c r="D423" s="5"/>
      <c r="E423" s="5"/>
      <c r="F423" s="5"/>
      <c r="G423" s="5"/>
      <c r="H423" s="5"/>
      <c r="I423" s="5"/>
      <c r="J423" s="5"/>
      <c r="K423" s="10"/>
      <c r="L423" s="6"/>
      <c r="M423" s="6"/>
      <c r="N423" s="6"/>
      <c r="O423" s="6"/>
      <c r="P423" s="6"/>
      <c r="Q423" s="5"/>
      <c r="R423" s="5"/>
      <c r="S423" s="5"/>
      <c r="T423" s="5"/>
    </row>
    <row r="424" spans="2:20" hidden="1">
      <c r="B424" s="5"/>
      <c r="C424" s="5"/>
      <c r="D424" s="5"/>
      <c r="E424" s="5"/>
      <c r="F424" s="5"/>
      <c r="G424" s="5"/>
      <c r="H424" s="5"/>
      <c r="I424" s="5"/>
      <c r="J424" s="5"/>
      <c r="K424" s="10"/>
      <c r="L424" s="6"/>
      <c r="M424" s="6"/>
      <c r="N424" s="6"/>
      <c r="O424" s="6"/>
      <c r="P424" s="6"/>
      <c r="Q424" s="5"/>
      <c r="R424" s="5"/>
      <c r="S424" s="5"/>
      <c r="T424" s="5"/>
    </row>
    <row r="425" spans="2:20" hidden="1">
      <c r="B425" s="5"/>
      <c r="C425" s="5"/>
      <c r="D425" s="5"/>
      <c r="E425" s="5"/>
      <c r="F425" s="5"/>
      <c r="G425" s="5"/>
      <c r="H425" s="5"/>
      <c r="I425" s="5"/>
      <c r="J425" s="5"/>
      <c r="K425" s="10"/>
      <c r="L425" s="6"/>
      <c r="M425" s="6"/>
      <c r="N425" s="6"/>
      <c r="O425" s="6"/>
      <c r="P425" s="6"/>
      <c r="Q425" s="5"/>
      <c r="R425" s="5"/>
      <c r="S425" s="5"/>
      <c r="T425" s="5"/>
    </row>
    <row r="426" spans="2:20" hidden="1">
      <c r="B426" s="5"/>
      <c r="C426" s="5"/>
      <c r="D426" s="5"/>
      <c r="E426" s="5"/>
      <c r="F426" s="5"/>
      <c r="G426" s="5"/>
      <c r="H426" s="5"/>
      <c r="I426" s="5"/>
      <c r="J426" s="5"/>
      <c r="K426" s="10"/>
      <c r="L426" s="6"/>
      <c r="M426" s="6"/>
      <c r="N426" s="6"/>
      <c r="O426" s="6"/>
      <c r="P426" s="6"/>
      <c r="Q426" s="5"/>
      <c r="R426" s="5"/>
      <c r="S426" s="5"/>
      <c r="T426" s="5"/>
    </row>
    <row r="427" spans="2:20" hidden="1">
      <c r="B427" s="5"/>
      <c r="C427" s="5"/>
      <c r="D427" s="5"/>
      <c r="E427" s="5"/>
      <c r="F427" s="5"/>
      <c r="G427" s="5"/>
      <c r="H427" s="5"/>
      <c r="I427" s="5"/>
      <c r="J427" s="5"/>
      <c r="K427" s="10"/>
      <c r="L427" s="6"/>
      <c r="M427" s="6"/>
      <c r="N427" s="6"/>
      <c r="O427" s="6"/>
      <c r="P427" s="6"/>
      <c r="Q427" s="5"/>
      <c r="R427" s="5"/>
      <c r="S427" s="5"/>
      <c r="T427" s="5"/>
    </row>
    <row r="428" spans="2:20" hidden="1">
      <c r="B428" s="5"/>
      <c r="C428" s="5"/>
      <c r="D428" s="5"/>
      <c r="E428" s="5"/>
      <c r="F428" s="5"/>
      <c r="G428" s="5"/>
      <c r="H428" s="5"/>
      <c r="I428" s="5"/>
      <c r="J428" s="5"/>
      <c r="K428" s="10"/>
      <c r="L428" s="6"/>
      <c r="M428" s="6"/>
      <c r="N428" s="6"/>
      <c r="O428" s="6"/>
      <c r="P428" s="6"/>
      <c r="Q428" s="5"/>
      <c r="R428" s="5"/>
      <c r="S428" s="5"/>
      <c r="T428" s="5"/>
    </row>
    <row r="429" spans="2:20" hidden="1">
      <c r="B429" s="5"/>
      <c r="C429" s="5"/>
      <c r="D429" s="5"/>
      <c r="E429" s="5"/>
      <c r="F429" s="5"/>
      <c r="G429" s="5"/>
      <c r="H429" s="5"/>
      <c r="I429" s="5"/>
      <c r="J429" s="5"/>
      <c r="K429" s="10"/>
      <c r="L429" s="6"/>
      <c r="M429" s="6"/>
      <c r="N429" s="6"/>
      <c r="O429" s="6"/>
      <c r="P429" s="6"/>
      <c r="Q429" s="5"/>
      <c r="R429" s="5"/>
      <c r="S429" s="5"/>
      <c r="T429" s="5"/>
    </row>
    <row r="430" spans="2:20" hidden="1">
      <c r="B430" s="5"/>
      <c r="C430" s="5"/>
      <c r="D430" s="5"/>
      <c r="E430" s="5"/>
      <c r="F430" s="5"/>
      <c r="G430" s="5"/>
      <c r="H430" s="5"/>
      <c r="I430" s="5"/>
      <c r="J430" s="5"/>
      <c r="K430" s="10"/>
      <c r="L430" s="6"/>
      <c r="M430" s="6"/>
      <c r="N430" s="6"/>
      <c r="O430" s="6"/>
      <c r="P430" s="6"/>
      <c r="Q430" s="5"/>
      <c r="R430" s="5"/>
      <c r="S430" s="5"/>
      <c r="T430" s="5"/>
    </row>
    <row r="431" spans="2:20" hidden="1">
      <c r="B431" s="5"/>
      <c r="C431" s="5"/>
      <c r="D431" s="5"/>
      <c r="E431" s="5"/>
      <c r="F431" s="5"/>
      <c r="G431" s="5"/>
      <c r="H431" s="5"/>
      <c r="I431" s="5"/>
      <c r="J431" s="5"/>
      <c r="K431" s="10"/>
      <c r="L431" s="6"/>
      <c r="M431" s="6"/>
      <c r="N431" s="6"/>
      <c r="O431" s="6"/>
      <c r="P431" s="6"/>
      <c r="Q431" s="5"/>
      <c r="R431" s="5"/>
      <c r="S431" s="5"/>
      <c r="T431" s="5"/>
    </row>
    <row r="432" spans="2:20" hidden="1">
      <c r="B432" s="5"/>
      <c r="C432" s="5"/>
      <c r="D432" s="5"/>
      <c r="E432" s="5"/>
      <c r="F432" s="5"/>
      <c r="G432" s="5"/>
      <c r="H432" s="5"/>
      <c r="I432" s="5"/>
      <c r="J432" s="5"/>
      <c r="K432" s="10"/>
      <c r="L432" s="6"/>
      <c r="M432" s="6"/>
      <c r="N432" s="6"/>
      <c r="O432" s="6"/>
      <c r="P432" s="6"/>
      <c r="Q432" s="5"/>
      <c r="R432" s="5"/>
      <c r="S432" s="5"/>
      <c r="T432" s="5"/>
    </row>
    <row r="433" spans="2:20" hidden="1">
      <c r="B433" s="5"/>
      <c r="C433" s="5"/>
      <c r="D433" s="5"/>
      <c r="E433" s="5"/>
      <c r="F433" s="5"/>
      <c r="G433" s="5"/>
      <c r="H433" s="5"/>
      <c r="I433" s="5"/>
      <c r="J433" s="5"/>
      <c r="K433" s="10"/>
      <c r="L433" s="6"/>
      <c r="M433" s="6"/>
      <c r="N433" s="6"/>
      <c r="O433" s="6"/>
      <c r="P433" s="6"/>
      <c r="Q433" s="5"/>
      <c r="R433" s="5"/>
      <c r="S433" s="5"/>
      <c r="T433" s="5"/>
    </row>
    <row r="434" spans="2:20" hidden="1">
      <c r="B434" s="5"/>
      <c r="C434" s="5"/>
      <c r="D434" s="5"/>
      <c r="E434" s="5"/>
      <c r="F434" s="5"/>
      <c r="G434" s="5"/>
      <c r="H434" s="5"/>
      <c r="I434" s="5"/>
      <c r="J434" s="5"/>
      <c r="K434" s="10"/>
      <c r="L434" s="6"/>
      <c r="M434" s="6"/>
      <c r="N434" s="6"/>
      <c r="O434" s="6"/>
      <c r="P434" s="6"/>
      <c r="Q434" s="5"/>
      <c r="R434" s="5"/>
      <c r="S434" s="5"/>
      <c r="T434" s="5"/>
    </row>
    <row r="435" spans="2:20" hidden="1">
      <c r="B435" s="5"/>
      <c r="C435" s="5"/>
      <c r="D435" s="5"/>
      <c r="E435" s="5"/>
      <c r="F435" s="5"/>
      <c r="G435" s="5"/>
      <c r="H435" s="5"/>
      <c r="I435" s="5"/>
      <c r="J435" s="5"/>
      <c r="K435" s="10"/>
      <c r="L435" s="6"/>
      <c r="M435" s="6"/>
      <c r="N435" s="6"/>
      <c r="O435" s="6"/>
      <c r="P435" s="6"/>
      <c r="Q435" s="5"/>
      <c r="R435" s="5"/>
      <c r="S435" s="5"/>
      <c r="T435" s="5"/>
    </row>
    <row r="436" spans="2:20" hidden="1">
      <c r="B436" s="5"/>
      <c r="C436" s="5"/>
      <c r="D436" s="5"/>
      <c r="E436" s="5"/>
      <c r="F436" s="5"/>
      <c r="G436" s="5"/>
      <c r="H436" s="5"/>
      <c r="I436" s="5"/>
      <c r="J436" s="5"/>
      <c r="K436" s="10"/>
      <c r="L436" s="6"/>
      <c r="M436" s="6"/>
      <c r="N436" s="6"/>
      <c r="O436" s="6"/>
      <c r="P436" s="6"/>
      <c r="Q436" s="5"/>
      <c r="R436" s="5"/>
      <c r="S436" s="5"/>
      <c r="T436" s="5"/>
    </row>
    <row r="437" spans="2:20" hidden="1">
      <c r="B437" s="5"/>
      <c r="C437" s="5"/>
      <c r="D437" s="5"/>
      <c r="E437" s="5"/>
      <c r="F437" s="5"/>
      <c r="G437" s="5"/>
      <c r="H437" s="5"/>
      <c r="I437" s="5"/>
      <c r="J437" s="5"/>
      <c r="K437" s="10"/>
      <c r="L437" s="6"/>
      <c r="M437" s="6"/>
      <c r="N437" s="6"/>
      <c r="O437" s="6"/>
      <c r="P437" s="6"/>
      <c r="Q437" s="5"/>
      <c r="R437" s="5"/>
      <c r="S437" s="5"/>
      <c r="T437" s="5"/>
    </row>
    <row r="438" spans="2:20" hidden="1">
      <c r="B438" s="5"/>
      <c r="C438" s="5"/>
      <c r="D438" s="5"/>
      <c r="E438" s="5"/>
      <c r="F438" s="5"/>
      <c r="G438" s="5"/>
      <c r="H438" s="5"/>
      <c r="I438" s="5"/>
      <c r="J438" s="5"/>
      <c r="K438" s="10"/>
      <c r="L438" s="6"/>
      <c r="M438" s="6"/>
      <c r="N438" s="6"/>
      <c r="O438" s="6"/>
      <c r="P438" s="6"/>
      <c r="Q438" s="5"/>
      <c r="R438" s="5"/>
      <c r="S438" s="5"/>
      <c r="T438" s="5"/>
    </row>
    <row r="439" spans="2:20" hidden="1">
      <c r="B439" s="5"/>
      <c r="C439" s="5"/>
      <c r="D439" s="5"/>
      <c r="E439" s="5"/>
      <c r="F439" s="5"/>
      <c r="G439" s="5"/>
      <c r="H439" s="5"/>
      <c r="I439" s="5"/>
      <c r="J439" s="5"/>
      <c r="K439" s="10"/>
      <c r="L439" s="6"/>
      <c r="M439" s="6"/>
      <c r="N439" s="6"/>
      <c r="O439" s="6"/>
      <c r="P439" s="6"/>
      <c r="Q439" s="5"/>
      <c r="R439" s="5"/>
      <c r="S439" s="5"/>
      <c r="T439" s="5"/>
    </row>
    <row r="440" spans="2:20" hidden="1">
      <c r="B440" s="5"/>
      <c r="C440" s="5"/>
      <c r="D440" s="5"/>
      <c r="E440" s="5"/>
      <c r="F440" s="5"/>
      <c r="G440" s="5"/>
      <c r="H440" s="5"/>
      <c r="I440" s="5"/>
      <c r="J440" s="5"/>
      <c r="K440" s="10"/>
      <c r="L440" s="6"/>
      <c r="M440" s="6"/>
      <c r="N440" s="6"/>
      <c r="O440" s="6"/>
      <c r="P440" s="6"/>
      <c r="Q440" s="5"/>
      <c r="R440" s="5"/>
      <c r="S440" s="5"/>
      <c r="T440" s="5"/>
    </row>
    <row r="441" spans="2:20" hidden="1">
      <c r="B441" s="5"/>
      <c r="C441" s="5"/>
      <c r="D441" s="5"/>
      <c r="E441" s="5"/>
      <c r="F441" s="5"/>
      <c r="G441" s="5"/>
      <c r="H441" s="5"/>
      <c r="I441" s="5"/>
      <c r="J441" s="5"/>
      <c r="K441" s="10"/>
      <c r="L441" s="6"/>
      <c r="M441" s="6"/>
      <c r="N441" s="6"/>
      <c r="O441" s="6"/>
      <c r="P441" s="6"/>
      <c r="Q441" s="5"/>
      <c r="R441" s="5"/>
      <c r="S441" s="5"/>
      <c r="T441" s="5"/>
    </row>
    <row r="442" spans="2:20" hidden="1">
      <c r="B442" s="5"/>
      <c r="C442" s="5"/>
      <c r="D442" s="5"/>
      <c r="E442" s="5"/>
      <c r="F442" s="5"/>
      <c r="G442" s="5"/>
      <c r="H442" s="5"/>
      <c r="I442" s="5"/>
      <c r="J442" s="5"/>
      <c r="K442" s="10"/>
      <c r="L442" s="6"/>
      <c r="M442" s="6"/>
      <c r="N442" s="6"/>
      <c r="O442" s="6"/>
      <c r="P442" s="6"/>
      <c r="Q442" s="5"/>
      <c r="R442" s="5"/>
      <c r="S442" s="5"/>
      <c r="T442" s="5"/>
    </row>
    <row r="443" spans="2:20" hidden="1">
      <c r="B443" s="5"/>
      <c r="C443" s="5"/>
      <c r="D443" s="5"/>
      <c r="E443" s="5"/>
      <c r="F443" s="5"/>
      <c r="G443" s="5"/>
      <c r="H443" s="5"/>
      <c r="I443" s="5"/>
      <c r="J443" s="5"/>
      <c r="K443" s="10"/>
      <c r="L443" s="6"/>
      <c r="M443" s="6"/>
      <c r="N443" s="6"/>
      <c r="O443" s="6"/>
      <c r="P443" s="6"/>
      <c r="Q443" s="5"/>
      <c r="R443" s="5"/>
      <c r="S443" s="5"/>
      <c r="T443" s="5"/>
    </row>
    <row r="444" spans="2:20" hidden="1">
      <c r="B444" s="5"/>
      <c r="C444" s="5"/>
      <c r="D444" s="5"/>
      <c r="E444" s="5"/>
      <c r="F444" s="5"/>
      <c r="G444" s="5"/>
      <c r="H444" s="5"/>
      <c r="I444" s="5"/>
      <c r="J444" s="5"/>
      <c r="K444" s="10"/>
      <c r="L444" s="6"/>
      <c r="M444" s="6"/>
      <c r="N444" s="6"/>
      <c r="O444" s="6"/>
      <c r="P444" s="6"/>
      <c r="Q444" s="5"/>
      <c r="R444" s="5"/>
      <c r="S444" s="5"/>
      <c r="T444" s="5"/>
    </row>
    <row r="445" spans="2:20" hidden="1">
      <c r="B445" s="5"/>
      <c r="C445" s="5"/>
      <c r="D445" s="5"/>
      <c r="E445" s="5"/>
      <c r="F445" s="5"/>
      <c r="G445" s="5"/>
      <c r="H445" s="5"/>
      <c r="I445" s="5"/>
      <c r="J445" s="5"/>
      <c r="K445" s="10"/>
      <c r="L445" s="6"/>
      <c r="M445" s="6"/>
      <c r="N445" s="6"/>
      <c r="O445" s="6"/>
      <c r="P445" s="6"/>
      <c r="Q445" s="5"/>
      <c r="R445" s="5"/>
      <c r="S445" s="5"/>
      <c r="T445" s="5"/>
    </row>
    <row r="446" spans="2:20" hidden="1">
      <c r="B446" s="5"/>
      <c r="C446" s="5"/>
      <c r="D446" s="5"/>
      <c r="E446" s="5"/>
      <c r="F446" s="5"/>
      <c r="G446" s="5"/>
      <c r="H446" s="5"/>
      <c r="I446" s="5"/>
      <c r="J446" s="5"/>
      <c r="K446" s="10"/>
      <c r="L446" s="6"/>
      <c r="M446" s="6"/>
      <c r="N446" s="6"/>
      <c r="O446" s="6"/>
      <c r="P446" s="6"/>
      <c r="Q446" s="5"/>
      <c r="R446" s="5"/>
      <c r="S446" s="5"/>
      <c r="T446" s="5"/>
    </row>
    <row r="447" spans="2:20" hidden="1">
      <c r="B447" s="5"/>
      <c r="C447" s="5"/>
      <c r="D447" s="5"/>
      <c r="E447" s="5"/>
      <c r="F447" s="5"/>
      <c r="G447" s="5"/>
      <c r="H447" s="5"/>
      <c r="I447" s="5"/>
      <c r="J447" s="5"/>
      <c r="K447" s="10"/>
      <c r="L447" s="6"/>
      <c r="M447" s="6"/>
      <c r="N447" s="6"/>
      <c r="O447" s="6"/>
      <c r="P447" s="6"/>
      <c r="Q447" s="5"/>
      <c r="R447" s="5"/>
      <c r="S447" s="5"/>
      <c r="T447" s="5"/>
    </row>
    <row r="448" spans="2:20" hidden="1">
      <c r="B448" s="5"/>
      <c r="C448" s="5"/>
      <c r="D448" s="5"/>
      <c r="E448" s="5"/>
      <c r="F448" s="5"/>
      <c r="G448" s="5"/>
      <c r="H448" s="5"/>
      <c r="I448" s="5"/>
      <c r="J448" s="5"/>
      <c r="K448" s="10"/>
      <c r="L448" s="6"/>
      <c r="M448" s="6"/>
      <c r="N448" s="6"/>
      <c r="O448" s="6"/>
      <c r="P448" s="6"/>
      <c r="Q448" s="5"/>
      <c r="R448" s="5"/>
      <c r="S448" s="5"/>
      <c r="T448" s="5"/>
    </row>
    <row r="449" spans="2:20" hidden="1">
      <c r="B449" s="5"/>
      <c r="C449" s="5"/>
      <c r="D449" s="5"/>
      <c r="E449" s="5"/>
      <c r="F449" s="5"/>
      <c r="G449" s="5"/>
      <c r="H449" s="5"/>
      <c r="I449" s="5"/>
      <c r="J449" s="5"/>
      <c r="K449" s="10"/>
      <c r="L449" s="6"/>
      <c r="M449" s="6"/>
      <c r="N449" s="6"/>
      <c r="O449" s="6"/>
      <c r="P449" s="6"/>
      <c r="Q449" s="5"/>
      <c r="R449" s="5"/>
      <c r="S449" s="5"/>
      <c r="T449" s="5"/>
    </row>
    <row r="450" spans="2:20" hidden="1">
      <c r="B450" s="5"/>
      <c r="C450" s="5"/>
      <c r="D450" s="5"/>
      <c r="E450" s="5"/>
      <c r="F450" s="5"/>
      <c r="G450" s="5"/>
      <c r="H450" s="5"/>
      <c r="I450" s="5"/>
      <c r="J450" s="5"/>
      <c r="K450" s="10"/>
      <c r="L450" s="6"/>
      <c r="M450" s="6"/>
      <c r="N450" s="6"/>
      <c r="O450" s="6"/>
      <c r="P450" s="6"/>
      <c r="Q450" s="5"/>
      <c r="R450" s="5"/>
      <c r="S450" s="5"/>
      <c r="T450" s="5"/>
    </row>
    <row r="451" spans="2:20" hidden="1">
      <c r="B451" s="5"/>
      <c r="C451" s="5"/>
      <c r="D451" s="5"/>
      <c r="E451" s="5"/>
      <c r="F451" s="5"/>
      <c r="G451" s="5"/>
      <c r="H451" s="5"/>
      <c r="I451" s="5"/>
      <c r="J451" s="5"/>
      <c r="K451" s="10"/>
      <c r="L451" s="6"/>
      <c r="M451" s="6"/>
      <c r="N451" s="6"/>
      <c r="O451" s="6"/>
      <c r="P451" s="6"/>
      <c r="Q451" s="5"/>
      <c r="R451" s="5"/>
      <c r="S451" s="5"/>
      <c r="T451" s="5"/>
    </row>
    <row r="452" spans="2:20" hidden="1">
      <c r="B452" s="5"/>
      <c r="C452" s="5"/>
      <c r="D452" s="5"/>
      <c r="E452" s="5"/>
      <c r="F452" s="5"/>
      <c r="G452" s="5"/>
      <c r="H452" s="5"/>
      <c r="I452" s="5"/>
      <c r="J452" s="5"/>
      <c r="K452" s="10"/>
      <c r="L452" s="6"/>
      <c r="M452" s="6"/>
      <c r="N452" s="6"/>
      <c r="O452" s="6"/>
      <c r="P452" s="6"/>
      <c r="Q452" s="5"/>
      <c r="R452" s="5"/>
      <c r="S452" s="5"/>
      <c r="T452" s="5"/>
    </row>
    <row r="453" spans="2:20" hidden="1">
      <c r="B453" s="5"/>
      <c r="C453" s="5"/>
      <c r="D453" s="5"/>
      <c r="E453" s="5"/>
      <c r="F453" s="5"/>
      <c r="G453" s="5"/>
      <c r="H453" s="5"/>
      <c r="I453" s="5"/>
      <c r="J453" s="5"/>
      <c r="K453" s="10"/>
      <c r="L453" s="6"/>
      <c r="M453" s="6"/>
      <c r="N453" s="6"/>
      <c r="O453" s="6"/>
      <c r="P453" s="6"/>
      <c r="Q453" s="5"/>
      <c r="R453" s="5"/>
      <c r="S453" s="5"/>
      <c r="T453" s="5"/>
    </row>
    <row r="454" spans="2:20" hidden="1">
      <c r="B454" s="5"/>
      <c r="C454" s="5"/>
      <c r="D454" s="5"/>
      <c r="E454" s="5"/>
      <c r="F454" s="5"/>
      <c r="G454" s="5"/>
      <c r="H454" s="5"/>
      <c r="I454" s="5"/>
      <c r="J454" s="5"/>
      <c r="K454" s="10"/>
      <c r="L454" s="6"/>
      <c r="M454" s="6"/>
      <c r="N454" s="6"/>
      <c r="O454" s="6"/>
      <c r="P454" s="6"/>
      <c r="Q454" s="5"/>
      <c r="R454" s="5"/>
      <c r="S454" s="5"/>
      <c r="T454" s="5"/>
    </row>
    <row r="455" spans="2:20" hidden="1">
      <c r="B455" s="5"/>
      <c r="C455" s="5"/>
      <c r="D455" s="5"/>
      <c r="E455" s="5"/>
      <c r="F455" s="5"/>
      <c r="G455" s="5"/>
      <c r="H455" s="5"/>
      <c r="I455" s="5"/>
      <c r="J455" s="5"/>
      <c r="K455" s="10"/>
      <c r="L455" s="6"/>
      <c r="M455" s="6"/>
      <c r="N455" s="6"/>
      <c r="O455" s="6"/>
      <c r="P455" s="6"/>
      <c r="Q455" s="5"/>
      <c r="R455" s="5"/>
      <c r="S455" s="5"/>
      <c r="T455" s="5"/>
    </row>
    <row r="456" spans="2:20" hidden="1">
      <c r="B456" s="5"/>
      <c r="C456" s="5"/>
      <c r="D456" s="5"/>
      <c r="E456" s="5"/>
      <c r="F456" s="5"/>
      <c r="G456" s="5"/>
      <c r="H456" s="5"/>
      <c r="I456" s="5"/>
      <c r="J456" s="5"/>
      <c r="K456" s="10"/>
      <c r="L456" s="6"/>
      <c r="M456" s="6"/>
      <c r="N456" s="6"/>
      <c r="O456" s="6"/>
      <c r="P456" s="6"/>
      <c r="Q456" s="5"/>
      <c r="R456" s="5"/>
      <c r="S456" s="5"/>
      <c r="T456" s="5"/>
    </row>
    <row r="457" spans="2:20" hidden="1">
      <c r="B457" s="5"/>
      <c r="C457" s="5"/>
      <c r="D457" s="5"/>
      <c r="E457" s="5"/>
      <c r="F457" s="5"/>
      <c r="G457" s="5"/>
      <c r="H457" s="5"/>
      <c r="I457" s="5"/>
      <c r="J457" s="5"/>
      <c r="K457" s="10"/>
      <c r="L457" s="6"/>
      <c r="M457" s="6"/>
      <c r="N457" s="6"/>
      <c r="O457" s="6"/>
      <c r="P457" s="6"/>
      <c r="Q457" s="5"/>
      <c r="R457" s="5"/>
      <c r="S457" s="5"/>
      <c r="T457" s="5"/>
    </row>
    <row r="458" spans="2:20" hidden="1">
      <c r="B458" s="5"/>
      <c r="C458" s="5"/>
      <c r="D458" s="5"/>
      <c r="E458" s="5"/>
      <c r="F458" s="5"/>
      <c r="G458" s="5"/>
      <c r="H458" s="5"/>
      <c r="I458" s="5"/>
      <c r="J458" s="5"/>
      <c r="K458" s="10"/>
      <c r="L458" s="6"/>
      <c r="M458" s="6"/>
      <c r="N458" s="6"/>
      <c r="O458" s="6"/>
      <c r="P458" s="6"/>
      <c r="Q458" s="5"/>
      <c r="R458" s="5"/>
      <c r="S458" s="5"/>
      <c r="T458" s="5"/>
    </row>
    <row r="459" spans="2:20" hidden="1">
      <c r="B459" s="5"/>
      <c r="C459" s="5"/>
      <c r="D459" s="5"/>
      <c r="E459" s="5"/>
      <c r="F459" s="5"/>
      <c r="G459" s="5"/>
      <c r="H459" s="5"/>
      <c r="I459" s="5"/>
      <c r="J459" s="5"/>
      <c r="K459" s="10"/>
      <c r="L459" s="6"/>
      <c r="M459" s="6"/>
      <c r="N459" s="6"/>
      <c r="O459" s="6"/>
      <c r="P459" s="6"/>
      <c r="Q459" s="5"/>
      <c r="R459" s="5"/>
      <c r="S459" s="5"/>
      <c r="T459" s="5"/>
    </row>
    <row r="460" spans="2:20" hidden="1">
      <c r="B460" s="5"/>
      <c r="C460" s="5"/>
      <c r="D460" s="5"/>
      <c r="E460" s="5"/>
      <c r="F460" s="5"/>
      <c r="G460" s="5"/>
      <c r="H460" s="5"/>
      <c r="I460" s="5"/>
      <c r="J460" s="5"/>
      <c r="K460" s="10"/>
      <c r="L460" s="6"/>
      <c r="M460" s="6"/>
      <c r="N460" s="6"/>
      <c r="O460" s="6"/>
      <c r="P460" s="6"/>
      <c r="Q460" s="5"/>
      <c r="R460" s="5"/>
      <c r="S460" s="5"/>
      <c r="T460" s="5"/>
    </row>
    <row r="461" spans="2:20" hidden="1">
      <c r="B461" s="5"/>
      <c r="C461" s="5"/>
      <c r="D461" s="5"/>
      <c r="E461" s="5"/>
      <c r="F461" s="5"/>
      <c r="G461" s="5"/>
      <c r="H461" s="5"/>
      <c r="I461" s="5"/>
      <c r="J461" s="5"/>
      <c r="K461" s="10"/>
      <c r="L461" s="6"/>
      <c r="M461" s="6"/>
      <c r="N461" s="6"/>
      <c r="O461" s="6"/>
      <c r="P461" s="6"/>
      <c r="Q461" s="5"/>
      <c r="R461" s="5"/>
      <c r="S461" s="5"/>
      <c r="T461" s="5"/>
    </row>
    <row r="462" spans="2:20" hidden="1">
      <c r="B462" s="5"/>
      <c r="C462" s="5"/>
      <c r="D462" s="5"/>
      <c r="E462" s="5"/>
      <c r="F462" s="5"/>
      <c r="G462" s="5"/>
      <c r="H462" s="5"/>
      <c r="I462" s="5"/>
      <c r="J462" s="5"/>
      <c r="K462" s="10"/>
      <c r="L462" s="6"/>
      <c r="M462" s="6"/>
      <c r="N462" s="6"/>
      <c r="O462" s="6"/>
      <c r="P462" s="6"/>
      <c r="Q462" s="5"/>
      <c r="R462" s="5"/>
      <c r="S462" s="5"/>
      <c r="T462" s="5"/>
    </row>
    <row r="463" spans="2:20" hidden="1">
      <c r="B463" s="5"/>
      <c r="C463" s="5"/>
      <c r="D463" s="5"/>
      <c r="E463" s="5"/>
      <c r="F463" s="5"/>
      <c r="G463" s="5"/>
      <c r="H463" s="5"/>
      <c r="I463" s="5"/>
      <c r="J463" s="5"/>
      <c r="K463" s="10"/>
      <c r="L463" s="6"/>
      <c r="M463" s="6"/>
      <c r="N463" s="6"/>
      <c r="O463" s="6"/>
      <c r="P463" s="6"/>
      <c r="Q463" s="5"/>
      <c r="R463" s="5"/>
      <c r="S463" s="5"/>
      <c r="T463" s="5"/>
    </row>
    <row r="464" spans="2:20" hidden="1">
      <c r="B464" s="5"/>
      <c r="C464" s="5"/>
      <c r="D464" s="5"/>
      <c r="E464" s="5"/>
      <c r="F464" s="5"/>
      <c r="G464" s="5"/>
      <c r="H464" s="5"/>
      <c r="I464" s="5"/>
      <c r="J464" s="5"/>
      <c r="K464" s="10"/>
      <c r="L464" s="6"/>
      <c r="M464" s="6"/>
      <c r="N464" s="6"/>
      <c r="O464" s="6"/>
      <c r="P464" s="6"/>
      <c r="Q464" s="5"/>
      <c r="R464" s="5"/>
      <c r="S464" s="5"/>
      <c r="T464" s="5"/>
    </row>
    <row r="465" spans="2:20" hidden="1">
      <c r="B465" s="5"/>
      <c r="C465" s="5"/>
      <c r="D465" s="5"/>
      <c r="E465" s="5"/>
      <c r="F465" s="5"/>
      <c r="G465" s="5"/>
      <c r="H465" s="5"/>
      <c r="I465" s="5"/>
      <c r="J465" s="5"/>
      <c r="K465" s="10"/>
      <c r="L465" s="6"/>
      <c r="M465" s="6"/>
      <c r="N465" s="6"/>
      <c r="O465" s="6"/>
      <c r="P465" s="6"/>
      <c r="Q465" s="5"/>
      <c r="R465" s="5"/>
      <c r="S465" s="5"/>
      <c r="T465" s="5"/>
    </row>
    <row r="466" spans="2:20" hidden="1">
      <c r="B466" s="5"/>
      <c r="C466" s="5"/>
      <c r="D466" s="5"/>
      <c r="E466" s="5"/>
      <c r="F466" s="5"/>
      <c r="G466" s="5"/>
      <c r="H466" s="5"/>
      <c r="I466" s="5"/>
      <c r="J466" s="5"/>
      <c r="K466" s="10"/>
      <c r="L466" s="6"/>
      <c r="M466" s="6"/>
      <c r="N466" s="6"/>
      <c r="O466" s="6"/>
      <c r="P466" s="6"/>
      <c r="Q466" s="5"/>
      <c r="R466" s="5"/>
      <c r="S466" s="5"/>
      <c r="T466" s="5"/>
    </row>
    <row r="467" spans="2:20" hidden="1">
      <c r="B467" s="5"/>
      <c r="C467" s="5"/>
      <c r="D467" s="5"/>
      <c r="E467" s="5"/>
      <c r="F467" s="5"/>
      <c r="G467" s="5"/>
      <c r="H467" s="5"/>
      <c r="I467" s="5"/>
      <c r="J467" s="5"/>
      <c r="K467" s="10"/>
      <c r="L467" s="6"/>
      <c r="M467" s="6"/>
      <c r="N467" s="6"/>
      <c r="O467" s="6"/>
      <c r="P467" s="6"/>
      <c r="Q467" s="5"/>
      <c r="R467" s="5"/>
      <c r="S467" s="5"/>
      <c r="T467" s="5"/>
    </row>
    <row r="468" spans="2:20" hidden="1">
      <c r="B468" s="5"/>
      <c r="C468" s="5"/>
      <c r="D468" s="5"/>
      <c r="E468" s="5"/>
      <c r="F468" s="5"/>
      <c r="G468" s="5"/>
      <c r="H468" s="5"/>
      <c r="I468" s="5"/>
      <c r="J468" s="5"/>
      <c r="K468" s="10"/>
      <c r="L468" s="6"/>
      <c r="M468" s="6"/>
      <c r="N468" s="6"/>
      <c r="O468" s="6"/>
      <c r="P468" s="6"/>
      <c r="Q468" s="5"/>
      <c r="R468" s="5"/>
      <c r="S468" s="5"/>
      <c r="T468" s="5"/>
    </row>
    <row r="469" spans="2:20" hidden="1">
      <c r="B469" s="5"/>
      <c r="C469" s="5"/>
      <c r="D469" s="5"/>
      <c r="E469" s="5"/>
      <c r="F469" s="5"/>
      <c r="G469" s="5"/>
      <c r="H469" s="5"/>
      <c r="I469" s="5"/>
      <c r="J469" s="5"/>
      <c r="K469" s="10"/>
      <c r="L469" s="6"/>
      <c r="M469" s="6"/>
      <c r="N469" s="6"/>
      <c r="O469" s="6"/>
      <c r="P469" s="6"/>
      <c r="Q469" s="5"/>
      <c r="R469" s="5"/>
      <c r="S469" s="5"/>
      <c r="T469" s="5"/>
    </row>
    <row r="470" spans="2:20" hidden="1">
      <c r="B470" s="5"/>
      <c r="C470" s="5"/>
      <c r="D470" s="5"/>
      <c r="E470" s="5"/>
      <c r="F470" s="5"/>
      <c r="G470" s="5"/>
      <c r="H470" s="5"/>
      <c r="I470" s="5"/>
      <c r="J470" s="5"/>
      <c r="K470" s="10"/>
      <c r="L470" s="6"/>
      <c r="M470" s="6"/>
      <c r="N470" s="6"/>
      <c r="O470" s="6"/>
      <c r="P470" s="6"/>
      <c r="Q470" s="5"/>
      <c r="R470" s="5"/>
      <c r="S470" s="5"/>
      <c r="T470" s="5"/>
    </row>
    <row r="471" spans="2:20" hidden="1">
      <c r="B471" s="5"/>
      <c r="C471" s="5"/>
      <c r="D471" s="5"/>
      <c r="E471" s="5"/>
      <c r="F471" s="5"/>
      <c r="G471" s="5"/>
      <c r="H471" s="5"/>
      <c r="I471" s="5"/>
      <c r="J471" s="5"/>
      <c r="K471" s="10"/>
      <c r="L471" s="6"/>
      <c r="M471" s="6"/>
      <c r="N471" s="6"/>
      <c r="O471" s="6"/>
      <c r="P471" s="6"/>
      <c r="Q471" s="5"/>
      <c r="R471" s="5"/>
      <c r="S471" s="5"/>
      <c r="T471" s="5"/>
    </row>
    <row r="472" spans="2:20" hidden="1">
      <c r="B472" s="5"/>
      <c r="C472" s="5"/>
      <c r="D472" s="5"/>
      <c r="E472" s="5"/>
      <c r="F472" s="5"/>
      <c r="G472" s="5"/>
      <c r="H472" s="5"/>
      <c r="I472" s="5"/>
      <c r="J472" s="5"/>
      <c r="K472" s="10"/>
      <c r="L472" s="6"/>
      <c r="M472" s="6"/>
      <c r="N472" s="6"/>
      <c r="O472" s="6"/>
      <c r="P472" s="6"/>
      <c r="Q472" s="5"/>
      <c r="R472" s="5"/>
      <c r="S472" s="5"/>
      <c r="T472" s="5"/>
    </row>
    <row r="473" spans="2:20" hidden="1">
      <c r="B473" s="5"/>
      <c r="C473" s="5"/>
      <c r="D473" s="5"/>
      <c r="E473" s="5"/>
      <c r="F473" s="5"/>
      <c r="G473" s="5"/>
      <c r="H473" s="5"/>
      <c r="I473" s="5"/>
      <c r="J473" s="5"/>
      <c r="K473" s="10"/>
      <c r="L473" s="6"/>
      <c r="M473" s="6"/>
      <c r="N473" s="6"/>
      <c r="O473" s="6"/>
      <c r="P473" s="6"/>
      <c r="Q473" s="5"/>
      <c r="R473" s="5"/>
      <c r="S473" s="5"/>
      <c r="T473" s="5"/>
    </row>
    <row r="474" spans="2:20" hidden="1">
      <c r="B474" s="5"/>
      <c r="C474" s="5"/>
      <c r="D474" s="5"/>
      <c r="E474" s="5"/>
      <c r="F474" s="5"/>
      <c r="G474" s="5"/>
      <c r="H474" s="5"/>
      <c r="I474" s="5"/>
      <c r="J474" s="5"/>
      <c r="K474" s="10"/>
      <c r="L474" s="6"/>
      <c r="M474" s="6"/>
      <c r="N474" s="6"/>
      <c r="O474" s="6"/>
      <c r="P474" s="6"/>
      <c r="Q474" s="5"/>
      <c r="R474" s="5"/>
      <c r="S474" s="5"/>
      <c r="T474" s="5"/>
    </row>
    <row r="475" spans="2:20" hidden="1">
      <c r="B475" s="5"/>
      <c r="C475" s="5"/>
      <c r="D475" s="5"/>
      <c r="E475" s="5"/>
      <c r="F475" s="5"/>
      <c r="G475" s="5"/>
      <c r="H475" s="5"/>
      <c r="I475" s="5"/>
      <c r="J475" s="5"/>
      <c r="K475" s="10"/>
      <c r="L475" s="6"/>
      <c r="M475" s="6"/>
      <c r="N475" s="6"/>
      <c r="O475" s="6"/>
      <c r="P475" s="6"/>
      <c r="Q475" s="5"/>
      <c r="R475" s="5"/>
      <c r="S475" s="5"/>
      <c r="T475" s="5"/>
    </row>
    <row r="476" spans="2:20" hidden="1">
      <c r="B476" s="5"/>
      <c r="C476" s="5"/>
      <c r="D476" s="5"/>
      <c r="E476" s="5"/>
      <c r="F476" s="5"/>
      <c r="G476" s="5"/>
      <c r="H476" s="5"/>
      <c r="I476" s="5"/>
      <c r="J476" s="5"/>
      <c r="K476" s="10"/>
      <c r="L476" s="6"/>
      <c r="M476" s="6"/>
      <c r="N476" s="6"/>
      <c r="O476" s="6"/>
      <c r="P476" s="6"/>
      <c r="Q476" s="5"/>
      <c r="R476" s="5"/>
      <c r="S476" s="5"/>
      <c r="T476" s="5"/>
    </row>
    <row r="477" spans="2:20" hidden="1">
      <c r="B477" s="5"/>
      <c r="C477" s="5"/>
      <c r="D477" s="5"/>
      <c r="E477" s="5"/>
      <c r="F477" s="5"/>
      <c r="G477" s="5"/>
      <c r="H477" s="5"/>
      <c r="I477" s="5"/>
      <c r="J477" s="5"/>
      <c r="K477" s="10"/>
      <c r="L477" s="6"/>
      <c r="M477" s="6"/>
      <c r="N477" s="6"/>
      <c r="O477" s="6"/>
      <c r="P477" s="6"/>
      <c r="Q477" s="5"/>
      <c r="R477" s="5"/>
      <c r="S477" s="5"/>
      <c r="T477" s="5"/>
    </row>
    <row r="478" spans="2:20" hidden="1">
      <c r="B478" s="5"/>
      <c r="C478" s="5"/>
      <c r="D478" s="5"/>
      <c r="E478" s="5"/>
      <c r="F478" s="5"/>
      <c r="G478" s="5"/>
      <c r="H478" s="5"/>
      <c r="I478" s="5"/>
      <c r="J478" s="5"/>
      <c r="K478" s="10"/>
      <c r="L478" s="6"/>
      <c r="M478" s="6"/>
      <c r="N478" s="6"/>
      <c r="O478" s="6"/>
      <c r="P478" s="6"/>
      <c r="Q478" s="5"/>
      <c r="R478" s="5"/>
      <c r="S478" s="5"/>
      <c r="T478" s="5"/>
    </row>
    <row r="479" spans="2:20" hidden="1">
      <c r="B479" s="5"/>
      <c r="C479" s="5"/>
      <c r="D479" s="5"/>
      <c r="E479" s="5"/>
      <c r="F479" s="5"/>
      <c r="G479" s="5"/>
      <c r="H479" s="5"/>
      <c r="I479" s="5"/>
      <c r="J479" s="5"/>
      <c r="K479" s="10"/>
      <c r="L479" s="6"/>
      <c r="M479" s="6"/>
      <c r="N479" s="6"/>
      <c r="O479" s="6"/>
      <c r="P479" s="6"/>
      <c r="Q479" s="5"/>
      <c r="R479" s="5"/>
      <c r="S479" s="5"/>
      <c r="T479" s="5"/>
    </row>
    <row r="480" spans="2:20" hidden="1">
      <c r="B480" s="5"/>
      <c r="C480" s="5"/>
      <c r="D480" s="5"/>
      <c r="E480" s="5"/>
      <c r="F480" s="5"/>
      <c r="G480" s="5"/>
      <c r="H480" s="5"/>
      <c r="I480" s="5"/>
      <c r="J480" s="5"/>
      <c r="K480" s="10"/>
      <c r="L480" s="6"/>
      <c r="M480" s="6"/>
      <c r="N480" s="6"/>
      <c r="O480" s="6"/>
      <c r="P480" s="6"/>
      <c r="Q480" s="5"/>
      <c r="R480" s="5"/>
      <c r="S480" s="5"/>
      <c r="T480" s="5"/>
    </row>
    <row r="481" spans="2:20" hidden="1">
      <c r="B481" s="5"/>
      <c r="C481" s="5"/>
      <c r="D481" s="5"/>
      <c r="E481" s="5"/>
      <c r="F481" s="5"/>
      <c r="G481" s="5"/>
      <c r="H481" s="5"/>
      <c r="I481" s="5"/>
      <c r="J481" s="5"/>
      <c r="K481" s="10"/>
      <c r="L481" s="6"/>
      <c r="M481" s="6"/>
      <c r="N481" s="6"/>
      <c r="O481" s="6"/>
      <c r="P481" s="6"/>
      <c r="Q481" s="5"/>
      <c r="R481" s="5"/>
      <c r="S481" s="5"/>
      <c r="T481" s="5"/>
    </row>
    <row r="482" spans="2:20" hidden="1">
      <c r="B482" s="5"/>
      <c r="C482" s="5"/>
      <c r="D482" s="5"/>
      <c r="E482" s="5"/>
      <c r="F482" s="5"/>
      <c r="G482" s="5"/>
      <c r="H482" s="5"/>
      <c r="I482" s="5"/>
      <c r="J482" s="5"/>
      <c r="K482" s="10"/>
      <c r="L482" s="6"/>
      <c r="M482" s="6"/>
      <c r="N482" s="6"/>
      <c r="O482" s="6"/>
      <c r="P482" s="6"/>
      <c r="Q482" s="5"/>
      <c r="R482" s="5"/>
      <c r="S482" s="5"/>
      <c r="T482" s="5"/>
    </row>
    <row r="483" spans="2:20" hidden="1">
      <c r="B483" s="5"/>
      <c r="C483" s="5"/>
      <c r="D483" s="5"/>
      <c r="E483" s="5"/>
      <c r="F483" s="5"/>
      <c r="G483" s="5"/>
      <c r="H483" s="5"/>
      <c r="I483" s="5"/>
      <c r="J483" s="5"/>
      <c r="K483" s="10"/>
      <c r="L483" s="6"/>
      <c r="M483" s="6"/>
      <c r="N483" s="6"/>
      <c r="O483" s="6"/>
      <c r="P483" s="6"/>
      <c r="Q483" s="5"/>
      <c r="R483" s="5"/>
      <c r="S483" s="5"/>
      <c r="T483" s="5"/>
    </row>
    <row r="484" spans="2:20" hidden="1">
      <c r="B484" s="5"/>
      <c r="C484" s="5"/>
      <c r="D484" s="5"/>
      <c r="E484" s="5"/>
      <c r="F484" s="5"/>
      <c r="G484" s="5"/>
      <c r="H484" s="5"/>
      <c r="I484" s="5"/>
      <c r="J484" s="5"/>
      <c r="K484" s="10"/>
      <c r="L484" s="6"/>
      <c r="M484" s="6"/>
      <c r="N484" s="6"/>
      <c r="O484" s="6"/>
      <c r="P484" s="6"/>
      <c r="Q484" s="5"/>
      <c r="R484" s="5"/>
      <c r="S484" s="5"/>
      <c r="T484" s="5"/>
    </row>
    <row r="485" spans="2:20" hidden="1">
      <c r="B485" s="5"/>
      <c r="C485" s="5"/>
      <c r="D485" s="5"/>
      <c r="E485" s="5"/>
      <c r="F485" s="5"/>
      <c r="G485" s="5"/>
      <c r="H485" s="5"/>
      <c r="I485" s="5"/>
      <c r="J485" s="5"/>
      <c r="K485" s="10"/>
      <c r="L485" s="6"/>
      <c r="M485" s="6"/>
      <c r="N485" s="6"/>
      <c r="O485" s="6"/>
      <c r="P485" s="6"/>
      <c r="Q485" s="5"/>
      <c r="R485" s="5"/>
      <c r="S485" s="5"/>
      <c r="T485" s="5"/>
    </row>
    <row r="486" spans="2:20" hidden="1">
      <c r="B486" s="5"/>
      <c r="C486" s="5"/>
      <c r="D486" s="5"/>
      <c r="E486" s="5"/>
      <c r="F486" s="5"/>
      <c r="G486" s="5"/>
      <c r="H486" s="5"/>
      <c r="I486" s="5"/>
      <c r="J486" s="5"/>
      <c r="K486" s="10"/>
      <c r="L486" s="6"/>
      <c r="M486" s="6"/>
      <c r="N486" s="6"/>
      <c r="O486" s="6"/>
      <c r="P486" s="6"/>
      <c r="Q486" s="5"/>
      <c r="R486" s="5"/>
      <c r="S486" s="5"/>
      <c r="T486" s="5"/>
    </row>
    <row r="487" spans="2:20" hidden="1">
      <c r="B487" s="5"/>
      <c r="C487" s="5"/>
      <c r="D487" s="5"/>
      <c r="E487" s="5"/>
      <c r="F487" s="5"/>
      <c r="G487" s="5"/>
      <c r="H487" s="5"/>
      <c r="I487" s="5"/>
      <c r="J487" s="5"/>
      <c r="K487" s="10"/>
      <c r="L487" s="6"/>
      <c r="M487" s="6"/>
      <c r="N487" s="6"/>
      <c r="O487" s="6"/>
      <c r="P487" s="6"/>
      <c r="Q487" s="5"/>
      <c r="R487" s="5"/>
      <c r="S487" s="5"/>
      <c r="T487" s="5"/>
    </row>
    <row r="488" spans="2:20" hidden="1">
      <c r="B488" s="5"/>
      <c r="C488" s="5"/>
      <c r="D488" s="5"/>
      <c r="E488" s="5"/>
      <c r="F488" s="5"/>
      <c r="G488" s="5"/>
      <c r="H488" s="5"/>
      <c r="I488" s="5"/>
      <c r="J488" s="5"/>
      <c r="K488" s="10"/>
      <c r="L488" s="6"/>
      <c r="M488" s="6"/>
      <c r="N488" s="6"/>
      <c r="O488" s="6"/>
      <c r="P488" s="6"/>
      <c r="Q488" s="5"/>
      <c r="R488" s="5"/>
      <c r="S488" s="5"/>
      <c r="T488" s="5"/>
    </row>
    <row r="489" spans="2:20" hidden="1">
      <c r="B489" s="5"/>
      <c r="C489" s="5"/>
      <c r="D489" s="5"/>
      <c r="E489" s="5"/>
      <c r="F489" s="5"/>
      <c r="G489" s="5"/>
      <c r="H489" s="5"/>
      <c r="I489" s="5"/>
      <c r="J489" s="5"/>
      <c r="K489" s="10"/>
      <c r="L489" s="6"/>
      <c r="M489" s="6"/>
      <c r="N489" s="6"/>
      <c r="O489" s="6"/>
      <c r="P489" s="6"/>
      <c r="Q489" s="5"/>
      <c r="R489" s="5"/>
      <c r="S489" s="5"/>
      <c r="T489" s="5"/>
    </row>
    <row r="490" spans="2:20" hidden="1">
      <c r="B490" s="5"/>
      <c r="C490" s="5"/>
      <c r="D490" s="5"/>
      <c r="E490" s="5"/>
      <c r="F490" s="5"/>
      <c r="G490" s="5"/>
      <c r="H490" s="5"/>
      <c r="I490" s="5"/>
      <c r="J490" s="5"/>
      <c r="K490" s="10"/>
      <c r="L490" s="6"/>
      <c r="M490" s="6"/>
      <c r="N490" s="6"/>
      <c r="O490" s="6"/>
      <c r="P490" s="6"/>
      <c r="Q490" s="5"/>
      <c r="R490" s="5"/>
      <c r="S490" s="5"/>
      <c r="T490" s="5"/>
    </row>
    <row r="491" spans="2:20" hidden="1">
      <c r="B491" s="5"/>
      <c r="C491" s="5"/>
      <c r="D491" s="5"/>
      <c r="E491" s="5"/>
      <c r="F491" s="5"/>
      <c r="G491" s="5"/>
      <c r="H491" s="5"/>
      <c r="I491" s="5"/>
      <c r="J491" s="5"/>
      <c r="K491" s="10"/>
      <c r="L491" s="6"/>
      <c r="M491" s="6"/>
      <c r="N491" s="6"/>
      <c r="O491" s="6"/>
      <c r="P491" s="6"/>
      <c r="Q491" s="5"/>
      <c r="R491" s="5"/>
      <c r="S491" s="5"/>
      <c r="T491" s="5"/>
    </row>
    <row r="492" spans="2:20" hidden="1">
      <c r="B492" s="5"/>
      <c r="C492" s="5"/>
      <c r="D492" s="5"/>
      <c r="E492" s="5"/>
      <c r="F492" s="5"/>
      <c r="G492" s="5"/>
      <c r="H492" s="5"/>
      <c r="I492" s="5"/>
      <c r="J492" s="5"/>
      <c r="K492" s="10"/>
      <c r="L492" s="6"/>
      <c r="M492" s="6"/>
      <c r="N492" s="6"/>
      <c r="O492" s="6"/>
      <c r="P492" s="6"/>
      <c r="Q492" s="5"/>
      <c r="R492" s="5"/>
      <c r="S492" s="5"/>
      <c r="T492" s="5"/>
    </row>
    <row r="493" spans="2:20" hidden="1">
      <c r="B493" s="5"/>
      <c r="C493" s="5"/>
      <c r="D493" s="5"/>
      <c r="E493" s="5"/>
      <c r="F493" s="5"/>
      <c r="G493" s="5"/>
      <c r="H493" s="5"/>
      <c r="I493" s="5"/>
      <c r="J493" s="5"/>
      <c r="K493" s="10"/>
      <c r="L493" s="6"/>
      <c r="M493" s="6"/>
      <c r="N493" s="6"/>
      <c r="O493" s="6"/>
      <c r="P493" s="6"/>
      <c r="Q493" s="5"/>
      <c r="R493" s="5"/>
      <c r="S493" s="5"/>
      <c r="T493" s="5"/>
    </row>
    <row r="494" spans="2:20" hidden="1">
      <c r="B494" s="5"/>
      <c r="C494" s="5"/>
      <c r="D494" s="5"/>
      <c r="E494" s="5"/>
      <c r="F494" s="5"/>
      <c r="G494" s="5"/>
      <c r="H494" s="5"/>
      <c r="I494" s="5"/>
      <c r="J494" s="5"/>
      <c r="K494" s="10"/>
      <c r="L494" s="6"/>
      <c r="M494" s="6"/>
      <c r="N494" s="6"/>
      <c r="O494" s="6"/>
      <c r="P494" s="6"/>
      <c r="Q494" s="5"/>
      <c r="R494" s="5"/>
      <c r="S494" s="5"/>
      <c r="T494" s="5"/>
    </row>
    <row r="495" spans="2:20" hidden="1">
      <c r="B495" s="5"/>
      <c r="C495" s="5"/>
      <c r="D495" s="5"/>
      <c r="E495" s="5"/>
      <c r="F495" s="5"/>
      <c r="G495" s="5"/>
      <c r="H495" s="5"/>
      <c r="I495" s="5"/>
      <c r="J495" s="5"/>
      <c r="K495" s="10"/>
      <c r="L495" s="6"/>
      <c r="M495" s="6"/>
      <c r="N495" s="6"/>
      <c r="O495" s="6"/>
      <c r="P495" s="6"/>
      <c r="Q495" s="5"/>
      <c r="R495" s="5"/>
      <c r="S495" s="5"/>
      <c r="T495" s="5"/>
    </row>
    <row r="496" spans="2:20" hidden="1">
      <c r="B496" s="5"/>
      <c r="C496" s="5"/>
      <c r="D496" s="5"/>
      <c r="E496" s="5"/>
      <c r="F496" s="5"/>
      <c r="G496" s="5"/>
      <c r="H496" s="5"/>
      <c r="I496" s="5"/>
      <c r="J496" s="5"/>
      <c r="K496" s="10"/>
      <c r="L496" s="6"/>
      <c r="M496" s="6"/>
      <c r="N496" s="6"/>
      <c r="O496" s="6"/>
      <c r="P496" s="6"/>
      <c r="Q496" s="5"/>
      <c r="R496" s="5"/>
      <c r="S496" s="5"/>
      <c r="T496" s="5"/>
    </row>
    <row r="497" spans="2:20" hidden="1">
      <c r="B497" s="5"/>
      <c r="C497" s="5"/>
      <c r="D497" s="5"/>
      <c r="E497" s="5"/>
      <c r="F497" s="5"/>
      <c r="G497" s="5"/>
      <c r="H497" s="5"/>
      <c r="I497" s="5"/>
      <c r="J497" s="5"/>
      <c r="K497" s="10"/>
      <c r="L497" s="6"/>
      <c r="M497" s="6"/>
      <c r="N497" s="6"/>
      <c r="O497" s="6"/>
      <c r="P497" s="6"/>
      <c r="Q497" s="5"/>
      <c r="R497" s="5"/>
      <c r="S497" s="5"/>
      <c r="T497" s="5"/>
    </row>
    <row r="498" spans="2:20" hidden="1">
      <c r="B498" s="5"/>
      <c r="C498" s="5"/>
      <c r="D498" s="5"/>
      <c r="E498" s="5"/>
      <c r="F498" s="5"/>
      <c r="G498" s="5"/>
      <c r="H498" s="5"/>
      <c r="I498" s="5"/>
      <c r="J498" s="5"/>
      <c r="K498" s="10"/>
      <c r="L498" s="6"/>
      <c r="M498" s="6"/>
      <c r="N498" s="6"/>
      <c r="O498" s="6"/>
      <c r="P498" s="6"/>
      <c r="Q498" s="5"/>
      <c r="R498" s="5"/>
      <c r="S498" s="5"/>
      <c r="T498" s="5"/>
    </row>
  </sheetData>
  <sheetProtection algorithmName="SHA-512" hashValue="uC4j3J+mK9RJqHenn5O3k4camXhIpTM8SseMizEnDBkn7y7If0PInxQ+pcBM6JE2H0tMlhW/Dj6xiNKe+Xp0Hg==" saltValue="+SZw2SD4daWi9iD1wgQHjg==" spinCount="100000" sheet="1" objects="1" scenarios="1" formatColumns="0" autoFilter="0" pivotTables="0"/>
  <protectedRanges>
    <protectedRange sqref="D4:D1000" name="obersevação"/>
  </protectedRanges>
  <autoFilter ref="A3:T230" xr:uid="{00000000-0001-0000-0000-000000000000}"/>
  <mergeCells count="2">
    <mergeCell ref="A2:M2"/>
    <mergeCell ref="A1:L1"/>
  </mergeCells>
  <conditionalFormatting sqref="C4:T498">
    <cfRule type="expression" dxfId="4" priority="4">
      <formula>ISNUMBER(SEARCH("ATENCAO",C4))</formula>
    </cfRule>
    <cfRule type="expression" dxfId="3" priority="6">
      <formula>ISNUMBER(SEARCH("DESCONSIDERA, VALOR NÃO RASTREADO",C4))</formula>
    </cfRule>
  </conditionalFormatting>
  <conditionalFormatting sqref="C4:E498">
    <cfRule type="expression" dxfId="2" priority="1">
      <formula>ISNUMBER(SEARCH("OK",C4))</formula>
    </cfRule>
    <cfRule type="expression" dxfId="1" priority="5">
      <formula>OR(ISNUMBER(SEARCH("OK",C4)),ISNUMBER(SEARCH("EM VIAGEM",C4)))</formula>
    </cfRule>
  </conditionalFormatting>
  <conditionalFormatting sqref="C4:C498">
    <cfRule type="expression" dxfId="0" priority="3">
      <formula>OR(ISNUMBER(SEARCH("COBRAR",C4)),ISNUMBER(SEARCH("ATRASADO",C4)))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A885-96A7-4768-B936-FEAE9B019573}">
  <sheetPr>
    <tabColor theme="9" tint="0.39997558519241921"/>
  </sheetPr>
  <dimension ref="A1:L278"/>
  <sheetViews>
    <sheetView workbookViewId="0">
      <selection activeCell="D14" sqref="D14"/>
    </sheetView>
  </sheetViews>
  <sheetFormatPr defaultColWidth="0" defaultRowHeight="15" customHeight="1" zeroHeight="1"/>
  <cols>
    <col min="1" max="1" width="13.7109375" style="32" customWidth="1"/>
    <col min="2" max="2" width="42.28515625" style="32" customWidth="1"/>
    <col min="3" max="3" width="21" style="32" customWidth="1"/>
    <col min="4" max="4" width="14.28515625" style="32" customWidth="1"/>
    <col min="5" max="7" width="21.5703125" style="38" customWidth="1"/>
    <col min="8" max="8" width="66.85546875" style="32" bestFit="1" customWidth="1"/>
    <col min="9" max="11" width="37.28515625" style="32" customWidth="1"/>
    <col min="12" max="12" width="21.5703125" style="32" customWidth="1"/>
    <col min="13" max="16384" width="0" style="32" hidden="1"/>
  </cols>
  <sheetData>
    <row r="1" spans="1:12" s="18" customFormat="1" ht="33.75" customHeight="1">
      <c r="A1" s="47" t="s">
        <v>22</v>
      </c>
      <c r="B1" s="47" t="s">
        <v>4</v>
      </c>
      <c r="C1" s="61" t="s">
        <v>7</v>
      </c>
      <c r="D1" s="47" t="s">
        <v>8</v>
      </c>
      <c r="E1" s="48" t="s">
        <v>23</v>
      </c>
      <c r="F1" s="47" t="s">
        <v>24</v>
      </c>
      <c r="G1" s="47" t="s">
        <v>25</v>
      </c>
      <c r="H1" s="49" t="s">
        <v>26</v>
      </c>
      <c r="I1" s="47" t="s">
        <v>18</v>
      </c>
      <c r="J1" s="47" t="s">
        <v>27</v>
      </c>
      <c r="K1" s="47" t="s">
        <v>28</v>
      </c>
    </row>
    <row r="2" spans="1:12">
      <c r="A2" s="34" cm="1">
        <f t="array" aca="1" ref="A2:K119" ca="1">IFERROR(_xlfn.LET(
_xlpm.b,'BASE COBRANÇAS'!B4:B637,
_xlpm.c,'BASE COBRANÇAS'!C4:C637,
_xlpm.e,'BASE COBRANÇAS'!F4:F637,
_xlpm.f,'BASE COBRANÇAS'!G4:G637,
_xlpm.j,'BASE COBRANÇAS'!L4:L637,
_xlpm.m,'BASE COBRANÇAS'!O4:O637,
_xlpm.o,'BASE COBRANÇAS'!Q4:Q637,
_xlpm.r,'BASE COBRANÇAS'!T4:T637,
_xlpm.k,'BASE COBRANÇAS'!M4:M637,
_xlpm.loc,'BASE COBRANÇAS'!S4:S637,
_xlpm.placa,'BASE COBRANÇAS'!J4:J637,
_xlpm.filtro,(_xlpm.b&lt;&gt;"")*
(TRIM(_xlpm.c)&lt;&gt;"DESCONSIDERA, VALOR NÃO RASTREADO")*
(TRIM(_xlpm.c)&lt;&gt;"⚠ ALERTA COBRANÇA")*
(TRIM(_xlpm.e)&lt;&gt;"EALE LOG")*
(TRIM(_xlpm.e)&lt;&gt;"FITA AZUL PE (FATELOG)"),
_xlpm.dados,_xlfn._xlws.FILTER(CHOOSE({1,2,3,4,5,6,7,8,9,10,11},
_xlpm.b,_xlpm.c,_xlpm.e,_xlpm.f,_xlpm.j,_xlpm.k,_xlpm.m,_xlpm.o,_xlpm.r,_xlpm.loc,_xlpm.placa),
_xlpm.filtro),
_xlfn.UNIQUE(_xlpm.dados)
),"")</f>
        <v>6022063</v>
      </c>
      <c r="B2" s="31" t="str">
        <f ca="1"/>
        <v>EM VIAGEM</v>
      </c>
      <c r="C2" s="62" t="str">
        <f ca="1"/>
        <v>TR RAMTHUN</v>
      </c>
      <c r="D2" s="31" t="str">
        <f ca="1"/>
        <v>LGCAJ</v>
      </c>
      <c r="E2" s="35">
        <f ca="1"/>
        <v>46157.333333333336</v>
      </c>
      <c r="F2" s="35">
        <f ca="1"/>
        <v>46157.333333333336</v>
      </c>
      <c r="G2" s="35">
        <f ca="1"/>
        <v>46161.291666666664</v>
      </c>
      <c r="H2" s="31" t="str">
        <f ca="1"/>
        <v>FUJIOKA ELETRO IMAGEM S/A - 74675690</v>
      </c>
      <c r="I2" s="31" t="str">
        <f ca="1"/>
        <v>GOIANIA/GO/BRASIL</v>
      </c>
      <c r="J2" s="31" t="str">
        <f ca="1"/>
        <v>RODOVIA ANHANGUERA, RIBEIRAO PRETO/SP/BRASIL (0,01 Km)</v>
      </c>
      <c r="K2" s="31" t="str">
        <f ca="1"/>
        <v>QHG5H17</v>
      </c>
    </row>
    <row r="3" spans="1:12">
      <c r="A3" s="31">
        <f ca="1"/>
        <v>6022062</v>
      </c>
      <c r="B3" s="31" t="str">
        <f ca="1"/>
        <v>EM VIAGEM</v>
      </c>
      <c r="C3" s="62" t="str">
        <f ca="1"/>
        <v>TR RAMTHUN</v>
      </c>
      <c r="D3" s="31" t="str">
        <f ca="1"/>
        <v>LGCAJ</v>
      </c>
      <c r="E3" s="35">
        <f ca="1"/>
        <v>46157.333333333336</v>
      </c>
      <c r="F3" s="35">
        <f ca="1"/>
        <v>46157.333333333336</v>
      </c>
      <c r="G3" s="35">
        <f ca="1"/>
        <v>46161.291666666664</v>
      </c>
      <c r="H3" s="31" t="str">
        <f ca="1"/>
        <v>FUJIOKA ELETRO IMAGEM S/A - 74675690</v>
      </c>
      <c r="I3" s="31" t="str">
        <f ca="1"/>
        <v>GOIANIA/GO/BRASIL</v>
      </c>
      <c r="J3" s="31" t="str">
        <f ca="1"/>
        <v>RODOVIA ANHANGUERA, RIBEIRAO PRETO/SP/BRASIL (0,01 Km)</v>
      </c>
      <c r="K3" s="31" t="str">
        <f ca="1"/>
        <v>QHG5H17</v>
      </c>
    </row>
    <row r="4" spans="1:12">
      <c r="A4" s="31">
        <f ca="1"/>
        <v>6022065</v>
      </c>
      <c r="B4" s="31" t="str">
        <f ca="1"/>
        <v>EM VIAGEM</v>
      </c>
      <c r="C4" s="62" t="str">
        <f ca="1"/>
        <v>LX PANTOS</v>
      </c>
      <c r="D4" s="31" t="str">
        <f ca="1"/>
        <v>LGCAJ</v>
      </c>
      <c r="E4" s="35">
        <f ca="1"/>
        <v>46160.174305555556</v>
      </c>
      <c r="F4" s="35">
        <f ca="1"/>
        <v>46157.833333333336</v>
      </c>
      <c r="G4" s="35">
        <f ca="1"/>
        <v>46161.291666666664</v>
      </c>
      <c r="H4" s="31" t="str">
        <f ca="1"/>
        <v>FUJIOKA ELETRO IMAGEM S/A - 74675690</v>
      </c>
      <c r="I4" s="31" t="str">
        <f ca="1"/>
        <v>GOIANIA/GO/BRASIL</v>
      </c>
      <c r="J4" s="31" t="str">
        <f ca="1"/>
        <v>RODOVIA ANHANGUERA, ORLANDIA/SP/BRASIL (4,98 Km)</v>
      </c>
      <c r="K4" s="31" t="str">
        <f ca="1"/>
        <v>NVQ2B29</v>
      </c>
    </row>
    <row r="5" spans="1:12">
      <c r="A5" s="31">
        <f ca="1"/>
        <v>6022064</v>
      </c>
      <c r="B5" s="31" t="str">
        <f ca="1"/>
        <v>EM VIAGEM</v>
      </c>
      <c r="C5" s="62" t="str">
        <f ca="1"/>
        <v>MINAS SUL</v>
      </c>
      <c r="D5" s="31" t="str">
        <f ca="1"/>
        <v>LGCAJ</v>
      </c>
      <c r="E5" s="35">
        <f ca="1"/>
        <v>46160.174305555556</v>
      </c>
      <c r="F5" s="35">
        <f ca="1"/>
        <v>46157.875</v>
      </c>
      <c r="G5" s="35">
        <f ca="1"/>
        <v>46161.291666666664</v>
      </c>
      <c r="H5" s="31" t="str">
        <f ca="1"/>
        <v>FUJIOKA ELETRO IMAGEM S/A - 74675690</v>
      </c>
      <c r="I5" s="31" t="str">
        <f ca="1"/>
        <v>GOIANIA/GO/BRASIL</v>
      </c>
      <c r="J5" s="31" t="str">
        <f ca="1"/>
        <v>AV CORONEL JOSE TEOFILO, UBERLANDIA/MG/BRASIL (0,19 Km)</v>
      </c>
      <c r="K5" s="31" t="str">
        <f ca="1"/>
        <v>DBM2B52</v>
      </c>
    </row>
    <row r="6" spans="1:12">
      <c r="A6" s="31">
        <f ca="1"/>
        <v>6021677</v>
      </c>
      <c r="B6" s="31" t="str">
        <f ca="1"/>
        <v>OK - NO PRAZO</v>
      </c>
      <c r="C6" s="62" t="str">
        <f ca="1"/>
        <v>LTA SOLUCOES</v>
      </c>
      <c r="D6" s="31" t="str">
        <f ca="1"/>
        <v>LGCAJ</v>
      </c>
      <c r="E6" s="35">
        <f ca="1"/>
        <v>46160.783333333333</v>
      </c>
      <c r="F6" s="35">
        <f ca="1"/>
        <v>46160.375</v>
      </c>
      <c r="G6" s="35">
        <f ca="1"/>
        <v>46161.25</v>
      </c>
      <c r="H6" s="31" t="str">
        <f ca="1"/>
        <v>GRUPO CASAS BAHIA S.A(CD1401) - 25255030</v>
      </c>
      <c r="I6" s="31" t="str">
        <f ca="1"/>
        <v>DUQUE DE CAXIAS/RJ/BRASIL</v>
      </c>
      <c r="J6" s="31" t="str">
        <f ca="1"/>
        <v/>
      </c>
      <c r="K6" s="31" t="str">
        <f ca="1"/>
        <v/>
      </c>
    </row>
    <row r="7" spans="1:12">
      <c r="A7" s="36">
        <f ca="1"/>
        <v>6021733</v>
      </c>
      <c r="B7" s="36" t="str">
        <f ca="1"/>
        <v>OK - NO PRAZO</v>
      </c>
      <c r="C7" s="63" t="str">
        <f ca="1"/>
        <v>CABRAL &amp; CAB</v>
      </c>
      <c r="D7" s="36" t="str">
        <f ca="1"/>
        <v>LGREC</v>
      </c>
      <c r="E7" s="37">
        <f ca="1"/>
        <v>46160.854166666664</v>
      </c>
      <c r="F7" s="37">
        <f ca="1"/>
        <v>46160.854166666664</v>
      </c>
      <c r="G7" s="37">
        <f ca="1"/>
        <v>46162.25</v>
      </c>
      <c r="H7" s="36" t="str">
        <f ca="1"/>
        <v>GRUPO CASAS BAHIA S.A(CD1400) - 42816270</v>
      </c>
      <c r="I7" s="36" t="str">
        <f ca="1"/>
        <v>CAMACARI/BA/BRASIL</v>
      </c>
      <c r="J7" s="36" t="str">
        <f ca="1"/>
        <v/>
      </c>
      <c r="K7" s="36" t="str">
        <f ca="1"/>
        <v/>
      </c>
      <c r="L7" s="18"/>
    </row>
    <row r="8" spans="1:12">
      <c r="A8" s="31">
        <f ca="1"/>
        <v>6021734</v>
      </c>
      <c r="B8" s="31" t="str">
        <f ca="1"/>
        <v>OK - NO PRAZO</v>
      </c>
      <c r="C8" s="62" t="str">
        <f ca="1"/>
        <v>RODOPENHA</v>
      </c>
      <c r="D8" s="31" t="str">
        <f ca="1"/>
        <v>LGREC</v>
      </c>
      <c r="E8" s="35">
        <f ca="1"/>
        <v>46160.854166666664</v>
      </c>
      <c r="F8" s="35">
        <f ca="1"/>
        <v>46160.854166666664</v>
      </c>
      <c r="G8" s="35">
        <f ca="1"/>
        <v>46162.25</v>
      </c>
      <c r="H8" s="31" t="str">
        <f ca="1"/>
        <v>GRUPO CASAS BAHIA S.A(CD1400) - 42816270</v>
      </c>
      <c r="I8" s="31" t="str">
        <f ca="1"/>
        <v>CAMACARI/BA/BRASIL</v>
      </c>
      <c r="J8" s="31" t="str">
        <f ca="1"/>
        <v/>
      </c>
      <c r="K8" s="31" t="str">
        <f ca="1"/>
        <v/>
      </c>
    </row>
    <row r="9" spans="1:12">
      <c r="A9" s="31">
        <f ca="1"/>
        <v>6022337</v>
      </c>
      <c r="B9" s="31" t="str">
        <f ca="1"/>
        <v>EM VIAGEM</v>
      </c>
      <c r="C9" s="62" t="str">
        <f ca="1"/>
        <v>RODOBRAS TR</v>
      </c>
      <c r="D9" s="31" t="str">
        <f ca="1"/>
        <v>LGCAJ</v>
      </c>
      <c r="E9" s="35">
        <f ca="1"/>
        <v>46159.990277777775</v>
      </c>
      <c r="F9" s="35">
        <f ca="1"/>
        <v>46157.583333333336</v>
      </c>
      <c r="G9" s="35">
        <f ca="1"/>
        <v>46161.25</v>
      </c>
      <c r="H9" s="31" t="str">
        <f ca="1"/>
        <v>CARREFOUR COMERCIO E INDUSTRIA LTDA - 91060410</v>
      </c>
      <c r="I9" s="31" t="str">
        <f ca="1"/>
        <v>PORTO ALEGRE/RS/BRASIL</v>
      </c>
      <c r="J9" s="31" t="str">
        <f ca="1"/>
        <v>REPRESA, COTIA/SP/BRASIL (0,1 Km)</v>
      </c>
      <c r="K9" s="31" t="str">
        <f ca="1"/>
        <v>JBY4D00</v>
      </c>
    </row>
    <row r="10" spans="1:12">
      <c r="A10" s="31">
        <f ca="1"/>
        <v>6022057</v>
      </c>
      <c r="B10" s="31" t="str">
        <f ca="1"/>
        <v>EM VIAGEM</v>
      </c>
      <c r="C10" s="62" t="str">
        <f ca="1"/>
        <v>TR RAMTHUN</v>
      </c>
      <c r="D10" s="31" t="str">
        <f ca="1"/>
        <v>LGCAJ</v>
      </c>
      <c r="E10" s="35">
        <f ca="1"/>
        <v>46157.291666666664</v>
      </c>
      <c r="F10" s="35">
        <f ca="1"/>
        <v>46157.291666666664</v>
      </c>
      <c r="G10" s="35">
        <f ca="1"/>
        <v>46160.291666666664</v>
      </c>
      <c r="H10" s="31" t="str">
        <f ca="1"/>
        <v>FUJIOKA ELETRO IMAGEM S/A - 74675690</v>
      </c>
      <c r="I10" s="31" t="str">
        <f ca="1"/>
        <v>GOIANIA/GO/BRASIL</v>
      </c>
      <c r="J10" s="31" t="str">
        <f ca="1"/>
        <v>SANTA CRUZ DA CONCEICAO/SP/BRASIL</v>
      </c>
      <c r="K10" s="31" t="str">
        <f ca="1"/>
        <v>QHG5687</v>
      </c>
    </row>
    <row r="11" spans="1:12">
      <c r="A11" s="31">
        <f ca="1"/>
        <v>6021910</v>
      </c>
      <c r="B11" s="31" t="str">
        <f ca="1"/>
        <v>EM VIAGEM</v>
      </c>
      <c r="C11" s="62" t="str">
        <f ca="1"/>
        <v>TRANSBOCAYUV</v>
      </c>
      <c r="D11" s="31" t="str">
        <f ca="1"/>
        <v>LGCAJ</v>
      </c>
      <c r="E11" s="35">
        <f ca="1"/>
        <v>46159.783333333333</v>
      </c>
      <c r="F11" s="35">
        <f ca="1"/>
        <v>46157.708333333336</v>
      </c>
      <c r="G11" s="35">
        <f ca="1"/>
        <v>46160.25</v>
      </c>
      <c r="H11" s="31" t="str">
        <f ca="1"/>
        <v>GRUPO CASAS BAHIA S.A(CD1401) - 25255030</v>
      </c>
      <c r="I11" s="31" t="str">
        <f ca="1"/>
        <v>DUQUE DE CAXIAS/RJ/BRASIL</v>
      </c>
      <c r="J11" s="31" t="str">
        <f ca="1"/>
        <v>ROSEIRA/SP/BRASIL</v>
      </c>
      <c r="K11" s="31" t="str">
        <f ca="1"/>
        <v>LUL7I53</v>
      </c>
    </row>
    <row r="12" spans="1:12">
      <c r="A12" s="31">
        <f ca="1"/>
        <v>6022058</v>
      </c>
      <c r="B12" s="31" t="str">
        <f ca="1"/>
        <v>EM VIAGEM</v>
      </c>
      <c r="C12" s="62" t="str">
        <f ca="1"/>
        <v>TR RAMTHUN</v>
      </c>
      <c r="D12" s="31" t="str">
        <f ca="1"/>
        <v>LGCAJ</v>
      </c>
      <c r="E12" s="35">
        <f ca="1"/>
        <v>46157.291666666664</v>
      </c>
      <c r="F12" s="35">
        <f ca="1"/>
        <v>46157.291666666664</v>
      </c>
      <c r="G12" s="35">
        <f ca="1"/>
        <v>46160.291666666664</v>
      </c>
      <c r="H12" s="31" t="str">
        <f ca="1"/>
        <v>FUJIOKA ELETRO IMAGEM S/A - 74675690</v>
      </c>
      <c r="I12" s="31" t="str">
        <f ca="1"/>
        <v>GOIANIA/GO/BRASIL</v>
      </c>
      <c r="J12" s="31" t="str">
        <f ca="1"/>
        <v>SANTA CRUZ DA CONCEICAO/SP/BRASIL</v>
      </c>
      <c r="K12" s="31" t="str">
        <f ca="1"/>
        <v>QHG5687</v>
      </c>
    </row>
    <row r="13" spans="1:12">
      <c r="A13" s="31">
        <f ca="1"/>
        <v>6022059</v>
      </c>
      <c r="B13" s="31" t="str">
        <f ca="1"/>
        <v>CARREGADO - SEM SMP</v>
      </c>
      <c r="C13" s="62" t="str">
        <f ca="1"/>
        <v>VIPE TRANSPO</v>
      </c>
      <c r="D13" s="31" t="str">
        <f ca="1"/>
        <v>LGCAJ</v>
      </c>
      <c r="E13" s="35">
        <f ca="1"/>
        <v>46159.174305555556</v>
      </c>
      <c r="F13" s="35">
        <f ca="1"/>
        <v>46157.625</v>
      </c>
      <c r="G13" s="35">
        <f ca="1"/>
        <v>46160.291666666664</v>
      </c>
      <c r="H13" s="31" t="str">
        <f ca="1"/>
        <v>FUJIOKA ELETRO IMAGEM S/A - 74675690</v>
      </c>
      <c r="I13" s="31" t="str">
        <f ca="1"/>
        <v>GOIANIA/GO/BRASIL</v>
      </c>
      <c r="J13" s="31" t="str">
        <f ca="1"/>
        <v/>
      </c>
      <c r="K13" s="31" t="str">
        <f ca="1"/>
        <v>IST1142</v>
      </c>
    </row>
    <row r="14" spans="1:12">
      <c r="A14" s="31">
        <f ca="1"/>
        <v>6021731</v>
      </c>
      <c r="B14" s="31" t="str">
        <f ca="1"/>
        <v>OK - NO PRAZO</v>
      </c>
      <c r="C14" s="62" t="str">
        <f ca="1"/>
        <v>BACHMANN TR</v>
      </c>
      <c r="D14" s="31" t="str">
        <f ca="1"/>
        <v>LGREC</v>
      </c>
      <c r="E14" s="35">
        <f ca="1"/>
        <v>46160.895833333336</v>
      </c>
      <c r="F14" s="35">
        <f ca="1"/>
        <v>46160.895833333336</v>
      </c>
      <c r="G14" s="35">
        <f ca="1"/>
        <v>46162.25</v>
      </c>
      <c r="H14" s="31" t="str">
        <f ca="1"/>
        <v>GRUPO CASAS BAHIA S.A(CD1877) - 61935180</v>
      </c>
      <c r="I14" s="31" t="str">
        <f ca="1"/>
        <v>MARACANAU/CE/BRASIL</v>
      </c>
      <c r="J14" s="31" t="str">
        <f ca="1"/>
        <v/>
      </c>
      <c r="K14" s="31" t="str">
        <f ca="1"/>
        <v/>
      </c>
    </row>
    <row r="15" spans="1:12">
      <c r="A15" s="31">
        <f ca="1"/>
        <v>6014898</v>
      </c>
      <c r="B15" s="31" t="str">
        <f ca="1"/>
        <v>ATRASADO CARREGAMENTO - SEM SMP</v>
      </c>
      <c r="C15" s="62" t="str">
        <f ca="1"/>
        <v>TRANSKING</v>
      </c>
      <c r="D15" s="31" t="str">
        <f ca="1"/>
        <v>LGCAJ</v>
      </c>
      <c r="E15" s="35">
        <f ca="1"/>
        <v>46159.823611111111</v>
      </c>
      <c r="F15" s="35">
        <f ca="1"/>
        <v>46157.708333333336</v>
      </c>
      <c r="G15" s="35">
        <f ca="1"/>
        <v>46163.25</v>
      </c>
      <c r="H15" s="31" t="str">
        <f ca="1"/>
        <v>ARMAZEM MATEUS S.A - 54503010</v>
      </c>
      <c r="I15" s="31" t="str">
        <f ca="1"/>
        <v>CABO DE SANTO AGOSTINHO/PE/BRASIL</v>
      </c>
      <c r="J15" s="31" t="str">
        <f ca="1"/>
        <v/>
      </c>
      <c r="K15" s="31" t="str">
        <f ca="1"/>
        <v>MLI3G86</v>
      </c>
    </row>
    <row r="16" spans="1:12">
      <c r="A16" s="31">
        <f ca="1"/>
        <v>6011814</v>
      </c>
      <c r="B16" s="31" t="str">
        <f ca="1"/>
        <v>EM VIAGEM</v>
      </c>
      <c r="C16" s="62" t="str">
        <f ca="1"/>
        <v>VIPE TRANSPO</v>
      </c>
      <c r="D16" s="31" t="str">
        <f ca="1"/>
        <v>LGCAJ</v>
      </c>
      <c r="E16" s="35">
        <f ca="1"/>
        <v>46160.654861111114</v>
      </c>
      <c r="F16" s="35">
        <f ca="1"/>
        <v>46157.625</v>
      </c>
      <c r="G16" s="35">
        <f ca="1"/>
        <v>46164.25</v>
      </c>
      <c r="H16" s="31" t="str">
        <f ca="1"/>
        <v>FERREIRA COSTA &amp; CIA LTDA - 58320000</v>
      </c>
      <c r="I16" s="31" t="str">
        <f ca="1"/>
        <v>ALHANDRA/PB/BRASIL</v>
      </c>
      <c r="J16" s="31" t="str">
        <f ca="1"/>
        <v>ITATIAIA/RJ/BRASIL</v>
      </c>
      <c r="K16" s="31" t="str">
        <f ca="1"/>
        <v>CVN9E16</v>
      </c>
    </row>
    <row r="17" spans="1:11">
      <c r="A17" s="31">
        <f ca="1"/>
        <v>6022060</v>
      </c>
      <c r="B17" s="31" t="str">
        <f ca="1"/>
        <v>ATRASADO CARREGAMENTO - SEM SMP</v>
      </c>
      <c r="C17" s="62" t="str">
        <f ca="1"/>
        <v>WSC</v>
      </c>
      <c r="D17" s="31" t="str">
        <f ca="1"/>
        <v>LGCAJ</v>
      </c>
      <c r="E17" s="35">
        <f ca="1"/>
        <v>46159.174305555556</v>
      </c>
      <c r="F17" s="35">
        <f ca="1"/>
        <v>46157.833333333336</v>
      </c>
      <c r="G17" s="35">
        <f ca="1"/>
        <v>46160.291666666664</v>
      </c>
      <c r="H17" s="31" t="str">
        <f ca="1"/>
        <v>FUJIOKA ELETRO IMAGEM S/A - 74675690</v>
      </c>
      <c r="I17" s="31" t="str">
        <f ca="1"/>
        <v>GOIANIA/GO/BRASIL</v>
      </c>
      <c r="J17" s="31" t="str">
        <f ca="1"/>
        <v/>
      </c>
      <c r="K17" s="31" t="str">
        <f ca="1"/>
        <v/>
      </c>
    </row>
    <row r="18" spans="1:11">
      <c r="A18" s="31">
        <f ca="1"/>
        <v>6021675</v>
      </c>
      <c r="B18" s="31" t="str">
        <f ca="1"/>
        <v>OK - NO PRAZO</v>
      </c>
      <c r="C18" s="62" t="str">
        <f ca="1"/>
        <v>NIKA</v>
      </c>
      <c r="D18" s="31" t="str">
        <f ca="1"/>
        <v>LGCAJ</v>
      </c>
      <c r="E18" s="35">
        <f ca="1"/>
        <v>46160.871527777781</v>
      </c>
      <c r="F18" s="35">
        <f ca="1"/>
        <v>46160.666666666664</v>
      </c>
      <c r="G18" s="35">
        <f ca="1"/>
        <v>46161.25</v>
      </c>
      <c r="H18" s="31" t="str">
        <f ca="1"/>
        <v>GRUPO CASAS BAHIA S.A(CD1401) - 25255030</v>
      </c>
      <c r="I18" s="31" t="str">
        <f ca="1"/>
        <v>DUQUE DE CAXIAS/RJ/BRASIL</v>
      </c>
      <c r="J18" s="31" t="str">
        <f ca="1"/>
        <v/>
      </c>
      <c r="K18" s="31" t="str">
        <f ca="1"/>
        <v/>
      </c>
    </row>
    <row r="19" spans="1:11">
      <c r="A19" s="31">
        <f ca="1"/>
        <v>6022061</v>
      </c>
      <c r="B19" s="31" t="str">
        <f ca="1"/>
        <v>ATRASADO CARREGAMENTO - SEM SMP</v>
      </c>
      <c r="C19" s="62" t="str">
        <f ca="1"/>
        <v>WSC</v>
      </c>
      <c r="D19" s="31" t="str">
        <f ca="1"/>
        <v>LGCAJ</v>
      </c>
      <c r="E19" s="35">
        <f ca="1"/>
        <v>46159.174305555556</v>
      </c>
      <c r="F19" s="35">
        <f ca="1"/>
        <v>46157.833333333336</v>
      </c>
      <c r="G19" s="35">
        <f ca="1"/>
        <v>46160.291666666664</v>
      </c>
      <c r="H19" s="31" t="str">
        <f ca="1"/>
        <v>FUJIOKA ELETRO IMAGEM S/A - 74675690</v>
      </c>
      <c r="I19" s="31" t="str">
        <f ca="1"/>
        <v>GOIANIA/GO/BRASIL</v>
      </c>
      <c r="J19" s="31" t="str">
        <f ca="1"/>
        <v/>
      </c>
      <c r="K19" s="31" t="str">
        <f ca="1"/>
        <v/>
      </c>
    </row>
    <row r="20" spans="1:11">
      <c r="A20" s="31">
        <f ca="1"/>
        <v>6014892</v>
      </c>
      <c r="B20" s="31" t="str">
        <f ca="1"/>
        <v>ATRASADO CARREGAMENTO - SEM SMP</v>
      </c>
      <c r="C20" s="62" t="str">
        <f ca="1"/>
        <v>TRANSKING</v>
      </c>
      <c r="D20" s="31" t="str">
        <f ca="1"/>
        <v>LGCAJ</v>
      </c>
      <c r="E20" s="35">
        <f ca="1"/>
        <v>46160.316666666666</v>
      </c>
      <c r="F20" s="35">
        <f ca="1"/>
        <v>46157.708333333336</v>
      </c>
      <c r="G20" s="35">
        <f ca="1"/>
        <v>46163.25</v>
      </c>
      <c r="H20" s="31" t="str">
        <f ca="1"/>
        <v>ARMAZEM MATEUS S/A - 65099090</v>
      </c>
      <c r="I20" s="31" t="str">
        <f ca="1"/>
        <v>SAO LUIS/MA/BRASIL</v>
      </c>
      <c r="J20" s="31" t="str">
        <f ca="1"/>
        <v/>
      </c>
      <c r="K20" s="31" t="str">
        <f ca="1"/>
        <v>EVZ0D39</v>
      </c>
    </row>
    <row r="21" spans="1:11">
      <c r="A21" s="31">
        <f ca="1"/>
        <v>6023170</v>
      </c>
      <c r="B21" s="31" t="str">
        <f ca="1"/>
        <v>OK - NO PRAZO</v>
      </c>
      <c r="C21" s="62" t="str">
        <f ca="1"/>
        <v>MINAS SUL</v>
      </c>
      <c r="D21" s="31" t="str">
        <f ca="1"/>
        <v>LGCAJ</v>
      </c>
      <c r="E21" s="35">
        <f ca="1"/>
        <v>46161.2</v>
      </c>
      <c r="F21" s="35">
        <f ca="1"/>
        <v>46160.833333333336</v>
      </c>
      <c r="G21" s="35">
        <f ca="1"/>
        <v>46161.333333333336</v>
      </c>
      <c r="H21" s="31" t="str">
        <f ca="1"/>
        <v>UNIAR COMÉRCIO DE ELETRO-ELETRÔNICOS E SERVIÇOS LTDA - 37640000</v>
      </c>
      <c r="I21" s="31" t="str">
        <f ca="1"/>
        <v>EXTREMA/MG/BRASIL</v>
      </c>
      <c r="J21" s="31" t="str">
        <f ca="1"/>
        <v/>
      </c>
      <c r="K21" s="31" t="str">
        <f ca="1"/>
        <v/>
      </c>
    </row>
    <row r="22" spans="1:11">
      <c r="A22" s="31">
        <f ca="1"/>
        <v>6011820</v>
      </c>
      <c r="B22" s="31" t="str">
        <f ca="1"/>
        <v>ATRASADO CARREGAMENTO - SEM SMP</v>
      </c>
      <c r="C22" s="62" t="str">
        <f ca="1"/>
        <v>WSC</v>
      </c>
      <c r="D22" s="31" t="str">
        <f ca="1"/>
        <v>LGCAJ</v>
      </c>
      <c r="E22" s="35">
        <f ca="1"/>
        <v>46160.654861111114</v>
      </c>
      <c r="F22" s="35">
        <f ca="1"/>
        <v>46157.833333333336</v>
      </c>
      <c r="G22" s="35">
        <f ca="1"/>
        <v>46164.25</v>
      </c>
      <c r="H22" s="31" t="str">
        <f ca="1"/>
        <v>FERREIRA COSTA &amp; CIA LTDA - 58320000</v>
      </c>
      <c r="I22" s="31" t="str">
        <f ca="1"/>
        <v>ALHANDRA/PB/BRASIL</v>
      </c>
      <c r="J22" s="31" t="str">
        <f ca="1"/>
        <v/>
      </c>
      <c r="K22" s="31" t="str">
        <f ca="1"/>
        <v/>
      </c>
    </row>
    <row r="23" spans="1:11">
      <c r="A23" s="31">
        <f ca="1"/>
        <v>6012861</v>
      </c>
      <c r="B23" s="31" t="str">
        <f ca="1"/>
        <v>EM VIAGEM</v>
      </c>
      <c r="C23" s="62" t="str">
        <f ca="1"/>
        <v>NEW LOG</v>
      </c>
      <c r="D23" s="31" t="str">
        <f ca="1"/>
        <v>LGCAJ</v>
      </c>
      <c r="E23" s="35">
        <f ca="1"/>
        <v>46159.031944444447</v>
      </c>
      <c r="F23" s="35">
        <f ca="1"/>
        <v>46157.541666666664</v>
      </c>
      <c r="G23" s="35">
        <f ca="1"/>
        <v>46160.291666666664</v>
      </c>
      <c r="H23" s="31" t="str">
        <f ca="1"/>
        <v>CIA ZAFFARI COMERCIO E INDUSTRIA - 91040382</v>
      </c>
      <c r="I23" s="31" t="str">
        <f ca="1"/>
        <v>PORTO ALEGRE/RS/BRASIL</v>
      </c>
      <c r="J23" s="31" t="str">
        <f ca="1"/>
        <v>MAQUINE/RS/BRASIL</v>
      </c>
      <c r="K23" s="31" t="str">
        <f ca="1"/>
        <v>FDZ0G55</v>
      </c>
    </row>
    <row r="24" spans="1:11">
      <c r="A24" s="31">
        <f ca="1"/>
        <v>6013093</v>
      </c>
      <c r="B24" s="31" t="str">
        <f ca="1"/>
        <v>OK - NO PRAZO</v>
      </c>
      <c r="C24" s="62" t="str">
        <f ca="1"/>
        <v>RODOPENHA</v>
      </c>
      <c r="D24" s="31" t="str">
        <f ca="1"/>
        <v>LGREC</v>
      </c>
      <c r="E24" s="35">
        <f ca="1"/>
        <v>46161.0625</v>
      </c>
      <c r="F24" s="35">
        <f ca="1"/>
        <v>46161.0625</v>
      </c>
      <c r="G24" s="35">
        <f ca="1"/>
        <v>46161.25</v>
      </c>
      <c r="H24" s="31" t="str">
        <f ca="1"/>
        <v>N CLAUDINO - 58105182</v>
      </c>
      <c r="I24" s="31" t="str">
        <f ca="1"/>
        <v>CABEDELO/PB/BRASIL</v>
      </c>
      <c r="J24" s="31" t="str">
        <f ca="1"/>
        <v/>
      </c>
      <c r="K24" s="31" t="str">
        <f ca="1"/>
        <v/>
      </c>
    </row>
    <row r="25" spans="1:11">
      <c r="A25" s="31">
        <f ca="1"/>
        <v>6014907</v>
      </c>
      <c r="B25" s="31" t="str">
        <f ca="1"/>
        <v>EM VIAGEM</v>
      </c>
      <c r="C25" s="62" t="str">
        <f ca="1"/>
        <v>TRANSKING</v>
      </c>
      <c r="D25" s="31" t="str">
        <f ca="1"/>
        <v>LGCAJ</v>
      </c>
      <c r="E25" s="35">
        <f ca="1"/>
        <v>46160.184027777781</v>
      </c>
      <c r="F25" s="35">
        <f ca="1"/>
        <v>46157.833333333336</v>
      </c>
      <c r="G25" s="35">
        <f ca="1"/>
        <v>46161.25</v>
      </c>
      <c r="H25" s="31" t="str">
        <f ca="1"/>
        <v>GAZIN ATACADO CENTRO-OESTE LTD - 75780000</v>
      </c>
      <c r="I25" s="31" t="str">
        <f ca="1"/>
        <v>IPAMERI/GO/BRASIL</v>
      </c>
      <c r="J25" s="31" t="str">
        <f ca="1"/>
        <v>PILAR DO SUL, CARAPICUIBA/SP/BRASIL (0,1 Km)</v>
      </c>
      <c r="K25" s="31" t="str">
        <f ca="1"/>
        <v>NRF5D59</v>
      </c>
    </row>
    <row r="26" spans="1:11">
      <c r="A26" s="31">
        <f ca="1"/>
        <v>6013221</v>
      </c>
      <c r="B26" s="31" t="str">
        <f ca="1"/>
        <v>EM VIAGEM</v>
      </c>
      <c r="C26" s="62" t="str">
        <f ca="1"/>
        <v>BENDINI LOGI</v>
      </c>
      <c r="D26" s="31" t="str">
        <f ca="1"/>
        <v>LGCAJ</v>
      </c>
      <c r="E26" s="35">
        <f ca="1"/>
        <v>46160.897222222222</v>
      </c>
      <c r="F26" s="35">
        <f ca="1"/>
        <v>46157.541666666664</v>
      </c>
      <c r="G26" s="35">
        <f ca="1"/>
        <v>46161.25</v>
      </c>
      <c r="H26" s="31" t="str">
        <f ca="1"/>
        <v>LOJAS COLOMBO S/A COM UTILIDADES DOMESTICAS - 81350240</v>
      </c>
      <c r="I26" s="31" t="str">
        <f ca="1"/>
        <v>CURITIBA/PR/BRASIL</v>
      </c>
      <c r="J26" s="31" t="str">
        <f ca="1"/>
        <v>JACUPIRANGA/SP/BRASIL</v>
      </c>
      <c r="K26" s="31" t="str">
        <f ca="1"/>
        <v>RYL4J67</v>
      </c>
    </row>
    <row r="27" spans="1:11">
      <c r="A27" s="31">
        <f ca="1"/>
        <v>6021676</v>
      </c>
      <c r="B27" s="31" t="str">
        <f ca="1"/>
        <v>OK - NO PRAZO</v>
      </c>
      <c r="C27" s="62" t="str">
        <f ca="1"/>
        <v>NIKA</v>
      </c>
      <c r="D27" s="31" t="str">
        <f ca="1"/>
        <v>LGCAJ</v>
      </c>
      <c r="E27" s="35">
        <f ca="1"/>
        <v>46160.783333333333</v>
      </c>
      <c r="F27" s="35">
        <f ca="1"/>
        <v>46160.666666666664</v>
      </c>
      <c r="G27" s="35">
        <f ca="1"/>
        <v>46161.25</v>
      </c>
      <c r="H27" s="31" t="str">
        <f ca="1"/>
        <v>GRUPO CASAS BAHIA S.A(CD1401) - 25255030</v>
      </c>
      <c r="I27" s="31" t="str">
        <f ca="1"/>
        <v>DUQUE DE CAXIAS/RJ/BRASIL</v>
      </c>
      <c r="J27" s="31" t="str">
        <f ca="1"/>
        <v/>
      </c>
      <c r="K27" s="31" t="str">
        <f ca="1"/>
        <v/>
      </c>
    </row>
    <row r="28" spans="1:11">
      <c r="A28" s="31">
        <f ca="1"/>
        <v>6023024</v>
      </c>
      <c r="B28" s="31" t="str">
        <f ca="1"/>
        <v>OK - NO PRAZO</v>
      </c>
      <c r="C28" s="62" t="str">
        <f ca="1"/>
        <v>RODOBRAS TR</v>
      </c>
      <c r="D28" s="31" t="str">
        <f ca="1"/>
        <v>LGSCT</v>
      </c>
      <c r="E28" s="35">
        <f ca="1"/>
        <v>46161.826388888891</v>
      </c>
      <c r="F28" s="35">
        <f ca="1"/>
        <v>46160.458333333336</v>
      </c>
      <c r="G28" s="35">
        <f ca="1"/>
        <v>46162.25</v>
      </c>
      <c r="H28" s="31" t="str">
        <f ca="1"/>
        <v>GRUPO CASAS BAHIA S.A(CD1200) - 13203850</v>
      </c>
      <c r="I28" s="31" t="str">
        <f ca="1"/>
        <v>JUNDIAI/SP/BRASIL</v>
      </c>
      <c r="J28" s="31" t="str">
        <f ca="1"/>
        <v/>
      </c>
      <c r="K28" s="31" t="str">
        <f ca="1"/>
        <v/>
      </c>
    </row>
    <row r="29" spans="1:11">
      <c r="A29" s="31">
        <f ca="1"/>
        <v>6022338</v>
      </c>
      <c r="B29" s="31" t="str">
        <f ca="1"/>
        <v>OK - NO PRAZO</v>
      </c>
      <c r="C29" s="62" t="str">
        <f ca="1"/>
        <v>MINAS SUL</v>
      </c>
      <c r="D29" s="31" t="str">
        <f ca="1"/>
        <v>LGCAJ</v>
      </c>
      <c r="E29" s="35">
        <f ca="1"/>
        <v>46161.118055555555</v>
      </c>
      <c r="F29" s="35">
        <f ca="1"/>
        <v>46160.75</v>
      </c>
      <c r="G29" s="35">
        <f ca="1"/>
        <v>46162.333333333336</v>
      </c>
      <c r="H29" s="31" t="str">
        <f ca="1"/>
        <v>CARREFOUR- DF - 72501100</v>
      </c>
      <c r="I29" s="31" t="str">
        <f ca="1"/>
        <v>BRASILIA/DF/BRASIL</v>
      </c>
      <c r="J29" s="31" t="str">
        <f ca="1"/>
        <v/>
      </c>
      <c r="K29" s="31" t="str">
        <f ca="1"/>
        <v/>
      </c>
    </row>
    <row r="30" spans="1:11">
      <c r="A30" s="31">
        <f ca="1"/>
        <v>6011813</v>
      </c>
      <c r="B30" s="31" t="str">
        <f ca="1"/>
        <v>ATRASADO CARREGAMENTO - SEM SMP</v>
      </c>
      <c r="C30" s="62" t="str">
        <f ca="1"/>
        <v>WSC</v>
      </c>
      <c r="D30" s="31" t="str">
        <f ca="1"/>
        <v>LGCAJ</v>
      </c>
      <c r="E30" s="35">
        <f ca="1"/>
        <v>46159.654861111114</v>
      </c>
      <c r="F30" s="35">
        <f ca="1"/>
        <v>46157.833333333336</v>
      </c>
      <c r="G30" s="35">
        <f ca="1"/>
        <v>46163.25</v>
      </c>
      <c r="H30" s="31" t="str">
        <f ca="1"/>
        <v>FERREIRA COSTA &amp; CIA LTDA - 58320000</v>
      </c>
      <c r="I30" s="31" t="str">
        <f ca="1"/>
        <v>ALHANDRA/PB/BRASIL</v>
      </c>
      <c r="J30" s="31" t="str">
        <f ca="1"/>
        <v/>
      </c>
      <c r="K30" s="31" t="str">
        <f ca="1"/>
        <v/>
      </c>
    </row>
    <row r="31" spans="1:11">
      <c r="A31" s="31">
        <f ca="1"/>
        <v>6023445</v>
      </c>
      <c r="B31" s="31" t="str">
        <f ca="1"/>
        <v>EM VIAGEM</v>
      </c>
      <c r="C31" s="62" t="str">
        <f ca="1"/>
        <v>RODOBRAS TR</v>
      </c>
      <c r="D31" s="31" t="str">
        <f ca="1"/>
        <v>LGSCT</v>
      </c>
      <c r="E31" s="35">
        <f ca="1"/>
        <v>46162.515972222223</v>
      </c>
      <c r="F31" s="35">
        <f ca="1"/>
        <v>46157.645833333336</v>
      </c>
      <c r="G31" s="35">
        <f ca="1"/>
        <v>46162.958333333336</v>
      </c>
      <c r="H31" s="31" t="str">
        <f ca="1"/>
        <v>PENSKE LOGISTICS DO BRASIL LTDA. - 07775240</v>
      </c>
      <c r="I31" s="31" t="str">
        <f ca="1"/>
        <v>CAJAMAR/SP/BRASIL</v>
      </c>
      <c r="J31" s="31" t="str">
        <f ca="1"/>
        <v>RODOANEL MARIO COVAS, EMBU DAS ARTES/SP/BRASIL (0,04 Km)</v>
      </c>
      <c r="K31" s="31" t="str">
        <f ca="1"/>
        <v>EFU2E26</v>
      </c>
    </row>
    <row r="32" spans="1:11">
      <c r="A32" s="31">
        <f ca="1"/>
        <v>6023023</v>
      </c>
      <c r="B32" s="31" t="str">
        <f ca="1"/>
        <v>OK - NO PRAZO</v>
      </c>
      <c r="C32" s="62" t="str">
        <f ca="1"/>
        <v>RODOBRAS TR</v>
      </c>
      <c r="D32" s="31" t="str">
        <f ca="1"/>
        <v>LGSCT</v>
      </c>
      <c r="E32" s="35">
        <f ca="1"/>
        <v>46161.826388888891</v>
      </c>
      <c r="F32" s="35">
        <f ca="1"/>
        <v>46160.5</v>
      </c>
      <c r="G32" s="35">
        <f ca="1"/>
        <v>46162.25</v>
      </c>
      <c r="H32" s="31" t="str">
        <f ca="1"/>
        <v>GRUPO CASAS BAHIA S.A(CD1200) - 13203850</v>
      </c>
      <c r="I32" s="31" t="str">
        <f ca="1"/>
        <v>JUNDIAI/SP/BRASIL</v>
      </c>
      <c r="J32" s="31" t="str">
        <f ca="1"/>
        <v/>
      </c>
      <c r="K32" s="31" t="str">
        <f ca="1"/>
        <v/>
      </c>
    </row>
    <row r="33" spans="1:12">
      <c r="A33" s="31">
        <f ca="1"/>
        <v>6021539</v>
      </c>
      <c r="B33" s="31" t="str">
        <f ca="1"/>
        <v>EM VIAGEM</v>
      </c>
      <c r="C33" s="62" t="str">
        <f ca="1"/>
        <v>TRANSBOCAYUV</v>
      </c>
      <c r="D33" s="31" t="str">
        <f ca="1"/>
        <v>LGCAJ</v>
      </c>
      <c r="E33" s="35">
        <f ca="1"/>
        <v>46159.238194444442</v>
      </c>
      <c r="F33" s="35">
        <f ca="1"/>
        <v>46157.333333333336</v>
      </c>
      <c r="G33" s="35">
        <f ca="1"/>
        <v>46160.291666666664</v>
      </c>
      <c r="H33" s="31" t="str">
        <f ca="1"/>
        <v>AGIS EQUIPAMENTOS E SERVICOS DE INFORMATICA LTDA. - 29169832</v>
      </c>
      <c r="I33" s="31" t="str">
        <f ca="1"/>
        <v>SERRA/ES/BRASIL</v>
      </c>
      <c r="J33" s="31" t="str">
        <f ca="1"/>
        <v>ALAMEDA ARABE, CAMPOS DOS GOYTACAZES/RJ/BRASIL (28,52 Km)</v>
      </c>
      <c r="K33" s="31" t="str">
        <f ca="1"/>
        <v>SFR1A52</v>
      </c>
    </row>
    <row r="34" spans="1:12">
      <c r="A34" s="31">
        <f ca="1"/>
        <v>6023015</v>
      </c>
      <c r="B34" s="31" t="str">
        <f ca="1"/>
        <v>NA CLIF - COM SMP - AGUARDANDO SAÍDA</v>
      </c>
      <c r="C34" s="62" t="str">
        <f ca="1"/>
        <v>RODOBRAS TR</v>
      </c>
      <c r="D34" s="31" t="str">
        <f ca="1"/>
        <v>LGSCT</v>
      </c>
      <c r="E34" s="35">
        <f ca="1"/>
        <v>46157.625</v>
      </c>
      <c r="F34" s="35">
        <f ca="1"/>
        <v>46157.625</v>
      </c>
      <c r="G34" s="35">
        <f ca="1"/>
        <v>46161.958333333336</v>
      </c>
      <c r="H34" s="31" t="str">
        <f ca="1"/>
        <v>GRUPO CASAS BAHIA S.A(CD1500) - 09790400</v>
      </c>
      <c r="I34" s="31" t="str">
        <f ca="1"/>
        <v>SAO BERNARDO DO CAMPO/SP/BRASIL</v>
      </c>
      <c r="J34" s="31" t="str">
        <f ca="1"/>
        <v>ITAPOA/SC/BRASIL</v>
      </c>
      <c r="K34" s="31" t="str">
        <f ca="1"/>
        <v>TBJ7E66</v>
      </c>
    </row>
    <row r="35" spans="1:12">
      <c r="A35" s="31">
        <f ca="1"/>
        <v>6023020</v>
      </c>
      <c r="B35" s="31" t="str">
        <f ca="1"/>
        <v>EM VIAGEM</v>
      </c>
      <c r="C35" s="62" t="str">
        <f ca="1"/>
        <v>RODOBRAS TR</v>
      </c>
      <c r="D35" s="31" t="str">
        <f ca="1"/>
        <v>LGSCT</v>
      </c>
      <c r="E35" s="35">
        <f ca="1"/>
        <v>46157</v>
      </c>
      <c r="F35" s="35">
        <f ca="1"/>
        <v>46157.583333333336</v>
      </c>
      <c r="G35" s="35">
        <f ca="1"/>
        <v>46162.25</v>
      </c>
      <c r="H35" s="31" t="str">
        <f ca="1"/>
        <v>GRUPO CASAS BAHIA S.A(CD1200) - 13203850</v>
      </c>
      <c r="I35" s="31" t="str">
        <f ca="1"/>
        <v>JUNDIAI/SP/BRASIL</v>
      </c>
      <c r="J35" s="31" t="str">
        <f ca="1"/>
        <v>RUA IGNEZ DE SOUZA SOARES, CURITIBA/PR/BRASIL (0,18 Km)</v>
      </c>
      <c r="K35" s="31" t="str">
        <f ca="1"/>
        <v>EEU9G69</v>
      </c>
    </row>
    <row r="36" spans="1:12">
      <c r="A36" s="31">
        <f ca="1"/>
        <v>6023168</v>
      </c>
      <c r="B36" s="31" t="str">
        <f ca="1"/>
        <v>OK - NO PRAZO</v>
      </c>
      <c r="C36" s="62" t="str">
        <f ca="1"/>
        <v>JRX TRANSPOR</v>
      </c>
      <c r="D36" s="31" t="str">
        <f ca="1"/>
        <v>LGCAJ</v>
      </c>
      <c r="E36" s="35">
        <f ca="1"/>
        <v>46161.179166666669</v>
      </c>
      <c r="F36" s="35">
        <f ca="1"/>
        <v>46160.666666666664</v>
      </c>
      <c r="G36" s="35">
        <f ca="1"/>
        <v>46161.333333333336</v>
      </c>
      <c r="H36" s="31" t="str">
        <f ca="1"/>
        <v>UNIAR COMÉRCIO DE ELETRO-ELETRÔNICOS E SERVIÇOS LTDA - 37640000</v>
      </c>
      <c r="I36" s="31" t="str">
        <f ca="1"/>
        <v>EXTREMA/MG/BRASIL</v>
      </c>
      <c r="J36" s="31" t="str">
        <f ca="1"/>
        <v/>
      </c>
      <c r="K36" s="31" t="str">
        <f ca="1"/>
        <v/>
      </c>
    </row>
    <row r="37" spans="1:12">
      <c r="A37" s="31">
        <f ca="1"/>
        <v>6014055</v>
      </c>
      <c r="B37" s="31" t="str">
        <f ca="1"/>
        <v>OK - NO PRAZO</v>
      </c>
      <c r="C37" s="62" t="str">
        <f ca="1"/>
        <v>TRANSKING</v>
      </c>
      <c r="D37" s="31" t="str">
        <f ca="1"/>
        <v>LGCAJ</v>
      </c>
      <c r="E37" s="35">
        <f ca="1"/>
        <v>46161.520833333336</v>
      </c>
      <c r="F37" s="35">
        <f ca="1"/>
        <v>46160.708333333336</v>
      </c>
      <c r="G37" s="35">
        <f ca="1"/>
        <v>46163.333333333336</v>
      </c>
      <c r="H37" s="31" t="str">
        <f ca="1"/>
        <v>LOJAS BECKER LTDA - 97900000</v>
      </c>
      <c r="I37" s="31" t="str">
        <f ca="1"/>
        <v>CERRO LARGO/RS/BRASIL</v>
      </c>
      <c r="J37" s="31" t="str">
        <f ca="1"/>
        <v/>
      </c>
      <c r="K37" s="31" t="str">
        <f ca="1"/>
        <v/>
      </c>
    </row>
    <row r="38" spans="1:12">
      <c r="A38" s="31">
        <f ca="1"/>
        <v>6022158</v>
      </c>
      <c r="B38" s="31" t="str">
        <f ca="1"/>
        <v>EM VIAGEM</v>
      </c>
      <c r="C38" s="62" t="str">
        <f ca="1"/>
        <v>TRANSBOCAYUV</v>
      </c>
      <c r="D38" s="31" t="str">
        <f ca="1"/>
        <v>LGSCT</v>
      </c>
      <c r="E38" s="35">
        <f ca="1"/>
        <v>46159.138888888891</v>
      </c>
      <c r="F38" s="35">
        <f ca="1"/>
        <v>46157.479166666664</v>
      </c>
      <c r="G38" s="35">
        <f ca="1"/>
        <v>46160.25</v>
      </c>
      <c r="H38" s="31" t="str">
        <f ca="1"/>
        <v>GRUPO CASAS BAHIA S.A(CD1401) - 25255030</v>
      </c>
      <c r="I38" s="31" t="str">
        <f ca="1"/>
        <v>DUQUE DE CAXIAS/RJ/BRASIL</v>
      </c>
      <c r="J38" s="31" t="str">
        <f ca="1"/>
        <v>TIJUCAS DO SUL/PR/BRASIL</v>
      </c>
      <c r="K38" s="31" t="str">
        <f ca="1"/>
        <v>OKH7C14</v>
      </c>
    </row>
    <row r="39" spans="1:12">
      <c r="A39" s="31">
        <f ca="1"/>
        <v>6023009</v>
      </c>
      <c r="B39" s="31" t="str">
        <f ca="1"/>
        <v>OK - NO PRAZO</v>
      </c>
      <c r="C39" s="62" t="str">
        <f ca="1"/>
        <v>EMJ LOGISTIC</v>
      </c>
      <c r="D39" s="31" t="str">
        <f ca="1"/>
        <v>LGCAJ</v>
      </c>
      <c r="E39" s="35">
        <f ca="1"/>
        <v>46161.365277777775</v>
      </c>
      <c r="F39" s="35">
        <f ca="1"/>
        <v>46160.833333333336</v>
      </c>
      <c r="G39" s="35">
        <f ca="1"/>
        <v>46162.25</v>
      </c>
      <c r="H39" s="31" t="str">
        <f ca="1"/>
        <v>GRUPO CASAS BAHIA S.A(CD1760) - 32150240</v>
      </c>
      <c r="I39" s="31" t="str">
        <f ca="1"/>
        <v>CONTAGEM/MG/BRASIL</v>
      </c>
      <c r="J39" s="31" t="str">
        <f ca="1"/>
        <v/>
      </c>
      <c r="K39" s="31" t="str">
        <f ca="1"/>
        <v/>
      </c>
    </row>
    <row r="40" spans="1:12">
      <c r="A40" s="31">
        <f ca="1"/>
        <v>6023297</v>
      </c>
      <c r="B40" s="31" t="str">
        <f ca="1"/>
        <v>ATRASADO CARREGAMENTO - SEM SMP</v>
      </c>
      <c r="C40" s="62" t="str">
        <f ca="1"/>
        <v>TRANSP RODOWAY LTDA</v>
      </c>
      <c r="D40" s="31" t="str">
        <f ca="1"/>
        <v>LGSCT</v>
      </c>
      <c r="E40" s="35">
        <f ca="1"/>
        <v>46160.833333333336</v>
      </c>
      <c r="F40" s="35">
        <f ca="1"/>
        <v>46158.458333333336</v>
      </c>
      <c r="G40" s="35">
        <f ca="1"/>
        <v>46161.25</v>
      </c>
      <c r="H40" s="31" t="str">
        <f ca="1"/>
        <v>LOJAS COLOMBO SA COMERCIO DE UTILIDADES DOMESTICAS - 92480000</v>
      </c>
      <c r="I40" s="31" t="str">
        <f ca="1"/>
        <v>NOVA SANTA RITA/RS/BRASIL</v>
      </c>
      <c r="J40" s="31" t="str">
        <f ca="1"/>
        <v/>
      </c>
      <c r="K40" s="31" t="str">
        <f ca="1"/>
        <v/>
      </c>
    </row>
    <row r="41" spans="1:12">
      <c r="A41" s="31">
        <f ca="1"/>
        <v>6021313</v>
      </c>
      <c r="B41" s="31" t="str">
        <f ca="1"/>
        <v>EM VIAGEM</v>
      </c>
      <c r="C41" s="62" t="str">
        <f ca="1"/>
        <v>MWM TRANSPORTES</v>
      </c>
      <c r="D41" s="31" t="str">
        <f ca="1"/>
        <v>LGCAJ</v>
      </c>
      <c r="E41" s="35">
        <f ca="1"/>
        <v>46159.704861111109</v>
      </c>
      <c r="F41" s="35">
        <f ca="1"/>
        <v>46157.833333333336</v>
      </c>
      <c r="G41" s="35">
        <f ca="1"/>
        <v>46161.277777777781</v>
      </c>
      <c r="H41" s="31" t="str">
        <f ca="1"/>
        <v>REFRIGELO CLIMATIZAÇÃO DE AMBIENTES S.A - 29104491</v>
      </c>
      <c r="I41" s="31" t="str">
        <f ca="1"/>
        <v>VILA VELHA/ES/BRASIL</v>
      </c>
      <c r="J41" s="31" t="str">
        <f ca="1"/>
        <v>PINDAMONHANGABA/SP/BRASIL</v>
      </c>
      <c r="K41" s="31" t="str">
        <f ca="1"/>
        <v>TOF4J05</v>
      </c>
    </row>
    <row r="42" spans="1:12">
      <c r="A42" s="36">
        <f ca="1"/>
        <v>6014900</v>
      </c>
      <c r="B42" s="36" t="str">
        <f ca="1"/>
        <v>EM VIAGEM</v>
      </c>
      <c r="C42" s="63" t="str">
        <f ca="1"/>
        <v>TRANSKING</v>
      </c>
      <c r="D42" s="36" t="str">
        <f ca="1"/>
        <v>LGCAJ</v>
      </c>
      <c r="E42" s="37">
        <f ca="1"/>
        <v>46159.823611111111</v>
      </c>
      <c r="F42" s="37">
        <f ca="1"/>
        <v>46157.708333333336</v>
      </c>
      <c r="G42" s="37">
        <f ca="1"/>
        <v>46163.25</v>
      </c>
      <c r="H42" s="36" t="str">
        <f ca="1"/>
        <v>ARMAZEM MATEUS S.A - 54503010</v>
      </c>
      <c r="I42" s="36" t="str">
        <f ca="1"/>
        <v>CABO DE SANTO AGOSTINHO/PE/BRASIL</v>
      </c>
      <c r="J42" s="36" t="str">
        <f ca="1"/>
        <v>SAO SEBASTIAO DA BELA VISTA/MG/BRASIL</v>
      </c>
      <c r="K42" s="36" t="str">
        <f ca="1"/>
        <v>DPE0I50</v>
      </c>
      <c r="L42" s="18"/>
    </row>
    <row r="43" spans="1:12">
      <c r="A43" s="31">
        <f ca="1"/>
        <v>6023296</v>
      </c>
      <c r="B43" s="31" t="str">
        <f ca="1"/>
        <v>NA CLIF - COM SMP - AGUARDANDO SAÍDA</v>
      </c>
      <c r="C43" s="62" t="str">
        <f ca="1"/>
        <v>TRANSP RODOWAY LTDA</v>
      </c>
      <c r="D43" s="31" t="str">
        <f ca="1"/>
        <v>LGSCT</v>
      </c>
      <c r="E43" s="35">
        <f ca="1"/>
        <v>46160.11041666667</v>
      </c>
      <c r="F43" s="35">
        <f ca="1"/>
        <v>46158.395833333336</v>
      </c>
      <c r="G43" s="35">
        <f ca="1"/>
        <v>46160.25</v>
      </c>
      <c r="H43" s="31" t="str">
        <f ca="1"/>
        <v>LOJAS COLOMBO S/A COM UTILIDADES DOMESTICAS - 81350240</v>
      </c>
      <c r="I43" s="31" t="str">
        <f ca="1"/>
        <v>CURITIBA/PR/BRASIL</v>
      </c>
      <c r="J43" s="31" t="str">
        <f ca="1"/>
        <v>ITAPOA/SC/BRASIL</v>
      </c>
      <c r="K43" s="31" t="str">
        <f ca="1"/>
        <v>QJZ2D94</v>
      </c>
    </row>
    <row r="44" spans="1:12">
      <c r="A44" s="31">
        <f ca="1"/>
        <v>6022339</v>
      </c>
      <c r="B44" s="31" t="str">
        <f ca="1"/>
        <v>NA CLIF - COM SMP - AGUARDANDO SAÍDA</v>
      </c>
      <c r="C44" s="62" t="str">
        <f ca="1"/>
        <v>TRANSP RODOWAY LTDA</v>
      </c>
      <c r="D44" s="31" t="str">
        <f ca="1"/>
        <v>LGSCT</v>
      </c>
      <c r="E44" s="35">
        <f ca="1"/>
        <v>46159.245138888888</v>
      </c>
      <c r="F44" s="35">
        <f ca="1"/>
        <v>46157.416666666664</v>
      </c>
      <c r="G44" s="35">
        <f ca="1"/>
        <v>46160.291666666664</v>
      </c>
      <c r="H44" s="31" t="str">
        <f ca="1"/>
        <v>LOJAS BECKER LTDA - 97900000</v>
      </c>
      <c r="I44" s="31" t="str">
        <f ca="1"/>
        <v>CERRO LARGO/RS/BRASIL</v>
      </c>
      <c r="J44" s="31" t="str">
        <f ca="1"/>
        <v>ITAPOA/SC/BRASIL</v>
      </c>
      <c r="K44" s="31" t="str">
        <f ca="1"/>
        <v>AUK5C54</v>
      </c>
    </row>
    <row r="45" spans="1:12">
      <c r="A45" s="31">
        <f ca="1"/>
        <v>6021735</v>
      </c>
      <c r="B45" s="31" t="str">
        <f ca="1"/>
        <v>OK - NO PRAZO</v>
      </c>
      <c r="C45" s="62" t="str">
        <f ca="1"/>
        <v>RODOPENHA</v>
      </c>
      <c r="D45" s="31" t="str">
        <f ca="1"/>
        <v>LGREC</v>
      </c>
      <c r="E45" s="35">
        <f ca="1"/>
        <v>46160.854166666664</v>
      </c>
      <c r="F45" s="35">
        <f ca="1"/>
        <v>46160.854166666664</v>
      </c>
      <c r="G45" s="35">
        <f ca="1"/>
        <v>46162.25</v>
      </c>
      <c r="H45" s="31" t="str">
        <f ca="1"/>
        <v>GRUPO CASAS BAHIA S.A(CD1400) - 42816270</v>
      </c>
      <c r="I45" s="31" t="str">
        <f ca="1"/>
        <v>CAMACARI/BA/BRASIL</v>
      </c>
      <c r="J45" s="31" t="str">
        <f ca="1"/>
        <v/>
      </c>
      <c r="K45" s="31" t="str">
        <f ca="1"/>
        <v/>
      </c>
    </row>
    <row r="46" spans="1:12">
      <c r="A46" s="31">
        <f ca="1"/>
        <v>6022203</v>
      </c>
      <c r="B46" s="31" t="str">
        <f ca="1"/>
        <v>NA CLIF - COM SMP - AGUARDANDO SAÍDA</v>
      </c>
      <c r="C46" s="62" t="str">
        <f ca="1"/>
        <v>VIPE TRANSPO</v>
      </c>
      <c r="D46" s="31" t="str">
        <f ca="1"/>
        <v>LGSCT</v>
      </c>
      <c r="E46" s="35">
        <f ca="1"/>
        <v>46157.25</v>
      </c>
      <c r="F46" s="35">
        <f ca="1"/>
        <v>46157.25</v>
      </c>
      <c r="G46" s="35">
        <f ca="1"/>
        <v>46160.958333333336</v>
      </c>
      <c r="H46" s="31" t="str">
        <f ca="1"/>
        <v>GRUPO CASAS BAHIA S.A(CD1200) - 13203850</v>
      </c>
      <c r="I46" s="31" t="str">
        <f ca="1"/>
        <v>JUNDIAI/SP/BRASIL</v>
      </c>
      <c r="J46" s="31" t="str">
        <f ca="1"/>
        <v>ITAPOA/SC/BRASIL</v>
      </c>
      <c r="K46" s="31" t="str">
        <f ca="1"/>
        <v>GCV2B82</v>
      </c>
    </row>
    <row r="47" spans="1:12">
      <c r="A47" s="31">
        <f ca="1"/>
        <v>6022219</v>
      </c>
      <c r="B47" s="31" t="str">
        <f ca="1"/>
        <v>NA CLIF - COM SMP - AGUARDANDO SAÍDA</v>
      </c>
      <c r="C47" s="62" t="str">
        <f ca="1"/>
        <v>NEW LOG</v>
      </c>
      <c r="D47" s="31" t="str">
        <f ca="1"/>
        <v>LGSCT</v>
      </c>
      <c r="E47" s="35">
        <f ca="1"/>
        <v>46157.25</v>
      </c>
      <c r="F47" s="35">
        <f ca="1"/>
        <v>46157.25</v>
      </c>
      <c r="G47" s="35">
        <f ca="1"/>
        <v>46160.958333333336</v>
      </c>
      <c r="H47" s="31" t="str">
        <f ca="1"/>
        <v>GRUPO CASAS BAHIA S.A(CD1445) - 94931350</v>
      </c>
      <c r="I47" s="31" t="str">
        <f ca="1"/>
        <v>CACHOEIRINHA/RS/BRASIL</v>
      </c>
      <c r="J47" s="31" t="str">
        <f ca="1"/>
        <v>ITAPOA/SC/BRASIL</v>
      </c>
      <c r="K47" s="31" t="str">
        <f ca="1"/>
        <v>AFI1D52</v>
      </c>
    </row>
    <row r="48" spans="1:12">
      <c r="A48" s="31">
        <f ca="1"/>
        <v>6014918</v>
      </c>
      <c r="B48" s="31" t="str">
        <f ca="1"/>
        <v>ATRASADO CARREGAMENTO - SEM SMP</v>
      </c>
      <c r="C48" s="62" t="str">
        <f ca="1"/>
        <v>TRANSBOCAYUV</v>
      </c>
      <c r="D48" s="31" t="str">
        <f ca="1"/>
        <v>LGSCT</v>
      </c>
      <c r="E48" s="35">
        <f ca="1"/>
        <v>46158.958333333336</v>
      </c>
      <c r="F48" s="35">
        <f ca="1"/>
        <v>46157.4375</v>
      </c>
      <c r="G48" s="35">
        <f ca="1"/>
        <v>46163.291666666664</v>
      </c>
      <c r="H48" s="31" t="str">
        <f ca="1"/>
        <v>WMB SUPERMERCADOS DOBRASIL LTDA (SAM'S) - 54335020</v>
      </c>
      <c r="I48" s="31" t="str">
        <f ca="1"/>
        <v>JABOATAO DOS GUARARAPES/PE/BRASIL</v>
      </c>
      <c r="J48" s="31" t="str">
        <f ca="1"/>
        <v/>
      </c>
      <c r="K48" s="31" t="str">
        <f ca="1"/>
        <v/>
      </c>
    </row>
    <row r="49" spans="1:11">
      <c r="A49" s="31">
        <f ca="1"/>
        <v>6022206</v>
      </c>
      <c r="B49" s="31" t="str">
        <f ca="1"/>
        <v>NA CLIF - COM SMP - AGUARDANDO SAÍDA</v>
      </c>
      <c r="C49" s="62" t="str">
        <f ca="1"/>
        <v>TRANSBOCAYUV</v>
      </c>
      <c r="D49" s="31" t="str">
        <f ca="1"/>
        <v>LGSCT</v>
      </c>
      <c r="E49" s="35">
        <f ca="1"/>
        <v>46159.654861111114</v>
      </c>
      <c r="F49" s="35">
        <f ca="1"/>
        <v>46157.458333333336</v>
      </c>
      <c r="G49" s="35">
        <f ca="1"/>
        <v>46163.25</v>
      </c>
      <c r="H49" s="31" t="str">
        <f ca="1"/>
        <v>GRUPO CASAS BAHIA S.A(CD1400) - 42816270</v>
      </c>
      <c r="I49" s="31" t="str">
        <f ca="1"/>
        <v>CAMACARI/BA/BRASIL</v>
      </c>
      <c r="J49" s="31" t="str">
        <f ca="1"/>
        <v>ITAPOA/SC/BRASIL</v>
      </c>
      <c r="K49" s="31" t="str">
        <f ca="1"/>
        <v>BAP3B31</v>
      </c>
    </row>
    <row r="50" spans="1:11">
      <c r="A50" s="31">
        <f ca="1"/>
        <v>6022190</v>
      </c>
      <c r="B50" s="31" t="str">
        <f ca="1"/>
        <v>NA CLIF - COM SMP - AGUARDANDO SAÍDA</v>
      </c>
      <c r="C50" s="62" t="str">
        <f ca="1"/>
        <v>VIPE TRANSPO</v>
      </c>
      <c r="D50" s="31" t="str">
        <f ca="1"/>
        <v>LGSCT</v>
      </c>
      <c r="E50" s="35">
        <f ca="1"/>
        <v>46157.25</v>
      </c>
      <c r="F50" s="35">
        <f ca="1"/>
        <v>46157.25</v>
      </c>
      <c r="G50" s="35">
        <f ca="1"/>
        <v>46160.958333333336</v>
      </c>
      <c r="H50" s="31" t="str">
        <f ca="1"/>
        <v>GRUPO CASAS BAHIA S.A(CD1200) - 13203850</v>
      </c>
      <c r="I50" s="31" t="str">
        <f ca="1"/>
        <v>JUNDIAI/SP/BRASIL</v>
      </c>
      <c r="J50" s="31" t="str">
        <f ca="1"/>
        <v>ITAPOA/SC/BRASIL</v>
      </c>
      <c r="K50" s="31" t="str">
        <f ca="1"/>
        <v>SXQ8A69</v>
      </c>
    </row>
    <row r="51" spans="1:11">
      <c r="A51" s="31">
        <f ca="1"/>
        <v>6021732</v>
      </c>
      <c r="B51" s="31" t="str">
        <f ca="1"/>
        <v>OK - NO PRAZO</v>
      </c>
      <c r="C51" s="62" t="str">
        <f ca="1"/>
        <v>RODOPENHA</v>
      </c>
      <c r="D51" s="31" t="str">
        <f ca="1"/>
        <v>LGREC</v>
      </c>
      <c r="E51" s="35">
        <f ca="1"/>
        <v>46160.895833333336</v>
      </c>
      <c r="F51" s="35">
        <f ca="1"/>
        <v>46160.895833333336</v>
      </c>
      <c r="G51" s="35">
        <f ca="1"/>
        <v>46162.25</v>
      </c>
      <c r="H51" s="31" t="str">
        <f ca="1"/>
        <v>GRUPO CASAS BAHIA S.A(CD1877) - 61935180</v>
      </c>
      <c r="I51" s="31" t="str">
        <f ca="1"/>
        <v>MARACANAU/CE/BRASIL</v>
      </c>
      <c r="J51" s="31" t="str">
        <f ca="1"/>
        <v/>
      </c>
      <c r="K51" s="31" t="str">
        <f ca="1"/>
        <v/>
      </c>
    </row>
    <row r="52" spans="1:11">
      <c r="A52" s="31">
        <f ca="1"/>
        <v>6022204</v>
      </c>
      <c r="B52" s="31" t="str">
        <f ca="1"/>
        <v>EM VIAGEM</v>
      </c>
      <c r="C52" s="62" t="str">
        <f ca="1"/>
        <v>TRANSBOCAYUV</v>
      </c>
      <c r="D52" s="31" t="str">
        <f ca="1"/>
        <v>LGSCT</v>
      </c>
      <c r="E52" s="35">
        <f ca="1"/>
        <v>46159.826388888891</v>
      </c>
      <c r="F52" s="35">
        <f ca="1"/>
        <v>46157.625</v>
      </c>
      <c r="G52" s="35">
        <f ca="1"/>
        <v>46160.25</v>
      </c>
      <c r="H52" s="31" t="str">
        <f ca="1"/>
        <v>GRUPO CASAS BAHIA S.A(CD1200) - 13203850</v>
      </c>
      <c r="I52" s="31" t="str">
        <f ca="1"/>
        <v>JUNDIAI/SP/BRASIL</v>
      </c>
      <c r="J52" s="31" t="str">
        <f ca="1"/>
        <v>ESTRADA MUNICIPAL, QUATRO BARRAS/PR/BRASIL (1,37 Km)</v>
      </c>
      <c r="K52" s="31" t="str">
        <f ca="1"/>
        <v>SEK2F38</v>
      </c>
    </row>
    <row r="53" spans="1:11">
      <c r="A53" s="31">
        <f ca="1"/>
        <v>6014913</v>
      </c>
      <c r="B53" s="31" t="str">
        <f ca="1"/>
        <v>EM VIAGEM</v>
      </c>
      <c r="C53" s="62" t="str">
        <f ca="1"/>
        <v>TR RAMTHUN</v>
      </c>
      <c r="D53" s="31" t="str">
        <f ca="1"/>
        <v>LGSCT</v>
      </c>
      <c r="E53" s="35">
        <f ca="1"/>
        <v>46160.890972222223</v>
      </c>
      <c r="F53" s="35">
        <f ca="1"/>
        <v>46157.75</v>
      </c>
      <c r="G53" s="35">
        <f ca="1"/>
        <v>46161.333333333336</v>
      </c>
      <c r="H53" s="31" t="str">
        <f ca="1"/>
        <v>WMB SUPERMERCADOS DOBRASIL LTDA (SAM'S) - 07776700</v>
      </c>
      <c r="I53" s="31" t="str">
        <f ca="1"/>
        <v>CAJAMAR/SP/BRASIL</v>
      </c>
      <c r="J53" s="31" t="str">
        <f ca="1"/>
        <v>RUA JOAO LIPINSKI, SAO JOSE DOS PINHAIS/PR/BRASIL (4,18 Km)</v>
      </c>
      <c r="K53" s="31" t="str">
        <f ca="1"/>
        <v>MMJ4976</v>
      </c>
    </row>
    <row r="54" spans="1:11">
      <c r="A54" s="31">
        <f ca="1"/>
        <v>6022045</v>
      </c>
      <c r="B54" s="31" t="str">
        <f ca="1"/>
        <v>OK - NO PRAZO</v>
      </c>
      <c r="C54" s="62" t="str">
        <f ca="1"/>
        <v>LTA SOLUCOES</v>
      </c>
      <c r="D54" s="31" t="str">
        <f ca="1"/>
        <v>LGCAJ</v>
      </c>
      <c r="E54" s="35">
        <f ca="1"/>
        <v>46161.154166666667</v>
      </c>
      <c r="F54" s="35">
        <f ca="1"/>
        <v>46160.416666666664</v>
      </c>
      <c r="G54" s="35">
        <f ca="1"/>
        <v>46161.25</v>
      </c>
      <c r="H54" s="31" t="str">
        <f ca="1"/>
        <v>GRUPO CASAS BAHIA S.A(CD1200) - 13203850</v>
      </c>
      <c r="I54" s="31" t="str">
        <f ca="1"/>
        <v>JUNDIAI/SP/BRASIL</v>
      </c>
      <c r="J54" s="31" t="str">
        <f ca="1"/>
        <v/>
      </c>
      <c r="K54" s="31" t="str">
        <f ca="1"/>
        <v/>
      </c>
    </row>
    <row r="55" spans="1:11">
      <c r="A55" s="31">
        <f ca="1"/>
        <v>6022260</v>
      </c>
      <c r="B55" s="31" t="str">
        <f ca="1"/>
        <v>ATRASADO CARREGAMENTO - SEM SMP</v>
      </c>
      <c r="C55" s="62" t="str">
        <f ca="1"/>
        <v>TRANSBOCAYUV</v>
      </c>
      <c r="D55" s="31" t="str">
        <f ca="1"/>
        <v>LGSCT</v>
      </c>
      <c r="E55" s="35">
        <f ca="1"/>
        <v>46159.747916666667</v>
      </c>
      <c r="F55" s="35">
        <f ca="1"/>
        <v>46157.4375</v>
      </c>
      <c r="G55" s="35">
        <f ca="1"/>
        <v>46164.25</v>
      </c>
      <c r="H55" s="31" t="str">
        <f ca="1"/>
        <v>MAGAZINE LUIZA S/A (CD0991) - 58320000</v>
      </c>
      <c r="I55" s="31" t="str">
        <f ca="1"/>
        <v>ALHANDRA/PB/BRASIL</v>
      </c>
      <c r="J55" s="31" t="str">
        <f ca="1"/>
        <v/>
      </c>
      <c r="K55" s="31" t="str">
        <f ca="1"/>
        <v/>
      </c>
    </row>
    <row r="56" spans="1:11">
      <c r="A56" s="31">
        <f ca="1"/>
        <v>6015357</v>
      </c>
      <c r="B56" s="31" t="str">
        <f ca="1"/>
        <v>ATRASADO CARREGAMENTO - SEM SMP</v>
      </c>
      <c r="C56" s="62" t="str">
        <f ca="1"/>
        <v>MINAS SUL</v>
      </c>
      <c r="D56" s="31" t="str">
        <f ca="1"/>
        <v>LGSCT</v>
      </c>
      <c r="E56" s="35">
        <f ca="1"/>
        <v>46159.52847222222</v>
      </c>
      <c r="F56" s="35">
        <f ca="1"/>
        <v>46158.416666666664</v>
      </c>
      <c r="G56" s="35">
        <f ca="1"/>
        <v>46159.958333333336</v>
      </c>
      <c r="H56" s="31" t="str">
        <f ca="1"/>
        <v>CARREFOUR COM IND LTDA - 06278010</v>
      </c>
      <c r="I56" s="31" t="str">
        <f ca="1"/>
        <v>OSASCO/SP/BRASIL</v>
      </c>
      <c r="J56" s="31" t="str">
        <f ca="1"/>
        <v/>
      </c>
      <c r="K56" s="31" t="str">
        <f ca="1"/>
        <v/>
      </c>
    </row>
    <row r="57" spans="1:11">
      <c r="A57" s="31">
        <f ca="1"/>
        <v>6021540</v>
      </c>
      <c r="B57" s="31" t="str">
        <f ca="1"/>
        <v>EM VIAGEM</v>
      </c>
      <c r="C57" s="62" t="str">
        <f ca="1"/>
        <v>TRANSBOCAYUV</v>
      </c>
      <c r="D57" s="31" t="str">
        <f ca="1"/>
        <v>LGCAJ</v>
      </c>
      <c r="E57" s="35">
        <f ca="1"/>
        <v>46159.238194444442</v>
      </c>
      <c r="F57" s="35">
        <f ca="1"/>
        <v>46157.333333333336</v>
      </c>
      <c r="G57" s="35">
        <f ca="1"/>
        <v>46160.291666666664</v>
      </c>
      <c r="H57" s="31" t="str">
        <f ca="1"/>
        <v>AGIS EQUIPAMENTOS E SERVICOS DE INFORMATICA LTDA. - 29169832</v>
      </c>
      <c r="I57" s="31" t="str">
        <f ca="1"/>
        <v>SERRA/ES/BRASIL</v>
      </c>
      <c r="J57" s="31" t="str">
        <f ca="1"/>
        <v>ALAMEDA ARABE, CAMPOS DOS GOYTACAZES/RJ/BRASIL (28,52 Km)</v>
      </c>
      <c r="K57" s="31" t="str">
        <f ca="1"/>
        <v>SFR1A52</v>
      </c>
    </row>
    <row r="58" spans="1:11">
      <c r="A58" s="31">
        <f ca="1"/>
        <v>6023167</v>
      </c>
      <c r="B58" s="31" t="str">
        <f ca="1"/>
        <v>OK - NO PRAZO</v>
      </c>
      <c r="C58" s="62" t="str">
        <f ca="1"/>
        <v>MINAS SUL</v>
      </c>
      <c r="D58" s="31" t="str">
        <f ca="1"/>
        <v>LGCAJ</v>
      </c>
      <c r="E58" s="35">
        <f ca="1"/>
        <v>46161.2</v>
      </c>
      <c r="F58" s="35">
        <f ca="1"/>
        <v>46160.833333333336</v>
      </c>
      <c r="G58" s="35">
        <f ca="1"/>
        <v>46161.333333333336</v>
      </c>
      <c r="H58" s="31" t="str">
        <f ca="1"/>
        <v>UNIAR COMÉRCIO DE ELETRO-ELETRÔNICOS E SERVIÇOS LTDA - 37640000</v>
      </c>
      <c r="I58" s="31" t="str">
        <f ca="1"/>
        <v>EXTREMA/MG/BRASIL</v>
      </c>
      <c r="J58" s="31" t="str">
        <f ca="1"/>
        <v/>
      </c>
      <c r="K58" s="31" t="str">
        <f ca="1"/>
        <v/>
      </c>
    </row>
    <row r="59" spans="1:11">
      <c r="A59" s="31">
        <f ca="1"/>
        <v>6023031</v>
      </c>
      <c r="B59" s="31" t="str">
        <f ca="1"/>
        <v>OK - NO PRAZO</v>
      </c>
      <c r="C59" s="62" t="str">
        <f ca="1"/>
        <v>WSC</v>
      </c>
      <c r="D59" s="31" t="str">
        <f ca="1"/>
        <v>LGSCT</v>
      </c>
      <c r="E59" s="35">
        <f ca="1"/>
        <v>46164.073611111111</v>
      </c>
      <c r="F59" s="35">
        <f ca="1"/>
        <v>46160.708333333336</v>
      </c>
      <c r="G59" s="35">
        <f ca="1"/>
        <v>46169.25</v>
      </c>
      <c r="H59" s="31" t="str">
        <f ca="1"/>
        <v>GRUPO CASAS BAHIA S.A(CD2241) - 67200000</v>
      </c>
      <c r="I59" s="31" t="str">
        <f ca="1"/>
        <v>MARITUBA/PA/BRASIL</v>
      </c>
      <c r="J59" s="31" t="str">
        <f ca="1"/>
        <v/>
      </c>
      <c r="K59" s="31" t="str">
        <f ca="1"/>
        <v/>
      </c>
    </row>
    <row r="60" spans="1:11">
      <c r="A60" s="31">
        <f ca="1"/>
        <v>6021353</v>
      </c>
      <c r="B60" s="31" t="str">
        <f ca="1"/>
        <v>EM VIAGEM</v>
      </c>
      <c r="C60" s="62" t="str">
        <f ca="1"/>
        <v>RODOBRAS TR</v>
      </c>
      <c r="D60" s="31" t="str">
        <f ca="1"/>
        <v>LGSCT</v>
      </c>
      <c r="E60" s="35">
        <f ca="1"/>
        <v>46161.890972222223</v>
      </c>
      <c r="F60" s="35">
        <f ca="1"/>
        <v>46157.416666666664</v>
      </c>
      <c r="G60" s="35">
        <f ca="1"/>
        <v>46162.333333333336</v>
      </c>
      <c r="H60" s="31" t="str">
        <f ca="1"/>
        <v>WMB SUPERMERCADOS DOBRASIL LTDA (SAM'S) - 07776700</v>
      </c>
      <c r="I60" s="31" t="str">
        <f ca="1"/>
        <v>CAJAMAR/SP/BRASIL</v>
      </c>
      <c r="J60" s="31" t="str">
        <f ca="1"/>
        <v>RUA TUPI, JOINVILLE/SC/BRASIL (0,08 Km)</v>
      </c>
      <c r="K60" s="31" t="str">
        <f ca="1"/>
        <v>OKH1H72</v>
      </c>
    </row>
    <row r="61" spans="1:11">
      <c r="A61" s="31">
        <f ca="1"/>
        <v>6015351</v>
      </c>
      <c r="B61" s="31" t="str">
        <f ca="1"/>
        <v>OK - NO PRAZO</v>
      </c>
      <c r="C61" s="62" t="str">
        <f ca="1"/>
        <v>RODOBRAS TR</v>
      </c>
      <c r="D61" s="31" t="str">
        <f ca="1"/>
        <v>LGSCT</v>
      </c>
      <c r="E61" s="35">
        <f ca="1"/>
        <v>46161.890972222223</v>
      </c>
      <c r="F61" s="35">
        <f ca="1"/>
        <v>46160.583333333336</v>
      </c>
      <c r="G61" s="35">
        <f ca="1"/>
        <v>46162.333333333336</v>
      </c>
      <c r="H61" s="31" t="str">
        <f ca="1"/>
        <v>CARREFOUR COMERCIO E INDUSTRIA LTDA - 07789100</v>
      </c>
      <c r="I61" s="31" t="str">
        <f ca="1"/>
        <v>CAJAMAR/SP/BRASIL</v>
      </c>
      <c r="J61" s="31" t="str">
        <f ca="1"/>
        <v/>
      </c>
      <c r="K61" s="31" t="str">
        <f ca="1"/>
        <v/>
      </c>
    </row>
    <row r="62" spans="1:11">
      <c r="A62" s="31">
        <f ca="1"/>
        <v>6021357</v>
      </c>
      <c r="B62" s="31" t="str">
        <f ca="1"/>
        <v>EM VIAGEM</v>
      </c>
      <c r="C62" s="62" t="str">
        <f ca="1"/>
        <v>LX PANTOS</v>
      </c>
      <c r="D62" s="31" t="str">
        <f ca="1"/>
        <v>LGSCT</v>
      </c>
      <c r="E62" s="35">
        <f ca="1"/>
        <v>46159.958333333336</v>
      </c>
      <c r="F62" s="35">
        <f ca="1"/>
        <v>46157.75</v>
      </c>
      <c r="G62" s="35">
        <f ca="1"/>
        <v>46164.291666666664</v>
      </c>
      <c r="H62" s="31" t="str">
        <f ca="1"/>
        <v>WMB SUPERMERCADOS DOBRASIL LTDA (SAM'S) - 54335020</v>
      </c>
      <c r="I62" s="31" t="str">
        <f ca="1"/>
        <v>JABOATAO DOS GUARARAPES/PE/BRASIL</v>
      </c>
      <c r="J62" s="31" t="str">
        <f ca="1"/>
        <v>ESTRADA MUNICIPAL, QUATRO BARRAS/PR/BRASIL (0,79 Km)</v>
      </c>
      <c r="K62" s="31" t="str">
        <f ca="1"/>
        <v>IKE8F89</v>
      </c>
    </row>
    <row r="63" spans="1:11">
      <c r="A63" s="31">
        <f ca="1"/>
        <v>6022201</v>
      </c>
      <c r="B63" s="31" t="str">
        <f ca="1"/>
        <v>EM VIAGEM</v>
      </c>
      <c r="C63" s="62" t="str">
        <f ca="1"/>
        <v>TRANSBOCAYUV</v>
      </c>
      <c r="D63" s="31" t="str">
        <f ca="1"/>
        <v>LGSCT</v>
      </c>
      <c r="E63" s="35">
        <f ca="1"/>
        <v>46159.826388888891</v>
      </c>
      <c r="F63" s="35">
        <f ca="1"/>
        <v>46157.625</v>
      </c>
      <c r="G63" s="35">
        <f ca="1"/>
        <v>46160.25</v>
      </c>
      <c r="H63" s="31" t="str">
        <f ca="1"/>
        <v>GRUPO CASAS BAHIA S.A(CD1200) - 13203850</v>
      </c>
      <c r="I63" s="31" t="str">
        <f ca="1"/>
        <v>JUNDIAI/SP/BRASIL</v>
      </c>
      <c r="J63" s="31" t="str">
        <f ca="1"/>
        <v>ESTRADA MUNICIPAL, QUATRO BARRAS/PR/BRASIL (1,37 Km)</v>
      </c>
      <c r="K63" s="31" t="str">
        <f ca="1"/>
        <v>SEK2F38</v>
      </c>
    </row>
    <row r="64" spans="1:11">
      <c r="A64" s="31">
        <f ca="1"/>
        <v>6022251</v>
      </c>
      <c r="B64" s="31" t="str">
        <f ca="1"/>
        <v>ATRASADO CARREGAMENTO - SEM SMP</v>
      </c>
      <c r="C64" s="62" t="str">
        <f ca="1"/>
        <v>WSC</v>
      </c>
      <c r="D64" s="31" t="str">
        <f ca="1"/>
        <v>LGSCT</v>
      </c>
      <c r="E64" s="35">
        <f ca="1"/>
        <v>46164.060416666667</v>
      </c>
      <c r="F64" s="35">
        <f ca="1"/>
        <v>46157.791666666664</v>
      </c>
      <c r="G64" s="35">
        <f ca="1"/>
        <v>46169.25</v>
      </c>
      <c r="H64" s="31" t="str">
        <f ca="1"/>
        <v>MAGAZINE LUIZA S/A (CD2650) - 68795000</v>
      </c>
      <c r="I64" s="31" t="str">
        <f ca="1"/>
        <v>BENEVIDES/PA/BRASIL</v>
      </c>
      <c r="J64" s="31" t="str">
        <f ca="1"/>
        <v/>
      </c>
      <c r="K64" s="31" t="str">
        <f ca="1"/>
        <v/>
      </c>
    </row>
    <row r="65" spans="1:11">
      <c r="A65" s="31">
        <f ca="1"/>
        <v>6020708</v>
      </c>
      <c r="B65" s="31" t="str">
        <f ca="1"/>
        <v>EM VIAGEM</v>
      </c>
      <c r="C65" s="62" t="str">
        <f ca="1"/>
        <v>TRANSKING</v>
      </c>
      <c r="D65" s="31" t="str">
        <f ca="1"/>
        <v>LGCAJ</v>
      </c>
      <c r="E65" s="35">
        <f ca="1"/>
        <v>46161.137499999997</v>
      </c>
      <c r="F65" s="35">
        <f ca="1"/>
        <v>46157.708333333336</v>
      </c>
      <c r="G65" s="35">
        <f ca="1"/>
        <v>46162.416666666664</v>
      </c>
      <c r="H65" s="31" t="str">
        <f ca="1"/>
        <v>LOJAS QUERO QUERO SA - 93812160</v>
      </c>
      <c r="I65" s="31" t="str">
        <f ca="1"/>
        <v>SAPIRANGA/RS/BRASIL</v>
      </c>
      <c r="J65" s="31" t="str">
        <f ca="1"/>
        <v>MIRACATU/SP/BRASIL</v>
      </c>
      <c r="K65" s="31" t="str">
        <f ca="1"/>
        <v>JAW4H24</v>
      </c>
    </row>
    <row r="66" spans="1:11">
      <c r="A66" s="31">
        <f ca="1"/>
        <v>6014921</v>
      </c>
      <c r="B66" s="31" t="str">
        <f ca="1"/>
        <v>ATRASADO CARREGAMENTO - SEM SMP</v>
      </c>
      <c r="C66" s="62" t="str">
        <f ca="1"/>
        <v>WSC</v>
      </c>
      <c r="D66" s="31" t="str">
        <f ca="1"/>
        <v>LGSCT</v>
      </c>
      <c r="E66" s="35">
        <f ca="1"/>
        <v>46160.328472222223</v>
      </c>
      <c r="F66" s="35">
        <f ca="1"/>
        <v>46157.708333333336</v>
      </c>
      <c r="G66" s="35">
        <f ca="1"/>
        <v>46162.333333333336</v>
      </c>
      <c r="H66" s="31" t="str">
        <f ca="1"/>
        <v>WMB SUPERMERCADOS DO BRASIL LTDA. - 72549901</v>
      </c>
      <c r="I66" s="31" t="str">
        <f ca="1"/>
        <v>BRASILIA/DF/BRASIL</v>
      </c>
      <c r="J66" s="31" t="str">
        <f ca="1"/>
        <v/>
      </c>
      <c r="K66" s="31" t="str">
        <f ca="1"/>
        <v/>
      </c>
    </row>
    <row r="67" spans="1:11">
      <c r="A67" s="41">
        <f ca="1"/>
        <v>6023017</v>
      </c>
      <c r="B67" s="41" t="str">
        <f ca="1"/>
        <v>OK - NO PRAZO</v>
      </c>
      <c r="C67" s="64" t="str">
        <f ca="1"/>
        <v>MINAS SUL</v>
      </c>
      <c r="D67" s="31" t="str">
        <f ca="1"/>
        <v>LGSCT</v>
      </c>
      <c r="E67" s="35">
        <f ca="1"/>
        <v>46161.522222222222</v>
      </c>
      <c r="F67" s="35">
        <f ca="1"/>
        <v>46160.583333333336</v>
      </c>
      <c r="G67" s="35">
        <f ca="1"/>
        <v>46161.958333333336</v>
      </c>
      <c r="H67" s="31" t="str">
        <f ca="1"/>
        <v>GRUPO CASAS BAHIA S.A(CD1500) - 09790400</v>
      </c>
      <c r="I67" s="31" t="str">
        <f ca="1"/>
        <v>SAO BERNARDO DO CAMPO/SP/BRASIL</v>
      </c>
      <c r="J67" s="31" t="str">
        <f ca="1"/>
        <v/>
      </c>
      <c r="K67" s="31" t="str">
        <f ca="1"/>
        <v/>
      </c>
    </row>
    <row r="68" spans="1:11">
      <c r="A68" s="32">
        <f ca="1"/>
        <v>6023021</v>
      </c>
      <c r="B68" s="32" t="str">
        <f ca="1"/>
        <v>NA CLIF - COM SMP - AGUARDANDO SAÍDA</v>
      </c>
      <c r="C68" s="32" t="str">
        <f ca="1"/>
        <v>RODOBRAS TR</v>
      </c>
      <c r="D68" s="31" t="str">
        <f ca="1"/>
        <v>LGSCT</v>
      </c>
      <c r="E68" s="35">
        <f ca="1"/>
        <v>46157.541666666664</v>
      </c>
      <c r="F68" s="35">
        <f ca="1"/>
        <v>46157.541666666664</v>
      </c>
      <c r="G68" s="35">
        <f ca="1"/>
        <v>46162.25</v>
      </c>
      <c r="H68" s="31" t="str">
        <f ca="1"/>
        <v>GRUPO CASAS BAHIA S.A(CD1200) - 13203850</v>
      </c>
      <c r="I68" s="31" t="str">
        <f ca="1"/>
        <v>JUNDIAI/SP/BRASIL</v>
      </c>
      <c r="J68" s="31" t="str">
        <f ca="1"/>
        <v>ITAPOA/SC/BRASIL</v>
      </c>
      <c r="K68" s="31" t="str">
        <f ca="1"/>
        <v>BAF0645</v>
      </c>
    </row>
    <row r="69" spans="1:11">
      <c r="A69" s="32">
        <f ca="1"/>
        <v>6022213</v>
      </c>
      <c r="B69" s="32" t="str">
        <f ca="1"/>
        <v>NA CLIF - COM SMP - AGUARDANDO SAÍDA</v>
      </c>
      <c r="C69" s="32" t="str">
        <f ca="1"/>
        <v>TRANSKING</v>
      </c>
      <c r="D69" s="31" t="str">
        <f ca="1"/>
        <v>LGSCT</v>
      </c>
      <c r="E69" s="35">
        <f ca="1"/>
        <v>46160.321527777778</v>
      </c>
      <c r="F69" s="35">
        <f ca="1"/>
        <v>46158.5</v>
      </c>
      <c r="G69" s="35">
        <f ca="1"/>
        <v>46162.25</v>
      </c>
      <c r="H69" s="31" t="str">
        <f ca="1"/>
        <v>GRUPO CASAS BAHIA S.A(CD1895) - 75340000</v>
      </c>
      <c r="I69" s="31" t="str">
        <f ca="1"/>
        <v>HIDROLANDIA/GO/BRASIL</v>
      </c>
      <c r="J69" s="31" t="str">
        <f ca="1"/>
        <v>ROD. MÁXIMO JAMUR, ITAPOA/SC/BRASIL (33,59 Km)</v>
      </c>
      <c r="K69" s="31" t="str">
        <f ca="1"/>
        <v>MFF7E97</v>
      </c>
    </row>
    <row r="70" spans="1:11">
      <c r="A70" s="32">
        <f ca="1"/>
        <v>6021908</v>
      </c>
      <c r="B70" s="32" t="str">
        <f ca="1"/>
        <v>EM VIAGEM</v>
      </c>
      <c r="C70" s="32" t="str">
        <f ca="1"/>
        <v>TRANSBOCAYUV</v>
      </c>
      <c r="D70" s="31" t="str">
        <f ca="1"/>
        <v>LGCAJ</v>
      </c>
      <c r="E70" s="35">
        <f ca="1"/>
        <v>46160.238194444442</v>
      </c>
      <c r="F70" s="35">
        <f ca="1"/>
        <v>46157.583333333336</v>
      </c>
      <c r="G70" s="35">
        <f ca="1"/>
        <v>46161.291666666664</v>
      </c>
      <c r="H70" s="31" t="str">
        <f ca="1"/>
        <v>INGRAM MICRO BRASIL LTDA - 29175706</v>
      </c>
      <c r="I70" s="31" t="str">
        <f ca="1"/>
        <v>SERRA/ES/BRASIL</v>
      </c>
      <c r="J70" s="31" t="str">
        <f ca="1"/>
        <v>RODOVIA RJ 168, CONCEICAO DE MACABU/RJ/BRASIL (10,78 Km)</v>
      </c>
      <c r="K70" s="31" t="str">
        <f ca="1"/>
        <v>MTY1694</v>
      </c>
    </row>
    <row r="71" spans="1:11">
      <c r="A71" s="32">
        <f ca="1"/>
        <v>6022174</v>
      </c>
      <c r="B71" s="32" t="str">
        <f ca="1"/>
        <v>EM VIAGEM</v>
      </c>
      <c r="C71" s="32" t="str">
        <f ca="1"/>
        <v>TR RAMTHUN</v>
      </c>
      <c r="D71" s="31" t="str">
        <f ca="1"/>
        <v>LGSCT</v>
      </c>
      <c r="E71" s="35">
        <f ca="1"/>
        <v>46159.395833333336</v>
      </c>
      <c r="F71" s="35">
        <f ca="1"/>
        <v>46157.770833333336</v>
      </c>
      <c r="G71" s="35">
        <f ca="1"/>
        <v>46159.958333333336</v>
      </c>
      <c r="H71" s="31" t="str">
        <f ca="1"/>
        <v>GRUPO CASAS BAHIA S.A(CD1500) - 09790400</v>
      </c>
      <c r="I71" s="31" t="str">
        <f ca="1"/>
        <v>SAO BERNARDO DO CAMPO/SP/BRASIL</v>
      </c>
      <c r="J71" s="31" t="str">
        <f ca="1"/>
        <v>CAMINHO, CAMPINA GRANDE DO SUL/PR/BRASIL (24,45 Km)</v>
      </c>
      <c r="K71" s="31" t="str">
        <f ca="1"/>
        <v>MMK3F39</v>
      </c>
    </row>
    <row r="72" spans="1:11">
      <c r="A72" s="32">
        <f ca="1"/>
        <v>6013220</v>
      </c>
      <c r="B72" s="32" t="str">
        <f ca="1"/>
        <v>EM VIAGEM</v>
      </c>
      <c r="C72" s="32" t="str">
        <f ca="1"/>
        <v>MWM TRANSPORTES</v>
      </c>
      <c r="D72" s="31" t="str">
        <f ca="1"/>
        <v>LGCAJ</v>
      </c>
      <c r="E72" s="35">
        <f ca="1"/>
        <v>46159.134722222225</v>
      </c>
      <c r="F72" s="35">
        <f ca="1"/>
        <v>46157.833333333336</v>
      </c>
      <c r="G72" s="35">
        <f ca="1"/>
        <v>46160.277777777781</v>
      </c>
      <c r="H72" s="31" t="str">
        <f ca="1"/>
        <v>REFRIGELO CLIMATIZAÇÃO DE AMBIENTES S.A - 29104491</v>
      </c>
      <c r="I72" s="31" t="str">
        <f ca="1"/>
        <v>VILA VELHA/ES/BRASIL</v>
      </c>
      <c r="J72" s="31" t="str">
        <f ca="1"/>
        <v>PINDAMONHANGABA/SP/BRASIL</v>
      </c>
      <c r="K72" s="31" t="str">
        <f ca="1"/>
        <v>TOF4J05</v>
      </c>
    </row>
    <row r="73" spans="1:11">
      <c r="A73" s="32">
        <f ca="1"/>
        <v>6022041</v>
      </c>
      <c r="B73" s="32" t="str">
        <f ca="1"/>
        <v>EM VIAGEM</v>
      </c>
      <c r="C73" s="32" t="str">
        <f ca="1"/>
        <v>TRANSKING</v>
      </c>
      <c r="D73" s="31" t="str">
        <f ca="1"/>
        <v>LGCAJ</v>
      </c>
      <c r="E73" s="35">
        <f ca="1"/>
        <v>46159.871527777781</v>
      </c>
      <c r="F73" s="35">
        <f ca="1"/>
        <v>46157.708333333336</v>
      </c>
      <c r="G73" s="35">
        <f ca="1"/>
        <v>46160.25</v>
      </c>
      <c r="H73" s="31" t="str">
        <f ca="1"/>
        <v>GRUPO CASAS BAHIA S.A(CD1401) - 25255030</v>
      </c>
      <c r="I73" s="31" t="str">
        <f ca="1"/>
        <v>DUQUE DE CAXIAS/RJ/BRASIL</v>
      </c>
      <c r="J73" s="31" t="str">
        <f ca="1"/>
        <v>ITATIAIA/RJ/BRASIL</v>
      </c>
      <c r="K73" s="31" t="str">
        <f ca="1"/>
        <v>DBM8435</v>
      </c>
    </row>
    <row r="74" spans="1:11">
      <c r="A74" s="32">
        <f ca="1"/>
        <v>6010993</v>
      </c>
      <c r="B74" s="32" t="str">
        <f ca="1"/>
        <v>ATRASADO CARREGAMENTO - SEM SMP</v>
      </c>
      <c r="C74" s="32" t="str">
        <f ca="1"/>
        <v>TRANSKING</v>
      </c>
      <c r="D74" s="31" t="str">
        <f ca="1"/>
        <v>LGSCT</v>
      </c>
      <c r="E74" s="35">
        <f ca="1"/>
        <v>46160.286805555559</v>
      </c>
      <c r="F74" s="35">
        <f ca="1"/>
        <v>46157.666666666664</v>
      </c>
      <c r="G74" s="35">
        <f ca="1"/>
        <v>46162.291666666664</v>
      </c>
      <c r="H74" s="31" t="str">
        <f ca="1"/>
        <v>CARREFOUR- DF - 72501100</v>
      </c>
      <c r="I74" s="31" t="str">
        <f ca="1"/>
        <v>BRASILIA/DF/BRASIL</v>
      </c>
      <c r="J74" s="31" t="str">
        <f ca="1"/>
        <v/>
      </c>
      <c r="K74" s="31" t="str">
        <f ca="1"/>
        <v/>
      </c>
    </row>
    <row r="75" spans="1:11">
      <c r="A75" s="32">
        <f ca="1"/>
        <v>6022205</v>
      </c>
      <c r="B75" s="32" t="str">
        <f ca="1"/>
        <v>ATRASADO ENTREGA - SEM SMP</v>
      </c>
      <c r="C75" s="32" t="str">
        <f ca="1"/>
        <v>BENDINI LOGI</v>
      </c>
      <c r="D75" s="31" t="str">
        <f ca="1"/>
        <v>LGSCT</v>
      </c>
      <c r="E75" s="35">
        <f ca="1"/>
        <v>46157.25</v>
      </c>
      <c r="F75" s="35">
        <f ca="1"/>
        <v>46157.25</v>
      </c>
      <c r="G75" s="35">
        <f ca="1"/>
        <v>46160.958333333336</v>
      </c>
      <c r="H75" s="31" t="str">
        <f ca="1"/>
        <v>GRUPO CASAS BAHIA S.A(CD1624) - 88316001</v>
      </c>
      <c r="I75" s="31" t="str">
        <f ca="1"/>
        <v>ITAJAI/SC/BRASIL</v>
      </c>
      <c r="J75" s="31" t="str">
        <f ca="1"/>
        <v/>
      </c>
      <c r="K75" s="31" t="str">
        <f ca="1"/>
        <v/>
      </c>
    </row>
    <row r="76" spans="1:11">
      <c r="A76" s="32">
        <f ca="1"/>
        <v>6022209</v>
      </c>
      <c r="B76" s="32" t="str">
        <f ca="1"/>
        <v>NA CLIF - COM SMP - AGUARDANDO SAÍDA</v>
      </c>
      <c r="C76" s="32" t="str">
        <f ca="1"/>
        <v>TRANSBOCAYUV</v>
      </c>
      <c r="D76" s="31" t="str">
        <f ca="1"/>
        <v>LGSCT</v>
      </c>
      <c r="E76" s="35">
        <f ca="1"/>
        <v>46158.916666666664</v>
      </c>
      <c r="F76" s="35">
        <f ca="1"/>
        <v>46157.416666666664</v>
      </c>
      <c r="G76" s="35">
        <f ca="1"/>
        <v>46163.25</v>
      </c>
      <c r="H76" s="31" t="str">
        <f ca="1"/>
        <v>GRUPO CASAS BAHIA S.A(CD1887) - 54510000</v>
      </c>
      <c r="I76" s="31" t="str">
        <f ca="1"/>
        <v>CABO DE SANTO AGOSTINHO/PE/BRASIL</v>
      </c>
      <c r="J76" s="31" t="str">
        <f ca="1"/>
        <v>ITAPOA/SC/BRASIL</v>
      </c>
      <c r="K76" s="31" t="str">
        <f ca="1"/>
        <v>CVN1646</v>
      </c>
    </row>
    <row r="77" spans="1:11">
      <c r="A77" s="32">
        <f ca="1"/>
        <v>6025141</v>
      </c>
      <c r="B77" s="32" t="str">
        <f ca="1"/>
        <v>OK - NO PRAZO</v>
      </c>
      <c r="C77" s="32" t="str">
        <f ca="1"/>
        <v>WSC</v>
      </c>
      <c r="D77" s="31" t="str">
        <f ca="1"/>
        <v>LGCAJ</v>
      </c>
      <c r="E77" s="35">
        <f ca="1"/>
        <v>46160.595833333333</v>
      </c>
      <c r="F77" s="35">
        <f ca="1"/>
        <v>46160.333333333336</v>
      </c>
      <c r="G77" s="35">
        <f ca="1"/>
        <v>46160.6875</v>
      </c>
      <c r="H77" s="31" t="str">
        <f ca="1"/>
        <v>EBAZAR.COM.BR. LTDA - 06806400</v>
      </c>
      <c r="I77" s="31" t="str">
        <f ca="1"/>
        <v>EMBU DAS ARTES/SP/BRASIL</v>
      </c>
      <c r="J77" s="31" t="str">
        <f ca="1"/>
        <v/>
      </c>
      <c r="K77" s="31" t="str">
        <f ca="1"/>
        <v/>
      </c>
    </row>
    <row r="78" spans="1:11">
      <c r="A78" s="32">
        <f ca="1"/>
        <v>6023025</v>
      </c>
      <c r="B78" s="32" t="str">
        <f ca="1"/>
        <v>OK - NO PRAZO</v>
      </c>
      <c r="C78" s="32" t="str">
        <f ca="1"/>
        <v>VIPE TRANSPO</v>
      </c>
      <c r="D78" s="31" t="str">
        <f ca="1"/>
        <v>LGSCT</v>
      </c>
      <c r="E78" s="35">
        <f ca="1"/>
        <v>46161.826388888891</v>
      </c>
      <c r="F78" s="35">
        <f ca="1"/>
        <v>46160.458333333336</v>
      </c>
      <c r="G78" s="35">
        <f ca="1"/>
        <v>46162.25</v>
      </c>
      <c r="H78" s="31" t="str">
        <f ca="1"/>
        <v>GRUPO CASAS BAHIA S.A(CD1200) - 13203850</v>
      </c>
      <c r="I78" s="31" t="str">
        <f ca="1"/>
        <v>JUNDIAI/SP/BRASIL</v>
      </c>
      <c r="J78" s="31" t="str">
        <f ca="1"/>
        <v/>
      </c>
      <c r="K78" s="31" t="str">
        <f ca="1"/>
        <v/>
      </c>
    </row>
    <row r="79" spans="1:11">
      <c r="A79" s="32">
        <f ca="1"/>
        <v>6022217</v>
      </c>
      <c r="B79" s="32" t="str">
        <f ca="1"/>
        <v>NA CLIF - COM SMP - AGUARDANDO SAÍDA</v>
      </c>
      <c r="C79" s="32" t="str">
        <f ca="1"/>
        <v>NEW LOG</v>
      </c>
      <c r="D79" s="31" t="str">
        <f ca="1"/>
        <v>LGSCT</v>
      </c>
      <c r="E79" s="35">
        <f ca="1"/>
        <v>46160.097222222219</v>
      </c>
      <c r="F79" s="35">
        <f ca="1"/>
        <v>46158.333333333336</v>
      </c>
      <c r="G79" s="35">
        <f ca="1"/>
        <v>46160.25</v>
      </c>
      <c r="H79" s="31" t="str">
        <f ca="1"/>
        <v>GRUPO CASAS BAHIA S.A(CD1475) - 83085058</v>
      </c>
      <c r="I79" s="31" t="str">
        <f ca="1"/>
        <v>SAO JOSE DOS PINHAIS/PR/BRASIL</v>
      </c>
      <c r="J79" s="31" t="str">
        <f ca="1"/>
        <v>ROD. MÁXIMO JAMUR, ITAPOA/SC/BRASIL (34,34 Km)</v>
      </c>
      <c r="K79" s="31" t="str">
        <f ca="1"/>
        <v>ATD9I98</v>
      </c>
    </row>
    <row r="80" spans="1:11">
      <c r="A80" s="32">
        <f ca="1"/>
        <v>6011002</v>
      </c>
      <c r="B80" s="32" t="str">
        <f ca="1"/>
        <v>EM VIAGEM</v>
      </c>
      <c r="C80" s="32" t="str">
        <f ca="1"/>
        <v>TR RAMTHUN</v>
      </c>
      <c r="D80" s="31" t="str">
        <f ca="1"/>
        <v>LGSCT</v>
      </c>
      <c r="E80" s="35">
        <f ca="1"/>
        <v>46161.52847222222</v>
      </c>
      <c r="F80" s="35">
        <f ca="1"/>
        <v>46157.75</v>
      </c>
      <c r="G80" s="35">
        <f ca="1"/>
        <v>46161.958333333336</v>
      </c>
      <c r="H80" s="31" t="str">
        <f ca="1"/>
        <v>CARREFOUR COM IND LTDA - 06278010</v>
      </c>
      <c r="I80" s="31" t="str">
        <f ca="1"/>
        <v>OSASCO/SP/BRASIL</v>
      </c>
      <c r="J80" s="31" t="str">
        <f ca="1"/>
        <v>RUA JOAO LIPINSKI, SAO JOSE DOS PINHAIS/PR/BRASIL (4,18 Km)</v>
      </c>
      <c r="K80" s="31" t="str">
        <f ca="1"/>
        <v>MMJ4976</v>
      </c>
    </row>
    <row r="81" spans="1:11">
      <c r="A81" s="32">
        <f ca="1"/>
        <v>6022066</v>
      </c>
      <c r="B81" s="32" t="str">
        <f ca="1"/>
        <v>OK - NO PRAZO</v>
      </c>
      <c r="C81" s="32" t="str">
        <f ca="1"/>
        <v>EMJ LOGISTIC</v>
      </c>
      <c r="D81" s="31" t="str">
        <f ca="1"/>
        <v>LGCAJ</v>
      </c>
      <c r="E81" s="35">
        <f ca="1"/>
        <v>46160.25</v>
      </c>
      <c r="F81" s="35">
        <f ca="1"/>
        <v>46160.25</v>
      </c>
      <c r="G81" s="35">
        <f ca="1"/>
        <v>46161.291666666664</v>
      </c>
      <c r="H81" s="31" t="str">
        <f ca="1"/>
        <v>FUJIOKA ELETRO IMAGEM S/A - 74675690</v>
      </c>
      <c r="I81" s="31" t="str">
        <f ca="1"/>
        <v>GOIANIA/GO/BRASIL</v>
      </c>
      <c r="J81" s="31" t="str">
        <f ca="1"/>
        <v/>
      </c>
      <c r="K81" s="31" t="str">
        <f ca="1"/>
        <v/>
      </c>
    </row>
    <row r="82" spans="1:11">
      <c r="A82" s="32">
        <f ca="1"/>
        <v>6023010</v>
      </c>
      <c r="B82" s="32" t="str">
        <f ca="1"/>
        <v>OK - NO PRAZO</v>
      </c>
      <c r="C82" s="32" t="str">
        <f ca="1"/>
        <v>VIPE TRANSPO</v>
      </c>
      <c r="D82" s="31" t="str">
        <f ca="1"/>
        <v>LGCAJ</v>
      </c>
      <c r="E82" s="35">
        <f ca="1"/>
        <v>46161.154166666667</v>
      </c>
      <c r="F82" s="35">
        <f ca="1"/>
        <v>46160.416666666664</v>
      </c>
      <c r="G82" s="35">
        <f ca="1"/>
        <v>46161.25</v>
      </c>
      <c r="H82" s="31" t="str">
        <f ca="1"/>
        <v>GRUPO CASAS BAHIA S.A(CD1200) - 13203850</v>
      </c>
      <c r="I82" s="31" t="str">
        <f ca="1"/>
        <v>JUNDIAI/SP/BRASIL</v>
      </c>
      <c r="J82" s="31" t="str">
        <f ca="1"/>
        <v/>
      </c>
      <c r="K82" s="31" t="str">
        <f ca="1"/>
        <v/>
      </c>
    </row>
    <row r="83" spans="1:11">
      <c r="A83" s="32">
        <f ca="1"/>
        <v>6011010</v>
      </c>
      <c r="B83" s="32" t="str">
        <f ca="1"/>
        <v>EM VIAGEM</v>
      </c>
      <c r="C83" s="32" t="str">
        <f ca="1"/>
        <v>JADIMO TRANS</v>
      </c>
      <c r="D83" s="31" t="str">
        <f ca="1"/>
        <v>LGSCT</v>
      </c>
      <c r="E83" s="35">
        <f ca="1"/>
        <v>46160.826388888891</v>
      </c>
      <c r="F83" s="35">
        <f ca="1"/>
        <v>46157.458333333336</v>
      </c>
      <c r="G83" s="35">
        <f ca="1"/>
        <v>46161.25</v>
      </c>
      <c r="H83" s="31" t="str">
        <f ca="1"/>
        <v>MAGAZINE LUIZA S/A (CD0590) - 07232151</v>
      </c>
      <c r="I83" s="31" t="str">
        <f ca="1"/>
        <v>GUARULHOS/SP/BRASIL</v>
      </c>
      <c r="J83" s="31" t="str">
        <f ca="1"/>
        <v>ALAMEDA BOM PASTOR, SAO JOSE DOS PINHAIS/PR/BRASIL (0,08 Km)</v>
      </c>
      <c r="K83" s="31" t="str">
        <f ca="1"/>
        <v>RHN4C40</v>
      </c>
    </row>
    <row r="84" spans="1:11">
      <c r="A84" s="32">
        <f ca="1"/>
        <v>6022222</v>
      </c>
      <c r="B84" s="32" t="str">
        <f ca="1"/>
        <v>EM VIAGEM</v>
      </c>
      <c r="C84" s="32" t="str">
        <f ca="1"/>
        <v>VIPE TRANSPO</v>
      </c>
      <c r="D84" s="31" t="str">
        <f ca="1"/>
        <v>LGSCT</v>
      </c>
      <c r="E84" s="35">
        <f ca="1"/>
        <v>46157.25</v>
      </c>
      <c r="F84" s="35">
        <f ca="1"/>
        <v>46157.25</v>
      </c>
      <c r="G84" s="35">
        <f ca="1"/>
        <v>46161.958333333336</v>
      </c>
      <c r="H84" s="31" t="str">
        <f ca="1"/>
        <v>GRUPO CASAS BAHIA S.A(CD1760) - CONTAGEM</v>
      </c>
      <c r="I84" s="31" t="str">
        <f ca="1"/>
        <v>CONTAGEM/MG/BRASIL</v>
      </c>
      <c r="J84" s="31" t="str">
        <f ca="1"/>
        <v>RODOVIA PR 25, SAO JOSE DOS PINHAIS/PR/BRASIL (12,97 Km)</v>
      </c>
      <c r="K84" s="31" t="str">
        <f ca="1"/>
        <v>HJF7C96</v>
      </c>
    </row>
    <row r="85" spans="1:11">
      <c r="A85" s="32">
        <f ca="1"/>
        <v>6020923</v>
      </c>
      <c r="B85" s="32" t="str">
        <f ca="1"/>
        <v>NA CLIF - COM SMP - AGUARDANDO SAÍDA</v>
      </c>
      <c r="C85" s="32" t="str">
        <f ca="1"/>
        <v>TRANSKING</v>
      </c>
      <c r="D85" s="31" t="str">
        <f ca="1"/>
        <v>LGSCT</v>
      </c>
      <c r="E85" s="35">
        <f ca="1"/>
        <v>46159.765972222223</v>
      </c>
      <c r="F85" s="35">
        <f ca="1"/>
        <v>46160.416666666664</v>
      </c>
      <c r="G85" s="35">
        <f ca="1"/>
        <v>46160.208333333336</v>
      </c>
      <c r="H85" s="31" t="str">
        <f ca="1"/>
        <v>EBAZAR.COM.BR. LTDA - 07750020</v>
      </c>
      <c r="I85" s="31" t="str">
        <f ca="1"/>
        <v>CAJAMAR/SP/BRASIL</v>
      </c>
      <c r="J85" s="31" t="str">
        <f ca="1"/>
        <v>ITAPOA/SC/BRASIL</v>
      </c>
      <c r="K85" s="31" t="str">
        <f ca="1"/>
        <v>TPP1F18</v>
      </c>
    </row>
    <row r="86" spans="1:11">
      <c r="A86" s="32">
        <f ca="1"/>
        <v>6023016</v>
      </c>
      <c r="B86" s="32" t="str">
        <f ca="1"/>
        <v>OK - NO PRAZO</v>
      </c>
      <c r="C86" s="32" t="str">
        <f ca="1"/>
        <v>TRANSP RODOWAY LTDA</v>
      </c>
      <c r="D86" s="31" t="str">
        <f ca="1"/>
        <v>LGSCT</v>
      </c>
      <c r="E86" s="35">
        <f ca="1"/>
        <v>46161.522222222222</v>
      </c>
      <c r="F86" s="35">
        <f ca="1"/>
        <v>46160.333333333336</v>
      </c>
      <c r="G86" s="35">
        <f ca="1"/>
        <v>46161.958333333336</v>
      </c>
      <c r="H86" s="31" t="str">
        <f ca="1"/>
        <v>GRUPO CASAS BAHIA S.A(CD1500) - 09790400</v>
      </c>
      <c r="I86" s="31" t="str">
        <f ca="1"/>
        <v>SAO BERNARDO DO CAMPO/SP/BRASIL</v>
      </c>
      <c r="J86" s="31" t="str">
        <f ca="1"/>
        <v/>
      </c>
      <c r="K86" s="31" t="str">
        <f ca="1"/>
        <v/>
      </c>
    </row>
    <row r="87" spans="1:11">
      <c r="A87" s="32">
        <f ca="1"/>
        <v>6022184</v>
      </c>
      <c r="B87" s="32" t="str">
        <f ca="1"/>
        <v>EM VIAGEM</v>
      </c>
      <c r="C87" s="32" t="str">
        <f ca="1"/>
        <v>TRANSBOCAYUV</v>
      </c>
      <c r="D87" s="31" t="str">
        <f ca="1"/>
        <v>LGSCT</v>
      </c>
      <c r="E87" s="35">
        <f ca="1"/>
        <v>46159.826388888891</v>
      </c>
      <c r="F87" s="35">
        <f ca="1"/>
        <v>46157.333333333336</v>
      </c>
      <c r="G87" s="35">
        <f ca="1"/>
        <v>46160.25</v>
      </c>
      <c r="H87" s="31" t="str">
        <f ca="1"/>
        <v>GRUPO CASAS BAHIA S.A(CD1200) - 13203850</v>
      </c>
      <c r="I87" s="31" t="str">
        <f ca="1"/>
        <v>JUNDIAI/SP/BRASIL</v>
      </c>
      <c r="J87" s="31" t="str">
        <f ca="1"/>
        <v>VIA TATUQUARA OBELISCO-QUATO BARRAS EM CONSTRUÇAO, SAO JOSE DOS PINHAIS/PR/BRASIL (0,31 Km)</v>
      </c>
      <c r="K87" s="31" t="str">
        <f ca="1"/>
        <v>TOF2A43</v>
      </c>
    </row>
    <row r="88" spans="1:11">
      <c r="A88" s="32">
        <f ca="1"/>
        <v>6022253</v>
      </c>
      <c r="B88" s="32" t="str">
        <f ca="1"/>
        <v>ATRASADO CARREGAMENTO - SEM SMP</v>
      </c>
      <c r="C88" s="32" t="str">
        <f ca="1"/>
        <v>WSC</v>
      </c>
      <c r="D88" s="31" t="str">
        <f ca="1"/>
        <v>LGSCT</v>
      </c>
      <c r="E88" s="35">
        <f ca="1"/>
        <v>46166.060416666667</v>
      </c>
      <c r="F88" s="35">
        <f ca="1"/>
        <v>46157.75</v>
      </c>
      <c r="G88" s="35">
        <f ca="1"/>
        <v>46171.25</v>
      </c>
      <c r="H88" s="31" t="str">
        <f ca="1"/>
        <v>MAGAZINE LUIZA S/A (CD2650) - 68795000</v>
      </c>
      <c r="I88" s="31" t="str">
        <f ca="1"/>
        <v>BENEVIDES/PA/BRASIL</v>
      </c>
      <c r="J88" s="31" t="str">
        <f ca="1"/>
        <v/>
      </c>
      <c r="K88" s="31" t="str">
        <f ca="1"/>
        <v/>
      </c>
    </row>
    <row r="89" spans="1:11">
      <c r="A89" s="32">
        <f ca="1"/>
        <v>6022221</v>
      </c>
      <c r="B89" s="32" t="str">
        <f ca="1"/>
        <v>EM VIAGEM</v>
      </c>
      <c r="C89" s="32" t="str">
        <f ca="1"/>
        <v>VIPE TRANSPO</v>
      </c>
      <c r="D89" s="31" t="str">
        <f ca="1"/>
        <v>LGSCT</v>
      </c>
      <c r="E89" s="35">
        <f ca="1"/>
        <v>46157.25</v>
      </c>
      <c r="F89" s="35">
        <f ca="1"/>
        <v>46157.25</v>
      </c>
      <c r="G89" s="35">
        <f ca="1"/>
        <v>46162.958333333336</v>
      </c>
      <c r="H89" s="31" t="str">
        <f ca="1"/>
        <v>GRUPO CASAS BAHIA S.A(CD1635) - 78098530</v>
      </c>
      <c r="I89" s="31" t="str">
        <f ca="1"/>
        <v>CUIABA/MT/BRASIL</v>
      </c>
      <c r="J89" s="31" t="str">
        <f ca="1"/>
        <v>RUA QUINZE DE OUTUBRO, JOINVILLE/SC/BRASIL (0,22 Km)</v>
      </c>
      <c r="K89" s="31" t="str">
        <f ca="1"/>
        <v>JAZ7A56</v>
      </c>
    </row>
    <row r="90" spans="1:11">
      <c r="A90" s="32">
        <f ca="1"/>
        <v>6010999</v>
      </c>
      <c r="B90" s="32" t="str">
        <f ca="1"/>
        <v>EM VIAGEM</v>
      </c>
      <c r="C90" s="32" t="str">
        <f ca="1"/>
        <v>BACHMANN TR</v>
      </c>
      <c r="D90" s="31" t="str">
        <f ca="1"/>
        <v>LGSCT</v>
      </c>
      <c r="E90" s="35">
        <f ca="1"/>
        <v>46159.138888888891</v>
      </c>
      <c r="F90" s="35">
        <f ca="1"/>
        <v>46157.625</v>
      </c>
      <c r="G90" s="35">
        <f ca="1"/>
        <v>46160.25</v>
      </c>
      <c r="H90" s="31" t="str">
        <f ca="1"/>
        <v>CARREFOUR COMERCIO E INDUSTRIA LTDA - 25085370</v>
      </c>
      <c r="I90" s="31" t="str">
        <f ca="1"/>
        <v>DUQUE DE CAXIAS/RJ/BRASIL</v>
      </c>
      <c r="J90" s="31" t="str">
        <f ca="1"/>
        <v>GARUVA/SC/BRASIL</v>
      </c>
      <c r="K90" s="31" t="str">
        <f ca="1"/>
        <v>GHG5I28</v>
      </c>
    </row>
    <row r="91" spans="1:11">
      <c r="A91" s="32">
        <f ca="1"/>
        <v>6025088</v>
      </c>
      <c r="B91" s="32" t="str">
        <f ca="1"/>
        <v>NA CLIF - COM SMP - AGUARDANDO SAÍDA</v>
      </c>
      <c r="C91" s="32" t="str">
        <f ca="1"/>
        <v>RODOBRAS TR</v>
      </c>
      <c r="D91" s="31" t="str">
        <f ca="1"/>
        <v>LGSCT</v>
      </c>
      <c r="E91" s="35">
        <f ca="1"/>
        <v>46160.429166666669</v>
      </c>
      <c r="F91" s="35">
        <f ca="1"/>
        <v>46158.333333333336</v>
      </c>
      <c r="G91" s="35">
        <f ca="1"/>
        <v>46161</v>
      </c>
      <c r="H91" s="31" t="str">
        <f ca="1"/>
        <v>PENSKE LOGISTICS DO BRASIL LTDA. - 07775240</v>
      </c>
      <c r="I91" s="31" t="str">
        <f ca="1"/>
        <v>CAJAMAR/SP/BRASIL</v>
      </c>
      <c r="J91" s="31" t="str">
        <f ca="1"/>
        <v>ITAPOA/SC/BRASIL</v>
      </c>
      <c r="K91" s="31" t="str">
        <f ca="1"/>
        <v>BBU0638</v>
      </c>
    </row>
    <row r="92" spans="1:11">
      <c r="A92" s="32">
        <f ca="1"/>
        <v>6025087</v>
      </c>
      <c r="B92" s="32" t="str">
        <f ca="1"/>
        <v>NA CLIF - COM SMP - AGUARDANDO SAÍDA</v>
      </c>
      <c r="C92" s="32" t="str">
        <f ca="1"/>
        <v>RODOBRAS TR</v>
      </c>
      <c r="D92" s="31" t="str">
        <f ca="1"/>
        <v>LGSCT</v>
      </c>
      <c r="E92" s="35">
        <f ca="1"/>
        <v>46160.429166666669</v>
      </c>
      <c r="F92" s="35">
        <f ca="1"/>
        <v>46158.354166666664</v>
      </c>
      <c r="G92" s="35">
        <f ca="1"/>
        <v>46161</v>
      </c>
      <c r="H92" s="31" t="str">
        <f ca="1"/>
        <v>PENSKE LOGISTICS DO BRASIL LTDA. - 07775240</v>
      </c>
      <c r="I92" s="31" t="str">
        <f ca="1"/>
        <v>CAJAMAR/SP/BRASIL</v>
      </c>
      <c r="J92" s="31" t="str">
        <f ca="1"/>
        <v>ITAPOA/SC/BRASIL</v>
      </c>
      <c r="K92" s="31" t="str">
        <f ca="1"/>
        <v>BDK0J96</v>
      </c>
    </row>
    <row r="93" spans="1:11">
      <c r="A93" s="32">
        <f ca="1"/>
        <v>6022523</v>
      </c>
      <c r="B93" s="32" t="str">
        <f ca="1"/>
        <v>OK - NO PRAZO</v>
      </c>
      <c r="C93" s="32" t="str">
        <f ca="1"/>
        <v>EMJ LOGISTIC</v>
      </c>
      <c r="D93" s="31" t="str">
        <f ca="1"/>
        <v>LGCAJ</v>
      </c>
      <c r="E93" s="35">
        <f ca="1"/>
        <v>46161.174305555556</v>
      </c>
      <c r="F93" s="35">
        <f ca="1"/>
        <v>46160.75</v>
      </c>
      <c r="G93" s="35">
        <f ca="1"/>
        <v>46162.291666666664</v>
      </c>
      <c r="H93" s="31" t="str">
        <f ca="1"/>
        <v>FUJIOKA ELETRO IMAGEM S/A - 74675690</v>
      </c>
      <c r="I93" s="31" t="str">
        <f ca="1"/>
        <v>GOIANIA/GO/BRASIL</v>
      </c>
      <c r="J93" s="31" t="str">
        <f ca="1"/>
        <v/>
      </c>
      <c r="K93" s="31" t="str">
        <f ca="1"/>
        <v/>
      </c>
    </row>
    <row r="94" spans="1:11">
      <c r="A94" s="32">
        <f ca="1"/>
        <v>6022176</v>
      </c>
      <c r="B94" s="32" t="str">
        <f ca="1"/>
        <v>NA CLIF - COM SMP - AGUARDANDO SAÍDA</v>
      </c>
      <c r="C94" s="32" t="str">
        <f ca="1"/>
        <v>TRANSKING</v>
      </c>
      <c r="D94" s="31" t="str">
        <f ca="1"/>
        <v>LGSCT</v>
      </c>
      <c r="E94" s="35">
        <f ca="1"/>
        <v>46160.34097222222</v>
      </c>
      <c r="F94" s="35">
        <f ca="1"/>
        <v>46158.520833333336</v>
      </c>
      <c r="G94" s="35">
        <f ca="1"/>
        <v>46162.25</v>
      </c>
      <c r="H94" s="31" t="str">
        <f ca="1"/>
        <v>GRUPO CASAS BAHIA S.A(CD1600) - 79108610</v>
      </c>
      <c r="I94" s="31" t="str">
        <f ca="1"/>
        <v>CAMPO GRANDE/MS/BRASIL</v>
      </c>
      <c r="J94" s="31" t="str">
        <f ca="1"/>
        <v>ITAPOA/SC/BRASIL</v>
      </c>
      <c r="K94" s="31" t="str">
        <f ca="1"/>
        <v>OKH6B48</v>
      </c>
    </row>
    <row r="95" spans="1:11">
      <c r="A95" s="32">
        <f ca="1"/>
        <v>6022218</v>
      </c>
      <c r="B95" s="32" t="str">
        <f ca="1"/>
        <v>ATRASADO ENTREGA - SEM SMP</v>
      </c>
      <c r="C95" s="32" t="str">
        <f ca="1"/>
        <v>BENDINI LOGI</v>
      </c>
      <c r="D95" s="31" t="str">
        <f ca="1"/>
        <v>LGSCT</v>
      </c>
      <c r="E95" s="35">
        <f ca="1"/>
        <v>46157.25</v>
      </c>
      <c r="F95" s="35">
        <f ca="1"/>
        <v>46157.25</v>
      </c>
      <c r="G95" s="35">
        <f ca="1"/>
        <v>46160.958333333336</v>
      </c>
      <c r="H95" s="31" t="str">
        <f ca="1"/>
        <v>GRUPO CASAS BAHIA S.A(CD1475) - 83085058</v>
      </c>
      <c r="I95" s="31" t="str">
        <f ca="1"/>
        <v>SAO JOSE DOS PINHAIS/PR/BRASIL</v>
      </c>
      <c r="J95" s="31" t="str">
        <f ca="1"/>
        <v/>
      </c>
      <c r="K95" s="31" t="str">
        <f ca="1"/>
        <v/>
      </c>
    </row>
    <row r="96" spans="1:11">
      <c r="A96" s="32">
        <f ca="1"/>
        <v>6022160</v>
      </c>
      <c r="B96" s="32" t="str">
        <f ca="1"/>
        <v>EM VIAGEM</v>
      </c>
      <c r="C96" s="32" t="str">
        <f ca="1"/>
        <v>BACHMANN TR</v>
      </c>
      <c r="D96" s="31" t="str">
        <f ca="1"/>
        <v>LGSCT</v>
      </c>
      <c r="E96" s="35">
        <f ca="1"/>
        <v>46159.138888888891</v>
      </c>
      <c r="F96" s="35">
        <f ca="1"/>
        <v>46157.645833333336</v>
      </c>
      <c r="G96" s="35">
        <f ca="1"/>
        <v>46160.25</v>
      </c>
      <c r="H96" s="31" t="str">
        <f ca="1"/>
        <v>GRUPO CASAS BAHIA S.A(CD1401) - 25255030</v>
      </c>
      <c r="I96" s="31" t="str">
        <f ca="1"/>
        <v>DUQUE DE CAXIAS/RJ/BRASIL</v>
      </c>
      <c r="J96" s="31" t="str">
        <f ca="1"/>
        <v>RUA ALCEU MIGUEL BASSA, SAO JOSE DOS PINHAIS/PR/BRASIL (0,44 Km)</v>
      </c>
      <c r="K96" s="31" t="str">
        <f ca="1"/>
        <v>ALA1H98</v>
      </c>
    </row>
    <row r="97" spans="1:11">
      <c r="A97" s="32">
        <f ca="1"/>
        <v>6022223</v>
      </c>
      <c r="B97" s="32" t="str">
        <f ca="1"/>
        <v>EM VIAGEM</v>
      </c>
      <c r="C97" s="32" t="str">
        <f ca="1"/>
        <v>VIPE TRANSPO</v>
      </c>
      <c r="D97" s="31" t="str">
        <f ca="1"/>
        <v>LGSCT</v>
      </c>
      <c r="E97" s="35">
        <f ca="1"/>
        <v>46157.25</v>
      </c>
      <c r="F97" s="35">
        <f ca="1"/>
        <v>46157.25</v>
      </c>
      <c r="G97" s="35">
        <f ca="1"/>
        <v>46161.958333333336</v>
      </c>
      <c r="H97" s="31" t="str">
        <f ca="1"/>
        <v>GRUPO CASAS BAHIA S.A(CD1760) - CONTAGEM</v>
      </c>
      <c r="I97" s="31" t="str">
        <f ca="1"/>
        <v>CONTAGEM/MG/BRASIL</v>
      </c>
      <c r="J97" s="31" t="str">
        <f ca="1"/>
        <v>ACESSO PARA RODOVIA BR-277, SAO JOSE DOS PINHAIS/PR/BRASIL (0,09 Km)</v>
      </c>
      <c r="K97" s="31" t="str">
        <f ca="1"/>
        <v>KDZ9H48</v>
      </c>
    </row>
    <row r="98" spans="1:11">
      <c r="A98" s="32">
        <f ca="1"/>
        <v>6022175</v>
      </c>
      <c r="B98" s="32" t="str">
        <f ca="1"/>
        <v>EM VIAGEM</v>
      </c>
      <c r="C98" s="32" t="str">
        <f ca="1"/>
        <v>TRANSBOCAYUV</v>
      </c>
      <c r="D98" s="31" t="str">
        <f ca="1"/>
        <v>LGSCT</v>
      </c>
      <c r="E98" s="35">
        <f ca="1"/>
        <v>46159.522222222222</v>
      </c>
      <c r="F98" s="35">
        <f ca="1"/>
        <v>46157.291666666664</v>
      </c>
      <c r="G98" s="35">
        <f ca="1"/>
        <v>46159.958333333336</v>
      </c>
      <c r="H98" s="31" t="str">
        <f ca="1"/>
        <v>GRUPO CASAS BAHIA S.A(CD1500) - 09790400</v>
      </c>
      <c r="I98" s="31" t="str">
        <f ca="1"/>
        <v>SAO BERNARDO DO CAMPO/SP/BRASIL</v>
      </c>
      <c r="J98" s="31" t="str">
        <f ca="1"/>
        <v>RUA QUINZE DE OUTUBRO, JOINVILLE/SC/BRASIL (0,15 Km)</v>
      </c>
      <c r="K98" s="31" t="str">
        <f ca="1"/>
        <v>FOQ5B24</v>
      </c>
    </row>
    <row r="99" spans="1:11">
      <c r="A99" s="32">
        <f ca="1"/>
        <v>6022207</v>
      </c>
      <c r="B99" s="32" t="str">
        <f ca="1"/>
        <v>EM VIAGEM</v>
      </c>
      <c r="C99" s="32" t="str">
        <f ca="1"/>
        <v>TRANSBOCAYUV</v>
      </c>
      <c r="D99" s="31" t="str">
        <f ca="1"/>
        <v>LGSCT</v>
      </c>
      <c r="E99" s="35">
        <f ca="1"/>
        <v>46159.654861111114</v>
      </c>
      <c r="F99" s="35">
        <f ca="1"/>
        <v>46157.354166666664</v>
      </c>
      <c r="G99" s="35">
        <f ca="1"/>
        <v>46163.25</v>
      </c>
      <c r="H99" s="31" t="str">
        <f ca="1"/>
        <v>GRUPO CASAS BAHIA S.A(CD1400) - 42816270</v>
      </c>
      <c r="I99" s="31" t="str">
        <f ca="1"/>
        <v>CAMACARI/BA/BRASIL</v>
      </c>
      <c r="J99" s="31" t="str">
        <f ca="1"/>
        <v>GARUVA/SC/BRASIL</v>
      </c>
      <c r="K99" s="31" t="str">
        <f ca="1"/>
        <v>MEN3H71</v>
      </c>
    </row>
    <row r="100" spans="1:11">
      <c r="A100" s="32">
        <f ca="1"/>
        <v>6022183</v>
      </c>
      <c r="B100" s="32" t="str">
        <f ca="1"/>
        <v>EM VIAGEM</v>
      </c>
      <c r="C100" s="32" t="str">
        <f ca="1"/>
        <v>MINAS SUL</v>
      </c>
      <c r="D100" s="31" t="str">
        <f ca="1"/>
        <v>LGSCT</v>
      </c>
      <c r="E100" s="35">
        <f ca="1"/>
        <v>46157.25</v>
      </c>
      <c r="F100" s="35">
        <f ca="1"/>
        <v>46157.25</v>
      </c>
      <c r="G100" s="35">
        <f ca="1"/>
        <v>46160.958333333336</v>
      </c>
      <c r="H100" s="31" t="str">
        <f ca="1"/>
        <v>GRUPO CASAS BAHIA S.A(CD1200) - 13203850</v>
      </c>
      <c r="I100" s="31" t="str">
        <f ca="1"/>
        <v>JUNDIAI/SP/BRASIL</v>
      </c>
      <c r="J100" s="31" t="str">
        <f ca="1"/>
        <v>RUA CONSTANTE MORO SOBRINHO, SAO JOSE DOS PINHAIS/PR/BRASIL (0,27 Km)</v>
      </c>
      <c r="K100" s="31" t="str">
        <f ca="1"/>
        <v>ATN1G43</v>
      </c>
    </row>
    <row r="101" spans="1:11">
      <c r="A101" s="32">
        <f ca="1"/>
        <v>6011546</v>
      </c>
      <c r="B101" s="32" t="str">
        <f ca="1"/>
        <v>EM VIAGEM</v>
      </c>
      <c r="C101" s="32" t="str">
        <f ca="1"/>
        <v>TRANSKING</v>
      </c>
      <c r="D101" s="31" t="str">
        <f ca="1"/>
        <v>LGSCT</v>
      </c>
      <c r="E101" s="35">
        <f ca="1"/>
        <v>46159.321527777778</v>
      </c>
      <c r="F101" s="35">
        <f ca="1"/>
        <v>46157.583333333336</v>
      </c>
      <c r="G101" s="35">
        <f ca="1"/>
        <v>46161.25</v>
      </c>
      <c r="H101" s="31" t="str">
        <f ca="1"/>
        <v>MAGAZINE LUIZA S/A (CD1100) - 75340000</v>
      </c>
      <c r="I101" s="31" t="str">
        <f ca="1"/>
        <v>HIDROLANDIA/GO/BRASIL</v>
      </c>
      <c r="J101" s="31" t="str">
        <f ca="1"/>
        <v>TIJUCAS DO SUL/PR/BRASIL</v>
      </c>
      <c r="K101" s="31" t="str">
        <f ca="1"/>
        <v>MQJ6B54</v>
      </c>
    </row>
    <row r="102" spans="1:11">
      <c r="A102" s="32">
        <f ca="1"/>
        <v>6023033</v>
      </c>
      <c r="B102" s="32" t="str">
        <f ca="1"/>
        <v>OK - NO PRAZO</v>
      </c>
      <c r="C102" s="32" t="str">
        <f ca="1"/>
        <v>RODOBRAS TR</v>
      </c>
      <c r="D102" s="31" t="str">
        <f ca="1"/>
        <v>LGSCT</v>
      </c>
      <c r="E102" s="35">
        <f ca="1"/>
        <v>46162.097222222219</v>
      </c>
      <c r="F102" s="35">
        <f ca="1"/>
        <v>46160.416666666664</v>
      </c>
      <c r="G102" s="35">
        <f ca="1"/>
        <v>46162.25</v>
      </c>
      <c r="H102" s="31" t="str">
        <f ca="1"/>
        <v>GRUPO CASAS BAHIA S.A(CD1475) - 83085058</v>
      </c>
      <c r="I102" s="31" t="str">
        <f ca="1"/>
        <v>SAO JOSE DOS PINHAIS/PR/BRASIL</v>
      </c>
      <c r="J102" s="31" t="str">
        <f ca="1"/>
        <v/>
      </c>
      <c r="K102" s="31" t="str">
        <f ca="1"/>
        <v/>
      </c>
    </row>
    <row r="103" spans="1:11">
      <c r="A103" s="32">
        <f ca="1"/>
        <v>6022595</v>
      </c>
      <c r="B103" s="32" t="str">
        <f ca="1"/>
        <v>EM VIAGEM</v>
      </c>
      <c r="C103" s="32" t="str">
        <f ca="1"/>
        <v>SUL CONTINEN</v>
      </c>
      <c r="D103" s="31" t="str">
        <f ca="1"/>
        <v>LGSCT</v>
      </c>
      <c r="E103" s="35">
        <f ca="1"/>
        <v>46162.833333333336</v>
      </c>
      <c r="F103" s="35">
        <f ca="1"/>
        <v>46157.604166666664</v>
      </c>
      <c r="G103" s="35">
        <f ca="1"/>
        <v>46163.25</v>
      </c>
      <c r="H103" s="31" t="str">
        <f ca="1"/>
        <v>MAGAZINE LUIZA S/A (CD5200) - 94100420</v>
      </c>
      <c r="I103" s="31" t="str">
        <f ca="1"/>
        <v>GRAVATAI/RS/BRASIL</v>
      </c>
      <c r="J103" s="31" t="str">
        <f ca="1"/>
        <v>RUA MIL SEISCENTOS E DEZESSETE, IÇARA/SC/BRASIL (7,83 Km)</v>
      </c>
      <c r="K103" s="31" t="str">
        <f ca="1"/>
        <v>RLB8F85</v>
      </c>
    </row>
    <row r="104" spans="1:11">
      <c r="A104" s="32">
        <f ca="1"/>
        <v>6023431</v>
      </c>
      <c r="B104" s="32" t="str">
        <f ca="1"/>
        <v>ATRASADO ENTREGA - SEM SMP</v>
      </c>
      <c r="C104" s="32" t="str">
        <f ca="1"/>
        <v>VIPE TRANSPO</v>
      </c>
      <c r="D104" s="31" t="str">
        <f ca="1"/>
        <v>LGCAJ</v>
      </c>
      <c r="E104" s="35">
        <f ca="1"/>
        <v>46158.241666666669</v>
      </c>
      <c r="F104" s="35">
        <f ca="1"/>
        <v>46157.416666666664</v>
      </c>
      <c r="G104" s="35">
        <f ca="1"/>
        <v>46158.333333333336</v>
      </c>
      <c r="H104" s="31" t="str">
        <f ca="1"/>
        <v>DAYCOVAL LEASING SOCIEDADE DE ARRENDAMENTO MERCANTIL S.A. - 01333000</v>
      </c>
      <c r="I104" s="31" t="str">
        <f ca="1"/>
        <v>SAO PAULO/SP</v>
      </c>
      <c r="J104" s="31" t="str">
        <f ca="1"/>
        <v/>
      </c>
      <c r="K104" s="31" t="str">
        <f ca="1"/>
        <v>EFV9A07</v>
      </c>
    </row>
    <row r="105" spans="1:11">
      <c r="A105" s="32">
        <f ca="1"/>
        <v>6022052</v>
      </c>
      <c r="B105" s="32" t="str">
        <f ca="1"/>
        <v>NA PENSKE - COM SMP - AGUARDANDO SAÍDA</v>
      </c>
      <c r="C105" s="32" t="str">
        <f ca="1"/>
        <v>VIPE TRANSPO</v>
      </c>
      <c r="D105" s="31" t="str">
        <f ca="1"/>
        <v>LGCAJ</v>
      </c>
      <c r="E105" s="35">
        <f ca="1"/>
        <v>46159.229166666664</v>
      </c>
      <c r="F105" s="35">
        <f ca="1"/>
        <v>46157.583333333336</v>
      </c>
      <c r="G105" s="35">
        <f ca="1"/>
        <v>46160.25</v>
      </c>
      <c r="H105" s="31" t="str">
        <f ca="1"/>
        <v>GRUPO CASAS BAHIA S.A(CD1760) - 32150240</v>
      </c>
      <c r="I105" s="31" t="str">
        <f ca="1"/>
        <v>CONTAGEM/MG</v>
      </c>
      <c r="J105" s="31" t="str">
        <f ca="1"/>
        <v>ESTR DA COPASE, CAJAMAR/SP/BRASIL (0,09 Km)</v>
      </c>
      <c r="K105" s="31" t="str">
        <f ca="1"/>
        <v>FCR0J34</v>
      </c>
    </row>
    <row r="106" spans="1:11">
      <c r="A106" s="32">
        <f ca="1"/>
        <v>6022159</v>
      </c>
      <c r="B106" s="32" t="str">
        <f ca="1"/>
        <v>ATRASADO CARREGAMENTO - SEM SMP</v>
      </c>
      <c r="C106" s="32" t="str">
        <f ca="1"/>
        <v>TRANSBOCAYUV</v>
      </c>
      <c r="D106" s="31" t="str">
        <f ca="1"/>
        <v>LGSCT</v>
      </c>
      <c r="E106" s="35">
        <f ca="1"/>
        <v>46159.138888888891</v>
      </c>
      <c r="F106" s="35">
        <f ca="1"/>
        <v>46157.3125</v>
      </c>
      <c r="G106" s="35">
        <f ca="1"/>
        <v>46160.25</v>
      </c>
      <c r="H106" s="31" t="str">
        <f ca="1"/>
        <v>GRUPO CASAS BAHIA S.A(CD1401) - 25255030</v>
      </c>
      <c r="I106" s="31" t="str">
        <f ca="1"/>
        <v>DUQUE DE CAXIAS/RJ</v>
      </c>
      <c r="J106" s="31" t="str">
        <f ca="1"/>
        <v/>
      </c>
      <c r="K106" s="31" t="str">
        <f ca="1"/>
        <v>ATX8J70</v>
      </c>
    </row>
    <row r="107" spans="1:11">
      <c r="A107" s="32">
        <f ca="1"/>
        <v>6022208</v>
      </c>
      <c r="B107" s="32" t="str">
        <f ca="1"/>
        <v>EM VIAGEM</v>
      </c>
      <c r="C107" s="32" t="str">
        <f ca="1"/>
        <v>LX PANTOS</v>
      </c>
      <c r="D107" s="31" t="str">
        <f ca="1"/>
        <v>LGSCT</v>
      </c>
      <c r="E107" s="35">
        <f ca="1"/>
        <v>46159.654861111114</v>
      </c>
      <c r="F107" s="35">
        <f ca="1"/>
        <v>46157.833333333336</v>
      </c>
      <c r="G107" s="35">
        <f ca="1"/>
        <v>46163.25</v>
      </c>
      <c r="H107" s="31" t="str">
        <f ca="1"/>
        <v>GRUPO CASAS BAHIA S.A(CD1400) - 42816270</v>
      </c>
      <c r="I107" s="31" t="str">
        <f ca="1"/>
        <v>CAMACARI/BA</v>
      </c>
      <c r="J107" s="31" t="str">
        <f ca="1"/>
        <v>ESTRADA MUNICIPAL CARAGUATA, CAMPINA GRANDE DO SUL/PR/BRASIL (0,44 Km)</v>
      </c>
      <c r="K107" s="31" t="str">
        <f ca="1"/>
        <v>DVS7928</v>
      </c>
    </row>
    <row r="108" spans="1:11">
      <c r="A108" s="32">
        <f ca="1"/>
        <v>6022173</v>
      </c>
      <c r="B108" s="32" t="str">
        <f ca="1"/>
        <v>EM VIAGEM</v>
      </c>
      <c r="C108" s="32" t="str">
        <f ca="1"/>
        <v>TR RAMTHUN</v>
      </c>
      <c r="D108" s="31" t="str">
        <f ca="1"/>
        <v>LGSCT</v>
      </c>
      <c r="E108" s="35">
        <f ca="1"/>
        <v>46159.395833333336</v>
      </c>
      <c r="F108" s="35">
        <f ca="1"/>
        <v>46157.770833333336</v>
      </c>
      <c r="G108" s="35">
        <f ca="1"/>
        <v>46159.958333333336</v>
      </c>
      <c r="H108" s="31" t="str">
        <f ca="1"/>
        <v>GRUPO CASAS BAHIA S.A(CD1500) - 09790400</v>
      </c>
      <c r="I108" s="31" t="str">
        <f ca="1"/>
        <v>SAO BERNARDO DO CAMPO/SP</v>
      </c>
      <c r="J108" s="31" t="str">
        <f ca="1"/>
        <v>CAMINHO, CAMPINA GRANDE DO SUL/PR/BRASIL (24,45 Km)</v>
      </c>
      <c r="K108" s="31" t="str">
        <f ca="1"/>
        <v>MMK3F39</v>
      </c>
    </row>
    <row r="109" spans="1:11">
      <c r="A109" s="32">
        <f ca="1"/>
        <v>6013979</v>
      </c>
      <c r="B109" s="32" t="str">
        <f ca="1"/>
        <v>OK - NO PRAZO</v>
      </c>
      <c r="C109" s="32" t="str">
        <f ca="1"/>
        <v>SUL CONTINEN</v>
      </c>
      <c r="D109" s="31" t="str">
        <f ca="1"/>
        <v>LGSCT</v>
      </c>
      <c r="E109" s="35">
        <f ca="1"/>
        <v>46161.104166666664</v>
      </c>
      <c r="F109" s="35">
        <f ca="1"/>
        <v>46160.5625</v>
      </c>
      <c r="G109" s="35">
        <f ca="1"/>
        <v>46161.25</v>
      </c>
      <c r="H109" s="31" t="str">
        <f ca="1"/>
        <v>HAVAN LOJAS DE DEPARTAMENTOS LTDA - 88390000</v>
      </c>
      <c r="I109" s="31" t="str">
        <f ca="1"/>
        <v>BARRA VELHA/SC</v>
      </c>
      <c r="J109" s="31" t="str">
        <f ca="1"/>
        <v/>
      </c>
      <c r="K109" s="31" t="str">
        <f ca="1"/>
        <v/>
      </c>
    </row>
    <row r="110" spans="1:11">
      <c r="A110" s="32">
        <f ca="1"/>
        <v>6022227</v>
      </c>
      <c r="B110" s="32" t="str">
        <f ca="1"/>
        <v>ATRASADO CARREGAMENTO - SEM SMP</v>
      </c>
      <c r="C110" s="32" t="str">
        <f ca="1"/>
        <v>TRANSBOCAYUV</v>
      </c>
      <c r="D110" s="32" t="str">
        <f ca="1"/>
        <v>LGSCT</v>
      </c>
      <c r="E110" s="38">
        <f ca="1"/>
        <v>46163.138888888891</v>
      </c>
      <c r="F110" s="38">
        <f ca="1"/>
        <v>46158.333333333336</v>
      </c>
      <c r="G110" s="38">
        <f ca="1"/>
        <v>46164.25</v>
      </c>
      <c r="H110" s="32" t="str">
        <f ca="1"/>
        <v>CARREFOUR COMERCIO E INDUSTRIA LTDA - 25085370</v>
      </c>
      <c r="I110" s="32" t="str">
        <f ca="1"/>
        <v>DUQUE DE CAXIAS/RJ</v>
      </c>
      <c r="J110" s="32" t="str">
        <f ca="1"/>
        <v/>
      </c>
      <c r="K110" s="32" t="str">
        <f ca="1"/>
        <v/>
      </c>
    </row>
    <row r="111" spans="1:11">
      <c r="A111" s="32">
        <f ca="1"/>
        <v>6012700</v>
      </c>
      <c r="B111" s="32" t="str">
        <f ca="1"/>
        <v>OK - NO PRAZO</v>
      </c>
      <c r="C111" s="32" t="str">
        <f ca="1"/>
        <v>SUL CONTINEN</v>
      </c>
      <c r="D111" s="32" t="str">
        <f ca="1"/>
        <v>LGSCT</v>
      </c>
      <c r="E111" s="38">
        <f ca="1"/>
        <v>46161.097222222219</v>
      </c>
      <c r="F111" s="38">
        <f ca="1"/>
        <v>46160.625</v>
      </c>
      <c r="G111" s="38">
        <f ca="1"/>
        <v>46161.25</v>
      </c>
      <c r="H111" s="32" t="str">
        <f ca="1"/>
        <v>MAGAZINE LUIZA S/A (CD2900) - 83704530</v>
      </c>
      <c r="I111" s="32" t="str">
        <f ca="1"/>
        <v>ARAUCARIA/PR</v>
      </c>
      <c r="J111" s="32" t="str">
        <f ca="1"/>
        <v/>
      </c>
      <c r="K111" s="32" t="str">
        <f ca="1"/>
        <v/>
      </c>
    </row>
    <row r="112" spans="1:11">
      <c r="A112" s="32">
        <f ca="1"/>
        <v>6022053</v>
      </c>
      <c r="B112" s="32" t="str">
        <f ca="1"/>
        <v>ATRASADO CARREGAMENTO - SEM SMP</v>
      </c>
      <c r="C112" s="32" t="str">
        <f ca="1"/>
        <v>TR RAMTHUN</v>
      </c>
      <c r="D112" s="32" t="str">
        <f ca="1"/>
        <v>LGCAJ</v>
      </c>
      <c r="E112" s="38">
        <f ca="1"/>
        <v>46160.154166666667</v>
      </c>
      <c r="F112" s="38">
        <f ca="1"/>
        <v>46157.458333333336</v>
      </c>
      <c r="G112" s="38">
        <f ca="1"/>
        <v>46160.25</v>
      </c>
      <c r="H112" s="32" t="str">
        <f ca="1"/>
        <v>GRUPO CASAS BAHIA S.A(CD1200) - 13203850</v>
      </c>
      <c r="I112" s="32" t="str">
        <f ca="1"/>
        <v>JUNDIAI/SP</v>
      </c>
      <c r="J112" s="32" t="str">
        <f ca="1"/>
        <v/>
      </c>
      <c r="K112" s="32" t="str">
        <f ca="1"/>
        <v/>
      </c>
    </row>
    <row r="113" spans="1:11">
      <c r="A113" s="32">
        <f ca="1"/>
        <v>6023014</v>
      </c>
      <c r="B113" s="32" t="str">
        <f ca="1"/>
        <v>ATRASADO CARREGAMENTO - SEM SMP</v>
      </c>
      <c r="C113" s="32" t="str">
        <f ca="1"/>
        <v>TRANSBOCAYUV</v>
      </c>
      <c r="D113" s="32" t="str">
        <f ca="1"/>
        <v>LGSCT</v>
      </c>
      <c r="E113" s="38">
        <f ca="1"/>
        <v>46163.138888888891</v>
      </c>
      <c r="F113" s="38">
        <f ca="1"/>
        <v>46158.333333333336</v>
      </c>
      <c r="G113" s="38">
        <f ca="1"/>
        <v>46164.25</v>
      </c>
      <c r="H113" s="32" t="str">
        <f ca="1"/>
        <v>GRUPO CASAS BAHIA S.A(CD1401) - 25255030</v>
      </c>
      <c r="I113" s="32" t="str">
        <f ca="1"/>
        <v>DUQUE DE CAXIAS/RJ</v>
      </c>
      <c r="J113" s="32" t="str">
        <f ca="1"/>
        <v/>
      </c>
      <c r="K113" s="32" t="str">
        <f ca="1"/>
        <v/>
      </c>
    </row>
    <row r="114" spans="1:11">
      <c r="A114" s="32">
        <f ca="1"/>
        <v>6023348</v>
      </c>
      <c r="B114" s="32" t="str">
        <f ca="1"/>
        <v>OK - NO PRAZO</v>
      </c>
      <c r="C114" s="32" t="str">
        <f ca="1"/>
        <v>VIPE TRANSPO</v>
      </c>
      <c r="D114" s="32" t="str">
        <f ca="1"/>
        <v>LGCAJ</v>
      </c>
      <c r="E114" s="38">
        <f ca="1"/>
        <v>46161.316666666666</v>
      </c>
      <c r="F114" s="38">
        <f ca="1"/>
        <v>46160.416666666664</v>
      </c>
      <c r="G114" s="38">
        <f ca="1"/>
        <v>46161.416666666664</v>
      </c>
      <c r="H114" s="32" t="str">
        <f ca="1"/>
        <v>JHSF MALLS S.A. - 05676120</v>
      </c>
      <c r="I114" s="32" t="str">
        <f ca="1"/>
        <v>SAO PAULO/SP</v>
      </c>
      <c r="J114" s="32" t="str">
        <f ca="1"/>
        <v/>
      </c>
      <c r="K114" s="32" t="str">
        <f ca="1"/>
        <v/>
      </c>
    </row>
    <row r="115" spans="1:11" ht="15" customHeight="1">
      <c r="A115" s="32">
        <f ca="1"/>
        <v>6023432</v>
      </c>
      <c r="B115" s="32" t="str">
        <f ca="1"/>
        <v>OK - NO PRAZO</v>
      </c>
      <c r="C115" s="32" t="str">
        <f ca="1"/>
        <v>RODOPENHA</v>
      </c>
      <c r="D115" s="32" t="str">
        <f ca="1"/>
        <v>LGREC</v>
      </c>
      <c r="E115" s="38">
        <f ca="1"/>
        <v>46161.854166666664</v>
      </c>
      <c r="F115" s="38">
        <f ca="1"/>
        <v>46161.854166666664</v>
      </c>
      <c r="G115" s="38">
        <f ca="1"/>
        <v>46163.25</v>
      </c>
      <c r="H115" s="32" t="str">
        <f ca="1"/>
        <v>GRUPO CASAS BAHIA S.A(CD1400) - 42816270</v>
      </c>
      <c r="I115" s="32" t="str">
        <f ca="1"/>
        <v>CAMACARI/BA</v>
      </c>
      <c r="J115" s="32" t="str">
        <f ca="1"/>
        <v/>
      </c>
      <c r="K115" s="32" t="str">
        <f ca="1"/>
        <v/>
      </c>
    </row>
    <row r="116" spans="1:11" ht="15" customHeight="1">
      <c r="A116" s="32">
        <f ca="1"/>
        <v>6022171</v>
      </c>
      <c r="B116" s="32" t="str">
        <f ca="1"/>
        <v>ATRASADO CARREGAMENTO - SEM SMP</v>
      </c>
      <c r="C116" s="32" t="str">
        <f ca="1"/>
        <v>TRANSBOCAYUV</v>
      </c>
      <c r="D116" s="32" t="str">
        <f ca="1"/>
        <v>LGSCT</v>
      </c>
      <c r="E116" s="38">
        <f ca="1"/>
        <v>46159.138888888891</v>
      </c>
      <c r="F116" s="38">
        <f ca="1"/>
        <v>46158.333333333336</v>
      </c>
      <c r="G116" s="38">
        <f ca="1"/>
        <v>46160.25</v>
      </c>
      <c r="H116" s="32" t="str">
        <f ca="1"/>
        <v>GRUPO CASAS BAHIA S.A(CD1401) - 25255030</v>
      </c>
      <c r="I116" s="32" t="str">
        <f ca="1"/>
        <v>DUQUE DE CAXIAS/RJ</v>
      </c>
      <c r="J116" s="32" t="str">
        <f ca="1"/>
        <v/>
      </c>
      <c r="K116" s="32" t="str">
        <f ca="1"/>
        <v/>
      </c>
    </row>
    <row r="117" spans="1:11" ht="15" customHeight="1">
      <c r="A117" s="32">
        <f ca="1"/>
        <v>6010935</v>
      </c>
      <c r="B117" s="32" t="str">
        <f ca="1"/>
        <v>ATRASADO ENTREGA - SEM SMP</v>
      </c>
      <c r="C117" s="32" t="str">
        <f ca="1"/>
        <v>WSC</v>
      </c>
      <c r="D117" s="32" t="str">
        <f ca="1"/>
        <v>LGCAJ</v>
      </c>
      <c r="E117" s="38">
        <f ca="1"/>
        <v>46158.17083333333</v>
      </c>
      <c r="F117" s="38">
        <f ca="1"/>
        <v>46157.833333333336</v>
      </c>
      <c r="G117" s="38">
        <f ca="1"/>
        <v>46158.25</v>
      </c>
      <c r="H117" s="32" t="str">
        <f ca="1"/>
        <v>CARREFOUR COM IND LTDA - 06278010</v>
      </c>
      <c r="I117" s="32" t="str">
        <f ca="1"/>
        <v>OSASCO/SP</v>
      </c>
      <c r="J117" s="32" t="str">
        <f ca="1"/>
        <v/>
      </c>
      <c r="K117" s="32" t="str">
        <f ca="1"/>
        <v/>
      </c>
    </row>
    <row r="118" spans="1:11" ht="15" customHeight="1">
      <c r="A118" s="32">
        <f ca="1"/>
        <v>6009604</v>
      </c>
      <c r="B118" s="32" t="str">
        <f ca="1"/>
        <v>EM VIAGEM</v>
      </c>
      <c r="C118" s="32" t="str">
        <f ca="1"/>
        <v>TRANSKING</v>
      </c>
      <c r="D118" s="32" t="str">
        <f ca="1"/>
        <v>LGSCT</v>
      </c>
      <c r="E118" s="38">
        <f ca="1"/>
        <v>46159.025000000001</v>
      </c>
      <c r="F118" s="38">
        <f ca="1"/>
        <v>46157.625</v>
      </c>
      <c r="G118" s="38">
        <f ca="1"/>
        <v>46160.208333333336</v>
      </c>
      <c r="H118" s="32" t="str">
        <f ca="1"/>
        <v>MARTINS COMERCIO E SERVICOS DE DISTRIBUICAO S/A - 38402324</v>
      </c>
      <c r="I118" s="32" t="str">
        <f ca="1"/>
        <v>UBERLANDIA/MG</v>
      </c>
      <c r="J118" s="32" t="str">
        <f ca="1"/>
        <v>RODOVIA PR 25, SAO JOSE DOS PINHAIS/PR/BRASIL (14,69 Km)</v>
      </c>
      <c r="K118" s="32" t="str">
        <f ca="1"/>
        <v>QHU7E59</v>
      </c>
    </row>
    <row r="119" spans="1:11" ht="15" customHeight="1">
      <c r="A119" s="32">
        <f ca="1"/>
        <v>6022202</v>
      </c>
      <c r="B119" s="32" t="str">
        <f ca="1"/>
        <v>EM VIAGEM</v>
      </c>
      <c r="C119" s="32" t="str">
        <f ca="1"/>
        <v>MINAS SUL</v>
      </c>
      <c r="D119" s="32" t="str">
        <f ca="1"/>
        <v>LGSCT</v>
      </c>
      <c r="E119" s="38">
        <f ca="1"/>
        <v>46157.25</v>
      </c>
      <c r="F119" s="38">
        <f ca="1"/>
        <v>46157.25</v>
      </c>
      <c r="G119" s="38">
        <f ca="1"/>
        <v>46160.958333333336</v>
      </c>
      <c r="H119" s="32" t="str">
        <f ca="1"/>
        <v>GRUPO CASAS BAHIA S.A(CD1200) - 13203850</v>
      </c>
      <c r="I119" s="32" t="str">
        <f ca="1"/>
        <v>JUNDIAI/SP</v>
      </c>
      <c r="J119" s="32" t="str">
        <f ca="1"/>
        <v>RODOVIA PR 25, SAO JOSE DOS PINHAIS/PR/BRASIL (14,2 Km)</v>
      </c>
      <c r="K119" s="32" t="str">
        <f ca="1"/>
        <v>DBL1A19</v>
      </c>
    </row>
    <row r="120" spans="1:11" ht="15" customHeight="1"/>
    <row r="121" spans="1:11" ht="15" customHeight="1"/>
    <row r="122" spans="1:11" ht="15" customHeight="1"/>
    <row r="123" spans="1:11" ht="15" customHeight="1"/>
    <row r="124" spans="1:11" ht="15" customHeight="1"/>
    <row r="125" spans="1:11" ht="15" customHeight="1"/>
    <row r="126" spans="1:11" ht="15" customHeight="1"/>
    <row r="127" spans="1:11"/>
    <row r="128" spans="1:1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/>
  </sheetData>
  <sheetProtection sort="0" autoFilter="0"/>
  <autoFilter ref="A1:I109" xr:uid="{623BA885-96A7-4768-B936-FEAE9B01957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ECAE-B032-4299-B01E-A3C997CE7AD6}">
  <sheetPr>
    <tabColor theme="9" tint="0.39997558519241921"/>
  </sheetPr>
  <dimension ref="A1:D100"/>
  <sheetViews>
    <sheetView topLeftCell="A17" workbookViewId="0">
      <selection activeCell="A18" sqref="A18"/>
    </sheetView>
  </sheetViews>
  <sheetFormatPr defaultColWidth="0" defaultRowHeight="21"/>
  <cols>
    <col min="1" max="1" width="181.140625" style="40" customWidth="1"/>
    <col min="2" max="2" width="9.140625" style="40" hidden="1" customWidth="1"/>
    <col min="3" max="3" width="0" style="40" hidden="1" customWidth="1"/>
    <col min="4" max="4" width="9.140625" style="40" hidden="1" customWidth="1"/>
    <col min="5" max="16384" width="0" style="40" hidden="1"/>
  </cols>
  <sheetData>
    <row r="1" spans="1:1" s="4" customFormat="1" ht="20.25">
      <c r="A1" s="29" t="s">
        <v>29</v>
      </c>
    </row>
    <row r="2" spans="1:1" s="4" customFormat="1" ht="15">
      <c r="A2" s="30" t="s">
        <v>30</v>
      </c>
    </row>
    <row r="3" spans="1:1" s="4" customFormat="1" ht="16.5">
      <c r="A3" s="27" t="s">
        <v>31</v>
      </c>
    </row>
    <row r="4" spans="1:1" ht="383.25" customHeight="1">
      <c r="A4" s="39" t="str" cm="1">
        <f t="array" aca="1" ref="A4" ca="1">IFERROR(
IF(
MATCH(
'BASE COBRANÇAS'!F4&amp;
TEXT('BASE COBRANÇAS'!O4,"DD/MM/AAAA")&amp;
'BASE COBRANÇAS'!C4,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COBRANÇAS'!F4&amp;
CHAR(10)&amp;CHAR(10)&amp;
"⚠️ "&amp;'BASE COBRANÇAS'!C4&amp;
CHAR(10)&amp;
_xlfn.TEXTJOIN(
CHAR(10)&amp;CHAR(10),
TRUE,
_xlfn._xlws.FILTER(
"📦 "&amp;'BASE COBRANÇAS'!B4:B1000&amp;
" | 📅 "&amp;IF(
'BASE COBRANÇAS'!M4:M1000="",
"—",
TEXT('BASE COBRANÇAS'!M4:M1000,"DD/MM HH:MM")
)&amp;
" | 🗓️ "&amp;IF(
'BASE COBRANÇAS'!O4:O1000="",
"—",
TEXT('BASE COBRANÇAS'!O4:O1000,"DD/MM HH:MM")
)&amp;
CHAR(10)&amp;
"📍 "&amp;IF(
'BASE COBRANÇAS'!Q4:Q1000="",
"—",
'BASE COBRANÇAS'!Q4:Q1000
)&amp;
" - "&amp;IF(
'BASE COBRANÇAS'!T4:T1000="",
"—",
'BASE COBRANÇAS'!T4:T1000
),
('BASE COBRANÇAS'!F4:F1000='BASE COBRANÇAS'!F4)*
(TEXT('BASE COBRANÇAS'!O4:O1000,"DD/MM/AAAA")=
TEXT('BASE COBRANÇAS'!O4,"DD/MM/AAAA"))*
('BASE COBRANÇAS'!C4:C1000='BASE COBRANÇAS'!C4)*
('BASE COBRANÇAS'!C4:C1000&lt;&gt;"")*
('BASE COBRANÇAS'!C4:C1000&lt;&gt;"EM VIAGEM")*
('BASE COBRANÇAS'!C4:C1000&lt;&gt;"DESCONSIDERA, VALOR NÃO RASTREADO")*
('BASE COBRANÇAS'!C4:C1000&lt;&gt;"⚠️ ATENCAO - PROXIMO"),
""
)
)
),
"")</f>
        <v xml:space="preserve">🚛 STATUS TRANSPORTADORA
SMP DEVE SER CRIADA COM ATÉ 4 HORAS DE ANTECEDENCIA ANTES DO LOCAL DE CARREGAMENTO*
🏢 *Transportadora:* TR RAMTHUN
⚠️ EM VIAGEM
</v>
      </c>
    </row>
    <row r="5" spans="1:1" ht="336.75" customHeight="1">
      <c r="A5" s="39" t="str" cm="1">
        <f t="array" aca="1" ref="A5" ca="1">IFERROR(
IF(
MATCH(
'BASE COBRANÇAS'!F5&amp;
TEXT('BASE COBRANÇAS'!O5,"DD/MM/AAAA")&amp;
'BASE COBRANÇAS'!C5,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COBRANÇAS'!F5&amp;
CHAR(10)&amp;CHAR(10)&amp;
"⚠️ "&amp;'BASE COBRANÇAS'!C5&amp;
CHAR(10)&amp;
_xlfn.TEXTJOIN(
CHAR(10)&amp;CHAR(10),
TRUE,
_xlfn._xlws.FILTER(
"📦 "&amp;'BASE COBRANÇAS'!B5:B1001&amp;
" | 📅 "&amp;IF(
'BASE COBRANÇAS'!M5:M1001="",
"—",
TEXT('BASE COBRANÇAS'!M5:M1001,"DD/MM HH:MM")
)&amp;
" | 🗓️ "&amp;IF(
'BASE COBRANÇAS'!O5:O1001="",
"—",
TEXT('BASE COBRANÇAS'!O5:O1001,"DD/MM HH:MM")
)&amp;
CHAR(10)&amp;
"📍 "&amp;IF(
'BASE COBRANÇAS'!Q5:Q1001="",
"—",
'BASE COBRANÇAS'!Q5:Q1001
)&amp;
" - "&amp;IF(
'BASE COBRANÇAS'!T5:T1001="",
"—",
'BASE COBRANÇAS'!T5:T1001
),
('BASE COBRANÇAS'!F5:F1001='BASE COBRANÇAS'!F5)*
(TEXT('BASE COBRANÇAS'!O5:O1001,"DD/MM/AAAA")=
TEXT('BASE COBRANÇAS'!O5,"DD/MM/AAAA"))*
('BASE COBRANÇAS'!C5:C1001='BASE COBRANÇAS'!C5)*
('BASE COBRANÇAS'!C5:C1001&lt;&gt;"")*
('BASE COBRANÇAS'!C5:C1001&lt;&gt;"EM VIAGEM")*
('BASE COBRANÇAS'!C5:C1001&lt;&gt;"DESCONSIDERA, VALOR NÃO RASTREADO")*
('BASE COBRANÇAS'!C5:C1001&lt;&gt;"⚠️ ATENCAO - PROXIMO"),
""
)
)
),
"")</f>
        <v/>
      </c>
    </row>
    <row r="6" spans="1:1" ht="403.5" customHeight="1">
      <c r="A6" s="39" t="str" cm="1">
        <f t="array" aca="1" ref="A6" ca="1">IFERROR(
IF(
MATCH(
'BASE COBRANÇAS'!F6&amp;
TEXT('BASE COBRANÇAS'!O6,"DD/MM/AAAA")&amp;
'BASE COBRANÇAS'!C6,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COBRANÇAS'!F6&amp;
CHAR(10)&amp;CHAR(10)&amp;
"⚠️ "&amp;'BASE COBRANÇAS'!C6&amp;
CHAR(10)&amp;
_xlfn.TEXTJOIN(
CHAR(10)&amp;CHAR(10),
TRUE,
_xlfn._xlws.FILTER(
"📦 "&amp;'BASE COBRANÇAS'!B6:B1002&amp;
" | 📅 "&amp;IF(
'BASE COBRANÇAS'!M6:M1002="",
"—",
TEXT('BASE COBRANÇAS'!M6:M1002,"DD/MM HH:MM")
)&amp;
" | 🗓️ "&amp;IF(
'BASE COBRANÇAS'!O6:O1002="",
"—",
TEXT('BASE COBRANÇAS'!O6:O1002,"DD/MM HH:MM")
)&amp;
CHAR(10)&amp;
"📍 "&amp;IF(
'BASE COBRANÇAS'!Q6:Q1002="",
"—",
'BASE COBRANÇAS'!Q6:Q1002
)&amp;
" - "&amp;IF(
'BASE COBRANÇAS'!T6:T1002="",
"—",
'BASE COBRANÇAS'!T6:T1002
),
('BASE COBRANÇAS'!F6:F1002='BASE COBRANÇAS'!F6)*
(TEXT('BASE COBRANÇAS'!O6:O1002,"DD/MM/AAAA")=
TEXT('BASE COBRANÇAS'!O6,"DD/MM/AAAA"))*
('BASE COBRANÇAS'!C6:C1002='BASE COBRANÇAS'!C6)*
('BASE COBRANÇAS'!C6:C1002&lt;&gt;"")*
('BASE COBRANÇAS'!C6:C1002&lt;&gt;"EM VIAGEM")*
('BASE COBRANÇAS'!C6:C1002&lt;&gt;"DESCONSIDERA, VALOR NÃO RASTREADO")*
('BASE COBRANÇAS'!C6:C1002&lt;&gt;"⚠️ ATENCAO - PROXIMO"),
""
)
)
),
"")</f>
        <v xml:space="preserve">🚛 STATUS TRANSPORTADORA
SMP DEVE SER CRIADA COM ATÉ 4 HORAS DE ANTECEDENCIA ANTES DO LOCAL DE CARREGAMENTO*
🏢 *Transportadora:* LX PANTOS
⚠️ EM VIAGEM
</v>
      </c>
    </row>
    <row r="7" spans="1:1" ht="409.5" customHeight="1">
      <c r="A7" s="39" t="str" cm="1">
        <f t="array" aca="1" ref="A7" ca="1">IFERROR(
IF(
MATCH(
'BASE COBRANÇAS'!F7&amp;
TEXT('BASE COBRANÇAS'!O7,"DD/MM/AAAA")&amp;
'BASE COBRANÇAS'!C7,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COBRANÇAS'!F7&amp;
CHAR(10)&amp;CHAR(10)&amp;
"⚠️ "&amp;'BASE COBRANÇAS'!C7&amp;
CHAR(10)&amp;
_xlfn.TEXTJOIN(
CHAR(10)&amp;CHAR(10),
TRUE,
_xlfn._xlws.FILTER(
"📦 "&amp;'BASE COBRANÇAS'!B7:B1003&amp;
" | 📅 "&amp;IF(
'BASE COBRANÇAS'!M7:M1003="",
"—",
TEXT('BASE COBRANÇAS'!M7:M1003,"DD/MM HH:MM")
)&amp;
" | 🗓️ "&amp;IF(
'BASE COBRANÇAS'!O7:O1003="",
"—",
TEXT('BASE COBRANÇAS'!O7:O1003,"DD/MM HH:MM")
)&amp;
CHAR(10)&amp;
"📍 "&amp;IF(
'BASE COBRANÇAS'!Q7:Q1003="",
"—",
'BASE COBRANÇAS'!Q7:Q1003
)&amp;
" - "&amp;IF(
'BASE COBRANÇAS'!T7:T1003="",
"—",
'BASE COBRANÇAS'!T7:T1003
),
('BASE COBRANÇAS'!F7:F1003='BASE COBRANÇAS'!F7)*
(TEXT('BASE COBRANÇAS'!O7:O1003,"DD/MM/AAAA")=
TEXT('BASE COBRANÇAS'!O7,"DD/MM/AAAA"))*
('BASE COBRANÇAS'!C7:C1003='BASE COBRANÇAS'!C7)*
('BASE COBRANÇAS'!C7:C1003&lt;&gt;"")*
('BASE COBRANÇAS'!C7:C1003&lt;&gt;"EM VIAGEM")*
('BASE COBRANÇAS'!C7:C1003&lt;&gt;"DESCONSIDERA, VALOR NÃO RASTREADO")*
('BASE COBRANÇAS'!C7:C1003&lt;&gt;"⚠️ ATENCAO - PROXIMO"),
""
)
)
),
"")</f>
        <v xml:space="preserve">🚛 STATUS TRANSPORTADORA
SMP DEVE SER CRIADA COM ATÉ 4 HORAS DE ANTECEDENCIA ANTES DO LOCAL DE CARREGAMENTO*
🏢 *Transportadora:* MINAS SUL
⚠️ EM VIAGEM
</v>
      </c>
    </row>
    <row r="8" spans="1:1" ht="405.75" customHeight="1">
      <c r="A8" s="39" t="str" cm="1">
        <f t="array" aca="1" ref="A8" ca="1">IFERROR(
IF(
MATCH(
'BASE COBRANÇAS'!F8&amp;
TEXT('BASE COBRANÇAS'!O8,"DD/MM/AAAA")&amp;
'BASE COBRANÇAS'!C8,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COBRANÇAS'!F8&amp;
CHAR(10)&amp;CHAR(10)&amp;
"⚠️ "&amp;'BASE COBRANÇAS'!C8&amp;
CHAR(10)&amp;
_xlfn.TEXTJOIN(
CHAR(10)&amp;CHAR(10),
TRUE,
_xlfn._xlws.FILTER(
"📦 "&amp;'BASE COBRANÇAS'!B8:B1004&amp;
" | 📅 "&amp;IF(
'BASE COBRANÇAS'!M8:M1004="",
"—",
TEXT('BASE COBRANÇAS'!M8:M1004,"DD/MM HH:MM")
)&amp;
" | 🗓️ "&amp;IF(
'BASE COBRANÇAS'!O8:O1004="",
"—",
TEXT('BASE COBRANÇAS'!O8:O1004,"DD/MM HH:MM")
)&amp;
CHAR(10)&amp;
"📍 "&amp;IF(
'BASE COBRANÇAS'!Q8:Q1004="",
"—",
'BASE COBRANÇAS'!Q8:Q1004
)&amp;
" - "&amp;IF(
'BASE COBRANÇAS'!T8:T1004="",
"—",
'BASE COBRANÇAS'!T8:T1004
),
('BASE COBRANÇAS'!F8:F1004='BASE COBRANÇAS'!F8)*
(TEXT('BASE COBRANÇAS'!O8:O1004,"DD/MM/AAAA")=
TEXT('BASE COBRANÇAS'!O8,"DD/MM/AAAA"))*
('BASE COBRANÇAS'!C8:C1004='BASE COBRANÇAS'!C8)*
('BASE COBRANÇAS'!C8:C1004&lt;&gt;"")*
('BASE COBRANÇAS'!C8:C1004&lt;&gt;"EM VIAGEM")*
('BASE COBRANÇAS'!C8:C1004&lt;&gt;"DESCONSIDERA, VALOR NÃO RASTREADO")*
('BASE COBRANÇAS'!C8:C1004&lt;&gt;"⚠️ ATENCAO - PROXIMO"),
""
)
)
),
"")</f>
        <v>🚛 STATUS TRANSPORTADORA
SMP DEVE SER CRIADA COM ATÉ 4 HORAS DE ANTECEDENCIA ANTES DO LOCAL DE CARREGAMENTO*
🏢 *Transportadora:* LTA SOLUCOES
⚠️ OK - NO PRAZO
📦 6021677 | 📅 18/05 09:00 | 🗓️ 19/05 06:00
📍 GRUPO CASAS BAHIA S.A(CD1401) - 25255030 - DUQUE DE CAXIAS/RJ/BRASIL
📦 6022045 | 📅 18/05 10:00 | 🗓️ 19/05 06:00
📍 GRUPO CASAS BAHIA S.A(CD1200) - 13203850 - JUNDIAI/SP/BRASIL</v>
      </c>
    </row>
    <row r="9" spans="1:1" ht="309">
      <c r="A9" s="39" t="str" cm="1">
        <f t="array" aca="1" ref="A9" ca="1">IFERROR(
IF(
MATCH(
'BASE COBRANÇAS'!F9&amp;
TEXT('BASE COBRANÇAS'!O9,"DD/MM/AAAA")&amp;
'BASE COBRANÇAS'!C9,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COBRANÇAS'!F9&amp;
CHAR(10)&amp;CHAR(10)&amp;
"⚠️ "&amp;'BASE COBRANÇAS'!C9&amp;
CHAR(10)&amp;
_xlfn.TEXTJOIN(
CHAR(10)&amp;CHAR(10),
TRUE,
_xlfn._xlws.FILTER(
"📦 "&amp;'BASE COBRANÇAS'!B9:B1005&amp;
" | 📅 "&amp;IF(
'BASE COBRANÇAS'!M9:M1005="",
"—",
TEXT('BASE COBRANÇAS'!M9:M1005,"DD/MM HH:MM")
)&amp;
" | 🗓️ "&amp;IF(
'BASE COBRANÇAS'!O9:O1005="",
"—",
TEXT('BASE COBRANÇAS'!O9:O1005,"DD/MM HH:MM")
)&amp;
CHAR(10)&amp;
"📍 "&amp;IF(
'BASE COBRANÇAS'!Q9:Q1005="",
"—",
'BASE COBRANÇAS'!Q9:Q1005
)&amp;
" - "&amp;IF(
'BASE COBRANÇAS'!T9:T1005="",
"—",
'BASE COBRANÇAS'!T9:T1005
),
('BASE COBRANÇAS'!F9:F1005='BASE COBRANÇAS'!F9)*
(TEXT('BASE COBRANÇAS'!O9:O1005,"DD/MM/AAAA")=
TEXT('BASE COBRANÇAS'!O9,"DD/MM/AAAA"))*
('BASE COBRANÇAS'!C9:C1005='BASE COBRANÇAS'!C9)*
('BASE COBRANÇAS'!C9:C1005&lt;&gt;"")*
('BASE COBRANÇAS'!C9:C1005&lt;&gt;"EM VIAGEM")*
('BASE COBRANÇAS'!C9:C1005&lt;&gt;"DESCONSIDERA, VALOR NÃO RASTREADO")*
('BASE COBRANÇAS'!C9:C1005&lt;&gt;"⚠️ ATENCAO - PROXIMO"),
""
)
)
),
"")</f>
        <v>🚛 STATUS TRANSPORTADORA
SMP DEVE SER CRIADA COM ATÉ 4 HORAS DE ANTECEDENCIA ANTES DO LOCAL DE CARREGAMENTO*
🏢 *Transportadora:* CABRAL &amp; CAB
⚠️ OK - NO PRAZO
📦 6021733 | 📅 18/05 20:30 | 🗓️ 20/05 06:00
📍 GRUPO CASAS BAHIA S.A(CD1400) - 42816270 - CAMACARI/BA/BRASIL</v>
      </c>
    </row>
    <row r="10" spans="1:1" ht="309">
      <c r="A10" s="39" t="str" cm="1">
        <f t="array" aca="1" ref="A10" ca="1">IFERROR(
IF(
MATCH(
'BASE COBRANÇAS'!F10&amp;
TEXT('BASE COBRANÇAS'!O10,"DD/MM/AAAA")&amp;
'BASE COBRANÇAS'!C10,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COBRANÇAS'!F10&amp;
CHAR(10)&amp;CHAR(10)&amp;
"⚠️ "&amp;'BASE COBRANÇAS'!C10&amp;
CHAR(10)&amp;
_xlfn.TEXTJOIN(
CHAR(10)&amp;CHAR(10),
TRUE,
_xlfn._xlws.FILTER(
"📦 "&amp;'BASE COBRANÇAS'!B10:B1006&amp;
" | 📅 "&amp;IF(
'BASE COBRANÇAS'!M10:M1006="",
"—",
TEXT('BASE COBRANÇAS'!M10:M1006,"DD/MM HH:MM")
)&amp;
" | 🗓️ "&amp;IF(
'BASE COBRANÇAS'!O10:O1006="",
"—",
TEXT('BASE COBRANÇAS'!O10:O1006,"DD/MM HH:MM")
)&amp;
CHAR(10)&amp;
"📍 "&amp;IF(
'BASE COBRANÇAS'!Q10:Q1006="",
"—",
'BASE COBRANÇAS'!Q10:Q1006
)&amp;
" - "&amp;IF(
'BASE COBRANÇAS'!T10:T1006="",
"—",
'BASE COBRANÇAS'!T10:T1006
),
('BASE COBRANÇAS'!F10:F1006='BASE COBRANÇAS'!F10)*
(TEXT('BASE COBRANÇAS'!O10:O1006,"DD/MM/AAAA")=
TEXT('BASE COBRANÇAS'!O10,"DD/MM/AAAA"))*
('BASE COBRANÇAS'!C10:C1006='BASE COBRANÇAS'!C10)*
('BASE COBRANÇAS'!C10:C1006&lt;&gt;"")*
('BASE COBRANÇAS'!C10:C1006&lt;&gt;"EM VIAGEM")*
('BASE COBRANÇAS'!C10:C1006&lt;&gt;"DESCONSIDERA, VALOR NÃO RASTREADO")*
('BASE COBRANÇAS'!C10:C1006&lt;&gt;"⚠️ ATENCAO - PROXIMO"),
""
)
)
),
"")</f>
        <v>🚛 STATUS TRANSPORTADORA
SMP DEVE SER CRIADA COM ATÉ 4 HORAS DE ANTECEDENCIA ANTES DO LOCAL DE CARREGAMENTO*
🏢 *Transportadora:* RODOPENHA
⚠️ OK - NO PRAZO
📦 6021734 | 📅 18/05 20:30 | 🗓️ 20/05 06:00
📍 GRUPO CASAS BAHIA S.A(CD1400) - 42816270 - CAMACARI/BA/BRASIL
📦 6021735 | 📅 18/05 20:30 | 🗓️ 20/05 06:00
📍 GRUPO CASAS BAHIA S.A(CD1400) - 42816270 - CAMACARI/BA/BRASIL
📦 6021732 | 📅 18/05 21:30 | 🗓️ 20/05 06:00
📍 GRUPO CASAS BAHIA S.A(CD1877) - 61935180 - MARACANAU/CE/BRASIL</v>
      </c>
    </row>
    <row r="11" spans="1:1" ht="408.75" customHeight="1">
      <c r="A11" s="39" t="str" cm="1">
        <f t="array" aca="1" ref="A11" ca="1">IFERROR(
IF(
MATCH(
'BASE COBRANÇAS'!F11&amp;
TEXT('BASE COBRANÇAS'!O11,"DD/MM/AAAA")&amp;
'BASE COBRANÇAS'!C11,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COBRANÇAS'!F11&amp;
CHAR(10)&amp;CHAR(10)&amp;
"⚠️ "&amp;'BASE COBRANÇAS'!C11&amp;
CHAR(10)&amp;
_xlfn.TEXTJOIN(
CHAR(10)&amp;CHAR(10),
TRUE,
_xlfn._xlws.FILTER(
"📦 "&amp;'BASE COBRANÇAS'!B11:B1007&amp;
" | 📅 "&amp;IF(
'BASE COBRANÇAS'!M11:M1007="",
"—",
TEXT('BASE COBRANÇAS'!M11:M1007,"DD/MM HH:MM")
)&amp;
" | 🗓️ "&amp;IF(
'BASE COBRANÇAS'!O11:O1007="",
"—",
TEXT('BASE COBRANÇAS'!O11:O1007,"DD/MM HH:MM")
)&amp;
CHAR(10)&amp;
"📍 "&amp;IF(
'BASE COBRANÇAS'!Q11:Q1007="",
"—",
'BASE COBRANÇAS'!Q11:Q1007
)&amp;
" - "&amp;IF(
'BASE COBRANÇAS'!T11:T1007="",
"—",
'BASE COBRANÇAS'!T11:T1007
),
('BASE COBRANÇAS'!F11:F1007='BASE COBRANÇAS'!F11)*
(TEXT('BASE COBRANÇAS'!O11:O1007,"DD/MM/AAAA")=
TEXT('BASE COBRANÇAS'!O11,"DD/MM/AAAA"))*
('BASE COBRANÇAS'!C11:C1007='BASE COBRANÇAS'!C11)*
('BASE COBRANÇAS'!C11:C1007&lt;&gt;"")*
('BASE COBRANÇAS'!C11:C1007&lt;&gt;"EM VIAGEM")*
('BASE COBRANÇAS'!C11:C1007&lt;&gt;"DESCONSIDERA, VALOR NÃO RASTREADO")*
('BASE COBRANÇAS'!C11:C1007&lt;&gt;"⚠️ ATENCAO - PROXIMO"),
""
)
)
),
"")</f>
        <v xml:space="preserve">🚛 STATUS TRANSPORTADORA
SMP DEVE SER CRIADA COM ATÉ 4 HORAS DE ANTECEDENCIA ANTES DO LOCAL DE CARREGAMENTO*
🏢 *Transportadora:* RODOBRAS TR
⚠️ EM VIAGEM
</v>
      </c>
    </row>
    <row r="12" spans="1:1" ht="309">
      <c r="A12" s="39" t="str" cm="1">
        <f t="array" aca="1" ref="A12" ca="1">IFERROR(
IF(
MATCH(
'BASE COBRANÇAS'!F12&amp;
TEXT('BASE COBRANÇAS'!O12,"DD/MM/AAAA")&amp;
'BASE COBRANÇAS'!C12,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COBRANÇAS'!F12&amp;
CHAR(10)&amp;CHAR(10)&amp;
"⚠️ "&amp;'BASE COBRANÇAS'!C12&amp;
CHAR(10)&amp;
_xlfn.TEXTJOIN(
CHAR(10)&amp;CHAR(10),
TRUE,
_xlfn._xlws.FILTER(
"📦 "&amp;'BASE COBRANÇAS'!B12:B1008&amp;
" | 📅 "&amp;IF(
'BASE COBRANÇAS'!M12:M1008="",
"—",
TEXT('BASE COBRANÇAS'!M12:M1008,"DD/MM HH:MM")
)&amp;
" | 🗓️ "&amp;IF(
'BASE COBRANÇAS'!O12:O1008="",
"—",
TEXT('BASE COBRANÇAS'!O12:O1008,"DD/MM HH:MM")
)&amp;
CHAR(10)&amp;
"📍 "&amp;IF(
'BASE COBRANÇAS'!Q12:Q1008="",
"—",
'BASE COBRANÇAS'!Q12:Q1008
)&amp;
" - "&amp;IF(
'BASE COBRANÇAS'!T12:T1008="",
"—",
'BASE COBRANÇAS'!T12:T1008
),
('BASE COBRANÇAS'!F12:F1008='BASE COBRANÇAS'!F12)*
(TEXT('BASE COBRANÇAS'!O12:O1008,"DD/MM/AAAA")=
TEXT('BASE COBRANÇAS'!O12,"DD/MM/AAAA"))*
('BASE COBRANÇAS'!C12:C1008='BASE COBRANÇAS'!C12)*
('BASE COBRANÇAS'!C12:C1008&lt;&gt;"")*
('BASE COBRANÇAS'!C12:C1008&lt;&gt;"EM VIAGEM")*
('BASE COBRANÇAS'!C12:C1008&lt;&gt;"DESCONSIDERA, VALOR NÃO RASTREADO")*
('BASE COBRANÇAS'!C12:C1008&lt;&gt;"⚠️ ATENCAO - PROXIMO"),
""
)
)
),
"")</f>
        <v xml:space="preserve">🚛 STATUS TRANSPORTADORA
SMP DEVE SER CRIADA COM ATÉ 4 HORAS DE ANTECEDENCIA ANTES DO LOCAL DE CARREGAMENTO*
🏢 *Transportadora:* TR RAMTHUN
⚠️ EM VIAGEM
</v>
      </c>
    </row>
    <row r="13" spans="1:1" ht="309">
      <c r="A13" s="39" t="str" cm="1">
        <f t="array" aca="1" ref="A13" ca="1">IFERROR(
IF(
MATCH(
'BASE COBRANÇAS'!F13&amp;
TEXT('BASE COBRANÇAS'!O13,"DD/MM/AAAA")&amp;
'BASE COBRANÇAS'!C13,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COBRANÇAS'!F13&amp;
CHAR(10)&amp;CHAR(10)&amp;
"⚠️ "&amp;'BASE COBRANÇAS'!C13&amp;
CHAR(10)&amp;
_xlfn.TEXTJOIN(
CHAR(10)&amp;CHAR(10),
TRUE,
_xlfn._xlws.FILTER(
"📦 "&amp;'BASE COBRANÇAS'!B13:B1009&amp;
" | 📅 "&amp;IF(
'BASE COBRANÇAS'!M13:M1009="",
"—",
TEXT('BASE COBRANÇAS'!M13:M1009,"DD/MM HH:MM")
)&amp;
" | 🗓️ "&amp;IF(
'BASE COBRANÇAS'!O13:O1009="",
"—",
TEXT('BASE COBRANÇAS'!O13:O1009,"DD/MM HH:MM")
)&amp;
CHAR(10)&amp;
"📍 "&amp;IF(
'BASE COBRANÇAS'!Q13:Q1009="",
"—",
'BASE COBRANÇAS'!Q13:Q1009
)&amp;
" - "&amp;IF(
'BASE COBRANÇAS'!T13:T1009="",
"—",
'BASE COBRANÇAS'!T13:T1009
),
('BASE COBRANÇAS'!F13:F1009='BASE COBRANÇAS'!F13)*
(TEXT('BASE COBRANÇAS'!O13:O1009,"DD/MM/AAAA")=
TEXT('BASE COBRANÇAS'!O13,"DD/MM/AAAA"))*
('BASE COBRANÇAS'!C13:C1009='BASE COBRANÇAS'!C13)*
('BASE COBRANÇAS'!C13:C1009&lt;&gt;"")*
('BASE COBRANÇAS'!C13:C1009&lt;&gt;"EM VIAGEM")*
('BASE COBRANÇAS'!C13:C1009&lt;&gt;"DESCONSIDERA, VALOR NÃO RASTREADO")*
('BASE COBRANÇAS'!C13:C1009&lt;&gt;"⚠️ ATENCAO - PROXIMO"),
""
)
)
),
"")</f>
        <v xml:space="preserve">🚛 STATUS TRANSPORTADORA
SMP DEVE SER CRIADA COM ATÉ 4 HORAS DE ANTECEDENCIA ANTES DO LOCAL DE CARREGAMENTO*
🏢 *Transportadora:* TRANSBOCAYUV
⚠️ EM VIAGEM
</v>
      </c>
    </row>
    <row r="14" spans="1:1" ht="309">
      <c r="A14" s="39" t="str" cm="1">
        <f t="array" aca="1" ref="A14" ca="1">IFERROR(
IF(
MATCH(
'BASE COBRANÇAS'!F14&amp;
TEXT('BASE COBRANÇAS'!O14,"DD/MM/AAAA")&amp;
'BASE COBRANÇAS'!C14,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COBRANÇAS'!F14&amp;
CHAR(10)&amp;CHAR(10)&amp;
"⚠️ "&amp;'BASE COBRANÇAS'!C14&amp;
CHAR(10)&amp;
_xlfn.TEXTJOIN(
CHAR(10)&amp;CHAR(10),
TRUE,
_xlfn._xlws.FILTER(
"📦 "&amp;'BASE COBRANÇAS'!B14:B1010&amp;
" | 📅 "&amp;IF(
'BASE COBRANÇAS'!M14:M1010="",
"—",
TEXT('BASE COBRANÇAS'!M14:M1010,"DD/MM HH:MM")
)&amp;
" | 🗓️ "&amp;IF(
'BASE COBRANÇAS'!O14:O1010="",
"—",
TEXT('BASE COBRANÇAS'!O14:O1010,"DD/MM HH:MM")
)&amp;
CHAR(10)&amp;
"📍 "&amp;IF(
'BASE COBRANÇAS'!Q14:Q1010="",
"—",
'BASE COBRANÇAS'!Q14:Q1010
)&amp;
" - "&amp;IF(
'BASE COBRANÇAS'!T14:T1010="",
"—",
'BASE COBRANÇAS'!T14:T1010
),
('BASE COBRANÇAS'!F14:F1010='BASE COBRANÇAS'!F14)*
(TEXT('BASE COBRANÇAS'!O14:O1010,"DD/MM/AAAA")=
TEXT('BASE COBRANÇAS'!O14,"DD/MM/AAAA"))*
('BASE COBRANÇAS'!C14:C1010='BASE COBRANÇAS'!C14)*
('BASE COBRANÇAS'!C14:C1010&lt;&gt;"")*
('BASE COBRANÇAS'!C14:C1010&lt;&gt;"EM VIAGEM")*
('BASE COBRANÇAS'!C14:C1010&lt;&gt;"DESCONSIDERA, VALOR NÃO RASTREADO")*
('BASE COBRANÇAS'!C14:C1010&lt;&gt;"⚠️ ATENCAO - PROXIMO"),
""
)
)
),
"")</f>
        <v/>
      </c>
    </row>
    <row r="15" spans="1:1" ht="309">
      <c r="A15" s="39" t="str" cm="1">
        <f t="array" aca="1" ref="A15" ca="1">IFERROR(
IF(
MATCH(
'BASE COBRANÇAS'!F15&amp;
TEXT('BASE COBRANÇAS'!O15,"DD/MM/AAAA")&amp;
'BASE COBRANÇAS'!C15,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COBRANÇAS'!F15&amp;
CHAR(10)&amp;CHAR(10)&amp;
"⚠️ "&amp;'BASE COBRANÇAS'!C15&amp;
CHAR(10)&amp;
_xlfn.TEXTJOIN(
CHAR(10)&amp;CHAR(10),
TRUE,
_xlfn._xlws.FILTER(
"📦 "&amp;'BASE COBRANÇAS'!B15:B1011&amp;
" | 📅 "&amp;IF(
'BASE COBRANÇAS'!M15:M1011="",
"—",
TEXT('BASE COBRANÇAS'!M15:M1011,"DD/MM HH:MM")
)&amp;
" | 🗓️ "&amp;IF(
'BASE COBRANÇAS'!O15:O1011="",
"—",
TEXT('BASE COBRANÇAS'!O15:O1011,"DD/MM HH:MM")
)&amp;
CHAR(10)&amp;
"📍 "&amp;IF(
'BASE COBRANÇAS'!Q15:Q1011="",
"—",
'BASE COBRANÇAS'!Q15:Q1011
)&amp;
" - "&amp;IF(
'BASE COBRANÇAS'!T15:T1011="",
"—",
'BASE COBRANÇAS'!T15:T1011
),
('BASE COBRANÇAS'!F15:F1011='BASE COBRANÇAS'!F15)*
(TEXT('BASE COBRANÇAS'!O15:O1011,"DD/MM/AAAA")=
TEXT('BASE COBRANÇAS'!O15,"DD/MM/AAAA"))*
('BASE COBRANÇAS'!C15:C1011='BASE COBRANÇAS'!C15)*
('BASE COBRANÇAS'!C15:C1011&lt;&gt;"")*
('BASE COBRANÇAS'!C15:C1011&lt;&gt;"EM VIAGEM")*
('BASE COBRANÇAS'!C15:C1011&lt;&gt;"DESCONSIDERA, VALOR NÃO RASTREADO")*
('BASE COBRANÇAS'!C15:C1011&lt;&gt;"⚠️ ATENCAO - PROXIMO"),
""
)
)
),
"")</f>
        <v>🚛 STATUS TRANSPORTADORA
SMP DEVE SER CRIADA COM ATÉ 4 HORAS DE ANTECEDENCIA ANTES DO LOCAL DE CARREGAMENTO*
🏢 *Transportadora:* VIPE TRANSPO
⚠️ CARREGADO - SEM SMP
📦 6022059 | 📅 15/05 15:00 | 🗓️ 18/05 07:00
📍 FUJIOKA ELETRO IMAGEM S/A - 74675690 - GOIANIA/GO/BRASIL</v>
      </c>
    </row>
    <row r="16" spans="1:1" ht="309">
      <c r="A16" s="39" t="str" cm="1">
        <f t="array" aca="1" ref="A16" ca="1">IFERROR(
IF(
MATCH(
'BASE COBRANÇAS'!F16&amp;
TEXT('BASE COBRANÇAS'!O16,"DD/MM/AAAA")&amp;
'BASE COBRANÇAS'!C16,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COBRANÇAS'!F16&amp;
CHAR(10)&amp;CHAR(10)&amp;
"⚠️ "&amp;'BASE COBRANÇAS'!C16&amp;
CHAR(10)&amp;
_xlfn.TEXTJOIN(
CHAR(10)&amp;CHAR(10),
TRUE,
_xlfn._xlws.FILTER(
"📦 "&amp;'BASE COBRANÇAS'!B16:B1012&amp;
" | 📅 "&amp;IF(
'BASE COBRANÇAS'!M16:M1012="",
"—",
TEXT('BASE COBRANÇAS'!M16:M1012,"DD/MM HH:MM")
)&amp;
" | 🗓️ "&amp;IF(
'BASE COBRANÇAS'!O16:O1012="",
"—",
TEXT('BASE COBRANÇAS'!O16:O1012,"DD/MM HH:MM")
)&amp;
CHAR(10)&amp;
"📍 "&amp;IF(
'BASE COBRANÇAS'!Q16:Q1012="",
"—",
'BASE COBRANÇAS'!Q16:Q1012
)&amp;
" - "&amp;IF(
'BASE COBRANÇAS'!T16:T1012="",
"—",
'BASE COBRANÇAS'!T16:T1012
),
('BASE COBRANÇAS'!F16:F1012='BASE COBRANÇAS'!F16)*
(TEXT('BASE COBRANÇAS'!O16:O1012,"DD/MM/AAAA")=
TEXT('BASE COBRANÇAS'!O16,"DD/MM/AAAA"))*
('BASE COBRANÇAS'!C16:C1012='BASE COBRANÇAS'!C16)*
('BASE COBRANÇAS'!C16:C1012&lt;&gt;"")*
('BASE COBRANÇAS'!C16:C1012&lt;&gt;"EM VIAGEM")*
('BASE COBRANÇAS'!C16:C1012&lt;&gt;"DESCONSIDERA, VALOR NÃO RASTREADO")*
('BASE COBRANÇAS'!C16:C1012&lt;&gt;"⚠️ ATENCAO - PROXIMO"),
""
)
)
),
"")</f>
        <v>🚛 STATUS TRANSPORTADORA
SMP DEVE SER CRIADA COM ATÉ 4 HORAS DE ANTECEDENCIA ANTES DO LOCAL DE CARREGAMENTO*
🏢 *Transportadora:* BACHMANN TR
⚠️ OK - NO PRAZO
📦 6021731 | 📅 18/05 21:30 | 🗓️ 20/05 06:00
📍 GRUPO CASAS BAHIA S.A(CD1877) - 61935180 - MARACANAU/CE/BRASIL</v>
      </c>
    </row>
    <row r="17" spans="1:1" ht="309">
      <c r="A17" s="39" t="str" cm="1">
        <f t="array" aca="1" ref="A17" ca="1">IFERROR(
IF(
MATCH(
'BASE COBRANÇAS'!F17&amp;
TEXT('BASE COBRANÇAS'!O17,"DD/MM/AAAA")&amp;
'BASE COBRANÇAS'!C17,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COBRANÇAS'!F17&amp;
CHAR(10)&amp;CHAR(10)&amp;
"⚠️ "&amp;'BASE COBRANÇAS'!C17&amp;
CHAR(10)&amp;
_xlfn.TEXTJOIN(
CHAR(10)&amp;CHAR(10),
TRUE,
_xlfn._xlws.FILTER(
"📦 "&amp;'BASE COBRANÇAS'!B17:B1013&amp;
" | 📅 "&amp;IF(
'BASE COBRANÇAS'!M17:M1013="",
"—",
TEXT('BASE COBRANÇAS'!M17:M1013,"DD/MM HH:MM")
)&amp;
" | 🗓️ "&amp;IF(
'BASE COBRANÇAS'!O17:O1013="",
"—",
TEXT('BASE COBRANÇAS'!O17:O1013,"DD/MM HH:MM")
)&amp;
CHAR(10)&amp;
"📍 "&amp;IF(
'BASE COBRANÇAS'!Q17:Q1013="",
"—",
'BASE COBRANÇAS'!Q17:Q1013
)&amp;
" - "&amp;IF(
'BASE COBRANÇAS'!T17:T1013="",
"—",
'BASE COBRANÇAS'!T17:T1013
),
('BASE COBRANÇAS'!F17:F1013='BASE COBRANÇAS'!F17)*
(TEXT('BASE COBRANÇAS'!O17:O1013,"DD/MM/AAAA")=
TEXT('BASE COBRANÇAS'!O17,"DD/MM/AAAA"))*
('BASE COBRANÇAS'!C17:C1013='BASE COBRANÇAS'!C17)*
('BASE COBRANÇAS'!C17:C1013&lt;&gt;"")*
('BASE COBRANÇAS'!C17:C1013&lt;&gt;"EM VIAGEM")*
('BASE COBRANÇAS'!C17:C1013&lt;&gt;"DESCONSIDERA, VALOR NÃO RASTREADO")*
('BASE COBRANÇAS'!C17:C1013&lt;&gt;"⚠️ ATENCAO - PROXIMO"),
""
)
)
),
"")</f>
        <v>🚛 STATUS TRANSPORTADORA
SMP DEVE SER CRIADA COM ATÉ 4 HORAS DE ANTECEDENCIA ANTES DO LOCAL DE CARREGAMENTO*
🏢 *Transportadora:* TRANSKING
⚠️ ATRASADO CARREGAMENTO - SEM SMP
📦 6014898 | 📅 15/05 17:00 | 🗓️ 21/05 06:00
📍 ARMAZEM MATEUS S.A - 54503010 - CABO DE SANTO AGOSTINHO/PE/BRASIL
📦 6014892 | 📅 15/05 17:00 | 🗓️ 21/05 06:00
📍 ARMAZEM MATEUS S/A - 65099090 - SAO LUIS/MA/BRASIL</v>
      </c>
    </row>
    <row r="18" spans="1:1" ht="309">
      <c r="A18" s="39" t="str" cm="1">
        <f t="array" aca="1" ref="A18" ca="1">IFERROR(
IF(
MATCH(
'BASE COBRANÇAS'!F18&amp;
TEXT('BASE COBRANÇAS'!O18,"DD/MM/AAAA")&amp;
'BASE COBRANÇAS'!C18,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COBRANÇAS'!F18&amp;
CHAR(10)&amp;CHAR(10)&amp;
"⚠️ "&amp;'BASE COBRANÇAS'!C18&amp;
CHAR(10)&amp;
_xlfn.TEXTJOIN(
CHAR(10)&amp;CHAR(10),
TRUE,
_xlfn._xlws.FILTER(
"📦 "&amp;'BASE COBRANÇAS'!B18:B1014&amp;
" | 📅 "&amp;IF(
'BASE COBRANÇAS'!M18:M1014="",
"—",
TEXT('BASE COBRANÇAS'!M18:M1014,"DD/MM HH:MM")
)&amp;
" | 🗓️ "&amp;IF(
'BASE COBRANÇAS'!O18:O1014="",
"—",
TEXT('BASE COBRANÇAS'!O18:O1014,"DD/MM HH:MM")
)&amp;
CHAR(10)&amp;
"📍 "&amp;IF(
'BASE COBRANÇAS'!Q18:Q1014="",
"—",
'BASE COBRANÇAS'!Q18:Q1014
)&amp;
" - "&amp;IF(
'BASE COBRANÇAS'!T18:T1014="",
"—",
'BASE COBRANÇAS'!T18:T1014
),
('BASE COBRANÇAS'!F18:F1014='BASE COBRANÇAS'!F18)*
(TEXT('BASE COBRANÇAS'!O18:O1014,"DD/MM/AAAA")=
TEXT('BASE COBRANÇAS'!O18,"DD/MM/AAAA"))*
('BASE COBRANÇAS'!C18:C1014='BASE COBRANÇAS'!C18)*
('BASE COBRANÇAS'!C18:C1014&lt;&gt;"")*
('BASE COBRANÇAS'!C18:C1014&lt;&gt;"EM VIAGEM")*
('BASE COBRANÇAS'!C18:C1014&lt;&gt;"DESCONSIDERA, VALOR NÃO RASTREADO")*
('BASE COBRANÇAS'!C18:C1014&lt;&gt;"⚠️ ATENCAO - PROXIMO"),
""
)
)
),
"")</f>
        <v xml:space="preserve">🚛 STATUS TRANSPORTADORA
SMP DEVE SER CRIADA COM ATÉ 4 HORAS DE ANTECEDENCIA ANTES DO LOCAL DE CARREGAMENTO*
🏢 *Transportadora:* VIPE TRANSPO
⚠️ EM VIAGEM
</v>
      </c>
    </row>
    <row r="19" spans="1:1" ht="309">
      <c r="A19" s="39" t="str" cm="1">
        <f t="array" aca="1" ref="A19" ca="1">IFERROR(
IF(
MATCH(
'BASE COBRANÇAS'!F19&amp;
TEXT('BASE COBRANÇAS'!O19,"DD/MM/AAAA")&amp;
'BASE COBRANÇAS'!C19,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COBRANÇAS'!F19&amp;
CHAR(10)&amp;CHAR(10)&amp;
"⚠️ "&amp;'BASE COBRANÇAS'!C19&amp;
CHAR(10)&amp;
_xlfn.TEXTJOIN(
CHAR(10)&amp;CHAR(10),
TRUE,
_xlfn._xlws.FILTER(
"📦 "&amp;'BASE COBRANÇAS'!B19:B1015&amp;
" | 📅 "&amp;IF(
'BASE COBRANÇAS'!M19:M1015="",
"—",
TEXT('BASE COBRANÇAS'!M19:M1015,"DD/MM HH:MM")
)&amp;
" | 🗓️ "&amp;IF(
'BASE COBRANÇAS'!O19:O1015="",
"—",
TEXT('BASE COBRANÇAS'!O19:O1015,"DD/MM HH:MM")
)&amp;
CHAR(10)&amp;
"📍 "&amp;IF(
'BASE COBRANÇAS'!Q19:Q1015="",
"—",
'BASE COBRANÇAS'!Q19:Q1015
)&amp;
" - "&amp;IF(
'BASE COBRANÇAS'!T19:T1015="",
"—",
'BASE COBRANÇAS'!T19:T1015
),
('BASE COBRANÇAS'!F19:F1015='BASE COBRANÇAS'!F19)*
(TEXT('BASE COBRANÇAS'!O19:O1015,"DD/MM/AAAA")=
TEXT('BASE COBRANÇAS'!O19,"DD/MM/AAAA"))*
('BASE COBRANÇAS'!C19:C1015='BASE COBRANÇAS'!C19)*
('BASE COBRANÇAS'!C19:C1015&lt;&gt;"")*
('BASE COBRANÇAS'!C19:C1015&lt;&gt;"EM VIAGEM")*
('BASE COBRANÇAS'!C19:C1015&lt;&gt;"DESCONSIDERA, VALOR NÃO RASTREADO")*
('BASE COBRANÇAS'!C19:C1015&lt;&gt;"⚠️ ATENCAO - PROXIMO"),
""
)
)
),
"")</f>
        <v>🚛 STATUS TRANSPORTADORA
SMP DEVE SER CRIADA COM ATÉ 4 HORAS DE ANTECEDENCIA ANTES DO LOCAL DE CARREGAMENTO*
🏢 *Transportadora:* WSC
⚠️ ATRASADO CARREGAMENTO - SEM SMP
📦 6022060 | 📅 15/05 20:00 | 🗓️ 18/05 07:00
📍 FUJIOKA ELETRO IMAGEM S/A - 74675690 - GOIANIA/GO/BRASIL
📦 6022061 | 📅 15/05 20:00 | 🗓️ 18/05 07:00
📍 FUJIOKA ELETRO IMAGEM S/A - 74675690 - GOIANIA/GO/BRASIL</v>
      </c>
    </row>
    <row r="20" spans="1:1" ht="309">
      <c r="A20" s="39" t="str" cm="1">
        <f t="array" aca="1" ref="A20" ca="1">IFERROR(
IF(
MATCH(
'BASE COBRANÇAS'!F20&amp;
TEXT('BASE COBRANÇAS'!O20,"DD/MM/AAAA")&amp;
'BASE COBRANÇAS'!C20,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COBRANÇAS'!F20&amp;
CHAR(10)&amp;CHAR(10)&amp;
"⚠️ "&amp;'BASE COBRANÇAS'!C20&amp;
CHAR(10)&amp;
_xlfn.TEXTJOIN(
CHAR(10)&amp;CHAR(10),
TRUE,
_xlfn._xlws.FILTER(
"📦 "&amp;'BASE COBRANÇAS'!B20:B1016&amp;
" | 📅 "&amp;IF(
'BASE COBRANÇAS'!M20:M1016="",
"—",
TEXT('BASE COBRANÇAS'!M20:M1016,"DD/MM HH:MM")
)&amp;
" | 🗓️ "&amp;IF(
'BASE COBRANÇAS'!O20:O1016="",
"—",
TEXT('BASE COBRANÇAS'!O20:O1016,"DD/MM HH:MM")
)&amp;
CHAR(10)&amp;
"📍 "&amp;IF(
'BASE COBRANÇAS'!Q20:Q1016="",
"—",
'BASE COBRANÇAS'!Q20:Q1016
)&amp;
" - "&amp;IF(
'BASE COBRANÇAS'!T20:T1016="",
"—",
'BASE COBRANÇAS'!T20:T1016
),
('BASE COBRANÇAS'!F20:F1016='BASE COBRANÇAS'!F20)*
(TEXT('BASE COBRANÇAS'!O20:O1016,"DD/MM/AAAA")=
TEXT('BASE COBRANÇAS'!O20,"DD/MM/AAAA"))*
('BASE COBRANÇAS'!C20:C1016='BASE COBRANÇAS'!C20)*
('BASE COBRANÇAS'!C20:C1016&lt;&gt;"")*
('BASE COBRANÇAS'!C20:C1016&lt;&gt;"EM VIAGEM")*
('BASE COBRANÇAS'!C20:C1016&lt;&gt;"DESCONSIDERA, VALOR NÃO RASTREADO")*
('BASE COBRANÇAS'!C20:C1016&lt;&gt;"⚠️ ATENCAO - PROXIMO"),
""
)
)
),
"")</f>
        <v>🚛 STATUS TRANSPORTADORA
SMP DEVE SER CRIADA COM ATÉ 4 HORAS DE ANTECEDENCIA ANTES DO LOCAL DE CARREGAMENTO*
🏢 *Transportadora:* NIKA
⚠️ OK - NO PRAZO
📦 6021675 | 📅 18/05 16:00 | 🗓️ 19/05 06:00
📍 GRUPO CASAS BAHIA S.A(CD1401) - 25255030 - DUQUE DE CAXIAS/RJ/BRASIL
📦 6021676 | 📅 18/05 16:00 | 🗓️ 19/05 06:00
📍 GRUPO CASAS BAHIA S.A(CD1401) - 25255030 - DUQUE DE CAXIAS/RJ/BRASIL</v>
      </c>
    </row>
    <row r="21" spans="1:1" ht="309">
      <c r="A21" s="39" t="str" cm="1">
        <f t="array" aca="1" ref="A21" ca="1">IFERROR(
IF(
MATCH(
'BASE COBRANÇAS'!F21&amp;
TEXT('BASE COBRANÇAS'!O21,"DD/MM/AAAA")&amp;
'BASE COBRANÇAS'!C21,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COBRANÇAS'!F21&amp;
CHAR(10)&amp;CHAR(10)&amp;
"⚠️ "&amp;'BASE COBRANÇAS'!C21&amp;
CHAR(10)&amp;
_xlfn.TEXTJOIN(
CHAR(10)&amp;CHAR(10),
TRUE,
_xlfn._xlws.FILTER(
"📦 "&amp;'BASE COBRANÇAS'!B21:B1017&amp;
" | 📅 "&amp;IF(
'BASE COBRANÇAS'!M21:M1017="",
"—",
TEXT('BASE COBRANÇAS'!M21:M1017,"DD/MM HH:MM")
)&amp;
" | 🗓️ "&amp;IF(
'BASE COBRANÇAS'!O21:O1017="",
"—",
TEXT('BASE COBRANÇAS'!O21:O1017,"DD/MM HH:MM")
)&amp;
CHAR(10)&amp;
"📍 "&amp;IF(
'BASE COBRANÇAS'!Q21:Q1017="",
"—",
'BASE COBRANÇAS'!Q21:Q1017
)&amp;
" - "&amp;IF(
'BASE COBRANÇAS'!T21:T1017="",
"—",
'BASE COBRANÇAS'!T21:T1017
),
('BASE COBRANÇAS'!F21:F1017='BASE COBRANÇAS'!F21)*
(TEXT('BASE COBRANÇAS'!O21:O1017,"DD/MM/AAAA")=
TEXT('BASE COBRANÇAS'!O21,"DD/MM/AAAA"))*
('BASE COBRANÇAS'!C21:C1017='BASE COBRANÇAS'!C21)*
('BASE COBRANÇAS'!C21:C1017&lt;&gt;"")*
('BASE COBRANÇAS'!C21:C1017&lt;&gt;"EM VIAGEM")*
('BASE COBRANÇAS'!C21:C1017&lt;&gt;"DESCONSIDERA, VALOR NÃO RASTREADO")*
('BASE COBRANÇAS'!C21:C1017&lt;&gt;"⚠️ ATENCAO - PROXIMO"),
""
)
)
),
"")</f>
        <v/>
      </c>
    </row>
    <row r="22" spans="1:1" ht="309">
      <c r="A22" s="39" t="str" cm="1">
        <f t="array" aca="1" ref="A22" ca="1">IFERROR(
IF(
MATCH(
'BASE COBRANÇAS'!F22&amp;
TEXT('BASE COBRANÇAS'!O22,"DD/MM/AAAA")&amp;
'BASE COBRANÇAS'!C22,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COBRANÇAS'!F22&amp;
CHAR(10)&amp;CHAR(10)&amp;
"⚠️ "&amp;'BASE COBRANÇAS'!C22&amp;
CHAR(10)&amp;
_xlfn.TEXTJOIN(
CHAR(10)&amp;CHAR(10),
TRUE,
_xlfn._xlws.FILTER(
"📦 "&amp;'BASE COBRANÇAS'!B22:B1018&amp;
" | 📅 "&amp;IF(
'BASE COBRANÇAS'!M22:M1018="",
"—",
TEXT('BASE COBRANÇAS'!M22:M1018,"DD/MM HH:MM")
)&amp;
" | 🗓️ "&amp;IF(
'BASE COBRANÇAS'!O22:O1018="",
"—",
TEXT('BASE COBRANÇAS'!O22:O1018,"DD/MM HH:MM")
)&amp;
CHAR(10)&amp;
"📍 "&amp;IF(
'BASE COBRANÇAS'!Q22:Q1018="",
"—",
'BASE COBRANÇAS'!Q22:Q1018
)&amp;
" - "&amp;IF(
'BASE COBRANÇAS'!T22:T1018="",
"—",
'BASE COBRANÇAS'!T22:T1018
),
('BASE COBRANÇAS'!F22:F1018='BASE COBRANÇAS'!F22)*
(TEXT('BASE COBRANÇAS'!O22:O1018,"DD/MM/AAAA")=
TEXT('BASE COBRANÇAS'!O22,"DD/MM/AAAA"))*
('BASE COBRANÇAS'!C22:C1018='BASE COBRANÇAS'!C22)*
('BASE COBRANÇAS'!C22:C1018&lt;&gt;"")*
('BASE COBRANÇAS'!C22:C1018&lt;&gt;"EM VIAGEM")*
('BASE COBRANÇAS'!C22:C1018&lt;&gt;"DESCONSIDERA, VALOR NÃO RASTREADO")*
('BASE COBRANÇAS'!C22:C1018&lt;&gt;"⚠️ ATENCAO - PROXIMO"),
""
)
)
),
"")</f>
        <v/>
      </c>
    </row>
    <row r="23" spans="1:1" ht="309">
      <c r="A23" s="39" t="str" cm="1">
        <f t="array" aca="1" ref="A23" ca="1">IFERROR(
IF(
MATCH(
'BASE COBRANÇAS'!F23&amp;
TEXT('BASE COBRANÇAS'!O23,"DD/MM/AAAA")&amp;
'BASE COBRANÇAS'!C23,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COBRANÇAS'!F23&amp;
CHAR(10)&amp;CHAR(10)&amp;
"⚠️ "&amp;'BASE COBRANÇAS'!C23&amp;
CHAR(10)&amp;
_xlfn.TEXTJOIN(
CHAR(10)&amp;CHAR(10),
TRUE,
_xlfn._xlws.FILTER(
"📦 "&amp;'BASE COBRANÇAS'!B23:B1019&amp;
" | 📅 "&amp;IF(
'BASE COBRANÇAS'!M23:M1019="",
"—",
TEXT('BASE COBRANÇAS'!M23:M1019,"DD/MM HH:MM")
)&amp;
" | 🗓️ "&amp;IF(
'BASE COBRANÇAS'!O23:O1019="",
"—",
TEXT('BASE COBRANÇAS'!O23:O1019,"DD/MM HH:MM")
)&amp;
CHAR(10)&amp;
"📍 "&amp;IF(
'BASE COBRANÇAS'!Q23:Q1019="",
"—",
'BASE COBRANÇAS'!Q23:Q1019
)&amp;
" - "&amp;IF(
'BASE COBRANÇAS'!T23:T1019="",
"—",
'BASE COBRANÇAS'!T23:T1019
),
('BASE COBRANÇAS'!F23:F1019='BASE COBRANÇAS'!F23)*
(TEXT('BASE COBRANÇAS'!O23:O1019,"DD/MM/AAAA")=
TEXT('BASE COBRANÇAS'!O23,"DD/MM/AAAA"))*
('BASE COBRANÇAS'!C23:C1019='BASE COBRANÇAS'!C23)*
('BASE COBRANÇAS'!C23:C1019&lt;&gt;"")*
('BASE COBRANÇAS'!C23:C1019&lt;&gt;"EM VIAGEM")*
('BASE COBRANÇAS'!C23:C1019&lt;&gt;"DESCONSIDERA, VALOR NÃO RASTREADO")*
('BASE COBRANÇAS'!C23:C1019&lt;&gt;"⚠️ ATENCAO - PROXIMO"),
""
)
)
),
"")</f>
        <v>🚛 STATUS TRANSPORTADORA
SMP DEVE SER CRIADA COM ATÉ 4 HORAS DE ANTECEDENCIA ANTES DO LOCAL DE CARREGAMENTO*
🏢 *Transportadora:* MINAS SUL
⚠️ OK - NO PRAZO
📦 6023170 | 📅 18/05 20:00 | 🗓️ 19/05 08:00
📍 UNIAR COMÉRCIO DE ELETRO-ELETRÔNICOS E SERVIÇOS LTDA - 37640000 - EXTREMA/MG/BRASIL
📦 6023167 | 📅 18/05 20:00 | 🗓️ 19/05 08:00
📍 UNIAR COMÉRCIO DE ELETRO-ELETRÔNICOS E SERVIÇOS LTDA - 37640000 - EXTREMA/MG/BRASIL
📦 6023017 | 📅 18/05 14:00 | 🗓️ 19/05 23:00
📍 GRUPO CASAS BAHIA S.A(CD1500) - 09790400 - SAO BERNARDO DO CAMPO/SP/BRASIL</v>
      </c>
    </row>
    <row r="24" spans="1:1" ht="309">
      <c r="A24" s="39" t="str" cm="1">
        <f t="array" aca="1" ref="A24" ca="1">IFERROR(
IF(
MATCH(
'BASE COBRANÇAS'!F24&amp;
TEXT('BASE COBRANÇAS'!O24,"DD/MM/AAAA")&amp;
'BASE COBRANÇAS'!C24,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COBRANÇAS'!F24&amp;
CHAR(10)&amp;CHAR(10)&amp;
"⚠️ "&amp;'BASE COBRANÇAS'!C24&amp;
CHAR(10)&amp;
_xlfn.TEXTJOIN(
CHAR(10)&amp;CHAR(10),
TRUE,
_xlfn._xlws.FILTER(
"📦 "&amp;'BASE COBRANÇAS'!B24:B1020&amp;
" | 📅 "&amp;IF(
'BASE COBRANÇAS'!M24:M1020="",
"—",
TEXT('BASE COBRANÇAS'!M24:M1020,"DD/MM HH:MM")
)&amp;
" | 🗓️ "&amp;IF(
'BASE COBRANÇAS'!O24:O1020="",
"—",
TEXT('BASE COBRANÇAS'!O24:O1020,"DD/MM HH:MM")
)&amp;
CHAR(10)&amp;
"📍 "&amp;IF(
'BASE COBRANÇAS'!Q24:Q1020="",
"—",
'BASE COBRANÇAS'!Q24:Q1020
)&amp;
" - "&amp;IF(
'BASE COBRANÇAS'!T24:T1020="",
"—",
'BASE COBRANÇAS'!T24:T1020
),
('BASE COBRANÇAS'!F24:F1020='BASE COBRANÇAS'!F24)*
(TEXT('BASE COBRANÇAS'!O24:O1020,"DD/MM/AAAA")=
TEXT('BASE COBRANÇAS'!O24,"DD/MM/AAAA"))*
('BASE COBRANÇAS'!C24:C1020='BASE COBRANÇAS'!C24)*
('BASE COBRANÇAS'!C24:C1020&lt;&gt;"")*
('BASE COBRANÇAS'!C24:C1020&lt;&gt;"EM VIAGEM")*
('BASE COBRANÇAS'!C24:C1020&lt;&gt;"DESCONSIDERA, VALOR NÃO RASTREADO")*
('BASE COBRANÇAS'!C24:C1020&lt;&gt;"⚠️ ATENCAO - PROXIMO"),
""
)
)
),
"")</f>
        <v>🚛 STATUS TRANSPORTADORA
SMP DEVE SER CRIADA COM ATÉ 4 HORAS DE ANTECEDENCIA ANTES DO LOCAL DE CARREGAMENTO*
🏢 *Transportadora:* WSC
⚠️ ATRASADO CARREGAMENTO - SEM SMP
📦 6011820 | 📅 15/05 20:00 | 🗓️ 22/05 06:00
📍 FERREIRA COSTA &amp; CIA LTDA - 58320000 - ALHANDRA/PB/BRASIL</v>
      </c>
    </row>
    <row r="25" spans="1:1" ht="309">
      <c r="A25" s="39" t="str" cm="1">
        <f t="array" aca="1" ref="A25" ca="1">IFERROR(
IF(
MATCH(
'BASE COBRANÇAS'!F25&amp;
TEXT('BASE COBRANÇAS'!O25,"DD/MM/AAAA")&amp;
'BASE COBRANÇAS'!C25,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COBRANÇAS'!F25&amp;
CHAR(10)&amp;CHAR(10)&amp;
"⚠️ "&amp;'BASE COBRANÇAS'!C25&amp;
CHAR(10)&amp;
_xlfn.TEXTJOIN(
CHAR(10)&amp;CHAR(10),
TRUE,
_xlfn._xlws.FILTER(
"📦 "&amp;'BASE COBRANÇAS'!B25:B1021&amp;
" | 📅 "&amp;IF(
'BASE COBRANÇAS'!M25:M1021="",
"—",
TEXT('BASE COBRANÇAS'!M25:M1021,"DD/MM HH:MM")
)&amp;
" | 🗓️ "&amp;IF(
'BASE COBRANÇAS'!O25:O1021="",
"—",
TEXT('BASE COBRANÇAS'!O25:O1021,"DD/MM HH:MM")
)&amp;
CHAR(10)&amp;
"📍 "&amp;IF(
'BASE COBRANÇAS'!Q25:Q1021="",
"—",
'BASE COBRANÇAS'!Q25:Q1021
)&amp;
" - "&amp;IF(
'BASE COBRANÇAS'!T25:T1021="",
"—",
'BASE COBRANÇAS'!T25:T1021
),
('BASE COBRANÇAS'!F25:F1021='BASE COBRANÇAS'!F25)*
(TEXT('BASE COBRANÇAS'!O25:O1021,"DD/MM/AAAA")=
TEXT('BASE COBRANÇAS'!O25,"DD/MM/AAAA"))*
('BASE COBRANÇAS'!C25:C1021='BASE COBRANÇAS'!C25)*
('BASE COBRANÇAS'!C25:C1021&lt;&gt;"")*
('BASE COBRANÇAS'!C25:C1021&lt;&gt;"EM VIAGEM")*
('BASE COBRANÇAS'!C25:C1021&lt;&gt;"DESCONSIDERA, VALOR NÃO RASTREADO")*
('BASE COBRANÇAS'!C25:C1021&lt;&gt;"⚠️ ATENCAO - PROXIMO"),
""
)
)
),
"")</f>
        <v xml:space="preserve">🚛 STATUS TRANSPORTADORA
SMP DEVE SER CRIADA COM ATÉ 4 HORAS DE ANTECEDENCIA ANTES DO LOCAL DE CARREGAMENTO*
🏢 *Transportadora:* NEW LOG
⚠️ EM VIAGEM
</v>
      </c>
    </row>
    <row r="26" spans="1:1" ht="309">
      <c r="A26" s="39" t="str" cm="1">
        <f t="array" aca="1" ref="A26" ca="1">IFERROR(
IF(
MATCH(
'BASE COBRANÇAS'!F26&amp;
TEXT('BASE COBRANÇAS'!O26,"DD/MM/AAAA")&amp;
'BASE COBRANÇAS'!C26,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COBRANÇAS'!F26&amp;
CHAR(10)&amp;CHAR(10)&amp;
"⚠️ "&amp;'BASE COBRANÇAS'!C26&amp;
CHAR(10)&amp;
_xlfn.TEXTJOIN(
CHAR(10)&amp;CHAR(10),
TRUE,
_xlfn._xlws.FILTER(
"📦 "&amp;'BASE COBRANÇAS'!B26:B1022&amp;
" | 📅 "&amp;IF(
'BASE COBRANÇAS'!M26:M1022="",
"—",
TEXT('BASE COBRANÇAS'!M26:M1022,"DD/MM HH:MM")
)&amp;
" | 🗓️ "&amp;IF(
'BASE COBRANÇAS'!O26:O1022="",
"—",
TEXT('BASE COBRANÇAS'!O26:O1022,"DD/MM HH:MM")
)&amp;
CHAR(10)&amp;
"📍 "&amp;IF(
'BASE COBRANÇAS'!Q26:Q1022="",
"—",
'BASE COBRANÇAS'!Q26:Q1022
)&amp;
" - "&amp;IF(
'BASE COBRANÇAS'!T26:T1022="",
"—",
'BASE COBRANÇAS'!T26:T1022
),
('BASE COBRANÇAS'!F26:F1022='BASE COBRANÇAS'!F26)*
(TEXT('BASE COBRANÇAS'!O26:O1022,"DD/MM/AAAA")=
TEXT('BASE COBRANÇAS'!O26,"DD/MM/AAAA"))*
('BASE COBRANÇAS'!C26:C1022='BASE COBRANÇAS'!C26)*
('BASE COBRANÇAS'!C26:C1022&lt;&gt;"")*
('BASE COBRANÇAS'!C26:C1022&lt;&gt;"EM VIAGEM")*
('BASE COBRANÇAS'!C26:C1022&lt;&gt;"DESCONSIDERA, VALOR NÃO RASTREADO")*
('BASE COBRANÇAS'!C26:C1022&lt;&gt;"⚠️ ATENCAO - PROXIMO"),
""
)
)
),
"")</f>
        <v>🚛 STATUS TRANSPORTADORA
SMP DEVE SER CRIADA COM ATÉ 4 HORAS DE ANTECEDENCIA ANTES DO LOCAL DE CARREGAMENTO*
🏢 *Transportadora:* RODOPENHA
⚠️ OK - NO PRAZO
📦 6013093 | 📅 19/05 01:30 | 🗓️ 19/05 06:00
📍 N CLAUDINO - 58105182 - CABEDELO/PB/BRASIL</v>
      </c>
    </row>
    <row r="27" spans="1:1" ht="309">
      <c r="A27" s="39" t="str" cm="1">
        <f t="array" aca="1" ref="A27" ca="1">IFERROR(
IF(
MATCH(
'BASE COBRANÇAS'!F27&amp;
TEXT('BASE COBRANÇAS'!O27,"DD/MM/AAAA")&amp;
'BASE COBRANÇAS'!C27,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COBRANÇAS'!F27&amp;
CHAR(10)&amp;CHAR(10)&amp;
"⚠️ "&amp;'BASE COBRANÇAS'!C27&amp;
CHAR(10)&amp;
_xlfn.TEXTJOIN(
CHAR(10)&amp;CHAR(10),
TRUE,
_xlfn._xlws.FILTER(
"📦 "&amp;'BASE COBRANÇAS'!B27:B1023&amp;
" | 📅 "&amp;IF(
'BASE COBRANÇAS'!M27:M1023="",
"—",
TEXT('BASE COBRANÇAS'!M27:M1023,"DD/MM HH:MM")
)&amp;
" | 🗓️ "&amp;IF(
'BASE COBRANÇAS'!O27:O1023="",
"—",
TEXT('BASE COBRANÇAS'!O27:O1023,"DD/MM HH:MM")
)&amp;
CHAR(10)&amp;
"📍 "&amp;IF(
'BASE COBRANÇAS'!Q27:Q1023="",
"—",
'BASE COBRANÇAS'!Q27:Q1023
)&amp;
" - "&amp;IF(
'BASE COBRANÇAS'!T27:T1023="",
"—",
'BASE COBRANÇAS'!T27:T1023
),
('BASE COBRANÇAS'!F27:F1023='BASE COBRANÇAS'!F27)*
(TEXT('BASE COBRANÇAS'!O27:O1023,"DD/MM/AAAA")=
TEXT('BASE COBRANÇAS'!O27,"DD/MM/AAAA"))*
('BASE COBRANÇAS'!C27:C1023='BASE COBRANÇAS'!C27)*
('BASE COBRANÇAS'!C27:C1023&lt;&gt;"")*
('BASE COBRANÇAS'!C27:C1023&lt;&gt;"EM VIAGEM")*
('BASE COBRANÇAS'!C27:C1023&lt;&gt;"DESCONSIDERA, VALOR NÃO RASTREADO")*
('BASE COBRANÇAS'!C27:C1023&lt;&gt;"⚠️ ATENCAO - PROXIMO"),
""
)
)
),
"")</f>
        <v xml:space="preserve">🚛 STATUS TRANSPORTADORA
SMP DEVE SER CRIADA COM ATÉ 4 HORAS DE ANTECEDENCIA ANTES DO LOCAL DE CARREGAMENTO*
🏢 *Transportadora:* TRANSKING
⚠️ EM VIAGEM
</v>
      </c>
    </row>
    <row r="28" spans="1:1" ht="309">
      <c r="A28" s="39" t="str" cm="1">
        <f t="array" aca="1" ref="A28" ca="1">IFERROR(
IF(
MATCH(
'BASE COBRANÇAS'!F28&amp;
TEXT('BASE COBRANÇAS'!O28,"DD/MM/AAAA")&amp;
'BASE COBRANÇAS'!C28,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COBRANÇAS'!F28&amp;
CHAR(10)&amp;CHAR(10)&amp;
"⚠️ "&amp;'BASE COBRANÇAS'!C28&amp;
CHAR(10)&amp;
_xlfn.TEXTJOIN(
CHAR(10)&amp;CHAR(10),
TRUE,
_xlfn._xlws.FILTER(
"📦 "&amp;'BASE COBRANÇAS'!B28:B1024&amp;
" | 📅 "&amp;IF(
'BASE COBRANÇAS'!M28:M1024="",
"—",
TEXT('BASE COBRANÇAS'!M28:M1024,"DD/MM HH:MM")
)&amp;
" | 🗓️ "&amp;IF(
'BASE COBRANÇAS'!O28:O1024="",
"—",
TEXT('BASE COBRANÇAS'!O28:O1024,"DD/MM HH:MM")
)&amp;
CHAR(10)&amp;
"📍 "&amp;IF(
'BASE COBRANÇAS'!Q28:Q1024="",
"—",
'BASE COBRANÇAS'!Q28:Q1024
)&amp;
" - "&amp;IF(
'BASE COBRANÇAS'!T28:T1024="",
"—",
'BASE COBRANÇAS'!T28:T1024
),
('BASE COBRANÇAS'!F28:F1024='BASE COBRANÇAS'!F28)*
(TEXT('BASE COBRANÇAS'!O28:O1024,"DD/MM/AAAA")=
TEXT('BASE COBRANÇAS'!O28,"DD/MM/AAAA"))*
('BASE COBRANÇAS'!C28:C1024='BASE COBRANÇAS'!C28)*
('BASE COBRANÇAS'!C28:C1024&lt;&gt;"")*
('BASE COBRANÇAS'!C28:C1024&lt;&gt;"EM VIAGEM")*
('BASE COBRANÇAS'!C28:C1024&lt;&gt;"DESCONSIDERA, VALOR NÃO RASTREADO")*
('BASE COBRANÇAS'!C28:C1024&lt;&gt;"⚠️ ATENCAO - PROXIMO"),
""
)
)
),
"")</f>
        <v xml:space="preserve">🚛 STATUS TRANSPORTADORA
SMP DEVE SER CRIADA COM ATÉ 4 HORAS DE ANTECEDENCIA ANTES DO LOCAL DE CARREGAMENTO*
🏢 *Transportadora:* BENDINI LOGI
⚠️ EM VIAGEM
</v>
      </c>
    </row>
    <row r="29" spans="1:1" ht="309">
      <c r="A29" s="39" t="str" cm="1">
        <f t="array" aca="1" ref="A29" ca="1">IFERROR(
IF(
MATCH(
'BASE COBRANÇAS'!F29&amp;
TEXT('BASE COBRANÇAS'!O29,"DD/MM/AAAA")&amp;
'BASE COBRANÇAS'!C29,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COBRANÇAS'!F29&amp;
CHAR(10)&amp;CHAR(10)&amp;
"⚠️ "&amp;'BASE COBRANÇAS'!C29&amp;
CHAR(10)&amp;
_xlfn.TEXTJOIN(
CHAR(10)&amp;CHAR(10),
TRUE,
_xlfn._xlws.FILTER(
"📦 "&amp;'BASE COBRANÇAS'!B29:B1025&amp;
" | 📅 "&amp;IF(
'BASE COBRANÇAS'!M29:M1025="",
"—",
TEXT('BASE COBRANÇAS'!M29:M1025,"DD/MM HH:MM")
)&amp;
" | 🗓️ "&amp;IF(
'BASE COBRANÇAS'!O29:O1025="",
"—",
TEXT('BASE COBRANÇAS'!O29:O1025,"DD/MM HH:MM")
)&amp;
CHAR(10)&amp;
"📍 "&amp;IF(
'BASE COBRANÇAS'!Q29:Q1025="",
"—",
'BASE COBRANÇAS'!Q29:Q1025
)&amp;
" - "&amp;IF(
'BASE COBRANÇAS'!T29:T1025="",
"—",
'BASE COBRANÇAS'!T29:T1025
),
('BASE COBRANÇAS'!F29:F1025='BASE COBRANÇAS'!F29)*
(TEXT('BASE COBRANÇAS'!O29:O1025,"DD/MM/AAAA")=
TEXT('BASE COBRANÇAS'!O29,"DD/MM/AAAA"))*
('BASE COBRANÇAS'!C29:C1025='BASE COBRANÇAS'!C29)*
('BASE COBRANÇAS'!C29:C1025&lt;&gt;"")*
('BASE COBRANÇAS'!C29:C1025&lt;&gt;"EM VIAGEM")*
('BASE COBRANÇAS'!C29:C1025&lt;&gt;"DESCONSIDERA, VALOR NÃO RASTREADO")*
('BASE COBRANÇAS'!C29:C1025&lt;&gt;"⚠️ ATENCAO - PROXIMO"),
""
)
)
),
"")</f>
        <v/>
      </c>
    </row>
    <row r="30" spans="1:1" ht="309">
      <c r="A30" s="39" t="str" cm="1">
        <f t="array" aca="1" ref="A30" ca="1">IFERROR(
IF(
MATCH(
'BASE COBRANÇAS'!F30&amp;
TEXT('BASE COBRANÇAS'!O30,"DD/MM/AAAA")&amp;
'BASE COBRANÇAS'!C30,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COBRANÇAS'!F30&amp;
CHAR(10)&amp;CHAR(10)&amp;
"⚠️ "&amp;'BASE COBRANÇAS'!C30&amp;
CHAR(10)&amp;
_xlfn.TEXTJOIN(
CHAR(10)&amp;CHAR(10),
TRUE,
_xlfn._xlws.FILTER(
"📦 "&amp;'BASE COBRANÇAS'!B30:B1026&amp;
" | 📅 "&amp;IF(
'BASE COBRANÇAS'!M30:M1026="",
"—",
TEXT('BASE COBRANÇAS'!M30:M1026,"DD/MM HH:MM")
)&amp;
" | 🗓️ "&amp;IF(
'BASE COBRANÇAS'!O30:O1026="",
"—",
TEXT('BASE COBRANÇAS'!O30:O1026,"DD/MM HH:MM")
)&amp;
CHAR(10)&amp;
"📍 "&amp;IF(
'BASE COBRANÇAS'!Q30:Q1026="",
"—",
'BASE COBRANÇAS'!Q30:Q1026
)&amp;
" - "&amp;IF(
'BASE COBRANÇAS'!T30:T1026="",
"—",
'BASE COBRANÇAS'!T30:T1026
),
('BASE COBRANÇAS'!F30:F1026='BASE COBRANÇAS'!F30)*
(TEXT('BASE COBRANÇAS'!O30:O1026,"DD/MM/AAAA")=
TEXT('BASE COBRANÇAS'!O30,"DD/MM/AAAA"))*
('BASE COBRANÇAS'!C30:C1026='BASE COBRANÇAS'!C30)*
('BASE COBRANÇAS'!C30:C1026&lt;&gt;"")*
('BASE COBRANÇAS'!C30:C1026&lt;&gt;"EM VIAGEM")*
('BASE COBRANÇAS'!C30:C1026&lt;&gt;"DESCONSIDERA, VALOR NÃO RASTREADO")*
('BASE COBRANÇAS'!C30:C1026&lt;&gt;"⚠️ ATENCAO - PROXIMO"),
""
)
)
),
"")</f>
        <v>🚛 STATUS TRANSPORTADORA
SMP DEVE SER CRIADA COM ATÉ 4 HORAS DE ANTECEDENCIA ANTES DO LOCAL DE CARREGAMENTO*
🏢 *Transportadora:* RODOBRAS TR
⚠️ OK - NO PRAZO
📦 6023024 | 📅 18/05 11:00 | 🗓️ 20/05 06:00
📍 GRUPO CASAS BAHIA S.A(CD1200) - 13203850 - JUNDIAI/SP/BRASIL
📦 6023023 | 📅 18/05 12:00 | 🗓️ 20/05 06:00
📍 GRUPO CASAS BAHIA S.A(CD1200) - 13203850 - JUNDIAI/SP/BRASIL
📦 6015351 | 📅 18/05 14:00 | 🗓️ 20/05 08:00
📍 CARREFOUR COMERCIO E INDUSTRIA LTDA - 07789100 - CAJAMAR/SP/BRASIL
📦 6023033 | 📅 18/05 10:00 | 🗓️ 20/05 06:00
📍 GRUPO CASAS BAHIA S.A(CD1475) - 83085058 - SAO JOSE DOS PINHAIS/PR/BRASIL</v>
      </c>
    </row>
    <row r="31" spans="1:1" ht="309">
      <c r="A31" s="39" t="str" cm="1">
        <f t="array" aca="1" ref="A31" ca="1">IFERROR(
IF(
MATCH(
'BASE COBRANÇAS'!F31&amp;
TEXT('BASE COBRANÇAS'!O31,"DD/MM/AAAA")&amp;
'BASE COBRANÇAS'!C31,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COBRANÇAS'!F31&amp;
CHAR(10)&amp;CHAR(10)&amp;
"⚠️ "&amp;'BASE COBRANÇAS'!C31&amp;
CHAR(10)&amp;
_xlfn.TEXTJOIN(
CHAR(10)&amp;CHAR(10),
TRUE,
_xlfn._xlws.FILTER(
"📦 "&amp;'BASE COBRANÇAS'!B31:B1027&amp;
" | 📅 "&amp;IF(
'BASE COBRANÇAS'!M31:M1027="",
"—",
TEXT('BASE COBRANÇAS'!M31:M1027,"DD/MM HH:MM")
)&amp;
" | 🗓️ "&amp;IF(
'BASE COBRANÇAS'!O31:O1027="",
"—",
TEXT('BASE COBRANÇAS'!O31:O1027,"DD/MM HH:MM")
)&amp;
CHAR(10)&amp;
"📍 "&amp;IF(
'BASE COBRANÇAS'!Q31:Q1027="",
"—",
'BASE COBRANÇAS'!Q31:Q1027
)&amp;
" - "&amp;IF(
'BASE COBRANÇAS'!T31:T1027="",
"—",
'BASE COBRANÇAS'!T31:T1027
),
('BASE COBRANÇAS'!F31:F1027='BASE COBRANÇAS'!F31)*
(TEXT('BASE COBRANÇAS'!O31:O1027,"DD/MM/AAAA")=
TEXT('BASE COBRANÇAS'!O31,"DD/MM/AAAA"))*
('BASE COBRANÇAS'!C31:C1027='BASE COBRANÇAS'!C31)*
('BASE COBRANÇAS'!C31:C1027&lt;&gt;"")*
('BASE COBRANÇAS'!C31:C1027&lt;&gt;"EM VIAGEM")*
('BASE COBRANÇAS'!C31:C1027&lt;&gt;"DESCONSIDERA, VALOR NÃO RASTREADO")*
('BASE COBRANÇAS'!C31:C1027&lt;&gt;"⚠️ ATENCAO - PROXIMO"),
""
)
)
),
"")</f>
        <v>🚛 STATUS TRANSPORTADORA
SMP DEVE SER CRIADA COM ATÉ 4 HORAS DE ANTECEDENCIA ANTES DO LOCAL DE CARREGAMENTO*
🏢 *Transportadora:* MINAS SUL
⚠️ OK - NO PRAZO
📦 6022338 | 📅 18/05 18:00 | 🗓️ 20/05 08:00
📍 CARREFOUR- DF - 72501100 - BRASILIA/DF/BRASIL</v>
      </c>
    </row>
    <row r="32" spans="1:1" ht="309">
      <c r="A32" s="39" t="str" cm="1">
        <f t="array" aca="1" ref="A32" ca="1">IFERROR(
IF(
MATCH(
'BASE COBRANÇAS'!F32&amp;
TEXT('BASE COBRANÇAS'!O32,"DD/MM/AAAA")&amp;
'BASE COBRANÇAS'!C32,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COBRANÇAS'!F32&amp;
CHAR(10)&amp;CHAR(10)&amp;
"⚠️ "&amp;'BASE COBRANÇAS'!C32&amp;
CHAR(10)&amp;
_xlfn.TEXTJOIN(
CHAR(10)&amp;CHAR(10),
TRUE,
_xlfn._xlws.FILTER(
"📦 "&amp;'BASE COBRANÇAS'!B32:B1028&amp;
" | 📅 "&amp;IF(
'BASE COBRANÇAS'!M32:M1028="",
"—",
TEXT('BASE COBRANÇAS'!M32:M1028,"DD/MM HH:MM")
)&amp;
" | 🗓️ "&amp;IF(
'BASE COBRANÇAS'!O32:O1028="",
"—",
TEXT('BASE COBRANÇAS'!O32:O1028,"DD/MM HH:MM")
)&amp;
CHAR(10)&amp;
"📍 "&amp;IF(
'BASE COBRANÇAS'!Q32:Q1028="",
"—",
'BASE COBRANÇAS'!Q32:Q1028
)&amp;
" - "&amp;IF(
'BASE COBRANÇAS'!T32:T1028="",
"—",
'BASE COBRANÇAS'!T32:T1028
),
('BASE COBRANÇAS'!F32:F1028='BASE COBRANÇAS'!F32)*
(TEXT('BASE COBRANÇAS'!O32:O1028,"DD/MM/AAAA")=
TEXT('BASE COBRANÇAS'!O32,"DD/MM/AAAA"))*
('BASE COBRANÇAS'!C32:C1028='BASE COBRANÇAS'!C32)*
('BASE COBRANÇAS'!C32:C1028&lt;&gt;"")*
('BASE COBRANÇAS'!C32:C1028&lt;&gt;"EM VIAGEM")*
('BASE COBRANÇAS'!C32:C1028&lt;&gt;"DESCONSIDERA, VALOR NÃO RASTREADO")*
('BASE COBRANÇAS'!C32:C1028&lt;&gt;"⚠️ ATENCAO - PROXIMO"),
""
)
)
),
"")</f>
        <v>🚛 STATUS TRANSPORTADORA
SMP DEVE SER CRIADA COM ATÉ 4 HORAS DE ANTECEDENCIA ANTES DO LOCAL DE CARREGAMENTO*
🏢 *Transportadora:* WSC
⚠️ ATRASADO CARREGAMENTO - SEM SMP
📦 6011813 | 📅 15/05 20:00 | 🗓️ 21/05 06:00
📍 FERREIRA COSTA &amp; CIA LTDA - 58320000 - ALHANDRA/PB/BRASIL</v>
      </c>
    </row>
    <row r="33" spans="1:1" ht="309">
      <c r="A33" s="39" t="str" cm="1">
        <f t="array" aca="1" ref="A33" ca="1">IFERROR(
IF(
MATCH(
'BASE COBRANÇAS'!F33&amp;
TEXT('BASE COBRANÇAS'!O33,"DD/MM/AAAA")&amp;
'BASE COBRANÇAS'!C33,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COBRANÇAS'!F33&amp;
CHAR(10)&amp;CHAR(10)&amp;
"⚠️ "&amp;'BASE COBRANÇAS'!C33&amp;
CHAR(10)&amp;
_xlfn.TEXTJOIN(
CHAR(10)&amp;CHAR(10),
TRUE,
_xlfn._xlws.FILTER(
"📦 "&amp;'BASE COBRANÇAS'!B33:B1029&amp;
" | 📅 "&amp;IF(
'BASE COBRANÇAS'!M33:M1029="",
"—",
TEXT('BASE COBRANÇAS'!M33:M1029,"DD/MM HH:MM")
)&amp;
" | 🗓️ "&amp;IF(
'BASE COBRANÇAS'!O33:O1029="",
"—",
TEXT('BASE COBRANÇAS'!O33:O1029,"DD/MM HH:MM")
)&amp;
CHAR(10)&amp;
"📍 "&amp;IF(
'BASE COBRANÇAS'!Q33:Q1029="",
"—",
'BASE COBRANÇAS'!Q33:Q1029
)&amp;
" - "&amp;IF(
'BASE COBRANÇAS'!T33:T1029="",
"—",
'BASE COBRANÇAS'!T33:T1029
),
('BASE COBRANÇAS'!F33:F1029='BASE COBRANÇAS'!F33)*
(TEXT('BASE COBRANÇAS'!O33:O1029,"DD/MM/AAAA")=
TEXT('BASE COBRANÇAS'!O33,"DD/MM/AAAA"))*
('BASE COBRANÇAS'!C33:C1029='BASE COBRANÇAS'!C33)*
('BASE COBRANÇAS'!C33:C1029&lt;&gt;"")*
('BASE COBRANÇAS'!C33:C1029&lt;&gt;"EM VIAGEM")*
('BASE COBRANÇAS'!C33:C1029&lt;&gt;"DESCONSIDERA, VALOR NÃO RASTREADO")*
('BASE COBRANÇAS'!C33:C1029&lt;&gt;"⚠️ ATENCAO - PROXIMO"),
""
)
)
),
"")</f>
        <v xml:space="preserve">🚛 STATUS TRANSPORTADORA
SMP DEVE SER CRIADA COM ATÉ 4 HORAS DE ANTECEDENCIA ANTES DO LOCAL DE CARREGAMENTO*
🏢 *Transportadora:* RODOBRAS TR
⚠️ EM VIAGEM
</v>
      </c>
    </row>
    <row r="34" spans="1:1" ht="309">
      <c r="A34" s="39" t="str" cm="1">
        <f t="array" aca="1" ref="A34" ca="1">IFERROR(
IF(
MATCH(
'BASE COBRANÇAS'!F34&amp;
TEXT('BASE COBRANÇAS'!O34,"DD/MM/AAAA")&amp;
'BASE COBRANÇAS'!C34,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COBRANÇAS'!F34&amp;
CHAR(10)&amp;CHAR(10)&amp;
"⚠️ "&amp;'BASE COBRANÇAS'!C34&amp;
CHAR(10)&amp;
_xlfn.TEXTJOIN(
CHAR(10)&amp;CHAR(10),
TRUE,
_xlfn._xlws.FILTER(
"📦 "&amp;'BASE COBRANÇAS'!B34:B1030&amp;
" | 📅 "&amp;IF(
'BASE COBRANÇAS'!M34:M1030="",
"—",
TEXT('BASE COBRANÇAS'!M34:M1030,"DD/MM HH:MM")
)&amp;
" | 🗓️ "&amp;IF(
'BASE COBRANÇAS'!O34:O1030="",
"—",
TEXT('BASE COBRANÇAS'!O34:O1030,"DD/MM HH:MM")
)&amp;
CHAR(10)&amp;
"📍 "&amp;IF(
'BASE COBRANÇAS'!Q34:Q1030="",
"—",
'BASE COBRANÇAS'!Q34:Q1030
)&amp;
" - "&amp;IF(
'BASE COBRANÇAS'!T34:T1030="",
"—",
'BASE COBRANÇAS'!T34:T1030
),
('BASE COBRANÇAS'!F34:F1030='BASE COBRANÇAS'!F34)*
(TEXT('BASE COBRANÇAS'!O34:O1030,"DD/MM/AAAA")=
TEXT('BASE COBRANÇAS'!O34,"DD/MM/AAAA"))*
('BASE COBRANÇAS'!C34:C1030='BASE COBRANÇAS'!C34)*
('BASE COBRANÇAS'!C34:C1030&lt;&gt;"")*
('BASE COBRANÇAS'!C34:C1030&lt;&gt;"EM VIAGEM")*
('BASE COBRANÇAS'!C34:C1030&lt;&gt;"DESCONSIDERA, VALOR NÃO RASTREADO")*
('BASE COBRANÇAS'!C34:C1030&lt;&gt;"⚠️ ATENCAO - PROXIMO"),
""
)
)
),
"")</f>
        <v/>
      </c>
    </row>
    <row r="35" spans="1:1" ht="309">
      <c r="A35" s="39" t="str" cm="1">
        <f t="array" aca="1" ref="A35" ca="1">IFERROR(
IF(
MATCH(
'BASE COBRANÇAS'!F35&amp;
TEXT('BASE COBRANÇAS'!O35,"DD/MM/AAAA")&amp;
'BASE COBRANÇAS'!C35,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COBRANÇAS'!F35&amp;
CHAR(10)&amp;CHAR(10)&amp;
"⚠️ "&amp;'BASE COBRANÇAS'!C35&amp;
CHAR(10)&amp;
_xlfn.TEXTJOIN(
CHAR(10)&amp;CHAR(10),
TRUE,
_xlfn._xlws.FILTER(
"📦 "&amp;'BASE COBRANÇAS'!B35:B1031&amp;
" | 📅 "&amp;IF(
'BASE COBRANÇAS'!M35:M1031="",
"—",
TEXT('BASE COBRANÇAS'!M35:M1031,"DD/MM HH:MM")
)&amp;
" | 🗓️ "&amp;IF(
'BASE COBRANÇAS'!O35:O1031="",
"—",
TEXT('BASE COBRANÇAS'!O35:O1031,"DD/MM HH:MM")
)&amp;
CHAR(10)&amp;
"📍 "&amp;IF(
'BASE COBRANÇAS'!Q35:Q1031="",
"—",
'BASE COBRANÇAS'!Q35:Q1031
)&amp;
" - "&amp;IF(
'BASE COBRANÇAS'!T35:T1031="",
"—",
'BASE COBRANÇAS'!T35:T1031
),
('BASE COBRANÇAS'!F35:F1031='BASE COBRANÇAS'!F35)*
(TEXT('BASE COBRANÇAS'!O35:O1031,"DD/MM/AAAA")=
TEXT('BASE COBRANÇAS'!O35,"DD/MM/AAAA"))*
('BASE COBRANÇAS'!C35:C1031='BASE COBRANÇAS'!C35)*
('BASE COBRANÇAS'!C35:C1031&lt;&gt;"")*
('BASE COBRANÇAS'!C35:C1031&lt;&gt;"EM VIAGEM")*
('BASE COBRANÇAS'!C35:C1031&lt;&gt;"DESCONSIDERA, VALOR NÃO RASTREADO")*
('BASE COBRANÇAS'!C35:C1031&lt;&gt;"⚠️ ATENCAO - PROXIMO"),
""
)
)
),
"")</f>
        <v/>
      </c>
    </row>
    <row r="36" spans="1:1" ht="309">
      <c r="A36" s="39" t="str" cm="1">
        <f t="array" aca="1" ref="A36" ca="1">IFERROR(
IF(
MATCH(
'BASE COBRANÇAS'!F36&amp;
TEXT('BASE COBRANÇAS'!O36,"DD/MM/AAAA")&amp;
'BASE COBRANÇAS'!C36,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COBRANÇAS'!F36&amp;
CHAR(10)&amp;CHAR(10)&amp;
"⚠️ "&amp;'BASE COBRANÇAS'!C36&amp;
CHAR(10)&amp;
_xlfn.TEXTJOIN(
CHAR(10)&amp;CHAR(10),
TRUE,
_xlfn._xlws.FILTER(
"📦 "&amp;'BASE COBRANÇAS'!B36:B1032&amp;
" | 📅 "&amp;IF(
'BASE COBRANÇAS'!M36:M1032="",
"—",
TEXT('BASE COBRANÇAS'!M36:M1032,"DD/MM HH:MM")
)&amp;
" | 🗓️ "&amp;IF(
'BASE COBRANÇAS'!O36:O1032="",
"—",
TEXT('BASE COBRANÇAS'!O36:O1032,"DD/MM HH:MM")
)&amp;
CHAR(10)&amp;
"📍 "&amp;IF(
'BASE COBRANÇAS'!Q36:Q1032="",
"—",
'BASE COBRANÇAS'!Q36:Q1032
)&amp;
" - "&amp;IF(
'BASE COBRANÇAS'!T36:T1032="",
"—",
'BASE COBRANÇAS'!T36:T1032
),
('BASE COBRANÇAS'!F36:F1032='BASE COBRANÇAS'!F36)*
(TEXT('BASE COBRANÇAS'!O36:O1032,"DD/MM/AAAA")=
TEXT('BASE COBRANÇAS'!O36,"DD/MM/AAAA"))*
('BASE COBRANÇAS'!C36:C1032='BASE COBRANÇAS'!C36)*
('BASE COBRANÇAS'!C36:C1032&lt;&gt;"")*
('BASE COBRANÇAS'!C36:C1032&lt;&gt;"EM VIAGEM")*
('BASE COBRANÇAS'!C36:C1032&lt;&gt;"DESCONSIDERA, VALOR NÃO RASTREADO")*
('BASE COBRANÇAS'!C36:C1032&lt;&gt;"⚠️ ATENCAO - PROXIMO"),
""
)
)
),
"")</f>
        <v>🚛 STATUS TRANSPORTADORA
SMP DEVE SER CRIADA COM ATÉ 4 HORAS DE ANTECEDENCIA ANTES DO LOCAL DE CARREGAMENTO*
🏢 *Transportadora:* RODOBRAS TR
⚠️ NA CLIF - COM SMP - AGUARDANDO SAÍDA
📦 6023015 | 📅 15/05 15:00 | 🗓️ 19/05 23:00
📍 GRUPO CASAS BAHIA S.A(CD1500) - 09790400 - SAO BERNARDO DO CAMPO/SP/BRASIL
📦 6025088 | 📅 16/05 08:00 | 🗓️ 19/05 00:00
📍 PENSKE LOGISTICS DO BRASIL LTDA. - 07775240 - CAJAMAR/SP/BRASIL
📦 6025087 | 📅 16/05 08:30 | 🗓️ 19/05 00:00
📍 PENSKE LOGISTICS DO BRASIL LTDA. - 07775240 - CAJAMAR/SP/BRASIL</v>
      </c>
    </row>
    <row r="37" spans="1:1" ht="309">
      <c r="A37" s="39" t="str" cm="1">
        <f t="array" aca="1" ref="A37" ca="1">IFERROR(
IF(
MATCH(
'BASE COBRANÇAS'!F37&amp;
TEXT('BASE COBRANÇAS'!O37,"DD/MM/AAAA")&amp;
'BASE COBRANÇAS'!C37,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COBRANÇAS'!F37&amp;
CHAR(10)&amp;CHAR(10)&amp;
"⚠️ "&amp;'BASE COBRANÇAS'!C37&amp;
CHAR(10)&amp;
_xlfn.TEXTJOIN(
CHAR(10)&amp;CHAR(10),
TRUE,
_xlfn._xlws.FILTER(
"📦 "&amp;'BASE COBRANÇAS'!B37:B1033&amp;
" | 📅 "&amp;IF(
'BASE COBRANÇAS'!M37:M1033="",
"—",
TEXT('BASE COBRANÇAS'!M37:M1033,"DD/MM HH:MM")
)&amp;
" | 🗓️ "&amp;IF(
'BASE COBRANÇAS'!O37:O1033="",
"—",
TEXT('BASE COBRANÇAS'!O37:O1033,"DD/MM HH:MM")
)&amp;
CHAR(10)&amp;
"📍 "&amp;IF(
'BASE COBRANÇAS'!Q37:Q1033="",
"—",
'BASE COBRANÇAS'!Q37:Q1033
)&amp;
" - "&amp;IF(
'BASE COBRANÇAS'!T37:T1033="",
"—",
'BASE COBRANÇAS'!T37:T1033
),
('BASE COBRANÇAS'!F37:F1033='BASE COBRANÇAS'!F37)*
(TEXT('BASE COBRANÇAS'!O37:O1033,"DD/MM/AAAA")=
TEXT('BASE COBRANÇAS'!O37,"DD/MM/AAAA"))*
('BASE COBRANÇAS'!C37:C1033='BASE COBRANÇAS'!C37)*
('BASE COBRANÇAS'!C37:C1033&lt;&gt;"")*
('BASE COBRANÇAS'!C37:C1033&lt;&gt;"EM VIAGEM")*
('BASE COBRANÇAS'!C37:C1033&lt;&gt;"DESCONSIDERA, VALOR NÃO RASTREADO")*
('BASE COBRANÇAS'!C37:C1033&lt;&gt;"⚠️ ATENCAO - PROXIMO"),
""
)
)
),
"")</f>
        <v/>
      </c>
    </row>
    <row r="38" spans="1:1" ht="309">
      <c r="A38" s="39" t="str" cm="1">
        <f t="array" aca="1" ref="A38" ca="1">IFERROR(
IF(
MATCH(
'BASE COBRANÇAS'!F38&amp;
TEXT('BASE COBRANÇAS'!O38,"DD/MM/AAAA")&amp;
'BASE COBRANÇAS'!C38,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COBRANÇAS'!F38&amp;
CHAR(10)&amp;CHAR(10)&amp;
"⚠️ "&amp;'BASE COBRANÇAS'!C38&amp;
CHAR(10)&amp;
_xlfn.TEXTJOIN(
CHAR(10)&amp;CHAR(10),
TRUE,
_xlfn._xlws.FILTER(
"📦 "&amp;'BASE COBRANÇAS'!B38:B1034&amp;
" | 📅 "&amp;IF(
'BASE COBRANÇAS'!M38:M1034="",
"—",
TEXT('BASE COBRANÇAS'!M38:M1034,"DD/MM HH:MM")
)&amp;
" | 🗓️ "&amp;IF(
'BASE COBRANÇAS'!O38:O1034="",
"—",
TEXT('BASE COBRANÇAS'!O38:O1034,"DD/MM HH:MM")
)&amp;
CHAR(10)&amp;
"📍 "&amp;IF(
'BASE COBRANÇAS'!Q38:Q1034="",
"—",
'BASE COBRANÇAS'!Q38:Q1034
)&amp;
" - "&amp;IF(
'BASE COBRANÇAS'!T38:T1034="",
"—",
'BASE COBRANÇAS'!T38:T1034
),
('BASE COBRANÇAS'!F38:F1034='BASE COBRANÇAS'!F38)*
(TEXT('BASE COBRANÇAS'!O38:O1034,"DD/MM/AAAA")=
TEXT('BASE COBRANÇAS'!O38,"DD/MM/AAAA"))*
('BASE COBRANÇAS'!C38:C1034='BASE COBRANÇAS'!C38)*
('BASE COBRANÇAS'!C38:C1034&lt;&gt;"")*
('BASE COBRANÇAS'!C38:C1034&lt;&gt;"EM VIAGEM")*
('BASE COBRANÇAS'!C38:C1034&lt;&gt;"DESCONSIDERA, VALOR NÃO RASTREADO")*
('BASE COBRANÇAS'!C38:C1034&lt;&gt;"⚠️ ATENCAO - PROXIMO"),
""
)
)
),
"")</f>
        <v>🚛 STATUS TRANSPORTADORA
SMP DEVE SER CRIADA COM ATÉ 4 HORAS DE ANTECEDENCIA ANTES DO LOCAL DE CARREGAMENTO*
🏢 *Transportadora:* JRX TRANSPOR
⚠️ OK - NO PRAZO
📦 6023168 | 📅 18/05 16:00 | 🗓️ 19/05 08:00
📍 UNIAR COMÉRCIO DE ELETRO-ELETRÔNICOS E SERVIÇOS LTDA - 37640000 - EXTREMA/MG/BRASIL</v>
      </c>
    </row>
    <row r="39" spans="1:1" ht="309">
      <c r="A39" s="39" t="str" cm="1">
        <f t="array" aca="1" ref="A39" ca="1">IFERROR(
IF(
MATCH(
'BASE COBRANÇAS'!F39&amp;
TEXT('BASE COBRANÇAS'!O39,"DD/MM/AAAA")&amp;
'BASE COBRANÇAS'!C39,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COBRANÇAS'!F39&amp;
CHAR(10)&amp;CHAR(10)&amp;
"⚠️ "&amp;'BASE COBRANÇAS'!C39&amp;
CHAR(10)&amp;
_xlfn.TEXTJOIN(
CHAR(10)&amp;CHAR(10),
TRUE,
_xlfn._xlws.FILTER(
"📦 "&amp;'BASE COBRANÇAS'!B39:B1035&amp;
" | 📅 "&amp;IF(
'BASE COBRANÇAS'!M39:M1035="",
"—",
TEXT('BASE COBRANÇAS'!M39:M1035,"DD/MM HH:MM")
)&amp;
" | 🗓️ "&amp;IF(
'BASE COBRANÇAS'!O39:O1035="",
"—",
TEXT('BASE COBRANÇAS'!O39:O1035,"DD/MM HH:MM")
)&amp;
CHAR(10)&amp;
"📍 "&amp;IF(
'BASE COBRANÇAS'!Q39:Q1035="",
"—",
'BASE COBRANÇAS'!Q39:Q1035
)&amp;
" - "&amp;IF(
'BASE COBRANÇAS'!T39:T1035="",
"—",
'BASE COBRANÇAS'!T39:T1035
),
('BASE COBRANÇAS'!F39:F1035='BASE COBRANÇAS'!F39)*
(TEXT('BASE COBRANÇAS'!O39:O1035,"DD/MM/AAAA")=
TEXT('BASE COBRANÇAS'!O39,"DD/MM/AAAA"))*
('BASE COBRANÇAS'!C39:C1035='BASE COBRANÇAS'!C39)*
('BASE COBRANÇAS'!C39:C1035&lt;&gt;"")*
('BASE COBRANÇAS'!C39:C1035&lt;&gt;"EM VIAGEM")*
('BASE COBRANÇAS'!C39:C1035&lt;&gt;"DESCONSIDERA, VALOR NÃO RASTREADO")*
('BASE COBRANÇAS'!C39:C1035&lt;&gt;"⚠️ ATENCAO - PROXIMO"),
""
)
)
),
"")</f>
        <v>🚛 STATUS TRANSPORTADORA
SMP DEVE SER CRIADA COM ATÉ 4 HORAS DE ANTECEDENCIA ANTES DO LOCAL DE CARREGAMENTO*
🏢 *Transportadora:* TRANSKING
⚠️ OK - NO PRAZO
📦 6014055 | 📅 18/05 17:00 | 🗓️ 21/05 08:00
📍 LOJAS BECKER LTDA - 97900000 - CERRO LARGO/RS/BRASIL</v>
      </c>
    </row>
    <row r="40" spans="1:1" ht="309">
      <c r="A40" s="39" t="str" cm="1">
        <f t="array" aca="1" ref="A40" ca="1">IFERROR(
IF(
MATCH(
'BASE COBRANÇAS'!F40&amp;
TEXT('BASE COBRANÇAS'!O40,"DD/MM/AAAA")&amp;
'BASE COBRANÇAS'!C40,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COBRANÇAS'!F40&amp;
CHAR(10)&amp;CHAR(10)&amp;
"⚠️ "&amp;'BASE COBRANÇAS'!C40&amp;
CHAR(10)&amp;
_xlfn.TEXTJOIN(
CHAR(10)&amp;CHAR(10),
TRUE,
_xlfn._xlws.FILTER(
"📦 "&amp;'BASE COBRANÇAS'!B40:B1036&amp;
" | 📅 "&amp;IF(
'BASE COBRANÇAS'!M40:M1036="",
"—",
TEXT('BASE COBRANÇAS'!M40:M1036,"DD/MM HH:MM")
)&amp;
" | 🗓️ "&amp;IF(
'BASE COBRANÇAS'!O40:O1036="",
"—",
TEXT('BASE COBRANÇAS'!O40:O1036,"DD/MM HH:MM")
)&amp;
CHAR(10)&amp;
"📍 "&amp;IF(
'BASE COBRANÇAS'!Q40:Q1036="",
"—",
'BASE COBRANÇAS'!Q40:Q1036
)&amp;
" - "&amp;IF(
'BASE COBRANÇAS'!T40:T1036="",
"—",
'BASE COBRANÇAS'!T40:T1036
),
('BASE COBRANÇAS'!F40:F1036='BASE COBRANÇAS'!F40)*
(TEXT('BASE COBRANÇAS'!O40:O1036,"DD/MM/AAAA")=
TEXT('BASE COBRANÇAS'!O40,"DD/MM/AAAA"))*
('BASE COBRANÇAS'!C40:C1036='BASE COBRANÇAS'!C40)*
('BASE COBRANÇAS'!C40:C1036&lt;&gt;"")*
('BASE COBRANÇAS'!C40:C1036&lt;&gt;"EM VIAGEM")*
('BASE COBRANÇAS'!C40:C1036&lt;&gt;"DESCONSIDERA, VALOR NÃO RASTREADO")*
('BASE COBRANÇAS'!C40:C1036&lt;&gt;"⚠️ ATENCAO - PROXIMO"),
""
)
)
),
"")</f>
        <v/>
      </c>
    </row>
    <row r="41" spans="1:1" ht="309">
      <c r="A41" s="39" t="str" cm="1">
        <f t="array" aca="1" ref="A41" ca="1">IFERROR(
IF(
MATCH(
'BASE COBRANÇAS'!F41&amp;
TEXT('BASE COBRANÇAS'!O41,"DD/MM/AAAA")&amp;
'BASE COBRANÇAS'!C41,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COBRANÇAS'!F41&amp;
CHAR(10)&amp;CHAR(10)&amp;
"⚠️ "&amp;'BASE COBRANÇAS'!C41&amp;
CHAR(10)&amp;
_xlfn.TEXTJOIN(
CHAR(10)&amp;CHAR(10),
TRUE,
_xlfn._xlws.FILTER(
"📦 "&amp;'BASE COBRANÇAS'!B41:B1037&amp;
" | 📅 "&amp;IF(
'BASE COBRANÇAS'!M41:M1037="",
"—",
TEXT('BASE COBRANÇAS'!M41:M1037,"DD/MM HH:MM")
)&amp;
" | 🗓️ "&amp;IF(
'BASE COBRANÇAS'!O41:O1037="",
"—",
TEXT('BASE COBRANÇAS'!O41:O1037,"DD/MM HH:MM")
)&amp;
CHAR(10)&amp;
"📍 "&amp;IF(
'BASE COBRANÇAS'!Q41:Q1037="",
"—",
'BASE COBRANÇAS'!Q41:Q1037
)&amp;
" - "&amp;IF(
'BASE COBRANÇAS'!T41:T1037="",
"—",
'BASE COBRANÇAS'!T41:T1037
),
('BASE COBRANÇAS'!F41:F1037='BASE COBRANÇAS'!F41)*
(TEXT('BASE COBRANÇAS'!O41:O1037,"DD/MM/AAAA")=
TEXT('BASE COBRANÇAS'!O41,"DD/MM/AAAA"))*
('BASE COBRANÇAS'!C41:C1037='BASE COBRANÇAS'!C41)*
('BASE COBRANÇAS'!C41:C1037&lt;&gt;"")*
('BASE COBRANÇAS'!C41:C1037&lt;&gt;"EM VIAGEM")*
('BASE COBRANÇAS'!C41:C1037&lt;&gt;"DESCONSIDERA, VALOR NÃO RASTREADO")*
('BASE COBRANÇAS'!C41:C1037&lt;&gt;"⚠️ ATENCAO - PROXIMO"),
""
)
)
),
"")</f>
        <v>🚛 STATUS TRANSPORTADORA
SMP DEVE SER CRIADA COM ATÉ 4 HORAS DE ANTECEDENCIA ANTES DO LOCAL DE CARREGAMENTO*
🏢 *Transportadora:* EMJ LOGISTIC
⚠️ OK - NO PRAZO
📦 6023009 | 📅 18/05 20:00 | 🗓️ 20/05 06:00
📍 GRUPO CASAS BAHIA S.A(CD1760) - 32150240 - CONTAGEM/MG/BRASIL
📦 6022523 | 📅 18/05 18:00 | 🗓️ 20/05 07:00
📍 FUJIOKA ELETRO IMAGEM S/A - 74675690 - GOIANIA/GO/BRASIL</v>
      </c>
    </row>
    <row r="42" spans="1:1" ht="309">
      <c r="A42" s="39" t="str" cm="1">
        <f t="array" aca="1" ref="A42" ca="1">IFERROR(
IF(
MATCH(
'BASE COBRANÇAS'!F42&amp;
TEXT('BASE COBRANÇAS'!O42,"DD/MM/AAAA")&amp;
'BASE COBRANÇAS'!C42,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COBRANÇAS'!F42&amp;
CHAR(10)&amp;CHAR(10)&amp;
"⚠️ "&amp;'BASE COBRANÇAS'!C42&amp;
CHAR(10)&amp;
_xlfn.TEXTJOIN(
CHAR(10)&amp;CHAR(10),
TRUE,
_xlfn._xlws.FILTER(
"📦 "&amp;'BASE COBRANÇAS'!B42:B1038&amp;
" | 📅 "&amp;IF(
'BASE COBRANÇAS'!M42:M1038="",
"—",
TEXT('BASE COBRANÇAS'!M42:M1038,"DD/MM HH:MM")
)&amp;
" | 🗓️ "&amp;IF(
'BASE COBRANÇAS'!O42:O1038="",
"—",
TEXT('BASE COBRANÇAS'!O42:O1038,"DD/MM HH:MM")
)&amp;
CHAR(10)&amp;
"📍 "&amp;IF(
'BASE COBRANÇAS'!Q42:Q1038="",
"—",
'BASE COBRANÇAS'!Q42:Q1038
)&amp;
" - "&amp;IF(
'BASE COBRANÇAS'!T42:T1038="",
"—",
'BASE COBRANÇAS'!T42:T1038
),
('BASE COBRANÇAS'!F42:F1038='BASE COBRANÇAS'!F42)*
(TEXT('BASE COBRANÇAS'!O42:O1038,"DD/MM/AAAA")=
TEXT('BASE COBRANÇAS'!O42,"DD/MM/AAAA"))*
('BASE COBRANÇAS'!C42:C1038='BASE COBRANÇAS'!C42)*
('BASE COBRANÇAS'!C42:C1038&lt;&gt;"")*
('BASE COBRANÇAS'!C42:C1038&lt;&gt;"EM VIAGEM")*
('BASE COBRANÇAS'!C42:C1038&lt;&gt;"DESCONSIDERA, VALOR NÃO RASTREADO")*
('BASE COBRANÇAS'!C42:C1038&lt;&gt;"⚠️ ATENCAO - PROXIMO"),
""
)
)
),
"")</f>
        <v>🚛 STATUS TRANSPORTADORA
SMP DEVE SER CRIADA COM ATÉ 4 HORAS DE ANTECEDENCIA ANTES DO LOCAL DE CARREGAMENTO*
🏢 *Transportadora:* TRANSP RODOWAY LTDA
⚠️ ATRASADO CARREGAMENTO - SEM SMP
📦 6023297 | 📅 16/05 11:00 | 🗓️ 19/05 06:00
📍 LOJAS COLOMBO SA COMERCIO DE UTILIDADES DOMESTICAS - 92480000 - NOVA SANTA RITA/RS/BRASIL</v>
      </c>
    </row>
    <row r="43" spans="1:1" ht="309">
      <c r="A43" s="39" t="str" cm="1">
        <f t="array" aca="1" ref="A43" ca="1">IFERROR(
IF(
MATCH(
'BASE COBRANÇAS'!F43&amp;
TEXT('BASE COBRANÇAS'!O43,"DD/MM/AAAA")&amp;
'BASE COBRANÇAS'!C43,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COBRANÇAS'!F43&amp;
CHAR(10)&amp;CHAR(10)&amp;
"⚠️ "&amp;'BASE COBRANÇAS'!C43&amp;
CHAR(10)&amp;
_xlfn.TEXTJOIN(
CHAR(10)&amp;CHAR(10),
TRUE,
_xlfn._xlws.FILTER(
"📦 "&amp;'BASE COBRANÇAS'!B43:B1039&amp;
" | 📅 "&amp;IF(
'BASE COBRANÇAS'!M43:M1039="",
"—",
TEXT('BASE COBRANÇAS'!M43:M1039,"DD/MM HH:MM")
)&amp;
" | 🗓️ "&amp;IF(
'BASE COBRANÇAS'!O43:O1039="",
"—",
TEXT('BASE COBRANÇAS'!O43:O1039,"DD/MM HH:MM")
)&amp;
CHAR(10)&amp;
"📍 "&amp;IF(
'BASE COBRANÇAS'!Q43:Q1039="",
"—",
'BASE COBRANÇAS'!Q43:Q1039
)&amp;
" - "&amp;IF(
'BASE COBRANÇAS'!T43:T1039="",
"—",
'BASE COBRANÇAS'!T43:T1039
),
('BASE COBRANÇAS'!F43:F1039='BASE COBRANÇAS'!F43)*
(TEXT('BASE COBRANÇAS'!O43:O1039,"DD/MM/AAAA")=
TEXT('BASE COBRANÇAS'!O43,"DD/MM/AAAA"))*
('BASE COBRANÇAS'!C43:C1039='BASE COBRANÇAS'!C43)*
('BASE COBRANÇAS'!C43:C1039&lt;&gt;"")*
('BASE COBRANÇAS'!C43:C1039&lt;&gt;"EM VIAGEM")*
('BASE COBRANÇAS'!C43:C1039&lt;&gt;"DESCONSIDERA, VALOR NÃO RASTREADO")*
('BASE COBRANÇAS'!C43:C1039&lt;&gt;"⚠️ ATENCAO - PROXIMO"),
""
)
)
),
"")</f>
        <v xml:space="preserve">🚛 STATUS TRANSPORTADORA
SMP DEVE SER CRIADA COM ATÉ 4 HORAS DE ANTECEDENCIA ANTES DO LOCAL DE CARREGAMENTO*
🏢 *Transportadora:* MWM TRANSPORTES
⚠️ EM VIAGEM
</v>
      </c>
    </row>
    <row r="44" spans="1:1" ht="309">
      <c r="A44" s="39" t="str" cm="1">
        <f t="array" aca="1" ref="A44" ca="1">IFERROR(
IF(
MATCH(
'BASE COBRANÇAS'!F44&amp;
TEXT('BASE COBRANÇAS'!O44,"DD/MM/AAAA")&amp;
'BASE COBRANÇAS'!C44,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COBRANÇAS'!F44&amp;
CHAR(10)&amp;CHAR(10)&amp;
"⚠️ "&amp;'BASE COBRANÇAS'!C44&amp;
CHAR(10)&amp;
_xlfn.TEXTJOIN(
CHAR(10)&amp;CHAR(10),
TRUE,
_xlfn._xlws.FILTER(
"📦 "&amp;'BASE COBRANÇAS'!B44:B1040&amp;
" | 📅 "&amp;IF(
'BASE COBRANÇAS'!M44:M1040="",
"—",
TEXT('BASE COBRANÇAS'!M44:M1040,"DD/MM HH:MM")
)&amp;
" | 🗓️ "&amp;IF(
'BASE COBRANÇAS'!O44:O1040="",
"—",
TEXT('BASE COBRANÇAS'!O44:O1040,"DD/MM HH:MM")
)&amp;
CHAR(10)&amp;
"📍 "&amp;IF(
'BASE COBRANÇAS'!Q44:Q1040="",
"—",
'BASE COBRANÇAS'!Q44:Q1040
)&amp;
" - "&amp;IF(
'BASE COBRANÇAS'!T44:T1040="",
"—",
'BASE COBRANÇAS'!T44:T1040
),
('BASE COBRANÇAS'!F44:F1040='BASE COBRANÇAS'!F44)*
(TEXT('BASE COBRANÇAS'!O44:O1040,"DD/MM/AAAA")=
TEXT('BASE COBRANÇAS'!O44,"DD/MM/AAAA"))*
('BASE COBRANÇAS'!C44:C1040='BASE COBRANÇAS'!C44)*
('BASE COBRANÇAS'!C44:C1040&lt;&gt;"")*
('BASE COBRANÇAS'!C44:C1040&lt;&gt;"EM VIAGEM")*
('BASE COBRANÇAS'!C44:C1040&lt;&gt;"DESCONSIDERA, VALOR NÃO RASTREADO")*
('BASE COBRANÇAS'!C44:C1040&lt;&gt;"⚠️ ATENCAO - PROXIMO"),
""
)
)
),
"")</f>
        <v xml:space="preserve">🚛 STATUS TRANSPORTADORA
SMP DEVE SER CRIADA COM ATÉ 4 HORAS DE ANTECEDENCIA ANTES DO LOCAL DE CARREGAMENTO*
🏢 *Transportadora:* TRANSKING
⚠️ EM VIAGEM
</v>
      </c>
    </row>
    <row r="45" spans="1:1" ht="309">
      <c r="A45" s="39" t="str" cm="1">
        <f t="array" aca="1" ref="A45" ca="1">IFERROR(
IF(
MATCH(
'BASE COBRANÇAS'!F45&amp;
TEXT('BASE COBRANÇAS'!O45,"DD/MM/AAAA")&amp;
'BASE COBRANÇAS'!C45,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COBRANÇAS'!F45&amp;
CHAR(10)&amp;CHAR(10)&amp;
"⚠️ "&amp;'BASE COBRANÇAS'!C45&amp;
CHAR(10)&amp;
_xlfn.TEXTJOIN(
CHAR(10)&amp;CHAR(10),
TRUE,
_xlfn._xlws.FILTER(
"📦 "&amp;'BASE COBRANÇAS'!B45:B1041&amp;
" | 📅 "&amp;IF(
'BASE COBRANÇAS'!M45:M1041="",
"—",
TEXT('BASE COBRANÇAS'!M45:M1041,"DD/MM HH:MM")
)&amp;
" | 🗓️ "&amp;IF(
'BASE COBRANÇAS'!O45:O1041="",
"—",
TEXT('BASE COBRANÇAS'!O45:O1041,"DD/MM HH:MM")
)&amp;
CHAR(10)&amp;
"📍 "&amp;IF(
'BASE COBRANÇAS'!Q45:Q1041="",
"—",
'BASE COBRANÇAS'!Q45:Q1041
)&amp;
" - "&amp;IF(
'BASE COBRANÇAS'!T45:T1041="",
"—",
'BASE COBRANÇAS'!T45:T1041
),
('BASE COBRANÇAS'!F45:F1041='BASE COBRANÇAS'!F45)*
(TEXT('BASE COBRANÇAS'!O45:O1041,"DD/MM/AAAA")=
TEXT('BASE COBRANÇAS'!O45,"DD/MM/AAAA"))*
('BASE COBRANÇAS'!C45:C1041='BASE COBRANÇAS'!C45)*
('BASE COBRANÇAS'!C45:C1041&lt;&gt;"")*
('BASE COBRANÇAS'!C45:C1041&lt;&gt;"EM VIAGEM")*
('BASE COBRANÇAS'!C45:C1041&lt;&gt;"DESCONSIDERA, VALOR NÃO RASTREADO")*
('BASE COBRANÇAS'!C45:C1041&lt;&gt;"⚠️ ATENCAO - PROXIMO"),
""
)
)
),
"")</f>
        <v>🚛 STATUS TRANSPORTADORA
SMP DEVE SER CRIADA COM ATÉ 4 HORAS DE ANTECEDENCIA ANTES DO LOCAL DE CARREGAMENTO*
🏢 *Transportadora:* TRANSP RODOWAY LTDA
⚠️ NA CLIF - COM SMP - AGUARDANDO SAÍDA
📦 6023296 | 📅 16/05 09:30 | 🗓️ 18/05 06:00
📍 LOJAS COLOMBO S/A COM UTILIDADES DOMESTICAS - 81350240 - CURITIBA/PR/BRASIL
📦 6022339 | 📅 15/05 10:00 | 🗓️ 18/05 07:00
📍 LOJAS BECKER LTDA - 97900000 - CERRO LARGO/RS/BRASIL</v>
      </c>
    </row>
    <row r="46" spans="1:1" ht="309">
      <c r="A46" s="39" t="str" cm="1">
        <f t="array" aca="1" ref="A46" ca="1">IFERROR(
IF(
MATCH(
'BASE COBRANÇAS'!F46&amp;
TEXT('BASE COBRANÇAS'!O46,"DD/MM/AAAA")&amp;
'BASE COBRANÇAS'!C46,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COBRANÇAS'!F46&amp;
CHAR(10)&amp;CHAR(10)&amp;
"⚠️ "&amp;'BASE COBRANÇAS'!C46&amp;
CHAR(10)&amp;
_xlfn.TEXTJOIN(
CHAR(10)&amp;CHAR(10),
TRUE,
_xlfn._xlws.FILTER(
"📦 "&amp;'BASE COBRANÇAS'!B46:B1042&amp;
" | 📅 "&amp;IF(
'BASE COBRANÇAS'!M46:M1042="",
"—",
TEXT('BASE COBRANÇAS'!M46:M1042,"DD/MM HH:MM")
)&amp;
" | 🗓️ "&amp;IF(
'BASE COBRANÇAS'!O46:O1042="",
"—",
TEXT('BASE COBRANÇAS'!O46:O1042,"DD/MM HH:MM")
)&amp;
CHAR(10)&amp;
"📍 "&amp;IF(
'BASE COBRANÇAS'!Q46:Q1042="",
"—",
'BASE COBRANÇAS'!Q46:Q1042
)&amp;
" - "&amp;IF(
'BASE COBRANÇAS'!T46:T1042="",
"—",
'BASE COBRANÇAS'!T46:T1042
),
('BASE COBRANÇAS'!F46:F1042='BASE COBRANÇAS'!F46)*
(TEXT('BASE COBRANÇAS'!O46:O1042,"DD/MM/AAAA")=
TEXT('BASE COBRANÇAS'!O46,"DD/MM/AAAA"))*
('BASE COBRANÇAS'!C46:C1042='BASE COBRANÇAS'!C46)*
('BASE COBRANÇAS'!C46:C1042&lt;&gt;"")*
('BASE COBRANÇAS'!C46:C1042&lt;&gt;"EM VIAGEM")*
('BASE COBRANÇAS'!C46:C1042&lt;&gt;"DESCONSIDERA, VALOR NÃO RASTREADO")*
('BASE COBRANÇAS'!C46:C1042&lt;&gt;"⚠️ ATENCAO - PROXIMO"),
""
)
)
),
"")</f>
        <v/>
      </c>
    </row>
    <row r="47" spans="1:1" ht="309">
      <c r="A47" s="39" t="str" cm="1">
        <f t="array" aca="1" ref="A47" ca="1">IFERROR(
IF(
MATCH(
'BASE COBRANÇAS'!F47&amp;
TEXT('BASE COBRANÇAS'!O47,"DD/MM/AAAA")&amp;
'BASE COBRANÇAS'!C47,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COBRANÇAS'!F47&amp;
CHAR(10)&amp;CHAR(10)&amp;
"⚠️ "&amp;'BASE COBRANÇAS'!C47&amp;
CHAR(10)&amp;
_xlfn.TEXTJOIN(
CHAR(10)&amp;CHAR(10),
TRUE,
_xlfn._xlws.FILTER(
"📦 "&amp;'BASE COBRANÇAS'!B47:B1043&amp;
" | 📅 "&amp;IF(
'BASE COBRANÇAS'!M47:M1043="",
"—",
TEXT('BASE COBRANÇAS'!M47:M1043,"DD/MM HH:MM")
)&amp;
" | 🗓️ "&amp;IF(
'BASE COBRANÇAS'!O47:O1043="",
"—",
TEXT('BASE COBRANÇAS'!O47:O1043,"DD/MM HH:MM")
)&amp;
CHAR(10)&amp;
"📍 "&amp;IF(
'BASE COBRANÇAS'!Q47:Q1043="",
"—",
'BASE COBRANÇAS'!Q47:Q1043
)&amp;
" - "&amp;IF(
'BASE COBRANÇAS'!T47:T1043="",
"—",
'BASE COBRANÇAS'!T47:T1043
),
('BASE COBRANÇAS'!F47:F1043='BASE COBRANÇAS'!F47)*
(TEXT('BASE COBRANÇAS'!O47:O1043,"DD/MM/AAAA")=
TEXT('BASE COBRANÇAS'!O47,"DD/MM/AAAA"))*
('BASE COBRANÇAS'!C47:C1043='BASE COBRANÇAS'!C47)*
('BASE COBRANÇAS'!C47:C1043&lt;&gt;"")*
('BASE COBRANÇAS'!C47:C1043&lt;&gt;"EM VIAGEM")*
('BASE COBRANÇAS'!C47:C1043&lt;&gt;"DESCONSIDERA, VALOR NÃO RASTREADO")*
('BASE COBRANÇAS'!C47:C1043&lt;&gt;"⚠️ ATENCAO - PROXIMO"),
""
)
)
),
"")</f>
        <v/>
      </c>
    </row>
    <row r="48" spans="1:1" ht="309">
      <c r="A48" s="39" t="str" cm="1">
        <f t="array" aca="1" ref="A48" ca="1">IFERROR(
IF(
MATCH(
'BASE COBRANÇAS'!F48&amp;
TEXT('BASE COBRANÇAS'!O48,"DD/MM/AAAA")&amp;
'BASE COBRANÇAS'!C48,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COBRANÇAS'!F48&amp;
CHAR(10)&amp;CHAR(10)&amp;
"⚠️ "&amp;'BASE COBRANÇAS'!C48&amp;
CHAR(10)&amp;
_xlfn.TEXTJOIN(
CHAR(10)&amp;CHAR(10),
TRUE,
_xlfn._xlws.FILTER(
"📦 "&amp;'BASE COBRANÇAS'!B48:B1044&amp;
" | 📅 "&amp;IF(
'BASE COBRANÇAS'!M48:M1044="",
"—",
TEXT('BASE COBRANÇAS'!M48:M1044,"DD/MM HH:MM")
)&amp;
" | 🗓️ "&amp;IF(
'BASE COBRANÇAS'!O48:O1044="",
"—",
TEXT('BASE COBRANÇAS'!O48:O1044,"DD/MM HH:MM")
)&amp;
CHAR(10)&amp;
"📍 "&amp;IF(
'BASE COBRANÇAS'!Q48:Q1044="",
"—",
'BASE COBRANÇAS'!Q48:Q1044
)&amp;
" - "&amp;IF(
'BASE COBRANÇAS'!T48:T1044="",
"—",
'BASE COBRANÇAS'!T48:T1044
),
('BASE COBRANÇAS'!F48:F1044='BASE COBRANÇAS'!F48)*
(TEXT('BASE COBRANÇAS'!O48:O1044,"DD/MM/AAAA")=
TEXT('BASE COBRANÇAS'!O48,"DD/MM/AAAA"))*
('BASE COBRANÇAS'!C48:C1044='BASE COBRANÇAS'!C48)*
('BASE COBRANÇAS'!C48:C1044&lt;&gt;"")*
('BASE COBRANÇAS'!C48:C1044&lt;&gt;"EM VIAGEM")*
('BASE COBRANÇAS'!C48:C1044&lt;&gt;"DESCONSIDERA, VALOR NÃO RASTREADO")*
('BASE COBRANÇAS'!C48:C1044&lt;&gt;"⚠️ ATENCAO - PROXIMO"),
""
)
)
),
"")</f>
        <v>🚛 STATUS TRANSPORTADORA
SMP DEVE SER CRIADA COM ATÉ 4 HORAS DE ANTECEDENCIA ANTES DO LOCAL DE CARREGAMENTO*
🏢 *Transportadora:* VIPE TRANSPO
⚠️ NA CLIF - COM SMP - AGUARDANDO SAÍDA
📦 6022203 | 📅 15/05 06:00 | 🗓️ 18/05 23:00
📍 GRUPO CASAS BAHIA S.A(CD1200) - 13203850 - JUNDIAI/SP/BRASIL
📦 6022190 | 📅 15/05 06:00 | 🗓️ 18/05 23:00
📍 GRUPO CASAS BAHIA S.A(CD1200) - 13203850 - JUNDIAI/SP/BRASIL</v>
      </c>
    </row>
    <row r="49" spans="1:1" ht="309">
      <c r="A49" s="39" t="str" cm="1">
        <f t="array" aca="1" ref="A49" ca="1">IFERROR(
IF(
MATCH(
'BASE COBRANÇAS'!F49&amp;
TEXT('BASE COBRANÇAS'!O49,"DD/MM/AAAA")&amp;
'BASE COBRANÇAS'!C49,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COBRANÇAS'!F49&amp;
CHAR(10)&amp;CHAR(10)&amp;
"⚠️ "&amp;'BASE COBRANÇAS'!C49&amp;
CHAR(10)&amp;
_xlfn.TEXTJOIN(
CHAR(10)&amp;CHAR(10),
TRUE,
_xlfn._xlws.FILTER(
"📦 "&amp;'BASE COBRANÇAS'!B49:B1045&amp;
" | 📅 "&amp;IF(
'BASE COBRANÇAS'!M49:M1045="",
"—",
TEXT('BASE COBRANÇAS'!M49:M1045,"DD/MM HH:MM")
)&amp;
" | 🗓️ "&amp;IF(
'BASE COBRANÇAS'!O49:O1045="",
"—",
TEXT('BASE COBRANÇAS'!O49:O1045,"DD/MM HH:MM")
)&amp;
CHAR(10)&amp;
"📍 "&amp;IF(
'BASE COBRANÇAS'!Q49:Q1045="",
"—",
'BASE COBRANÇAS'!Q49:Q1045
)&amp;
" - "&amp;IF(
'BASE COBRANÇAS'!T49:T1045="",
"—",
'BASE COBRANÇAS'!T49:T1045
),
('BASE COBRANÇAS'!F49:F1045='BASE COBRANÇAS'!F49)*
(TEXT('BASE COBRANÇAS'!O49:O1045,"DD/MM/AAAA")=
TEXT('BASE COBRANÇAS'!O49,"DD/MM/AAAA"))*
('BASE COBRANÇAS'!C49:C1045='BASE COBRANÇAS'!C49)*
('BASE COBRANÇAS'!C49:C1045&lt;&gt;"")*
('BASE COBRANÇAS'!C49:C1045&lt;&gt;"EM VIAGEM")*
('BASE COBRANÇAS'!C49:C1045&lt;&gt;"DESCONSIDERA, VALOR NÃO RASTREADO")*
('BASE COBRANÇAS'!C49:C1045&lt;&gt;"⚠️ ATENCAO - PROXIMO"),
""
)
)
),
"")</f>
        <v>🚛 STATUS TRANSPORTADORA
SMP DEVE SER CRIADA COM ATÉ 4 HORAS DE ANTECEDENCIA ANTES DO LOCAL DE CARREGAMENTO*
🏢 *Transportadora:* NEW LOG
⚠️ NA CLIF - COM SMP - AGUARDANDO SAÍDA
📦 6022219 | 📅 15/05 06:00 | 🗓️ 18/05 23:00
📍 GRUPO CASAS BAHIA S.A(CD1445) - 94931350 - CACHOEIRINHA/RS/BRASIL
📦 6022217 | 📅 16/05 08:00 | 🗓️ 18/05 06:00
📍 GRUPO CASAS BAHIA S.A(CD1475) - 83085058 - SAO JOSE DOS PINHAIS/PR/BRASIL</v>
      </c>
    </row>
    <row r="50" spans="1:1" ht="309">
      <c r="A50" s="39" t="str" cm="1">
        <f t="array" aca="1" ref="A50" ca="1">IFERROR(
IF(
MATCH(
'BASE COBRANÇAS'!F50&amp;
TEXT('BASE COBRANÇAS'!O50,"DD/MM/AAAA")&amp;
'BASE COBRANÇAS'!C50,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COBRANÇAS'!F50&amp;
CHAR(10)&amp;CHAR(10)&amp;
"⚠️ "&amp;'BASE COBRANÇAS'!C50&amp;
CHAR(10)&amp;
_xlfn.TEXTJOIN(
CHAR(10)&amp;CHAR(10),
TRUE,
_xlfn._xlws.FILTER(
"📦 "&amp;'BASE COBRANÇAS'!B50:B1046&amp;
" | 📅 "&amp;IF(
'BASE COBRANÇAS'!M50:M1046="",
"—",
TEXT('BASE COBRANÇAS'!M50:M1046,"DD/MM HH:MM")
)&amp;
" | 🗓️ "&amp;IF(
'BASE COBRANÇAS'!O50:O1046="",
"—",
TEXT('BASE COBRANÇAS'!O50:O1046,"DD/MM HH:MM")
)&amp;
CHAR(10)&amp;
"📍 "&amp;IF(
'BASE COBRANÇAS'!Q50:Q1046="",
"—",
'BASE COBRANÇAS'!Q50:Q1046
)&amp;
" - "&amp;IF(
'BASE COBRANÇAS'!T50:T1046="",
"—",
'BASE COBRANÇAS'!T50:T1046
),
('BASE COBRANÇAS'!F50:F1046='BASE COBRANÇAS'!F50)*
(TEXT('BASE COBRANÇAS'!O50:O1046,"DD/MM/AAAA")=
TEXT('BASE COBRANÇAS'!O50,"DD/MM/AAAA"))*
('BASE COBRANÇAS'!C50:C1046='BASE COBRANÇAS'!C50)*
('BASE COBRANÇAS'!C50:C1046&lt;&gt;"")*
('BASE COBRANÇAS'!C50:C1046&lt;&gt;"EM VIAGEM")*
('BASE COBRANÇAS'!C50:C1046&lt;&gt;"DESCONSIDERA, VALOR NÃO RASTREADO")*
('BASE COBRANÇAS'!C50:C1046&lt;&gt;"⚠️ ATENCAO - PROXIMO"),
""
)
)
),
"")</f>
        <v>🚛 STATUS TRANSPORTADORA
SMP DEVE SER CRIADA COM ATÉ 4 HORAS DE ANTECEDENCIA ANTES DO LOCAL DE CARREGAMENTO*
🏢 *Transportadora:* TRANSBOCAYUV
⚠️ ATRASADO CARREGAMENTO - SEM SMP
📦 6014918 | 📅 15/05 10:30 | 🗓️ 21/05 07:00
📍 WMB SUPERMERCADOS DOBRASIL LTDA (SAM'S) - 54335020 - JABOATAO DOS GUARARAPES/PE/BRASIL</v>
      </c>
    </row>
    <row r="51" spans="1:1" ht="243">
      <c r="A51" s="39" t="str" cm="1">
        <f t="array" aca="1" ref="A51" ca="1">IFERROR(
IF(
MATCH(
'BASE COBRANÇAS'!F51&amp;
TEXT('BASE COBRANÇAS'!O51,"DD/MM/AAAA")&amp;
'BASE COBRANÇAS'!C51,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COBRANÇAS'!F51&amp;
CHAR(10)&amp;CHAR(10)&amp;
"⚠️ "&amp;'BASE COBRANÇAS'!C51&amp;
CHAR(10)&amp;
_xlfn.TEXTJOIN(
CHAR(10)&amp;CHAR(10),
TRUE,
_xlfn._xlws.FILTER(
"📦 "&amp;'BASE COBRANÇAS'!B51:B1047&amp;
" | 📅 "&amp;IF(
'BASE COBRANÇAS'!M51:M1047="",
"—",
TEXT('BASE COBRANÇAS'!M51:M1047,"DD/MM HH:MM")
)&amp;
" | 🗓️ "&amp;IF(
'BASE COBRANÇAS'!O51:O1047="",
"—",
TEXT('BASE COBRANÇAS'!O51:O1047,"DD/MM HH:MM")
)&amp;
CHAR(10)&amp;
"📍 "&amp;IF(
'BASE COBRANÇAS'!Q51:Q1047="",
"—",
'BASE COBRANÇAS'!Q51:Q1047
)&amp;
" - "&amp;IF(
'BASE COBRANÇAS'!T51:T1047="",
"—",
'BASE COBRANÇAS'!T51:T1047
),
('BASE COBRANÇAS'!F51:F1047='BASE COBRANÇAS'!F51)*
(TEXT('BASE COBRANÇAS'!O51:O1047,"DD/MM/AAAA")=
TEXT('BASE COBRANÇAS'!O51,"DD/MM/AAAA"))*
('BASE COBRANÇAS'!C51:C1047='BASE COBRANÇAS'!C51)*
('BASE COBRANÇAS'!C51:C1047&lt;&gt;"")*
('BASE COBRANÇAS'!C51:C1047&lt;&gt;"EM VIAGEM")*
('BASE COBRANÇAS'!C51:C1047&lt;&gt;"DESCONSIDERA, VALOR NÃO RASTREADO")*
('BASE COBRANÇAS'!C51:C1047&lt;&gt;"⚠️ ATENCAO - PROXIMO"),
""
)
)
),
"")</f>
        <v>🚛 STATUS TRANSPORTADORA
SMP DEVE SER CRIADA COM ATÉ 4 HORAS DE ANTECEDENCIA ANTES DO LOCAL DE CARREGAMENTO*
🏢 *Transportadora:* TRANSBOCAYUV
⚠️ NA CLIF - COM SMP - AGUARDANDO SAÍDA
📦 6022206 | 📅 15/05 11:00 | 🗓️ 21/05 06:00
📍 GRUPO CASAS BAHIA S.A(CD1400) - 42816270 - CAMACARI/BA/BRASIL
📦 6022209 | 📅 15/05 10:00 | 🗓️ 21/05 06:00
📍 GRUPO CASAS BAHIA S.A(CD1887) - 54510000 - CABO DE SANTO AGOSTINHO/PE/BRASIL</v>
      </c>
    </row>
    <row r="52" spans="1:1" ht="243">
      <c r="A52" s="39" t="str" cm="1">
        <f t="array" aca="1" ref="A52" ca="1">IFERROR(
IF(
MATCH(
'BASE COBRANÇAS'!F52&amp;
TEXT('BASE COBRANÇAS'!O52,"DD/MM/AAAA")&amp;
'BASE COBRANÇAS'!C52,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COBRANÇAS'!F52&amp;
CHAR(10)&amp;CHAR(10)&amp;
"⚠️ "&amp;'BASE COBRANÇAS'!C52&amp;
CHAR(10)&amp;
_xlfn.TEXTJOIN(
CHAR(10)&amp;CHAR(10),
TRUE,
_xlfn._xlws.FILTER(
"📦 "&amp;'BASE COBRANÇAS'!B52:B1048&amp;
" | 📅 "&amp;IF(
'BASE COBRANÇAS'!M52:M1048="",
"—",
TEXT('BASE COBRANÇAS'!M52:M1048,"DD/MM HH:MM")
)&amp;
" | 🗓️ "&amp;IF(
'BASE COBRANÇAS'!O52:O1048="",
"—",
TEXT('BASE COBRANÇAS'!O52:O1048,"DD/MM HH:MM")
)&amp;
CHAR(10)&amp;
"📍 "&amp;IF(
'BASE COBRANÇAS'!Q52:Q1048="",
"—",
'BASE COBRANÇAS'!Q52:Q1048
)&amp;
" - "&amp;IF(
'BASE COBRANÇAS'!T52:T1048="",
"—",
'BASE COBRANÇAS'!T52:T1048
),
('BASE COBRANÇAS'!F52:F1048='BASE COBRANÇAS'!F52)*
(TEXT('BASE COBRANÇAS'!O52:O1048,"DD/MM/AAAA")=
TEXT('BASE COBRANÇAS'!O52,"DD/MM/AAAA"))*
('BASE COBRANÇAS'!C52:C1048='BASE COBRANÇAS'!C52)*
('BASE COBRANÇAS'!C52:C1048&lt;&gt;"")*
('BASE COBRANÇAS'!C52:C1048&lt;&gt;"EM VIAGEM")*
('BASE COBRANÇAS'!C52:C1048&lt;&gt;"DESCONSIDERA, VALOR NÃO RASTREADO")*
('BASE COBRANÇAS'!C52:C1048&lt;&gt;"⚠️ ATENCAO - PROXIMO"),
""
)
)
),
"")</f>
        <v/>
      </c>
    </row>
    <row r="53" spans="1:1" ht="243">
      <c r="A53" s="39" t="str" cm="1">
        <f t="array" aca="1" ref="A53" ca="1">IFERROR(
IF(
MATCH(
'BASE COBRANÇAS'!F53&amp;
TEXT('BASE COBRANÇAS'!O53,"DD/MM/AAAA")&amp;
'BASE COBRANÇAS'!C53,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COBRANÇAS'!F53&amp;
CHAR(10)&amp;CHAR(10)&amp;
"⚠️ "&amp;'BASE COBRANÇAS'!C53&amp;
CHAR(10)&amp;
_xlfn.TEXTJOIN(
CHAR(10)&amp;CHAR(10),
TRUE,
_xlfn._xlws.FILTER(
"📦 "&amp;'BASE COBRANÇAS'!B53:B1049&amp;
" | 📅 "&amp;IF(
'BASE COBRANÇAS'!M53:M1049="",
"—",
TEXT('BASE COBRANÇAS'!M53:M1049,"DD/MM HH:MM")
)&amp;
" | 🗓️ "&amp;IF(
'BASE COBRANÇAS'!O53:O1049="",
"—",
TEXT('BASE COBRANÇAS'!O53:O1049,"DD/MM HH:MM")
)&amp;
CHAR(10)&amp;
"📍 "&amp;IF(
'BASE COBRANÇAS'!Q53:Q1049="",
"—",
'BASE COBRANÇAS'!Q53:Q1049
)&amp;
" - "&amp;IF(
'BASE COBRANÇAS'!T53:T1049="",
"—",
'BASE COBRANÇAS'!T53:T1049
),
('BASE COBRANÇAS'!F53:F1049='BASE COBRANÇAS'!F53)*
(TEXT('BASE COBRANÇAS'!O53:O1049,"DD/MM/AAAA")=
TEXT('BASE COBRANÇAS'!O53,"DD/MM/AAAA"))*
('BASE COBRANÇAS'!C53:C1049='BASE COBRANÇAS'!C53)*
('BASE COBRANÇAS'!C53:C1049&lt;&gt;"")*
('BASE COBRANÇAS'!C53:C1049&lt;&gt;"EM VIAGEM")*
('BASE COBRANÇAS'!C53:C1049&lt;&gt;"DESCONSIDERA, VALOR NÃO RASTREADO")*
('BASE COBRANÇAS'!C53:C1049&lt;&gt;"⚠️ ATENCAO - PROXIMO"),
""
)
)
),
"")</f>
        <v/>
      </c>
    </row>
    <row r="54" spans="1:1" ht="243">
      <c r="A54" s="39" t="str" cm="1">
        <f t="array" aca="1" ref="A54" ca="1">IFERROR(
IF(
MATCH(
'BASE COBRANÇAS'!F54&amp;
TEXT('BASE COBRANÇAS'!O54,"DD/MM/AAAA")&amp;
'BASE COBRANÇAS'!C54,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COBRANÇAS'!F54&amp;
CHAR(10)&amp;CHAR(10)&amp;
"⚠️ "&amp;'BASE COBRANÇAS'!C54&amp;
CHAR(10)&amp;
_xlfn.TEXTJOIN(
CHAR(10)&amp;CHAR(10),
TRUE,
_xlfn._xlws.FILTER(
"📦 "&amp;'BASE COBRANÇAS'!B54:B1050&amp;
" | 📅 "&amp;IF(
'BASE COBRANÇAS'!M54:M1050="",
"—",
TEXT('BASE COBRANÇAS'!M54:M1050,"DD/MM HH:MM")
)&amp;
" | 🗓️ "&amp;IF(
'BASE COBRANÇAS'!O54:O1050="",
"—",
TEXT('BASE COBRANÇAS'!O54:O1050,"DD/MM HH:MM")
)&amp;
CHAR(10)&amp;
"📍 "&amp;IF(
'BASE COBRANÇAS'!Q54:Q1050="",
"—",
'BASE COBRANÇAS'!Q54:Q1050
)&amp;
" - "&amp;IF(
'BASE COBRANÇAS'!T54:T1050="",
"—",
'BASE COBRANÇAS'!T54:T1050
),
('BASE COBRANÇAS'!F54:F1050='BASE COBRANÇAS'!F54)*
(TEXT('BASE COBRANÇAS'!O54:O1050,"DD/MM/AAAA")=
TEXT('BASE COBRANÇAS'!O54,"DD/MM/AAAA"))*
('BASE COBRANÇAS'!C54:C1050='BASE COBRANÇAS'!C54)*
('BASE COBRANÇAS'!C54:C1050&lt;&gt;"")*
('BASE COBRANÇAS'!C54:C1050&lt;&gt;"EM VIAGEM")*
('BASE COBRANÇAS'!C54:C1050&lt;&gt;"DESCONSIDERA, VALOR NÃO RASTREADO")*
('BASE COBRANÇAS'!C54:C1050&lt;&gt;"⚠️ ATENCAO - PROXIMO"),
""
)
)
),
"")</f>
        <v/>
      </c>
    </row>
    <row r="55" spans="1:1" ht="243">
      <c r="A55" s="39" t="str" cm="1">
        <f t="array" aca="1" ref="A55" ca="1">IFERROR(
IF(
MATCH(
'BASE COBRANÇAS'!F55&amp;
TEXT('BASE COBRANÇAS'!O55,"DD/MM/AAAA")&amp;
'BASE COBRANÇAS'!C55,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COBRANÇAS'!F55&amp;
CHAR(10)&amp;CHAR(10)&amp;
"⚠️ "&amp;'BASE COBRANÇAS'!C55&amp;
CHAR(10)&amp;
_xlfn.TEXTJOIN(
CHAR(10)&amp;CHAR(10),
TRUE,
_xlfn._xlws.FILTER(
"📦 "&amp;'BASE COBRANÇAS'!B55:B1051&amp;
" | 📅 "&amp;IF(
'BASE COBRANÇAS'!M55:M1051="",
"—",
TEXT('BASE COBRANÇAS'!M55:M1051,"DD/MM HH:MM")
)&amp;
" | 🗓️ "&amp;IF(
'BASE COBRANÇAS'!O55:O1051="",
"—",
TEXT('BASE COBRANÇAS'!O55:O1051,"DD/MM HH:MM")
)&amp;
CHAR(10)&amp;
"📍 "&amp;IF(
'BASE COBRANÇAS'!Q55:Q1051="",
"—",
'BASE COBRANÇAS'!Q55:Q1051
)&amp;
" - "&amp;IF(
'BASE COBRANÇAS'!T55:T1051="",
"—",
'BASE COBRANÇAS'!T55:T1051
),
('BASE COBRANÇAS'!F55:F1051='BASE COBRANÇAS'!F55)*
(TEXT('BASE COBRANÇAS'!O55:O1051,"DD/MM/AAAA")=
TEXT('BASE COBRANÇAS'!O55,"DD/MM/AAAA"))*
('BASE COBRANÇAS'!C55:C1051='BASE COBRANÇAS'!C55)*
('BASE COBRANÇAS'!C55:C1051&lt;&gt;"")*
('BASE COBRANÇAS'!C55:C1051&lt;&gt;"EM VIAGEM")*
('BASE COBRANÇAS'!C55:C1051&lt;&gt;"DESCONSIDERA, VALOR NÃO RASTREADO")*
('BASE COBRANÇAS'!C55:C1051&lt;&gt;"⚠️ ATENCAO - PROXIMO"),
""
)
)
),
"")</f>
        <v/>
      </c>
    </row>
    <row r="56" spans="1:1" ht="243">
      <c r="A56" s="39" t="str" cm="1">
        <f t="array" aca="1" ref="A56" ca="1">IFERROR(
IF(
MATCH(
'BASE COBRANÇAS'!F56&amp;
TEXT('BASE COBRANÇAS'!O56,"DD/MM/AAAA")&amp;
'BASE COBRANÇAS'!C56,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COBRANÇAS'!F56&amp;
CHAR(10)&amp;CHAR(10)&amp;
"⚠️ "&amp;'BASE COBRANÇAS'!C56&amp;
CHAR(10)&amp;
_xlfn.TEXTJOIN(
CHAR(10)&amp;CHAR(10),
TRUE,
_xlfn._xlws.FILTER(
"📦 "&amp;'BASE COBRANÇAS'!B56:B1052&amp;
" | 📅 "&amp;IF(
'BASE COBRANÇAS'!M56:M1052="",
"—",
TEXT('BASE COBRANÇAS'!M56:M1052,"DD/MM HH:MM")
)&amp;
" | 🗓️ "&amp;IF(
'BASE COBRANÇAS'!O56:O1052="",
"—",
TEXT('BASE COBRANÇAS'!O56:O1052,"DD/MM HH:MM")
)&amp;
CHAR(10)&amp;
"📍 "&amp;IF(
'BASE COBRANÇAS'!Q56:Q1052="",
"—",
'BASE COBRANÇAS'!Q56:Q1052
)&amp;
" - "&amp;IF(
'BASE COBRANÇAS'!T56:T1052="",
"—",
'BASE COBRANÇAS'!T56:T1052
),
('BASE COBRANÇAS'!F56:F1052='BASE COBRANÇAS'!F56)*
(TEXT('BASE COBRANÇAS'!O56:O1052,"DD/MM/AAAA")=
TEXT('BASE COBRANÇAS'!O56,"DD/MM/AAAA"))*
('BASE COBRANÇAS'!C56:C1052='BASE COBRANÇAS'!C56)*
('BASE COBRANÇAS'!C56:C1052&lt;&gt;"")*
('BASE COBRANÇAS'!C56:C1052&lt;&gt;"EM VIAGEM")*
('BASE COBRANÇAS'!C56:C1052&lt;&gt;"DESCONSIDERA, VALOR NÃO RASTREADO")*
('BASE COBRANÇAS'!C56:C1052&lt;&gt;"⚠️ ATENCAO - PROXIMO"),
""
)
)
),
"")</f>
        <v/>
      </c>
    </row>
    <row r="57" spans="1:1" ht="243">
      <c r="A57" s="39" t="str" cm="1">
        <f t="array" aca="1" ref="A57" ca="1">IFERROR(
IF(
MATCH(
'BASE COBRANÇAS'!F57&amp;
TEXT('BASE COBRANÇAS'!O57,"DD/MM/AAAA")&amp;
'BASE COBRANÇAS'!C57,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COBRANÇAS'!F57&amp;
CHAR(10)&amp;CHAR(10)&amp;
"⚠️ "&amp;'BASE COBRANÇAS'!C57&amp;
CHAR(10)&amp;
_xlfn.TEXTJOIN(
CHAR(10)&amp;CHAR(10),
TRUE,
_xlfn._xlws.FILTER(
"📦 "&amp;'BASE COBRANÇAS'!B57:B1053&amp;
" | 📅 "&amp;IF(
'BASE COBRANÇAS'!M57:M1053="",
"—",
TEXT('BASE COBRANÇAS'!M57:M1053,"DD/MM HH:MM")
)&amp;
" | 🗓️ "&amp;IF(
'BASE COBRANÇAS'!O57:O1053="",
"—",
TEXT('BASE COBRANÇAS'!O57:O1053,"DD/MM HH:MM")
)&amp;
CHAR(10)&amp;
"📍 "&amp;IF(
'BASE COBRANÇAS'!Q57:Q1053="",
"—",
'BASE COBRANÇAS'!Q57:Q1053
)&amp;
" - "&amp;IF(
'BASE COBRANÇAS'!T57:T1053="",
"—",
'BASE COBRANÇAS'!T57:T1053
),
('BASE COBRANÇAS'!F57:F1053='BASE COBRANÇAS'!F57)*
(TEXT('BASE COBRANÇAS'!O57:O1053,"DD/MM/AAAA")=
TEXT('BASE COBRANÇAS'!O57,"DD/MM/AAAA"))*
('BASE COBRANÇAS'!C57:C1053='BASE COBRANÇAS'!C57)*
('BASE COBRANÇAS'!C57:C1053&lt;&gt;"")*
('BASE COBRANÇAS'!C57:C1053&lt;&gt;"EM VIAGEM")*
('BASE COBRANÇAS'!C57:C1053&lt;&gt;"DESCONSIDERA, VALOR NÃO RASTREADO")*
('BASE COBRANÇAS'!C57:C1053&lt;&gt;"⚠️ ATENCAO - PROXIMO"),
""
)
)
),
"")</f>
        <v>🚛 STATUS TRANSPORTADORA
SMP DEVE SER CRIADA COM ATÉ 4 HORAS DE ANTECEDENCIA ANTES DO LOCAL DE CARREGAMENTO*
🏢 *Transportadora:* TRANSBOCAYUV
⚠️ ATRASADO CARREGAMENTO - SEM SMP
📦 6022260 | 📅 15/05 10:30 | 🗓️ 22/05 06:00
📍 MAGAZINE LUIZA S/A (CD0991) - 58320000 - ALHANDRA/PB/BRASIL
📦 6022227 | 📅 16/05 08:00 | 🗓️ 22/05 06:00
📍 CARREFOUR COMERCIO E INDUSTRIA LTDA - 25085370 - DUQUE DE CAXIAS/RJ
📦 6023014 | 📅 16/05 08:00 | 🗓️ 22/05 06:00
📍 GRUPO CASAS BAHIA S.A(CD1401) - 25255030 - DUQUE DE CAXIAS/RJ</v>
      </c>
    </row>
    <row r="58" spans="1:1" ht="243">
      <c r="A58" s="39" t="str" cm="1">
        <f t="array" aca="1" ref="A58" ca="1">IFERROR(
IF(
MATCH(
'BASE COBRANÇAS'!F58&amp;
TEXT('BASE COBRANÇAS'!O58,"DD/MM/AAAA")&amp;
'BASE COBRANÇAS'!C58,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COBRANÇAS'!F58&amp;
CHAR(10)&amp;CHAR(10)&amp;
"⚠️ "&amp;'BASE COBRANÇAS'!C58&amp;
CHAR(10)&amp;
_xlfn.TEXTJOIN(
CHAR(10)&amp;CHAR(10),
TRUE,
_xlfn._xlws.FILTER(
"📦 "&amp;'BASE COBRANÇAS'!B58:B1054&amp;
" | 📅 "&amp;IF(
'BASE COBRANÇAS'!M58:M1054="",
"—",
TEXT('BASE COBRANÇAS'!M58:M1054,"DD/MM HH:MM")
)&amp;
" | 🗓️ "&amp;IF(
'BASE COBRANÇAS'!O58:O1054="",
"—",
TEXT('BASE COBRANÇAS'!O58:O1054,"DD/MM HH:MM")
)&amp;
CHAR(10)&amp;
"📍 "&amp;IF(
'BASE COBRANÇAS'!Q58:Q1054="",
"—",
'BASE COBRANÇAS'!Q58:Q1054
)&amp;
" - "&amp;IF(
'BASE COBRANÇAS'!T58:T1054="",
"—",
'BASE COBRANÇAS'!T58:T1054
),
('BASE COBRANÇAS'!F58:F1054='BASE COBRANÇAS'!F58)*
(TEXT('BASE COBRANÇAS'!O58:O1054,"DD/MM/AAAA")=
TEXT('BASE COBRANÇAS'!O58,"DD/MM/AAAA"))*
('BASE COBRANÇAS'!C58:C1054='BASE COBRANÇAS'!C58)*
('BASE COBRANÇAS'!C58:C1054&lt;&gt;"")*
('BASE COBRANÇAS'!C58:C1054&lt;&gt;"EM VIAGEM")*
('BASE COBRANÇAS'!C58:C1054&lt;&gt;"DESCONSIDERA, VALOR NÃO RASTREADO")*
('BASE COBRANÇAS'!C58:C1054&lt;&gt;"⚠️ ATENCAO - PROXIMO"),
""
)
)
),
"")</f>
        <v>🚛 STATUS TRANSPORTADORA
SMP DEVE SER CRIADA COM ATÉ 4 HORAS DE ANTECEDENCIA ANTES DO LOCAL DE CARREGAMENTO*
🏢 *Transportadora:* MINAS SUL
⚠️ ATRASADO CARREGAMENTO - SEM SMP
📦 6015357 | 📅 16/05 10:00 | 🗓️ 17/05 23:00
📍 CARREFOUR COM IND LTDA - 06278010 - OSASCO/SP/BRASIL</v>
      </c>
    </row>
    <row r="59" spans="1:1" ht="243">
      <c r="A59" s="39" t="str" cm="1">
        <f t="array" aca="1" ref="A59" ca="1">IFERROR(
IF(
MATCH(
'BASE COBRANÇAS'!F59&amp;
TEXT('BASE COBRANÇAS'!O59,"DD/MM/AAAA")&amp;
'BASE COBRANÇAS'!C59,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COBRANÇAS'!F59&amp;
CHAR(10)&amp;CHAR(10)&amp;
"⚠️ "&amp;'BASE COBRANÇAS'!C59&amp;
CHAR(10)&amp;
_xlfn.TEXTJOIN(
CHAR(10)&amp;CHAR(10),
TRUE,
_xlfn._xlws.FILTER(
"📦 "&amp;'BASE COBRANÇAS'!B59:B1055&amp;
" | 📅 "&amp;IF(
'BASE COBRANÇAS'!M59:M1055="",
"—",
TEXT('BASE COBRANÇAS'!M59:M1055,"DD/MM HH:MM")
)&amp;
" | 🗓️ "&amp;IF(
'BASE COBRANÇAS'!O59:O1055="",
"—",
TEXT('BASE COBRANÇAS'!O59:O1055,"DD/MM HH:MM")
)&amp;
CHAR(10)&amp;
"📍 "&amp;IF(
'BASE COBRANÇAS'!Q59:Q1055="",
"—",
'BASE COBRANÇAS'!Q59:Q1055
)&amp;
" - "&amp;IF(
'BASE COBRANÇAS'!T59:T1055="",
"—",
'BASE COBRANÇAS'!T59:T1055
),
('BASE COBRANÇAS'!F59:F1055='BASE COBRANÇAS'!F59)*
(TEXT('BASE COBRANÇAS'!O59:O1055,"DD/MM/AAAA")=
TEXT('BASE COBRANÇAS'!O59,"DD/MM/AAAA"))*
('BASE COBRANÇAS'!C59:C1055='BASE COBRANÇAS'!C59)*
('BASE COBRANÇAS'!C59:C1055&lt;&gt;"")*
('BASE COBRANÇAS'!C59:C1055&lt;&gt;"EM VIAGEM")*
('BASE COBRANÇAS'!C59:C1055&lt;&gt;"DESCONSIDERA, VALOR NÃO RASTREADO")*
('BASE COBRANÇAS'!C59:C1055&lt;&gt;"⚠️ ATENCAO - PROXIMO"),
""
)
)
),
"")</f>
        <v/>
      </c>
    </row>
    <row r="60" spans="1:1" ht="243">
      <c r="A60" s="39" t="str" cm="1">
        <f t="array" aca="1" ref="A60" ca="1">IFERROR(
IF(
MATCH(
'BASE COBRANÇAS'!F60&amp;
TEXT('BASE COBRANÇAS'!O60,"DD/MM/AAAA")&amp;
'BASE COBRANÇAS'!C60,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COBRANÇAS'!F60&amp;
CHAR(10)&amp;CHAR(10)&amp;
"⚠️ "&amp;'BASE COBRANÇAS'!C60&amp;
CHAR(10)&amp;
_xlfn.TEXTJOIN(
CHAR(10)&amp;CHAR(10),
TRUE,
_xlfn._xlws.FILTER(
"📦 "&amp;'BASE COBRANÇAS'!B60:B1056&amp;
" | 📅 "&amp;IF(
'BASE COBRANÇAS'!M60:M1056="",
"—",
TEXT('BASE COBRANÇAS'!M60:M1056,"DD/MM HH:MM")
)&amp;
" | 🗓️ "&amp;IF(
'BASE COBRANÇAS'!O60:O1056="",
"—",
TEXT('BASE COBRANÇAS'!O60:O1056,"DD/MM HH:MM")
)&amp;
CHAR(10)&amp;
"📍 "&amp;IF(
'BASE COBRANÇAS'!Q60:Q1056="",
"—",
'BASE COBRANÇAS'!Q60:Q1056
)&amp;
" - "&amp;IF(
'BASE COBRANÇAS'!T60:T1056="",
"—",
'BASE COBRANÇAS'!T60:T1056
),
('BASE COBRANÇAS'!F60:F1056='BASE COBRANÇAS'!F60)*
(TEXT('BASE COBRANÇAS'!O60:O1056,"DD/MM/AAAA")=
TEXT('BASE COBRANÇAS'!O60,"DD/MM/AAAA"))*
('BASE COBRANÇAS'!C60:C1056='BASE COBRANÇAS'!C60)*
('BASE COBRANÇAS'!C60:C1056&lt;&gt;"")*
('BASE COBRANÇAS'!C60:C1056&lt;&gt;"EM VIAGEM")*
('BASE COBRANÇAS'!C60:C1056&lt;&gt;"DESCONSIDERA, VALOR NÃO RASTREADO")*
('BASE COBRANÇAS'!C60:C1056&lt;&gt;"⚠️ ATENCAO - PROXIMO"),
""
)
)
),
"")</f>
        <v/>
      </c>
    </row>
    <row r="61" spans="1:1" ht="243">
      <c r="A61" s="39" t="str" cm="1">
        <f t="array" aca="1" ref="A61" ca="1">IFERROR(
IF(
MATCH(
'BASE COBRANÇAS'!F61&amp;
TEXT('BASE COBRANÇAS'!O61,"DD/MM/AAAA")&amp;
'BASE COBRANÇAS'!C61,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COBRANÇAS'!F61&amp;
CHAR(10)&amp;CHAR(10)&amp;
"⚠️ "&amp;'BASE COBRANÇAS'!C61&amp;
CHAR(10)&amp;
_xlfn.TEXTJOIN(
CHAR(10)&amp;CHAR(10),
TRUE,
_xlfn._xlws.FILTER(
"📦 "&amp;'BASE COBRANÇAS'!B61:B1057&amp;
" | 📅 "&amp;IF(
'BASE COBRANÇAS'!M61:M1057="",
"—",
TEXT('BASE COBRANÇAS'!M61:M1057,"DD/MM HH:MM")
)&amp;
" | 🗓️ "&amp;IF(
'BASE COBRANÇAS'!O61:O1057="",
"—",
TEXT('BASE COBRANÇAS'!O61:O1057,"DD/MM HH:MM")
)&amp;
CHAR(10)&amp;
"📍 "&amp;IF(
'BASE COBRANÇAS'!Q61:Q1057="",
"—",
'BASE COBRANÇAS'!Q61:Q1057
)&amp;
" - "&amp;IF(
'BASE COBRANÇAS'!T61:T1057="",
"—",
'BASE COBRANÇAS'!T61:T1057
),
('BASE COBRANÇAS'!F61:F1057='BASE COBRANÇAS'!F61)*
(TEXT('BASE COBRANÇAS'!O61:O1057,"DD/MM/AAAA")=
TEXT('BASE COBRANÇAS'!O61,"DD/MM/AAAA"))*
('BASE COBRANÇAS'!C61:C1057='BASE COBRANÇAS'!C61)*
('BASE COBRANÇAS'!C61:C1057&lt;&gt;"")*
('BASE COBRANÇAS'!C61:C1057&lt;&gt;"EM VIAGEM")*
('BASE COBRANÇAS'!C61:C1057&lt;&gt;"DESCONSIDERA, VALOR NÃO RASTREADO")*
('BASE COBRANÇAS'!C61:C1057&lt;&gt;"⚠️ ATENCAO - PROXIMO"),
""
)
)
),
"")</f>
        <v>🚛 STATUS TRANSPORTADORA
SMP DEVE SER CRIADA COM ATÉ 4 HORAS DE ANTECEDENCIA ANTES DO LOCAL DE CARREGAMENTO*
🏢 *Transportadora:* WSC
⚠️ OK - NO PRAZO
📦 6023031 | 📅 18/05 17:00 | 🗓️ 27/05 06:00
📍 GRUPO CASAS BAHIA S.A(CD2241) - 67200000 - MARITUBA/PA/BRASIL</v>
      </c>
    </row>
    <row r="62" spans="1:1" ht="243">
      <c r="A62" s="39" t="str" cm="1">
        <f t="array" aca="1" ref="A62" ca="1">IFERROR(
IF(
MATCH(
'BASE COBRANÇAS'!F62&amp;
TEXT('BASE COBRANÇAS'!O62,"DD/MM/AAAA")&amp;
'BASE COBRANÇAS'!C62,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COBRANÇAS'!F62&amp;
CHAR(10)&amp;CHAR(10)&amp;
"⚠️ "&amp;'BASE COBRANÇAS'!C62&amp;
CHAR(10)&amp;
_xlfn.TEXTJOIN(
CHAR(10)&amp;CHAR(10),
TRUE,
_xlfn._xlws.FILTER(
"📦 "&amp;'BASE COBRANÇAS'!B62:B1058&amp;
" | 📅 "&amp;IF(
'BASE COBRANÇAS'!M62:M1058="",
"—",
TEXT('BASE COBRANÇAS'!M62:M1058,"DD/MM HH:MM")
)&amp;
" | 🗓️ "&amp;IF(
'BASE COBRANÇAS'!O62:O1058="",
"—",
TEXT('BASE COBRANÇAS'!O62:O1058,"DD/MM HH:MM")
)&amp;
CHAR(10)&amp;
"📍 "&amp;IF(
'BASE COBRANÇAS'!Q62:Q1058="",
"—",
'BASE COBRANÇAS'!Q62:Q1058
)&amp;
" - "&amp;IF(
'BASE COBRANÇAS'!T62:T1058="",
"—",
'BASE COBRANÇAS'!T62:T1058
),
('BASE COBRANÇAS'!F62:F1058='BASE COBRANÇAS'!F62)*
(TEXT('BASE COBRANÇAS'!O62:O1058,"DD/MM/AAAA")=
TEXT('BASE COBRANÇAS'!O62,"DD/MM/AAAA"))*
('BASE COBRANÇAS'!C62:C1058='BASE COBRANÇAS'!C62)*
('BASE COBRANÇAS'!C62:C1058&lt;&gt;"")*
('BASE COBRANÇAS'!C62:C1058&lt;&gt;"EM VIAGEM")*
('BASE COBRANÇAS'!C62:C1058&lt;&gt;"DESCONSIDERA, VALOR NÃO RASTREADO")*
('BASE COBRANÇAS'!C62:C1058&lt;&gt;"⚠️ ATENCAO - PROXIMO"),
""
)
)
),
"")</f>
        <v/>
      </c>
    </row>
    <row r="63" spans="1:1" ht="243">
      <c r="A63" s="39" t="str" cm="1">
        <f t="array" aca="1" ref="A63" ca="1">IFERROR(
IF(
MATCH(
'BASE COBRANÇAS'!F63&amp;
TEXT('BASE COBRANÇAS'!O63,"DD/MM/AAAA")&amp;
'BASE COBRANÇAS'!C63,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COBRANÇAS'!F63&amp;
CHAR(10)&amp;CHAR(10)&amp;
"⚠️ "&amp;'BASE COBRANÇAS'!C63&amp;
CHAR(10)&amp;
_xlfn.TEXTJOIN(
CHAR(10)&amp;CHAR(10),
TRUE,
_xlfn._xlws.FILTER(
"📦 "&amp;'BASE COBRANÇAS'!B63:B1059&amp;
" | 📅 "&amp;IF(
'BASE COBRANÇAS'!M63:M1059="",
"—",
TEXT('BASE COBRANÇAS'!M63:M1059,"DD/MM HH:MM")
)&amp;
" | 🗓️ "&amp;IF(
'BASE COBRANÇAS'!O63:O1059="",
"—",
TEXT('BASE COBRANÇAS'!O63:O1059,"DD/MM HH:MM")
)&amp;
CHAR(10)&amp;
"📍 "&amp;IF(
'BASE COBRANÇAS'!Q63:Q1059="",
"—",
'BASE COBRANÇAS'!Q63:Q1059
)&amp;
" - "&amp;IF(
'BASE COBRANÇAS'!T63:T1059="",
"—",
'BASE COBRANÇAS'!T63:T1059
),
('BASE COBRANÇAS'!F63:F1059='BASE COBRANÇAS'!F63)*
(TEXT('BASE COBRANÇAS'!O63:O1059,"DD/MM/AAAA")=
TEXT('BASE COBRANÇAS'!O63,"DD/MM/AAAA"))*
('BASE COBRANÇAS'!C63:C1059='BASE COBRANÇAS'!C63)*
('BASE COBRANÇAS'!C63:C1059&lt;&gt;"")*
('BASE COBRANÇAS'!C63:C1059&lt;&gt;"EM VIAGEM")*
('BASE COBRANÇAS'!C63:C1059&lt;&gt;"DESCONSIDERA, VALOR NÃO RASTREADO")*
('BASE COBRANÇAS'!C63:C1059&lt;&gt;"⚠️ ATENCAO - PROXIMO"),
""
)
)
),
"")</f>
        <v/>
      </c>
    </row>
    <row r="64" spans="1:1" ht="243">
      <c r="A64" s="39" t="str" cm="1">
        <f t="array" aca="1" ref="A64" ca="1">IFERROR(
IF(
MATCH(
'BASE COBRANÇAS'!F64&amp;
TEXT('BASE COBRANÇAS'!O64,"DD/MM/AAAA")&amp;
'BASE COBRANÇAS'!C64,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COBRANÇAS'!F64&amp;
CHAR(10)&amp;CHAR(10)&amp;
"⚠️ "&amp;'BASE COBRANÇAS'!C64&amp;
CHAR(10)&amp;
_xlfn.TEXTJOIN(
CHAR(10)&amp;CHAR(10),
TRUE,
_xlfn._xlws.FILTER(
"📦 "&amp;'BASE COBRANÇAS'!B64:B1060&amp;
" | 📅 "&amp;IF(
'BASE COBRANÇAS'!M64:M1060="",
"—",
TEXT('BASE COBRANÇAS'!M64:M1060,"DD/MM HH:MM")
)&amp;
" | 🗓️ "&amp;IF(
'BASE COBRANÇAS'!O64:O1060="",
"—",
TEXT('BASE COBRANÇAS'!O64:O1060,"DD/MM HH:MM")
)&amp;
CHAR(10)&amp;
"📍 "&amp;IF(
'BASE COBRANÇAS'!Q64:Q1060="",
"—",
'BASE COBRANÇAS'!Q64:Q1060
)&amp;
" - "&amp;IF(
'BASE COBRANÇAS'!T64:T1060="",
"—",
'BASE COBRANÇAS'!T64:T1060
),
('BASE COBRANÇAS'!F64:F1060='BASE COBRANÇAS'!F64)*
(TEXT('BASE COBRANÇAS'!O64:O1060,"DD/MM/AAAA")=
TEXT('BASE COBRANÇAS'!O64,"DD/MM/AAAA"))*
('BASE COBRANÇAS'!C64:C1060='BASE COBRANÇAS'!C64)*
('BASE COBRANÇAS'!C64:C1060&lt;&gt;"")*
('BASE COBRANÇAS'!C64:C1060&lt;&gt;"EM VIAGEM")*
('BASE COBRANÇAS'!C64:C1060&lt;&gt;"DESCONSIDERA, VALOR NÃO RASTREADO")*
('BASE COBRANÇAS'!C64:C1060&lt;&gt;"⚠️ ATENCAO - PROXIMO"),
""
)
)
),
"")</f>
        <v xml:space="preserve">🚛 STATUS TRANSPORTADORA
SMP DEVE SER CRIADA COM ATÉ 4 HORAS DE ANTECEDENCIA ANTES DO LOCAL DE CARREGAMENTO*
🏢 *Transportadora:* LX PANTOS
⚠️ EM VIAGEM
</v>
      </c>
    </row>
    <row r="65" spans="1:1" ht="243">
      <c r="A65" s="39" t="str" cm="1">
        <f t="array" aca="1" ref="A65" ca="1">IFERROR(
IF(
MATCH(
'BASE COBRANÇAS'!F65&amp;
TEXT('BASE COBRANÇAS'!O65,"DD/MM/AAAA")&amp;
'BASE COBRANÇAS'!C65,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COBRANÇAS'!F65&amp;
CHAR(10)&amp;CHAR(10)&amp;
"⚠️ "&amp;'BASE COBRANÇAS'!C65&amp;
CHAR(10)&amp;
_xlfn.TEXTJOIN(
CHAR(10)&amp;CHAR(10),
TRUE,
_xlfn._xlws.FILTER(
"📦 "&amp;'BASE COBRANÇAS'!B65:B1061&amp;
" | 📅 "&amp;IF(
'BASE COBRANÇAS'!M65:M1061="",
"—",
TEXT('BASE COBRANÇAS'!M65:M1061,"DD/MM HH:MM")
)&amp;
" | 🗓️ "&amp;IF(
'BASE COBRANÇAS'!O65:O1061="",
"—",
TEXT('BASE COBRANÇAS'!O65:O1061,"DD/MM HH:MM")
)&amp;
CHAR(10)&amp;
"📍 "&amp;IF(
'BASE COBRANÇAS'!Q65:Q1061="",
"—",
'BASE COBRANÇAS'!Q65:Q1061
)&amp;
" - "&amp;IF(
'BASE COBRANÇAS'!T65:T1061="",
"—",
'BASE COBRANÇAS'!T65:T1061
),
('BASE COBRANÇAS'!F65:F1061='BASE COBRANÇAS'!F65)*
(TEXT('BASE COBRANÇAS'!O65:O1061,"DD/MM/AAAA")=
TEXT('BASE COBRANÇAS'!O65,"DD/MM/AAAA"))*
('BASE COBRANÇAS'!C65:C1061='BASE COBRANÇAS'!C65)*
('BASE COBRANÇAS'!C65:C1061&lt;&gt;"")*
('BASE COBRANÇAS'!C65:C1061&lt;&gt;"EM VIAGEM")*
('BASE COBRANÇAS'!C65:C1061&lt;&gt;"DESCONSIDERA, VALOR NÃO RASTREADO")*
('BASE COBRANÇAS'!C65:C1061&lt;&gt;"⚠️ ATENCAO - PROXIMO"),
""
)
)
),
"")</f>
        <v/>
      </c>
    </row>
    <row r="66" spans="1:1" ht="243">
      <c r="A66" s="39" t="str" cm="1">
        <f t="array" aca="1" ref="A66" ca="1">IFERROR(
IF(
MATCH(
'BASE COBRANÇAS'!F66&amp;
TEXT('BASE COBRANÇAS'!O66,"DD/MM/AAAA")&amp;
'BASE COBRANÇAS'!C66,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COBRANÇAS'!F66&amp;
CHAR(10)&amp;CHAR(10)&amp;
"⚠️ "&amp;'BASE COBRANÇAS'!C66&amp;
CHAR(10)&amp;
_xlfn.TEXTJOIN(
CHAR(10)&amp;CHAR(10),
TRUE,
_xlfn._xlws.FILTER(
"📦 "&amp;'BASE COBRANÇAS'!B66:B1062&amp;
" | 📅 "&amp;IF(
'BASE COBRANÇAS'!M66:M1062="",
"—",
TEXT('BASE COBRANÇAS'!M66:M1062,"DD/MM HH:MM")
)&amp;
" | 🗓️ "&amp;IF(
'BASE COBRANÇAS'!O66:O1062="",
"—",
TEXT('BASE COBRANÇAS'!O66:O1062,"DD/MM HH:MM")
)&amp;
CHAR(10)&amp;
"📍 "&amp;IF(
'BASE COBRANÇAS'!Q66:Q1062="",
"—",
'BASE COBRANÇAS'!Q66:Q1062
)&amp;
" - "&amp;IF(
'BASE COBRANÇAS'!T66:T1062="",
"—",
'BASE COBRANÇAS'!T66:T1062
),
('BASE COBRANÇAS'!F66:F1062='BASE COBRANÇAS'!F66)*
(TEXT('BASE COBRANÇAS'!O66:O1062,"DD/MM/AAAA")=
TEXT('BASE COBRANÇAS'!O66,"DD/MM/AAAA"))*
('BASE COBRANÇAS'!C66:C1062='BASE COBRANÇAS'!C66)*
('BASE COBRANÇAS'!C66:C1062&lt;&gt;"")*
('BASE COBRANÇAS'!C66:C1062&lt;&gt;"EM VIAGEM")*
('BASE COBRANÇAS'!C66:C1062&lt;&gt;"DESCONSIDERA, VALOR NÃO RASTREADO")*
('BASE COBRANÇAS'!C66:C1062&lt;&gt;"⚠️ ATENCAO - PROXIMO"),
""
)
)
),
"")</f>
        <v>🚛 STATUS TRANSPORTADORA
SMP DEVE SER CRIADA COM ATÉ 4 HORAS DE ANTECEDENCIA ANTES DO LOCAL DE CARREGAMENTO*
🏢 *Transportadora:* WSC
⚠️ ATRASADO CARREGAMENTO - SEM SMP
📦 6022251 | 📅 15/05 19:00 | 🗓️ 27/05 06:00
📍 MAGAZINE LUIZA S/A (CD2650) - 68795000 - BENEVIDES/PA/BRASIL</v>
      </c>
    </row>
    <row r="67" spans="1:1" ht="243">
      <c r="A67" s="39" t="str" cm="1">
        <f t="array" aca="1" ref="A67" ca="1">IFERROR(
IF(
MATCH(
'BASE COBRANÇAS'!F67&amp;
TEXT('BASE COBRANÇAS'!O67,"DD/MM/AAAA")&amp;
'BASE COBRANÇAS'!C67,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COBRANÇAS'!F67&amp;
CHAR(10)&amp;CHAR(10)&amp;
"⚠️ "&amp;'BASE COBRANÇAS'!C67&amp;
CHAR(10)&amp;
_xlfn.TEXTJOIN(
CHAR(10)&amp;CHAR(10),
TRUE,
_xlfn._xlws.FILTER(
"📦 "&amp;'BASE COBRANÇAS'!B67:B1063&amp;
" | 📅 "&amp;IF(
'BASE COBRANÇAS'!M67:M1063="",
"—",
TEXT('BASE COBRANÇAS'!M67:M1063,"DD/MM HH:MM")
)&amp;
" | 🗓️ "&amp;IF(
'BASE COBRANÇAS'!O67:O1063="",
"—",
TEXT('BASE COBRANÇAS'!O67:O1063,"DD/MM HH:MM")
)&amp;
CHAR(10)&amp;
"📍 "&amp;IF(
'BASE COBRANÇAS'!Q67:Q1063="",
"—",
'BASE COBRANÇAS'!Q67:Q1063
)&amp;
" - "&amp;IF(
'BASE COBRANÇAS'!T67:T1063="",
"—",
'BASE COBRANÇAS'!T67:T1063
),
('BASE COBRANÇAS'!F67:F1063='BASE COBRANÇAS'!F67)*
(TEXT('BASE COBRANÇAS'!O67:O1063,"DD/MM/AAAA")=
TEXT('BASE COBRANÇAS'!O67,"DD/MM/AAAA"))*
('BASE COBRANÇAS'!C67:C1063='BASE COBRANÇAS'!C67)*
('BASE COBRANÇAS'!C67:C1063&lt;&gt;"")*
('BASE COBRANÇAS'!C67:C1063&lt;&gt;"EM VIAGEM")*
('BASE COBRANÇAS'!C67:C1063&lt;&gt;"DESCONSIDERA, VALOR NÃO RASTREADO")*
('BASE COBRANÇAS'!C67:C1063&lt;&gt;"⚠️ ATENCAO - PROXIMO"),
""
)
)
),
"")</f>
        <v xml:space="preserve">🚛 STATUS TRANSPORTADORA
SMP DEVE SER CRIADA COM ATÉ 4 HORAS DE ANTECEDENCIA ANTES DO LOCAL DE CARREGAMENTO*
🏢 *Transportadora:* TRANSKING
⚠️ EM VIAGEM
</v>
      </c>
    </row>
    <row r="68" spans="1:1" ht="243">
      <c r="A68" s="39" t="str" cm="1">
        <f t="array" aca="1" ref="A68" ca="1">IFERROR(
IF(
MATCH(
'BASE COBRANÇAS'!F68&amp;
TEXT('BASE COBRANÇAS'!O68,"DD/MM/AAAA")&amp;
'BASE COBRANÇAS'!C68,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COBRANÇAS'!F68&amp;
CHAR(10)&amp;CHAR(10)&amp;
"⚠️ "&amp;'BASE COBRANÇAS'!C68&amp;
CHAR(10)&amp;
_xlfn.TEXTJOIN(
CHAR(10)&amp;CHAR(10),
TRUE,
_xlfn._xlws.FILTER(
"📦 "&amp;'BASE COBRANÇAS'!B68:B1064&amp;
" | 📅 "&amp;IF(
'BASE COBRANÇAS'!M68:M1064="",
"—",
TEXT('BASE COBRANÇAS'!M68:M1064,"DD/MM HH:MM")
)&amp;
" | 🗓️ "&amp;IF(
'BASE COBRANÇAS'!O68:O1064="",
"—",
TEXT('BASE COBRANÇAS'!O68:O1064,"DD/MM HH:MM")
)&amp;
CHAR(10)&amp;
"📍 "&amp;IF(
'BASE COBRANÇAS'!Q68:Q1064="",
"—",
'BASE COBRANÇAS'!Q68:Q1064
)&amp;
" - "&amp;IF(
'BASE COBRANÇAS'!T68:T1064="",
"—",
'BASE COBRANÇAS'!T68:T1064
),
('BASE COBRANÇAS'!F68:F1064='BASE COBRANÇAS'!F68)*
(TEXT('BASE COBRANÇAS'!O68:O1064,"DD/MM/AAAA")=
TEXT('BASE COBRANÇAS'!O68,"DD/MM/AAAA"))*
('BASE COBRANÇAS'!C68:C1064='BASE COBRANÇAS'!C68)*
('BASE COBRANÇAS'!C68:C1064&lt;&gt;"")*
('BASE COBRANÇAS'!C68:C1064&lt;&gt;"EM VIAGEM")*
('BASE COBRANÇAS'!C68:C1064&lt;&gt;"DESCONSIDERA, VALOR NÃO RASTREADO")*
('BASE COBRANÇAS'!C68:C1064&lt;&gt;"⚠️ ATENCAO - PROXIMO"),
""
)
)
),
"")</f>
        <v>🚛 STATUS TRANSPORTADORA
SMP DEVE SER CRIADA COM ATÉ 4 HORAS DE ANTECEDENCIA ANTES DO LOCAL DE CARREGAMENTO*
🏢 *Transportadora:* WSC
⚠️ ATRASADO CARREGAMENTO - SEM SMP
📦 6014921 | 📅 15/05 17:00 | 🗓️ 20/05 08:00
📍 WMB SUPERMERCADOS DO BRASIL LTDA. - 72549901 - BRASILIA/DF/BRASIL</v>
      </c>
    </row>
    <row r="69" spans="1:1" ht="243">
      <c r="A69" s="39" t="str" cm="1">
        <f t="array" aca="1" ref="A69" ca="1">IFERROR(
IF(
MATCH(
'BASE COBRANÇAS'!F69&amp;
TEXT('BASE COBRANÇAS'!O69,"DD/MM/AAAA")&amp;
'BASE COBRANÇAS'!C69,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COBRANÇAS'!F69&amp;
CHAR(10)&amp;CHAR(10)&amp;
"⚠️ "&amp;'BASE COBRANÇAS'!C69&amp;
CHAR(10)&amp;
_xlfn.TEXTJOIN(
CHAR(10)&amp;CHAR(10),
TRUE,
_xlfn._xlws.FILTER(
"📦 "&amp;'BASE COBRANÇAS'!B69:B1065&amp;
" | 📅 "&amp;IF(
'BASE COBRANÇAS'!M69:M1065="",
"—",
TEXT('BASE COBRANÇAS'!M69:M1065,"DD/MM HH:MM")
)&amp;
" | 🗓️ "&amp;IF(
'BASE COBRANÇAS'!O69:O1065="",
"—",
TEXT('BASE COBRANÇAS'!O69:O1065,"DD/MM HH:MM")
)&amp;
CHAR(10)&amp;
"📍 "&amp;IF(
'BASE COBRANÇAS'!Q69:Q1065="",
"—",
'BASE COBRANÇAS'!Q69:Q1065
)&amp;
" - "&amp;IF(
'BASE COBRANÇAS'!T69:T1065="",
"—",
'BASE COBRANÇAS'!T69:T1065
),
('BASE COBRANÇAS'!F69:F1065='BASE COBRANÇAS'!F69)*
(TEXT('BASE COBRANÇAS'!O69:O1065,"DD/MM/AAAA")=
TEXT('BASE COBRANÇAS'!O69,"DD/MM/AAAA"))*
('BASE COBRANÇAS'!C69:C1065='BASE COBRANÇAS'!C69)*
('BASE COBRANÇAS'!C69:C1065&lt;&gt;"")*
('BASE COBRANÇAS'!C69:C1065&lt;&gt;"EM VIAGEM")*
('BASE COBRANÇAS'!C69:C1065&lt;&gt;"DESCONSIDERA, VALOR NÃO RASTREADO")*
('BASE COBRANÇAS'!C69:C1065&lt;&gt;"⚠️ ATENCAO - PROXIMO"),
""
)
)
),
"")</f>
        <v/>
      </c>
    </row>
    <row r="70" spans="1:1" ht="243">
      <c r="A70" s="39" t="str" cm="1">
        <f t="array" aca="1" ref="A70" ca="1">IFERROR(
IF(
MATCH(
'BASE COBRANÇAS'!F70&amp;
TEXT('BASE COBRANÇAS'!O70,"DD/MM/AAAA")&amp;
'BASE COBRANÇAS'!C70,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COBRANÇAS'!F70&amp;
CHAR(10)&amp;CHAR(10)&amp;
"⚠️ "&amp;'BASE COBRANÇAS'!C70&amp;
CHAR(10)&amp;
_xlfn.TEXTJOIN(
CHAR(10)&amp;CHAR(10),
TRUE,
_xlfn._xlws.FILTER(
"📦 "&amp;'BASE COBRANÇAS'!B70:B1066&amp;
" | 📅 "&amp;IF(
'BASE COBRANÇAS'!M70:M1066="",
"—",
TEXT('BASE COBRANÇAS'!M70:M1066,"DD/MM HH:MM")
)&amp;
" | 🗓️ "&amp;IF(
'BASE COBRANÇAS'!O70:O1066="",
"—",
TEXT('BASE COBRANÇAS'!O70:O1066,"DD/MM HH:MM")
)&amp;
CHAR(10)&amp;
"📍 "&amp;IF(
'BASE COBRANÇAS'!Q70:Q1066="",
"—",
'BASE COBRANÇAS'!Q70:Q1066
)&amp;
" - "&amp;IF(
'BASE COBRANÇAS'!T70:T1066="",
"—",
'BASE COBRANÇAS'!T70:T1066
),
('BASE COBRANÇAS'!F70:F1066='BASE COBRANÇAS'!F70)*
(TEXT('BASE COBRANÇAS'!O70:O1066,"DD/MM/AAAA")=
TEXT('BASE COBRANÇAS'!O70,"DD/MM/AAAA"))*
('BASE COBRANÇAS'!C70:C1066='BASE COBRANÇAS'!C70)*
('BASE COBRANÇAS'!C70:C1066&lt;&gt;"")*
('BASE COBRANÇAS'!C70:C1066&lt;&gt;"EM VIAGEM")*
('BASE COBRANÇAS'!C70:C1066&lt;&gt;"DESCONSIDERA, VALOR NÃO RASTREADO")*
('BASE COBRANÇAS'!C70:C1066&lt;&gt;"⚠️ ATENCAO - PROXIMO"),
""
)
)
),
"")</f>
        <v>🚛 STATUS TRANSPORTADORA
SMP DEVE SER CRIADA COM ATÉ 4 HORAS DE ANTECEDENCIA ANTES DO LOCAL DE CARREGAMENTO*
🏢 *Transportadora:* RODOBRAS TR
⚠️ NA CLIF - COM SMP - AGUARDANDO SAÍDA
📦 6023021 | 📅 15/05 13:00 | 🗓️ 20/05 06:00
📍 GRUPO CASAS BAHIA S.A(CD1200) - 13203850 - JUNDIAI/SP/BRASIL</v>
      </c>
    </row>
    <row r="71" spans="1:1" ht="243">
      <c r="A71" s="39" t="str" cm="1">
        <f t="array" aca="1" ref="A71" ca="1">IFERROR(
IF(
MATCH(
'BASE COBRANÇAS'!F71&amp;
TEXT('BASE COBRANÇAS'!O71,"DD/MM/AAAA")&amp;
'BASE COBRANÇAS'!C71,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COBRANÇAS'!F71&amp;
CHAR(10)&amp;CHAR(10)&amp;
"⚠️ "&amp;'BASE COBRANÇAS'!C71&amp;
CHAR(10)&amp;
_xlfn.TEXTJOIN(
CHAR(10)&amp;CHAR(10),
TRUE,
_xlfn._xlws.FILTER(
"📦 "&amp;'BASE COBRANÇAS'!B71:B1067&amp;
" | 📅 "&amp;IF(
'BASE COBRANÇAS'!M71:M1067="",
"—",
TEXT('BASE COBRANÇAS'!M71:M1067,"DD/MM HH:MM")
)&amp;
" | 🗓️ "&amp;IF(
'BASE COBRANÇAS'!O71:O1067="",
"—",
TEXT('BASE COBRANÇAS'!O71:O1067,"DD/MM HH:MM")
)&amp;
CHAR(10)&amp;
"📍 "&amp;IF(
'BASE COBRANÇAS'!Q71:Q1067="",
"—",
'BASE COBRANÇAS'!Q71:Q1067
)&amp;
" - "&amp;IF(
'BASE COBRANÇAS'!T71:T1067="",
"—",
'BASE COBRANÇAS'!T71:T1067
),
('BASE COBRANÇAS'!F71:F1067='BASE COBRANÇAS'!F71)*
(TEXT('BASE COBRANÇAS'!O71:O1067,"DD/MM/AAAA")=
TEXT('BASE COBRANÇAS'!O71,"DD/MM/AAAA"))*
('BASE COBRANÇAS'!C71:C1067='BASE COBRANÇAS'!C71)*
('BASE COBRANÇAS'!C71:C1067&lt;&gt;"")*
('BASE COBRANÇAS'!C71:C1067&lt;&gt;"EM VIAGEM")*
('BASE COBRANÇAS'!C71:C1067&lt;&gt;"DESCONSIDERA, VALOR NÃO RASTREADO")*
('BASE COBRANÇAS'!C71:C1067&lt;&gt;"⚠️ ATENCAO - PROXIMO"),
""
)
)
),
"")</f>
        <v>🚛 STATUS TRANSPORTADORA
SMP DEVE SER CRIADA COM ATÉ 4 HORAS DE ANTECEDENCIA ANTES DO LOCAL DE CARREGAMENTO*
🏢 *Transportadora:* TRANSKING
⚠️ NA CLIF - COM SMP - AGUARDANDO SAÍDA
📦 6022213 | 📅 16/05 12:00 | 🗓️ 20/05 06:00
📍 GRUPO CASAS BAHIA S.A(CD1895) - 75340000 - HIDROLANDIA/GO/BRASIL
📦 6022176 | 📅 16/05 12:30 | 🗓️ 20/05 06:00
📍 GRUPO CASAS BAHIA S.A(CD1600) - 79108610 - CAMPO GRANDE/MS/BRASIL</v>
      </c>
    </row>
    <row r="72" spans="1:1" ht="243">
      <c r="A72" s="39" t="str" cm="1">
        <f t="array" aca="1" ref="A72" ca="1">IFERROR(
IF(
MATCH(
'BASE COBRANÇAS'!F72&amp;
TEXT('BASE COBRANÇAS'!O72,"DD/MM/AAAA")&amp;
'BASE COBRANÇAS'!C72,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COBRANÇAS'!F72&amp;
CHAR(10)&amp;CHAR(10)&amp;
"⚠️ "&amp;'BASE COBRANÇAS'!C72&amp;
CHAR(10)&amp;
_xlfn.TEXTJOIN(
CHAR(10)&amp;CHAR(10),
TRUE,
_xlfn._xlws.FILTER(
"📦 "&amp;'BASE COBRANÇAS'!B72:B1068&amp;
" | 📅 "&amp;IF(
'BASE COBRANÇAS'!M72:M1068="",
"—",
TEXT('BASE COBRANÇAS'!M72:M1068,"DD/MM HH:MM")
)&amp;
" | 🗓️ "&amp;IF(
'BASE COBRANÇAS'!O72:O1068="",
"—",
TEXT('BASE COBRANÇAS'!O72:O1068,"DD/MM HH:MM")
)&amp;
CHAR(10)&amp;
"📍 "&amp;IF(
'BASE COBRANÇAS'!Q72:Q1068="",
"—",
'BASE COBRANÇAS'!Q72:Q1068
)&amp;
" - "&amp;IF(
'BASE COBRANÇAS'!T72:T1068="",
"—",
'BASE COBRANÇAS'!T72:T1068
),
('BASE COBRANÇAS'!F72:F1068='BASE COBRANÇAS'!F72)*
(TEXT('BASE COBRANÇAS'!O72:O1068,"DD/MM/AAAA")=
TEXT('BASE COBRANÇAS'!O72,"DD/MM/AAAA"))*
('BASE COBRANÇAS'!C72:C1068='BASE COBRANÇAS'!C72)*
('BASE COBRANÇAS'!C72:C1068&lt;&gt;"")*
('BASE COBRANÇAS'!C72:C1068&lt;&gt;"EM VIAGEM")*
('BASE COBRANÇAS'!C72:C1068&lt;&gt;"DESCONSIDERA, VALOR NÃO RASTREADO")*
('BASE COBRANÇAS'!C72:C1068&lt;&gt;"⚠️ ATENCAO - PROXIMO"),
""
)
)
),
"")</f>
        <v xml:space="preserve">🚛 STATUS TRANSPORTADORA
SMP DEVE SER CRIADA COM ATÉ 4 HORAS DE ANTECEDENCIA ANTES DO LOCAL DE CARREGAMENTO*
🏢 *Transportadora:* TRANSBOCAYUV
⚠️ EM VIAGEM
</v>
      </c>
    </row>
    <row r="73" spans="1:1" ht="243">
      <c r="A73" s="39" t="str" cm="1">
        <f t="array" aca="1" ref="A73" ca="1">IFERROR(
IF(
MATCH(
'BASE COBRANÇAS'!F73&amp;
TEXT('BASE COBRANÇAS'!O73,"DD/MM/AAAA")&amp;
'BASE COBRANÇAS'!C73,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COBRANÇAS'!F73&amp;
CHAR(10)&amp;CHAR(10)&amp;
"⚠️ "&amp;'BASE COBRANÇAS'!C73&amp;
CHAR(10)&amp;
_xlfn.TEXTJOIN(
CHAR(10)&amp;CHAR(10),
TRUE,
_xlfn._xlws.FILTER(
"📦 "&amp;'BASE COBRANÇAS'!B73:B1069&amp;
" | 📅 "&amp;IF(
'BASE COBRANÇAS'!M73:M1069="",
"—",
TEXT('BASE COBRANÇAS'!M73:M1069,"DD/MM HH:MM")
)&amp;
" | 🗓️ "&amp;IF(
'BASE COBRANÇAS'!O73:O1069="",
"—",
TEXT('BASE COBRANÇAS'!O73:O1069,"DD/MM HH:MM")
)&amp;
CHAR(10)&amp;
"📍 "&amp;IF(
'BASE COBRANÇAS'!Q73:Q1069="",
"—",
'BASE COBRANÇAS'!Q73:Q1069
)&amp;
" - "&amp;IF(
'BASE COBRANÇAS'!T73:T1069="",
"—",
'BASE COBRANÇAS'!T73:T1069
),
('BASE COBRANÇAS'!F73:F1069='BASE COBRANÇAS'!F73)*
(TEXT('BASE COBRANÇAS'!O73:O1069,"DD/MM/AAAA")=
TEXT('BASE COBRANÇAS'!O73,"DD/MM/AAAA"))*
('BASE COBRANÇAS'!C73:C1069='BASE COBRANÇAS'!C73)*
('BASE COBRANÇAS'!C73:C1069&lt;&gt;"")*
('BASE COBRANÇAS'!C73:C1069&lt;&gt;"EM VIAGEM")*
('BASE COBRANÇAS'!C73:C1069&lt;&gt;"DESCONSIDERA, VALOR NÃO RASTREADO")*
('BASE COBRANÇAS'!C73:C1069&lt;&gt;"⚠️ ATENCAO - PROXIMO"),
""
)
)
),
"")</f>
        <v xml:space="preserve">🚛 STATUS TRANSPORTADORA
SMP DEVE SER CRIADA COM ATÉ 4 HORAS DE ANTECEDENCIA ANTES DO LOCAL DE CARREGAMENTO*
🏢 *Transportadora:* TR RAMTHUN
⚠️ EM VIAGEM
</v>
      </c>
    </row>
    <row r="74" spans="1:1" ht="243">
      <c r="A74" s="39" t="str" cm="1">
        <f t="array" aca="1" ref="A74" ca="1">IFERROR(
IF(
MATCH(
'BASE COBRANÇAS'!F74&amp;
TEXT('BASE COBRANÇAS'!O74,"DD/MM/AAAA")&amp;
'BASE COBRANÇAS'!C74,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COBRANÇAS'!F74&amp;
CHAR(10)&amp;CHAR(10)&amp;
"⚠️ "&amp;'BASE COBRANÇAS'!C74&amp;
CHAR(10)&amp;
_xlfn.TEXTJOIN(
CHAR(10)&amp;CHAR(10),
TRUE,
_xlfn._xlws.FILTER(
"📦 "&amp;'BASE COBRANÇAS'!B74:B1070&amp;
" | 📅 "&amp;IF(
'BASE COBRANÇAS'!M74:M1070="",
"—",
TEXT('BASE COBRANÇAS'!M74:M1070,"DD/MM HH:MM")
)&amp;
" | 🗓️ "&amp;IF(
'BASE COBRANÇAS'!O74:O1070="",
"—",
TEXT('BASE COBRANÇAS'!O74:O1070,"DD/MM HH:MM")
)&amp;
CHAR(10)&amp;
"📍 "&amp;IF(
'BASE COBRANÇAS'!Q74:Q1070="",
"—",
'BASE COBRANÇAS'!Q74:Q1070
)&amp;
" - "&amp;IF(
'BASE COBRANÇAS'!T74:T1070="",
"—",
'BASE COBRANÇAS'!T74:T1070
),
('BASE COBRANÇAS'!F74:F1070='BASE COBRANÇAS'!F74)*
(TEXT('BASE COBRANÇAS'!O74:O1070,"DD/MM/AAAA")=
TEXT('BASE COBRANÇAS'!O74,"DD/MM/AAAA"))*
('BASE COBRANÇAS'!C74:C1070='BASE COBRANÇAS'!C74)*
('BASE COBRANÇAS'!C74:C1070&lt;&gt;"")*
('BASE COBRANÇAS'!C74:C1070&lt;&gt;"EM VIAGEM")*
('BASE COBRANÇAS'!C74:C1070&lt;&gt;"DESCONSIDERA, VALOR NÃO RASTREADO")*
('BASE COBRANÇAS'!C74:C1070&lt;&gt;"⚠️ ATENCAO - PROXIMO"),
""
)
)
),
"")</f>
        <v xml:space="preserve">🚛 STATUS TRANSPORTADORA
SMP DEVE SER CRIADA COM ATÉ 4 HORAS DE ANTECEDENCIA ANTES DO LOCAL DE CARREGAMENTO*
🏢 *Transportadora:* MWM TRANSPORTES
⚠️ EM VIAGEM
</v>
      </c>
    </row>
    <row r="75" spans="1:1" ht="243">
      <c r="A75" s="39" t="str" cm="1">
        <f t="array" aca="1" ref="A75" ca="1">IFERROR(
IF(
MATCH(
'BASE COBRANÇAS'!F75&amp;
TEXT('BASE COBRANÇAS'!O75,"DD/MM/AAAA")&amp;
'BASE COBRANÇAS'!C75,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COBRANÇAS'!F75&amp;
CHAR(10)&amp;CHAR(10)&amp;
"⚠️ "&amp;'BASE COBRANÇAS'!C75&amp;
CHAR(10)&amp;
_xlfn.TEXTJOIN(
CHAR(10)&amp;CHAR(10),
TRUE,
_xlfn._xlws.FILTER(
"📦 "&amp;'BASE COBRANÇAS'!B75:B1071&amp;
" | 📅 "&amp;IF(
'BASE COBRANÇAS'!M75:M1071="",
"—",
TEXT('BASE COBRANÇAS'!M75:M1071,"DD/MM HH:MM")
)&amp;
" | 🗓️ "&amp;IF(
'BASE COBRANÇAS'!O75:O1071="",
"—",
TEXT('BASE COBRANÇAS'!O75:O1071,"DD/MM HH:MM")
)&amp;
CHAR(10)&amp;
"📍 "&amp;IF(
'BASE COBRANÇAS'!Q75:Q1071="",
"—",
'BASE COBRANÇAS'!Q75:Q1071
)&amp;
" - "&amp;IF(
'BASE COBRANÇAS'!T75:T1071="",
"—",
'BASE COBRANÇAS'!T75:T1071
),
('BASE COBRANÇAS'!F75:F1071='BASE COBRANÇAS'!F75)*
(TEXT('BASE COBRANÇAS'!O75:O1071,"DD/MM/AAAA")=
TEXT('BASE COBRANÇAS'!O75,"DD/MM/AAAA"))*
('BASE COBRANÇAS'!C75:C1071='BASE COBRANÇAS'!C75)*
('BASE COBRANÇAS'!C75:C1071&lt;&gt;"")*
('BASE COBRANÇAS'!C75:C1071&lt;&gt;"EM VIAGEM")*
('BASE COBRANÇAS'!C75:C1071&lt;&gt;"DESCONSIDERA, VALOR NÃO RASTREADO")*
('BASE COBRANÇAS'!C75:C1071&lt;&gt;"⚠️ ATENCAO - PROXIMO"),
""
)
)
),
"")</f>
        <v>🚛 STATUS TRANSPORTADORA
SMP DEVE SER CRIADA COM ATÉ 4 HORAS DE ANTECEDENCIA ANTES DO LOCAL DE CARREGAMENTO*
🏢 *Transportadora:* EALE LOG
⚠️ OK - NO PRAZO
📦 6022236 | 📅 18/05 09:00 | 🗓️ 28/05 07:00
📍 LOJAS BECKER LTDA - 97900000 - CERRO LARGO/RS/BRASIL</v>
      </c>
    </row>
    <row r="76" spans="1:1" ht="243">
      <c r="A76" s="39" t="str" cm="1">
        <f t="array" aca="1" ref="A76" ca="1">IFERROR(
IF(
MATCH(
'BASE COBRANÇAS'!F76&amp;
TEXT('BASE COBRANÇAS'!O76,"DD/MM/AAAA")&amp;
'BASE COBRANÇAS'!C76,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COBRANÇAS'!F76&amp;
CHAR(10)&amp;CHAR(10)&amp;
"⚠️ "&amp;'BASE COBRANÇAS'!C76&amp;
CHAR(10)&amp;
_xlfn.TEXTJOIN(
CHAR(10)&amp;CHAR(10),
TRUE,
_xlfn._xlws.FILTER(
"📦 "&amp;'BASE COBRANÇAS'!B76:B1072&amp;
" | 📅 "&amp;IF(
'BASE COBRANÇAS'!M76:M1072="",
"—",
TEXT('BASE COBRANÇAS'!M76:M1072,"DD/MM HH:MM")
)&amp;
" | 🗓️ "&amp;IF(
'BASE COBRANÇAS'!O76:O1072="",
"—",
TEXT('BASE COBRANÇAS'!O76:O1072,"DD/MM HH:MM")
)&amp;
CHAR(10)&amp;
"📍 "&amp;IF(
'BASE COBRANÇAS'!Q76:Q1072="",
"—",
'BASE COBRANÇAS'!Q76:Q1072
)&amp;
" - "&amp;IF(
'BASE COBRANÇAS'!T76:T1072="",
"—",
'BASE COBRANÇAS'!T76:T1072
),
('BASE COBRANÇAS'!F76:F1072='BASE COBRANÇAS'!F76)*
(TEXT('BASE COBRANÇAS'!O76:O1072,"DD/MM/AAAA")=
TEXT('BASE COBRANÇAS'!O76,"DD/MM/AAAA"))*
('BASE COBRANÇAS'!C76:C1072='BASE COBRANÇAS'!C76)*
('BASE COBRANÇAS'!C76:C1072&lt;&gt;"")*
('BASE COBRANÇAS'!C76:C1072&lt;&gt;"EM VIAGEM")*
('BASE COBRANÇAS'!C76:C1072&lt;&gt;"DESCONSIDERA, VALOR NÃO RASTREADO")*
('BASE COBRANÇAS'!C76:C1072&lt;&gt;"⚠️ ATENCAO - PROXIMO"),
""
)
)
),
"")</f>
        <v xml:space="preserve">🚛 STATUS TRANSPORTADORA
SMP DEVE SER CRIADA COM ATÉ 4 HORAS DE ANTECEDENCIA ANTES DO LOCAL DE CARREGAMENTO*
🏢 *Transportadora:* TRANSKING
⚠️ EM VIAGEM
</v>
      </c>
    </row>
    <row r="77" spans="1:1" ht="243">
      <c r="A77" s="39" t="str" cm="1">
        <f t="array" aca="1" ref="A77" ca="1">IFERROR(
IF(
MATCH(
'BASE COBRANÇAS'!F77&amp;
TEXT('BASE COBRANÇAS'!O77,"DD/MM/AAAA")&amp;
'BASE COBRANÇAS'!C77,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COBRANÇAS'!F77&amp;
CHAR(10)&amp;CHAR(10)&amp;
"⚠️ "&amp;'BASE COBRANÇAS'!C77&amp;
CHAR(10)&amp;
_xlfn.TEXTJOIN(
CHAR(10)&amp;CHAR(10),
TRUE,
_xlfn._xlws.FILTER(
"📦 "&amp;'BASE COBRANÇAS'!B77:B1073&amp;
" | 📅 "&amp;IF(
'BASE COBRANÇAS'!M77:M1073="",
"—",
TEXT('BASE COBRANÇAS'!M77:M1073,"DD/MM HH:MM")
)&amp;
" | 🗓️ "&amp;IF(
'BASE COBRANÇAS'!O77:O1073="",
"—",
TEXT('BASE COBRANÇAS'!O77:O1073,"DD/MM HH:MM")
)&amp;
CHAR(10)&amp;
"📍 "&amp;IF(
'BASE COBRANÇAS'!Q77:Q1073="",
"—",
'BASE COBRANÇAS'!Q77:Q1073
)&amp;
" - "&amp;IF(
'BASE COBRANÇAS'!T77:T1073="",
"—",
'BASE COBRANÇAS'!T77:T1073
),
('BASE COBRANÇAS'!F77:F1073='BASE COBRANÇAS'!F77)*
(TEXT('BASE COBRANÇAS'!O77:O1073,"DD/MM/AAAA")=
TEXT('BASE COBRANÇAS'!O77,"DD/MM/AAAA"))*
('BASE COBRANÇAS'!C77:C1073='BASE COBRANÇAS'!C77)*
('BASE COBRANÇAS'!C77:C1073&lt;&gt;"")*
('BASE COBRANÇAS'!C77:C1073&lt;&gt;"EM VIAGEM")*
('BASE COBRANÇAS'!C77:C1073&lt;&gt;"DESCONSIDERA, VALOR NÃO RASTREADO")*
('BASE COBRANÇAS'!C77:C1073&lt;&gt;"⚠️ ATENCAO - PROXIMO"),
""
)
)
),
"")</f>
        <v>🚛 STATUS TRANSPORTADORA
SMP DEVE SER CRIADA COM ATÉ 4 HORAS DE ANTECEDENCIA ANTES DO LOCAL DE CARREGAMENTO*
🏢 *Transportadora:* TRANSKING
⚠️ ATRASADO CARREGAMENTO - SEM SMP
📦 6010993 | 📅 15/05 16:00 | 🗓️ 20/05 07:00
📍 CARREFOUR- DF - 72501100 - BRASILIA/DF/BRASIL</v>
      </c>
    </row>
    <row r="78" spans="1:1" ht="243">
      <c r="A78" s="39" t="str" cm="1">
        <f t="array" aca="1" ref="A78" ca="1">IFERROR(
IF(
MATCH(
'BASE COBRANÇAS'!F78&amp;
TEXT('BASE COBRANÇAS'!O78,"DD/MM/AAAA")&amp;
'BASE COBRANÇAS'!C78,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COBRANÇAS'!F78&amp;
CHAR(10)&amp;CHAR(10)&amp;
"⚠️ "&amp;'BASE COBRANÇAS'!C78&amp;
CHAR(10)&amp;
_xlfn.TEXTJOIN(
CHAR(10)&amp;CHAR(10),
TRUE,
_xlfn._xlws.FILTER(
"📦 "&amp;'BASE COBRANÇAS'!B78:B1074&amp;
" | 📅 "&amp;IF(
'BASE COBRANÇAS'!M78:M1074="",
"—",
TEXT('BASE COBRANÇAS'!M78:M1074,"DD/MM HH:MM")
)&amp;
" | 🗓️ "&amp;IF(
'BASE COBRANÇAS'!O78:O1074="",
"—",
TEXT('BASE COBRANÇAS'!O78:O1074,"DD/MM HH:MM")
)&amp;
CHAR(10)&amp;
"📍 "&amp;IF(
'BASE COBRANÇAS'!Q78:Q1074="",
"—",
'BASE COBRANÇAS'!Q78:Q1074
)&amp;
" - "&amp;IF(
'BASE COBRANÇAS'!T78:T1074="",
"—",
'BASE COBRANÇAS'!T78:T1074
),
('BASE COBRANÇAS'!F78:F1074='BASE COBRANÇAS'!F78)*
(TEXT('BASE COBRANÇAS'!O78:O1074,"DD/MM/AAAA")=
TEXT('BASE COBRANÇAS'!O78,"DD/MM/AAAA"))*
('BASE COBRANÇAS'!C78:C1074='BASE COBRANÇAS'!C78)*
('BASE COBRANÇAS'!C78:C1074&lt;&gt;"")*
('BASE COBRANÇAS'!C78:C1074&lt;&gt;"EM VIAGEM")*
('BASE COBRANÇAS'!C78:C1074&lt;&gt;"DESCONSIDERA, VALOR NÃO RASTREADO")*
('BASE COBRANÇAS'!C78:C1074&lt;&gt;"⚠️ ATENCAO - PROXIMO"),
""
)
)
),
"")</f>
        <v>🚛 STATUS TRANSPORTADORA
SMP DEVE SER CRIADA COM ATÉ 4 HORAS DE ANTECEDENCIA ANTES DO LOCAL DE CARREGAMENTO*
🏢 *Transportadora:* BENDINI LOGI
⚠️ ATRASADO ENTREGA - SEM SMP
📦 6022205 | 📅 15/05 06:00 | 🗓️ 18/05 23:00
📍 GRUPO CASAS BAHIA S.A(CD1624) - 88316001 - ITAJAI/SC/BRASIL
📦 6022218 | 📅 15/05 06:00 | 🗓️ 18/05 23:00
📍 GRUPO CASAS BAHIA S.A(CD1475) - 83085058 - SAO JOSE DOS PINHAIS/PR/BRASIL</v>
      </c>
    </row>
    <row r="79" spans="1:1" ht="243">
      <c r="A79" s="39" t="str" cm="1">
        <f t="array" aca="1" ref="A79" ca="1">IFERROR(
IF(
MATCH(
'BASE COBRANÇAS'!F79&amp;
TEXT('BASE COBRANÇAS'!O79,"DD/MM/AAAA")&amp;
'BASE COBRANÇAS'!C79,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COBRANÇAS'!F79&amp;
CHAR(10)&amp;CHAR(10)&amp;
"⚠️ "&amp;'BASE COBRANÇAS'!C79&amp;
CHAR(10)&amp;
_xlfn.TEXTJOIN(
CHAR(10)&amp;CHAR(10),
TRUE,
_xlfn._xlws.FILTER(
"📦 "&amp;'BASE COBRANÇAS'!B79:B1075&amp;
" | 📅 "&amp;IF(
'BASE COBRANÇAS'!M79:M1075="",
"—",
TEXT('BASE COBRANÇAS'!M79:M1075,"DD/MM HH:MM")
)&amp;
" | 🗓️ "&amp;IF(
'BASE COBRANÇAS'!O79:O1075="",
"—",
TEXT('BASE COBRANÇAS'!O79:O1075,"DD/MM HH:MM")
)&amp;
CHAR(10)&amp;
"📍 "&amp;IF(
'BASE COBRANÇAS'!Q79:Q1075="",
"—",
'BASE COBRANÇAS'!Q79:Q1075
)&amp;
" - "&amp;IF(
'BASE COBRANÇAS'!T79:T1075="",
"—",
'BASE COBRANÇAS'!T79:T1075
),
('BASE COBRANÇAS'!F79:F1075='BASE COBRANÇAS'!F79)*
(TEXT('BASE COBRANÇAS'!O79:O1075,"DD/MM/AAAA")=
TEXT('BASE COBRANÇAS'!O79,"DD/MM/AAAA"))*
('BASE COBRANÇAS'!C79:C1075='BASE COBRANÇAS'!C79)*
('BASE COBRANÇAS'!C79:C1075&lt;&gt;"")*
('BASE COBRANÇAS'!C79:C1075&lt;&gt;"EM VIAGEM")*
('BASE COBRANÇAS'!C79:C1075&lt;&gt;"DESCONSIDERA, VALOR NÃO RASTREADO")*
('BASE COBRANÇAS'!C79:C1075&lt;&gt;"⚠️ ATENCAO - PROXIMO"),
""
)
)
),
"")</f>
        <v/>
      </c>
    </row>
    <row r="80" spans="1:1" ht="243">
      <c r="A80" s="39" t="str" cm="1">
        <f t="array" aca="1" ref="A80" ca="1">IFERROR(
IF(
MATCH(
'BASE COBRANÇAS'!F80&amp;
TEXT('BASE COBRANÇAS'!O80,"DD/MM/AAAA")&amp;
'BASE COBRANÇAS'!C80,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COBRANÇAS'!F80&amp;
CHAR(10)&amp;CHAR(10)&amp;
"⚠️ "&amp;'BASE COBRANÇAS'!C80&amp;
CHAR(10)&amp;
_xlfn.TEXTJOIN(
CHAR(10)&amp;CHAR(10),
TRUE,
_xlfn._xlws.FILTER(
"📦 "&amp;'BASE COBRANÇAS'!B80:B1076&amp;
" | 📅 "&amp;IF(
'BASE COBRANÇAS'!M80:M1076="",
"—",
TEXT('BASE COBRANÇAS'!M80:M1076,"DD/MM HH:MM")
)&amp;
" | 🗓️ "&amp;IF(
'BASE COBRANÇAS'!O80:O1076="",
"—",
TEXT('BASE COBRANÇAS'!O80:O1076,"DD/MM HH:MM")
)&amp;
CHAR(10)&amp;
"📍 "&amp;IF(
'BASE COBRANÇAS'!Q80:Q1076="",
"—",
'BASE COBRANÇAS'!Q80:Q1076
)&amp;
" - "&amp;IF(
'BASE COBRANÇAS'!T80:T1076="",
"—",
'BASE COBRANÇAS'!T80:T1076
),
('BASE COBRANÇAS'!F80:F1076='BASE COBRANÇAS'!F80)*
(TEXT('BASE COBRANÇAS'!O80:O1076,"DD/MM/AAAA")=
TEXT('BASE COBRANÇAS'!O80,"DD/MM/AAAA"))*
('BASE COBRANÇAS'!C80:C1076='BASE COBRANÇAS'!C80)*
('BASE COBRANÇAS'!C80:C1076&lt;&gt;"")*
('BASE COBRANÇAS'!C80:C1076&lt;&gt;"EM VIAGEM")*
('BASE COBRANÇAS'!C80:C1076&lt;&gt;"DESCONSIDERA, VALOR NÃO RASTREADO")*
('BASE COBRANÇAS'!C80:C1076&lt;&gt;"⚠️ ATENCAO - PROXIMO"),
""
)
)
),
"")</f>
        <v>🚛 STATUS TRANSPORTADORA
SMP DEVE SER CRIADA COM ATÉ 4 HORAS DE ANTECEDENCIA ANTES DO LOCAL DE CARREGAMENTO*
🏢 *Transportadora:* WSC
⚠️ OK - NO PRAZO
📦 6025141 | 📅 18/05 08:00 | 🗓️ 18/05 16:30
📍 EBAZAR.COM.BR. LTDA - 06806400 - EMBU DAS ARTES/SP/BRASIL</v>
      </c>
    </row>
    <row r="81" spans="1:1" ht="243">
      <c r="A81" s="39" t="str" cm="1">
        <f t="array" aca="1" ref="A81" ca="1">IFERROR(
IF(
MATCH(
'BASE COBRANÇAS'!F81&amp;
TEXT('BASE COBRANÇAS'!O81,"DD/MM/AAAA")&amp;
'BASE COBRANÇAS'!C81,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COBRANÇAS'!F81&amp;
CHAR(10)&amp;CHAR(10)&amp;
"⚠️ "&amp;'BASE COBRANÇAS'!C81&amp;
CHAR(10)&amp;
_xlfn.TEXTJOIN(
CHAR(10)&amp;CHAR(10),
TRUE,
_xlfn._xlws.FILTER(
"📦 "&amp;'BASE COBRANÇAS'!B81:B1077&amp;
" | 📅 "&amp;IF(
'BASE COBRANÇAS'!M81:M1077="",
"—",
TEXT('BASE COBRANÇAS'!M81:M1077,"DD/MM HH:MM")
)&amp;
" | 🗓️ "&amp;IF(
'BASE COBRANÇAS'!O81:O1077="",
"—",
TEXT('BASE COBRANÇAS'!O81:O1077,"DD/MM HH:MM")
)&amp;
CHAR(10)&amp;
"📍 "&amp;IF(
'BASE COBRANÇAS'!Q81:Q1077="",
"—",
'BASE COBRANÇAS'!Q81:Q1077
)&amp;
" - "&amp;IF(
'BASE COBRANÇAS'!T81:T1077="",
"—",
'BASE COBRANÇAS'!T81:T1077
),
('BASE COBRANÇAS'!F81:F1077='BASE COBRANÇAS'!F81)*
(TEXT('BASE COBRANÇAS'!O81:O1077,"DD/MM/AAAA")=
TEXT('BASE COBRANÇAS'!O81,"DD/MM/AAAA"))*
('BASE COBRANÇAS'!C81:C1077='BASE COBRANÇAS'!C81)*
('BASE COBRANÇAS'!C81:C1077&lt;&gt;"")*
('BASE COBRANÇAS'!C81:C1077&lt;&gt;"EM VIAGEM")*
('BASE COBRANÇAS'!C81:C1077&lt;&gt;"DESCONSIDERA, VALOR NÃO RASTREADO")*
('BASE COBRANÇAS'!C81:C1077&lt;&gt;"⚠️ ATENCAO - PROXIMO"),
""
)
)
),
"")</f>
        <v>🚛 STATUS TRANSPORTADORA
SMP DEVE SER CRIADA COM ATÉ 4 HORAS DE ANTECEDENCIA ANTES DO LOCAL DE CARREGAMENTO*
🏢 *Transportadora:* VIPE TRANSPO
⚠️ OK - NO PRAZO
📦 6023025 | 📅 18/05 11:00 | 🗓️ 20/05 06:00
📍 GRUPO CASAS BAHIA S.A(CD1200) - 13203850 - JUNDIAI/SP/BRASIL</v>
      </c>
    </row>
    <row r="82" spans="1:1" ht="243">
      <c r="A82" s="39" t="str" cm="1">
        <f t="array" aca="1" ref="A82" ca="1">IFERROR(
IF(
MATCH(
'BASE COBRANÇAS'!F82&amp;
TEXT('BASE COBRANÇAS'!O82,"DD/MM/AAAA")&amp;
'BASE COBRANÇAS'!C82,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COBRANÇAS'!F82&amp;
CHAR(10)&amp;CHAR(10)&amp;
"⚠️ "&amp;'BASE COBRANÇAS'!C82&amp;
CHAR(10)&amp;
_xlfn.TEXTJOIN(
CHAR(10)&amp;CHAR(10),
TRUE,
_xlfn._xlws.FILTER(
"📦 "&amp;'BASE COBRANÇAS'!B82:B1078&amp;
" | 📅 "&amp;IF(
'BASE COBRANÇAS'!M82:M1078="",
"—",
TEXT('BASE COBRANÇAS'!M82:M1078,"DD/MM HH:MM")
)&amp;
" | 🗓️ "&amp;IF(
'BASE COBRANÇAS'!O82:O1078="",
"—",
TEXT('BASE COBRANÇAS'!O82:O1078,"DD/MM HH:MM")
)&amp;
CHAR(10)&amp;
"📍 "&amp;IF(
'BASE COBRANÇAS'!Q82:Q1078="",
"—",
'BASE COBRANÇAS'!Q82:Q1078
)&amp;
" - "&amp;IF(
'BASE COBRANÇAS'!T82:T1078="",
"—",
'BASE COBRANÇAS'!T82:T1078
),
('BASE COBRANÇAS'!F82:F1078='BASE COBRANÇAS'!F82)*
(TEXT('BASE COBRANÇAS'!O82:O1078,"DD/MM/AAAA")=
TEXT('BASE COBRANÇAS'!O82,"DD/MM/AAAA"))*
('BASE COBRANÇAS'!C82:C1078='BASE COBRANÇAS'!C82)*
('BASE COBRANÇAS'!C82:C1078&lt;&gt;"")*
('BASE COBRANÇAS'!C82:C1078&lt;&gt;"EM VIAGEM")*
('BASE COBRANÇAS'!C82:C1078&lt;&gt;"DESCONSIDERA, VALOR NÃO RASTREADO")*
('BASE COBRANÇAS'!C82:C1078&lt;&gt;"⚠️ ATENCAO - PROXIMO"),
""
)
)
),
"")</f>
        <v/>
      </c>
    </row>
    <row r="83" spans="1:1" ht="243">
      <c r="A83" s="39" t="str" cm="1">
        <f t="array" aca="1" ref="A83" ca="1">IFERROR(
IF(
MATCH(
'BASE COBRANÇAS'!F83&amp;
TEXT('BASE COBRANÇAS'!O83,"DD/MM/AAAA")&amp;
'BASE COBRANÇAS'!C83,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COBRANÇAS'!F83&amp;
CHAR(10)&amp;CHAR(10)&amp;
"⚠️ "&amp;'BASE COBRANÇAS'!C83&amp;
CHAR(10)&amp;
_xlfn.TEXTJOIN(
CHAR(10)&amp;CHAR(10),
TRUE,
_xlfn._xlws.FILTER(
"📦 "&amp;'BASE COBRANÇAS'!B83:B1079&amp;
" | 📅 "&amp;IF(
'BASE COBRANÇAS'!M83:M1079="",
"—",
TEXT('BASE COBRANÇAS'!M83:M1079,"DD/MM HH:MM")
)&amp;
" | 🗓️ "&amp;IF(
'BASE COBRANÇAS'!O83:O1079="",
"—",
TEXT('BASE COBRANÇAS'!O83:O1079,"DD/MM HH:MM")
)&amp;
CHAR(10)&amp;
"📍 "&amp;IF(
'BASE COBRANÇAS'!Q83:Q1079="",
"—",
'BASE COBRANÇAS'!Q83:Q1079
)&amp;
" - "&amp;IF(
'BASE COBRANÇAS'!T83:T1079="",
"—",
'BASE COBRANÇAS'!T83:T1079
),
('BASE COBRANÇAS'!F83:F1079='BASE COBRANÇAS'!F83)*
(TEXT('BASE COBRANÇAS'!O83:O1079,"DD/MM/AAAA")=
TEXT('BASE COBRANÇAS'!O83,"DD/MM/AAAA"))*
('BASE COBRANÇAS'!C83:C1079='BASE COBRANÇAS'!C83)*
('BASE COBRANÇAS'!C83:C1079&lt;&gt;"")*
('BASE COBRANÇAS'!C83:C1079&lt;&gt;"EM VIAGEM")*
('BASE COBRANÇAS'!C83:C1079&lt;&gt;"DESCONSIDERA, VALOR NÃO RASTREADO")*
('BASE COBRANÇAS'!C83:C1079&lt;&gt;"⚠️ ATENCAO - PROXIMO"),
""
)
)
),
"")</f>
        <v>🚛 STATUS TRANSPORTADORA
SMP DEVE SER CRIADA COM ATÉ 4 HORAS DE ANTECEDENCIA ANTES DO LOCAL DE CARREGAMENTO*
🏢 *Transportadora:* EALE LOG
⚠️ OK - NO PRAZO
📦 6023005 | 📅 18/05 09:00 | 🗓️ 25/05 06:00
📍 GRUPO CASAS BAHIA S.A(CD1445) - 94931350 - CACHOEIRINHA/RS/BRASIL
📦 6022220 | 📅 18/05 09:00 | 🗓️ 25/05 06:00
📍 BASE EALE - SÃO JOSÉ DOS PINHAIS - SAO JOSE DOS PINHAIS/PR</v>
      </c>
    </row>
    <row r="84" spans="1:1" ht="243">
      <c r="A84" s="39" t="str" cm="1">
        <f t="array" aca="1" ref="A84" ca="1">IFERROR(
IF(
MATCH(
'BASE COBRANÇAS'!F84&amp;
TEXT('BASE COBRANÇAS'!O84,"DD/MM/AAAA")&amp;
'BASE COBRANÇAS'!C84,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COBRANÇAS'!F84&amp;
CHAR(10)&amp;CHAR(10)&amp;
"⚠️ "&amp;'BASE COBRANÇAS'!C84&amp;
CHAR(10)&amp;
_xlfn.TEXTJOIN(
CHAR(10)&amp;CHAR(10),
TRUE,
_xlfn._xlws.FILTER(
"📦 "&amp;'BASE COBRANÇAS'!B84:B1080&amp;
" | 📅 "&amp;IF(
'BASE COBRANÇAS'!M84:M1080="",
"—",
TEXT('BASE COBRANÇAS'!M84:M1080,"DD/MM HH:MM")
)&amp;
" | 🗓️ "&amp;IF(
'BASE COBRANÇAS'!O84:O1080="",
"—",
TEXT('BASE COBRANÇAS'!O84:O1080,"DD/MM HH:MM")
)&amp;
CHAR(10)&amp;
"📍 "&amp;IF(
'BASE COBRANÇAS'!Q84:Q1080="",
"—",
'BASE COBRANÇAS'!Q84:Q1080
)&amp;
" - "&amp;IF(
'BASE COBRANÇAS'!T84:T1080="",
"—",
'BASE COBRANÇAS'!T84:T1080
),
('BASE COBRANÇAS'!F84:F1080='BASE COBRANÇAS'!F84)*
(TEXT('BASE COBRANÇAS'!O84:O1080,"DD/MM/AAAA")=
TEXT('BASE COBRANÇAS'!O84,"DD/MM/AAAA"))*
('BASE COBRANÇAS'!C84:C1080='BASE COBRANÇAS'!C84)*
('BASE COBRANÇAS'!C84:C1080&lt;&gt;"")*
('BASE COBRANÇAS'!C84:C1080&lt;&gt;"EM VIAGEM")*
('BASE COBRANÇAS'!C84:C1080&lt;&gt;"DESCONSIDERA, VALOR NÃO RASTREADO")*
('BASE COBRANÇAS'!C84:C1080&lt;&gt;"⚠️ ATENCAO - PROXIMO"),
""
)
)
),
"")</f>
        <v/>
      </c>
    </row>
    <row r="85" spans="1:1" ht="243">
      <c r="A85" s="39" t="str" cm="1">
        <f t="array" aca="1" ref="A85" ca="1">IFERROR(
IF(
MATCH(
'BASE COBRANÇAS'!F85&amp;
TEXT('BASE COBRANÇAS'!O85,"DD/MM/AAAA")&amp;
'BASE COBRANÇAS'!C85,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COBRANÇAS'!F85&amp;
CHAR(10)&amp;CHAR(10)&amp;
"⚠️ "&amp;'BASE COBRANÇAS'!C85&amp;
CHAR(10)&amp;
_xlfn.TEXTJOIN(
CHAR(10)&amp;CHAR(10),
TRUE,
_xlfn._xlws.FILTER(
"📦 "&amp;'BASE COBRANÇAS'!B85:B1081&amp;
" | 📅 "&amp;IF(
'BASE COBRANÇAS'!M85:M1081="",
"—",
TEXT('BASE COBRANÇAS'!M85:M1081,"DD/MM HH:MM")
)&amp;
" | 🗓️ "&amp;IF(
'BASE COBRANÇAS'!O85:O1081="",
"—",
TEXT('BASE COBRANÇAS'!O85:O1081,"DD/MM HH:MM")
)&amp;
CHAR(10)&amp;
"📍 "&amp;IF(
'BASE COBRANÇAS'!Q85:Q1081="",
"—",
'BASE COBRANÇAS'!Q85:Q1081
)&amp;
" - "&amp;IF(
'BASE COBRANÇAS'!T85:T1081="",
"—",
'BASE COBRANÇAS'!T85:T1081
),
('BASE COBRANÇAS'!F85:F1081='BASE COBRANÇAS'!F85)*
(TEXT('BASE COBRANÇAS'!O85:O1081,"DD/MM/AAAA")=
TEXT('BASE COBRANÇAS'!O85,"DD/MM/AAAA"))*
('BASE COBRANÇAS'!C85:C1081='BASE COBRANÇAS'!C85)*
('BASE COBRANÇAS'!C85:C1081&lt;&gt;"")*
('BASE COBRANÇAS'!C85:C1081&lt;&gt;"EM VIAGEM")*
('BASE COBRANÇAS'!C85:C1081&lt;&gt;"DESCONSIDERA, VALOR NÃO RASTREADO")*
('BASE COBRANÇAS'!C85:C1081&lt;&gt;"⚠️ ATENCAO - PROXIMO"),
""
)
)
),
"")</f>
        <v>🚛 STATUS TRANSPORTADORA
SMP DEVE SER CRIADA COM ATÉ 4 HORAS DE ANTECEDENCIA ANTES DO LOCAL DE CARREGAMENTO*
🏢 *Transportadora:* EMJ LOGISTIC
⚠️ OK - NO PRAZO
📦 6022066 | 📅 18/05 06:00 | 🗓️ 19/05 07:00
📍 FUJIOKA ELETRO IMAGEM S/A - 74675690 - GOIANIA/GO/BRASIL</v>
      </c>
    </row>
    <row r="86" spans="1:1" ht="243">
      <c r="A86" s="39" t="str" cm="1">
        <f t="array" aca="1" ref="A86" ca="1">IFERROR(
IF(
MATCH(
'BASE COBRANÇAS'!F86&amp;
TEXT('BASE COBRANÇAS'!O86,"DD/MM/AAAA")&amp;
'BASE COBRANÇAS'!C86,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COBRANÇAS'!F86&amp;
CHAR(10)&amp;CHAR(10)&amp;
"⚠️ "&amp;'BASE COBRANÇAS'!C86&amp;
CHAR(10)&amp;
_xlfn.TEXTJOIN(
CHAR(10)&amp;CHAR(10),
TRUE,
_xlfn._xlws.FILTER(
"📦 "&amp;'BASE COBRANÇAS'!B86:B1082&amp;
" | 📅 "&amp;IF(
'BASE COBRANÇAS'!M86:M1082="",
"—",
TEXT('BASE COBRANÇAS'!M86:M1082,"DD/MM HH:MM")
)&amp;
" | 🗓️ "&amp;IF(
'BASE COBRANÇAS'!O86:O1082="",
"—",
TEXT('BASE COBRANÇAS'!O86:O1082,"DD/MM HH:MM")
)&amp;
CHAR(10)&amp;
"📍 "&amp;IF(
'BASE COBRANÇAS'!Q86:Q1082="",
"—",
'BASE COBRANÇAS'!Q86:Q1082
)&amp;
" - "&amp;IF(
'BASE COBRANÇAS'!T86:T1082="",
"—",
'BASE COBRANÇAS'!T86:T1082
),
('BASE COBRANÇAS'!F86:F1082='BASE COBRANÇAS'!F86)*
(TEXT('BASE COBRANÇAS'!O86:O1082,"DD/MM/AAAA")=
TEXT('BASE COBRANÇAS'!O86,"DD/MM/AAAA"))*
('BASE COBRANÇAS'!C86:C1082='BASE COBRANÇAS'!C86)*
('BASE COBRANÇAS'!C86:C1082&lt;&gt;"")*
('BASE COBRANÇAS'!C86:C1082&lt;&gt;"EM VIAGEM")*
('BASE COBRANÇAS'!C86:C1082&lt;&gt;"DESCONSIDERA, VALOR NÃO RASTREADO")*
('BASE COBRANÇAS'!C86:C1082&lt;&gt;"⚠️ ATENCAO - PROXIMO"),
""
)
)
),
"")</f>
        <v>🚛 STATUS TRANSPORTADORA
SMP DEVE SER CRIADA COM ATÉ 4 HORAS DE ANTECEDENCIA ANTES DO LOCAL DE CARREGAMENTO*
🏢 *Transportadora:* VIPE TRANSPO
⚠️ OK - NO PRAZO
📦 6023010 | 📅 18/05 10:00 | 🗓️ 19/05 06:00
📍 GRUPO CASAS BAHIA S.A(CD1200) - 13203850 - JUNDIAI/SP/BRASIL
📦 6023348 | 📅 18/05 10:00 | 🗓️ 19/05 10:00
📍 JHSF MALLS S.A. - 05676120 - SAO PAULO/SP</v>
      </c>
    </row>
    <row r="87" spans="1:1" ht="243">
      <c r="A87" s="39" t="str" cm="1">
        <f t="array" aca="1" ref="A87" ca="1">IFERROR(
IF(
MATCH(
'BASE COBRANÇAS'!F87&amp;
TEXT('BASE COBRANÇAS'!O87,"DD/MM/AAAA")&amp;
'BASE COBRANÇAS'!C87,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COBRANÇAS'!F87&amp;
CHAR(10)&amp;CHAR(10)&amp;
"⚠️ "&amp;'BASE COBRANÇAS'!C87&amp;
CHAR(10)&amp;
_xlfn.TEXTJOIN(
CHAR(10)&amp;CHAR(10),
TRUE,
_xlfn._xlws.FILTER(
"📦 "&amp;'BASE COBRANÇAS'!B87:B1083&amp;
" | 📅 "&amp;IF(
'BASE COBRANÇAS'!M87:M1083="",
"—",
TEXT('BASE COBRANÇAS'!M87:M1083,"DD/MM HH:MM")
)&amp;
" | 🗓️ "&amp;IF(
'BASE COBRANÇAS'!O87:O1083="",
"—",
TEXT('BASE COBRANÇAS'!O87:O1083,"DD/MM HH:MM")
)&amp;
CHAR(10)&amp;
"📍 "&amp;IF(
'BASE COBRANÇAS'!Q87:Q1083="",
"—",
'BASE COBRANÇAS'!Q87:Q1083
)&amp;
" - "&amp;IF(
'BASE COBRANÇAS'!T87:T1083="",
"—",
'BASE COBRANÇAS'!T87:T1083
),
('BASE COBRANÇAS'!F87:F1083='BASE COBRANÇAS'!F87)*
(TEXT('BASE COBRANÇAS'!O87:O1083,"DD/MM/AAAA")=
TEXT('BASE COBRANÇAS'!O87,"DD/MM/AAAA"))*
('BASE COBRANÇAS'!C87:C1083='BASE COBRANÇAS'!C87)*
('BASE COBRANÇAS'!C87:C1083&lt;&gt;"")*
('BASE COBRANÇAS'!C87:C1083&lt;&gt;"EM VIAGEM")*
('BASE COBRANÇAS'!C87:C1083&lt;&gt;"DESCONSIDERA, VALOR NÃO RASTREADO")*
('BASE COBRANÇAS'!C87:C1083&lt;&gt;"⚠️ ATENCAO - PROXIMO"),
""
)
)
),
"")</f>
        <v xml:space="preserve">🚛 STATUS TRANSPORTADORA
SMP DEVE SER CRIADA COM ATÉ 4 HORAS DE ANTECEDENCIA ANTES DO LOCAL DE CARREGAMENTO*
🏢 *Transportadora:* JADIMO TRANS
⚠️ EM VIAGEM
</v>
      </c>
    </row>
    <row r="88" spans="1:1" ht="243">
      <c r="A88" s="39" t="str" cm="1">
        <f t="array" aca="1" ref="A88" ca="1">IFERROR(
IF(
MATCH(
'BASE COBRANÇAS'!F88&amp;
TEXT('BASE COBRANÇAS'!O88,"DD/MM/AAAA")&amp;
'BASE COBRANÇAS'!C88,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COBRANÇAS'!F88&amp;
CHAR(10)&amp;CHAR(10)&amp;
"⚠️ "&amp;'BASE COBRANÇAS'!C88&amp;
CHAR(10)&amp;
_xlfn.TEXTJOIN(
CHAR(10)&amp;CHAR(10),
TRUE,
_xlfn._xlws.FILTER(
"📦 "&amp;'BASE COBRANÇAS'!B88:B1084&amp;
" | 📅 "&amp;IF(
'BASE COBRANÇAS'!M88:M1084="",
"—",
TEXT('BASE COBRANÇAS'!M88:M1084,"DD/MM HH:MM")
)&amp;
" | 🗓️ "&amp;IF(
'BASE COBRANÇAS'!O88:O1084="",
"—",
TEXT('BASE COBRANÇAS'!O88:O1084,"DD/MM HH:MM")
)&amp;
CHAR(10)&amp;
"📍 "&amp;IF(
'BASE COBRANÇAS'!Q88:Q1084="",
"—",
'BASE COBRANÇAS'!Q88:Q1084
)&amp;
" - "&amp;IF(
'BASE COBRANÇAS'!T88:T1084="",
"—",
'BASE COBRANÇAS'!T88:T1084
),
('BASE COBRANÇAS'!F88:F1084='BASE COBRANÇAS'!F88)*
(TEXT('BASE COBRANÇAS'!O88:O1084,"DD/MM/AAAA")=
TEXT('BASE COBRANÇAS'!O88,"DD/MM/AAAA"))*
('BASE COBRANÇAS'!C88:C1084='BASE COBRANÇAS'!C88)*
('BASE COBRANÇAS'!C88:C1084&lt;&gt;"")*
('BASE COBRANÇAS'!C88:C1084&lt;&gt;"EM VIAGEM")*
('BASE COBRANÇAS'!C88:C1084&lt;&gt;"DESCONSIDERA, VALOR NÃO RASTREADO")*
('BASE COBRANÇAS'!C88:C1084&lt;&gt;"⚠️ ATENCAO - PROXIMO"),
""
)
)
),
"")</f>
        <v xml:space="preserve">🚛 STATUS TRANSPORTADORA
SMP DEVE SER CRIADA COM ATÉ 4 HORAS DE ANTECEDENCIA ANTES DO LOCAL DE CARREGAMENTO*
🏢 *Transportadora:* VIPE TRANSPO
⚠️ EM VIAGEM
</v>
      </c>
    </row>
    <row r="89" spans="1:1" ht="243">
      <c r="A89" s="39" t="str" cm="1">
        <f t="array" aca="1" ref="A89" ca="1">IFERROR(
IF(
MATCH(
'BASE COBRANÇAS'!F89&amp;
TEXT('BASE COBRANÇAS'!O89,"DD/MM/AAAA")&amp;
'BASE COBRANÇAS'!C89,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COBRANÇAS'!F89&amp;
CHAR(10)&amp;CHAR(10)&amp;
"⚠️ "&amp;'BASE COBRANÇAS'!C89&amp;
CHAR(10)&amp;
_xlfn.TEXTJOIN(
CHAR(10)&amp;CHAR(10),
TRUE,
_xlfn._xlws.FILTER(
"📦 "&amp;'BASE COBRANÇAS'!B89:B1085&amp;
" | 📅 "&amp;IF(
'BASE COBRANÇAS'!M89:M1085="",
"—",
TEXT('BASE COBRANÇAS'!M89:M1085,"DD/MM HH:MM")
)&amp;
" | 🗓️ "&amp;IF(
'BASE COBRANÇAS'!O89:O1085="",
"—",
TEXT('BASE COBRANÇAS'!O89:O1085,"DD/MM HH:MM")
)&amp;
CHAR(10)&amp;
"📍 "&amp;IF(
'BASE COBRANÇAS'!Q89:Q1085="",
"—",
'BASE COBRANÇAS'!Q89:Q1085
)&amp;
" - "&amp;IF(
'BASE COBRANÇAS'!T89:T1085="",
"—",
'BASE COBRANÇAS'!T89:T1085
),
('BASE COBRANÇAS'!F89:F1085='BASE COBRANÇAS'!F89)*
(TEXT('BASE COBRANÇAS'!O89:O1085,"DD/MM/AAAA")=
TEXT('BASE COBRANÇAS'!O89,"DD/MM/AAAA"))*
('BASE COBRANÇAS'!C89:C1085='BASE COBRANÇAS'!C89)*
('BASE COBRANÇAS'!C89:C1085&lt;&gt;"")*
('BASE COBRANÇAS'!C89:C1085&lt;&gt;"EM VIAGEM")*
('BASE COBRANÇAS'!C89:C1085&lt;&gt;"DESCONSIDERA, VALOR NÃO RASTREADO")*
('BASE COBRANÇAS'!C89:C1085&lt;&gt;"⚠️ ATENCAO - PROXIMO"),
""
)
)
),
"")</f>
        <v>🚛 STATUS TRANSPORTADORA
SMP DEVE SER CRIADA COM ATÉ 4 HORAS DE ANTECEDENCIA ANTES DO LOCAL DE CARREGAMENTO*
🏢 *Transportadora:* TRANSKING
⚠️ NA CLIF - COM SMP - AGUARDANDO SAÍDA
📦 6020923 | 📅 18/05 10:00 | 🗓️ 18/05 05:00
📍 EBAZAR.COM.BR. LTDA - 07750020 - CAJAMAR/SP/BRASIL</v>
      </c>
    </row>
    <row r="90" spans="1:1" ht="243">
      <c r="A90" s="39" t="str" cm="1">
        <f t="array" aca="1" ref="A90" ca="1">IFERROR(
IF(
MATCH(
'BASE COBRANÇAS'!F90&amp;
TEXT('BASE COBRANÇAS'!O90,"DD/MM/AAAA")&amp;
'BASE COBRANÇAS'!C90,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COBRANÇAS'!F90&amp;
CHAR(10)&amp;CHAR(10)&amp;
"⚠️ "&amp;'BASE COBRANÇAS'!C90&amp;
CHAR(10)&amp;
_xlfn.TEXTJOIN(
CHAR(10)&amp;CHAR(10),
TRUE,
_xlfn._xlws.FILTER(
"📦 "&amp;'BASE COBRANÇAS'!B90:B1086&amp;
" | 📅 "&amp;IF(
'BASE COBRANÇAS'!M90:M1086="",
"—",
TEXT('BASE COBRANÇAS'!M90:M1086,"DD/MM HH:MM")
)&amp;
" | 🗓️ "&amp;IF(
'BASE COBRANÇAS'!O90:O1086="",
"—",
TEXT('BASE COBRANÇAS'!O90:O1086,"DD/MM HH:MM")
)&amp;
CHAR(10)&amp;
"📍 "&amp;IF(
'BASE COBRANÇAS'!Q90:Q1086="",
"—",
'BASE COBRANÇAS'!Q90:Q1086
)&amp;
" - "&amp;IF(
'BASE COBRANÇAS'!T90:T1086="",
"—",
'BASE COBRANÇAS'!T90:T1086
),
('BASE COBRANÇAS'!F90:F1086='BASE COBRANÇAS'!F90)*
(TEXT('BASE COBRANÇAS'!O90:O1086,"DD/MM/AAAA")=
TEXT('BASE COBRANÇAS'!O90,"DD/MM/AAAA"))*
('BASE COBRANÇAS'!C90:C1086='BASE COBRANÇAS'!C90)*
('BASE COBRANÇAS'!C90:C1086&lt;&gt;"")*
('BASE COBRANÇAS'!C90:C1086&lt;&gt;"EM VIAGEM")*
('BASE COBRANÇAS'!C90:C1086&lt;&gt;"DESCONSIDERA, VALOR NÃO RASTREADO")*
('BASE COBRANÇAS'!C90:C1086&lt;&gt;"⚠️ ATENCAO - PROXIMO"),
""
)
)
),
"")</f>
        <v>🚛 STATUS TRANSPORTADORA
SMP DEVE SER CRIADA COM ATÉ 4 HORAS DE ANTECEDENCIA ANTES DO LOCAL DE CARREGAMENTO*
🏢 *Transportadora:* TRANSP RODOWAY LTDA
⚠️ OK - NO PRAZO
📦 6023016 | 📅 18/05 08:00 | 🗓️ 19/05 23:00
📍 GRUPO CASAS BAHIA S.A(CD1500) - 09790400 - SAO BERNARDO DO CAMPO/SP/BRASIL</v>
      </c>
    </row>
    <row r="91" spans="1:1" ht="243">
      <c r="A91" s="39" t="str" cm="1">
        <f t="array" aca="1" ref="A91" ca="1">IFERROR(
IF(
MATCH(
'BASE COBRANÇAS'!F91&amp;
TEXT('BASE COBRANÇAS'!O91,"DD/MM/AAAA")&amp;
'BASE COBRANÇAS'!C91,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COBRANÇAS'!F91&amp;
CHAR(10)&amp;CHAR(10)&amp;
"⚠️ "&amp;'BASE COBRANÇAS'!C91&amp;
CHAR(10)&amp;
_xlfn.TEXTJOIN(
CHAR(10)&amp;CHAR(10),
TRUE,
_xlfn._xlws.FILTER(
"📦 "&amp;'BASE COBRANÇAS'!B91:B1087&amp;
" | 📅 "&amp;IF(
'BASE COBRANÇAS'!M91:M1087="",
"—",
TEXT('BASE COBRANÇAS'!M91:M1087,"DD/MM HH:MM")
)&amp;
" | 🗓️ "&amp;IF(
'BASE COBRANÇAS'!O91:O1087="",
"—",
TEXT('BASE COBRANÇAS'!O91:O1087,"DD/MM HH:MM")
)&amp;
CHAR(10)&amp;
"📍 "&amp;IF(
'BASE COBRANÇAS'!Q91:Q1087="",
"—",
'BASE COBRANÇAS'!Q91:Q1087
)&amp;
" - "&amp;IF(
'BASE COBRANÇAS'!T91:T1087="",
"—",
'BASE COBRANÇAS'!T91:T1087
),
('BASE COBRANÇAS'!F91:F1087='BASE COBRANÇAS'!F91)*
(TEXT('BASE COBRANÇAS'!O91:O1087,"DD/MM/AAAA")=
TEXT('BASE COBRANÇAS'!O91,"DD/MM/AAAA"))*
('BASE COBRANÇAS'!C91:C1087='BASE COBRANÇAS'!C91)*
('BASE COBRANÇAS'!C91:C1087&lt;&gt;"")*
('BASE COBRANÇAS'!C91:C1087&lt;&gt;"EM VIAGEM")*
('BASE COBRANÇAS'!C91:C1087&lt;&gt;"DESCONSIDERA, VALOR NÃO RASTREADO")*
('BASE COBRANÇAS'!C91:C1087&lt;&gt;"⚠️ ATENCAO - PROXIMO"),
""
)
)
),
"")</f>
        <v/>
      </c>
    </row>
    <row r="92" spans="1:1" ht="243">
      <c r="A92" s="39" t="str" cm="1">
        <f t="array" aca="1" ref="A92" ca="1">IFERROR(
IF(
MATCH(
'BASE COBRANÇAS'!F92&amp;
TEXT('BASE COBRANÇAS'!O92,"DD/MM/AAAA")&amp;
'BASE COBRANÇAS'!C92,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COBRANÇAS'!F92&amp;
CHAR(10)&amp;CHAR(10)&amp;
"⚠️ "&amp;'BASE COBRANÇAS'!C92&amp;
CHAR(10)&amp;
_xlfn.TEXTJOIN(
CHAR(10)&amp;CHAR(10),
TRUE,
_xlfn._xlws.FILTER(
"📦 "&amp;'BASE COBRANÇAS'!B92:B1088&amp;
" | 📅 "&amp;IF(
'BASE COBRANÇAS'!M92:M1088="",
"—",
TEXT('BASE COBRANÇAS'!M92:M1088,"DD/MM HH:MM")
)&amp;
" | 🗓️ "&amp;IF(
'BASE COBRANÇAS'!O92:O1088="",
"—",
TEXT('BASE COBRANÇAS'!O92:O1088,"DD/MM HH:MM")
)&amp;
CHAR(10)&amp;
"📍 "&amp;IF(
'BASE COBRANÇAS'!Q92:Q1088="",
"—",
'BASE COBRANÇAS'!Q92:Q1088
)&amp;
" - "&amp;IF(
'BASE COBRANÇAS'!T92:T1088="",
"—",
'BASE COBRANÇAS'!T92:T1088
),
('BASE COBRANÇAS'!F92:F1088='BASE COBRANÇAS'!F92)*
(TEXT('BASE COBRANÇAS'!O92:O1088,"DD/MM/AAAA")=
TEXT('BASE COBRANÇAS'!O92,"DD/MM/AAAA"))*
('BASE COBRANÇAS'!C92:C1088='BASE COBRANÇAS'!C92)*
('BASE COBRANÇAS'!C92:C1088&lt;&gt;"")*
('BASE COBRANÇAS'!C92:C1088&lt;&gt;"EM VIAGEM")*
('BASE COBRANÇAS'!C92:C1088&lt;&gt;"DESCONSIDERA, VALOR NÃO RASTREADO")*
('BASE COBRANÇAS'!C92:C1088&lt;&gt;"⚠️ ATENCAO - PROXIMO"),
""
)
)
),
"")</f>
        <v>🚛 STATUS TRANSPORTADORA
SMP DEVE SER CRIADA COM ATÉ 4 HORAS DE ANTECEDENCIA ANTES DO LOCAL DE CARREGAMENTO*
🏢 *Transportadora:* WSC
⚠️ ATRASADO CARREGAMENTO - SEM SMP
📦 6022253 | 📅 15/05 18:00 | 🗓️ 29/05 06:00
📍 MAGAZINE LUIZA S/A (CD2650) - 68795000 - BENEVIDES/PA/BRASIL</v>
      </c>
    </row>
    <row r="93" spans="1:1" ht="243">
      <c r="A93" s="39" t="str" cm="1">
        <f t="array" aca="1" ref="A93" ca="1">IFERROR(
IF(
MATCH(
'BASE COBRANÇAS'!F93&amp;
TEXT('BASE COBRANÇAS'!O93,"DD/MM/AAAA")&amp;
'BASE COBRANÇAS'!C93,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COBRANÇAS'!F93&amp;
CHAR(10)&amp;CHAR(10)&amp;
"⚠️ "&amp;'BASE COBRANÇAS'!C93&amp;
CHAR(10)&amp;
_xlfn.TEXTJOIN(
CHAR(10)&amp;CHAR(10),
TRUE,
_xlfn._xlws.FILTER(
"📦 "&amp;'BASE COBRANÇAS'!B93:B1089&amp;
" | 📅 "&amp;IF(
'BASE COBRANÇAS'!M93:M1089="",
"—",
TEXT('BASE COBRANÇAS'!M93:M1089,"DD/MM HH:MM")
)&amp;
" | 🗓️ "&amp;IF(
'BASE COBRANÇAS'!O93:O1089="",
"—",
TEXT('BASE COBRANÇAS'!O93:O1089,"DD/MM HH:MM")
)&amp;
CHAR(10)&amp;
"📍 "&amp;IF(
'BASE COBRANÇAS'!Q93:Q1089="",
"—",
'BASE COBRANÇAS'!Q93:Q1089
)&amp;
" - "&amp;IF(
'BASE COBRANÇAS'!T93:T1089="",
"—",
'BASE COBRANÇAS'!T93:T1089
),
('BASE COBRANÇAS'!F93:F1089='BASE COBRANÇAS'!F93)*
(TEXT('BASE COBRANÇAS'!O93:O1089,"DD/MM/AAAA")=
TEXT('BASE COBRANÇAS'!O93,"DD/MM/AAAA"))*
('BASE COBRANÇAS'!C93:C1089='BASE COBRANÇAS'!C93)*
('BASE COBRANÇAS'!C93:C1089&lt;&gt;"")*
('BASE COBRANÇAS'!C93:C1089&lt;&gt;"EM VIAGEM")*
('BASE COBRANÇAS'!C93:C1089&lt;&gt;"DESCONSIDERA, VALOR NÃO RASTREADO")*
('BASE COBRANÇAS'!C93:C1089&lt;&gt;"⚠️ ATENCAO - PROXIMO"),
""
)
)
),
"")</f>
        <v xml:space="preserve">🚛 STATUS TRANSPORTADORA
SMP DEVE SER CRIADA COM ATÉ 4 HORAS DE ANTECEDENCIA ANTES DO LOCAL DE CARREGAMENTO*
🏢 *Transportadora:* VIPE TRANSPO
⚠️ EM VIAGEM
</v>
      </c>
    </row>
    <row r="94" spans="1:1" ht="243">
      <c r="A94" s="39" t="str" cm="1">
        <f t="array" aca="1" ref="A94" ca="1">IFERROR(
IF(
MATCH(
'BASE COBRANÇAS'!F94&amp;
TEXT('BASE COBRANÇAS'!O94,"DD/MM/AAAA")&amp;
'BASE COBRANÇAS'!C94,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COBRANÇAS'!F94&amp;
CHAR(10)&amp;CHAR(10)&amp;
"⚠️ "&amp;'BASE COBRANÇAS'!C94&amp;
CHAR(10)&amp;
_xlfn.TEXTJOIN(
CHAR(10)&amp;CHAR(10),
TRUE,
_xlfn._xlws.FILTER(
"📦 "&amp;'BASE COBRANÇAS'!B94:B1090&amp;
" | 📅 "&amp;IF(
'BASE COBRANÇAS'!M94:M1090="",
"—",
TEXT('BASE COBRANÇAS'!M94:M1090,"DD/MM HH:MM")
)&amp;
" | 🗓️ "&amp;IF(
'BASE COBRANÇAS'!O94:O1090="",
"—",
TEXT('BASE COBRANÇAS'!O94:O1090,"DD/MM HH:MM")
)&amp;
CHAR(10)&amp;
"📍 "&amp;IF(
'BASE COBRANÇAS'!Q94:Q1090="",
"—",
'BASE COBRANÇAS'!Q94:Q1090
)&amp;
" - "&amp;IF(
'BASE COBRANÇAS'!T94:T1090="",
"—",
'BASE COBRANÇAS'!T94:T1090
),
('BASE COBRANÇAS'!F94:F1090='BASE COBRANÇAS'!F94)*
(TEXT('BASE COBRANÇAS'!O94:O1090,"DD/MM/AAAA")=
TEXT('BASE COBRANÇAS'!O94,"DD/MM/AAAA"))*
('BASE COBRANÇAS'!C94:C1090='BASE COBRANÇAS'!C94)*
('BASE COBRANÇAS'!C94:C1090&lt;&gt;"")*
('BASE COBRANÇAS'!C94:C1090&lt;&gt;"EM VIAGEM")*
('BASE COBRANÇAS'!C94:C1090&lt;&gt;"DESCONSIDERA, VALOR NÃO RASTREADO")*
('BASE COBRANÇAS'!C94:C1090&lt;&gt;"⚠️ ATENCAO - PROXIMO"),
""
)
)
),
"")</f>
        <v xml:space="preserve">🚛 STATUS TRANSPORTADORA
SMP DEVE SER CRIADA COM ATÉ 4 HORAS DE ANTECEDENCIA ANTES DO LOCAL DE CARREGAMENTO*
🏢 *Transportadora:* BACHMANN TR
⚠️ EM VIAGEM
</v>
      </c>
    </row>
    <row r="95" spans="1:1" ht="243">
      <c r="A95" s="39" t="str" cm="1">
        <f t="array" aca="1" ref="A95" ca="1">IFERROR(
IF(
MATCH(
'BASE COBRANÇAS'!F95&amp;
TEXT('BASE COBRANÇAS'!O95,"DD/MM/AAAA")&amp;
'BASE COBRANÇAS'!C95,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COBRANÇAS'!F95&amp;
CHAR(10)&amp;CHAR(10)&amp;
"⚠️ "&amp;'BASE COBRANÇAS'!C95&amp;
CHAR(10)&amp;
_xlfn.TEXTJOIN(
CHAR(10)&amp;CHAR(10),
TRUE,
_xlfn._xlws.FILTER(
"📦 "&amp;'BASE COBRANÇAS'!B95:B1091&amp;
" | 📅 "&amp;IF(
'BASE COBRANÇAS'!M95:M1091="",
"—",
TEXT('BASE COBRANÇAS'!M95:M1091,"DD/MM HH:MM")
)&amp;
" | 🗓️ "&amp;IF(
'BASE COBRANÇAS'!O95:O1091="",
"—",
TEXT('BASE COBRANÇAS'!O95:O1091,"DD/MM HH:MM")
)&amp;
CHAR(10)&amp;
"📍 "&amp;IF(
'BASE COBRANÇAS'!Q95:Q1091="",
"—",
'BASE COBRANÇAS'!Q95:Q1091
)&amp;
" - "&amp;IF(
'BASE COBRANÇAS'!T95:T1091="",
"—",
'BASE COBRANÇAS'!T95:T1091
),
('BASE COBRANÇAS'!F95:F1091='BASE COBRANÇAS'!F95)*
(TEXT('BASE COBRANÇAS'!O95:O1091,"DD/MM/AAAA")=
TEXT('BASE COBRANÇAS'!O95,"DD/MM/AAAA"))*
('BASE COBRANÇAS'!C95:C1091='BASE COBRANÇAS'!C95)*
('BASE COBRANÇAS'!C95:C1091&lt;&gt;"")*
('BASE COBRANÇAS'!C95:C1091&lt;&gt;"EM VIAGEM")*
('BASE COBRANÇAS'!C95:C1091&lt;&gt;"DESCONSIDERA, VALOR NÃO RASTREADO")*
('BASE COBRANÇAS'!C95:C1091&lt;&gt;"⚠️ ATENCAO - PROXIMO"),
""
)
)
),
"")</f>
        <v/>
      </c>
    </row>
    <row r="96" spans="1:1" ht="243">
      <c r="A96" s="39" t="str" cm="1">
        <f t="array" aca="1" ref="A96" ca="1">IFERROR(
IF(
MATCH(
'BASE COBRANÇAS'!F96&amp;
TEXT('BASE COBRANÇAS'!O96,"DD/MM/AAAA")&amp;
'BASE COBRANÇAS'!C96,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COBRANÇAS'!F96&amp;
CHAR(10)&amp;CHAR(10)&amp;
"⚠️ "&amp;'BASE COBRANÇAS'!C96&amp;
CHAR(10)&amp;
_xlfn.TEXTJOIN(
CHAR(10)&amp;CHAR(10),
TRUE,
_xlfn._xlws.FILTER(
"📦 "&amp;'BASE COBRANÇAS'!B96:B1092&amp;
" | 📅 "&amp;IF(
'BASE COBRANÇAS'!M96:M1092="",
"—",
TEXT('BASE COBRANÇAS'!M96:M1092,"DD/MM HH:MM")
)&amp;
" | 🗓️ "&amp;IF(
'BASE COBRANÇAS'!O96:O1092="",
"—",
TEXT('BASE COBRANÇAS'!O96:O1092,"DD/MM HH:MM")
)&amp;
CHAR(10)&amp;
"📍 "&amp;IF(
'BASE COBRANÇAS'!Q96:Q1092="",
"—",
'BASE COBRANÇAS'!Q96:Q1092
)&amp;
" - "&amp;IF(
'BASE COBRANÇAS'!T96:T1092="",
"—",
'BASE COBRANÇAS'!T96:T1092
),
('BASE COBRANÇAS'!F96:F1092='BASE COBRANÇAS'!F96)*
(TEXT('BASE COBRANÇAS'!O96:O1092,"DD/MM/AAAA")=
TEXT('BASE COBRANÇAS'!O96,"DD/MM/AAAA"))*
('BASE COBRANÇAS'!C96:C1092='BASE COBRANÇAS'!C96)*
('BASE COBRANÇAS'!C96:C1092&lt;&gt;"")*
('BASE COBRANÇAS'!C96:C1092&lt;&gt;"EM VIAGEM")*
('BASE COBRANÇAS'!C96:C1092&lt;&gt;"DESCONSIDERA, VALOR NÃO RASTREADO")*
('BASE COBRANÇAS'!C96:C1092&lt;&gt;"⚠️ ATENCAO - PROXIMO"),
""
)
)
),
"")</f>
        <v/>
      </c>
    </row>
    <row r="97" spans="1:1" ht="243">
      <c r="A97" s="39" t="str" cm="1">
        <f t="array" aca="1" ref="A97" ca="1">IFERROR(
IF(
MATCH(
'BASE COBRANÇAS'!F97&amp;
TEXT('BASE COBRANÇAS'!O97,"DD/MM/AAAA")&amp;
'BASE COBRANÇAS'!C97,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COBRANÇAS'!F97&amp;
CHAR(10)&amp;CHAR(10)&amp;
"⚠️ "&amp;'BASE COBRANÇAS'!C97&amp;
CHAR(10)&amp;
_xlfn.TEXTJOIN(
CHAR(10)&amp;CHAR(10),
TRUE,
_xlfn._xlws.FILTER(
"📦 "&amp;'BASE COBRANÇAS'!B97:B1093&amp;
" | 📅 "&amp;IF(
'BASE COBRANÇAS'!M97:M1093="",
"—",
TEXT('BASE COBRANÇAS'!M97:M1093,"DD/MM HH:MM")
)&amp;
" | 🗓️ "&amp;IF(
'BASE COBRANÇAS'!O97:O1093="",
"—",
TEXT('BASE COBRANÇAS'!O97:O1093,"DD/MM HH:MM")
)&amp;
CHAR(10)&amp;
"📍 "&amp;IF(
'BASE COBRANÇAS'!Q97:Q1093="",
"—",
'BASE COBRANÇAS'!Q97:Q1093
)&amp;
" - "&amp;IF(
'BASE COBRANÇAS'!T97:T1093="",
"—",
'BASE COBRANÇAS'!T97:T1093
),
('BASE COBRANÇAS'!F97:F1093='BASE COBRANÇAS'!F97)*
(TEXT('BASE COBRANÇAS'!O97:O1093,"DD/MM/AAAA")=
TEXT('BASE COBRANÇAS'!O97,"DD/MM/AAAA"))*
('BASE COBRANÇAS'!C97:C1093='BASE COBRANÇAS'!C97)*
('BASE COBRANÇAS'!C97:C1093&lt;&gt;"")*
('BASE COBRANÇAS'!C97:C1093&lt;&gt;"EM VIAGEM")*
('BASE COBRANÇAS'!C97:C1093&lt;&gt;"DESCONSIDERA, VALOR NÃO RASTREADO")*
('BASE COBRANÇAS'!C97:C1093&lt;&gt;"⚠️ ATENCAO - PROXIMO"),
""
)
)
),
"")</f>
        <v/>
      </c>
    </row>
    <row r="98" spans="1:1" ht="243">
      <c r="A98" s="39" t="str" cm="1">
        <f t="array" aca="1" ref="A98" ca="1">IFERROR(
IF(
MATCH(
'BASE COBRANÇAS'!F98&amp;
TEXT('BASE COBRANÇAS'!O98,"DD/MM/AAAA")&amp;
'BASE COBRANÇAS'!C98,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COBRANÇAS'!F98&amp;
CHAR(10)&amp;CHAR(10)&amp;
"⚠️ "&amp;'BASE COBRANÇAS'!C98&amp;
CHAR(10)&amp;
_xlfn.TEXTJOIN(
CHAR(10)&amp;CHAR(10),
TRUE,
_xlfn._xlws.FILTER(
"📦 "&amp;'BASE COBRANÇAS'!B98:B1094&amp;
" | 📅 "&amp;IF(
'BASE COBRANÇAS'!M98:M1094="",
"—",
TEXT('BASE COBRANÇAS'!M98:M1094,"DD/MM HH:MM")
)&amp;
" | 🗓️ "&amp;IF(
'BASE COBRANÇAS'!O98:O1094="",
"—",
TEXT('BASE COBRANÇAS'!O98:O1094,"DD/MM HH:MM")
)&amp;
CHAR(10)&amp;
"📍 "&amp;IF(
'BASE COBRANÇAS'!Q98:Q1094="",
"—",
'BASE COBRANÇAS'!Q98:Q1094
)&amp;
" - "&amp;IF(
'BASE COBRANÇAS'!T98:T1094="",
"—",
'BASE COBRANÇAS'!T98:T1094
),
('BASE COBRANÇAS'!F98:F1094='BASE COBRANÇAS'!F98)*
(TEXT('BASE COBRANÇAS'!O98:O1094,"DD/MM/AAAA")=
TEXT('BASE COBRANÇAS'!O98,"DD/MM/AAAA"))*
('BASE COBRANÇAS'!C98:C1094='BASE COBRANÇAS'!C98)*
('BASE COBRANÇAS'!C98:C1094&lt;&gt;"")*
('BASE COBRANÇAS'!C98:C1094&lt;&gt;"EM VIAGEM")*
('BASE COBRANÇAS'!C98:C1094&lt;&gt;"DESCONSIDERA, VALOR NÃO RASTREADO")*
('BASE COBRANÇAS'!C98:C1094&lt;&gt;"⚠️ ATENCAO - PROXIMO"),
""
)
)
),
"")</f>
        <v/>
      </c>
    </row>
    <row r="99" spans="1:1" ht="243">
      <c r="A99" s="39" t="str" cm="1">
        <f t="array" aca="1" ref="A99" ca="1">IFERROR(
IF(
MATCH(
'BASE COBRANÇAS'!F99&amp;
TEXT('BASE COBRANÇAS'!O99,"DD/MM/AAAA")&amp;
'BASE COBRANÇAS'!C99,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COBRANÇAS'!F99&amp;
CHAR(10)&amp;CHAR(10)&amp;
"⚠️ "&amp;'BASE COBRANÇAS'!C99&amp;
CHAR(10)&amp;
_xlfn.TEXTJOIN(
CHAR(10)&amp;CHAR(10),
TRUE,
_xlfn._xlws.FILTER(
"📦 "&amp;'BASE COBRANÇAS'!B99:B1095&amp;
" | 📅 "&amp;IF(
'BASE COBRANÇAS'!M99:M1095="",
"—",
TEXT('BASE COBRANÇAS'!M99:M1095,"DD/MM HH:MM")
)&amp;
" | 🗓️ "&amp;IF(
'BASE COBRANÇAS'!O99:O1095="",
"—",
TEXT('BASE COBRANÇAS'!O99:O1095,"DD/MM HH:MM")
)&amp;
CHAR(10)&amp;
"📍 "&amp;IF(
'BASE COBRANÇAS'!Q99:Q1095="",
"—",
'BASE COBRANÇAS'!Q99:Q1095
)&amp;
" - "&amp;IF(
'BASE COBRANÇAS'!T99:T1095="",
"—",
'BASE COBRANÇAS'!T99:T1095
),
('BASE COBRANÇAS'!F99:F1095='BASE COBRANÇAS'!F99)*
(TEXT('BASE COBRANÇAS'!O99:O1095,"DD/MM/AAAA")=
TEXT('BASE COBRANÇAS'!O99,"DD/MM/AAAA"))*
('BASE COBRANÇAS'!C99:C1095='BASE COBRANÇAS'!C99)*
('BASE COBRANÇAS'!C99:C1095&lt;&gt;"")*
('BASE COBRANÇAS'!C99:C1095&lt;&gt;"EM VIAGEM")*
('BASE COBRANÇAS'!C99:C1095&lt;&gt;"DESCONSIDERA, VALOR NÃO RASTREADO")*
('BASE COBRANÇAS'!C99:C1095&lt;&gt;"⚠️ ATENCAO - PROXIMO"),
""
)
)
),
"")</f>
        <v/>
      </c>
    </row>
    <row r="100" spans="1:1" ht="243">
      <c r="A100" s="39" t="str" cm="1">
        <f t="array" aca="1" ref="A100" ca="1">IFERROR(
IF(
MATCH(
'BASE COBRANÇAS'!F100&amp;
TEXT('BASE COBRANÇAS'!O100,"DD/MM/AAAA")&amp;
'BASE COBRANÇAS'!C100,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COBRANÇAS'!F100&amp;
CHAR(10)&amp;CHAR(10)&amp;
"⚠️ "&amp;'BASE COBRANÇAS'!C100&amp;
CHAR(10)&amp;
_xlfn.TEXTJOIN(
CHAR(10)&amp;CHAR(10),
TRUE,
_xlfn._xlws.FILTER(
"📦 "&amp;'BASE COBRANÇAS'!B100:B1096&amp;
" | 📅 "&amp;IF(
'BASE COBRANÇAS'!M100:M1096="",
"—",
TEXT('BASE COBRANÇAS'!M100:M1096,"DD/MM HH:MM")
)&amp;
" | 🗓️ "&amp;IF(
'BASE COBRANÇAS'!O100:O1096="",
"—",
TEXT('BASE COBRANÇAS'!O100:O1096,"DD/MM HH:MM")
)&amp;
CHAR(10)&amp;
"📍 "&amp;IF(
'BASE COBRANÇAS'!Q100:Q1096="",
"—",
'BASE COBRANÇAS'!Q100:Q1096
)&amp;
" - "&amp;IF(
'BASE COBRANÇAS'!T100:T1096="",
"—",
'BASE COBRANÇAS'!T100:T1096
),
('BASE COBRANÇAS'!F100:F1096='BASE COBRANÇAS'!F100)*
(TEXT('BASE COBRANÇAS'!O100:O1096,"DD/MM/AAAA")=
TEXT('BASE COBRANÇAS'!O100,"DD/MM/AAAA"))*
('BASE COBRANÇAS'!C100:C1096='BASE COBRANÇAS'!C100)*
('BASE COBRANÇAS'!C100:C1096&lt;&gt;"")*
('BASE COBRANÇAS'!C100:C1096&lt;&gt;"EM VIAGEM")*
('BASE COBRANÇAS'!C100:C1096&lt;&gt;"DESCONSIDERA, VALOR NÃO RASTREADO")*
('BASE COBRANÇAS'!C100:C1096&lt;&gt;"⚠️ ATENCAO - PROXIMO"),
""
)
)
),
"")</f>
        <v/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8489-EC7A-416B-8DDA-0A246B90CC5A}">
  <sheetPr>
    <tabColor rgb="FFFF0000"/>
  </sheetPr>
  <dimension ref="A1:B25"/>
  <sheetViews>
    <sheetView workbookViewId="0">
      <selection activeCell="B5" sqref="B5"/>
    </sheetView>
  </sheetViews>
  <sheetFormatPr defaultColWidth="0" defaultRowHeight="15" zeroHeight="1"/>
  <cols>
    <col min="1" max="1" width="27.5703125" style="17" customWidth="1"/>
    <col min="2" max="2" width="22.28515625" style="21" customWidth="1"/>
    <col min="3" max="3" width="9.140625" style="4" customWidth="1"/>
    <col min="4" max="16384" width="0" style="4" hidden="1"/>
  </cols>
  <sheetData>
    <row r="1" spans="1:2">
      <c r="A1" s="17" t="s">
        <v>32</v>
      </c>
      <c r="B1" s="21" t="s">
        <v>33</v>
      </c>
    </row>
    <row r="2" spans="1:2">
      <c r="A2" s="17">
        <v>46157</v>
      </c>
      <c r="B2" s="21">
        <v>0.61458333333333337</v>
      </c>
    </row>
    <row r="3" spans="1:2">
      <c r="A3" s="17">
        <v>46157</v>
      </c>
      <c r="B3" s="21">
        <v>0.72222222222222221</v>
      </c>
    </row>
    <row r="4" spans="1:2">
      <c r="A4" s="17">
        <v>46157</v>
      </c>
      <c r="B4" s="21">
        <v>0.84027777777777779</v>
      </c>
    </row>
    <row r="5" spans="1:2"/>
    <row r="6" spans="1:2"/>
    <row r="7" spans="1:2"/>
    <row r="8" spans="1:2"/>
    <row r="9" spans="1:2"/>
    <row r="10" spans="1:2"/>
    <row r="11" spans="1:2"/>
    <row r="12" spans="1:2"/>
    <row r="13" spans="1:2"/>
    <row r="14" spans="1:2"/>
    <row r="15" spans="1:2"/>
    <row r="16" spans="1:2"/>
    <row r="17"/>
    <row r="18"/>
    <row r="19"/>
    <row r="20"/>
    <row r="21"/>
    <row r="22"/>
    <row r="23"/>
    <row r="24"/>
    <row r="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5376-001F-4FC6-84C4-3D9FA4FDBCEA}">
  <sheetPr>
    <tabColor theme="5" tint="0.39997558519241921"/>
  </sheetPr>
  <dimension ref="A1:AL917"/>
  <sheetViews>
    <sheetView tabSelected="1" topLeftCell="J1" workbookViewId="0">
      <selection activeCell="L18" sqref="L18"/>
    </sheetView>
  </sheetViews>
  <sheetFormatPr defaultRowHeight="15"/>
  <cols>
    <col min="1" max="1" width="48.42578125" bestFit="1" customWidth="1"/>
    <col min="2" max="2" width="14.85546875" bestFit="1" customWidth="1"/>
    <col min="3" max="3" width="13.7109375" bestFit="1" customWidth="1"/>
    <col min="4" max="4" width="10" bestFit="1" customWidth="1"/>
    <col min="5" max="5" width="14.140625" bestFit="1" customWidth="1"/>
    <col min="6" max="6" width="15.7109375" bestFit="1" customWidth="1"/>
    <col min="7" max="7" width="24.28515625" bestFit="1" customWidth="1"/>
    <col min="8" max="8" width="17.7109375" bestFit="1" customWidth="1"/>
    <col min="9" max="9" width="29.42578125" bestFit="1" customWidth="1"/>
    <col min="10" max="10" width="118.140625" bestFit="1" customWidth="1"/>
    <col min="11" max="11" width="11.7109375" bestFit="1" customWidth="1"/>
    <col min="12" max="12" width="85.42578125" bestFit="1" customWidth="1"/>
    <col min="13" max="13" width="15.7109375" bestFit="1" customWidth="1"/>
    <col min="14" max="14" width="101.28515625" bestFit="1" customWidth="1"/>
    <col min="15" max="15" width="73.7109375" bestFit="1" customWidth="1"/>
    <col min="16" max="16" width="53.28515625" bestFit="1" customWidth="1"/>
    <col min="17" max="18" width="15.7109375" bestFit="1" customWidth="1"/>
    <col min="19" max="19" width="10.42578125" bestFit="1" customWidth="1"/>
    <col min="20" max="20" width="92.28515625" bestFit="1" customWidth="1"/>
    <col min="21" max="21" width="15.7109375" bestFit="1" customWidth="1"/>
    <col min="22" max="22" width="10.42578125" bestFit="1" customWidth="1"/>
    <col min="23" max="23" width="66.85546875" bestFit="1" customWidth="1"/>
    <col min="24" max="24" width="15.7109375" bestFit="1" customWidth="1"/>
    <col min="25" max="25" width="17.140625" bestFit="1" customWidth="1"/>
    <col min="26" max="26" width="92.28515625" bestFit="1" customWidth="1"/>
    <col min="27" max="27" width="19.7109375" bestFit="1" customWidth="1"/>
    <col min="28" max="28" width="15.28515625" bestFit="1" customWidth="1"/>
    <col min="29" max="29" width="14.140625" bestFit="1" customWidth="1"/>
    <col min="30" max="30" width="9.42578125" bestFit="1" customWidth="1"/>
    <col min="31" max="31" width="14.7109375" bestFit="1" customWidth="1"/>
    <col min="32" max="32" width="9.42578125" bestFit="1" customWidth="1"/>
    <col min="33" max="33" width="12.42578125" bestFit="1" customWidth="1"/>
    <col min="34" max="34" width="12.7109375" bestFit="1" customWidth="1"/>
    <col min="35" max="35" width="27" bestFit="1" customWidth="1"/>
    <col min="36" max="36" width="11.7109375" bestFit="1" customWidth="1"/>
    <col min="37" max="37" width="15" bestFit="1" customWidth="1"/>
    <col min="38" max="38" width="48.7109375" bestFit="1" customWidth="1"/>
  </cols>
  <sheetData>
    <row r="1" spans="1:38">
      <c r="A1" s="33" t="s">
        <v>34</v>
      </c>
      <c r="B1" s="33" t="s">
        <v>35</v>
      </c>
      <c r="C1" s="33" t="s">
        <v>36</v>
      </c>
      <c r="D1" s="33" t="s">
        <v>11</v>
      </c>
      <c r="E1" s="33" t="s">
        <v>37</v>
      </c>
      <c r="F1" s="33" t="s">
        <v>38</v>
      </c>
      <c r="G1" s="33" t="s">
        <v>7</v>
      </c>
      <c r="H1" s="33" t="s">
        <v>39</v>
      </c>
      <c r="I1" s="33" t="s">
        <v>40</v>
      </c>
      <c r="J1" s="33" t="s">
        <v>41</v>
      </c>
      <c r="K1" s="33" t="s">
        <v>42</v>
      </c>
      <c r="L1" s="33" t="s">
        <v>43</v>
      </c>
      <c r="M1" s="33" t="s">
        <v>44</v>
      </c>
      <c r="N1" s="33" t="s">
        <v>45</v>
      </c>
      <c r="O1" s="33" t="s">
        <v>46</v>
      </c>
      <c r="P1" s="33" t="s">
        <v>8</v>
      </c>
      <c r="Q1" s="33" t="s">
        <v>47</v>
      </c>
      <c r="R1" s="33" t="s">
        <v>48</v>
      </c>
      <c r="S1" s="33" t="s">
        <v>49</v>
      </c>
      <c r="T1" s="33" t="s">
        <v>18</v>
      </c>
      <c r="U1" s="33" t="s">
        <v>50</v>
      </c>
      <c r="V1" s="33" t="s">
        <v>51</v>
      </c>
      <c r="W1" s="33" t="s">
        <v>52</v>
      </c>
      <c r="X1" s="33" t="s">
        <v>53</v>
      </c>
      <c r="Y1" s="33" t="s">
        <v>54</v>
      </c>
      <c r="Z1" s="33" t="s">
        <v>55</v>
      </c>
      <c r="AA1" s="33" t="s">
        <v>56</v>
      </c>
      <c r="AB1" s="33" t="s">
        <v>57</v>
      </c>
      <c r="AC1" s="33" t="s">
        <v>58</v>
      </c>
      <c r="AD1" s="33" t="s">
        <v>59</v>
      </c>
      <c r="AE1" s="33" t="s">
        <v>60</v>
      </c>
      <c r="AF1" s="33" t="s">
        <v>61</v>
      </c>
      <c r="AG1" s="33" t="s">
        <v>62</v>
      </c>
      <c r="AH1" s="33" t="s">
        <v>63</v>
      </c>
      <c r="AI1" s="33" t="s">
        <v>64</v>
      </c>
      <c r="AJ1" s="33" t="s">
        <v>65</v>
      </c>
      <c r="AK1" s="33" t="s">
        <v>66</v>
      </c>
      <c r="AL1" s="33" t="s">
        <v>67</v>
      </c>
    </row>
    <row r="2" spans="1:38">
      <c r="A2" s="33">
        <v>6005945</v>
      </c>
      <c r="B2" s="33" t="s">
        <v>68</v>
      </c>
      <c r="C2" s="33" t="s">
        <v>69</v>
      </c>
      <c r="D2" s="33" t="s">
        <v>70</v>
      </c>
      <c r="E2" s="33" t="s">
        <v>71</v>
      </c>
      <c r="F2" s="43">
        <v>46147.945138888892</v>
      </c>
      <c r="G2" s="33" t="s">
        <v>72</v>
      </c>
      <c r="H2" s="33"/>
      <c r="I2" s="33" t="s">
        <v>73</v>
      </c>
      <c r="J2" s="33" t="s">
        <v>74</v>
      </c>
      <c r="K2" s="33" t="s">
        <v>75</v>
      </c>
      <c r="L2" s="33" t="s">
        <v>76</v>
      </c>
      <c r="M2" s="43">
        <v>46158.454513888886</v>
      </c>
      <c r="N2" s="33" t="s">
        <v>77</v>
      </c>
      <c r="O2" s="33" t="s">
        <v>78</v>
      </c>
      <c r="P2" s="33" t="s">
        <v>79</v>
      </c>
      <c r="Q2" s="43">
        <v>46148.665277777778</v>
      </c>
      <c r="R2" s="43">
        <v>46148.665277777778</v>
      </c>
      <c r="S2" s="33"/>
      <c r="T2" s="33" t="s">
        <v>80</v>
      </c>
      <c r="U2" s="43">
        <v>46154.537499999999</v>
      </c>
      <c r="V2" s="44">
        <v>3.9201388888888888</v>
      </c>
      <c r="W2" s="33" t="s">
        <v>80</v>
      </c>
      <c r="X2" s="43">
        <v>46154.537499999999</v>
      </c>
      <c r="Y2" s="44">
        <v>3.9201388888888888</v>
      </c>
      <c r="Z2" s="33" t="s">
        <v>80</v>
      </c>
      <c r="AA2" s="43">
        <v>46154.25</v>
      </c>
      <c r="AB2" s="33" t="s">
        <v>81</v>
      </c>
      <c r="AC2" s="33" t="s">
        <v>82</v>
      </c>
      <c r="AD2" s="44">
        <v>10.486805555555556</v>
      </c>
      <c r="AE2" s="44">
        <v>9.7888888888888896</v>
      </c>
      <c r="AF2" s="44">
        <v>10.486805555555556</v>
      </c>
      <c r="AG2" s="33"/>
      <c r="AH2" s="33">
        <v>1</v>
      </c>
      <c r="AI2" s="43">
        <v>46154.537499999999</v>
      </c>
      <c r="AJ2" s="33" t="s">
        <v>83</v>
      </c>
      <c r="AK2" s="42">
        <v>83410.95</v>
      </c>
      <c r="AL2" s="33" t="s">
        <v>84</v>
      </c>
    </row>
    <row r="3" spans="1:38">
      <c r="A3" s="33" t="s">
        <v>85</v>
      </c>
      <c r="B3" s="33" t="s">
        <v>86</v>
      </c>
      <c r="C3" s="33" t="s">
        <v>69</v>
      </c>
      <c r="D3" s="33" t="s">
        <v>87</v>
      </c>
      <c r="E3" s="33" t="s">
        <v>88</v>
      </c>
      <c r="F3" s="43">
        <v>46150.541666666664</v>
      </c>
      <c r="G3" s="33" t="s">
        <v>89</v>
      </c>
      <c r="H3" s="58">
        <v>0.10347222222222222</v>
      </c>
      <c r="I3" s="33" t="s">
        <v>73</v>
      </c>
      <c r="J3" s="33" t="s">
        <v>90</v>
      </c>
      <c r="K3" s="33" t="s">
        <v>75</v>
      </c>
      <c r="L3" s="33" t="s">
        <v>91</v>
      </c>
      <c r="M3" s="43">
        <v>46158.454756944448</v>
      </c>
      <c r="N3" s="33" t="s">
        <v>92</v>
      </c>
      <c r="O3" s="33" t="s">
        <v>93</v>
      </c>
      <c r="P3" s="33" t="s">
        <v>79</v>
      </c>
      <c r="Q3" s="43">
        <v>46150.313888888886</v>
      </c>
      <c r="R3" s="43">
        <v>46150.425694444442</v>
      </c>
      <c r="S3" s="58">
        <v>0.11180555555555556</v>
      </c>
      <c r="T3" s="33" t="s">
        <v>94</v>
      </c>
      <c r="U3" s="33"/>
      <c r="V3" s="33"/>
      <c r="W3" s="33"/>
      <c r="X3" s="33"/>
      <c r="Y3" s="33"/>
      <c r="Z3" s="33" t="s">
        <v>94</v>
      </c>
      <c r="AA3" s="43">
        <v>46160.25</v>
      </c>
      <c r="AB3" s="33" t="s">
        <v>95</v>
      </c>
      <c r="AC3" s="33" t="s">
        <v>96</v>
      </c>
      <c r="AD3" s="44">
        <v>8.1618055555555564</v>
      </c>
      <c r="AE3" s="44">
        <v>3.9645833333333331</v>
      </c>
      <c r="AF3" s="44">
        <v>8.1618055555555564</v>
      </c>
      <c r="AG3" s="33" t="s">
        <v>97</v>
      </c>
      <c r="AH3" s="33">
        <v>2</v>
      </c>
      <c r="AI3" s="43">
        <v>46159.195833333331</v>
      </c>
      <c r="AJ3" s="33" t="s">
        <v>73</v>
      </c>
      <c r="AK3" s="42">
        <v>395323.8</v>
      </c>
      <c r="AL3" s="33" t="s">
        <v>98</v>
      </c>
    </row>
    <row r="4" spans="1:38">
      <c r="A4" s="33" t="s">
        <v>99</v>
      </c>
      <c r="B4" s="33" t="s">
        <v>86</v>
      </c>
      <c r="C4" s="33" t="s">
        <v>69</v>
      </c>
      <c r="D4" s="33" t="s">
        <v>100</v>
      </c>
      <c r="E4" s="33" t="s">
        <v>101</v>
      </c>
      <c r="F4" s="43">
        <v>46154.25</v>
      </c>
      <c r="G4" s="33" t="s">
        <v>102</v>
      </c>
      <c r="H4" s="33"/>
      <c r="I4" s="33" t="s">
        <v>73</v>
      </c>
      <c r="J4" s="33" t="s">
        <v>103</v>
      </c>
      <c r="K4" s="33" t="s">
        <v>104</v>
      </c>
      <c r="L4" s="33" t="s">
        <v>105</v>
      </c>
      <c r="M4" s="43">
        <v>46158.456388888888</v>
      </c>
      <c r="N4" s="33" t="s">
        <v>106</v>
      </c>
      <c r="O4" s="33" t="s">
        <v>93</v>
      </c>
      <c r="P4" s="33" t="s">
        <v>79</v>
      </c>
      <c r="Q4" s="33"/>
      <c r="R4" s="33"/>
      <c r="S4" s="33"/>
      <c r="T4" s="33" t="s">
        <v>107</v>
      </c>
      <c r="U4" s="33"/>
      <c r="V4" s="33"/>
      <c r="W4" s="33"/>
      <c r="X4" s="33"/>
      <c r="Y4" s="33"/>
      <c r="Z4" s="33" t="s">
        <v>107</v>
      </c>
      <c r="AA4" s="43">
        <v>46169.25</v>
      </c>
      <c r="AB4" s="33" t="s">
        <v>108</v>
      </c>
      <c r="AC4" s="33" t="s">
        <v>109</v>
      </c>
      <c r="AD4" s="44">
        <v>4.5319444444444441</v>
      </c>
      <c r="AE4" s="33"/>
      <c r="AF4" s="44">
        <v>4.5319444444444441</v>
      </c>
      <c r="AG4" s="33" t="s">
        <v>110</v>
      </c>
      <c r="AH4" s="33">
        <v>0</v>
      </c>
      <c r="AI4" s="43">
        <v>46159.349305555559</v>
      </c>
      <c r="AJ4" s="33" t="s">
        <v>73</v>
      </c>
      <c r="AK4" s="42">
        <v>441719.26</v>
      </c>
      <c r="AL4" s="33" t="s">
        <v>111</v>
      </c>
    </row>
    <row r="5" spans="1:38">
      <c r="A5" s="33">
        <v>6011292</v>
      </c>
      <c r="B5" s="33" t="s">
        <v>86</v>
      </c>
      <c r="C5" s="33" t="s">
        <v>69</v>
      </c>
      <c r="D5" s="33" t="s">
        <v>112</v>
      </c>
      <c r="E5" s="33" t="s">
        <v>113</v>
      </c>
      <c r="F5" s="43">
        <v>46153.675000000003</v>
      </c>
      <c r="G5" s="33" t="s">
        <v>114</v>
      </c>
      <c r="H5" s="58">
        <v>0.52986111111111112</v>
      </c>
      <c r="I5" s="33" t="s">
        <v>73</v>
      </c>
      <c r="J5" s="33" t="s">
        <v>115</v>
      </c>
      <c r="K5" s="33" t="s">
        <v>116</v>
      </c>
      <c r="L5" s="33" t="s">
        <v>117</v>
      </c>
      <c r="M5" s="43">
        <v>46158.442210648151</v>
      </c>
      <c r="N5" s="33" t="s">
        <v>118</v>
      </c>
      <c r="O5" s="33" t="s">
        <v>93</v>
      </c>
      <c r="P5" s="33" t="s">
        <v>79</v>
      </c>
      <c r="Q5" s="33"/>
      <c r="R5" s="33"/>
      <c r="S5" s="33"/>
      <c r="T5" s="33" t="s">
        <v>119</v>
      </c>
      <c r="U5" s="33"/>
      <c r="V5" s="33"/>
      <c r="W5" s="33"/>
      <c r="X5" s="33"/>
      <c r="Y5" s="33"/>
      <c r="Z5" s="33" t="s">
        <v>119</v>
      </c>
      <c r="AA5" s="43">
        <v>46160.333333333336</v>
      </c>
      <c r="AB5" s="33" t="s">
        <v>120</v>
      </c>
      <c r="AC5" s="33" t="s">
        <v>121</v>
      </c>
      <c r="AD5" s="44">
        <v>4.5194444444444448</v>
      </c>
      <c r="AE5" s="33"/>
      <c r="AF5" s="44">
        <v>4.5194444444444448</v>
      </c>
      <c r="AG5" s="33" t="s">
        <v>122</v>
      </c>
      <c r="AH5" s="33">
        <v>0</v>
      </c>
      <c r="AI5" s="43">
        <v>46158.649305555555</v>
      </c>
      <c r="AJ5" s="33" t="s">
        <v>73</v>
      </c>
      <c r="AK5" s="42">
        <v>179808.75</v>
      </c>
      <c r="AL5" s="33" t="s">
        <v>123</v>
      </c>
    </row>
    <row r="6" spans="1:38">
      <c r="A6" s="33">
        <v>6011293</v>
      </c>
      <c r="B6" s="33" t="s">
        <v>86</v>
      </c>
      <c r="C6" s="33" t="s">
        <v>69</v>
      </c>
      <c r="D6" s="33" t="s">
        <v>124</v>
      </c>
      <c r="E6" s="33" t="s">
        <v>125</v>
      </c>
      <c r="F6" s="43">
        <v>46154.333333333336</v>
      </c>
      <c r="G6" s="33" t="s">
        <v>89</v>
      </c>
      <c r="H6" s="33"/>
      <c r="I6" s="33" t="s">
        <v>73</v>
      </c>
      <c r="J6" s="33" t="s">
        <v>126</v>
      </c>
      <c r="K6" s="33" t="s">
        <v>127</v>
      </c>
      <c r="L6" s="33" t="s">
        <v>128</v>
      </c>
      <c r="M6" s="43">
        <v>46158.456446759257</v>
      </c>
      <c r="N6" s="33" t="s">
        <v>129</v>
      </c>
      <c r="O6" s="33" t="s">
        <v>93</v>
      </c>
      <c r="P6" s="33" t="s">
        <v>79</v>
      </c>
      <c r="Q6" s="43">
        <v>46154.320833333331</v>
      </c>
      <c r="R6" s="43">
        <v>46154.370138888888</v>
      </c>
      <c r="S6" s="58">
        <v>4.9305555555555554E-2</v>
      </c>
      <c r="T6" s="33" t="s">
        <v>119</v>
      </c>
      <c r="U6" s="33"/>
      <c r="V6" s="33"/>
      <c r="W6" s="33"/>
      <c r="X6" s="33"/>
      <c r="Y6" s="33"/>
      <c r="Z6" s="33" t="s">
        <v>119</v>
      </c>
      <c r="AA6" s="43">
        <v>46161.333333333336</v>
      </c>
      <c r="AB6" s="33" t="s">
        <v>130</v>
      </c>
      <c r="AC6" s="33" t="s">
        <v>131</v>
      </c>
      <c r="AD6" s="44">
        <v>4.1375000000000002</v>
      </c>
      <c r="AE6" s="44">
        <v>4.0875000000000004</v>
      </c>
      <c r="AF6" s="44">
        <v>4.1375000000000002</v>
      </c>
      <c r="AG6" s="33" t="s">
        <v>132</v>
      </c>
      <c r="AH6" s="33">
        <v>1</v>
      </c>
      <c r="AI6" s="43">
        <v>46158.675000000003</v>
      </c>
      <c r="AJ6" s="33" t="s">
        <v>73</v>
      </c>
      <c r="AK6" s="42">
        <v>159389.22</v>
      </c>
      <c r="AL6" s="33" t="s">
        <v>133</v>
      </c>
    </row>
    <row r="7" spans="1:38">
      <c r="A7" s="33" t="s">
        <v>134</v>
      </c>
      <c r="B7" s="33" t="s">
        <v>86</v>
      </c>
      <c r="C7" s="33" t="s">
        <v>69</v>
      </c>
      <c r="D7" s="33" t="s">
        <v>135</v>
      </c>
      <c r="E7" s="33" t="s">
        <v>136</v>
      </c>
      <c r="F7" s="43">
        <v>46154.958333333336</v>
      </c>
      <c r="G7" s="33" t="s">
        <v>102</v>
      </c>
      <c r="H7" s="33"/>
      <c r="I7" s="33" t="s">
        <v>73</v>
      </c>
      <c r="J7" s="33" t="s">
        <v>137</v>
      </c>
      <c r="K7" s="33" t="s">
        <v>75</v>
      </c>
      <c r="L7" s="33" t="s">
        <v>138</v>
      </c>
      <c r="M7" s="43">
        <v>46158.455601851849</v>
      </c>
      <c r="N7" s="33" t="s">
        <v>139</v>
      </c>
      <c r="O7" s="33" t="s">
        <v>93</v>
      </c>
      <c r="P7" s="33" t="s">
        <v>140</v>
      </c>
      <c r="Q7" s="43">
        <v>46155.459027777775</v>
      </c>
      <c r="R7" s="43">
        <v>46155.476388888892</v>
      </c>
      <c r="S7" s="58">
        <v>1.7361111111111112E-2</v>
      </c>
      <c r="T7" s="33" t="s">
        <v>141</v>
      </c>
      <c r="U7" s="33"/>
      <c r="V7" s="33"/>
      <c r="W7" s="33"/>
      <c r="X7" s="33"/>
      <c r="Y7" s="33"/>
      <c r="Z7" s="33" t="s">
        <v>141</v>
      </c>
      <c r="AA7" s="43">
        <v>46160.25</v>
      </c>
      <c r="AB7" s="33" t="s">
        <v>142</v>
      </c>
      <c r="AC7" s="33" t="s">
        <v>143</v>
      </c>
      <c r="AD7" s="44">
        <v>3.1340277777777779</v>
      </c>
      <c r="AE7" s="44">
        <v>2.9812500000000002</v>
      </c>
      <c r="AF7" s="44">
        <v>3.1340277777777779</v>
      </c>
      <c r="AG7" s="33" t="s">
        <v>144</v>
      </c>
      <c r="AH7" s="33">
        <v>1</v>
      </c>
      <c r="AI7" s="43">
        <v>46159.029861111114</v>
      </c>
      <c r="AJ7" s="33" t="s">
        <v>73</v>
      </c>
      <c r="AK7" s="42">
        <v>2197935.6800000002</v>
      </c>
      <c r="AL7" s="33" t="s">
        <v>145</v>
      </c>
    </row>
    <row r="8" spans="1:38">
      <c r="A8" s="33">
        <v>6003733</v>
      </c>
      <c r="B8" s="33" t="s">
        <v>86</v>
      </c>
      <c r="C8" s="33" t="s">
        <v>69</v>
      </c>
      <c r="D8" s="33" t="s">
        <v>146</v>
      </c>
      <c r="E8" s="33" t="s">
        <v>147</v>
      </c>
      <c r="F8" s="43">
        <v>46155.324999999997</v>
      </c>
      <c r="G8" s="33" t="s">
        <v>102</v>
      </c>
      <c r="H8" s="33"/>
      <c r="I8" s="33" t="s">
        <v>73</v>
      </c>
      <c r="J8" s="33" t="s">
        <v>148</v>
      </c>
      <c r="K8" s="33" t="s">
        <v>149</v>
      </c>
      <c r="L8" s="33" t="s">
        <v>150</v>
      </c>
      <c r="M8" s="43">
        <v>46158.456678240742</v>
      </c>
      <c r="N8" s="33" t="s">
        <v>151</v>
      </c>
      <c r="O8" s="33" t="s">
        <v>93</v>
      </c>
      <c r="P8" s="33" t="s">
        <v>79</v>
      </c>
      <c r="Q8" s="33"/>
      <c r="R8" s="33"/>
      <c r="S8" s="33"/>
      <c r="T8" s="33" t="s">
        <v>152</v>
      </c>
      <c r="U8" s="33"/>
      <c r="V8" s="33"/>
      <c r="W8" s="33"/>
      <c r="X8" s="33"/>
      <c r="Y8" s="33"/>
      <c r="Z8" s="33" t="s">
        <v>152</v>
      </c>
      <c r="AA8" s="43">
        <v>46161.25</v>
      </c>
      <c r="AB8" s="33" t="s">
        <v>153</v>
      </c>
      <c r="AC8" s="33" t="s">
        <v>154</v>
      </c>
      <c r="AD8" s="44">
        <v>2.7631944444444443</v>
      </c>
      <c r="AE8" s="33"/>
      <c r="AF8" s="44">
        <v>2.7631944444444443</v>
      </c>
      <c r="AG8" s="33" t="s">
        <v>155</v>
      </c>
      <c r="AH8" s="33">
        <v>0</v>
      </c>
      <c r="AI8" s="43">
        <v>46158.833333333336</v>
      </c>
      <c r="AJ8" s="33" t="s">
        <v>73</v>
      </c>
      <c r="AK8" s="42">
        <v>114846.24</v>
      </c>
      <c r="AL8" s="33" t="s">
        <v>156</v>
      </c>
    </row>
    <row r="9" spans="1:38">
      <c r="A9" s="33" t="s">
        <v>157</v>
      </c>
      <c r="B9" s="33" t="s">
        <v>86</v>
      </c>
      <c r="C9" s="33" t="s">
        <v>69</v>
      </c>
      <c r="D9" s="33" t="s">
        <v>158</v>
      </c>
      <c r="E9" s="33" t="s">
        <v>159</v>
      </c>
      <c r="F9" s="43">
        <v>46155.416666666664</v>
      </c>
      <c r="G9" s="33" t="s">
        <v>89</v>
      </c>
      <c r="H9" s="33"/>
      <c r="I9" s="33" t="s">
        <v>73</v>
      </c>
      <c r="J9" s="33" t="s">
        <v>160</v>
      </c>
      <c r="K9" s="33" t="s">
        <v>75</v>
      </c>
      <c r="L9" s="33" t="s">
        <v>161</v>
      </c>
      <c r="M9" s="43">
        <v>46158.454872685186</v>
      </c>
      <c r="N9" s="33" t="s">
        <v>162</v>
      </c>
      <c r="O9" s="33" t="s">
        <v>93</v>
      </c>
      <c r="P9" s="33" t="s">
        <v>140</v>
      </c>
      <c r="Q9" s="43">
        <v>46155.627083333333</v>
      </c>
      <c r="R9" s="43">
        <v>46155.634027777778</v>
      </c>
      <c r="S9" s="58">
        <v>6.9444444444444441E-3</v>
      </c>
      <c r="T9" s="33" t="s">
        <v>163</v>
      </c>
      <c r="U9" s="33"/>
      <c r="V9" s="33"/>
      <c r="W9" s="33"/>
      <c r="X9" s="33"/>
      <c r="Y9" s="33"/>
      <c r="Z9" s="33" t="s">
        <v>163</v>
      </c>
      <c r="AA9" s="43">
        <v>46161.25</v>
      </c>
      <c r="AB9" s="33" t="s">
        <v>164</v>
      </c>
      <c r="AC9" s="33" t="s">
        <v>165</v>
      </c>
      <c r="AD9" s="44">
        <v>2.8722222222222222</v>
      </c>
      <c r="AE9" s="44">
        <v>2.8236111111111111</v>
      </c>
      <c r="AF9" s="44">
        <v>2.8722222222222222</v>
      </c>
      <c r="AG9" s="33" t="s">
        <v>166</v>
      </c>
      <c r="AH9" s="33">
        <v>1</v>
      </c>
      <c r="AI9" s="43">
        <v>46159.426388888889</v>
      </c>
      <c r="AJ9" s="33" t="s">
        <v>73</v>
      </c>
      <c r="AK9" s="42">
        <v>1258408.3700000001</v>
      </c>
      <c r="AL9" s="33" t="s">
        <v>167</v>
      </c>
    </row>
    <row r="10" spans="1:38">
      <c r="A10" s="33" t="s">
        <v>168</v>
      </c>
      <c r="B10" s="33" t="s">
        <v>86</v>
      </c>
      <c r="C10" s="33" t="s">
        <v>69</v>
      </c>
      <c r="D10" s="33" t="s">
        <v>169</v>
      </c>
      <c r="E10" s="33" t="s">
        <v>170</v>
      </c>
      <c r="F10" s="43">
        <v>46155.625</v>
      </c>
      <c r="G10" s="33" t="s">
        <v>171</v>
      </c>
      <c r="H10" s="33"/>
      <c r="I10" s="33" t="s">
        <v>73</v>
      </c>
      <c r="J10" s="33" t="s">
        <v>172</v>
      </c>
      <c r="K10" s="33" t="s">
        <v>75</v>
      </c>
      <c r="L10" s="33" t="s">
        <v>173</v>
      </c>
      <c r="M10" s="43">
        <v>46158.457476851851</v>
      </c>
      <c r="N10" s="33" t="s">
        <v>174</v>
      </c>
      <c r="O10" s="33" t="s">
        <v>175</v>
      </c>
      <c r="P10" s="33" t="s">
        <v>79</v>
      </c>
      <c r="Q10" s="43">
        <v>46155.792361111111</v>
      </c>
      <c r="R10" s="43">
        <v>46156.336805555555</v>
      </c>
      <c r="S10" s="58">
        <v>0.5444444444444444</v>
      </c>
      <c r="T10" s="33" t="s">
        <v>176</v>
      </c>
      <c r="U10" s="33"/>
      <c r="V10" s="33"/>
      <c r="W10" s="33" t="s">
        <v>177</v>
      </c>
      <c r="X10" s="43">
        <v>46157.627083333333</v>
      </c>
      <c r="Y10" s="58">
        <v>0.8305555555555556</v>
      </c>
      <c r="Z10" s="33" t="s">
        <v>176</v>
      </c>
      <c r="AA10" s="43">
        <v>46160.291666666664</v>
      </c>
      <c r="AB10" s="33" t="s">
        <v>178</v>
      </c>
      <c r="AC10" s="33" t="s">
        <v>179</v>
      </c>
      <c r="AD10" s="44">
        <v>2.7625000000000002</v>
      </c>
      <c r="AE10" s="44">
        <v>2.1208333333333331</v>
      </c>
      <c r="AF10" s="44">
        <v>2.7625000000000002</v>
      </c>
      <c r="AG10" s="33" t="s">
        <v>180</v>
      </c>
      <c r="AH10" s="33">
        <v>1</v>
      </c>
      <c r="AI10" s="43">
        <v>46158.575694444444</v>
      </c>
      <c r="AJ10" s="33" t="s">
        <v>73</v>
      </c>
      <c r="AK10" s="42">
        <v>427396.33</v>
      </c>
      <c r="AL10" s="33" t="s">
        <v>181</v>
      </c>
    </row>
    <row r="11" spans="1:38">
      <c r="A11" s="33">
        <v>6011818</v>
      </c>
      <c r="B11" s="33" t="s">
        <v>86</v>
      </c>
      <c r="C11" s="33" t="s">
        <v>69</v>
      </c>
      <c r="D11" s="33" t="s">
        <v>182</v>
      </c>
      <c r="E11" s="33" t="s">
        <v>183</v>
      </c>
      <c r="F11" s="43">
        <v>46156.958333333336</v>
      </c>
      <c r="G11" s="33" t="s">
        <v>184</v>
      </c>
      <c r="H11" s="33"/>
      <c r="I11" s="33" t="s">
        <v>73</v>
      </c>
      <c r="J11" s="33" t="s">
        <v>185</v>
      </c>
      <c r="K11" s="33" t="s">
        <v>127</v>
      </c>
      <c r="L11" s="33" t="s">
        <v>186</v>
      </c>
      <c r="M11" s="43">
        <v>46158.444201388891</v>
      </c>
      <c r="N11" s="33" t="s">
        <v>187</v>
      </c>
      <c r="O11" s="33" t="s">
        <v>93</v>
      </c>
      <c r="P11" s="33" t="s">
        <v>140</v>
      </c>
      <c r="Q11" s="43">
        <v>46156.227777777778</v>
      </c>
      <c r="R11" s="43">
        <v>46156.240277777775</v>
      </c>
      <c r="S11" s="58">
        <v>1.2500000000000001E-2</v>
      </c>
      <c r="T11" s="33" t="s">
        <v>163</v>
      </c>
      <c r="U11" s="33"/>
      <c r="V11" s="33"/>
      <c r="W11" s="33"/>
      <c r="X11" s="33"/>
      <c r="Y11" s="33"/>
      <c r="Z11" s="33" t="s">
        <v>163</v>
      </c>
      <c r="AA11" s="43">
        <v>46161.25</v>
      </c>
      <c r="AB11" s="33" t="s">
        <v>188</v>
      </c>
      <c r="AC11" s="33" t="s">
        <v>189</v>
      </c>
      <c r="AD11" s="44">
        <v>2.2305555555555556</v>
      </c>
      <c r="AE11" s="44">
        <v>2.2173611111111109</v>
      </c>
      <c r="AF11" s="44">
        <v>2.2305555555555556</v>
      </c>
      <c r="AG11" s="33" t="s">
        <v>190</v>
      </c>
      <c r="AH11" s="33">
        <v>1</v>
      </c>
      <c r="AI11" s="43">
        <v>46158.85</v>
      </c>
      <c r="AJ11" s="33" t="s">
        <v>73</v>
      </c>
      <c r="AK11" s="42">
        <v>796035.38</v>
      </c>
      <c r="AL11" s="33" t="s">
        <v>191</v>
      </c>
    </row>
    <row r="12" spans="1:38">
      <c r="A12" s="33">
        <v>6013215</v>
      </c>
      <c r="B12" s="33" t="s">
        <v>86</v>
      </c>
      <c r="C12" s="33" t="s">
        <v>69</v>
      </c>
      <c r="D12" s="33" t="s">
        <v>192</v>
      </c>
      <c r="E12" s="33" t="s">
        <v>193</v>
      </c>
      <c r="F12" s="43">
        <v>46156.958333333336</v>
      </c>
      <c r="G12" s="33" t="s">
        <v>184</v>
      </c>
      <c r="H12" s="33"/>
      <c r="I12" s="33" t="s">
        <v>73</v>
      </c>
      <c r="J12" s="33" t="s">
        <v>194</v>
      </c>
      <c r="K12" s="33" t="s">
        <v>195</v>
      </c>
      <c r="L12" s="33" t="s">
        <v>196</v>
      </c>
      <c r="M12" s="43">
        <v>46158.457071759258</v>
      </c>
      <c r="N12" s="33" t="s">
        <v>197</v>
      </c>
      <c r="O12" s="33" t="s">
        <v>93</v>
      </c>
      <c r="P12" s="33" t="s">
        <v>140</v>
      </c>
      <c r="Q12" s="33"/>
      <c r="R12" s="33"/>
      <c r="S12" s="33"/>
      <c r="T12" s="33" t="s">
        <v>198</v>
      </c>
      <c r="U12" s="33"/>
      <c r="V12" s="33"/>
      <c r="W12" s="33"/>
      <c r="X12" s="33"/>
      <c r="Y12" s="33"/>
      <c r="Z12" s="33" t="s">
        <v>198</v>
      </c>
      <c r="AA12" s="43">
        <v>46161.25</v>
      </c>
      <c r="AB12" s="33" t="s">
        <v>199</v>
      </c>
      <c r="AC12" s="33" t="s">
        <v>200</v>
      </c>
      <c r="AD12" s="44">
        <v>1.1118055555555555</v>
      </c>
      <c r="AE12" s="33"/>
      <c r="AF12" s="44">
        <v>1.1118055555555555</v>
      </c>
      <c r="AG12" s="33" t="s">
        <v>201</v>
      </c>
      <c r="AH12" s="33">
        <v>0</v>
      </c>
      <c r="AI12" s="43">
        <v>46159.734027777777</v>
      </c>
      <c r="AJ12" s="33" t="s">
        <v>73</v>
      </c>
      <c r="AK12" s="42">
        <v>508637.74</v>
      </c>
      <c r="AL12" s="33" t="s">
        <v>202</v>
      </c>
    </row>
    <row r="13" spans="1:38">
      <c r="A13" s="33">
        <v>6014054</v>
      </c>
      <c r="B13" s="33" t="s">
        <v>86</v>
      </c>
      <c r="C13" s="33" t="s">
        <v>69</v>
      </c>
      <c r="D13" s="33" t="s">
        <v>203</v>
      </c>
      <c r="E13" s="33" t="s">
        <v>204</v>
      </c>
      <c r="F13" s="43">
        <v>46156.625</v>
      </c>
      <c r="G13" s="33" t="s">
        <v>184</v>
      </c>
      <c r="H13" s="33"/>
      <c r="I13" s="33" t="s">
        <v>73</v>
      </c>
      <c r="J13" s="33" t="s">
        <v>205</v>
      </c>
      <c r="K13" s="33" t="s">
        <v>75</v>
      </c>
      <c r="L13" s="33" t="s">
        <v>206</v>
      </c>
      <c r="M13" s="43">
        <v>46158.455787037034</v>
      </c>
      <c r="N13" s="33" t="s">
        <v>207</v>
      </c>
      <c r="O13" s="33" t="s">
        <v>93</v>
      </c>
      <c r="P13" s="33" t="s">
        <v>140</v>
      </c>
      <c r="Q13" s="43">
        <v>46156.627083333333</v>
      </c>
      <c r="R13" s="43">
        <v>46156.640972222223</v>
      </c>
      <c r="S13" s="58">
        <v>1.3888888888888888E-2</v>
      </c>
      <c r="T13" s="33" t="s">
        <v>208</v>
      </c>
      <c r="U13" s="33"/>
      <c r="V13" s="33"/>
      <c r="W13" s="33"/>
      <c r="X13" s="33"/>
      <c r="Y13" s="33"/>
      <c r="Z13" s="33" t="s">
        <v>208</v>
      </c>
      <c r="AA13" s="43">
        <v>46162.25</v>
      </c>
      <c r="AB13" s="33" t="s">
        <v>209</v>
      </c>
      <c r="AC13" s="33" t="s">
        <v>210</v>
      </c>
      <c r="AD13" s="44">
        <v>1.8645833333333333</v>
      </c>
      <c r="AE13" s="44">
        <v>1.8166666666666667</v>
      </c>
      <c r="AF13" s="44">
        <v>1.8645833333333333</v>
      </c>
      <c r="AG13" s="33" t="s">
        <v>211</v>
      </c>
      <c r="AH13" s="33">
        <v>1</v>
      </c>
      <c r="AI13" s="43">
        <v>46160.068749999999</v>
      </c>
      <c r="AJ13" s="33" t="s">
        <v>73</v>
      </c>
      <c r="AK13" s="42">
        <v>763241.28</v>
      </c>
      <c r="AL13" s="33" t="s">
        <v>212</v>
      </c>
    </row>
    <row r="14" spans="1:38">
      <c r="A14" s="33" t="s">
        <v>213</v>
      </c>
      <c r="B14" s="33" t="s">
        <v>86</v>
      </c>
      <c r="C14" s="33" t="s">
        <v>69</v>
      </c>
      <c r="D14" s="33" t="s">
        <v>214</v>
      </c>
      <c r="E14" s="33" t="s">
        <v>215</v>
      </c>
      <c r="F14" s="43">
        <v>46156.607638888891</v>
      </c>
      <c r="G14" s="33" t="s">
        <v>216</v>
      </c>
      <c r="H14" s="33"/>
      <c r="I14" s="33" t="s">
        <v>73</v>
      </c>
      <c r="J14" s="33" t="s">
        <v>217</v>
      </c>
      <c r="K14" s="33" t="s">
        <v>75</v>
      </c>
      <c r="L14" s="33" t="s">
        <v>218</v>
      </c>
      <c r="M14" s="43">
        <v>46158.456666666665</v>
      </c>
      <c r="N14" s="33" t="s">
        <v>219</v>
      </c>
      <c r="O14" s="33" t="s">
        <v>220</v>
      </c>
      <c r="P14" s="33" t="s">
        <v>140</v>
      </c>
      <c r="Q14" s="43">
        <v>46156.609722222223</v>
      </c>
      <c r="R14" s="43">
        <v>46156.736111111109</v>
      </c>
      <c r="S14" s="58">
        <v>0.12638888888888888</v>
      </c>
      <c r="T14" s="33" t="s">
        <v>221</v>
      </c>
      <c r="U14" s="33"/>
      <c r="V14" s="33"/>
      <c r="W14" s="33" t="s">
        <v>222</v>
      </c>
      <c r="X14" s="43">
        <v>46157.681250000001</v>
      </c>
      <c r="Y14" s="58">
        <v>0.77638888888888891</v>
      </c>
      <c r="Z14" s="33" t="s">
        <v>221</v>
      </c>
      <c r="AA14" s="43">
        <v>46160.333333333336</v>
      </c>
      <c r="AB14" s="33" t="s">
        <v>81</v>
      </c>
      <c r="AC14" s="33" t="s">
        <v>223</v>
      </c>
      <c r="AD14" s="44">
        <v>1.8479166666666667</v>
      </c>
      <c r="AE14" s="44">
        <v>1.7215277777777778</v>
      </c>
      <c r="AF14" s="44">
        <v>1.8479166666666667</v>
      </c>
      <c r="AG14" s="33"/>
      <c r="AH14" s="33">
        <v>1</v>
      </c>
      <c r="AI14" s="43">
        <v>46158.456944444442</v>
      </c>
      <c r="AJ14" s="33" t="s">
        <v>73</v>
      </c>
      <c r="AK14" s="42">
        <v>723264.61</v>
      </c>
      <c r="AL14" s="33" t="s">
        <v>224</v>
      </c>
    </row>
    <row r="15" spans="1:38">
      <c r="A15" s="33">
        <v>6020564</v>
      </c>
      <c r="B15" s="33" t="s">
        <v>86</v>
      </c>
      <c r="C15" s="33" t="s">
        <v>69</v>
      </c>
      <c r="D15" s="33" t="s">
        <v>225</v>
      </c>
      <c r="E15" s="33" t="s">
        <v>226</v>
      </c>
      <c r="F15" s="43">
        <v>46156.125</v>
      </c>
      <c r="G15" s="33" t="s">
        <v>227</v>
      </c>
      <c r="H15" s="33"/>
      <c r="I15" s="33" t="s">
        <v>73</v>
      </c>
      <c r="J15" s="33" t="s">
        <v>228</v>
      </c>
      <c r="K15" s="33" t="s">
        <v>75</v>
      </c>
      <c r="L15" s="33" t="s">
        <v>229</v>
      </c>
      <c r="M15" s="43">
        <v>46158.456157407411</v>
      </c>
      <c r="N15" s="33" t="s">
        <v>230</v>
      </c>
      <c r="O15" s="33" t="s">
        <v>231</v>
      </c>
      <c r="P15" s="33" t="s">
        <v>79</v>
      </c>
      <c r="Q15" s="33"/>
      <c r="R15" s="33"/>
      <c r="S15" s="33"/>
      <c r="T15" s="33" t="s">
        <v>232</v>
      </c>
      <c r="U15" s="33"/>
      <c r="V15" s="33"/>
      <c r="W15" s="33"/>
      <c r="X15" s="33"/>
      <c r="Y15" s="33"/>
      <c r="Z15" s="33" t="s">
        <v>232</v>
      </c>
      <c r="AA15" s="43">
        <v>46160.333333333336</v>
      </c>
      <c r="AB15" s="33" t="s">
        <v>233</v>
      </c>
      <c r="AC15" s="33" t="s">
        <v>234</v>
      </c>
      <c r="AD15" s="44">
        <v>1.4861111111111112</v>
      </c>
      <c r="AE15" s="58">
        <v>0.23958333333333334</v>
      </c>
      <c r="AF15" s="44">
        <v>1.4861111111111112</v>
      </c>
      <c r="AG15" s="33" t="s">
        <v>235</v>
      </c>
      <c r="AH15" s="33">
        <v>4</v>
      </c>
      <c r="AI15" s="43">
        <v>46158.82916666667</v>
      </c>
      <c r="AJ15" s="33" t="s">
        <v>83</v>
      </c>
      <c r="AK15" s="42">
        <v>86052.91</v>
      </c>
      <c r="AL15" s="33" t="s">
        <v>236</v>
      </c>
    </row>
    <row r="16" spans="1:38">
      <c r="A16" s="33" t="s">
        <v>237</v>
      </c>
      <c r="B16" s="33" t="s">
        <v>86</v>
      </c>
      <c r="C16" s="33" t="s">
        <v>69</v>
      </c>
      <c r="D16" s="33" t="s">
        <v>238</v>
      </c>
      <c r="E16" s="33" t="s">
        <v>239</v>
      </c>
      <c r="F16" s="43">
        <v>46156.990277777775</v>
      </c>
      <c r="G16" s="33" t="s">
        <v>89</v>
      </c>
      <c r="H16" s="33"/>
      <c r="I16" s="33" t="s">
        <v>73</v>
      </c>
      <c r="J16" s="33" t="s">
        <v>240</v>
      </c>
      <c r="K16" s="33" t="s">
        <v>241</v>
      </c>
      <c r="L16" s="33" t="s">
        <v>242</v>
      </c>
      <c r="M16" s="43">
        <v>46158.455740740741</v>
      </c>
      <c r="N16" s="33" t="s">
        <v>243</v>
      </c>
      <c r="O16" s="33" t="s">
        <v>93</v>
      </c>
      <c r="P16" s="33" t="s">
        <v>140</v>
      </c>
      <c r="Q16" s="43">
        <v>46156.994444444441</v>
      </c>
      <c r="R16" s="43">
        <v>46157.05</v>
      </c>
      <c r="S16" s="58">
        <v>5.5555555555555552E-2</v>
      </c>
      <c r="T16" s="33" t="s">
        <v>141</v>
      </c>
      <c r="U16" s="33"/>
      <c r="V16" s="33"/>
      <c r="W16" s="33"/>
      <c r="X16" s="33"/>
      <c r="Y16" s="33"/>
      <c r="Z16" s="33" t="s">
        <v>163</v>
      </c>
      <c r="AA16" s="43">
        <v>46163.25</v>
      </c>
      <c r="AB16" s="33" t="s">
        <v>244</v>
      </c>
      <c r="AC16" s="33" t="s">
        <v>245</v>
      </c>
      <c r="AD16" s="44">
        <v>1.4215277777777777</v>
      </c>
      <c r="AE16" s="44">
        <v>1.4076388888888889</v>
      </c>
      <c r="AF16" s="44">
        <v>1.4215277777777777</v>
      </c>
      <c r="AG16" s="33" t="s">
        <v>246</v>
      </c>
      <c r="AH16" s="33">
        <v>1</v>
      </c>
      <c r="AI16" s="43">
        <v>46158.956250000003</v>
      </c>
      <c r="AJ16" s="33" t="s">
        <v>73</v>
      </c>
      <c r="AK16" s="42">
        <v>1396959.64</v>
      </c>
      <c r="AL16" s="33" t="s">
        <v>247</v>
      </c>
    </row>
    <row r="17" spans="1:38">
      <c r="A17" s="33">
        <v>6022064</v>
      </c>
      <c r="B17" s="33" t="s">
        <v>86</v>
      </c>
      <c r="C17" s="33" t="s">
        <v>69</v>
      </c>
      <c r="D17" s="33" t="s">
        <v>248</v>
      </c>
      <c r="E17" s="33" t="s">
        <v>249</v>
      </c>
      <c r="F17" s="43">
        <v>46157.375</v>
      </c>
      <c r="G17" s="33" t="s">
        <v>184</v>
      </c>
      <c r="H17" s="33"/>
      <c r="I17" s="33" t="s">
        <v>73</v>
      </c>
      <c r="J17" s="33" t="s">
        <v>250</v>
      </c>
      <c r="K17" s="33" t="s">
        <v>75</v>
      </c>
      <c r="L17" s="33" t="s">
        <v>251</v>
      </c>
      <c r="M17" s="43">
        <v>46158.455497685187</v>
      </c>
      <c r="N17" s="33" t="s">
        <v>252</v>
      </c>
      <c r="O17" s="33" t="s">
        <v>175</v>
      </c>
      <c r="P17" s="33" t="s">
        <v>140</v>
      </c>
      <c r="Q17" s="43">
        <v>46157.311805555553</v>
      </c>
      <c r="R17" s="43">
        <v>46157.395138888889</v>
      </c>
      <c r="S17" s="58">
        <v>8.3333333333333329E-2</v>
      </c>
      <c r="T17" s="33" t="s">
        <v>253</v>
      </c>
      <c r="U17" s="33"/>
      <c r="V17" s="33"/>
      <c r="W17" s="33"/>
      <c r="X17" s="33"/>
      <c r="Y17" s="33"/>
      <c r="Z17" s="33" t="s">
        <v>253</v>
      </c>
      <c r="AA17" s="43">
        <v>46161.291666666664</v>
      </c>
      <c r="AB17" s="33" t="s">
        <v>254</v>
      </c>
      <c r="AC17" s="33" t="s">
        <v>255</v>
      </c>
      <c r="AD17" s="44">
        <v>1.08125</v>
      </c>
      <c r="AE17" s="58">
        <v>0.64513888888888893</v>
      </c>
      <c r="AF17" s="44">
        <v>1.08125</v>
      </c>
      <c r="AG17" s="33" t="s">
        <v>256</v>
      </c>
      <c r="AH17" s="33">
        <v>2</v>
      </c>
      <c r="AI17" s="43">
        <v>46158.701388888891</v>
      </c>
      <c r="AJ17" s="33" t="s">
        <v>73</v>
      </c>
      <c r="AK17" s="42">
        <v>1307797.05</v>
      </c>
      <c r="AL17" s="33" t="s">
        <v>257</v>
      </c>
    </row>
    <row r="18" spans="1:38">
      <c r="A18" s="33">
        <v>6012861</v>
      </c>
      <c r="B18" s="33" t="s">
        <v>86</v>
      </c>
      <c r="C18" s="33" t="s">
        <v>69</v>
      </c>
      <c r="D18" s="33" t="s">
        <v>258</v>
      </c>
      <c r="E18" s="33" t="s">
        <v>259</v>
      </c>
      <c r="F18" s="43">
        <v>46157.395138888889</v>
      </c>
      <c r="G18" s="33" t="s">
        <v>260</v>
      </c>
      <c r="H18" s="33"/>
      <c r="I18" s="33" t="s">
        <v>73</v>
      </c>
      <c r="J18" s="33" t="s">
        <v>261</v>
      </c>
      <c r="K18" s="33" t="s">
        <v>262</v>
      </c>
      <c r="L18" s="33" t="s">
        <v>263</v>
      </c>
      <c r="M18" s="43">
        <v>46158.454409722224</v>
      </c>
      <c r="N18" s="33" t="s">
        <v>264</v>
      </c>
      <c r="O18" s="33" t="s">
        <v>93</v>
      </c>
      <c r="P18" s="33" t="s">
        <v>140</v>
      </c>
      <c r="Q18" s="43">
        <v>46157.397916666669</v>
      </c>
      <c r="R18" s="43">
        <v>46157.45</v>
      </c>
      <c r="S18" s="58">
        <v>5.2083333333333336E-2</v>
      </c>
      <c r="T18" s="33" t="s">
        <v>265</v>
      </c>
      <c r="U18" s="33"/>
      <c r="V18" s="33"/>
      <c r="W18" s="33"/>
      <c r="X18" s="33"/>
      <c r="Y18" s="33"/>
      <c r="Z18" s="33" t="s">
        <v>265</v>
      </c>
      <c r="AA18" s="43">
        <v>46160.291666666664</v>
      </c>
      <c r="AB18" s="33" t="s">
        <v>266</v>
      </c>
      <c r="AC18" s="33" t="s">
        <v>267</v>
      </c>
      <c r="AD18" s="44">
        <v>1.0513888888888889</v>
      </c>
      <c r="AE18" s="44">
        <v>1.007638888888889</v>
      </c>
      <c r="AF18" s="44">
        <v>1.0513888888888889</v>
      </c>
      <c r="AG18" s="33" t="s">
        <v>268</v>
      </c>
      <c r="AH18" s="33">
        <v>1</v>
      </c>
      <c r="AI18" s="43">
        <v>46158.517361111109</v>
      </c>
      <c r="AJ18" s="33" t="s">
        <v>73</v>
      </c>
      <c r="AK18" s="42">
        <v>732864.32</v>
      </c>
      <c r="AL18" s="33" t="s">
        <v>269</v>
      </c>
    </row>
    <row r="19" spans="1:38">
      <c r="A19" s="33">
        <v>6021357</v>
      </c>
      <c r="B19" s="33" t="s">
        <v>86</v>
      </c>
      <c r="C19" s="33" t="s">
        <v>69</v>
      </c>
      <c r="D19" s="33" t="s">
        <v>270</v>
      </c>
      <c r="E19" s="33" t="s">
        <v>271</v>
      </c>
      <c r="F19" s="43">
        <v>46157.583333333336</v>
      </c>
      <c r="G19" s="33" t="s">
        <v>89</v>
      </c>
      <c r="H19" s="33"/>
      <c r="I19" s="33" t="s">
        <v>73</v>
      </c>
      <c r="J19" s="33" t="s">
        <v>272</v>
      </c>
      <c r="K19" s="33" t="s">
        <v>273</v>
      </c>
      <c r="L19" s="33" t="s">
        <v>274</v>
      </c>
      <c r="M19" s="43">
        <v>46158.456759259258</v>
      </c>
      <c r="N19" s="33" t="s">
        <v>275</v>
      </c>
      <c r="O19" s="33" t="s">
        <v>93</v>
      </c>
      <c r="P19" s="33" t="s">
        <v>79</v>
      </c>
      <c r="Q19" s="43">
        <v>46157.407638888886</v>
      </c>
      <c r="R19" s="43">
        <v>46157.479861111111</v>
      </c>
      <c r="S19" s="58">
        <v>7.2222222222222215E-2</v>
      </c>
      <c r="T19" s="33" t="s">
        <v>198</v>
      </c>
      <c r="U19" s="33"/>
      <c r="V19" s="33"/>
      <c r="W19" s="33"/>
      <c r="X19" s="33"/>
      <c r="Y19" s="33"/>
      <c r="Z19" s="33" t="s">
        <v>198</v>
      </c>
      <c r="AA19" s="43">
        <v>46164.291666666664</v>
      </c>
      <c r="AB19" s="33" t="s">
        <v>276</v>
      </c>
      <c r="AC19" s="33" t="s">
        <v>277</v>
      </c>
      <c r="AD19" s="44">
        <v>1.0416666666666667</v>
      </c>
      <c r="AE19" s="58">
        <v>0.97777777777777775</v>
      </c>
      <c r="AF19" s="44">
        <v>1.0416666666666667</v>
      </c>
      <c r="AG19" s="33" t="s">
        <v>278</v>
      </c>
      <c r="AH19" s="33">
        <v>1</v>
      </c>
      <c r="AI19" s="43">
        <v>46160.046527777777</v>
      </c>
      <c r="AJ19" s="33" t="s">
        <v>73</v>
      </c>
      <c r="AK19" s="42">
        <v>387836.15999999997</v>
      </c>
      <c r="AL19" s="33" t="s">
        <v>279</v>
      </c>
    </row>
    <row r="20" spans="1:38">
      <c r="A20" s="33">
        <v>6013221</v>
      </c>
      <c r="B20" s="33" t="s">
        <v>86</v>
      </c>
      <c r="C20" s="33" t="s">
        <v>69</v>
      </c>
      <c r="D20" s="33" t="s">
        <v>280</v>
      </c>
      <c r="E20" s="33" t="s">
        <v>281</v>
      </c>
      <c r="F20" s="43">
        <v>46157.458333333336</v>
      </c>
      <c r="G20" s="33" t="s">
        <v>282</v>
      </c>
      <c r="H20" s="33"/>
      <c r="I20" s="33" t="s">
        <v>73</v>
      </c>
      <c r="J20" s="33" t="s">
        <v>283</v>
      </c>
      <c r="K20" s="33" t="s">
        <v>75</v>
      </c>
      <c r="L20" s="33" t="s">
        <v>284</v>
      </c>
      <c r="M20" s="43">
        <v>46158.457557870373</v>
      </c>
      <c r="N20" s="33" t="s">
        <v>285</v>
      </c>
      <c r="O20" s="33" t="s">
        <v>93</v>
      </c>
      <c r="P20" s="33" t="s">
        <v>140</v>
      </c>
      <c r="Q20" s="43">
        <v>46157.43472222222</v>
      </c>
      <c r="R20" s="43">
        <v>46157.609027777777</v>
      </c>
      <c r="S20" s="58">
        <v>0.17430555555555555</v>
      </c>
      <c r="T20" s="33" t="s">
        <v>286</v>
      </c>
      <c r="U20" s="33"/>
      <c r="V20" s="33"/>
      <c r="W20" s="33"/>
      <c r="X20" s="33"/>
      <c r="Y20" s="33"/>
      <c r="Z20" s="33" t="s">
        <v>286</v>
      </c>
      <c r="AA20" s="43">
        <v>46161.25</v>
      </c>
      <c r="AB20" s="33" t="s">
        <v>287</v>
      </c>
      <c r="AC20" s="33" t="s">
        <v>288</v>
      </c>
      <c r="AD20" s="58">
        <v>0.86388888888888893</v>
      </c>
      <c r="AE20" s="58">
        <v>0.84861111111111109</v>
      </c>
      <c r="AF20" s="58">
        <v>0.86388888888888893</v>
      </c>
      <c r="AG20" s="33" t="s">
        <v>289</v>
      </c>
      <c r="AH20" s="33">
        <v>1</v>
      </c>
      <c r="AI20" s="43">
        <v>46158.590277777781</v>
      </c>
      <c r="AJ20" s="33" t="s">
        <v>73</v>
      </c>
      <c r="AK20" s="42">
        <v>704253</v>
      </c>
      <c r="AL20" s="33" t="s">
        <v>290</v>
      </c>
    </row>
    <row r="21" spans="1:38">
      <c r="A21" s="33">
        <v>6022203</v>
      </c>
      <c r="B21" s="33" t="s">
        <v>291</v>
      </c>
      <c r="C21" s="33" t="s">
        <v>69</v>
      </c>
      <c r="D21" s="33" t="s">
        <v>292</v>
      </c>
      <c r="E21" s="33" t="s">
        <v>293</v>
      </c>
      <c r="F21" s="43">
        <v>46157.461111111108</v>
      </c>
      <c r="G21" s="33" t="s">
        <v>114</v>
      </c>
      <c r="H21" s="33"/>
      <c r="I21" s="33" t="s">
        <v>73</v>
      </c>
      <c r="J21" s="33" t="s">
        <v>294</v>
      </c>
      <c r="K21" s="33" t="s">
        <v>75</v>
      </c>
      <c r="L21" s="33" t="s">
        <v>295</v>
      </c>
      <c r="M21" s="43">
        <v>46158.454340277778</v>
      </c>
      <c r="N21" s="33" t="s">
        <v>296</v>
      </c>
      <c r="O21" s="33" t="s">
        <v>93</v>
      </c>
      <c r="P21" s="33" t="s">
        <v>79</v>
      </c>
      <c r="Q21" s="43">
        <v>46157.464583333334</v>
      </c>
      <c r="R21" s="33"/>
      <c r="S21" s="58">
        <v>0.99305555555555558</v>
      </c>
      <c r="T21" s="33" t="s">
        <v>297</v>
      </c>
      <c r="U21" s="33"/>
      <c r="V21" s="33"/>
      <c r="W21" s="33" t="s">
        <v>79</v>
      </c>
      <c r="X21" s="43">
        <v>46157.464583333334</v>
      </c>
      <c r="Y21" s="58">
        <v>0.99305555555555558</v>
      </c>
      <c r="Z21" s="33" t="s">
        <v>297</v>
      </c>
      <c r="AA21" s="43">
        <v>46160.958333333336</v>
      </c>
      <c r="AB21" s="33" t="s">
        <v>298</v>
      </c>
      <c r="AC21" s="33" t="s">
        <v>299</v>
      </c>
      <c r="AD21" s="58">
        <v>0.96458333333333335</v>
      </c>
      <c r="AE21" s="33"/>
      <c r="AF21" s="58">
        <v>0.96458333333333335</v>
      </c>
      <c r="AG21" s="33" t="s">
        <v>300</v>
      </c>
      <c r="AH21" s="33">
        <v>0</v>
      </c>
      <c r="AI21" s="43">
        <v>46158.832638888889</v>
      </c>
      <c r="AJ21" s="33" t="s">
        <v>73</v>
      </c>
      <c r="AK21" s="42">
        <v>446027.76</v>
      </c>
      <c r="AL21" s="33" t="s">
        <v>301</v>
      </c>
    </row>
    <row r="22" spans="1:38">
      <c r="A22" s="33">
        <v>6023445</v>
      </c>
      <c r="B22" s="33" t="s">
        <v>86</v>
      </c>
      <c r="C22" s="33" t="s">
        <v>69</v>
      </c>
      <c r="D22" s="33" t="s">
        <v>302</v>
      </c>
      <c r="E22" s="33" t="s">
        <v>303</v>
      </c>
      <c r="F22" s="43">
        <v>46157.708333333336</v>
      </c>
      <c r="G22" s="33" t="s">
        <v>227</v>
      </c>
      <c r="H22" s="33"/>
      <c r="I22" s="33" t="s">
        <v>73</v>
      </c>
      <c r="J22" s="33" t="s">
        <v>304</v>
      </c>
      <c r="K22" s="33" t="s">
        <v>305</v>
      </c>
      <c r="L22" s="33" t="s">
        <v>306</v>
      </c>
      <c r="M22" s="43">
        <v>46158.456770833334</v>
      </c>
      <c r="N22" s="33" t="s">
        <v>307</v>
      </c>
      <c r="O22" s="33" t="s">
        <v>93</v>
      </c>
      <c r="P22" s="33" t="s">
        <v>79</v>
      </c>
      <c r="Q22" s="43">
        <v>46157.57708333333</v>
      </c>
      <c r="R22" s="43">
        <v>46158.159722222219</v>
      </c>
      <c r="S22" s="58">
        <v>0.58263888888888893</v>
      </c>
      <c r="T22" s="33" t="s">
        <v>308</v>
      </c>
      <c r="U22" s="33"/>
      <c r="V22" s="33"/>
      <c r="W22" s="33"/>
      <c r="X22" s="33"/>
      <c r="Y22" s="33"/>
      <c r="Z22" s="33" t="s">
        <v>308</v>
      </c>
      <c r="AA22" s="43">
        <v>46158.550694444442</v>
      </c>
      <c r="AB22" s="33" t="s">
        <v>309</v>
      </c>
      <c r="AC22" s="33" t="s">
        <v>310</v>
      </c>
      <c r="AD22" s="58">
        <v>0.96458333333333335</v>
      </c>
      <c r="AE22" s="58">
        <v>0.29791666666666666</v>
      </c>
      <c r="AF22" s="58">
        <v>0.96458333333333335</v>
      </c>
      <c r="AG22" s="33" t="s">
        <v>311</v>
      </c>
      <c r="AH22" s="33">
        <v>1</v>
      </c>
      <c r="AI22" s="43">
        <v>46158.495833333334</v>
      </c>
      <c r="AJ22" s="33" t="s">
        <v>73</v>
      </c>
      <c r="AK22" s="42">
        <v>573679.12</v>
      </c>
      <c r="AL22" s="33" t="s">
        <v>312</v>
      </c>
    </row>
    <row r="23" spans="1:38">
      <c r="A23" s="33">
        <v>6022221</v>
      </c>
      <c r="B23" s="33" t="s">
        <v>86</v>
      </c>
      <c r="C23" s="33" t="s">
        <v>69</v>
      </c>
      <c r="D23" s="33" t="s">
        <v>313</v>
      </c>
      <c r="E23" s="33" t="s">
        <v>314</v>
      </c>
      <c r="F23" s="43">
        <v>46157.477083333331</v>
      </c>
      <c r="G23" s="33" t="s">
        <v>114</v>
      </c>
      <c r="H23" s="33"/>
      <c r="I23" s="33" t="s">
        <v>73</v>
      </c>
      <c r="J23" s="33" t="s">
        <v>315</v>
      </c>
      <c r="K23" s="33" t="s">
        <v>75</v>
      </c>
      <c r="L23" s="33" t="s">
        <v>316</v>
      </c>
      <c r="M23" s="43">
        <v>46158.457326388889</v>
      </c>
      <c r="N23" s="33" t="s">
        <v>317</v>
      </c>
      <c r="O23" s="33" t="s">
        <v>93</v>
      </c>
      <c r="P23" s="33" t="s">
        <v>79</v>
      </c>
      <c r="Q23" s="43">
        <v>46157.511805555558</v>
      </c>
      <c r="R23" s="43">
        <v>46157.706250000003</v>
      </c>
      <c r="S23" s="58">
        <v>0.19444444444444445</v>
      </c>
      <c r="T23" s="33" t="s">
        <v>318</v>
      </c>
      <c r="U23" s="33"/>
      <c r="V23" s="33"/>
      <c r="W23" s="33"/>
      <c r="X23" s="33"/>
      <c r="Y23" s="33"/>
      <c r="Z23" s="33" t="s">
        <v>318</v>
      </c>
      <c r="AA23" s="43">
        <v>46158.962500000001</v>
      </c>
      <c r="AB23" s="33" t="s">
        <v>319</v>
      </c>
      <c r="AC23" s="33" t="s">
        <v>320</v>
      </c>
      <c r="AD23" s="58">
        <v>0.94722222222222219</v>
      </c>
      <c r="AE23" s="58">
        <v>0.75138888888888888</v>
      </c>
      <c r="AF23" s="58">
        <v>0.94722222222222219</v>
      </c>
      <c r="AG23" s="33" t="s">
        <v>321</v>
      </c>
      <c r="AH23" s="33">
        <v>1</v>
      </c>
      <c r="AI23" s="43">
        <v>46159.688888888886</v>
      </c>
      <c r="AJ23" s="33" t="s">
        <v>73</v>
      </c>
      <c r="AK23" s="42">
        <v>219918.16</v>
      </c>
      <c r="AL23" s="33" t="s">
        <v>322</v>
      </c>
    </row>
    <row r="24" spans="1:38">
      <c r="A24" s="33">
        <v>6021353</v>
      </c>
      <c r="B24" s="33" t="s">
        <v>86</v>
      </c>
      <c r="C24" s="33" t="s">
        <v>69</v>
      </c>
      <c r="D24" s="33" t="s">
        <v>323</v>
      </c>
      <c r="E24" s="33" t="s">
        <v>324</v>
      </c>
      <c r="F24" s="43">
        <v>46157.708333333336</v>
      </c>
      <c r="G24" s="33" t="s">
        <v>227</v>
      </c>
      <c r="H24" s="33"/>
      <c r="I24" s="33" t="s">
        <v>73</v>
      </c>
      <c r="J24" s="33" t="s">
        <v>325</v>
      </c>
      <c r="K24" s="33" t="s">
        <v>75</v>
      </c>
      <c r="L24" s="33" t="s">
        <v>326</v>
      </c>
      <c r="M24" s="43">
        <v>46158.456458333334</v>
      </c>
      <c r="N24" s="33" t="s">
        <v>230</v>
      </c>
      <c r="O24" s="33" t="s">
        <v>93</v>
      </c>
      <c r="P24" s="33" t="s">
        <v>79</v>
      </c>
      <c r="Q24" s="43">
        <v>46157.509027777778</v>
      </c>
      <c r="R24" s="43">
        <v>46157.563888888886</v>
      </c>
      <c r="S24" s="58">
        <v>5.486111111111111E-2</v>
      </c>
      <c r="T24" s="33" t="s">
        <v>327</v>
      </c>
      <c r="U24" s="33"/>
      <c r="V24" s="33"/>
      <c r="W24" s="33" t="s">
        <v>328</v>
      </c>
      <c r="X24" s="43">
        <v>46157.715277777781</v>
      </c>
      <c r="Y24" s="58">
        <v>0.74236111111111114</v>
      </c>
      <c r="Z24" s="33" t="s">
        <v>327</v>
      </c>
      <c r="AA24" s="43">
        <v>46162.333333333336</v>
      </c>
      <c r="AB24" s="33" t="s">
        <v>329</v>
      </c>
      <c r="AC24" s="33" t="s">
        <v>330</v>
      </c>
      <c r="AD24" s="58">
        <v>0.94861111111111107</v>
      </c>
      <c r="AE24" s="58">
        <v>0.74027777777777781</v>
      </c>
      <c r="AF24" s="58">
        <v>0.94861111111111107</v>
      </c>
      <c r="AG24" s="33" t="s">
        <v>331</v>
      </c>
      <c r="AH24" s="33">
        <v>2</v>
      </c>
      <c r="AI24" s="43">
        <v>46158.822222222225</v>
      </c>
      <c r="AJ24" s="33" t="s">
        <v>73</v>
      </c>
      <c r="AK24" s="42">
        <v>395916.1</v>
      </c>
      <c r="AL24" s="33" t="s">
        <v>332</v>
      </c>
    </row>
    <row r="25" spans="1:38">
      <c r="A25" s="33">
        <v>6022183</v>
      </c>
      <c r="B25" s="33" t="s">
        <v>86</v>
      </c>
      <c r="C25" s="33" t="s">
        <v>69</v>
      </c>
      <c r="D25" s="33" t="s">
        <v>333</v>
      </c>
      <c r="E25" s="33" t="s">
        <v>334</v>
      </c>
      <c r="F25" s="43">
        <v>46157.75</v>
      </c>
      <c r="G25" s="33" t="s">
        <v>184</v>
      </c>
      <c r="H25" s="33"/>
      <c r="I25" s="33" t="s">
        <v>73</v>
      </c>
      <c r="J25" s="33" t="s">
        <v>335</v>
      </c>
      <c r="K25" s="33" t="s">
        <v>75</v>
      </c>
      <c r="L25" s="33" t="s">
        <v>336</v>
      </c>
      <c r="M25" s="43">
        <v>46158.456238425926</v>
      </c>
      <c r="N25" s="33" t="s">
        <v>337</v>
      </c>
      <c r="O25" s="33" t="s">
        <v>175</v>
      </c>
      <c r="P25" s="33" t="s">
        <v>79</v>
      </c>
      <c r="Q25" s="43">
        <v>46157.761805555558</v>
      </c>
      <c r="R25" s="43">
        <v>46157.765277777777</v>
      </c>
      <c r="S25" s="58">
        <v>3.472222222222222E-3</v>
      </c>
      <c r="T25" s="33" t="s">
        <v>297</v>
      </c>
      <c r="U25" s="33"/>
      <c r="V25" s="33"/>
      <c r="W25" s="33" t="s">
        <v>338</v>
      </c>
      <c r="X25" s="43">
        <v>46157.87777777778</v>
      </c>
      <c r="Y25" s="58">
        <v>0.57986111111111116</v>
      </c>
      <c r="Z25" s="33" t="s">
        <v>297</v>
      </c>
      <c r="AA25" s="43">
        <v>46158.169444444444</v>
      </c>
      <c r="AB25" s="33" t="s">
        <v>339</v>
      </c>
      <c r="AC25" s="33" t="s">
        <v>340</v>
      </c>
      <c r="AD25" s="58">
        <v>0.8618055555555556</v>
      </c>
      <c r="AE25" s="58">
        <v>0.69236111111111109</v>
      </c>
      <c r="AF25" s="58">
        <v>0.8618055555555556</v>
      </c>
      <c r="AG25" s="33" t="s">
        <v>341</v>
      </c>
      <c r="AH25" s="33">
        <v>1</v>
      </c>
      <c r="AI25" s="43">
        <v>46158.776388888888</v>
      </c>
      <c r="AJ25" s="33" t="s">
        <v>73</v>
      </c>
      <c r="AK25" s="42">
        <v>168322.01</v>
      </c>
      <c r="AL25" s="33" t="s">
        <v>342</v>
      </c>
    </row>
    <row r="26" spans="1:38">
      <c r="A26" s="33" t="s">
        <v>343</v>
      </c>
      <c r="B26" s="33" t="s">
        <v>86</v>
      </c>
      <c r="C26" s="33" t="s">
        <v>69</v>
      </c>
      <c r="D26" s="33" t="s">
        <v>344</v>
      </c>
      <c r="E26" s="33" t="s">
        <v>345</v>
      </c>
      <c r="F26" s="43">
        <v>46157.604861111111</v>
      </c>
      <c r="G26" s="33" t="s">
        <v>216</v>
      </c>
      <c r="H26" s="33"/>
      <c r="I26" s="33" t="s">
        <v>73</v>
      </c>
      <c r="J26" s="33" t="s">
        <v>346</v>
      </c>
      <c r="K26" s="33" t="s">
        <v>347</v>
      </c>
      <c r="L26" s="33" t="s">
        <v>348</v>
      </c>
      <c r="M26" s="43">
        <v>46158.457141203704</v>
      </c>
      <c r="N26" s="33" t="s">
        <v>349</v>
      </c>
      <c r="O26" s="33" t="s">
        <v>93</v>
      </c>
      <c r="P26" s="33" t="s">
        <v>140</v>
      </c>
      <c r="Q26" s="43">
        <v>46157.607638888891</v>
      </c>
      <c r="R26" s="43">
        <v>46157.660416666666</v>
      </c>
      <c r="S26" s="58">
        <v>5.2777777777777778E-2</v>
      </c>
      <c r="T26" s="33" t="s">
        <v>350</v>
      </c>
      <c r="U26" s="33"/>
      <c r="V26" s="33"/>
      <c r="W26" s="33"/>
      <c r="X26" s="33"/>
      <c r="Y26" s="33"/>
      <c r="Z26" s="33" t="s">
        <v>350</v>
      </c>
      <c r="AA26" s="43">
        <v>46160.291666666664</v>
      </c>
      <c r="AB26" s="33" t="s">
        <v>351</v>
      </c>
      <c r="AC26" s="33" t="s">
        <v>352</v>
      </c>
      <c r="AD26" s="58">
        <v>0.82152777777777775</v>
      </c>
      <c r="AE26" s="58">
        <v>0.79722222222222228</v>
      </c>
      <c r="AF26" s="58">
        <v>0.82152777777777775</v>
      </c>
      <c r="AG26" s="33" t="s">
        <v>353</v>
      </c>
      <c r="AH26" s="33">
        <v>1</v>
      </c>
      <c r="AI26" s="43">
        <v>46158.585416666669</v>
      </c>
      <c r="AJ26" s="33" t="s">
        <v>73</v>
      </c>
      <c r="AK26" s="42">
        <v>964909.1</v>
      </c>
      <c r="AL26" s="33" t="s">
        <v>354</v>
      </c>
    </row>
    <row r="27" spans="1:38">
      <c r="A27" s="33">
        <v>6022065</v>
      </c>
      <c r="B27" s="33" t="s">
        <v>86</v>
      </c>
      <c r="C27" s="33" t="s">
        <v>69</v>
      </c>
      <c r="D27" s="33" t="s">
        <v>355</v>
      </c>
      <c r="E27" s="33" t="s">
        <v>356</v>
      </c>
      <c r="F27" s="43">
        <v>46157.75</v>
      </c>
      <c r="G27" s="33" t="s">
        <v>89</v>
      </c>
      <c r="H27" s="33"/>
      <c r="I27" s="33" t="s">
        <v>73</v>
      </c>
      <c r="J27" s="33" t="s">
        <v>357</v>
      </c>
      <c r="K27" s="33" t="s">
        <v>358</v>
      </c>
      <c r="L27" s="33" t="s">
        <v>359</v>
      </c>
      <c r="M27" s="43">
        <v>46158.454375000001</v>
      </c>
      <c r="N27" s="33" t="s">
        <v>360</v>
      </c>
      <c r="O27" s="33" t="s">
        <v>93</v>
      </c>
      <c r="P27" s="33" t="s">
        <v>140</v>
      </c>
      <c r="Q27" s="43">
        <v>46157.657638888886</v>
      </c>
      <c r="R27" s="43">
        <v>46157.699305555558</v>
      </c>
      <c r="S27" s="58">
        <v>4.1666666666666664E-2</v>
      </c>
      <c r="T27" s="33" t="s">
        <v>253</v>
      </c>
      <c r="U27" s="33"/>
      <c r="V27" s="33"/>
      <c r="W27" s="33"/>
      <c r="X27" s="33"/>
      <c r="Y27" s="33"/>
      <c r="Z27" s="33" t="s">
        <v>253</v>
      </c>
      <c r="AA27" s="43">
        <v>46158.336111111108</v>
      </c>
      <c r="AB27" s="33" t="s">
        <v>361</v>
      </c>
      <c r="AC27" s="33" t="s">
        <v>362</v>
      </c>
      <c r="AD27" s="58">
        <v>0.77708333333333335</v>
      </c>
      <c r="AE27" s="58">
        <v>0.7583333333333333</v>
      </c>
      <c r="AF27" s="58">
        <v>0.77708333333333335</v>
      </c>
      <c r="AG27" s="33" t="s">
        <v>363</v>
      </c>
      <c r="AH27" s="33">
        <v>1</v>
      </c>
      <c r="AI27" s="43">
        <v>46158.841666666667</v>
      </c>
      <c r="AJ27" s="33" t="s">
        <v>73</v>
      </c>
      <c r="AK27" s="42">
        <v>1335205.96</v>
      </c>
      <c r="AL27" s="33" t="s">
        <v>364</v>
      </c>
    </row>
    <row r="28" spans="1:38">
      <c r="A28" s="33" t="s">
        <v>365</v>
      </c>
      <c r="B28" s="33" t="s">
        <v>86</v>
      </c>
      <c r="C28" s="33" t="s">
        <v>69</v>
      </c>
      <c r="D28" s="33" t="s">
        <v>366</v>
      </c>
      <c r="E28" s="33" t="s">
        <v>367</v>
      </c>
      <c r="F28" s="43">
        <v>46158.208333333336</v>
      </c>
      <c r="G28" s="33" t="s">
        <v>171</v>
      </c>
      <c r="H28" s="33"/>
      <c r="I28" s="33" t="s">
        <v>73</v>
      </c>
      <c r="J28" s="33" t="s">
        <v>368</v>
      </c>
      <c r="K28" s="33" t="s">
        <v>369</v>
      </c>
      <c r="L28" s="33" t="s">
        <v>370</v>
      </c>
      <c r="M28" s="43">
        <v>46158.45653935185</v>
      </c>
      <c r="N28" s="33" t="s">
        <v>371</v>
      </c>
      <c r="O28" s="33" t="s">
        <v>175</v>
      </c>
      <c r="P28" s="33" t="s">
        <v>79</v>
      </c>
      <c r="Q28" s="43">
        <v>46157.661805555559</v>
      </c>
      <c r="R28" s="43">
        <v>46157.92291666667</v>
      </c>
      <c r="S28" s="58">
        <v>0.26111111111111113</v>
      </c>
      <c r="T28" s="33" t="s">
        <v>372</v>
      </c>
      <c r="U28" s="33"/>
      <c r="V28" s="33"/>
      <c r="W28" s="33"/>
      <c r="X28" s="33"/>
      <c r="Y28" s="33"/>
      <c r="Z28" s="33" t="s">
        <v>372</v>
      </c>
      <c r="AA28" s="43">
        <v>46158.304166666669</v>
      </c>
      <c r="AB28" s="33" t="s">
        <v>373</v>
      </c>
      <c r="AC28" s="33" t="s">
        <v>374</v>
      </c>
      <c r="AD28" s="58">
        <v>0.78541666666666665</v>
      </c>
      <c r="AE28" s="58">
        <v>0.53472222222222221</v>
      </c>
      <c r="AF28" s="58">
        <v>0.78541666666666665</v>
      </c>
      <c r="AG28" s="33" t="s">
        <v>375</v>
      </c>
      <c r="AH28" s="33">
        <v>1</v>
      </c>
      <c r="AI28" s="43">
        <v>46158.706944444442</v>
      </c>
      <c r="AJ28" s="33" t="s">
        <v>73</v>
      </c>
      <c r="AK28" s="42">
        <v>443476.98</v>
      </c>
      <c r="AL28" s="33" t="s">
        <v>376</v>
      </c>
    </row>
    <row r="29" spans="1:38">
      <c r="A29" s="33">
        <v>6021910</v>
      </c>
      <c r="B29" s="33" t="s">
        <v>86</v>
      </c>
      <c r="C29" s="33" t="s">
        <v>69</v>
      </c>
      <c r="D29" s="33" t="s">
        <v>377</v>
      </c>
      <c r="E29" s="33" t="s">
        <v>378</v>
      </c>
      <c r="F29" s="43">
        <v>46157.669444444444</v>
      </c>
      <c r="G29" s="33" t="s">
        <v>216</v>
      </c>
      <c r="H29" s="33"/>
      <c r="I29" s="33" t="s">
        <v>73</v>
      </c>
      <c r="J29" s="33" t="s">
        <v>379</v>
      </c>
      <c r="K29" s="33" t="s">
        <v>380</v>
      </c>
      <c r="L29" s="33" t="s">
        <v>381</v>
      </c>
      <c r="M29" s="43">
        <v>46158.45648148148</v>
      </c>
      <c r="N29" s="33" t="s">
        <v>382</v>
      </c>
      <c r="O29" s="33" t="s">
        <v>93</v>
      </c>
      <c r="P29" s="33" t="s">
        <v>140</v>
      </c>
      <c r="Q29" s="43">
        <v>46157.67083333333</v>
      </c>
      <c r="R29" s="43">
        <v>46158.320138888892</v>
      </c>
      <c r="S29" s="58">
        <v>0.64930555555555558</v>
      </c>
      <c r="T29" s="33" t="s">
        <v>383</v>
      </c>
      <c r="U29" s="33"/>
      <c r="V29" s="33"/>
      <c r="W29" s="33"/>
      <c r="X29" s="33"/>
      <c r="Y29" s="33"/>
      <c r="Z29" s="33" t="s">
        <v>383</v>
      </c>
      <c r="AA29" s="43">
        <v>46158.645833333336</v>
      </c>
      <c r="AB29" s="33" t="s">
        <v>384</v>
      </c>
      <c r="AC29" s="33" t="s">
        <v>385</v>
      </c>
      <c r="AD29" s="58">
        <v>0.78680555555555554</v>
      </c>
      <c r="AE29" s="58">
        <v>0.13750000000000001</v>
      </c>
      <c r="AF29" s="58">
        <v>0.78680555555555554</v>
      </c>
      <c r="AG29" s="33"/>
      <c r="AH29" s="33">
        <v>1</v>
      </c>
      <c r="AI29" s="43">
        <v>46158.640972222223</v>
      </c>
      <c r="AJ29" s="33" t="s">
        <v>73</v>
      </c>
      <c r="AK29" s="42">
        <v>962790.79</v>
      </c>
      <c r="AL29" s="33" t="s">
        <v>386</v>
      </c>
    </row>
    <row r="30" spans="1:38">
      <c r="A30" s="33">
        <v>6022202</v>
      </c>
      <c r="B30" s="33" t="s">
        <v>86</v>
      </c>
      <c r="C30" s="33" t="s">
        <v>69</v>
      </c>
      <c r="D30" s="33" t="s">
        <v>387</v>
      </c>
      <c r="E30" s="33" t="s">
        <v>388</v>
      </c>
      <c r="F30" s="43">
        <v>46157.958333333336</v>
      </c>
      <c r="G30" s="33" t="s">
        <v>184</v>
      </c>
      <c r="H30" s="33"/>
      <c r="I30" s="33" t="s">
        <v>73</v>
      </c>
      <c r="J30" s="33" t="s">
        <v>389</v>
      </c>
      <c r="K30" s="33" t="s">
        <v>75</v>
      </c>
      <c r="L30" s="33" t="s">
        <v>390</v>
      </c>
      <c r="M30" s="43">
        <v>46158.456354166665</v>
      </c>
      <c r="N30" s="33" t="s">
        <v>337</v>
      </c>
      <c r="O30" s="33" t="s">
        <v>391</v>
      </c>
      <c r="P30" s="33" t="s">
        <v>79</v>
      </c>
      <c r="Q30" s="43">
        <v>46157.731944444444</v>
      </c>
      <c r="R30" s="43">
        <v>46157.919444444444</v>
      </c>
      <c r="S30" s="58">
        <v>0.1875</v>
      </c>
      <c r="T30" s="33" t="s">
        <v>297</v>
      </c>
      <c r="U30" s="33"/>
      <c r="V30" s="33"/>
      <c r="W30" s="33" t="s">
        <v>338</v>
      </c>
      <c r="X30" s="43">
        <v>46158.03402777778</v>
      </c>
      <c r="Y30" s="58">
        <v>0.4236111111111111</v>
      </c>
      <c r="Z30" s="33" t="s">
        <v>297</v>
      </c>
      <c r="AA30" s="43">
        <v>46158.302083333336</v>
      </c>
      <c r="AB30" s="33" t="s">
        <v>392</v>
      </c>
      <c r="AC30" s="33" t="s">
        <v>393</v>
      </c>
      <c r="AD30" s="58">
        <v>0.75694444444444442</v>
      </c>
      <c r="AE30" s="58">
        <v>0.53819444444444442</v>
      </c>
      <c r="AF30" s="58">
        <v>0.75694444444444442</v>
      </c>
      <c r="AG30" s="33" t="s">
        <v>394</v>
      </c>
      <c r="AH30" s="33">
        <v>1</v>
      </c>
      <c r="AI30" s="43">
        <v>46158.754861111112</v>
      </c>
      <c r="AJ30" s="33" t="s">
        <v>73</v>
      </c>
      <c r="AK30" s="42">
        <v>423192.27</v>
      </c>
      <c r="AL30" s="33" t="s">
        <v>395</v>
      </c>
    </row>
    <row r="31" spans="1:38">
      <c r="A31" s="33">
        <v>6021908</v>
      </c>
      <c r="B31" s="33" t="s">
        <v>86</v>
      </c>
      <c r="C31" s="33" t="s">
        <v>69</v>
      </c>
      <c r="D31" s="33" t="s">
        <v>396</v>
      </c>
      <c r="E31" s="33" t="s">
        <v>397</v>
      </c>
      <c r="F31" s="43">
        <v>46157.676388888889</v>
      </c>
      <c r="G31" s="33" t="s">
        <v>216</v>
      </c>
      <c r="H31" s="33"/>
      <c r="I31" s="33" t="s">
        <v>73</v>
      </c>
      <c r="J31" s="33" t="s">
        <v>398</v>
      </c>
      <c r="K31" s="33" t="s">
        <v>399</v>
      </c>
      <c r="L31" s="33" t="s">
        <v>400</v>
      </c>
      <c r="M31" s="43">
        <v>46158.451631944445</v>
      </c>
      <c r="N31" s="33" t="s">
        <v>401</v>
      </c>
      <c r="O31" s="33" t="s">
        <v>402</v>
      </c>
      <c r="P31" s="33" t="s">
        <v>140</v>
      </c>
      <c r="Q31" s="43">
        <v>46157.675694444442</v>
      </c>
      <c r="R31" s="43">
        <v>46157.697222222225</v>
      </c>
      <c r="S31" s="58">
        <v>2.1527777777777778E-2</v>
      </c>
      <c r="T31" s="33" t="s">
        <v>403</v>
      </c>
      <c r="U31" s="33"/>
      <c r="V31" s="33"/>
      <c r="W31" s="33"/>
      <c r="X31" s="33"/>
      <c r="Y31" s="33"/>
      <c r="Z31" s="33" t="s">
        <v>403</v>
      </c>
      <c r="AA31" s="43">
        <v>46158.341666666667</v>
      </c>
      <c r="AB31" s="33" t="s">
        <v>373</v>
      </c>
      <c r="AC31" s="33" t="s">
        <v>404</v>
      </c>
      <c r="AD31" s="58">
        <v>0.77986111111111112</v>
      </c>
      <c r="AE31" s="58">
        <v>0.76041666666666663</v>
      </c>
      <c r="AF31" s="58">
        <v>0.77986111111111112</v>
      </c>
      <c r="AG31" s="33"/>
      <c r="AH31" s="33">
        <v>1</v>
      </c>
      <c r="AI31" s="43">
        <v>46158.631249999999</v>
      </c>
      <c r="AJ31" s="33" t="s">
        <v>73</v>
      </c>
      <c r="AK31" s="42">
        <v>306531.7</v>
      </c>
      <c r="AL31" s="33" t="s">
        <v>405</v>
      </c>
    </row>
    <row r="32" spans="1:38">
      <c r="A32" s="33">
        <v>6011010</v>
      </c>
      <c r="B32" s="33" t="s">
        <v>86</v>
      </c>
      <c r="C32" s="33" t="s">
        <v>69</v>
      </c>
      <c r="D32" s="33" t="s">
        <v>406</v>
      </c>
      <c r="E32" s="33" t="s">
        <v>407</v>
      </c>
      <c r="F32" s="43">
        <v>46159.791666666664</v>
      </c>
      <c r="G32" s="33" t="s">
        <v>408</v>
      </c>
      <c r="H32" s="33"/>
      <c r="I32" s="33" t="s">
        <v>73</v>
      </c>
      <c r="J32" s="33" t="s">
        <v>409</v>
      </c>
      <c r="K32" s="33" t="s">
        <v>75</v>
      </c>
      <c r="L32" s="33" t="s">
        <v>410</v>
      </c>
      <c r="M32" s="43">
        <v>46158.451527777775</v>
      </c>
      <c r="N32" s="33" t="s">
        <v>411</v>
      </c>
      <c r="O32" s="33" t="s">
        <v>93</v>
      </c>
      <c r="P32" s="33" t="s">
        <v>79</v>
      </c>
      <c r="Q32" s="33"/>
      <c r="R32" s="33"/>
      <c r="S32" s="33"/>
      <c r="T32" s="33" t="s">
        <v>412</v>
      </c>
      <c r="U32" s="33"/>
      <c r="V32" s="33"/>
      <c r="W32" s="33" t="s">
        <v>413</v>
      </c>
      <c r="X32" s="43">
        <v>46157.68472222222</v>
      </c>
      <c r="Y32" s="58">
        <v>0.7729166666666667</v>
      </c>
      <c r="Z32" s="33" t="s">
        <v>412</v>
      </c>
      <c r="AA32" s="43">
        <v>46161.25</v>
      </c>
      <c r="AB32" s="33" t="s">
        <v>414</v>
      </c>
      <c r="AC32" s="33" t="s">
        <v>415</v>
      </c>
      <c r="AD32" s="58">
        <v>0.77916666666666667</v>
      </c>
      <c r="AE32" s="33"/>
      <c r="AF32" s="58">
        <v>0.77916666666666667</v>
      </c>
      <c r="AG32" s="33" t="s">
        <v>416</v>
      </c>
      <c r="AH32" s="33">
        <v>0</v>
      </c>
      <c r="AI32" s="43">
        <v>46158.663888888892</v>
      </c>
      <c r="AJ32" s="33" t="s">
        <v>73</v>
      </c>
      <c r="AK32" s="42">
        <v>239776.69</v>
      </c>
      <c r="AL32" s="33" t="s">
        <v>417</v>
      </c>
    </row>
    <row r="33" spans="1:38">
      <c r="A33" s="33">
        <v>6022160</v>
      </c>
      <c r="B33" s="33" t="s">
        <v>86</v>
      </c>
      <c r="C33" s="33" t="s">
        <v>69</v>
      </c>
      <c r="D33" s="33" t="s">
        <v>418</v>
      </c>
      <c r="E33" s="33" t="s">
        <v>419</v>
      </c>
      <c r="F33" s="43">
        <v>46157.833333333336</v>
      </c>
      <c r="G33" s="33" t="s">
        <v>420</v>
      </c>
      <c r="H33" s="33"/>
      <c r="I33" s="33" t="s">
        <v>73</v>
      </c>
      <c r="J33" s="33" t="s">
        <v>421</v>
      </c>
      <c r="K33" s="33" t="s">
        <v>75</v>
      </c>
      <c r="L33" s="33" t="s">
        <v>422</v>
      </c>
      <c r="M33" s="43">
        <v>46158.455925925926</v>
      </c>
      <c r="N33" s="33" t="s">
        <v>423</v>
      </c>
      <c r="O33" s="33" t="s">
        <v>424</v>
      </c>
      <c r="P33" s="33" t="s">
        <v>79</v>
      </c>
      <c r="Q33" s="43">
        <v>46157.697916666664</v>
      </c>
      <c r="R33" s="43">
        <v>46157.776388888888</v>
      </c>
      <c r="S33" s="58">
        <v>7.8472222222222221E-2</v>
      </c>
      <c r="T33" s="33" t="s">
        <v>383</v>
      </c>
      <c r="U33" s="33"/>
      <c r="V33" s="33"/>
      <c r="W33" s="33" t="s">
        <v>413</v>
      </c>
      <c r="X33" s="43">
        <v>46157.964583333334</v>
      </c>
      <c r="Y33" s="58">
        <v>0.49305555555555558</v>
      </c>
      <c r="Z33" s="33" t="s">
        <v>383</v>
      </c>
      <c r="AA33" s="43">
        <v>46158.443055555559</v>
      </c>
      <c r="AB33" s="33" t="s">
        <v>425</v>
      </c>
      <c r="AC33" s="33" t="s">
        <v>426</v>
      </c>
      <c r="AD33" s="58">
        <v>0.75763888888888886</v>
      </c>
      <c r="AE33" s="58">
        <v>0.68125000000000002</v>
      </c>
      <c r="AF33" s="58">
        <v>0.75763888888888886</v>
      </c>
      <c r="AG33" s="33" t="s">
        <v>427</v>
      </c>
      <c r="AH33" s="33">
        <v>1</v>
      </c>
      <c r="AI33" s="43">
        <v>46159.045138888891</v>
      </c>
      <c r="AJ33" s="33" t="s">
        <v>73</v>
      </c>
      <c r="AK33" s="42">
        <v>177940.41</v>
      </c>
      <c r="AL33" s="33" t="s">
        <v>428</v>
      </c>
    </row>
    <row r="34" spans="1:38">
      <c r="A34" s="33">
        <v>6009604</v>
      </c>
      <c r="B34" s="33" t="s">
        <v>86</v>
      </c>
      <c r="C34" s="33" t="s">
        <v>69</v>
      </c>
      <c r="D34" s="33" t="s">
        <v>429</v>
      </c>
      <c r="E34" s="33" t="s">
        <v>430</v>
      </c>
      <c r="F34" s="43">
        <v>46157.696527777778</v>
      </c>
      <c r="G34" s="33" t="s">
        <v>72</v>
      </c>
      <c r="H34" s="33"/>
      <c r="I34" s="33" t="s">
        <v>73</v>
      </c>
      <c r="J34" s="33" t="s">
        <v>431</v>
      </c>
      <c r="K34" s="33" t="s">
        <v>75</v>
      </c>
      <c r="L34" s="33" t="s">
        <v>432</v>
      </c>
      <c r="M34" s="43">
        <v>46158.457511574074</v>
      </c>
      <c r="N34" s="33" t="s">
        <v>433</v>
      </c>
      <c r="O34" s="33" t="s">
        <v>231</v>
      </c>
      <c r="P34" s="33" t="s">
        <v>79</v>
      </c>
      <c r="Q34" s="43">
        <v>46157.713194444441</v>
      </c>
      <c r="R34" s="43">
        <v>46157.743055555555</v>
      </c>
      <c r="S34" s="58">
        <v>2.9861111111111113E-2</v>
      </c>
      <c r="T34" s="33" t="s">
        <v>434</v>
      </c>
      <c r="U34" s="33"/>
      <c r="V34" s="33"/>
      <c r="W34" s="33"/>
      <c r="X34" s="33"/>
      <c r="Y34" s="33"/>
      <c r="Z34" s="33" t="s">
        <v>434</v>
      </c>
      <c r="AA34" s="43">
        <v>46158.508333333331</v>
      </c>
      <c r="AB34" s="33" t="s">
        <v>435</v>
      </c>
      <c r="AC34" s="33" t="s">
        <v>436</v>
      </c>
      <c r="AD34" s="58">
        <v>0.75763888888888886</v>
      </c>
      <c r="AE34" s="58">
        <v>0.71458333333333335</v>
      </c>
      <c r="AF34" s="58">
        <v>0.75763888888888886</v>
      </c>
      <c r="AG34" s="33"/>
      <c r="AH34" s="33">
        <v>1</v>
      </c>
      <c r="AI34" s="43">
        <v>46159.144444444442</v>
      </c>
      <c r="AJ34" s="33" t="s">
        <v>83</v>
      </c>
      <c r="AK34" s="42">
        <v>48530.23</v>
      </c>
      <c r="AL34" s="33" t="s">
        <v>437</v>
      </c>
    </row>
    <row r="35" spans="1:38">
      <c r="A35" s="33">
        <v>6022595</v>
      </c>
      <c r="B35" s="33" t="s">
        <v>86</v>
      </c>
      <c r="C35" s="33" t="s">
        <v>69</v>
      </c>
      <c r="D35" s="33" t="s">
        <v>438</v>
      </c>
      <c r="E35" s="33" t="s">
        <v>439</v>
      </c>
      <c r="F35" s="43">
        <v>46157.697916666664</v>
      </c>
      <c r="G35" s="33" t="s">
        <v>440</v>
      </c>
      <c r="H35" s="33"/>
      <c r="I35" s="33" t="s">
        <v>73</v>
      </c>
      <c r="J35" s="33" t="s">
        <v>441</v>
      </c>
      <c r="K35" s="33" t="s">
        <v>75</v>
      </c>
      <c r="L35" s="33" t="s">
        <v>442</v>
      </c>
      <c r="M35" s="43">
        <v>46158.457245370373</v>
      </c>
      <c r="N35" s="33" t="s">
        <v>443</v>
      </c>
      <c r="O35" s="33" t="s">
        <v>93</v>
      </c>
      <c r="P35" s="33" t="s">
        <v>79</v>
      </c>
      <c r="Q35" s="43">
        <v>46157.745138888888</v>
      </c>
      <c r="R35" s="43">
        <v>46157.897916666669</v>
      </c>
      <c r="S35" s="58">
        <v>0.15277777777777779</v>
      </c>
      <c r="T35" s="33" t="s">
        <v>444</v>
      </c>
      <c r="U35" s="33"/>
      <c r="V35" s="33"/>
      <c r="W35" s="33" t="s">
        <v>445</v>
      </c>
      <c r="X35" s="43">
        <v>46158.340277777781</v>
      </c>
      <c r="Y35" s="58">
        <v>0.11736111111111111</v>
      </c>
      <c r="Z35" s="33" t="s">
        <v>444</v>
      </c>
      <c r="AA35" s="43">
        <v>46158.359722222223</v>
      </c>
      <c r="AB35" s="33" t="s">
        <v>446</v>
      </c>
      <c r="AC35" s="33" t="s">
        <v>447</v>
      </c>
      <c r="AD35" s="58">
        <v>0.75763888888888886</v>
      </c>
      <c r="AE35" s="58">
        <v>0.55972222222222223</v>
      </c>
      <c r="AF35" s="58">
        <v>0.75763888888888886</v>
      </c>
      <c r="AG35" s="33" t="s">
        <v>448</v>
      </c>
      <c r="AH35" s="33">
        <v>1</v>
      </c>
      <c r="AI35" s="43">
        <v>46158.636111111111</v>
      </c>
      <c r="AJ35" s="33" t="s">
        <v>73</v>
      </c>
      <c r="AK35" s="42">
        <v>164688.76</v>
      </c>
      <c r="AL35" s="33" t="s">
        <v>449</v>
      </c>
    </row>
    <row r="36" spans="1:38">
      <c r="A36" s="33">
        <v>6022041</v>
      </c>
      <c r="B36" s="33" t="s">
        <v>86</v>
      </c>
      <c r="C36" s="33" t="s">
        <v>69</v>
      </c>
      <c r="D36" s="33" t="s">
        <v>450</v>
      </c>
      <c r="E36" s="33" t="s">
        <v>451</v>
      </c>
      <c r="F36" s="43">
        <v>46157.70416666667</v>
      </c>
      <c r="G36" s="33" t="s">
        <v>72</v>
      </c>
      <c r="H36" s="33"/>
      <c r="I36" s="33" t="s">
        <v>73</v>
      </c>
      <c r="J36" s="33" t="s">
        <v>452</v>
      </c>
      <c r="K36" s="33" t="s">
        <v>453</v>
      </c>
      <c r="L36" s="33" t="s">
        <v>454</v>
      </c>
      <c r="M36" s="43">
        <v>46158.456018518518</v>
      </c>
      <c r="N36" s="33" t="s">
        <v>455</v>
      </c>
      <c r="O36" s="33" t="s">
        <v>456</v>
      </c>
      <c r="P36" s="33" t="s">
        <v>140</v>
      </c>
      <c r="Q36" s="43">
        <v>46157.706250000003</v>
      </c>
      <c r="R36" s="43">
        <v>46157.745138888888</v>
      </c>
      <c r="S36" s="58">
        <v>3.888888888888889E-2</v>
      </c>
      <c r="T36" s="33" t="s">
        <v>383</v>
      </c>
      <c r="U36" s="33"/>
      <c r="V36" s="33"/>
      <c r="W36" s="33"/>
      <c r="X36" s="33"/>
      <c r="Y36" s="33"/>
      <c r="Z36" s="33" t="s">
        <v>383</v>
      </c>
      <c r="AA36" s="43">
        <v>46158.070833333331</v>
      </c>
      <c r="AB36" s="33" t="s">
        <v>457</v>
      </c>
      <c r="AC36" s="33" t="s">
        <v>458</v>
      </c>
      <c r="AD36" s="58">
        <v>0.73958333333333337</v>
      </c>
      <c r="AE36" s="58">
        <v>0.71250000000000002</v>
      </c>
      <c r="AF36" s="58">
        <v>0.73958333333333337</v>
      </c>
      <c r="AG36" s="33" t="s">
        <v>459</v>
      </c>
      <c r="AH36" s="33">
        <v>1</v>
      </c>
      <c r="AI36" s="43">
        <v>46158.57916666667</v>
      </c>
      <c r="AJ36" s="33" t="s">
        <v>73</v>
      </c>
      <c r="AK36" s="42">
        <v>293383.8</v>
      </c>
      <c r="AL36" s="33" t="s">
        <v>460</v>
      </c>
    </row>
    <row r="37" spans="1:38">
      <c r="A37" s="33">
        <v>6022217</v>
      </c>
      <c r="B37" s="33" t="s">
        <v>86</v>
      </c>
      <c r="C37" s="33" t="s">
        <v>69</v>
      </c>
      <c r="D37" s="33" t="s">
        <v>461</v>
      </c>
      <c r="E37" s="33" t="s">
        <v>462</v>
      </c>
      <c r="F37" s="43">
        <v>46158.375</v>
      </c>
      <c r="G37" s="33" t="s">
        <v>260</v>
      </c>
      <c r="H37" s="33"/>
      <c r="I37" s="33" t="s">
        <v>73</v>
      </c>
      <c r="J37" s="33" t="s">
        <v>463</v>
      </c>
      <c r="K37" s="33" t="s">
        <v>75</v>
      </c>
      <c r="L37" s="33" t="s">
        <v>464</v>
      </c>
      <c r="M37" s="43">
        <v>46158.456805555557</v>
      </c>
      <c r="N37" s="33" t="s">
        <v>296</v>
      </c>
      <c r="O37" s="33" t="s">
        <v>465</v>
      </c>
      <c r="P37" s="33" t="s">
        <v>79</v>
      </c>
      <c r="Q37" s="33"/>
      <c r="R37" s="33"/>
      <c r="S37" s="33"/>
      <c r="T37" s="33" t="s">
        <v>466</v>
      </c>
      <c r="U37" s="33"/>
      <c r="V37" s="33"/>
      <c r="W37" s="33"/>
      <c r="X37" s="33"/>
      <c r="Y37" s="33"/>
      <c r="Z37" s="33" t="s">
        <v>466</v>
      </c>
      <c r="AA37" s="43">
        <v>46160.25</v>
      </c>
      <c r="AB37" s="33" t="s">
        <v>467</v>
      </c>
      <c r="AC37" s="33" t="s">
        <v>468</v>
      </c>
      <c r="AD37" s="58">
        <v>0.65347222222222223</v>
      </c>
      <c r="AE37" s="58">
        <v>0.15486111111111112</v>
      </c>
      <c r="AF37" s="58">
        <v>0.65347222222222223</v>
      </c>
      <c r="AG37" s="33" t="s">
        <v>469</v>
      </c>
      <c r="AH37" s="33">
        <v>1</v>
      </c>
      <c r="AI37" s="43">
        <v>46158.456944444442</v>
      </c>
      <c r="AJ37" s="33" t="s">
        <v>73</v>
      </c>
      <c r="AK37" s="42">
        <v>263612.28999999998</v>
      </c>
      <c r="AL37" s="33" t="s">
        <v>470</v>
      </c>
    </row>
    <row r="38" spans="1:38">
      <c r="A38" s="33">
        <v>6022219</v>
      </c>
      <c r="B38" s="33" t="s">
        <v>291</v>
      </c>
      <c r="C38" s="33" t="s">
        <v>69</v>
      </c>
      <c r="D38" s="33" t="s">
        <v>471</v>
      </c>
      <c r="E38" s="33" t="s">
        <v>472</v>
      </c>
      <c r="F38" s="43">
        <v>46157.791666666664</v>
      </c>
      <c r="G38" s="33" t="s">
        <v>260</v>
      </c>
      <c r="H38" s="33"/>
      <c r="I38" s="33" t="s">
        <v>73</v>
      </c>
      <c r="J38" s="33" t="s">
        <v>473</v>
      </c>
      <c r="K38" s="33" t="s">
        <v>75</v>
      </c>
      <c r="L38" s="33" t="s">
        <v>295</v>
      </c>
      <c r="M38" s="43">
        <v>46158.443749999999</v>
      </c>
      <c r="N38" s="33" t="s">
        <v>296</v>
      </c>
      <c r="O38" s="33" t="s">
        <v>93</v>
      </c>
      <c r="P38" s="33" t="s">
        <v>79</v>
      </c>
      <c r="Q38" s="43">
        <v>46157.736805555556</v>
      </c>
      <c r="R38" s="33"/>
      <c r="S38" s="58">
        <v>0.72083333333333333</v>
      </c>
      <c r="T38" s="33" t="s">
        <v>474</v>
      </c>
      <c r="U38" s="33"/>
      <c r="V38" s="33"/>
      <c r="W38" s="33" t="s">
        <v>79</v>
      </c>
      <c r="X38" s="43">
        <v>46157.736805555556</v>
      </c>
      <c r="Y38" s="58">
        <v>0.72083333333333333</v>
      </c>
      <c r="Z38" s="33" t="s">
        <v>474</v>
      </c>
      <c r="AA38" s="43">
        <v>46160.958333333336</v>
      </c>
      <c r="AB38" s="33" t="s">
        <v>475</v>
      </c>
      <c r="AC38" s="33" t="s">
        <v>476</v>
      </c>
      <c r="AD38" s="58">
        <v>0.73541666666666672</v>
      </c>
      <c r="AE38" s="33"/>
      <c r="AF38" s="58">
        <v>0.73541666666666672</v>
      </c>
      <c r="AG38" s="33" t="s">
        <v>477</v>
      </c>
      <c r="AH38" s="33">
        <v>0</v>
      </c>
      <c r="AI38" s="43">
        <v>46158.911111111112</v>
      </c>
      <c r="AJ38" s="33" t="s">
        <v>73</v>
      </c>
      <c r="AK38" s="42">
        <v>440059.46</v>
      </c>
      <c r="AL38" s="33" t="s">
        <v>478</v>
      </c>
    </row>
    <row r="39" spans="1:38">
      <c r="A39" s="33">
        <v>6022176</v>
      </c>
      <c r="B39" s="33" t="s">
        <v>291</v>
      </c>
      <c r="C39" s="33" t="s">
        <v>69</v>
      </c>
      <c r="D39" s="33" t="s">
        <v>479</v>
      </c>
      <c r="E39" s="33" t="s">
        <v>480</v>
      </c>
      <c r="F39" s="43">
        <v>46158.375</v>
      </c>
      <c r="G39" s="33" t="s">
        <v>72</v>
      </c>
      <c r="H39" s="33"/>
      <c r="I39" s="33" t="s">
        <v>73</v>
      </c>
      <c r="J39" s="33" t="s">
        <v>481</v>
      </c>
      <c r="K39" s="33" t="s">
        <v>75</v>
      </c>
      <c r="L39" s="33" t="s">
        <v>295</v>
      </c>
      <c r="M39" s="43">
        <v>46158.455879629626</v>
      </c>
      <c r="N39" s="33" t="s">
        <v>482</v>
      </c>
      <c r="O39" s="33" t="s">
        <v>483</v>
      </c>
      <c r="P39" s="33" t="s">
        <v>79</v>
      </c>
      <c r="Q39" s="43">
        <v>46157.849305555559</v>
      </c>
      <c r="R39" s="33"/>
      <c r="S39" s="58">
        <v>0.60833333333333328</v>
      </c>
      <c r="T39" s="33" t="s">
        <v>484</v>
      </c>
      <c r="U39" s="33"/>
      <c r="V39" s="33"/>
      <c r="W39" s="33" t="s">
        <v>79</v>
      </c>
      <c r="X39" s="43">
        <v>46157.849305555559</v>
      </c>
      <c r="Y39" s="58">
        <v>0.60833333333333328</v>
      </c>
      <c r="Z39" s="33" t="s">
        <v>484</v>
      </c>
      <c r="AA39" s="43">
        <v>46162.25</v>
      </c>
      <c r="AB39" s="33" t="s">
        <v>485</v>
      </c>
      <c r="AC39" s="33" t="s">
        <v>486</v>
      </c>
      <c r="AD39" s="58">
        <v>0.72083333333333333</v>
      </c>
      <c r="AE39" s="33"/>
      <c r="AF39" s="58">
        <v>0.72083333333333333</v>
      </c>
      <c r="AG39" s="33" t="s">
        <v>487</v>
      </c>
      <c r="AH39" s="33">
        <v>0</v>
      </c>
      <c r="AI39" s="43">
        <v>46159.209027777775</v>
      </c>
      <c r="AJ39" s="33" t="s">
        <v>73</v>
      </c>
      <c r="AK39" s="42">
        <v>182749.6</v>
      </c>
      <c r="AL39" s="33" t="s">
        <v>488</v>
      </c>
    </row>
    <row r="40" spans="1:38">
      <c r="A40" s="33">
        <v>6022052</v>
      </c>
      <c r="B40" s="33" t="s">
        <v>291</v>
      </c>
      <c r="C40" s="33" t="s">
        <v>69</v>
      </c>
      <c r="D40" s="33" t="s">
        <v>489</v>
      </c>
      <c r="E40" s="33" t="s">
        <v>490</v>
      </c>
      <c r="F40" s="43">
        <v>46157.740277777775</v>
      </c>
      <c r="G40" s="33" t="s">
        <v>114</v>
      </c>
      <c r="H40" s="33"/>
      <c r="I40" s="33" t="s">
        <v>73</v>
      </c>
      <c r="J40" s="33" t="s">
        <v>491</v>
      </c>
      <c r="K40" s="33" t="s">
        <v>75</v>
      </c>
      <c r="L40" s="33" t="s">
        <v>492</v>
      </c>
      <c r="M40" s="43">
        <v>46158.457025462965</v>
      </c>
      <c r="N40" s="33" t="s">
        <v>493</v>
      </c>
      <c r="O40" s="33" t="s">
        <v>231</v>
      </c>
      <c r="P40" s="33" t="s">
        <v>140</v>
      </c>
      <c r="Q40" s="43">
        <v>46157.742361111108</v>
      </c>
      <c r="R40" s="33"/>
      <c r="S40" s="58">
        <v>0.71527777777777779</v>
      </c>
      <c r="T40" s="33" t="s">
        <v>494</v>
      </c>
      <c r="U40" s="33"/>
      <c r="V40" s="33"/>
      <c r="W40" s="33" t="s">
        <v>140</v>
      </c>
      <c r="X40" s="43">
        <v>46157.742361111108</v>
      </c>
      <c r="Y40" s="58">
        <v>0.71527777777777779</v>
      </c>
      <c r="Z40" s="33" t="s">
        <v>494</v>
      </c>
      <c r="AA40" s="43">
        <v>46160.25</v>
      </c>
      <c r="AB40" s="33" t="s">
        <v>495</v>
      </c>
      <c r="AC40" s="33" t="s">
        <v>496</v>
      </c>
      <c r="AD40" s="58">
        <v>4.791666666666667E-2</v>
      </c>
      <c r="AE40" s="33"/>
      <c r="AF40" s="58">
        <v>4.791666666666667E-2</v>
      </c>
      <c r="AG40" s="33"/>
      <c r="AH40" s="33">
        <v>0</v>
      </c>
      <c r="AI40" s="43">
        <v>46158.719444444447</v>
      </c>
      <c r="AJ40" s="33" t="s">
        <v>73</v>
      </c>
      <c r="AK40" s="42">
        <v>161336.29999999999</v>
      </c>
      <c r="AL40" s="33" t="s">
        <v>497</v>
      </c>
    </row>
    <row r="41" spans="1:38">
      <c r="A41" s="33">
        <v>6010999</v>
      </c>
      <c r="B41" s="33" t="s">
        <v>86</v>
      </c>
      <c r="C41" s="33" t="s">
        <v>69</v>
      </c>
      <c r="D41" s="33" t="s">
        <v>498</v>
      </c>
      <c r="E41" s="33" t="s">
        <v>499</v>
      </c>
      <c r="F41" s="43">
        <v>46157.833333333336</v>
      </c>
      <c r="G41" s="33" t="s">
        <v>420</v>
      </c>
      <c r="H41" s="33"/>
      <c r="I41" s="33" t="s">
        <v>73</v>
      </c>
      <c r="J41" s="33" t="s">
        <v>500</v>
      </c>
      <c r="K41" s="33" t="s">
        <v>75</v>
      </c>
      <c r="L41" s="33" t="s">
        <v>501</v>
      </c>
      <c r="M41" s="43">
        <v>46158.457060185188</v>
      </c>
      <c r="N41" s="33" t="s">
        <v>502</v>
      </c>
      <c r="O41" s="33" t="s">
        <v>175</v>
      </c>
      <c r="P41" s="33" t="s">
        <v>79</v>
      </c>
      <c r="Q41" s="43">
        <v>46157.751388888886</v>
      </c>
      <c r="R41" s="43">
        <v>46157.875</v>
      </c>
      <c r="S41" s="58">
        <v>0.12361111111111112</v>
      </c>
      <c r="T41" s="33" t="s">
        <v>503</v>
      </c>
      <c r="U41" s="33"/>
      <c r="V41" s="33"/>
      <c r="W41" s="33"/>
      <c r="X41" s="33"/>
      <c r="Y41" s="33"/>
      <c r="Z41" s="33" t="s">
        <v>503</v>
      </c>
      <c r="AA41" s="43">
        <v>46158.530555555553</v>
      </c>
      <c r="AB41" s="33" t="s">
        <v>504</v>
      </c>
      <c r="AC41" s="33" t="s">
        <v>505</v>
      </c>
      <c r="AD41" s="58">
        <v>0.65416666666666667</v>
      </c>
      <c r="AE41" s="58">
        <v>0.58263888888888893</v>
      </c>
      <c r="AF41" s="58">
        <v>0.65416666666666667</v>
      </c>
      <c r="AG41" s="33" t="s">
        <v>506</v>
      </c>
      <c r="AH41" s="33">
        <v>1</v>
      </c>
      <c r="AI41" s="43">
        <v>46159.088888888888</v>
      </c>
      <c r="AJ41" s="33" t="s">
        <v>73</v>
      </c>
      <c r="AK41" s="42">
        <v>215556.87</v>
      </c>
      <c r="AL41" s="33" t="s">
        <v>507</v>
      </c>
    </row>
    <row r="42" spans="1:38">
      <c r="A42" s="33">
        <v>6011546</v>
      </c>
      <c r="B42" s="33" t="s">
        <v>86</v>
      </c>
      <c r="C42" s="33" t="s">
        <v>69</v>
      </c>
      <c r="D42" s="33" t="s">
        <v>508</v>
      </c>
      <c r="E42" s="33" t="s">
        <v>509</v>
      </c>
      <c r="F42" s="43">
        <v>46157.752083333333</v>
      </c>
      <c r="G42" s="33" t="s">
        <v>72</v>
      </c>
      <c r="H42" s="33"/>
      <c r="I42" s="33" t="s">
        <v>73</v>
      </c>
      <c r="J42" s="33" t="s">
        <v>510</v>
      </c>
      <c r="K42" s="33" t="s">
        <v>262</v>
      </c>
      <c r="L42" s="33" t="s">
        <v>511</v>
      </c>
      <c r="M42" s="43">
        <v>46158.455949074072</v>
      </c>
      <c r="N42" s="33" t="s">
        <v>512</v>
      </c>
      <c r="O42" s="33" t="s">
        <v>456</v>
      </c>
      <c r="P42" s="33" t="s">
        <v>79</v>
      </c>
      <c r="Q42" s="33"/>
      <c r="R42" s="33"/>
      <c r="S42" s="33"/>
      <c r="T42" s="33" t="s">
        <v>513</v>
      </c>
      <c r="U42" s="33"/>
      <c r="V42" s="33"/>
      <c r="W42" s="33"/>
      <c r="X42" s="33"/>
      <c r="Y42" s="33"/>
      <c r="Z42" s="33" t="s">
        <v>513</v>
      </c>
      <c r="AA42" s="43">
        <v>46161.25</v>
      </c>
      <c r="AB42" s="33" t="s">
        <v>514</v>
      </c>
      <c r="AC42" s="33" t="s">
        <v>515</v>
      </c>
      <c r="AD42" s="58">
        <v>0.6479166666666667</v>
      </c>
      <c r="AE42" s="33"/>
      <c r="AF42" s="58">
        <v>0.6479166666666667</v>
      </c>
      <c r="AG42" s="33" t="s">
        <v>516</v>
      </c>
      <c r="AH42" s="33">
        <v>0</v>
      </c>
      <c r="AI42" s="43">
        <v>46159.48333333333</v>
      </c>
      <c r="AJ42" s="33" t="s">
        <v>73</v>
      </c>
      <c r="AK42" s="42">
        <v>167759.56</v>
      </c>
      <c r="AL42" s="33" t="s">
        <v>517</v>
      </c>
    </row>
    <row r="43" spans="1:38">
      <c r="A43" s="33">
        <v>6013550</v>
      </c>
      <c r="B43" s="33" t="s">
        <v>86</v>
      </c>
      <c r="C43" s="33" t="s">
        <v>69</v>
      </c>
      <c r="D43" s="33" t="s">
        <v>518</v>
      </c>
      <c r="E43" s="33" t="s">
        <v>519</v>
      </c>
      <c r="F43" s="43">
        <v>46157.833333333336</v>
      </c>
      <c r="G43" s="33" t="s">
        <v>216</v>
      </c>
      <c r="H43" s="33"/>
      <c r="I43" s="33" t="s">
        <v>73</v>
      </c>
      <c r="J43" s="33" t="s">
        <v>398</v>
      </c>
      <c r="K43" s="33" t="s">
        <v>75</v>
      </c>
      <c r="L43" s="33" t="s">
        <v>520</v>
      </c>
      <c r="M43" s="43">
        <v>46158.455960648149</v>
      </c>
      <c r="N43" s="33" t="s">
        <v>521</v>
      </c>
      <c r="O43" s="33" t="s">
        <v>402</v>
      </c>
      <c r="P43" s="33" t="s">
        <v>140</v>
      </c>
      <c r="Q43" s="33"/>
      <c r="R43" s="33"/>
      <c r="S43" s="33"/>
      <c r="T43" s="33" t="s">
        <v>403</v>
      </c>
      <c r="U43" s="33"/>
      <c r="V43" s="33"/>
      <c r="W43" s="33"/>
      <c r="X43" s="33"/>
      <c r="Y43" s="33"/>
      <c r="Z43" s="33" t="s">
        <v>403</v>
      </c>
      <c r="AA43" s="43">
        <v>46162.333333333336</v>
      </c>
      <c r="AB43" s="33" t="s">
        <v>522</v>
      </c>
      <c r="AC43" s="33" t="s">
        <v>404</v>
      </c>
      <c r="AD43" s="58">
        <v>0.69652777777777775</v>
      </c>
      <c r="AE43" s="58">
        <v>0.54027777777777775</v>
      </c>
      <c r="AF43" s="58">
        <v>0.69652777777777775</v>
      </c>
      <c r="AG43" s="33" t="s">
        <v>523</v>
      </c>
      <c r="AH43" s="33">
        <v>1</v>
      </c>
      <c r="AI43" s="43">
        <v>46158.51458333333</v>
      </c>
      <c r="AJ43" s="33" t="s">
        <v>73</v>
      </c>
      <c r="AK43" s="42">
        <v>954442.79</v>
      </c>
      <c r="AL43" s="33" t="s">
        <v>524</v>
      </c>
    </row>
    <row r="44" spans="1:38">
      <c r="A44" s="33">
        <v>6023020</v>
      </c>
      <c r="B44" s="33" t="s">
        <v>86</v>
      </c>
      <c r="C44" s="33" t="s">
        <v>69</v>
      </c>
      <c r="D44" s="33" t="s">
        <v>525</v>
      </c>
      <c r="E44" s="33" t="s">
        <v>526</v>
      </c>
      <c r="F44" s="43">
        <v>46157.875</v>
      </c>
      <c r="G44" s="33" t="s">
        <v>227</v>
      </c>
      <c r="H44" s="33"/>
      <c r="I44" s="33" t="s">
        <v>73</v>
      </c>
      <c r="J44" s="33" t="s">
        <v>527</v>
      </c>
      <c r="K44" s="33" t="s">
        <v>75</v>
      </c>
      <c r="L44" s="33" t="s">
        <v>528</v>
      </c>
      <c r="M44" s="43">
        <v>46158.455277777779</v>
      </c>
      <c r="N44" s="33" t="s">
        <v>529</v>
      </c>
      <c r="O44" s="33" t="s">
        <v>175</v>
      </c>
      <c r="P44" s="33" t="s">
        <v>79</v>
      </c>
      <c r="Q44" s="43">
        <v>46157.775694444441</v>
      </c>
      <c r="R44" s="43">
        <v>46158.303472222222</v>
      </c>
      <c r="S44" s="58">
        <v>0.52777777777777779</v>
      </c>
      <c r="T44" s="33" t="s">
        <v>297</v>
      </c>
      <c r="U44" s="33"/>
      <c r="V44" s="33"/>
      <c r="W44" s="33" t="s">
        <v>530</v>
      </c>
      <c r="X44" s="43">
        <v>46158.410416666666</v>
      </c>
      <c r="Y44" s="58">
        <v>4.7222222222222221E-2</v>
      </c>
      <c r="Z44" s="33" t="s">
        <v>297</v>
      </c>
      <c r="AA44" s="43">
        <v>46158.731944444444</v>
      </c>
      <c r="AB44" s="33" t="s">
        <v>531</v>
      </c>
      <c r="AC44" s="33" t="s">
        <v>532</v>
      </c>
      <c r="AD44" s="58">
        <v>0.68055555555555558</v>
      </c>
      <c r="AE44" s="58">
        <v>0.15416666666666667</v>
      </c>
      <c r="AF44" s="58">
        <v>0.68055555555555558</v>
      </c>
      <c r="AG44" s="33" t="s">
        <v>533</v>
      </c>
      <c r="AH44" s="33">
        <v>1</v>
      </c>
      <c r="AI44" s="43">
        <v>46158.787499999999</v>
      </c>
      <c r="AJ44" s="33" t="s">
        <v>73</v>
      </c>
      <c r="AK44" s="42">
        <v>553601.32999999996</v>
      </c>
      <c r="AL44" s="33" t="s">
        <v>534</v>
      </c>
    </row>
    <row r="45" spans="1:38">
      <c r="A45" s="33">
        <v>6011814</v>
      </c>
      <c r="B45" s="33" t="s">
        <v>86</v>
      </c>
      <c r="C45" s="33" t="s">
        <v>69</v>
      </c>
      <c r="D45" s="33" t="s">
        <v>535</v>
      </c>
      <c r="E45" s="33" t="s">
        <v>536</v>
      </c>
      <c r="F45" s="43">
        <v>46157.833333333336</v>
      </c>
      <c r="G45" s="33" t="s">
        <v>114</v>
      </c>
      <c r="H45" s="33"/>
      <c r="I45" s="33" t="s">
        <v>73</v>
      </c>
      <c r="J45" s="33" t="s">
        <v>537</v>
      </c>
      <c r="K45" s="33" t="s">
        <v>75</v>
      </c>
      <c r="L45" s="33" t="s">
        <v>454</v>
      </c>
      <c r="M45" s="43">
        <v>46158.45585648148</v>
      </c>
      <c r="N45" s="33" t="s">
        <v>538</v>
      </c>
      <c r="O45" s="33" t="s">
        <v>402</v>
      </c>
      <c r="P45" s="33" t="s">
        <v>140</v>
      </c>
      <c r="Q45" s="43">
        <v>46157.777777777781</v>
      </c>
      <c r="R45" s="43">
        <v>46158.25</v>
      </c>
      <c r="S45" s="58">
        <v>0.47222222222222221</v>
      </c>
      <c r="T45" s="33" t="s">
        <v>163</v>
      </c>
      <c r="U45" s="33"/>
      <c r="V45" s="33"/>
      <c r="W45" s="33"/>
      <c r="X45" s="33"/>
      <c r="Y45" s="33"/>
      <c r="Z45" s="33" t="s">
        <v>163</v>
      </c>
      <c r="AA45" s="43">
        <v>46160.143750000003</v>
      </c>
      <c r="AB45" s="33" t="s">
        <v>539</v>
      </c>
      <c r="AC45" s="33" t="s">
        <v>540</v>
      </c>
      <c r="AD45" s="58">
        <v>0.68194444444444446</v>
      </c>
      <c r="AE45" s="58">
        <v>0.2076388888888889</v>
      </c>
      <c r="AF45" s="58">
        <v>0.68194444444444446</v>
      </c>
      <c r="AG45" s="33" t="s">
        <v>541</v>
      </c>
      <c r="AH45" s="33">
        <v>1</v>
      </c>
      <c r="AI45" s="43">
        <v>46159.813194444447</v>
      </c>
      <c r="AJ45" s="33" t="s">
        <v>73</v>
      </c>
      <c r="AK45" s="42">
        <v>859859.88</v>
      </c>
      <c r="AL45" s="33" t="s">
        <v>542</v>
      </c>
    </row>
    <row r="46" spans="1:38">
      <c r="A46" s="33">
        <v>6023015</v>
      </c>
      <c r="B46" s="33" t="s">
        <v>291</v>
      </c>
      <c r="C46" s="33" t="s">
        <v>69</v>
      </c>
      <c r="D46" s="33" t="s">
        <v>543</v>
      </c>
      <c r="E46" s="33" t="s">
        <v>544</v>
      </c>
      <c r="F46" s="43">
        <v>46157.875</v>
      </c>
      <c r="G46" s="33" t="s">
        <v>227</v>
      </c>
      <c r="H46" s="33"/>
      <c r="I46" s="33" t="s">
        <v>73</v>
      </c>
      <c r="J46" s="33" t="s">
        <v>545</v>
      </c>
      <c r="K46" s="33" t="s">
        <v>75</v>
      </c>
      <c r="L46" s="33" t="s">
        <v>295</v>
      </c>
      <c r="M46" s="43">
        <v>46158.454560185186</v>
      </c>
      <c r="N46" s="33" t="s">
        <v>296</v>
      </c>
      <c r="O46" s="33" t="s">
        <v>93</v>
      </c>
      <c r="P46" s="33" t="s">
        <v>79</v>
      </c>
      <c r="Q46" s="43">
        <v>46157.815972222219</v>
      </c>
      <c r="R46" s="33"/>
      <c r="S46" s="58">
        <v>0.64166666666666672</v>
      </c>
      <c r="T46" s="33" t="s">
        <v>372</v>
      </c>
      <c r="U46" s="33"/>
      <c r="V46" s="33"/>
      <c r="W46" s="33" t="s">
        <v>79</v>
      </c>
      <c r="X46" s="43">
        <v>46157.815972222219</v>
      </c>
      <c r="Y46" s="58">
        <v>0.64166666666666672</v>
      </c>
      <c r="Z46" s="33" t="s">
        <v>372</v>
      </c>
      <c r="AA46" s="43">
        <v>46161.958333333336</v>
      </c>
      <c r="AB46" s="33" t="s">
        <v>546</v>
      </c>
      <c r="AC46" s="33" t="s">
        <v>547</v>
      </c>
      <c r="AD46" s="58">
        <v>0.67013888888888884</v>
      </c>
      <c r="AE46" s="33"/>
      <c r="AF46" s="58">
        <v>0.67013888888888884</v>
      </c>
      <c r="AG46" s="33" t="s">
        <v>548</v>
      </c>
      <c r="AH46" s="33">
        <v>0</v>
      </c>
      <c r="AI46" s="43">
        <v>46158.892361111109</v>
      </c>
      <c r="AJ46" s="33" t="s">
        <v>73</v>
      </c>
      <c r="AK46" s="42">
        <v>553601.42000000004</v>
      </c>
      <c r="AL46" s="33" t="s">
        <v>549</v>
      </c>
    </row>
    <row r="47" spans="1:38">
      <c r="A47" s="33" t="s">
        <v>550</v>
      </c>
      <c r="B47" s="33" t="s">
        <v>86</v>
      </c>
      <c r="C47" s="33" t="s">
        <v>69</v>
      </c>
      <c r="D47" s="33" t="s">
        <v>551</v>
      </c>
      <c r="E47" s="33" t="s">
        <v>552</v>
      </c>
      <c r="F47" s="43">
        <v>46158.166666666664</v>
      </c>
      <c r="G47" s="33" t="s">
        <v>553</v>
      </c>
      <c r="H47" s="33"/>
      <c r="I47" s="33" t="s">
        <v>73</v>
      </c>
      <c r="J47" s="33" t="s">
        <v>554</v>
      </c>
      <c r="K47" s="33" t="s">
        <v>75</v>
      </c>
      <c r="L47" s="33" t="s">
        <v>555</v>
      </c>
      <c r="M47" s="43">
        <v>46158.457407407404</v>
      </c>
      <c r="N47" s="33" t="s">
        <v>556</v>
      </c>
      <c r="O47" s="33" t="s">
        <v>424</v>
      </c>
      <c r="P47" s="33" t="s">
        <v>140</v>
      </c>
      <c r="Q47" s="43">
        <v>46157.836805555555</v>
      </c>
      <c r="R47" s="43">
        <v>46157.914583333331</v>
      </c>
      <c r="S47" s="58">
        <v>7.7777777777777779E-2</v>
      </c>
      <c r="T47" s="33" t="s">
        <v>557</v>
      </c>
      <c r="U47" s="33"/>
      <c r="V47" s="33"/>
      <c r="W47" s="33"/>
      <c r="X47" s="33"/>
      <c r="Y47" s="33"/>
      <c r="Z47" s="33" t="s">
        <v>557</v>
      </c>
      <c r="AA47" s="43">
        <v>46159.343055555553</v>
      </c>
      <c r="AB47" s="33" t="s">
        <v>558</v>
      </c>
      <c r="AC47" s="33" t="s">
        <v>559</v>
      </c>
      <c r="AD47" s="58">
        <v>0.50555555555555554</v>
      </c>
      <c r="AE47" s="58">
        <v>0.54305555555555551</v>
      </c>
      <c r="AF47" s="58">
        <v>0.50555555555555554</v>
      </c>
      <c r="AG47" s="33" t="s">
        <v>560</v>
      </c>
      <c r="AH47" s="33">
        <v>1</v>
      </c>
      <c r="AI47" s="43">
        <v>46158.960416666669</v>
      </c>
      <c r="AJ47" s="33" t="s">
        <v>73</v>
      </c>
      <c r="AK47" s="42">
        <v>784029.11</v>
      </c>
      <c r="AL47" s="33" t="s">
        <v>561</v>
      </c>
    </row>
    <row r="48" spans="1:38">
      <c r="A48" s="33">
        <v>6022223</v>
      </c>
      <c r="B48" s="33" t="s">
        <v>86</v>
      </c>
      <c r="C48" s="33" t="s">
        <v>69</v>
      </c>
      <c r="D48" s="33" t="s">
        <v>562</v>
      </c>
      <c r="E48" s="33" t="s">
        <v>563</v>
      </c>
      <c r="F48" s="43">
        <v>46157.798611111109</v>
      </c>
      <c r="G48" s="33" t="s">
        <v>114</v>
      </c>
      <c r="H48" s="33"/>
      <c r="I48" s="33" t="s">
        <v>73</v>
      </c>
      <c r="J48" s="33" t="s">
        <v>564</v>
      </c>
      <c r="K48" s="33" t="s">
        <v>75</v>
      </c>
      <c r="L48" s="33" t="s">
        <v>565</v>
      </c>
      <c r="M48" s="43">
        <v>46158.452870370369</v>
      </c>
      <c r="N48" s="33" t="s">
        <v>566</v>
      </c>
      <c r="O48" s="33" t="s">
        <v>93</v>
      </c>
      <c r="P48" s="33" t="s">
        <v>79</v>
      </c>
      <c r="Q48" s="33"/>
      <c r="R48" s="33"/>
      <c r="S48" s="33"/>
      <c r="T48" s="33" t="s">
        <v>567</v>
      </c>
      <c r="U48" s="33"/>
      <c r="V48" s="33"/>
      <c r="W48" s="33"/>
      <c r="X48" s="33"/>
      <c r="Y48" s="33"/>
      <c r="Z48" s="33" t="s">
        <v>567</v>
      </c>
      <c r="AA48" s="43">
        <v>46161.958333333336</v>
      </c>
      <c r="AB48" s="33" t="s">
        <v>568</v>
      </c>
      <c r="AC48" s="33" t="s">
        <v>569</v>
      </c>
      <c r="AD48" s="58">
        <v>0.56874999999999998</v>
      </c>
      <c r="AE48" s="33"/>
      <c r="AF48" s="58">
        <v>0.56874999999999998</v>
      </c>
      <c r="AG48" s="33" t="s">
        <v>570</v>
      </c>
      <c r="AH48" s="33">
        <v>0</v>
      </c>
      <c r="AI48" s="43">
        <v>46159.298611111109</v>
      </c>
      <c r="AJ48" s="33" t="s">
        <v>73</v>
      </c>
      <c r="AK48" s="42">
        <v>173131.2</v>
      </c>
      <c r="AL48" s="33" t="s">
        <v>571</v>
      </c>
    </row>
    <row r="49" spans="1:38">
      <c r="A49" s="33" t="s">
        <v>572</v>
      </c>
      <c r="B49" s="33" t="s">
        <v>86</v>
      </c>
      <c r="C49" s="33" t="s">
        <v>69</v>
      </c>
      <c r="D49" s="33" t="s">
        <v>573</v>
      </c>
      <c r="E49" s="33" t="s">
        <v>574</v>
      </c>
      <c r="F49" s="43">
        <v>46157.813194444447</v>
      </c>
      <c r="G49" s="33" t="s">
        <v>216</v>
      </c>
      <c r="H49" s="33"/>
      <c r="I49" s="33" t="s">
        <v>73</v>
      </c>
      <c r="J49" s="33" t="s">
        <v>294</v>
      </c>
      <c r="K49" s="33" t="s">
        <v>75</v>
      </c>
      <c r="L49" s="33" t="s">
        <v>575</v>
      </c>
      <c r="M49" s="43">
        <v>46158.456087962964</v>
      </c>
      <c r="N49" s="33" t="s">
        <v>576</v>
      </c>
      <c r="O49" s="33" t="s">
        <v>175</v>
      </c>
      <c r="P49" s="33" t="s">
        <v>79</v>
      </c>
      <c r="Q49" s="33"/>
      <c r="R49" s="33"/>
      <c r="S49" s="33"/>
      <c r="T49" s="33" t="s">
        <v>297</v>
      </c>
      <c r="U49" s="33"/>
      <c r="V49" s="33"/>
      <c r="W49" s="33"/>
      <c r="X49" s="33"/>
      <c r="Y49" s="33"/>
      <c r="Z49" s="33" t="s">
        <v>297</v>
      </c>
      <c r="AA49" s="43">
        <v>46160.25</v>
      </c>
      <c r="AB49" s="33" t="s">
        <v>130</v>
      </c>
      <c r="AC49" s="33" t="s">
        <v>577</v>
      </c>
      <c r="AD49" s="58">
        <v>0.56944444444444442</v>
      </c>
      <c r="AE49" s="33"/>
      <c r="AF49" s="58">
        <v>0.56944444444444442</v>
      </c>
      <c r="AG49" s="33" t="s">
        <v>578</v>
      </c>
      <c r="AH49" s="33">
        <v>0</v>
      </c>
      <c r="AI49" s="43">
        <v>46158.9</v>
      </c>
      <c r="AJ49" s="33" t="s">
        <v>73</v>
      </c>
      <c r="AK49" s="42">
        <v>819909.63</v>
      </c>
      <c r="AL49" s="33" t="s">
        <v>579</v>
      </c>
    </row>
    <row r="50" spans="1:38">
      <c r="A50" s="33">
        <v>6014900</v>
      </c>
      <c r="B50" s="33" t="s">
        <v>86</v>
      </c>
      <c r="C50" s="33" t="s">
        <v>69</v>
      </c>
      <c r="D50" s="33" t="s">
        <v>580</v>
      </c>
      <c r="E50" s="33" t="s">
        <v>581</v>
      </c>
      <c r="F50" s="43">
        <v>46157.835416666669</v>
      </c>
      <c r="G50" s="33" t="s">
        <v>72</v>
      </c>
      <c r="H50" s="33"/>
      <c r="I50" s="33" t="s">
        <v>73</v>
      </c>
      <c r="J50" s="33" t="s">
        <v>582</v>
      </c>
      <c r="K50" s="33" t="s">
        <v>583</v>
      </c>
      <c r="L50" s="33" t="s">
        <v>584</v>
      </c>
      <c r="M50" s="43">
        <v>46158.4375</v>
      </c>
      <c r="N50" s="33" t="s">
        <v>585</v>
      </c>
      <c r="O50" s="33" t="s">
        <v>93</v>
      </c>
      <c r="P50" s="33" t="s">
        <v>140</v>
      </c>
      <c r="Q50" s="43">
        <v>46157.836805555555</v>
      </c>
      <c r="R50" s="43">
        <v>46158.273611111108</v>
      </c>
      <c r="S50" s="58">
        <v>0.43680555555555556</v>
      </c>
      <c r="T50" s="33" t="s">
        <v>141</v>
      </c>
      <c r="U50" s="33"/>
      <c r="V50" s="33"/>
      <c r="W50" s="33"/>
      <c r="X50" s="33"/>
      <c r="Y50" s="33"/>
      <c r="Z50" s="33" t="s">
        <v>141</v>
      </c>
      <c r="AA50" s="43">
        <v>46160.117361111108</v>
      </c>
      <c r="AB50" s="33" t="s">
        <v>586</v>
      </c>
      <c r="AC50" s="33" t="s">
        <v>587</v>
      </c>
      <c r="AD50" s="58">
        <v>0.57638888888888884</v>
      </c>
      <c r="AE50" s="58">
        <v>0.18402777777777779</v>
      </c>
      <c r="AF50" s="58">
        <v>0.57638888888888884</v>
      </c>
      <c r="AG50" s="33"/>
      <c r="AH50" s="33">
        <v>1</v>
      </c>
      <c r="AI50" s="43">
        <v>46159.588194444441</v>
      </c>
      <c r="AJ50" s="33" t="s">
        <v>73</v>
      </c>
      <c r="AK50" s="42">
        <v>476350.7</v>
      </c>
      <c r="AL50" s="33" t="s">
        <v>588</v>
      </c>
    </row>
    <row r="51" spans="1:38">
      <c r="A51" s="33">
        <v>6022208</v>
      </c>
      <c r="B51" s="33" t="s">
        <v>86</v>
      </c>
      <c r="C51" s="33" t="s">
        <v>69</v>
      </c>
      <c r="D51" s="33" t="s">
        <v>589</v>
      </c>
      <c r="E51" s="33" t="s">
        <v>590</v>
      </c>
      <c r="F51" s="43">
        <v>46157.85</v>
      </c>
      <c r="G51" s="33" t="s">
        <v>89</v>
      </c>
      <c r="H51" s="33"/>
      <c r="I51" s="33" t="s">
        <v>73</v>
      </c>
      <c r="J51" s="33" t="s">
        <v>591</v>
      </c>
      <c r="K51" s="33" t="s">
        <v>75</v>
      </c>
      <c r="L51" s="33" t="s">
        <v>592</v>
      </c>
      <c r="M51" s="43">
        <v>46158.454837962963</v>
      </c>
      <c r="N51" s="33" t="s">
        <v>593</v>
      </c>
      <c r="O51" s="33" t="s">
        <v>93</v>
      </c>
      <c r="P51" s="33" t="s">
        <v>79</v>
      </c>
      <c r="Q51" s="43">
        <v>46157.855555555558</v>
      </c>
      <c r="R51" s="43">
        <v>46157.924305555556</v>
      </c>
      <c r="S51" s="58">
        <v>6.8750000000000006E-2</v>
      </c>
      <c r="T51" s="33" t="s">
        <v>594</v>
      </c>
      <c r="U51" s="33"/>
      <c r="V51" s="33"/>
      <c r="W51" s="33"/>
      <c r="X51" s="33"/>
      <c r="Y51" s="33"/>
      <c r="Z51" s="33" t="s">
        <v>594</v>
      </c>
      <c r="AA51" s="43">
        <v>46159.745833333334</v>
      </c>
      <c r="AB51" s="33" t="s">
        <v>595</v>
      </c>
      <c r="AC51" s="33" t="s">
        <v>596</v>
      </c>
      <c r="AD51" s="58">
        <v>0.56874999999999998</v>
      </c>
      <c r="AE51" s="58">
        <v>0.53333333333333333</v>
      </c>
      <c r="AF51" s="58">
        <v>0.56874999999999998</v>
      </c>
      <c r="AG51" s="33" t="s">
        <v>597</v>
      </c>
      <c r="AH51" s="33">
        <v>1</v>
      </c>
      <c r="AI51" s="43">
        <v>46160.175000000003</v>
      </c>
      <c r="AJ51" s="33" t="s">
        <v>73</v>
      </c>
      <c r="AK51" s="42">
        <v>158703.5</v>
      </c>
      <c r="AL51" s="33" t="s">
        <v>598</v>
      </c>
    </row>
    <row r="52" spans="1:38">
      <c r="A52" s="33">
        <v>6025083</v>
      </c>
      <c r="B52" s="33" t="s">
        <v>86</v>
      </c>
      <c r="C52" s="33" t="s">
        <v>69</v>
      </c>
      <c r="D52" s="33" t="s">
        <v>599</v>
      </c>
      <c r="E52" s="33" t="s">
        <v>600</v>
      </c>
      <c r="F52" s="43">
        <v>46158.25</v>
      </c>
      <c r="G52" s="33" t="s">
        <v>171</v>
      </c>
      <c r="H52" s="33"/>
      <c r="I52" s="33" t="s">
        <v>73</v>
      </c>
      <c r="J52" s="33" t="s">
        <v>601</v>
      </c>
      <c r="K52" s="33" t="s">
        <v>75</v>
      </c>
      <c r="L52" s="33" t="s">
        <v>602</v>
      </c>
      <c r="M52" s="43">
        <v>46158.457083333335</v>
      </c>
      <c r="N52" s="33" t="s">
        <v>603</v>
      </c>
      <c r="O52" s="33" t="s">
        <v>604</v>
      </c>
      <c r="P52" s="33" t="s">
        <v>140</v>
      </c>
      <c r="Q52" s="43">
        <v>46157.850694444445</v>
      </c>
      <c r="R52" s="43">
        <v>46158.241666666669</v>
      </c>
      <c r="S52" s="58">
        <v>0.39097222222222222</v>
      </c>
      <c r="T52" s="33" t="s">
        <v>605</v>
      </c>
      <c r="U52" s="33"/>
      <c r="V52" s="33"/>
      <c r="W52" s="33"/>
      <c r="X52" s="33"/>
      <c r="Y52" s="33"/>
      <c r="Z52" s="33" t="s">
        <v>605</v>
      </c>
      <c r="AA52" s="43">
        <v>46158.270833333336</v>
      </c>
      <c r="AB52" s="33" t="s">
        <v>606</v>
      </c>
      <c r="AC52" s="33" t="s">
        <v>607</v>
      </c>
      <c r="AD52" s="58">
        <v>0.23194444444444445</v>
      </c>
      <c r="AE52" s="58">
        <v>0.21597222222222223</v>
      </c>
      <c r="AF52" s="58">
        <v>0.23194444444444445</v>
      </c>
      <c r="AG52" s="33" t="s">
        <v>608</v>
      </c>
      <c r="AH52" s="33">
        <v>1</v>
      </c>
      <c r="AI52" s="43">
        <v>46158.457638888889</v>
      </c>
      <c r="AJ52" s="33" t="s">
        <v>73</v>
      </c>
      <c r="AK52" s="42">
        <v>552844.80000000005</v>
      </c>
      <c r="AL52" s="33" t="s">
        <v>609</v>
      </c>
    </row>
    <row r="53" spans="1:38">
      <c r="A53" s="33">
        <v>6022209</v>
      </c>
      <c r="B53" s="33" t="s">
        <v>291</v>
      </c>
      <c r="C53" s="33" t="s">
        <v>69</v>
      </c>
      <c r="D53" s="33" t="s">
        <v>610</v>
      </c>
      <c r="E53" s="33" t="s">
        <v>611</v>
      </c>
      <c r="F53" s="43">
        <v>46157.87222222222</v>
      </c>
      <c r="G53" s="33" t="s">
        <v>216</v>
      </c>
      <c r="H53" s="33"/>
      <c r="I53" s="33" t="s">
        <v>73</v>
      </c>
      <c r="J53" s="33" t="s">
        <v>612</v>
      </c>
      <c r="K53" s="33" t="s">
        <v>75</v>
      </c>
      <c r="L53" s="33" t="s">
        <v>295</v>
      </c>
      <c r="M53" s="43">
        <v>46158.456030092595</v>
      </c>
      <c r="N53" s="33" t="s">
        <v>296</v>
      </c>
      <c r="O53" s="33" t="s">
        <v>93</v>
      </c>
      <c r="P53" s="33" t="s">
        <v>79</v>
      </c>
      <c r="Q53" s="43">
        <v>46157.875694444447</v>
      </c>
      <c r="R53" s="33"/>
      <c r="S53" s="58">
        <v>0.58194444444444449</v>
      </c>
      <c r="T53" s="33" t="s">
        <v>613</v>
      </c>
      <c r="U53" s="33"/>
      <c r="V53" s="33"/>
      <c r="W53" s="33" t="s">
        <v>79</v>
      </c>
      <c r="X53" s="43">
        <v>46157.875694444447</v>
      </c>
      <c r="Y53" s="58">
        <v>0.58194444444444449</v>
      </c>
      <c r="Z53" s="33" t="s">
        <v>613</v>
      </c>
      <c r="AA53" s="43">
        <v>46163.25</v>
      </c>
      <c r="AB53" s="33" t="s">
        <v>614</v>
      </c>
      <c r="AC53" s="33" t="s">
        <v>615</v>
      </c>
      <c r="AD53" s="58">
        <v>0.56944444444444442</v>
      </c>
      <c r="AE53" s="33"/>
      <c r="AF53" s="58">
        <v>0.56944444444444442</v>
      </c>
      <c r="AG53" s="33" t="s">
        <v>616</v>
      </c>
      <c r="AH53" s="33">
        <v>0</v>
      </c>
      <c r="AI53" s="43">
        <v>46160.646527777775</v>
      </c>
      <c r="AJ53" s="33" t="s">
        <v>73</v>
      </c>
      <c r="AK53" s="42">
        <v>279621</v>
      </c>
      <c r="AL53" s="33" t="s">
        <v>617</v>
      </c>
    </row>
    <row r="54" spans="1:38">
      <c r="A54" s="33">
        <v>6022207</v>
      </c>
      <c r="B54" s="33" t="s">
        <v>86</v>
      </c>
      <c r="C54" s="33" t="s">
        <v>69</v>
      </c>
      <c r="D54" s="33" t="s">
        <v>618</v>
      </c>
      <c r="E54" s="33" t="s">
        <v>619</v>
      </c>
      <c r="F54" s="43">
        <v>46157.876388888886</v>
      </c>
      <c r="G54" s="33" t="s">
        <v>216</v>
      </c>
      <c r="H54" s="33"/>
      <c r="I54" s="33" t="s">
        <v>73</v>
      </c>
      <c r="J54" s="33" t="s">
        <v>620</v>
      </c>
      <c r="K54" s="33" t="s">
        <v>75</v>
      </c>
      <c r="L54" s="33" t="s">
        <v>501</v>
      </c>
      <c r="M54" s="43">
        <v>46158.456736111111</v>
      </c>
      <c r="N54" s="33" t="s">
        <v>621</v>
      </c>
      <c r="O54" s="33" t="s">
        <v>93</v>
      </c>
      <c r="P54" s="33" t="s">
        <v>79</v>
      </c>
      <c r="Q54" s="43">
        <v>46157.878472222219</v>
      </c>
      <c r="R54" s="43">
        <v>46157.93472222222</v>
      </c>
      <c r="S54" s="58">
        <v>5.6250000000000001E-2</v>
      </c>
      <c r="T54" s="33" t="s">
        <v>594</v>
      </c>
      <c r="U54" s="33"/>
      <c r="V54" s="33"/>
      <c r="W54" s="33"/>
      <c r="X54" s="33"/>
      <c r="Y54" s="33"/>
      <c r="Z54" s="33" t="s">
        <v>594</v>
      </c>
      <c r="AA54" s="43">
        <v>46159.660416666666</v>
      </c>
      <c r="AB54" s="33" t="s">
        <v>622</v>
      </c>
      <c r="AC54" s="33" t="s">
        <v>623</v>
      </c>
      <c r="AD54" s="58">
        <v>0.57013888888888886</v>
      </c>
      <c r="AE54" s="58">
        <v>0.5229166666666667</v>
      </c>
      <c r="AF54" s="58">
        <v>0.57013888888888886</v>
      </c>
      <c r="AG54" s="33" t="s">
        <v>624</v>
      </c>
      <c r="AH54" s="33">
        <v>1</v>
      </c>
      <c r="AI54" s="43">
        <v>46160.208333333336</v>
      </c>
      <c r="AJ54" s="33" t="s">
        <v>73</v>
      </c>
      <c r="AK54" s="42">
        <v>168977.48</v>
      </c>
      <c r="AL54" s="33" t="s">
        <v>625</v>
      </c>
    </row>
    <row r="55" spans="1:38">
      <c r="A55" s="33">
        <v>6022206</v>
      </c>
      <c r="B55" s="33" t="s">
        <v>291</v>
      </c>
      <c r="C55" s="33" t="s">
        <v>69</v>
      </c>
      <c r="D55" s="33" t="s">
        <v>626</v>
      </c>
      <c r="E55" s="33" t="s">
        <v>627</v>
      </c>
      <c r="F55" s="43">
        <v>46157.879166666666</v>
      </c>
      <c r="G55" s="33" t="s">
        <v>216</v>
      </c>
      <c r="H55" s="33"/>
      <c r="I55" s="33" t="s">
        <v>73</v>
      </c>
      <c r="J55" s="33" t="s">
        <v>628</v>
      </c>
      <c r="K55" s="33" t="s">
        <v>75</v>
      </c>
      <c r="L55" s="33" t="s">
        <v>295</v>
      </c>
      <c r="M55" s="43">
        <v>46158.455231481479</v>
      </c>
      <c r="N55" s="33" t="s">
        <v>296</v>
      </c>
      <c r="O55" s="33" t="s">
        <v>93</v>
      </c>
      <c r="P55" s="33" t="s">
        <v>79</v>
      </c>
      <c r="Q55" s="43">
        <v>46157.990972222222</v>
      </c>
      <c r="R55" s="33"/>
      <c r="S55" s="58">
        <v>0.46666666666666667</v>
      </c>
      <c r="T55" s="33" t="s">
        <v>594</v>
      </c>
      <c r="U55" s="33"/>
      <c r="V55" s="33"/>
      <c r="W55" s="33" t="s">
        <v>79</v>
      </c>
      <c r="X55" s="43">
        <v>46157.990972222222</v>
      </c>
      <c r="Y55" s="58">
        <v>0.46666666666666667</v>
      </c>
      <c r="Z55" s="33" t="s">
        <v>594</v>
      </c>
      <c r="AA55" s="43">
        <v>46163.25</v>
      </c>
      <c r="AB55" s="33" t="s">
        <v>629</v>
      </c>
      <c r="AC55" s="33" t="s">
        <v>630</v>
      </c>
      <c r="AD55" s="58">
        <v>4.0972222222222222E-2</v>
      </c>
      <c r="AE55" s="33"/>
      <c r="AF55" s="58">
        <v>4.0972222222222222E-2</v>
      </c>
      <c r="AG55" s="33" t="s">
        <v>631</v>
      </c>
      <c r="AH55" s="33">
        <v>0</v>
      </c>
      <c r="AI55" s="43">
        <v>46160.181250000001</v>
      </c>
      <c r="AJ55" s="33" t="s">
        <v>73</v>
      </c>
      <c r="AK55" s="42">
        <v>434652.79</v>
      </c>
      <c r="AL55" s="33" t="s">
        <v>632</v>
      </c>
    </row>
    <row r="56" spans="1:38">
      <c r="A56" s="33">
        <v>6022158</v>
      </c>
      <c r="B56" s="33" t="s">
        <v>86</v>
      </c>
      <c r="C56" s="33" t="s">
        <v>69</v>
      </c>
      <c r="D56" s="33" t="s">
        <v>633</v>
      </c>
      <c r="E56" s="33" t="s">
        <v>634</v>
      </c>
      <c r="F56" s="43">
        <v>46157.886111111111</v>
      </c>
      <c r="G56" s="33" t="s">
        <v>216</v>
      </c>
      <c r="H56" s="33"/>
      <c r="I56" s="33" t="s">
        <v>73</v>
      </c>
      <c r="J56" s="33" t="s">
        <v>635</v>
      </c>
      <c r="K56" s="33" t="s">
        <v>75</v>
      </c>
      <c r="L56" s="33" t="s">
        <v>511</v>
      </c>
      <c r="M56" s="43">
        <v>46158.455451388887</v>
      </c>
      <c r="N56" s="33" t="s">
        <v>636</v>
      </c>
      <c r="O56" s="33" t="s">
        <v>93</v>
      </c>
      <c r="P56" s="33" t="s">
        <v>79</v>
      </c>
      <c r="Q56" s="43">
        <v>46157.88958333333</v>
      </c>
      <c r="R56" s="43">
        <v>46157.924305555556</v>
      </c>
      <c r="S56" s="58">
        <v>3.4722222222222224E-2</v>
      </c>
      <c r="T56" s="33" t="s">
        <v>383</v>
      </c>
      <c r="U56" s="33"/>
      <c r="V56" s="33"/>
      <c r="W56" s="33"/>
      <c r="X56" s="33"/>
      <c r="Y56" s="33"/>
      <c r="Z56" s="33" t="s">
        <v>383</v>
      </c>
      <c r="AA56" s="43">
        <v>46158.609027777777</v>
      </c>
      <c r="AB56" s="33" t="s">
        <v>637</v>
      </c>
      <c r="AC56" s="33" t="s">
        <v>638</v>
      </c>
      <c r="AD56" s="58">
        <v>0.56805555555555554</v>
      </c>
      <c r="AE56" s="58">
        <v>0.53333333333333333</v>
      </c>
      <c r="AF56" s="58">
        <v>0.56805555555555554</v>
      </c>
      <c r="AG56" s="33" t="s">
        <v>639</v>
      </c>
      <c r="AH56" s="33">
        <v>1</v>
      </c>
      <c r="AI56" s="43">
        <v>46159.084722222222</v>
      </c>
      <c r="AJ56" s="33" t="s">
        <v>73</v>
      </c>
      <c r="AK56" s="42">
        <v>503455.26</v>
      </c>
      <c r="AL56" s="33" t="s">
        <v>640</v>
      </c>
    </row>
    <row r="57" spans="1:38">
      <c r="A57" s="33" t="s">
        <v>641</v>
      </c>
      <c r="B57" s="33" t="s">
        <v>86</v>
      </c>
      <c r="C57" s="33" t="s">
        <v>69</v>
      </c>
      <c r="D57" s="33" t="s">
        <v>642</v>
      </c>
      <c r="E57" s="33" t="s">
        <v>643</v>
      </c>
      <c r="F57" s="43">
        <v>46158.25</v>
      </c>
      <c r="G57" s="33" t="s">
        <v>171</v>
      </c>
      <c r="H57" s="33"/>
      <c r="I57" s="33" t="s">
        <v>73</v>
      </c>
      <c r="J57" s="33" t="s">
        <v>250</v>
      </c>
      <c r="K57" s="33" t="s">
        <v>195</v>
      </c>
      <c r="L57" s="33" t="s">
        <v>644</v>
      </c>
      <c r="M57" s="43">
        <v>46158.452997685185</v>
      </c>
      <c r="N57" s="33" t="s">
        <v>645</v>
      </c>
      <c r="O57" s="33" t="s">
        <v>93</v>
      </c>
      <c r="P57" s="33" t="s">
        <v>140</v>
      </c>
      <c r="Q57" s="43">
        <v>46157.887499999997</v>
      </c>
      <c r="R57" s="43">
        <v>46157.913194444445</v>
      </c>
      <c r="S57" s="58">
        <v>2.5694444444444443E-2</v>
      </c>
      <c r="T57" s="33" t="s">
        <v>253</v>
      </c>
      <c r="U57" s="33"/>
      <c r="V57" s="33"/>
      <c r="W57" s="33"/>
      <c r="X57" s="33"/>
      <c r="Y57" s="33"/>
      <c r="Z57" s="33" t="s">
        <v>253</v>
      </c>
      <c r="AA57" s="43">
        <v>46161.291666666664</v>
      </c>
      <c r="AB57" s="33" t="s">
        <v>646</v>
      </c>
      <c r="AC57" s="33" t="s">
        <v>255</v>
      </c>
      <c r="AD57" s="58">
        <v>0.19583333333333333</v>
      </c>
      <c r="AE57" s="58">
        <v>0.5444444444444444</v>
      </c>
      <c r="AF57" s="58">
        <v>0.19583333333333333</v>
      </c>
      <c r="AG57" s="33" t="s">
        <v>647</v>
      </c>
      <c r="AH57" s="33">
        <v>1</v>
      </c>
      <c r="AI57" s="43">
        <v>46158.892361111109</v>
      </c>
      <c r="AJ57" s="33" t="s">
        <v>73</v>
      </c>
      <c r="AK57" s="42">
        <v>2682158.6</v>
      </c>
      <c r="AL57" s="33" t="s">
        <v>648</v>
      </c>
    </row>
    <row r="58" spans="1:38">
      <c r="A58" s="33">
        <v>6022222</v>
      </c>
      <c r="B58" s="33" t="s">
        <v>86</v>
      </c>
      <c r="C58" s="33" t="s">
        <v>69</v>
      </c>
      <c r="D58" s="33" t="s">
        <v>649</v>
      </c>
      <c r="E58" s="33" t="s">
        <v>650</v>
      </c>
      <c r="F58" s="43">
        <v>46157.890277777777</v>
      </c>
      <c r="G58" s="33" t="s">
        <v>114</v>
      </c>
      <c r="H58" s="33"/>
      <c r="I58" s="33" t="s">
        <v>73</v>
      </c>
      <c r="J58" s="33" t="s">
        <v>651</v>
      </c>
      <c r="K58" s="33" t="s">
        <v>75</v>
      </c>
      <c r="L58" s="33" t="s">
        <v>652</v>
      </c>
      <c r="M58" s="43">
        <v>46158.454050925924</v>
      </c>
      <c r="N58" s="33" t="s">
        <v>653</v>
      </c>
      <c r="O58" s="33" t="s">
        <v>93</v>
      </c>
      <c r="P58" s="33" t="s">
        <v>79</v>
      </c>
      <c r="Q58" s="43">
        <v>46157.902777777781</v>
      </c>
      <c r="R58" s="43">
        <v>46157.963888888888</v>
      </c>
      <c r="S58" s="58">
        <v>6.1111111111111109E-2</v>
      </c>
      <c r="T58" s="33" t="s">
        <v>567</v>
      </c>
      <c r="U58" s="33"/>
      <c r="V58" s="33"/>
      <c r="W58" s="33"/>
      <c r="X58" s="33"/>
      <c r="Y58" s="33"/>
      <c r="Z58" s="33" t="s">
        <v>567</v>
      </c>
      <c r="AA58" s="43">
        <v>46158.725694444445</v>
      </c>
      <c r="AB58" s="33" t="s">
        <v>654</v>
      </c>
      <c r="AC58" s="33" t="s">
        <v>655</v>
      </c>
      <c r="AD58" s="58">
        <v>0.55486111111111114</v>
      </c>
      <c r="AE58" s="58">
        <v>0.49375000000000002</v>
      </c>
      <c r="AF58" s="58">
        <v>0.55486111111111114</v>
      </c>
      <c r="AG58" s="33" t="s">
        <v>656</v>
      </c>
      <c r="AH58" s="33">
        <v>1</v>
      </c>
      <c r="AI58" s="43">
        <v>46159.15</v>
      </c>
      <c r="AJ58" s="33" t="s">
        <v>73</v>
      </c>
      <c r="AK58" s="42">
        <v>234409.64</v>
      </c>
      <c r="AL58" s="33" t="s">
        <v>657</v>
      </c>
    </row>
    <row r="59" spans="1:38">
      <c r="A59" s="33" t="s">
        <v>658</v>
      </c>
      <c r="B59" s="33" t="s">
        <v>86</v>
      </c>
      <c r="C59" s="33" t="s">
        <v>69</v>
      </c>
      <c r="D59" s="33" t="s">
        <v>659</v>
      </c>
      <c r="E59" s="33" t="s">
        <v>660</v>
      </c>
      <c r="F59" s="43">
        <v>46158.25</v>
      </c>
      <c r="G59" s="33" t="s">
        <v>171</v>
      </c>
      <c r="H59" s="33"/>
      <c r="I59" s="33" t="s">
        <v>73</v>
      </c>
      <c r="J59" s="33" t="s">
        <v>661</v>
      </c>
      <c r="K59" s="33" t="s">
        <v>662</v>
      </c>
      <c r="L59" s="33" t="s">
        <v>663</v>
      </c>
      <c r="M59" s="43">
        <v>46158.448888888888</v>
      </c>
      <c r="N59" s="33" t="s">
        <v>664</v>
      </c>
      <c r="O59" s="33" t="s">
        <v>93</v>
      </c>
      <c r="P59" s="33" t="s">
        <v>140</v>
      </c>
      <c r="Q59" s="43">
        <v>46158.262499999997</v>
      </c>
      <c r="R59" s="43">
        <v>46158.34375</v>
      </c>
      <c r="S59" s="58">
        <v>8.1250000000000003E-2</v>
      </c>
      <c r="T59" s="33" t="s">
        <v>253</v>
      </c>
      <c r="U59" s="33"/>
      <c r="V59" s="33"/>
      <c r="W59" s="33"/>
      <c r="X59" s="33"/>
      <c r="Y59" s="33"/>
      <c r="Z59" s="33" t="s">
        <v>253</v>
      </c>
      <c r="AA59" s="43">
        <v>46158.95208333333</v>
      </c>
      <c r="AB59" s="33" t="s">
        <v>665</v>
      </c>
      <c r="AC59" s="33" t="s">
        <v>666</v>
      </c>
      <c r="AD59" s="58">
        <v>0.13402777777777777</v>
      </c>
      <c r="AE59" s="58">
        <v>0.11388888888888889</v>
      </c>
      <c r="AF59" s="58">
        <v>0.13402777777777777</v>
      </c>
      <c r="AG59" s="33" t="s">
        <v>667</v>
      </c>
      <c r="AH59" s="33">
        <v>1</v>
      </c>
      <c r="AI59" s="43">
        <v>46158.875</v>
      </c>
      <c r="AJ59" s="33" t="s">
        <v>73</v>
      </c>
      <c r="AK59" s="42">
        <v>1945266.83</v>
      </c>
      <c r="AL59" s="33" t="s">
        <v>668</v>
      </c>
    </row>
    <row r="60" spans="1:38">
      <c r="A60" s="33">
        <v>6022175</v>
      </c>
      <c r="B60" s="33" t="s">
        <v>86</v>
      </c>
      <c r="C60" s="33" t="s">
        <v>69</v>
      </c>
      <c r="D60" s="33" t="s">
        <v>669</v>
      </c>
      <c r="E60" s="33" t="s">
        <v>670</v>
      </c>
      <c r="F60" s="43">
        <v>46157.897916666669</v>
      </c>
      <c r="G60" s="33" t="s">
        <v>216</v>
      </c>
      <c r="H60" s="33"/>
      <c r="I60" s="33" t="s">
        <v>73</v>
      </c>
      <c r="J60" s="33" t="s">
        <v>368</v>
      </c>
      <c r="K60" s="33" t="s">
        <v>75</v>
      </c>
      <c r="L60" s="33" t="s">
        <v>671</v>
      </c>
      <c r="M60" s="43">
        <v>46158.455648148149</v>
      </c>
      <c r="N60" s="33" t="s">
        <v>672</v>
      </c>
      <c r="O60" s="33" t="s">
        <v>391</v>
      </c>
      <c r="P60" s="33" t="s">
        <v>79</v>
      </c>
      <c r="Q60" s="43">
        <v>46157.901388888888</v>
      </c>
      <c r="R60" s="43">
        <v>46158.361111111109</v>
      </c>
      <c r="S60" s="58">
        <v>0.4597222222222222</v>
      </c>
      <c r="T60" s="33" t="s">
        <v>372</v>
      </c>
      <c r="U60" s="33"/>
      <c r="V60" s="33"/>
      <c r="W60" s="33" t="s">
        <v>673</v>
      </c>
      <c r="X60" s="43">
        <v>46158.395833333336</v>
      </c>
      <c r="Y60" s="58">
        <v>6.1805555555555558E-2</v>
      </c>
      <c r="Z60" s="33" t="s">
        <v>372</v>
      </c>
      <c r="AA60" s="43">
        <v>46158.742361111108</v>
      </c>
      <c r="AB60" s="33" t="s">
        <v>674</v>
      </c>
      <c r="AC60" s="33" t="s">
        <v>374</v>
      </c>
      <c r="AD60" s="58">
        <v>0.24791666666666667</v>
      </c>
      <c r="AE60" s="58">
        <v>9.6527777777777782E-2</v>
      </c>
      <c r="AF60" s="58">
        <v>0.24791666666666667</v>
      </c>
      <c r="AG60" s="33" t="s">
        <v>675</v>
      </c>
      <c r="AH60" s="33">
        <v>1</v>
      </c>
      <c r="AI60" s="43">
        <v>46158.810416666667</v>
      </c>
      <c r="AJ60" s="33" t="s">
        <v>73</v>
      </c>
      <c r="AK60" s="42">
        <v>173131.21</v>
      </c>
      <c r="AL60" s="33" t="s">
        <v>676</v>
      </c>
    </row>
    <row r="61" spans="1:38">
      <c r="A61" s="33">
        <v>6024934</v>
      </c>
      <c r="B61" s="33" t="s">
        <v>86</v>
      </c>
      <c r="C61" s="33" t="s">
        <v>69</v>
      </c>
      <c r="D61" s="33" t="s">
        <v>677</v>
      </c>
      <c r="E61" s="33" t="s">
        <v>678</v>
      </c>
      <c r="F61" s="43">
        <v>46158.25</v>
      </c>
      <c r="G61" s="33" t="s">
        <v>171</v>
      </c>
      <c r="H61" s="33"/>
      <c r="I61" s="33" t="s">
        <v>73</v>
      </c>
      <c r="J61" s="33" t="s">
        <v>679</v>
      </c>
      <c r="K61" s="33" t="s">
        <v>75</v>
      </c>
      <c r="L61" s="33" t="s">
        <v>680</v>
      </c>
      <c r="M61" s="43">
        <v>46158.455659722225</v>
      </c>
      <c r="N61" s="33" t="s">
        <v>681</v>
      </c>
      <c r="O61" s="33" t="s">
        <v>682</v>
      </c>
      <c r="P61" s="33" t="s">
        <v>140</v>
      </c>
      <c r="Q61" s="43">
        <v>46157.907638888886</v>
      </c>
      <c r="R61" s="43">
        <v>46158.251388888886</v>
      </c>
      <c r="S61" s="58">
        <v>0.34375</v>
      </c>
      <c r="T61" s="33" t="s">
        <v>605</v>
      </c>
      <c r="U61" s="33"/>
      <c r="V61" s="33"/>
      <c r="W61" s="33"/>
      <c r="X61" s="33"/>
      <c r="Y61" s="33"/>
      <c r="Z61" s="33" t="s">
        <v>605</v>
      </c>
      <c r="AA61" s="43">
        <v>46158.280555555553</v>
      </c>
      <c r="AB61" s="33" t="s">
        <v>606</v>
      </c>
      <c r="AC61" s="33" t="s">
        <v>607</v>
      </c>
      <c r="AD61" s="58">
        <v>0.22361111111111112</v>
      </c>
      <c r="AE61" s="58">
        <v>0.20624999999999999</v>
      </c>
      <c r="AF61" s="58">
        <v>0.22361111111111112</v>
      </c>
      <c r="AG61" s="33" t="s">
        <v>683</v>
      </c>
      <c r="AH61" s="33">
        <v>1</v>
      </c>
      <c r="AI61" s="43">
        <v>46158.456944444442</v>
      </c>
      <c r="AJ61" s="33" t="s">
        <v>73</v>
      </c>
      <c r="AK61" s="42">
        <v>982835.19999999995</v>
      </c>
      <c r="AL61" s="33" t="s">
        <v>684</v>
      </c>
    </row>
    <row r="62" spans="1:38">
      <c r="A62" s="33">
        <v>6014907</v>
      </c>
      <c r="B62" s="33" t="s">
        <v>86</v>
      </c>
      <c r="C62" s="33" t="s">
        <v>69</v>
      </c>
      <c r="D62" s="33" t="s">
        <v>685</v>
      </c>
      <c r="E62" s="33" t="s">
        <v>686</v>
      </c>
      <c r="F62" s="43">
        <v>46157.923611111109</v>
      </c>
      <c r="G62" s="33" t="s">
        <v>72</v>
      </c>
      <c r="H62" s="33"/>
      <c r="I62" s="33" t="s">
        <v>73</v>
      </c>
      <c r="J62" s="33" t="s">
        <v>687</v>
      </c>
      <c r="K62" s="33" t="s">
        <v>75</v>
      </c>
      <c r="L62" s="33" t="s">
        <v>688</v>
      </c>
      <c r="M62" s="43">
        <v>46158.454479166663</v>
      </c>
      <c r="N62" s="33" t="s">
        <v>689</v>
      </c>
      <c r="O62" s="33" t="s">
        <v>93</v>
      </c>
      <c r="P62" s="33" t="s">
        <v>140</v>
      </c>
      <c r="Q62" s="43">
        <v>46157.927083333336</v>
      </c>
      <c r="R62" s="43">
        <v>46158.319444444445</v>
      </c>
      <c r="S62" s="58">
        <v>0.3923611111111111</v>
      </c>
      <c r="T62" s="33" t="s">
        <v>690</v>
      </c>
      <c r="U62" s="33"/>
      <c r="V62" s="33"/>
      <c r="W62" s="33"/>
      <c r="X62" s="33"/>
      <c r="Y62" s="33"/>
      <c r="Z62" s="33" t="s">
        <v>690</v>
      </c>
      <c r="AA62" s="43">
        <v>46158.824305555558</v>
      </c>
      <c r="AB62" s="33" t="s">
        <v>691</v>
      </c>
      <c r="AC62" s="33" t="s">
        <v>692</v>
      </c>
      <c r="AD62" s="58">
        <v>0.51944444444444449</v>
      </c>
      <c r="AE62" s="58">
        <v>0.13819444444444445</v>
      </c>
      <c r="AF62" s="58">
        <v>0.51944444444444449</v>
      </c>
      <c r="AG62" s="33" t="s">
        <v>693</v>
      </c>
      <c r="AH62" s="33">
        <v>1</v>
      </c>
      <c r="AI62" s="43">
        <v>46158.958333333336</v>
      </c>
      <c r="AJ62" s="33" t="s">
        <v>73</v>
      </c>
      <c r="AK62" s="42">
        <v>711872.6</v>
      </c>
      <c r="AL62" s="33" t="s">
        <v>694</v>
      </c>
    </row>
    <row r="63" spans="1:38">
      <c r="A63" s="33">
        <v>6020923</v>
      </c>
      <c r="B63" s="33" t="s">
        <v>291</v>
      </c>
      <c r="C63" s="33" t="s">
        <v>69</v>
      </c>
      <c r="D63" s="33" t="s">
        <v>695</v>
      </c>
      <c r="E63" s="33" t="s">
        <v>696</v>
      </c>
      <c r="F63" s="43">
        <v>46157.925694444442</v>
      </c>
      <c r="G63" s="33" t="s">
        <v>72</v>
      </c>
      <c r="H63" s="33"/>
      <c r="I63" s="33" t="s">
        <v>73</v>
      </c>
      <c r="J63" s="33" t="s">
        <v>697</v>
      </c>
      <c r="K63" s="33" t="s">
        <v>75</v>
      </c>
      <c r="L63" s="33" t="s">
        <v>295</v>
      </c>
      <c r="M63" s="43">
        <v>46158.453206018516</v>
      </c>
      <c r="N63" s="33" t="s">
        <v>296</v>
      </c>
      <c r="O63" s="33" t="s">
        <v>93</v>
      </c>
      <c r="P63" s="33" t="s">
        <v>79</v>
      </c>
      <c r="Q63" s="43">
        <v>46157.984722222223</v>
      </c>
      <c r="R63" s="33"/>
      <c r="S63" s="58">
        <v>0.47291666666666665</v>
      </c>
      <c r="T63" s="33" t="s">
        <v>698</v>
      </c>
      <c r="U63" s="33"/>
      <c r="V63" s="33"/>
      <c r="W63" s="33" t="s">
        <v>79</v>
      </c>
      <c r="X63" s="43">
        <v>46157.984722222223</v>
      </c>
      <c r="Y63" s="58">
        <v>0.47291666666666665</v>
      </c>
      <c r="Z63" s="33" t="s">
        <v>698</v>
      </c>
      <c r="AA63" s="43">
        <v>46160.208333333336</v>
      </c>
      <c r="AB63" s="33" t="s">
        <v>699</v>
      </c>
      <c r="AC63" s="33" t="s">
        <v>700</v>
      </c>
      <c r="AD63" s="58">
        <v>0.24861111111111112</v>
      </c>
      <c r="AE63" s="33"/>
      <c r="AF63" s="58">
        <v>0.24861111111111112</v>
      </c>
      <c r="AG63" s="33" t="s">
        <v>701</v>
      </c>
      <c r="AH63" s="33">
        <v>0</v>
      </c>
      <c r="AI63" s="43">
        <v>46158.84652777778</v>
      </c>
      <c r="AJ63" s="33" t="s">
        <v>73</v>
      </c>
      <c r="AK63" s="42">
        <v>229598.6</v>
      </c>
      <c r="AL63" s="33" t="s">
        <v>702</v>
      </c>
    </row>
    <row r="64" spans="1:38">
      <c r="A64" s="33">
        <v>6020708</v>
      </c>
      <c r="B64" s="33" t="s">
        <v>86</v>
      </c>
      <c r="C64" s="33" t="s">
        <v>69</v>
      </c>
      <c r="D64" s="33" t="s">
        <v>703</v>
      </c>
      <c r="E64" s="33" t="s">
        <v>704</v>
      </c>
      <c r="F64" s="43">
        <v>46157.927083333336</v>
      </c>
      <c r="G64" s="33" t="s">
        <v>72</v>
      </c>
      <c r="H64" s="33"/>
      <c r="I64" s="33" t="s">
        <v>73</v>
      </c>
      <c r="J64" s="33" t="s">
        <v>705</v>
      </c>
      <c r="K64" s="33" t="s">
        <v>273</v>
      </c>
      <c r="L64" s="33" t="s">
        <v>706</v>
      </c>
      <c r="M64" s="43">
        <v>46158.454618055555</v>
      </c>
      <c r="N64" s="33" t="s">
        <v>707</v>
      </c>
      <c r="O64" s="33" t="s">
        <v>93</v>
      </c>
      <c r="P64" s="33" t="s">
        <v>140</v>
      </c>
      <c r="Q64" s="43">
        <v>46157.961805555555</v>
      </c>
      <c r="R64" s="43">
        <v>46158.304861111108</v>
      </c>
      <c r="S64" s="58">
        <v>0.34305555555555556</v>
      </c>
      <c r="T64" s="33" t="s">
        <v>708</v>
      </c>
      <c r="U64" s="33"/>
      <c r="V64" s="33"/>
      <c r="W64" s="33"/>
      <c r="X64" s="33"/>
      <c r="Y64" s="33"/>
      <c r="Z64" s="33" t="s">
        <v>708</v>
      </c>
      <c r="AA64" s="43">
        <v>46159.091666666667</v>
      </c>
      <c r="AB64" s="33" t="s">
        <v>709</v>
      </c>
      <c r="AC64" s="33" t="s">
        <v>710</v>
      </c>
      <c r="AD64" s="58">
        <v>0.46736111111111112</v>
      </c>
      <c r="AE64" s="58">
        <v>0.15277777777777779</v>
      </c>
      <c r="AF64" s="58">
        <v>0.46736111111111112</v>
      </c>
      <c r="AG64" s="33"/>
      <c r="AH64" s="33">
        <v>1</v>
      </c>
      <c r="AI64" s="43">
        <v>46159.065972222219</v>
      </c>
      <c r="AJ64" s="33" t="s">
        <v>73</v>
      </c>
      <c r="AK64" s="42">
        <v>371975.17</v>
      </c>
      <c r="AL64" s="33" t="s">
        <v>711</v>
      </c>
    </row>
    <row r="65" spans="1:38">
      <c r="A65" s="33">
        <v>6022213</v>
      </c>
      <c r="B65" s="33" t="s">
        <v>86</v>
      </c>
      <c r="C65" s="33" t="s">
        <v>69</v>
      </c>
      <c r="D65" s="33" t="s">
        <v>712</v>
      </c>
      <c r="E65" s="33" t="s">
        <v>713</v>
      </c>
      <c r="F65" s="43">
        <v>46157.932638888888</v>
      </c>
      <c r="G65" s="33" t="s">
        <v>72</v>
      </c>
      <c r="H65" s="33"/>
      <c r="I65" s="33" t="s">
        <v>73</v>
      </c>
      <c r="J65" s="33" t="s">
        <v>714</v>
      </c>
      <c r="K65" s="33" t="s">
        <v>75</v>
      </c>
      <c r="L65" s="33" t="s">
        <v>715</v>
      </c>
      <c r="M65" s="43">
        <v>46158.448842592596</v>
      </c>
      <c r="N65" s="33" t="s">
        <v>482</v>
      </c>
      <c r="O65" s="33" t="s">
        <v>716</v>
      </c>
      <c r="P65" s="33" t="s">
        <v>79</v>
      </c>
      <c r="Q65" s="33"/>
      <c r="R65" s="33"/>
      <c r="S65" s="33"/>
      <c r="T65" s="33" t="s">
        <v>717</v>
      </c>
      <c r="U65" s="33"/>
      <c r="V65" s="33"/>
      <c r="W65" s="33"/>
      <c r="X65" s="33"/>
      <c r="Y65" s="33"/>
      <c r="Z65" s="33" t="s">
        <v>717</v>
      </c>
      <c r="AA65" s="43">
        <v>46162.25</v>
      </c>
      <c r="AB65" s="33" t="s">
        <v>718</v>
      </c>
      <c r="AC65" s="33" t="s">
        <v>719</v>
      </c>
      <c r="AD65" s="58">
        <v>0.51666666666666672</v>
      </c>
      <c r="AE65" s="33"/>
      <c r="AF65" s="58">
        <v>0.51666666666666672</v>
      </c>
      <c r="AG65" s="33" t="s">
        <v>720</v>
      </c>
      <c r="AH65" s="33">
        <v>0</v>
      </c>
      <c r="AI65" s="43">
        <v>46159.493055555555</v>
      </c>
      <c r="AJ65" s="33" t="s">
        <v>73</v>
      </c>
      <c r="AK65" s="42">
        <v>309399.84999999998</v>
      </c>
      <c r="AL65" s="33" t="s">
        <v>721</v>
      </c>
    </row>
    <row r="66" spans="1:38">
      <c r="A66" s="33">
        <v>6022339</v>
      </c>
      <c r="B66" s="33" t="s">
        <v>291</v>
      </c>
      <c r="C66" s="33" t="s">
        <v>69</v>
      </c>
      <c r="D66" s="33" t="s">
        <v>722</v>
      </c>
      <c r="E66" s="33" t="s">
        <v>723</v>
      </c>
      <c r="F66" s="43">
        <v>46157.855555555558</v>
      </c>
      <c r="G66" s="33" t="s">
        <v>724</v>
      </c>
      <c r="H66" s="33"/>
      <c r="I66" s="33" t="s">
        <v>73</v>
      </c>
      <c r="J66" s="33" t="s">
        <v>725</v>
      </c>
      <c r="K66" s="33" t="s">
        <v>75</v>
      </c>
      <c r="L66" s="33" t="s">
        <v>295</v>
      </c>
      <c r="M66" s="43">
        <v>46158.419606481482</v>
      </c>
      <c r="N66" s="33" t="s">
        <v>296</v>
      </c>
      <c r="O66" s="33" t="s">
        <v>483</v>
      </c>
      <c r="P66" s="33" t="s">
        <v>79</v>
      </c>
      <c r="Q66" s="43">
        <v>46157.940972222219</v>
      </c>
      <c r="R66" s="33"/>
      <c r="S66" s="58">
        <v>0.51666666666666672</v>
      </c>
      <c r="T66" s="33" t="s">
        <v>726</v>
      </c>
      <c r="U66" s="33"/>
      <c r="V66" s="33"/>
      <c r="W66" s="33" t="s">
        <v>79</v>
      </c>
      <c r="X66" s="43">
        <v>46157.940972222219</v>
      </c>
      <c r="Y66" s="58">
        <v>0.51666666666666672</v>
      </c>
      <c r="Z66" s="33" t="s">
        <v>726</v>
      </c>
      <c r="AA66" s="43">
        <v>46160.291666666664</v>
      </c>
      <c r="AB66" s="33" t="s">
        <v>727</v>
      </c>
      <c r="AC66" s="33" t="s">
        <v>728</v>
      </c>
      <c r="AD66" s="58">
        <v>0.52013888888888893</v>
      </c>
      <c r="AE66" s="33"/>
      <c r="AF66" s="58">
        <v>0.52013888888888893</v>
      </c>
      <c r="AG66" s="33" t="s">
        <v>729</v>
      </c>
      <c r="AH66" s="33">
        <v>0</v>
      </c>
      <c r="AI66" s="43">
        <v>46159.045138888891</v>
      </c>
      <c r="AJ66" s="33" t="s">
        <v>73</v>
      </c>
      <c r="AK66" s="42">
        <v>466803</v>
      </c>
      <c r="AL66" s="33" t="s">
        <v>730</v>
      </c>
    </row>
    <row r="67" spans="1:38">
      <c r="A67" s="33">
        <v>6022190</v>
      </c>
      <c r="B67" s="33" t="s">
        <v>291</v>
      </c>
      <c r="C67" s="33" t="s">
        <v>69</v>
      </c>
      <c r="D67" s="33" t="s">
        <v>731</v>
      </c>
      <c r="E67" s="33" t="s">
        <v>732</v>
      </c>
      <c r="F67" s="43">
        <v>46158.791666666664</v>
      </c>
      <c r="G67" s="33" t="s">
        <v>114</v>
      </c>
      <c r="H67" s="33"/>
      <c r="I67" s="33" t="s">
        <v>73</v>
      </c>
      <c r="J67" s="33" t="s">
        <v>527</v>
      </c>
      <c r="K67" s="33" t="s">
        <v>75</v>
      </c>
      <c r="L67" s="33" t="s">
        <v>295</v>
      </c>
      <c r="M67" s="43">
        <v>46158.457060185188</v>
      </c>
      <c r="N67" s="33" t="s">
        <v>296</v>
      </c>
      <c r="O67" s="33" t="s">
        <v>483</v>
      </c>
      <c r="P67" s="33" t="s">
        <v>79</v>
      </c>
      <c r="Q67" s="43">
        <v>46158.38958333333</v>
      </c>
      <c r="R67" s="33"/>
      <c r="S67" s="58">
        <v>6.805555555555555E-2</v>
      </c>
      <c r="T67" s="33" t="s">
        <v>297</v>
      </c>
      <c r="U67" s="33"/>
      <c r="V67" s="33"/>
      <c r="W67" s="33" t="s">
        <v>79</v>
      </c>
      <c r="X67" s="43">
        <v>46158.38958333333</v>
      </c>
      <c r="Y67" s="58">
        <v>6.805555555555555E-2</v>
      </c>
      <c r="Z67" s="33" t="s">
        <v>297</v>
      </c>
      <c r="AA67" s="43">
        <v>46159.224305555559</v>
      </c>
      <c r="AB67" s="33" t="s">
        <v>733</v>
      </c>
      <c r="AC67" s="33" t="s">
        <v>532</v>
      </c>
      <c r="AD67" s="58">
        <v>0.33402777777777776</v>
      </c>
      <c r="AE67" s="33"/>
      <c r="AF67" s="58">
        <v>0.33402777777777776</v>
      </c>
      <c r="AG67" s="33" t="s">
        <v>734</v>
      </c>
      <c r="AH67" s="33">
        <v>0</v>
      </c>
      <c r="AI67" s="43">
        <v>46158.958333333336</v>
      </c>
      <c r="AJ67" s="33" t="s">
        <v>73</v>
      </c>
      <c r="AK67" s="42">
        <v>433205.35</v>
      </c>
      <c r="AL67" s="33" t="s">
        <v>735</v>
      </c>
    </row>
    <row r="68" spans="1:38">
      <c r="A68" s="33">
        <v>6022184</v>
      </c>
      <c r="B68" s="33" t="s">
        <v>86</v>
      </c>
      <c r="C68" s="33" t="s">
        <v>69</v>
      </c>
      <c r="D68" s="33" t="s">
        <v>736</v>
      </c>
      <c r="E68" s="33" t="s">
        <v>737</v>
      </c>
      <c r="F68" s="43">
        <v>46158.342361111114</v>
      </c>
      <c r="G68" s="33" t="s">
        <v>216</v>
      </c>
      <c r="H68" s="33"/>
      <c r="I68" s="33" t="s">
        <v>73</v>
      </c>
      <c r="J68" s="33" t="s">
        <v>389</v>
      </c>
      <c r="K68" s="33" t="s">
        <v>75</v>
      </c>
      <c r="L68" s="33" t="s">
        <v>738</v>
      </c>
      <c r="M68" s="43">
        <v>46158.453472222223</v>
      </c>
      <c r="N68" s="33" t="s">
        <v>739</v>
      </c>
      <c r="O68" s="33" t="s">
        <v>175</v>
      </c>
      <c r="P68" s="33" t="s">
        <v>79</v>
      </c>
      <c r="Q68" s="43">
        <v>46158.345138888886</v>
      </c>
      <c r="R68" s="43">
        <v>46158.36041666667</v>
      </c>
      <c r="S68" s="58">
        <v>1.5277777777777777E-2</v>
      </c>
      <c r="T68" s="33" t="s">
        <v>297</v>
      </c>
      <c r="U68" s="33"/>
      <c r="V68" s="33"/>
      <c r="W68" s="33"/>
      <c r="X68" s="33"/>
      <c r="Y68" s="33"/>
      <c r="Z68" s="33" t="s">
        <v>297</v>
      </c>
      <c r="AA68" s="43">
        <v>46158.71875</v>
      </c>
      <c r="AB68" s="33" t="s">
        <v>740</v>
      </c>
      <c r="AC68" s="33" t="s">
        <v>393</v>
      </c>
      <c r="AD68" s="58">
        <v>0.1125</v>
      </c>
      <c r="AE68" s="58">
        <v>9.7222222222222224E-2</v>
      </c>
      <c r="AF68" s="58">
        <v>0.1125</v>
      </c>
      <c r="AG68" s="33" t="s">
        <v>741</v>
      </c>
      <c r="AH68" s="33">
        <v>1</v>
      </c>
      <c r="AI68" s="43">
        <v>46158.551388888889</v>
      </c>
      <c r="AJ68" s="33" t="s">
        <v>73</v>
      </c>
      <c r="AK68" s="42">
        <v>223096.56</v>
      </c>
      <c r="AL68" s="33" t="s">
        <v>742</v>
      </c>
    </row>
    <row r="69" spans="1:38">
      <c r="A69" s="33" t="s">
        <v>743</v>
      </c>
      <c r="B69" s="33" t="s">
        <v>86</v>
      </c>
      <c r="C69" s="33" t="s">
        <v>69</v>
      </c>
      <c r="D69" s="33" t="s">
        <v>744</v>
      </c>
      <c r="E69" s="33" t="s">
        <v>745</v>
      </c>
      <c r="F69" s="43">
        <v>46158.385416666664</v>
      </c>
      <c r="G69" s="33" t="s">
        <v>171</v>
      </c>
      <c r="H69" s="33"/>
      <c r="I69" s="33" t="s">
        <v>73</v>
      </c>
      <c r="J69" s="33" t="s">
        <v>746</v>
      </c>
      <c r="K69" s="33" t="s">
        <v>747</v>
      </c>
      <c r="L69" s="33" t="s">
        <v>748</v>
      </c>
      <c r="M69" s="43">
        <v>46158.455659722225</v>
      </c>
      <c r="N69" s="33" t="s">
        <v>749</v>
      </c>
      <c r="O69" s="33" t="s">
        <v>424</v>
      </c>
      <c r="P69" s="33" t="s">
        <v>79</v>
      </c>
      <c r="Q69" s="33"/>
      <c r="R69" s="33"/>
      <c r="S69" s="33"/>
      <c r="T69" s="33" t="s">
        <v>750</v>
      </c>
      <c r="U69" s="33"/>
      <c r="V69" s="33"/>
      <c r="W69" s="33"/>
      <c r="X69" s="33"/>
      <c r="Y69" s="33"/>
      <c r="Z69" s="33" t="s">
        <v>327</v>
      </c>
      <c r="AA69" s="43">
        <v>46161.958333333336</v>
      </c>
      <c r="AB69" s="33" t="s">
        <v>751</v>
      </c>
      <c r="AC69" s="33" t="s">
        <v>752</v>
      </c>
      <c r="AD69" s="58">
        <v>6.25E-2</v>
      </c>
      <c r="AE69" s="33"/>
      <c r="AF69" s="58">
        <v>6.25E-2</v>
      </c>
      <c r="AG69" s="33" t="s">
        <v>753</v>
      </c>
      <c r="AH69" s="33">
        <v>0</v>
      </c>
      <c r="AI69" s="43">
        <v>46158.853472222225</v>
      </c>
      <c r="AJ69" s="33" t="s">
        <v>73</v>
      </c>
      <c r="AK69" s="42">
        <v>676909.22</v>
      </c>
      <c r="AL69" s="33" t="s">
        <v>754</v>
      </c>
    </row>
    <row r="70" spans="1:38">
      <c r="A70" s="33">
        <v>6023021</v>
      </c>
      <c r="B70" s="33" t="s">
        <v>291</v>
      </c>
      <c r="C70" s="33" t="s">
        <v>69</v>
      </c>
      <c r="D70" s="33" t="s">
        <v>755</v>
      </c>
      <c r="E70" s="33" t="s">
        <v>756</v>
      </c>
      <c r="F70" s="43">
        <v>46158.541666666664</v>
      </c>
      <c r="G70" s="33" t="s">
        <v>227</v>
      </c>
      <c r="H70" s="33"/>
      <c r="I70" s="33" t="s">
        <v>73</v>
      </c>
      <c r="J70" s="33" t="s">
        <v>527</v>
      </c>
      <c r="K70" s="33" t="s">
        <v>75</v>
      </c>
      <c r="L70" s="33" t="s">
        <v>295</v>
      </c>
      <c r="M70" s="43">
        <v>46158.427777777775</v>
      </c>
      <c r="N70" s="33" t="s">
        <v>296</v>
      </c>
      <c r="O70" s="33" t="s">
        <v>175</v>
      </c>
      <c r="P70" s="33" t="s">
        <v>79</v>
      </c>
      <c r="Q70" s="43">
        <v>46158.413888888892</v>
      </c>
      <c r="R70" s="33"/>
      <c r="S70" s="58">
        <v>4.3749999999999997E-2</v>
      </c>
      <c r="T70" s="33" t="s">
        <v>297</v>
      </c>
      <c r="U70" s="33"/>
      <c r="V70" s="33"/>
      <c r="W70" s="33" t="s">
        <v>79</v>
      </c>
      <c r="X70" s="43">
        <v>46158.413888888892</v>
      </c>
      <c r="Y70" s="58">
        <v>4.3749999999999997E-2</v>
      </c>
      <c r="Z70" s="33" t="s">
        <v>297</v>
      </c>
      <c r="AA70" s="43">
        <v>46162.25</v>
      </c>
      <c r="AB70" s="33" t="s">
        <v>733</v>
      </c>
      <c r="AC70" s="33" t="s">
        <v>532</v>
      </c>
      <c r="AD70" s="58">
        <v>6.458333333333334E-2</v>
      </c>
      <c r="AE70" s="33"/>
      <c r="AF70" s="58">
        <v>6.458333333333334E-2</v>
      </c>
      <c r="AG70" s="33" t="s">
        <v>757</v>
      </c>
      <c r="AH70" s="33">
        <v>0</v>
      </c>
      <c r="AI70" s="43">
        <v>46159.095833333333</v>
      </c>
      <c r="AJ70" s="33" t="s">
        <v>73</v>
      </c>
      <c r="AK70" s="42">
        <v>313196.61</v>
      </c>
      <c r="AL70" s="33" t="s">
        <v>758</v>
      </c>
    </row>
    <row r="71" spans="1:38">
      <c r="A71" s="33">
        <v>6022337</v>
      </c>
      <c r="B71" s="33" t="s">
        <v>86</v>
      </c>
      <c r="C71" s="33" t="s">
        <v>69</v>
      </c>
      <c r="D71" s="33" t="s">
        <v>759</v>
      </c>
      <c r="E71" s="33" t="s">
        <v>760</v>
      </c>
      <c r="F71" s="43">
        <v>46158.458333333336</v>
      </c>
      <c r="G71" s="33" t="s">
        <v>227</v>
      </c>
      <c r="H71" s="33"/>
      <c r="I71" s="33" t="s">
        <v>73</v>
      </c>
      <c r="J71" s="33" t="s">
        <v>761</v>
      </c>
      <c r="K71" s="33" t="s">
        <v>358</v>
      </c>
      <c r="L71" s="33" t="s">
        <v>762</v>
      </c>
      <c r="M71" s="43">
        <v>46158.457268518519</v>
      </c>
      <c r="N71" s="33" t="s">
        <v>763</v>
      </c>
      <c r="O71" s="33" t="s">
        <v>764</v>
      </c>
      <c r="P71" s="33" t="s">
        <v>140</v>
      </c>
      <c r="Q71" s="43">
        <v>46158.388888888891</v>
      </c>
      <c r="R71" s="43">
        <v>46158.431250000001</v>
      </c>
      <c r="S71" s="58">
        <v>4.2361111111111113E-2</v>
      </c>
      <c r="T71" s="33" t="s">
        <v>765</v>
      </c>
      <c r="U71" s="33"/>
      <c r="V71" s="33"/>
      <c r="W71" s="33"/>
      <c r="X71" s="33"/>
      <c r="Y71" s="33"/>
      <c r="Z71" s="33" t="s">
        <v>765</v>
      </c>
      <c r="AA71" s="43">
        <v>46159.218055555553</v>
      </c>
      <c r="AB71" s="33" t="s">
        <v>766</v>
      </c>
      <c r="AC71" s="33" t="s">
        <v>767</v>
      </c>
      <c r="AD71" s="58">
        <v>4.5138888888888888E-2</v>
      </c>
      <c r="AE71" s="58">
        <v>2.6388888888888889E-2</v>
      </c>
      <c r="AF71" s="58">
        <v>4.5138888888888888E-2</v>
      </c>
      <c r="AG71" s="33" t="s">
        <v>768</v>
      </c>
      <c r="AH71" s="33">
        <v>1</v>
      </c>
      <c r="AI71" s="43">
        <v>46159.040277777778</v>
      </c>
      <c r="AJ71" s="33" t="s">
        <v>73</v>
      </c>
      <c r="AK71" s="42">
        <v>1140398</v>
      </c>
      <c r="AL71" s="33" t="s">
        <v>769</v>
      </c>
    </row>
    <row r="72" spans="1:38">
      <c r="A72" s="33">
        <v>6025088</v>
      </c>
      <c r="B72" s="33" t="s">
        <v>291</v>
      </c>
      <c r="C72" s="33" t="s">
        <v>69</v>
      </c>
      <c r="D72" s="33" t="s">
        <v>770</v>
      </c>
      <c r="E72" s="33" t="s">
        <v>771</v>
      </c>
      <c r="F72" s="43">
        <v>46158.583333333336</v>
      </c>
      <c r="G72" s="33" t="s">
        <v>227</v>
      </c>
      <c r="H72" s="33"/>
      <c r="I72" s="33" t="s">
        <v>772</v>
      </c>
      <c r="J72" s="33" t="s">
        <v>773</v>
      </c>
      <c r="K72" s="33" t="s">
        <v>75</v>
      </c>
      <c r="L72" s="33" t="s">
        <v>295</v>
      </c>
      <c r="M72" s="43">
        <v>46158.453935185185</v>
      </c>
      <c r="N72" s="33" t="s">
        <v>296</v>
      </c>
      <c r="O72" s="33" t="s">
        <v>93</v>
      </c>
      <c r="P72" s="33" t="s">
        <v>79</v>
      </c>
      <c r="Q72" s="43">
        <v>46158.44027777778</v>
      </c>
      <c r="R72" s="33"/>
      <c r="S72" s="58">
        <v>1.7361111111111112E-2</v>
      </c>
      <c r="T72" s="33" t="s">
        <v>308</v>
      </c>
      <c r="U72" s="33"/>
      <c r="V72" s="33"/>
      <c r="W72" s="33" t="s">
        <v>79</v>
      </c>
      <c r="X72" s="43">
        <v>46158.44027777778</v>
      </c>
      <c r="Y72" s="58">
        <v>1.7361111111111112E-2</v>
      </c>
      <c r="Z72" s="33" t="s">
        <v>308</v>
      </c>
      <c r="AA72" s="43">
        <v>46161</v>
      </c>
      <c r="AB72" s="33" t="s">
        <v>774</v>
      </c>
      <c r="AC72" s="33" t="s">
        <v>775</v>
      </c>
      <c r="AD72" s="58">
        <v>4.3749999999999997E-2</v>
      </c>
      <c r="AE72" s="33"/>
      <c r="AF72" s="58">
        <v>4.3749999999999997E-2</v>
      </c>
      <c r="AG72" s="33" t="s">
        <v>776</v>
      </c>
      <c r="AH72" s="33">
        <v>0</v>
      </c>
      <c r="AI72" s="43">
        <v>46159.079861111109</v>
      </c>
      <c r="AJ72" s="33" t="s">
        <v>73</v>
      </c>
      <c r="AK72" s="42">
        <v>212067</v>
      </c>
      <c r="AL72" s="33" t="s">
        <v>777</v>
      </c>
    </row>
    <row r="73" spans="1:38">
      <c r="A73" s="33">
        <v>6023296</v>
      </c>
      <c r="B73" s="33" t="s">
        <v>291</v>
      </c>
      <c r="C73" s="33" t="s">
        <v>69</v>
      </c>
      <c r="D73" s="33" t="s">
        <v>778</v>
      </c>
      <c r="E73" s="33" t="s">
        <v>779</v>
      </c>
      <c r="F73" s="43">
        <v>46158.424305555556</v>
      </c>
      <c r="G73" s="33" t="s">
        <v>724</v>
      </c>
      <c r="H73" s="33"/>
      <c r="I73" s="33" t="s">
        <v>73</v>
      </c>
      <c r="J73" s="33" t="s">
        <v>780</v>
      </c>
      <c r="K73" s="33" t="s">
        <v>75</v>
      </c>
      <c r="L73" s="33" t="s">
        <v>295</v>
      </c>
      <c r="M73" s="43">
        <v>46158.456423611111</v>
      </c>
      <c r="N73" s="33" t="s">
        <v>296</v>
      </c>
      <c r="O73" s="33" t="s">
        <v>231</v>
      </c>
      <c r="P73" s="33" t="s">
        <v>79</v>
      </c>
      <c r="Q73" s="43">
        <v>46158.428472222222</v>
      </c>
      <c r="R73" s="33"/>
      <c r="S73" s="58">
        <v>2.9166666666666667E-2</v>
      </c>
      <c r="T73" s="33" t="s">
        <v>286</v>
      </c>
      <c r="U73" s="33"/>
      <c r="V73" s="33"/>
      <c r="W73" s="33" t="s">
        <v>79</v>
      </c>
      <c r="X73" s="43">
        <v>46158.428472222222</v>
      </c>
      <c r="Y73" s="58">
        <v>2.9166666666666667E-2</v>
      </c>
      <c r="Z73" s="33" t="s">
        <v>286</v>
      </c>
      <c r="AA73" s="43">
        <v>46160.25</v>
      </c>
      <c r="AB73" s="33" t="s">
        <v>781</v>
      </c>
      <c r="AC73" s="33" t="s">
        <v>782</v>
      </c>
      <c r="AD73" s="58">
        <v>7.6388888888888886E-3</v>
      </c>
      <c r="AE73" s="33"/>
      <c r="AF73" s="58">
        <v>7.6388888888888886E-3</v>
      </c>
      <c r="AG73" s="33" t="s">
        <v>783</v>
      </c>
      <c r="AH73" s="33">
        <v>0</v>
      </c>
      <c r="AI73" s="43">
        <v>46158.69027777778</v>
      </c>
      <c r="AJ73" s="33" t="s">
        <v>73</v>
      </c>
      <c r="AK73" s="42">
        <v>471173.04</v>
      </c>
      <c r="AL73" s="33" t="s">
        <v>784</v>
      </c>
    </row>
    <row r="74" spans="1:38">
      <c r="A74" s="33">
        <v>6025087</v>
      </c>
      <c r="B74" s="33" t="s">
        <v>291</v>
      </c>
      <c r="C74" s="33" t="s">
        <v>69</v>
      </c>
      <c r="D74" s="33" t="s">
        <v>785</v>
      </c>
      <c r="E74" s="33" t="s">
        <v>786</v>
      </c>
      <c r="F74" s="43">
        <v>46158.583333333336</v>
      </c>
      <c r="G74" s="33" t="s">
        <v>227</v>
      </c>
      <c r="H74" s="33"/>
      <c r="I74" s="33" t="s">
        <v>772</v>
      </c>
      <c r="J74" s="33" t="s">
        <v>773</v>
      </c>
      <c r="K74" s="33" t="s">
        <v>75</v>
      </c>
      <c r="L74" s="33" t="s">
        <v>295</v>
      </c>
      <c r="M74" s="43">
        <v>46158.457106481481</v>
      </c>
      <c r="N74" s="33" t="s">
        <v>296</v>
      </c>
      <c r="O74" s="33" t="s">
        <v>787</v>
      </c>
      <c r="P74" s="33" t="s">
        <v>79</v>
      </c>
      <c r="Q74" s="43">
        <v>46158.428472222222</v>
      </c>
      <c r="R74" s="33"/>
      <c r="S74" s="58">
        <v>2.9166666666666667E-2</v>
      </c>
      <c r="T74" s="33" t="s">
        <v>308</v>
      </c>
      <c r="U74" s="33"/>
      <c r="V74" s="33"/>
      <c r="W74" s="33" t="s">
        <v>79</v>
      </c>
      <c r="X74" s="43">
        <v>46158.428472222222</v>
      </c>
      <c r="Y74" s="58">
        <v>2.9166666666666667E-2</v>
      </c>
      <c r="Z74" s="33" t="s">
        <v>308</v>
      </c>
      <c r="AA74" s="43">
        <v>46161</v>
      </c>
      <c r="AB74" s="33" t="s">
        <v>774</v>
      </c>
      <c r="AC74" s="33" t="s">
        <v>775</v>
      </c>
      <c r="AD74" s="58">
        <v>2.9166666666666667E-2</v>
      </c>
      <c r="AE74" s="33"/>
      <c r="AF74" s="58">
        <v>2.9166666666666667E-2</v>
      </c>
      <c r="AG74" s="33"/>
      <c r="AH74" s="33">
        <v>0</v>
      </c>
      <c r="AI74" s="43">
        <v>46158.990277777775</v>
      </c>
      <c r="AJ74" s="33" t="s">
        <v>73</v>
      </c>
      <c r="AK74" s="42">
        <v>212067</v>
      </c>
      <c r="AL74" s="33" t="s">
        <v>788</v>
      </c>
    </row>
    <row r="75" spans="1:38">
      <c r="A75" s="33">
        <v>5988008</v>
      </c>
      <c r="B75" s="33"/>
      <c r="C75" s="33" t="s">
        <v>789</v>
      </c>
      <c r="D75" s="33" t="s">
        <v>790</v>
      </c>
      <c r="E75" s="33" t="s">
        <v>791</v>
      </c>
      <c r="F75" s="43">
        <v>46143</v>
      </c>
      <c r="G75" s="33" t="s">
        <v>792</v>
      </c>
      <c r="H75" s="33"/>
      <c r="I75" s="33" t="s">
        <v>793</v>
      </c>
      <c r="J75" s="33" t="s">
        <v>794</v>
      </c>
      <c r="K75" s="33" t="s">
        <v>75</v>
      </c>
      <c r="L75" s="33" t="s">
        <v>795</v>
      </c>
      <c r="M75" s="43">
        <v>46143.164930555555</v>
      </c>
      <c r="N75" s="33" t="s">
        <v>796</v>
      </c>
      <c r="O75" s="33" t="s">
        <v>797</v>
      </c>
      <c r="P75" s="33" t="s">
        <v>798</v>
      </c>
      <c r="Q75" s="43">
        <v>46143.013194444444</v>
      </c>
      <c r="R75" s="43">
        <v>46143.038194444445</v>
      </c>
      <c r="S75" s="58">
        <v>2.5000000000000001E-2</v>
      </c>
      <c r="T75" s="33" t="s">
        <v>799</v>
      </c>
      <c r="U75" s="43">
        <v>46143.128472222219</v>
      </c>
      <c r="V75" s="58">
        <v>3.7499999999999999E-2</v>
      </c>
      <c r="W75" s="33" t="s">
        <v>799</v>
      </c>
      <c r="X75" s="43">
        <v>46143.128472222219</v>
      </c>
      <c r="Y75" s="58">
        <v>3.7499999999999999E-2</v>
      </c>
      <c r="Z75" s="33" t="s">
        <v>799</v>
      </c>
      <c r="AA75" s="43">
        <v>46144.208333333336</v>
      </c>
      <c r="AB75" s="33" t="s">
        <v>81</v>
      </c>
      <c r="AC75" s="33" t="s">
        <v>800</v>
      </c>
      <c r="AD75" s="58">
        <v>0.28611111111111109</v>
      </c>
      <c r="AE75" s="58">
        <v>0.12708333333333333</v>
      </c>
      <c r="AF75" s="58">
        <v>0.28611111111111109</v>
      </c>
      <c r="AG75" s="33" t="s">
        <v>801</v>
      </c>
      <c r="AH75" s="33">
        <v>2</v>
      </c>
      <c r="AI75" s="43">
        <v>46143.128472222219</v>
      </c>
      <c r="AJ75" s="33" t="s">
        <v>793</v>
      </c>
      <c r="AK75" s="42">
        <v>572876.56000000006</v>
      </c>
      <c r="AL75" s="33" t="s">
        <v>802</v>
      </c>
    </row>
    <row r="76" spans="1:38">
      <c r="A76" s="33" t="s">
        <v>803</v>
      </c>
      <c r="B76" s="33"/>
      <c r="C76" s="33" t="s">
        <v>789</v>
      </c>
      <c r="D76" s="33" t="s">
        <v>804</v>
      </c>
      <c r="E76" s="33" t="s">
        <v>805</v>
      </c>
      <c r="F76" s="43">
        <v>46143.625</v>
      </c>
      <c r="G76" s="33" t="s">
        <v>792</v>
      </c>
      <c r="H76" s="33"/>
      <c r="I76" s="33" t="s">
        <v>793</v>
      </c>
      <c r="J76" s="33" t="s">
        <v>794</v>
      </c>
      <c r="K76" s="33" t="s">
        <v>75</v>
      </c>
      <c r="L76" s="33" t="s">
        <v>806</v>
      </c>
      <c r="M76" s="43">
        <v>46143.951747685183</v>
      </c>
      <c r="N76" s="33" t="s">
        <v>796</v>
      </c>
      <c r="O76" s="33" t="s">
        <v>220</v>
      </c>
      <c r="P76" s="33" t="s">
        <v>798</v>
      </c>
      <c r="Q76" s="33"/>
      <c r="R76" s="33"/>
      <c r="S76" s="33"/>
      <c r="T76" s="33" t="s">
        <v>799</v>
      </c>
      <c r="U76" s="43">
        <v>46143.306250000001</v>
      </c>
      <c r="V76" s="58">
        <v>3.125E-2</v>
      </c>
      <c r="W76" s="33"/>
      <c r="X76" s="33"/>
      <c r="Y76" s="33"/>
      <c r="Z76" s="33" t="s">
        <v>799</v>
      </c>
      <c r="AA76" s="43">
        <v>46143.916666666664</v>
      </c>
      <c r="AB76" s="33" t="s">
        <v>81</v>
      </c>
      <c r="AC76" s="33" t="s">
        <v>800</v>
      </c>
      <c r="AD76" s="58">
        <v>0.64722222222222225</v>
      </c>
      <c r="AE76" s="33"/>
      <c r="AF76" s="58">
        <v>0.64722222222222225</v>
      </c>
      <c r="AG76" s="33" t="s">
        <v>807</v>
      </c>
      <c r="AH76" s="33">
        <v>1</v>
      </c>
      <c r="AI76" s="43">
        <v>46143.306250000001</v>
      </c>
      <c r="AJ76" s="33" t="s">
        <v>793</v>
      </c>
      <c r="AK76" s="42">
        <v>1505596.74</v>
      </c>
      <c r="AL76" s="33" t="s">
        <v>808</v>
      </c>
    </row>
    <row r="77" spans="1:38">
      <c r="A77" s="33">
        <v>5988788</v>
      </c>
      <c r="B77" s="33"/>
      <c r="C77" s="33" t="s">
        <v>789</v>
      </c>
      <c r="D77" s="33" t="s">
        <v>809</v>
      </c>
      <c r="E77" s="33" t="s">
        <v>810</v>
      </c>
      <c r="F77" s="43">
        <v>46143.333333333336</v>
      </c>
      <c r="G77" s="33" t="s">
        <v>792</v>
      </c>
      <c r="H77" s="33"/>
      <c r="I77" s="33" t="s">
        <v>793</v>
      </c>
      <c r="J77" s="33" t="s">
        <v>811</v>
      </c>
      <c r="K77" s="33" t="s">
        <v>75</v>
      </c>
      <c r="L77" s="33" t="s">
        <v>812</v>
      </c>
      <c r="M77" s="43">
        <v>46143.564062500001</v>
      </c>
      <c r="N77" s="33" t="s">
        <v>813</v>
      </c>
      <c r="O77" s="33" t="s">
        <v>797</v>
      </c>
      <c r="P77" s="33" t="s">
        <v>798</v>
      </c>
      <c r="Q77" s="43">
        <v>46143.334722222222</v>
      </c>
      <c r="R77" s="43">
        <v>46143.387499999997</v>
      </c>
      <c r="S77" s="58">
        <v>5.2777777777777778E-2</v>
      </c>
      <c r="T77" s="33" t="s">
        <v>799</v>
      </c>
      <c r="U77" s="43">
        <v>46143.519444444442</v>
      </c>
      <c r="V77" s="58">
        <v>4.5138888888888888E-2</v>
      </c>
      <c r="W77" s="33" t="s">
        <v>799</v>
      </c>
      <c r="X77" s="43">
        <v>46143.519444444442</v>
      </c>
      <c r="Y77" s="58">
        <v>4.5138888888888888E-2</v>
      </c>
      <c r="Z77" s="33" t="s">
        <v>799</v>
      </c>
      <c r="AA77" s="43">
        <v>46143.958333333336</v>
      </c>
      <c r="AB77" s="33" t="s">
        <v>81</v>
      </c>
      <c r="AC77" s="33" t="s">
        <v>814</v>
      </c>
      <c r="AD77" s="58">
        <v>0.4777777777777778</v>
      </c>
      <c r="AE77" s="58">
        <v>0.17569444444444443</v>
      </c>
      <c r="AF77" s="58">
        <v>0.4777777777777778</v>
      </c>
      <c r="AG77" s="33" t="s">
        <v>815</v>
      </c>
      <c r="AH77" s="33">
        <v>2</v>
      </c>
      <c r="AI77" s="43">
        <v>46143.519444444442</v>
      </c>
      <c r="AJ77" s="33" t="s">
        <v>793</v>
      </c>
      <c r="AK77" s="42">
        <v>614184</v>
      </c>
      <c r="AL77" s="33" t="s">
        <v>816</v>
      </c>
    </row>
    <row r="78" spans="1:38">
      <c r="A78" s="33">
        <v>5987920</v>
      </c>
      <c r="B78" s="33"/>
      <c r="C78" s="33" t="s">
        <v>789</v>
      </c>
      <c r="D78" s="33" t="s">
        <v>817</v>
      </c>
      <c r="E78" s="33" t="s">
        <v>818</v>
      </c>
      <c r="F78" s="43">
        <v>46143.5</v>
      </c>
      <c r="G78" s="33" t="s">
        <v>792</v>
      </c>
      <c r="H78" s="33"/>
      <c r="I78" s="33" t="s">
        <v>793</v>
      </c>
      <c r="J78" s="33" t="s">
        <v>819</v>
      </c>
      <c r="K78" s="33" t="s">
        <v>820</v>
      </c>
      <c r="L78" s="33" t="s">
        <v>821</v>
      </c>
      <c r="M78" s="43">
        <v>46143.322812500002</v>
      </c>
      <c r="N78" s="33" t="s">
        <v>822</v>
      </c>
      <c r="O78" s="33" t="s">
        <v>797</v>
      </c>
      <c r="P78" s="33" t="s">
        <v>798</v>
      </c>
      <c r="Q78" s="33"/>
      <c r="R78" s="33"/>
      <c r="S78" s="33"/>
      <c r="T78" s="33" t="s">
        <v>799</v>
      </c>
      <c r="U78" s="43">
        <v>46143.104861111111</v>
      </c>
      <c r="V78" s="58">
        <v>0.2</v>
      </c>
      <c r="W78" s="33"/>
      <c r="X78" s="33"/>
      <c r="Y78" s="33"/>
      <c r="Z78" s="33" t="s">
        <v>799</v>
      </c>
      <c r="AA78" s="43">
        <v>46143.958333333336</v>
      </c>
      <c r="AB78" s="33" t="s">
        <v>823</v>
      </c>
      <c r="AC78" s="33" t="s">
        <v>824</v>
      </c>
      <c r="AD78" s="58">
        <v>0.22500000000000001</v>
      </c>
      <c r="AE78" s="33"/>
      <c r="AF78" s="58">
        <v>0.22500000000000001</v>
      </c>
      <c r="AG78" s="33" t="s">
        <v>825</v>
      </c>
      <c r="AH78" s="33">
        <v>1</v>
      </c>
      <c r="AI78" s="43">
        <v>46143.104861111111</v>
      </c>
      <c r="AJ78" s="33" t="s">
        <v>793</v>
      </c>
      <c r="AK78" s="42">
        <v>539670</v>
      </c>
      <c r="AL78" s="33" t="s">
        <v>826</v>
      </c>
    </row>
    <row r="79" spans="1:38">
      <c r="A79" s="33">
        <v>5989838</v>
      </c>
      <c r="B79" s="33"/>
      <c r="C79" s="33" t="s">
        <v>789</v>
      </c>
      <c r="D79" s="33" t="s">
        <v>827</v>
      </c>
      <c r="E79" s="33" t="s">
        <v>828</v>
      </c>
      <c r="F79" s="43">
        <v>46143.166666666664</v>
      </c>
      <c r="G79" s="33" t="s">
        <v>792</v>
      </c>
      <c r="H79" s="33"/>
      <c r="I79" s="33" t="s">
        <v>793</v>
      </c>
      <c r="J79" s="33" t="s">
        <v>819</v>
      </c>
      <c r="K79" s="33" t="s">
        <v>829</v>
      </c>
      <c r="L79" s="33" t="s">
        <v>830</v>
      </c>
      <c r="M79" s="43">
        <v>46143.356747685182</v>
      </c>
      <c r="N79" s="33" t="s">
        <v>831</v>
      </c>
      <c r="O79" s="33" t="s">
        <v>797</v>
      </c>
      <c r="P79" s="33" t="s">
        <v>798</v>
      </c>
      <c r="Q79" s="43">
        <v>46143.168055555558</v>
      </c>
      <c r="R79" s="43">
        <v>46143.228472222225</v>
      </c>
      <c r="S79" s="58">
        <v>6.0416666666666667E-2</v>
      </c>
      <c r="T79" s="33" t="s">
        <v>799</v>
      </c>
      <c r="U79" s="43">
        <v>46143.334722222222</v>
      </c>
      <c r="V79" s="58">
        <v>1.3194444444444444E-2</v>
      </c>
      <c r="W79" s="33"/>
      <c r="X79" s="33"/>
      <c r="Y79" s="33"/>
      <c r="Z79" s="33" t="s">
        <v>799</v>
      </c>
      <c r="AA79" s="43">
        <v>46143.375</v>
      </c>
      <c r="AB79" s="33" t="s">
        <v>81</v>
      </c>
      <c r="AC79" s="33" t="s">
        <v>824</v>
      </c>
      <c r="AD79" s="58">
        <v>0.32569444444444445</v>
      </c>
      <c r="AE79" s="33"/>
      <c r="AF79" s="58">
        <v>0.32569444444444445</v>
      </c>
      <c r="AG79" s="33" t="s">
        <v>832</v>
      </c>
      <c r="AH79" s="33">
        <v>2</v>
      </c>
      <c r="AI79" s="43">
        <v>46143.334722222222</v>
      </c>
      <c r="AJ79" s="33" t="s">
        <v>793</v>
      </c>
      <c r="AK79" s="42">
        <v>604029.92000000004</v>
      </c>
      <c r="AL79" s="33" t="s">
        <v>833</v>
      </c>
    </row>
    <row r="80" spans="1:38">
      <c r="A80" s="33">
        <v>6009365</v>
      </c>
      <c r="B80" s="33"/>
      <c r="C80" s="33" t="s">
        <v>789</v>
      </c>
      <c r="D80" s="33" t="s">
        <v>834</v>
      </c>
      <c r="E80" s="33" t="s">
        <v>835</v>
      </c>
      <c r="F80" s="43">
        <v>46143.25</v>
      </c>
      <c r="G80" s="33" t="s">
        <v>836</v>
      </c>
      <c r="H80" s="33"/>
      <c r="I80" s="33" t="s">
        <v>73</v>
      </c>
      <c r="J80" s="33" t="s">
        <v>837</v>
      </c>
      <c r="K80" s="33" t="s">
        <v>75</v>
      </c>
      <c r="L80" s="33" t="s">
        <v>838</v>
      </c>
      <c r="M80" s="43">
        <v>46146.928819444445</v>
      </c>
      <c r="N80" s="33" t="s">
        <v>839</v>
      </c>
      <c r="O80" s="33" t="s">
        <v>797</v>
      </c>
      <c r="P80" s="33" t="s">
        <v>79</v>
      </c>
      <c r="Q80" s="33"/>
      <c r="R80" s="33"/>
      <c r="S80" s="33"/>
      <c r="T80" s="33" t="s">
        <v>840</v>
      </c>
      <c r="U80" s="33"/>
      <c r="V80" s="33"/>
      <c r="W80" s="33"/>
      <c r="X80" s="33"/>
      <c r="Y80" s="33"/>
      <c r="Z80" s="33" t="s">
        <v>840</v>
      </c>
      <c r="AA80" s="43">
        <v>46153.25</v>
      </c>
      <c r="AB80" s="33" t="s">
        <v>81</v>
      </c>
      <c r="AC80" s="33" t="s">
        <v>81</v>
      </c>
      <c r="AD80" s="44">
        <v>3.8062499999999999</v>
      </c>
      <c r="AE80" s="33"/>
      <c r="AF80" s="44">
        <v>3.8055555555555554</v>
      </c>
      <c r="AG80" s="33" t="s">
        <v>841</v>
      </c>
      <c r="AH80" s="33">
        <v>2</v>
      </c>
      <c r="AI80" s="43">
        <v>46146.928472222222</v>
      </c>
      <c r="AJ80" s="33" t="s">
        <v>73</v>
      </c>
      <c r="AK80" s="42">
        <v>800000.02</v>
      </c>
      <c r="AL80" s="33" t="s">
        <v>842</v>
      </c>
    </row>
    <row r="81" spans="1:38">
      <c r="A81" s="33">
        <v>6011745</v>
      </c>
      <c r="B81" s="33"/>
      <c r="C81" s="33" t="s">
        <v>789</v>
      </c>
      <c r="D81" s="33" t="s">
        <v>843</v>
      </c>
      <c r="E81" s="33" t="s">
        <v>844</v>
      </c>
      <c r="F81" s="43">
        <v>46143.21875</v>
      </c>
      <c r="G81" s="33" t="s">
        <v>216</v>
      </c>
      <c r="H81" s="33"/>
      <c r="I81" s="33" t="s">
        <v>73</v>
      </c>
      <c r="J81" s="33" t="s">
        <v>845</v>
      </c>
      <c r="K81" s="33" t="s">
        <v>75</v>
      </c>
      <c r="L81" s="33" t="s">
        <v>218</v>
      </c>
      <c r="M81" s="43">
        <v>46146.840219907404</v>
      </c>
      <c r="N81" s="33" t="s">
        <v>219</v>
      </c>
      <c r="O81" s="33" t="s">
        <v>797</v>
      </c>
      <c r="P81" s="33" t="s">
        <v>140</v>
      </c>
      <c r="Q81" s="43">
        <v>46143.220138888886</v>
      </c>
      <c r="R81" s="43">
        <v>46143.236111111109</v>
      </c>
      <c r="S81" s="58">
        <v>1.5972222222222221E-2</v>
      </c>
      <c r="T81" s="33" t="s">
        <v>846</v>
      </c>
      <c r="U81" s="43">
        <v>46146.731249999997</v>
      </c>
      <c r="V81" s="58">
        <v>4.1666666666666666E-3</v>
      </c>
      <c r="W81" s="33"/>
      <c r="X81" s="33"/>
      <c r="Y81" s="33"/>
      <c r="Z81" s="33" t="s">
        <v>846</v>
      </c>
      <c r="AA81" s="43">
        <v>46146.731249999997</v>
      </c>
      <c r="AB81" s="33" t="s">
        <v>606</v>
      </c>
      <c r="AC81" s="33" t="s">
        <v>847</v>
      </c>
      <c r="AD81" s="44">
        <v>3.6166666666666667</v>
      </c>
      <c r="AE81" s="33"/>
      <c r="AF81" s="44">
        <v>3.6166666666666667</v>
      </c>
      <c r="AG81" s="33"/>
      <c r="AH81" s="33">
        <v>4</v>
      </c>
      <c r="AI81" s="43">
        <v>46146.731249999997</v>
      </c>
      <c r="AJ81" s="33" t="s">
        <v>73</v>
      </c>
      <c r="AK81" s="42">
        <v>589821.51</v>
      </c>
      <c r="AL81" s="33" t="s">
        <v>848</v>
      </c>
    </row>
    <row r="82" spans="1:38">
      <c r="A82" s="33">
        <v>5990517</v>
      </c>
      <c r="B82" s="33"/>
      <c r="C82" s="33" t="s">
        <v>789</v>
      </c>
      <c r="D82" s="33" t="s">
        <v>849</v>
      </c>
      <c r="E82" s="33" t="s">
        <v>850</v>
      </c>
      <c r="F82" s="43">
        <v>46143.625</v>
      </c>
      <c r="G82" s="33" t="s">
        <v>792</v>
      </c>
      <c r="H82" s="33"/>
      <c r="I82" s="33" t="s">
        <v>793</v>
      </c>
      <c r="J82" s="33" t="s">
        <v>794</v>
      </c>
      <c r="K82" s="33" t="s">
        <v>75</v>
      </c>
      <c r="L82" s="33" t="s">
        <v>851</v>
      </c>
      <c r="M82" s="43">
        <v>46143.972199074073</v>
      </c>
      <c r="N82" s="33" t="s">
        <v>852</v>
      </c>
      <c r="O82" s="33" t="s">
        <v>797</v>
      </c>
      <c r="P82" s="33" t="s">
        <v>798</v>
      </c>
      <c r="Q82" s="43">
        <v>46143.754166666666</v>
      </c>
      <c r="R82" s="43">
        <v>46143.790277777778</v>
      </c>
      <c r="S82" s="58">
        <v>3.6111111111111108E-2</v>
      </c>
      <c r="T82" s="33" t="s">
        <v>799</v>
      </c>
      <c r="U82" s="43">
        <v>46143.931250000001</v>
      </c>
      <c r="V82" s="58">
        <v>3.888888888888889E-2</v>
      </c>
      <c r="W82" s="33" t="s">
        <v>799</v>
      </c>
      <c r="X82" s="43">
        <v>46143.931250000001</v>
      </c>
      <c r="Y82" s="58">
        <v>3.888888888888889E-2</v>
      </c>
      <c r="Z82" s="33" t="s">
        <v>799</v>
      </c>
      <c r="AA82" s="43">
        <v>46143.958333333336</v>
      </c>
      <c r="AB82" s="33" t="s">
        <v>81</v>
      </c>
      <c r="AC82" s="33" t="s">
        <v>800</v>
      </c>
      <c r="AD82" s="58">
        <v>0.60277777777777775</v>
      </c>
      <c r="AE82" s="58">
        <v>0.18124999999999999</v>
      </c>
      <c r="AF82" s="58">
        <v>0.60277777777777775</v>
      </c>
      <c r="AG82" s="33" t="s">
        <v>853</v>
      </c>
      <c r="AH82" s="33">
        <v>2</v>
      </c>
      <c r="AI82" s="43">
        <v>46143.931250000001</v>
      </c>
      <c r="AJ82" s="33" t="s">
        <v>793</v>
      </c>
      <c r="AK82" s="42">
        <v>461544.48</v>
      </c>
      <c r="AL82" s="33" t="s">
        <v>854</v>
      </c>
    </row>
    <row r="83" spans="1:38">
      <c r="A83" s="33">
        <v>5987920</v>
      </c>
      <c r="B83" s="33"/>
      <c r="C83" s="33" t="s">
        <v>789</v>
      </c>
      <c r="D83" s="33" t="s">
        <v>817</v>
      </c>
      <c r="E83" s="33" t="s">
        <v>855</v>
      </c>
      <c r="F83" s="43">
        <v>46143.583333333336</v>
      </c>
      <c r="G83" s="33" t="s">
        <v>792</v>
      </c>
      <c r="H83" s="33"/>
      <c r="I83" s="33" t="s">
        <v>793</v>
      </c>
      <c r="J83" s="33" t="s">
        <v>856</v>
      </c>
      <c r="K83" s="33" t="s">
        <v>75</v>
      </c>
      <c r="L83" s="33" t="s">
        <v>857</v>
      </c>
      <c r="M83" s="43">
        <v>46143.718321759261</v>
      </c>
      <c r="N83" s="33" t="s">
        <v>822</v>
      </c>
      <c r="O83" s="33" t="s">
        <v>797</v>
      </c>
      <c r="P83" s="33" t="s">
        <v>798</v>
      </c>
      <c r="Q83" s="43">
        <v>46143.54583333333</v>
      </c>
      <c r="R83" s="43">
        <v>46143.570138888892</v>
      </c>
      <c r="S83" s="58">
        <v>2.4305555555555556E-2</v>
      </c>
      <c r="T83" s="33" t="s">
        <v>799</v>
      </c>
      <c r="U83" s="43">
        <v>46143.694444444445</v>
      </c>
      <c r="V83" s="58">
        <v>2.1527777777777778E-2</v>
      </c>
      <c r="W83" s="33" t="s">
        <v>799</v>
      </c>
      <c r="X83" s="43">
        <v>46143.694444444445</v>
      </c>
      <c r="Y83" s="58">
        <v>2.1527777777777778E-2</v>
      </c>
      <c r="Z83" s="33" t="s">
        <v>799</v>
      </c>
      <c r="AA83" s="43">
        <v>46143.958333333336</v>
      </c>
      <c r="AB83" s="33" t="s">
        <v>81</v>
      </c>
      <c r="AC83" s="33" t="s">
        <v>858</v>
      </c>
      <c r="AD83" s="58">
        <v>0.17222222222222222</v>
      </c>
      <c r="AE83" s="58">
        <v>0.14791666666666667</v>
      </c>
      <c r="AF83" s="58">
        <v>0.17222222222222222</v>
      </c>
      <c r="AG83" s="33" t="s">
        <v>825</v>
      </c>
      <c r="AH83" s="33">
        <v>2</v>
      </c>
      <c r="AI83" s="43">
        <v>46143.694444444445</v>
      </c>
      <c r="AJ83" s="33" t="s">
        <v>793</v>
      </c>
      <c r="AK83" s="42">
        <v>539670</v>
      </c>
      <c r="AL83" s="33" t="s">
        <v>826</v>
      </c>
    </row>
    <row r="84" spans="1:38">
      <c r="A84" s="33">
        <v>6002503</v>
      </c>
      <c r="B84" s="33"/>
      <c r="C84" s="33" t="s">
        <v>789</v>
      </c>
      <c r="D84" s="33" t="s">
        <v>809</v>
      </c>
      <c r="E84" s="33" t="s">
        <v>859</v>
      </c>
      <c r="F84" s="43">
        <v>46144.291666666664</v>
      </c>
      <c r="G84" s="33" t="s">
        <v>792</v>
      </c>
      <c r="H84" s="33"/>
      <c r="I84" s="33" t="s">
        <v>793</v>
      </c>
      <c r="J84" s="33" t="s">
        <v>860</v>
      </c>
      <c r="K84" s="33" t="s">
        <v>75</v>
      </c>
      <c r="L84" s="33" t="s">
        <v>806</v>
      </c>
      <c r="M84" s="43">
        <v>46144.419398148151</v>
      </c>
      <c r="N84" s="33" t="s">
        <v>813</v>
      </c>
      <c r="O84" s="33" t="s">
        <v>175</v>
      </c>
      <c r="P84" s="33" t="s">
        <v>861</v>
      </c>
      <c r="Q84" s="33"/>
      <c r="R84" s="33"/>
      <c r="S84" s="33"/>
      <c r="T84" s="33" t="s">
        <v>799</v>
      </c>
      <c r="U84" s="43">
        <v>46143.664583333331</v>
      </c>
      <c r="V84" s="58">
        <v>0.35416666666666669</v>
      </c>
      <c r="W84" s="33"/>
      <c r="X84" s="33"/>
      <c r="Y84" s="33"/>
      <c r="Z84" s="33" t="s">
        <v>799</v>
      </c>
      <c r="AA84" s="43">
        <v>46145.541666666664</v>
      </c>
      <c r="AB84" s="33" t="s">
        <v>81</v>
      </c>
      <c r="AC84" s="33" t="s">
        <v>862</v>
      </c>
      <c r="AD84" s="58">
        <v>0.75624999999999998</v>
      </c>
      <c r="AE84" s="33"/>
      <c r="AF84" s="58">
        <v>0.75624999999999998</v>
      </c>
      <c r="AG84" s="33" t="s">
        <v>815</v>
      </c>
      <c r="AH84" s="33">
        <v>1</v>
      </c>
      <c r="AI84" s="43">
        <v>46143.664583333331</v>
      </c>
      <c r="AJ84" s="33" t="s">
        <v>793</v>
      </c>
      <c r="AK84" s="42">
        <v>941566.16</v>
      </c>
      <c r="AL84" s="33" t="s">
        <v>816</v>
      </c>
    </row>
    <row r="85" spans="1:38">
      <c r="A85" s="33">
        <v>6002581</v>
      </c>
      <c r="B85" s="33"/>
      <c r="C85" s="33" t="s">
        <v>789</v>
      </c>
      <c r="D85" s="33" t="s">
        <v>863</v>
      </c>
      <c r="E85" s="33" t="s">
        <v>864</v>
      </c>
      <c r="F85" s="43">
        <v>46144.375</v>
      </c>
      <c r="G85" s="33" t="s">
        <v>792</v>
      </c>
      <c r="H85" s="33"/>
      <c r="I85" s="33" t="s">
        <v>793</v>
      </c>
      <c r="J85" s="33" t="s">
        <v>860</v>
      </c>
      <c r="K85" s="33" t="s">
        <v>865</v>
      </c>
      <c r="L85" s="33" t="s">
        <v>866</v>
      </c>
      <c r="M85" s="43">
        <v>46144.502442129633</v>
      </c>
      <c r="N85" s="33" t="s">
        <v>867</v>
      </c>
      <c r="O85" s="33" t="s">
        <v>868</v>
      </c>
      <c r="P85" s="33" t="s">
        <v>861</v>
      </c>
      <c r="Q85" s="43">
        <v>46144.332638888889</v>
      </c>
      <c r="R85" s="43">
        <v>46144.37777777778</v>
      </c>
      <c r="S85" s="58">
        <v>4.5138888888888888E-2</v>
      </c>
      <c r="T85" s="33" t="s">
        <v>799</v>
      </c>
      <c r="U85" s="43">
        <v>46144.481944444444</v>
      </c>
      <c r="V85" s="58">
        <v>2.013888888888889E-2</v>
      </c>
      <c r="W85" s="33"/>
      <c r="X85" s="33"/>
      <c r="Y85" s="33"/>
      <c r="Z85" s="33" t="s">
        <v>799</v>
      </c>
      <c r="AA85" s="43">
        <v>46145.583333333336</v>
      </c>
      <c r="AB85" s="33" t="s">
        <v>81</v>
      </c>
      <c r="AC85" s="33" t="s">
        <v>81</v>
      </c>
      <c r="AD85" s="58">
        <v>0.78611111111111109</v>
      </c>
      <c r="AE85" s="33"/>
      <c r="AF85" s="58">
        <v>0.78611111111111109</v>
      </c>
      <c r="AG85" s="33" t="s">
        <v>869</v>
      </c>
      <c r="AH85" s="33">
        <v>2</v>
      </c>
      <c r="AI85" s="43">
        <v>46144.481944444444</v>
      </c>
      <c r="AJ85" s="33" t="s">
        <v>793</v>
      </c>
      <c r="AK85" s="42">
        <v>1022118.71</v>
      </c>
      <c r="AL85" s="33" t="s">
        <v>870</v>
      </c>
    </row>
    <row r="86" spans="1:38">
      <c r="A86" s="33">
        <v>6002366</v>
      </c>
      <c r="B86" s="33"/>
      <c r="C86" s="33" t="s">
        <v>789</v>
      </c>
      <c r="D86" s="33" t="s">
        <v>790</v>
      </c>
      <c r="E86" s="33" t="s">
        <v>871</v>
      </c>
      <c r="F86" s="43">
        <v>46143.833333333336</v>
      </c>
      <c r="G86" s="33" t="s">
        <v>792</v>
      </c>
      <c r="H86" s="33"/>
      <c r="I86" s="33" t="s">
        <v>793</v>
      </c>
      <c r="J86" s="33" t="s">
        <v>872</v>
      </c>
      <c r="K86" s="33" t="s">
        <v>873</v>
      </c>
      <c r="L86" s="33" t="s">
        <v>874</v>
      </c>
      <c r="M86" s="43">
        <v>46143.972013888888</v>
      </c>
      <c r="N86" s="33" t="s">
        <v>796</v>
      </c>
      <c r="O86" s="33" t="s">
        <v>797</v>
      </c>
      <c r="P86" s="33" t="s">
        <v>861</v>
      </c>
      <c r="Q86" s="43">
        <v>46143.78402777778</v>
      </c>
      <c r="R86" s="43">
        <v>46143.808333333334</v>
      </c>
      <c r="S86" s="58">
        <v>2.4305555555555556E-2</v>
      </c>
      <c r="T86" s="33" t="s">
        <v>799</v>
      </c>
      <c r="U86" s="43">
        <v>46143.915277777778</v>
      </c>
      <c r="V86" s="58">
        <v>5.4166666666666669E-2</v>
      </c>
      <c r="W86" s="33" t="s">
        <v>799</v>
      </c>
      <c r="X86" s="43">
        <v>46143.915277777778</v>
      </c>
      <c r="Y86" s="58">
        <v>5.4166666666666669E-2</v>
      </c>
      <c r="Z86" s="33" t="s">
        <v>799</v>
      </c>
      <c r="AA86" s="43">
        <v>46144.166666666664</v>
      </c>
      <c r="AB86" s="33" t="s">
        <v>81</v>
      </c>
      <c r="AC86" s="33" t="s">
        <v>875</v>
      </c>
      <c r="AD86" s="58">
        <v>0.30277777777777776</v>
      </c>
      <c r="AE86" s="58">
        <v>0.16388888888888889</v>
      </c>
      <c r="AF86" s="58">
        <v>0.30277777777777776</v>
      </c>
      <c r="AG86" s="33" t="s">
        <v>801</v>
      </c>
      <c r="AH86" s="33">
        <v>2</v>
      </c>
      <c r="AI86" s="43">
        <v>46143.915277777778</v>
      </c>
      <c r="AJ86" s="33" t="s">
        <v>793</v>
      </c>
      <c r="AK86" s="42">
        <v>572811.36</v>
      </c>
      <c r="AL86" s="33" t="s">
        <v>802</v>
      </c>
    </row>
    <row r="87" spans="1:38">
      <c r="A87" s="33" t="s">
        <v>876</v>
      </c>
      <c r="B87" s="33"/>
      <c r="C87" s="33" t="s">
        <v>789</v>
      </c>
      <c r="D87" s="33" t="s">
        <v>877</v>
      </c>
      <c r="E87" s="33" t="s">
        <v>878</v>
      </c>
      <c r="F87" s="43">
        <v>46143.791666666664</v>
      </c>
      <c r="G87" s="33" t="s">
        <v>792</v>
      </c>
      <c r="H87" s="33"/>
      <c r="I87" s="33" t="s">
        <v>793</v>
      </c>
      <c r="J87" s="33" t="s">
        <v>879</v>
      </c>
      <c r="K87" s="33" t="s">
        <v>75</v>
      </c>
      <c r="L87" s="33" t="s">
        <v>880</v>
      </c>
      <c r="M87" s="43">
        <v>46144.278715277775</v>
      </c>
      <c r="N87" s="33" t="s">
        <v>881</v>
      </c>
      <c r="O87" s="33" t="s">
        <v>797</v>
      </c>
      <c r="P87" s="33" t="s">
        <v>798</v>
      </c>
      <c r="Q87" s="43">
        <v>46143.715277777781</v>
      </c>
      <c r="R87" s="43">
        <v>46143.749305555553</v>
      </c>
      <c r="S87" s="58">
        <v>3.4027777777777775E-2</v>
      </c>
      <c r="T87" s="33">
        <v>79379491002399</v>
      </c>
      <c r="U87" s="43">
        <v>46144.236805555556</v>
      </c>
      <c r="V87" s="58">
        <v>4.027777777777778E-2</v>
      </c>
      <c r="W87" s="33">
        <v>79379491002399</v>
      </c>
      <c r="X87" s="43">
        <v>46144.236805555556</v>
      </c>
      <c r="Y87" s="58">
        <v>4.027777777777778E-2</v>
      </c>
      <c r="Z87" s="33">
        <v>79379491002399</v>
      </c>
      <c r="AA87" s="43">
        <v>46144.25</v>
      </c>
      <c r="AB87" s="33" t="s">
        <v>81</v>
      </c>
      <c r="AC87" s="33" t="s">
        <v>882</v>
      </c>
      <c r="AD87" s="58">
        <v>0.56527777777777777</v>
      </c>
      <c r="AE87" s="58">
        <v>0.52916666666666667</v>
      </c>
      <c r="AF87" s="58">
        <v>0.56527777777777777</v>
      </c>
      <c r="AG87" s="33" t="s">
        <v>883</v>
      </c>
      <c r="AH87" s="33">
        <v>2</v>
      </c>
      <c r="AI87" s="43">
        <v>46144.236805555556</v>
      </c>
      <c r="AJ87" s="33" t="s">
        <v>793</v>
      </c>
      <c r="AK87" s="42">
        <v>1351584</v>
      </c>
      <c r="AL87" s="33" t="s">
        <v>884</v>
      </c>
    </row>
    <row r="88" spans="1:38">
      <c r="A88" s="33">
        <v>5988097</v>
      </c>
      <c r="B88" s="33"/>
      <c r="C88" s="33" t="s">
        <v>789</v>
      </c>
      <c r="D88" s="33" t="s">
        <v>885</v>
      </c>
      <c r="E88" s="33" t="s">
        <v>886</v>
      </c>
      <c r="F88" s="43">
        <v>46143.833333333336</v>
      </c>
      <c r="G88" s="33" t="s">
        <v>792</v>
      </c>
      <c r="H88" s="33"/>
      <c r="I88" s="33" t="s">
        <v>793</v>
      </c>
      <c r="J88" s="33" t="s">
        <v>887</v>
      </c>
      <c r="K88" s="33" t="s">
        <v>75</v>
      </c>
      <c r="L88" s="33" t="s">
        <v>888</v>
      </c>
      <c r="M88" s="43">
        <v>46144.046712962961</v>
      </c>
      <c r="N88" s="33" t="s">
        <v>889</v>
      </c>
      <c r="O88" s="33" t="s">
        <v>797</v>
      </c>
      <c r="P88" s="33" t="s">
        <v>798</v>
      </c>
      <c r="Q88" s="43">
        <v>46143.861111111109</v>
      </c>
      <c r="R88" s="43">
        <v>46143.882638888892</v>
      </c>
      <c r="S88" s="58">
        <v>2.1527777777777778E-2</v>
      </c>
      <c r="T88" s="33" t="s">
        <v>799</v>
      </c>
      <c r="U88" s="43">
        <v>46144.015277777777</v>
      </c>
      <c r="V88" s="58">
        <v>2.9861111111111113E-2</v>
      </c>
      <c r="W88" s="33" t="s">
        <v>799</v>
      </c>
      <c r="X88" s="43">
        <v>46144.015277777777</v>
      </c>
      <c r="Y88" s="58">
        <v>2.9861111111111113E-2</v>
      </c>
      <c r="Z88" s="33" t="s">
        <v>799</v>
      </c>
      <c r="AA88" s="43">
        <v>46144.75</v>
      </c>
      <c r="AB88" s="33" t="s">
        <v>81</v>
      </c>
      <c r="AC88" s="33" t="s">
        <v>890</v>
      </c>
      <c r="AD88" s="58">
        <v>0.28402777777777777</v>
      </c>
      <c r="AE88" s="58">
        <v>0.16319444444444445</v>
      </c>
      <c r="AF88" s="58">
        <v>0.28402777777777777</v>
      </c>
      <c r="AG88" s="33" t="s">
        <v>891</v>
      </c>
      <c r="AH88" s="33">
        <v>2</v>
      </c>
      <c r="AI88" s="43">
        <v>46144.015277777777</v>
      </c>
      <c r="AJ88" s="33" t="s">
        <v>793</v>
      </c>
      <c r="AK88" s="42">
        <v>539670</v>
      </c>
      <c r="AL88" s="33" t="s">
        <v>892</v>
      </c>
    </row>
    <row r="89" spans="1:38">
      <c r="A89" s="33">
        <v>5987928</v>
      </c>
      <c r="B89" s="33"/>
      <c r="C89" s="33" t="s">
        <v>789</v>
      </c>
      <c r="D89" s="33" t="s">
        <v>827</v>
      </c>
      <c r="E89" s="33" t="s">
        <v>893</v>
      </c>
      <c r="F89" s="43">
        <v>46143.833333333336</v>
      </c>
      <c r="G89" s="33" t="s">
        <v>792</v>
      </c>
      <c r="H89" s="33"/>
      <c r="I89" s="33" t="s">
        <v>793</v>
      </c>
      <c r="J89" s="33" t="s">
        <v>887</v>
      </c>
      <c r="K89" s="33" t="s">
        <v>75</v>
      </c>
      <c r="L89" s="33" t="s">
        <v>888</v>
      </c>
      <c r="M89" s="43">
        <v>46144.043414351851</v>
      </c>
      <c r="N89" s="33" t="s">
        <v>831</v>
      </c>
      <c r="O89" s="33" t="s">
        <v>797</v>
      </c>
      <c r="P89" s="33" t="s">
        <v>798</v>
      </c>
      <c r="Q89" s="43">
        <v>46143.85833333333</v>
      </c>
      <c r="R89" s="43">
        <v>46143.893750000003</v>
      </c>
      <c r="S89" s="58">
        <v>3.5416666666666666E-2</v>
      </c>
      <c r="T89" s="33" t="s">
        <v>799</v>
      </c>
      <c r="U89" s="43">
        <v>46144.01666666667</v>
      </c>
      <c r="V89" s="58">
        <v>2.7777777777777776E-2</v>
      </c>
      <c r="W89" s="33" t="s">
        <v>799</v>
      </c>
      <c r="X89" s="43">
        <v>46144.01666666667</v>
      </c>
      <c r="Y89" s="58">
        <v>2.7777777777777776E-2</v>
      </c>
      <c r="Z89" s="33" t="s">
        <v>799</v>
      </c>
      <c r="AA89" s="43">
        <v>46143.958333333336</v>
      </c>
      <c r="AB89" s="33" t="s">
        <v>81</v>
      </c>
      <c r="AC89" s="33" t="s">
        <v>890</v>
      </c>
      <c r="AD89" s="58">
        <v>0.28125</v>
      </c>
      <c r="AE89" s="58">
        <v>0.15069444444444444</v>
      </c>
      <c r="AF89" s="58">
        <v>0.28125</v>
      </c>
      <c r="AG89" s="33" t="s">
        <v>832</v>
      </c>
      <c r="AH89" s="33">
        <v>2</v>
      </c>
      <c r="AI89" s="43">
        <v>46144.01666666667</v>
      </c>
      <c r="AJ89" s="33" t="s">
        <v>793</v>
      </c>
      <c r="AK89" s="42">
        <v>461544.48</v>
      </c>
      <c r="AL89" s="33" t="s">
        <v>833</v>
      </c>
    </row>
    <row r="90" spans="1:38">
      <c r="A90" s="33" t="s">
        <v>894</v>
      </c>
      <c r="B90" s="33"/>
      <c r="C90" s="33" t="s">
        <v>789</v>
      </c>
      <c r="D90" s="33" t="s">
        <v>895</v>
      </c>
      <c r="E90" s="33" t="s">
        <v>896</v>
      </c>
      <c r="F90" s="43">
        <v>46143.80972222222</v>
      </c>
      <c r="G90" s="33" t="s">
        <v>836</v>
      </c>
      <c r="H90" s="33"/>
      <c r="I90" s="33" t="s">
        <v>73</v>
      </c>
      <c r="J90" s="33" t="s">
        <v>897</v>
      </c>
      <c r="K90" s="33" t="s">
        <v>75</v>
      </c>
      <c r="L90" s="33" t="s">
        <v>898</v>
      </c>
      <c r="M90" s="43">
        <v>46146.342847222222</v>
      </c>
      <c r="N90" s="33" t="s">
        <v>899</v>
      </c>
      <c r="O90" s="33" t="s">
        <v>797</v>
      </c>
      <c r="P90" s="33" t="s">
        <v>79</v>
      </c>
      <c r="Q90" s="33"/>
      <c r="R90" s="33"/>
      <c r="S90" s="33"/>
      <c r="T90" s="33" t="s">
        <v>840</v>
      </c>
      <c r="U90" s="33"/>
      <c r="V90" s="33"/>
      <c r="W90" s="33" t="s">
        <v>900</v>
      </c>
      <c r="X90" s="43">
        <v>46145.497916666667</v>
      </c>
      <c r="Y90" s="58">
        <v>0.84375</v>
      </c>
      <c r="Z90" s="33" t="s">
        <v>840</v>
      </c>
      <c r="AA90" s="43">
        <v>46148.333333333336</v>
      </c>
      <c r="AB90" s="33" t="s">
        <v>81</v>
      </c>
      <c r="AC90" s="33" t="s">
        <v>901</v>
      </c>
      <c r="AD90" s="44">
        <v>2.5062500000000001</v>
      </c>
      <c r="AE90" s="33"/>
      <c r="AF90" s="44">
        <v>2.5062500000000001</v>
      </c>
      <c r="AG90" s="33" t="s">
        <v>902</v>
      </c>
      <c r="AH90" s="33">
        <v>1</v>
      </c>
      <c r="AI90" s="43">
        <v>46146.341666666667</v>
      </c>
      <c r="AJ90" s="33" t="s">
        <v>73</v>
      </c>
      <c r="AK90" s="42">
        <v>158084.65</v>
      </c>
      <c r="AL90" s="33" t="s">
        <v>903</v>
      </c>
    </row>
    <row r="91" spans="1:38">
      <c r="A91" s="33">
        <v>6002295</v>
      </c>
      <c r="B91" s="33"/>
      <c r="C91" s="33" t="s">
        <v>789</v>
      </c>
      <c r="D91" s="33" t="s">
        <v>827</v>
      </c>
      <c r="E91" s="33" t="s">
        <v>904</v>
      </c>
      <c r="F91" s="43">
        <v>46144.25</v>
      </c>
      <c r="G91" s="33" t="s">
        <v>792</v>
      </c>
      <c r="H91" s="33"/>
      <c r="I91" s="33" t="s">
        <v>793</v>
      </c>
      <c r="J91" s="33" t="s">
        <v>872</v>
      </c>
      <c r="K91" s="33" t="s">
        <v>75</v>
      </c>
      <c r="L91" s="33" t="s">
        <v>806</v>
      </c>
      <c r="M91" s="43">
        <v>46144.531365740739</v>
      </c>
      <c r="N91" s="33" t="s">
        <v>831</v>
      </c>
      <c r="O91" s="33" t="s">
        <v>797</v>
      </c>
      <c r="P91" s="33" t="s">
        <v>861</v>
      </c>
      <c r="Q91" s="43">
        <v>46144.315972222219</v>
      </c>
      <c r="R91" s="43">
        <v>46144.338194444441</v>
      </c>
      <c r="S91" s="58">
        <v>2.2222222222222223E-2</v>
      </c>
      <c r="T91" s="33" t="s">
        <v>799</v>
      </c>
      <c r="U91" s="43">
        <v>46144.466666666667</v>
      </c>
      <c r="V91" s="58">
        <v>6.458333333333334E-2</v>
      </c>
      <c r="W91" s="33" t="s">
        <v>799</v>
      </c>
      <c r="X91" s="43">
        <v>46144.466666666667</v>
      </c>
      <c r="Y91" s="58">
        <v>6.458333333333334E-2</v>
      </c>
      <c r="Z91" s="33" t="s">
        <v>799</v>
      </c>
      <c r="AA91" s="43">
        <v>46144.541666666664</v>
      </c>
      <c r="AB91" s="33" t="s">
        <v>81</v>
      </c>
      <c r="AC91" s="33" t="s">
        <v>875</v>
      </c>
      <c r="AD91" s="58">
        <v>0.31319444444444444</v>
      </c>
      <c r="AE91" s="58">
        <v>0.19305555555555556</v>
      </c>
      <c r="AF91" s="58">
        <v>0.31319444444444444</v>
      </c>
      <c r="AG91" s="33" t="s">
        <v>832</v>
      </c>
      <c r="AH91" s="33">
        <v>2</v>
      </c>
      <c r="AI91" s="43">
        <v>46144.466666666667</v>
      </c>
      <c r="AJ91" s="33" t="s">
        <v>793</v>
      </c>
      <c r="AK91" s="42">
        <v>395827.15</v>
      </c>
      <c r="AL91" s="33" t="s">
        <v>833</v>
      </c>
    </row>
    <row r="92" spans="1:38">
      <c r="A92" s="33">
        <v>6002499</v>
      </c>
      <c r="B92" s="33"/>
      <c r="C92" s="33" t="s">
        <v>789</v>
      </c>
      <c r="D92" s="33" t="s">
        <v>790</v>
      </c>
      <c r="E92" s="33" t="s">
        <v>905</v>
      </c>
      <c r="F92" s="43">
        <v>46144.333333333336</v>
      </c>
      <c r="G92" s="33" t="s">
        <v>792</v>
      </c>
      <c r="H92" s="33"/>
      <c r="I92" s="33" t="s">
        <v>793</v>
      </c>
      <c r="J92" s="33" t="s">
        <v>906</v>
      </c>
      <c r="K92" s="33" t="s">
        <v>75</v>
      </c>
      <c r="L92" s="33" t="s">
        <v>907</v>
      </c>
      <c r="M92" s="43">
        <v>46144.470578703702</v>
      </c>
      <c r="N92" s="33" t="s">
        <v>796</v>
      </c>
      <c r="O92" s="33" t="s">
        <v>797</v>
      </c>
      <c r="P92" s="33" t="s">
        <v>861</v>
      </c>
      <c r="Q92" s="43">
        <v>46144.317361111112</v>
      </c>
      <c r="R92" s="43">
        <v>46144.338194444441</v>
      </c>
      <c r="S92" s="58">
        <v>2.0833333333333332E-2</v>
      </c>
      <c r="T92" s="33" t="s">
        <v>799</v>
      </c>
      <c r="U92" s="43">
        <v>46144.438194444447</v>
      </c>
      <c r="V92" s="58">
        <v>1.1111111111111112E-2</v>
      </c>
      <c r="W92" s="33"/>
      <c r="X92" s="33"/>
      <c r="Y92" s="33"/>
      <c r="Z92" s="33" t="s">
        <v>799</v>
      </c>
      <c r="AA92" s="43">
        <v>46144.541666666664</v>
      </c>
      <c r="AB92" s="33" t="s">
        <v>908</v>
      </c>
      <c r="AC92" s="33" t="s">
        <v>909</v>
      </c>
      <c r="AD92" s="58">
        <v>0.25138888888888888</v>
      </c>
      <c r="AE92" s="33"/>
      <c r="AF92" s="58">
        <v>0.25138888888888888</v>
      </c>
      <c r="AG92" s="33" t="s">
        <v>801</v>
      </c>
      <c r="AH92" s="33">
        <v>2</v>
      </c>
      <c r="AI92" s="43">
        <v>46144.438194444447</v>
      </c>
      <c r="AJ92" s="33" t="s">
        <v>793</v>
      </c>
      <c r="AK92" s="42">
        <v>994791.43</v>
      </c>
      <c r="AL92" s="33" t="s">
        <v>802</v>
      </c>
    </row>
    <row r="93" spans="1:38">
      <c r="A93" s="33">
        <v>5996069</v>
      </c>
      <c r="B93" s="33"/>
      <c r="C93" s="33" t="s">
        <v>789</v>
      </c>
      <c r="D93" s="33" t="s">
        <v>885</v>
      </c>
      <c r="E93" s="33" t="s">
        <v>910</v>
      </c>
      <c r="F93" s="43">
        <v>46144.333333333336</v>
      </c>
      <c r="G93" s="33" t="s">
        <v>792</v>
      </c>
      <c r="H93" s="33"/>
      <c r="I93" s="33" t="s">
        <v>793</v>
      </c>
      <c r="J93" s="33" t="s">
        <v>911</v>
      </c>
      <c r="K93" s="33" t="s">
        <v>912</v>
      </c>
      <c r="L93" s="33" t="s">
        <v>913</v>
      </c>
      <c r="M93" s="43">
        <v>46144.482048611113</v>
      </c>
      <c r="N93" s="33" t="s">
        <v>889</v>
      </c>
      <c r="O93" s="33" t="s">
        <v>868</v>
      </c>
      <c r="P93" s="33" t="s">
        <v>861</v>
      </c>
      <c r="Q93" s="43">
        <v>46144.315972222219</v>
      </c>
      <c r="R93" s="43">
        <v>46144.338194444441</v>
      </c>
      <c r="S93" s="58">
        <v>2.2222222222222223E-2</v>
      </c>
      <c r="T93" s="33" t="s">
        <v>799</v>
      </c>
      <c r="U93" s="43">
        <v>46144.465277777781</v>
      </c>
      <c r="V93" s="58">
        <v>1.6666666666666666E-2</v>
      </c>
      <c r="W93" s="33"/>
      <c r="X93" s="33"/>
      <c r="Y93" s="33"/>
      <c r="Z93" s="33" t="s">
        <v>799</v>
      </c>
      <c r="AA93" s="43">
        <v>46144.541666666664</v>
      </c>
      <c r="AB93" s="33" t="s">
        <v>81</v>
      </c>
      <c r="AC93" s="33" t="s">
        <v>81</v>
      </c>
      <c r="AD93" s="58">
        <v>0.21458333333333332</v>
      </c>
      <c r="AE93" s="33"/>
      <c r="AF93" s="58">
        <v>0.21458333333333332</v>
      </c>
      <c r="AG93" s="33" t="s">
        <v>891</v>
      </c>
      <c r="AH93" s="33">
        <v>2</v>
      </c>
      <c r="AI93" s="43">
        <v>46144.465277777781</v>
      </c>
      <c r="AJ93" s="33" t="s">
        <v>793</v>
      </c>
      <c r="AK93" s="42">
        <v>706985.76</v>
      </c>
      <c r="AL93" s="33" t="s">
        <v>892</v>
      </c>
    </row>
    <row r="94" spans="1:38">
      <c r="A94" s="33">
        <v>6002372</v>
      </c>
      <c r="B94" s="33"/>
      <c r="C94" s="33" t="s">
        <v>789</v>
      </c>
      <c r="D94" s="33" t="s">
        <v>914</v>
      </c>
      <c r="E94" s="33" t="s">
        <v>915</v>
      </c>
      <c r="F94" s="43">
        <v>46144.375</v>
      </c>
      <c r="G94" s="33" t="s">
        <v>792</v>
      </c>
      <c r="H94" s="33"/>
      <c r="I94" s="33" t="s">
        <v>793</v>
      </c>
      <c r="J94" s="33" t="s">
        <v>860</v>
      </c>
      <c r="K94" s="33" t="s">
        <v>916</v>
      </c>
      <c r="L94" s="33" t="s">
        <v>917</v>
      </c>
      <c r="M94" s="43">
        <v>46144.50440972222</v>
      </c>
      <c r="N94" s="33" t="s">
        <v>918</v>
      </c>
      <c r="O94" s="33" t="s">
        <v>868</v>
      </c>
      <c r="P94" s="33" t="s">
        <v>861</v>
      </c>
      <c r="Q94" s="43">
        <v>46144.351388888892</v>
      </c>
      <c r="R94" s="43">
        <v>46144.376388888886</v>
      </c>
      <c r="S94" s="58">
        <v>2.5000000000000001E-2</v>
      </c>
      <c r="T94" s="33" t="s">
        <v>799</v>
      </c>
      <c r="U94" s="43">
        <v>46144.482638888891</v>
      </c>
      <c r="V94" s="58">
        <v>2.1527777777777778E-2</v>
      </c>
      <c r="W94" s="33"/>
      <c r="X94" s="33"/>
      <c r="Y94" s="33"/>
      <c r="Z94" s="33" t="s">
        <v>799</v>
      </c>
      <c r="AA94" s="43">
        <v>46144.583333333336</v>
      </c>
      <c r="AB94" s="33" t="s">
        <v>81</v>
      </c>
      <c r="AC94" s="33" t="s">
        <v>81</v>
      </c>
      <c r="AD94" s="58">
        <v>0.28333333333333333</v>
      </c>
      <c r="AE94" s="33"/>
      <c r="AF94" s="58">
        <v>0.28333333333333333</v>
      </c>
      <c r="AG94" s="33" t="s">
        <v>919</v>
      </c>
      <c r="AH94" s="33">
        <v>2</v>
      </c>
      <c r="AI94" s="43">
        <v>46144.482638888891</v>
      </c>
      <c r="AJ94" s="33" t="s">
        <v>793</v>
      </c>
      <c r="AK94" s="42">
        <v>572811.36</v>
      </c>
      <c r="AL94" s="33" t="s">
        <v>920</v>
      </c>
    </row>
    <row r="95" spans="1:38">
      <c r="A95" s="33">
        <v>6002507</v>
      </c>
      <c r="B95" s="33"/>
      <c r="C95" s="33" t="s">
        <v>789</v>
      </c>
      <c r="D95" s="33" t="s">
        <v>849</v>
      </c>
      <c r="E95" s="33" t="s">
        <v>921</v>
      </c>
      <c r="F95" s="43">
        <v>46144.541666666664</v>
      </c>
      <c r="G95" s="33" t="s">
        <v>792</v>
      </c>
      <c r="H95" s="33"/>
      <c r="I95" s="33" t="s">
        <v>793</v>
      </c>
      <c r="J95" s="33" t="s">
        <v>922</v>
      </c>
      <c r="K95" s="33" t="s">
        <v>75</v>
      </c>
      <c r="L95" s="33" t="s">
        <v>806</v>
      </c>
      <c r="M95" s="43">
        <v>46144.792210648149</v>
      </c>
      <c r="N95" s="33" t="s">
        <v>852</v>
      </c>
      <c r="O95" s="33" t="s">
        <v>797</v>
      </c>
      <c r="P95" s="33" t="s">
        <v>861</v>
      </c>
      <c r="Q95" s="33"/>
      <c r="R95" s="33"/>
      <c r="S95" s="33"/>
      <c r="T95" s="33" t="s">
        <v>799</v>
      </c>
      <c r="U95" s="43">
        <v>46144.222222222219</v>
      </c>
      <c r="V95" s="58">
        <v>0.11041666666666666</v>
      </c>
      <c r="W95" s="33"/>
      <c r="X95" s="33"/>
      <c r="Y95" s="33"/>
      <c r="Z95" s="33" t="s">
        <v>799</v>
      </c>
      <c r="AA95" s="43">
        <v>46144.583333333336</v>
      </c>
      <c r="AB95" s="33" t="s">
        <v>81</v>
      </c>
      <c r="AC95" s="33" t="s">
        <v>923</v>
      </c>
      <c r="AD95" s="58">
        <v>0.57361111111111107</v>
      </c>
      <c r="AE95" s="33"/>
      <c r="AF95" s="58">
        <v>0.57361111111111107</v>
      </c>
      <c r="AG95" s="33" t="s">
        <v>853</v>
      </c>
      <c r="AH95" s="33">
        <v>1</v>
      </c>
      <c r="AI95" s="43">
        <v>46144.222222222219</v>
      </c>
      <c r="AJ95" s="33" t="s">
        <v>793</v>
      </c>
      <c r="AK95" s="42">
        <v>886739.18</v>
      </c>
      <c r="AL95" s="33" t="s">
        <v>854</v>
      </c>
    </row>
    <row r="96" spans="1:38">
      <c r="A96" s="33" t="s">
        <v>924</v>
      </c>
      <c r="B96" s="33"/>
      <c r="C96" s="33" t="s">
        <v>789</v>
      </c>
      <c r="D96" s="33" t="s">
        <v>925</v>
      </c>
      <c r="E96" s="33" t="s">
        <v>926</v>
      </c>
      <c r="F96" s="43">
        <v>46144.291666666664</v>
      </c>
      <c r="G96" s="33" t="s">
        <v>792</v>
      </c>
      <c r="H96" s="33"/>
      <c r="I96" s="33" t="s">
        <v>793</v>
      </c>
      <c r="J96" s="33" t="s">
        <v>860</v>
      </c>
      <c r="K96" s="33" t="s">
        <v>75</v>
      </c>
      <c r="L96" s="33" t="s">
        <v>812</v>
      </c>
      <c r="M96" s="43">
        <v>46144.599062499998</v>
      </c>
      <c r="N96" s="33" t="s">
        <v>927</v>
      </c>
      <c r="O96" s="33" t="s">
        <v>797</v>
      </c>
      <c r="P96" s="33" t="s">
        <v>861</v>
      </c>
      <c r="Q96" s="43">
        <v>46144.267361111109</v>
      </c>
      <c r="R96" s="43">
        <v>46144.276388888888</v>
      </c>
      <c r="S96" s="58">
        <v>9.0277777777777769E-3</v>
      </c>
      <c r="T96" s="33" t="s">
        <v>799</v>
      </c>
      <c r="U96" s="43">
        <v>46144.534722222219</v>
      </c>
      <c r="V96" s="58">
        <v>6.25E-2</v>
      </c>
      <c r="W96" s="33" t="s">
        <v>799</v>
      </c>
      <c r="X96" s="43">
        <v>46144.534722222219</v>
      </c>
      <c r="Y96" s="58">
        <v>6.25E-2</v>
      </c>
      <c r="Z96" s="33" t="s">
        <v>799</v>
      </c>
      <c r="AA96" s="43">
        <v>46144.666666666664</v>
      </c>
      <c r="AB96" s="33" t="s">
        <v>81</v>
      </c>
      <c r="AC96" s="33" t="s">
        <v>862</v>
      </c>
      <c r="AD96" s="58">
        <v>0.32916666666666666</v>
      </c>
      <c r="AE96" s="58">
        <v>0.32222222222222224</v>
      </c>
      <c r="AF96" s="58">
        <v>0.32916666666666666</v>
      </c>
      <c r="AG96" s="33" t="s">
        <v>928</v>
      </c>
      <c r="AH96" s="33">
        <v>2</v>
      </c>
      <c r="AI96" s="43">
        <v>46144.534722222219</v>
      </c>
      <c r="AJ96" s="33" t="s">
        <v>793</v>
      </c>
      <c r="AK96" s="42">
        <v>1564760.36</v>
      </c>
      <c r="AL96" s="33" t="s">
        <v>929</v>
      </c>
    </row>
    <row r="97" spans="1:38">
      <c r="A97" s="33" t="s">
        <v>930</v>
      </c>
      <c r="B97" s="33"/>
      <c r="C97" s="33" t="s">
        <v>789</v>
      </c>
      <c r="D97" s="33" t="s">
        <v>931</v>
      </c>
      <c r="E97" s="33" t="s">
        <v>932</v>
      </c>
      <c r="F97" s="43">
        <v>46144.291666666664</v>
      </c>
      <c r="G97" s="33" t="s">
        <v>792</v>
      </c>
      <c r="H97" s="33"/>
      <c r="I97" s="33" t="s">
        <v>793</v>
      </c>
      <c r="J97" s="33" t="s">
        <v>911</v>
      </c>
      <c r="K97" s="33" t="s">
        <v>75</v>
      </c>
      <c r="L97" s="33" t="s">
        <v>812</v>
      </c>
      <c r="M97" s="43">
        <v>46144.599386574075</v>
      </c>
      <c r="N97" s="33" t="s">
        <v>933</v>
      </c>
      <c r="O97" s="33" t="s">
        <v>797</v>
      </c>
      <c r="P97" s="33" t="s">
        <v>861</v>
      </c>
      <c r="Q97" s="43">
        <v>46144.270138888889</v>
      </c>
      <c r="R97" s="43">
        <v>46144.277083333334</v>
      </c>
      <c r="S97" s="58">
        <v>6.9444444444444441E-3</v>
      </c>
      <c r="T97" s="33" t="s">
        <v>799</v>
      </c>
      <c r="U97" s="43">
        <v>46144.533333333333</v>
      </c>
      <c r="V97" s="58">
        <v>6.5277777777777782E-2</v>
      </c>
      <c r="W97" s="33" t="s">
        <v>799</v>
      </c>
      <c r="X97" s="43">
        <v>46144.533333333333</v>
      </c>
      <c r="Y97" s="58">
        <v>6.5277777777777782E-2</v>
      </c>
      <c r="Z97" s="33" t="s">
        <v>799</v>
      </c>
      <c r="AA97" s="43">
        <v>46144.666666666664</v>
      </c>
      <c r="AB97" s="33" t="s">
        <v>81</v>
      </c>
      <c r="AC97" s="33" t="s">
        <v>934</v>
      </c>
      <c r="AD97" s="58">
        <v>0.3298611111111111</v>
      </c>
      <c r="AE97" s="58">
        <v>0.3215277777777778</v>
      </c>
      <c r="AF97" s="58">
        <v>0.3298611111111111</v>
      </c>
      <c r="AG97" s="33" t="s">
        <v>935</v>
      </c>
      <c r="AH97" s="33">
        <v>2</v>
      </c>
      <c r="AI97" s="43">
        <v>46144.533333333333</v>
      </c>
      <c r="AJ97" s="33" t="s">
        <v>793</v>
      </c>
      <c r="AK97" s="42">
        <v>1585203.96</v>
      </c>
      <c r="AL97" s="33" t="s">
        <v>936</v>
      </c>
    </row>
    <row r="98" spans="1:38">
      <c r="A98" s="33" t="s">
        <v>937</v>
      </c>
      <c r="B98" s="33"/>
      <c r="C98" s="33" t="s">
        <v>789</v>
      </c>
      <c r="D98" s="33" t="s">
        <v>938</v>
      </c>
      <c r="E98" s="33" t="s">
        <v>939</v>
      </c>
      <c r="F98" s="43">
        <v>46144.375</v>
      </c>
      <c r="G98" s="33" t="s">
        <v>792</v>
      </c>
      <c r="H98" s="33"/>
      <c r="I98" s="33" t="s">
        <v>793</v>
      </c>
      <c r="J98" s="33" t="s">
        <v>856</v>
      </c>
      <c r="K98" s="33" t="s">
        <v>75</v>
      </c>
      <c r="L98" s="33" t="s">
        <v>795</v>
      </c>
      <c r="M98" s="43">
        <v>46144.545092592591</v>
      </c>
      <c r="N98" s="33" t="s">
        <v>940</v>
      </c>
      <c r="O98" s="33" t="s">
        <v>175</v>
      </c>
      <c r="P98" s="33" t="s">
        <v>798</v>
      </c>
      <c r="Q98" s="43">
        <v>46144.357638888891</v>
      </c>
      <c r="R98" s="43">
        <v>46144.386805555558</v>
      </c>
      <c r="S98" s="58">
        <v>2.9166666666666667E-2</v>
      </c>
      <c r="T98" s="33" t="s">
        <v>799</v>
      </c>
      <c r="U98" s="43">
        <v>46144.535416666666</v>
      </c>
      <c r="V98" s="58">
        <v>6.9444444444444441E-3</v>
      </c>
      <c r="W98" s="33"/>
      <c r="X98" s="33"/>
      <c r="Y98" s="33"/>
      <c r="Z98" s="33" t="s">
        <v>799</v>
      </c>
      <c r="AA98" s="43">
        <v>46144.666666666664</v>
      </c>
      <c r="AB98" s="33" t="s">
        <v>941</v>
      </c>
      <c r="AC98" s="33" t="s">
        <v>858</v>
      </c>
      <c r="AD98" s="58">
        <v>0.21736111111111112</v>
      </c>
      <c r="AE98" s="33"/>
      <c r="AF98" s="58">
        <v>0.21736111111111112</v>
      </c>
      <c r="AG98" s="33" t="s">
        <v>942</v>
      </c>
      <c r="AH98" s="33">
        <v>2</v>
      </c>
      <c r="AI98" s="43">
        <v>46144.535416666666</v>
      </c>
      <c r="AJ98" s="33" t="s">
        <v>793</v>
      </c>
      <c r="AK98" s="42">
        <v>1301605.3600000001</v>
      </c>
      <c r="AL98" s="33" t="s">
        <v>943</v>
      </c>
    </row>
    <row r="99" spans="1:38">
      <c r="A99" s="33" t="s">
        <v>944</v>
      </c>
      <c r="B99" s="33"/>
      <c r="C99" s="33" t="s">
        <v>789</v>
      </c>
      <c r="D99" s="33" t="s">
        <v>945</v>
      </c>
      <c r="E99" s="33" t="s">
        <v>946</v>
      </c>
      <c r="F99" s="43">
        <v>46144.322916666664</v>
      </c>
      <c r="G99" s="33" t="s">
        <v>227</v>
      </c>
      <c r="H99" s="33"/>
      <c r="I99" s="33" t="s">
        <v>73</v>
      </c>
      <c r="J99" s="33" t="s">
        <v>947</v>
      </c>
      <c r="K99" s="33" t="s">
        <v>75</v>
      </c>
      <c r="L99" s="33" t="s">
        <v>948</v>
      </c>
      <c r="M99" s="43">
        <v>46144.605243055557</v>
      </c>
      <c r="N99" s="33" t="s">
        <v>949</v>
      </c>
      <c r="O99" s="33" t="s">
        <v>797</v>
      </c>
      <c r="P99" s="33" t="s">
        <v>79</v>
      </c>
      <c r="Q99" s="33"/>
      <c r="R99" s="33"/>
      <c r="S99" s="33"/>
      <c r="T99" s="33" t="s">
        <v>286</v>
      </c>
      <c r="U99" s="43">
        <v>46144.351388888892</v>
      </c>
      <c r="V99" s="58">
        <v>0.21388888888888888</v>
      </c>
      <c r="W99" s="33" t="s">
        <v>950</v>
      </c>
      <c r="X99" s="43">
        <v>46144.581944444442</v>
      </c>
      <c r="Y99" s="58">
        <v>2.2916666666666665E-2</v>
      </c>
      <c r="Z99" s="33" t="s">
        <v>286</v>
      </c>
      <c r="AA99" s="43">
        <v>46144.333333333336</v>
      </c>
      <c r="AB99" s="33" t="s">
        <v>951</v>
      </c>
      <c r="AC99" s="33" t="s">
        <v>952</v>
      </c>
      <c r="AD99" s="58">
        <v>0.27430555555555558</v>
      </c>
      <c r="AE99" s="58">
        <v>3.9583333333333331E-2</v>
      </c>
      <c r="AF99" s="58">
        <v>0.27430555555555558</v>
      </c>
      <c r="AG99" s="33" t="s">
        <v>953</v>
      </c>
      <c r="AH99" s="33">
        <v>3</v>
      </c>
      <c r="AI99" s="43">
        <v>46144.351388888892</v>
      </c>
      <c r="AJ99" s="33" t="s">
        <v>73</v>
      </c>
      <c r="AK99" s="42">
        <v>330606.25</v>
      </c>
      <c r="AL99" s="33" t="s">
        <v>954</v>
      </c>
    </row>
    <row r="100" spans="1:38">
      <c r="A100" s="33" t="s">
        <v>955</v>
      </c>
      <c r="B100" s="33"/>
      <c r="C100" s="33" t="s">
        <v>789</v>
      </c>
      <c r="D100" s="33" t="s">
        <v>956</v>
      </c>
      <c r="E100" s="33" t="s">
        <v>957</v>
      </c>
      <c r="F100" s="43">
        <v>46144.541666666664</v>
      </c>
      <c r="G100" s="33" t="s">
        <v>171</v>
      </c>
      <c r="H100" s="33"/>
      <c r="I100" s="33" t="s">
        <v>793</v>
      </c>
      <c r="J100" s="33" t="s">
        <v>958</v>
      </c>
      <c r="K100" s="33" t="s">
        <v>959</v>
      </c>
      <c r="L100" s="33" t="s">
        <v>960</v>
      </c>
      <c r="M100" s="43">
        <v>46144.708009259259</v>
      </c>
      <c r="N100" s="33" t="s">
        <v>174</v>
      </c>
      <c r="O100" s="33" t="s">
        <v>868</v>
      </c>
      <c r="P100" s="33" t="s">
        <v>861</v>
      </c>
      <c r="Q100" s="33"/>
      <c r="R100" s="33"/>
      <c r="S100" s="33"/>
      <c r="T100" s="33" t="s">
        <v>308</v>
      </c>
      <c r="U100" s="43">
        <v>46144.690972222219</v>
      </c>
      <c r="V100" s="58">
        <v>1.6666666666666666E-2</v>
      </c>
      <c r="W100" s="33"/>
      <c r="X100" s="33"/>
      <c r="Y100" s="33"/>
      <c r="Z100" s="33" t="s">
        <v>308</v>
      </c>
      <c r="AA100" s="43">
        <v>46146</v>
      </c>
      <c r="AB100" s="33" t="s">
        <v>81</v>
      </c>
      <c r="AC100" s="33" t="s">
        <v>81</v>
      </c>
      <c r="AD100" s="58">
        <v>0.21944444444444444</v>
      </c>
      <c r="AE100" s="33"/>
      <c r="AF100" s="58">
        <v>0.21944444444444444</v>
      </c>
      <c r="AG100" s="33" t="s">
        <v>961</v>
      </c>
      <c r="AH100" s="33">
        <v>1</v>
      </c>
      <c r="AI100" s="43">
        <v>46144.690972222219</v>
      </c>
      <c r="AJ100" s="33" t="s">
        <v>793</v>
      </c>
      <c r="AK100" s="42">
        <v>958349.28</v>
      </c>
      <c r="AL100" s="33" t="s">
        <v>962</v>
      </c>
    </row>
    <row r="101" spans="1:38">
      <c r="A101" s="33" t="s">
        <v>963</v>
      </c>
      <c r="B101" s="33"/>
      <c r="C101" s="33" t="s">
        <v>789</v>
      </c>
      <c r="D101" s="33" t="s">
        <v>599</v>
      </c>
      <c r="E101" s="33" t="s">
        <v>964</v>
      </c>
      <c r="F101" s="43">
        <v>46144.541666666664</v>
      </c>
      <c r="G101" s="33" t="s">
        <v>171</v>
      </c>
      <c r="H101" s="33"/>
      <c r="I101" s="33" t="s">
        <v>793</v>
      </c>
      <c r="J101" s="33" t="s">
        <v>965</v>
      </c>
      <c r="K101" s="33" t="s">
        <v>104</v>
      </c>
      <c r="L101" s="33" t="s">
        <v>966</v>
      </c>
      <c r="M101" s="43">
        <v>46144.786030092589</v>
      </c>
      <c r="N101" s="33" t="s">
        <v>603</v>
      </c>
      <c r="O101" s="33" t="s">
        <v>797</v>
      </c>
      <c r="P101" s="33" t="s">
        <v>967</v>
      </c>
      <c r="Q101" s="33"/>
      <c r="R101" s="33"/>
      <c r="S101" s="33"/>
      <c r="T101" s="33" t="s">
        <v>308</v>
      </c>
      <c r="U101" s="43">
        <v>46144.734027777777</v>
      </c>
      <c r="V101" s="58">
        <v>4.4444444444444446E-2</v>
      </c>
      <c r="W101" s="33"/>
      <c r="X101" s="33"/>
      <c r="Y101" s="33"/>
      <c r="Z101" s="33" t="s">
        <v>308</v>
      </c>
      <c r="AA101" s="43">
        <v>46146</v>
      </c>
      <c r="AB101" s="33" t="s">
        <v>81</v>
      </c>
      <c r="AC101" s="33" t="s">
        <v>968</v>
      </c>
      <c r="AD101" s="58">
        <v>0.26944444444444443</v>
      </c>
      <c r="AE101" s="33"/>
      <c r="AF101" s="58">
        <v>0.26944444444444443</v>
      </c>
      <c r="AG101" s="33" t="s">
        <v>969</v>
      </c>
      <c r="AH101" s="33">
        <v>1</v>
      </c>
      <c r="AI101" s="43">
        <v>46144.734027777777</v>
      </c>
      <c r="AJ101" s="33" t="s">
        <v>793</v>
      </c>
      <c r="AK101" s="42">
        <v>454056.07</v>
      </c>
      <c r="AL101" s="33" t="s">
        <v>609</v>
      </c>
    </row>
    <row r="102" spans="1:38">
      <c r="A102" s="33">
        <v>5996344</v>
      </c>
      <c r="B102" s="33"/>
      <c r="C102" s="33" t="s">
        <v>789</v>
      </c>
      <c r="D102" s="33" t="s">
        <v>827</v>
      </c>
      <c r="E102" s="33" t="s">
        <v>970</v>
      </c>
      <c r="F102" s="43">
        <v>46144.75</v>
      </c>
      <c r="G102" s="33" t="s">
        <v>792</v>
      </c>
      <c r="H102" s="33"/>
      <c r="I102" s="33" t="s">
        <v>793</v>
      </c>
      <c r="J102" s="33" t="s">
        <v>872</v>
      </c>
      <c r="K102" s="33" t="s">
        <v>971</v>
      </c>
      <c r="L102" s="33" t="s">
        <v>972</v>
      </c>
      <c r="M102" s="43">
        <v>46145.283703703702</v>
      </c>
      <c r="N102" s="33" t="s">
        <v>831</v>
      </c>
      <c r="O102" s="33" t="s">
        <v>797</v>
      </c>
      <c r="P102" s="33" t="s">
        <v>861</v>
      </c>
      <c r="Q102" s="43">
        <v>46144.746527777781</v>
      </c>
      <c r="R102" s="43">
        <v>46144.761805555558</v>
      </c>
      <c r="S102" s="58">
        <v>1.5277777777777777E-2</v>
      </c>
      <c r="T102" s="33" t="s">
        <v>799</v>
      </c>
      <c r="U102" s="43">
        <v>46145.19027777778</v>
      </c>
      <c r="V102" s="58">
        <v>9.2361111111111116E-2</v>
      </c>
      <c r="W102" s="33" t="s">
        <v>799</v>
      </c>
      <c r="X102" s="43">
        <v>46145.19027777778</v>
      </c>
      <c r="Y102" s="58">
        <v>9.2361111111111116E-2</v>
      </c>
      <c r="Z102" s="33" t="s">
        <v>799</v>
      </c>
      <c r="AA102" s="43">
        <v>46145.958333333336</v>
      </c>
      <c r="AB102" s="33" t="s">
        <v>81</v>
      </c>
      <c r="AC102" s="33" t="s">
        <v>875</v>
      </c>
      <c r="AD102" s="58">
        <v>0.63749999999999996</v>
      </c>
      <c r="AE102" s="58">
        <v>0.52152777777777781</v>
      </c>
      <c r="AF102" s="58">
        <v>0.63749999999999996</v>
      </c>
      <c r="AG102" s="33" t="s">
        <v>832</v>
      </c>
      <c r="AH102" s="33">
        <v>2</v>
      </c>
      <c r="AI102" s="43">
        <v>46145.19027777778</v>
      </c>
      <c r="AJ102" s="33" t="s">
        <v>793</v>
      </c>
      <c r="AK102" s="42">
        <v>526037.44999999995</v>
      </c>
      <c r="AL102" s="33" t="s">
        <v>833</v>
      </c>
    </row>
    <row r="103" spans="1:38">
      <c r="A103" s="33">
        <v>6001840</v>
      </c>
      <c r="B103" s="33"/>
      <c r="C103" s="33" t="s">
        <v>789</v>
      </c>
      <c r="D103" s="33" t="s">
        <v>809</v>
      </c>
      <c r="E103" s="33" t="s">
        <v>973</v>
      </c>
      <c r="F103" s="43">
        <v>46144.75</v>
      </c>
      <c r="G103" s="33" t="s">
        <v>792</v>
      </c>
      <c r="H103" s="33"/>
      <c r="I103" s="33" t="s">
        <v>793</v>
      </c>
      <c r="J103" s="33" t="s">
        <v>922</v>
      </c>
      <c r="K103" s="33" t="s">
        <v>75</v>
      </c>
      <c r="L103" s="33" t="s">
        <v>974</v>
      </c>
      <c r="M103" s="43">
        <v>46144.861678240741</v>
      </c>
      <c r="N103" s="33" t="s">
        <v>813</v>
      </c>
      <c r="O103" s="33" t="s">
        <v>797</v>
      </c>
      <c r="P103" s="33" t="s">
        <v>861</v>
      </c>
      <c r="Q103" s="43">
        <v>46144.731944444444</v>
      </c>
      <c r="R103" s="43">
        <v>46144.751388888886</v>
      </c>
      <c r="S103" s="58">
        <v>1.9444444444444445E-2</v>
      </c>
      <c r="T103" s="33" t="s">
        <v>799</v>
      </c>
      <c r="U103" s="43">
        <v>46144.861111111109</v>
      </c>
      <c r="V103" s="58">
        <v>3.472222222222222E-3</v>
      </c>
      <c r="W103" s="33" t="s">
        <v>799</v>
      </c>
      <c r="X103" s="43">
        <v>46144.861111111109</v>
      </c>
      <c r="Y103" s="58">
        <v>3.472222222222222E-3</v>
      </c>
      <c r="Z103" s="33" t="s">
        <v>799</v>
      </c>
      <c r="AA103" s="43">
        <v>46145.958333333336</v>
      </c>
      <c r="AB103" s="33" t="s">
        <v>81</v>
      </c>
      <c r="AC103" s="33" t="s">
        <v>923</v>
      </c>
      <c r="AD103" s="58">
        <v>0.21180555555555555</v>
      </c>
      <c r="AE103" s="58">
        <v>0.11041666666666666</v>
      </c>
      <c r="AF103" s="58">
        <v>0.21180555555555555</v>
      </c>
      <c r="AG103" s="33" t="s">
        <v>815</v>
      </c>
      <c r="AH103" s="33">
        <v>2</v>
      </c>
      <c r="AI103" s="43">
        <v>46144.861111111109</v>
      </c>
      <c r="AJ103" s="33" t="s">
        <v>793</v>
      </c>
      <c r="AK103" s="42">
        <v>1096514.82</v>
      </c>
      <c r="AL103" s="33" t="s">
        <v>816</v>
      </c>
    </row>
    <row r="104" spans="1:38">
      <c r="A104" s="33">
        <v>6000594</v>
      </c>
      <c r="B104" s="33"/>
      <c r="C104" s="33" t="s">
        <v>789</v>
      </c>
      <c r="D104" s="33" t="s">
        <v>975</v>
      </c>
      <c r="E104" s="33" t="s">
        <v>976</v>
      </c>
      <c r="F104" s="43">
        <v>46144.708333333336</v>
      </c>
      <c r="G104" s="33" t="s">
        <v>792</v>
      </c>
      <c r="H104" s="33"/>
      <c r="I104" s="33" t="s">
        <v>793</v>
      </c>
      <c r="J104" s="33" t="s">
        <v>922</v>
      </c>
      <c r="K104" s="33" t="s">
        <v>75</v>
      </c>
      <c r="L104" s="33" t="s">
        <v>857</v>
      </c>
      <c r="M104" s="43">
        <v>46144.827719907407</v>
      </c>
      <c r="N104" s="33" t="s">
        <v>977</v>
      </c>
      <c r="O104" s="33" t="s">
        <v>797</v>
      </c>
      <c r="P104" s="33" t="s">
        <v>861</v>
      </c>
      <c r="Q104" s="43">
        <v>46144.688194444447</v>
      </c>
      <c r="R104" s="43">
        <v>46144.709027777775</v>
      </c>
      <c r="S104" s="58">
        <v>2.0833333333333332E-2</v>
      </c>
      <c r="T104" s="33" t="s">
        <v>799</v>
      </c>
      <c r="U104" s="43">
        <v>46144.82708333333</v>
      </c>
      <c r="V104" s="58">
        <v>2.0833333333333333E-3</v>
      </c>
      <c r="W104" s="33" t="s">
        <v>799</v>
      </c>
      <c r="X104" s="43">
        <v>46144.82708333333</v>
      </c>
      <c r="Y104" s="58">
        <v>2.0833333333333333E-3</v>
      </c>
      <c r="Z104" s="33" t="s">
        <v>799</v>
      </c>
      <c r="AA104" s="43">
        <v>46145.958333333336</v>
      </c>
      <c r="AB104" s="33" t="s">
        <v>81</v>
      </c>
      <c r="AC104" s="33" t="s">
        <v>923</v>
      </c>
      <c r="AD104" s="58">
        <v>0.17708333333333334</v>
      </c>
      <c r="AE104" s="58">
        <v>0.11874999999999999</v>
      </c>
      <c r="AF104" s="58">
        <v>0.17708333333333334</v>
      </c>
      <c r="AG104" s="33" t="s">
        <v>978</v>
      </c>
      <c r="AH104" s="33">
        <v>2</v>
      </c>
      <c r="AI104" s="43">
        <v>46144.82708333333</v>
      </c>
      <c r="AJ104" s="33" t="s">
        <v>793</v>
      </c>
      <c r="AK104" s="42">
        <v>1120482.24</v>
      </c>
      <c r="AL104" s="33" t="s">
        <v>979</v>
      </c>
    </row>
    <row r="105" spans="1:38">
      <c r="A105" s="33" t="s">
        <v>980</v>
      </c>
      <c r="B105" s="33"/>
      <c r="C105" s="33" t="s">
        <v>789</v>
      </c>
      <c r="D105" s="33" t="s">
        <v>981</v>
      </c>
      <c r="E105" s="33" t="s">
        <v>982</v>
      </c>
      <c r="F105" s="43">
        <v>46146.125</v>
      </c>
      <c r="G105" s="33" t="s">
        <v>171</v>
      </c>
      <c r="H105" s="33"/>
      <c r="I105" s="33" t="s">
        <v>73</v>
      </c>
      <c r="J105" s="33" t="s">
        <v>983</v>
      </c>
      <c r="K105" s="33" t="s">
        <v>75</v>
      </c>
      <c r="L105" s="33" t="s">
        <v>880</v>
      </c>
      <c r="M105" s="43">
        <v>46147.661770833336</v>
      </c>
      <c r="N105" s="33" t="s">
        <v>174</v>
      </c>
      <c r="O105" s="33" t="s">
        <v>797</v>
      </c>
      <c r="P105" s="33" t="s">
        <v>140</v>
      </c>
      <c r="Q105" s="43">
        <v>46146.137499999997</v>
      </c>
      <c r="R105" s="43">
        <v>46146.265277777777</v>
      </c>
      <c r="S105" s="58">
        <v>0.12777777777777777</v>
      </c>
      <c r="T105" s="33" t="s">
        <v>984</v>
      </c>
      <c r="U105" s="43">
        <v>46146.763888888891</v>
      </c>
      <c r="V105" s="58">
        <v>0.9</v>
      </c>
      <c r="W105" s="33" t="s">
        <v>984</v>
      </c>
      <c r="X105" s="43">
        <v>46146.763888888891</v>
      </c>
      <c r="Y105" s="58">
        <v>0.9</v>
      </c>
      <c r="Z105" s="33" t="s">
        <v>984</v>
      </c>
      <c r="AA105" s="43">
        <v>46147.25</v>
      </c>
      <c r="AB105" s="33" t="s">
        <v>81</v>
      </c>
      <c r="AC105" s="33" t="s">
        <v>985</v>
      </c>
      <c r="AD105" s="44">
        <v>2.2222222222222223</v>
      </c>
      <c r="AE105" s="44">
        <v>1.5423611111111111</v>
      </c>
      <c r="AF105" s="44">
        <v>2.2222222222222223</v>
      </c>
      <c r="AG105" s="33" t="s">
        <v>986</v>
      </c>
      <c r="AH105" s="33">
        <v>3</v>
      </c>
      <c r="AI105" s="43">
        <v>46146.763888888891</v>
      </c>
      <c r="AJ105" s="33" t="s">
        <v>73</v>
      </c>
      <c r="AK105" s="42">
        <v>241000.61</v>
      </c>
      <c r="AL105" s="33" t="s">
        <v>987</v>
      </c>
    </row>
    <row r="106" spans="1:38">
      <c r="A106" s="33">
        <v>6009860</v>
      </c>
      <c r="B106" s="33"/>
      <c r="C106" s="33" t="s">
        <v>789</v>
      </c>
      <c r="D106" s="33" t="s">
        <v>988</v>
      </c>
      <c r="E106" s="33" t="s">
        <v>989</v>
      </c>
      <c r="F106" s="43">
        <v>46146.166666666664</v>
      </c>
      <c r="G106" s="33" t="s">
        <v>227</v>
      </c>
      <c r="H106" s="33"/>
      <c r="I106" s="33" t="s">
        <v>73</v>
      </c>
      <c r="J106" s="33" t="s">
        <v>990</v>
      </c>
      <c r="K106" s="33" t="s">
        <v>75</v>
      </c>
      <c r="L106" s="33" t="s">
        <v>991</v>
      </c>
      <c r="M106" s="43">
        <v>46146.636018518519</v>
      </c>
      <c r="N106" s="33" t="s">
        <v>992</v>
      </c>
      <c r="O106" s="33" t="s">
        <v>797</v>
      </c>
      <c r="P106" s="33" t="s">
        <v>140</v>
      </c>
      <c r="Q106" s="33"/>
      <c r="R106" s="33"/>
      <c r="S106" s="33"/>
      <c r="T106" s="33" t="s">
        <v>993</v>
      </c>
      <c r="U106" s="43">
        <v>46146.348611111112</v>
      </c>
      <c r="V106" s="58">
        <v>0.28749999999999998</v>
      </c>
      <c r="W106" s="33"/>
      <c r="X106" s="33"/>
      <c r="Y106" s="33"/>
      <c r="Z106" s="33" t="s">
        <v>993</v>
      </c>
      <c r="AA106" s="43">
        <v>46149.333333333336</v>
      </c>
      <c r="AB106" s="33" t="s">
        <v>81</v>
      </c>
      <c r="AC106" s="33" t="s">
        <v>81</v>
      </c>
      <c r="AD106" s="44">
        <v>1.46875</v>
      </c>
      <c r="AE106" s="33"/>
      <c r="AF106" s="44">
        <v>1.46875</v>
      </c>
      <c r="AG106" s="33" t="s">
        <v>994</v>
      </c>
      <c r="AH106" s="33">
        <v>2</v>
      </c>
      <c r="AI106" s="43">
        <v>46146.348611111112</v>
      </c>
      <c r="AJ106" s="33" t="s">
        <v>73</v>
      </c>
      <c r="AK106" s="42">
        <v>617817.31999999995</v>
      </c>
      <c r="AL106" s="33" t="s">
        <v>995</v>
      </c>
    </row>
    <row r="107" spans="1:38">
      <c r="A107" s="33" t="s">
        <v>996</v>
      </c>
      <c r="B107" s="33"/>
      <c r="C107" s="33" t="s">
        <v>789</v>
      </c>
      <c r="D107" s="33" t="s">
        <v>938</v>
      </c>
      <c r="E107" s="33" t="s">
        <v>997</v>
      </c>
      <c r="F107" s="43">
        <v>46145.375</v>
      </c>
      <c r="G107" s="33" t="s">
        <v>792</v>
      </c>
      <c r="H107" s="33"/>
      <c r="I107" s="33" t="s">
        <v>793</v>
      </c>
      <c r="J107" s="33" t="s">
        <v>872</v>
      </c>
      <c r="K107" s="33" t="s">
        <v>75</v>
      </c>
      <c r="L107" s="33" t="s">
        <v>998</v>
      </c>
      <c r="M107" s="43">
        <v>46145.721296296295</v>
      </c>
      <c r="N107" s="33" t="s">
        <v>940</v>
      </c>
      <c r="O107" s="33" t="s">
        <v>797</v>
      </c>
      <c r="P107" s="33" t="s">
        <v>861</v>
      </c>
      <c r="Q107" s="43">
        <v>46145.352083333331</v>
      </c>
      <c r="R107" s="43">
        <v>46145.370833333334</v>
      </c>
      <c r="S107" s="58">
        <v>1.8749999999999999E-2</v>
      </c>
      <c r="T107" s="33" t="s">
        <v>799</v>
      </c>
      <c r="U107" s="43">
        <v>46145.666666666664</v>
      </c>
      <c r="V107" s="58">
        <v>5.486111111111111E-2</v>
      </c>
      <c r="W107" s="33" t="s">
        <v>799</v>
      </c>
      <c r="X107" s="43">
        <v>46145.666666666664</v>
      </c>
      <c r="Y107" s="58">
        <v>5.486111111111111E-2</v>
      </c>
      <c r="Z107" s="33" t="s">
        <v>799</v>
      </c>
      <c r="AA107" s="43">
        <v>46145.625</v>
      </c>
      <c r="AB107" s="33" t="s">
        <v>81</v>
      </c>
      <c r="AC107" s="33" t="s">
        <v>875</v>
      </c>
      <c r="AD107" s="58">
        <v>0.57291666666666663</v>
      </c>
      <c r="AE107" s="58">
        <v>0.35069444444444442</v>
      </c>
      <c r="AF107" s="58">
        <v>0.57291666666666663</v>
      </c>
      <c r="AG107" s="33" t="s">
        <v>942</v>
      </c>
      <c r="AH107" s="33">
        <v>2</v>
      </c>
      <c r="AI107" s="43">
        <v>46145.666666666664</v>
      </c>
      <c r="AJ107" s="33" t="s">
        <v>793</v>
      </c>
      <c r="AK107" s="42">
        <v>1639372.34</v>
      </c>
      <c r="AL107" s="33" t="s">
        <v>943</v>
      </c>
    </row>
    <row r="108" spans="1:38">
      <c r="A108" s="33" t="s">
        <v>999</v>
      </c>
      <c r="B108" s="33"/>
      <c r="C108" s="33" t="s">
        <v>789</v>
      </c>
      <c r="D108" s="33" t="s">
        <v>804</v>
      </c>
      <c r="E108" s="33" t="s">
        <v>1000</v>
      </c>
      <c r="F108" s="43">
        <v>46145.333333333336</v>
      </c>
      <c r="G108" s="33" t="s">
        <v>792</v>
      </c>
      <c r="H108" s="33"/>
      <c r="I108" s="33" t="s">
        <v>793</v>
      </c>
      <c r="J108" s="33" t="s">
        <v>872</v>
      </c>
      <c r="K108" s="33" t="s">
        <v>75</v>
      </c>
      <c r="L108" s="33" t="s">
        <v>1001</v>
      </c>
      <c r="M108" s="43">
        <v>46145.730324074073</v>
      </c>
      <c r="N108" s="33" t="s">
        <v>796</v>
      </c>
      <c r="O108" s="33" t="s">
        <v>797</v>
      </c>
      <c r="P108" s="33" t="s">
        <v>861</v>
      </c>
      <c r="Q108" s="43">
        <v>46145.351388888892</v>
      </c>
      <c r="R108" s="43">
        <v>46145.370833333334</v>
      </c>
      <c r="S108" s="58">
        <v>1.9444444444444445E-2</v>
      </c>
      <c r="T108" s="33" t="s">
        <v>799</v>
      </c>
      <c r="U108" s="43">
        <v>46145.675000000003</v>
      </c>
      <c r="V108" s="58">
        <v>5.2083333333333336E-2</v>
      </c>
      <c r="W108" s="33" t="s">
        <v>799</v>
      </c>
      <c r="X108" s="43">
        <v>46145.675000000003</v>
      </c>
      <c r="Y108" s="58">
        <v>5.2083333333333336E-2</v>
      </c>
      <c r="Z108" s="33" t="s">
        <v>799</v>
      </c>
      <c r="AA108" s="43">
        <v>46145.625</v>
      </c>
      <c r="AB108" s="33" t="s">
        <v>81</v>
      </c>
      <c r="AC108" s="33" t="s">
        <v>875</v>
      </c>
      <c r="AD108" s="58">
        <v>0.59444444444444444</v>
      </c>
      <c r="AE108" s="58">
        <v>0.35972222222222222</v>
      </c>
      <c r="AF108" s="58">
        <v>0.59444444444444444</v>
      </c>
      <c r="AG108" s="33" t="s">
        <v>807</v>
      </c>
      <c r="AH108" s="33">
        <v>2</v>
      </c>
      <c r="AI108" s="43">
        <v>46145.675000000003</v>
      </c>
      <c r="AJ108" s="33" t="s">
        <v>793</v>
      </c>
      <c r="AK108" s="42">
        <v>1421684.84</v>
      </c>
      <c r="AL108" s="33" t="s">
        <v>808</v>
      </c>
    </row>
    <row r="109" spans="1:38">
      <c r="A109" s="33" t="s">
        <v>1002</v>
      </c>
      <c r="B109" s="33"/>
      <c r="C109" s="33" t="s">
        <v>789</v>
      </c>
      <c r="D109" s="33" t="s">
        <v>925</v>
      </c>
      <c r="E109" s="33" t="s">
        <v>1003</v>
      </c>
      <c r="F109" s="43">
        <v>46145.291666666664</v>
      </c>
      <c r="G109" s="33" t="s">
        <v>792</v>
      </c>
      <c r="H109" s="33"/>
      <c r="I109" s="33" t="s">
        <v>793</v>
      </c>
      <c r="J109" s="33" t="s">
        <v>1004</v>
      </c>
      <c r="K109" s="33" t="s">
        <v>75</v>
      </c>
      <c r="L109" s="33" t="s">
        <v>1005</v>
      </c>
      <c r="M109" s="43">
        <v>46145.660624999997</v>
      </c>
      <c r="N109" s="33" t="s">
        <v>927</v>
      </c>
      <c r="O109" s="33" t="s">
        <v>797</v>
      </c>
      <c r="P109" s="33" t="s">
        <v>861</v>
      </c>
      <c r="Q109" s="43">
        <v>46145.321527777778</v>
      </c>
      <c r="R109" s="43">
        <v>46145.336805555555</v>
      </c>
      <c r="S109" s="58">
        <v>1.5277777777777777E-2</v>
      </c>
      <c r="T109" s="33" t="s">
        <v>799</v>
      </c>
      <c r="U109" s="43">
        <v>46145.65</v>
      </c>
      <c r="V109" s="58">
        <v>6.9444444444444441E-3</v>
      </c>
      <c r="W109" s="33" t="s">
        <v>799</v>
      </c>
      <c r="X109" s="43">
        <v>46145.65</v>
      </c>
      <c r="Y109" s="58">
        <v>6.9444444444444441E-3</v>
      </c>
      <c r="Z109" s="33" t="s">
        <v>799</v>
      </c>
      <c r="AA109" s="43">
        <v>46145.958333333336</v>
      </c>
      <c r="AB109" s="33" t="s">
        <v>81</v>
      </c>
      <c r="AC109" s="33" t="s">
        <v>1006</v>
      </c>
      <c r="AD109" s="58">
        <v>0.5083333333333333</v>
      </c>
      <c r="AE109" s="58">
        <v>0.32361111111111113</v>
      </c>
      <c r="AF109" s="58">
        <v>0.5083333333333333</v>
      </c>
      <c r="AG109" s="33" t="s">
        <v>928</v>
      </c>
      <c r="AH109" s="33">
        <v>2</v>
      </c>
      <c r="AI109" s="43">
        <v>46145.65</v>
      </c>
      <c r="AJ109" s="33" t="s">
        <v>793</v>
      </c>
      <c r="AK109" s="42">
        <v>1829179.17</v>
      </c>
      <c r="AL109" s="33" t="s">
        <v>929</v>
      </c>
    </row>
    <row r="110" spans="1:38">
      <c r="A110" s="33" t="s">
        <v>1007</v>
      </c>
      <c r="B110" s="33"/>
      <c r="C110" s="33" t="s">
        <v>789</v>
      </c>
      <c r="D110" s="33" t="s">
        <v>931</v>
      </c>
      <c r="E110" s="33" t="s">
        <v>1008</v>
      </c>
      <c r="F110" s="43">
        <v>46145.291666666664</v>
      </c>
      <c r="G110" s="33" t="s">
        <v>792</v>
      </c>
      <c r="H110" s="33"/>
      <c r="I110" s="33" t="s">
        <v>793</v>
      </c>
      <c r="J110" s="33" t="s">
        <v>1009</v>
      </c>
      <c r="K110" s="33" t="s">
        <v>75</v>
      </c>
      <c r="L110" s="33" t="s">
        <v>888</v>
      </c>
      <c r="M110" s="43">
        <v>46145.676574074074</v>
      </c>
      <c r="N110" s="33" t="s">
        <v>933</v>
      </c>
      <c r="O110" s="33" t="s">
        <v>797</v>
      </c>
      <c r="P110" s="33" t="s">
        <v>861</v>
      </c>
      <c r="Q110" s="43">
        <v>46145.352083333331</v>
      </c>
      <c r="R110" s="43">
        <v>46145.370833333334</v>
      </c>
      <c r="S110" s="58">
        <v>1.8749999999999999E-2</v>
      </c>
      <c r="T110" s="33" t="s">
        <v>799</v>
      </c>
      <c r="U110" s="43">
        <v>46145.665972222225</v>
      </c>
      <c r="V110" s="58">
        <v>9.0277777777777769E-3</v>
      </c>
      <c r="W110" s="33" t="s">
        <v>799</v>
      </c>
      <c r="X110" s="43">
        <v>46145.665972222225</v>
      </c>
      <c r="Y110" s="58">
        <v>9.0277777777777769E-3</v>
      </c>
      <c r="Z110" s="33" t="s">
        <v>799</v>
      </c>
      <c r="AA110" s="43">
        <v>46145.625</v>
      </c>
      <c r="AB110" s="33" t="s">
        <v>81</v>
      </c>
      <c r="AC110" s="33" t="s">
        <v>1010</v>
      </c>
      <c r="AD110" s="58">
        <v>0.52638888888888891</v>
      </c>
      <c r="AE110" s="58">
        <v>0.30555555555555558</v>
      </c>
      <c r="AF110" s="58">
        <v>0.52638888888888891</v>
      </c>
      <c r="AG110" s="33" t="s">
        <v>935</v>
      </c>
      <c r="AH110" s="33">
        <v>2</v>
      </c>
      <c r="AI110" s="43">
        <v>46145.665972222225</v>
      </c>
      <c r="AJ110" s="33" t="s">
        <v>793</v>
      </c>
      <c r="AK110" s="42">
        <v>1653532.82</v>
      </c>
      <c r="AL110" s="33" t="s">
        <v>936</v>
      </c>
    </row>
    <row r="111" spans="1:38">
      <c r="A111" s="33">
        <v>6002076</v>
      </c>
      <c r="B111" s="33"/>
      <c r="C111" s="33" t="s">
        <v>789</v>
      </c>
      <c r="D111" s="33" t="s">
        <v>849</v>
      </c>
      <c r="E111" s="33" t="s">
        <v>1011</v>
      </c>
      <c r="F111" s="43">
        <v>46145.25</v>
      </c>
      <c r="G111" s="33" t="s">
        <v>792</v>
      </c>
      <c r="H111" s="33"/>
      <c r="I111" s="33" t="s">
        <v>793</v>
      </c>
      <c r="J111" s="33" t="s">
        <v>872</v>
      </c>
      <c r="K111" s="33" t="s">
        <v>1012</v>
      </c>
      <c r="L111" s="33" t="s">
        <v>1013</v>
      </c>
      <c r="M111" s="43">
        <v>46146.508993055555</v>
      </c>
      <c r="N111" s="33" t="s">
        <v>852</v>
      </c>
      <c r="O111" s="33" t="s">
        <v>797</v>
      </c>
      <c r="P111" s="33" t="s">
        <v>861</v>
      </c>
      <c r="Q111" s="43">
        <v>46145.323611111111</v>
      </c>
      <c r="R111" s="43">
        <v>46145.378472222219</v>
      </c>
      <c r="S111" s="58">
        <v>5.486111111111111E-2</v>
      </c>
      <c r="T111" s="33" t="s">
        <v>799</v>
      </c>
      <c r="U111" s="43">
        <v>46145.573611111111</v>
      </c>
      <c r="V111" s="58">
        <v>0.85416666666666663</v>
      </c>
      <c r="W111" s="33"/>
      <c r="X111" s="33"/>
      <c r="Y111" s="33"/>
      <c r="Z111" s="33" t="s">
        <v>799</v>
      </c>
      <c r="AA111" s="43">
        <v>46146.666666666664</v>
      </c>
      <c r="AB111" s="33" t="s">
        <v>1014</v>
      </c>
      <c r="AC111" s="33" t="s">
        <v>875</v>
      </c>
      <c r="AD111" s="44">
        <v>1.45625</v>
      </c>
      <c r="AE111" s="33"/>
      <c r="AF111" s="44">
        <v>1.45625</v>
      </c>
      <c r="AG111" s="33" t="s">
        <v>853</v>
      </c>
      <c r="AH111" s="33">
        <v>2</v>
      </c>
      <c r="AI111" s="43">
        <v>46145.573611111111</v>
      </c>
      <c r="AJ111" s="33" t="s">
        <v>793</v>
      </c>
      <c r="AK111" s="42">
        <v>834277.91</v>
      </c>
      <c r="AL111" s="33" t="s">
        <v>854</v>
      </c>
    </row>
    <row r="112" spans="1:38">
      <c r="A112" s="33">
        <v>5987299</v>
      </c>
      <c r="B112" s="33"/>
      <c r="C112" s="33" t="s">
        <v>789</v>
      </c>
      <c r="D112" s="33" t="s">
        <v>1015</v>
      </c>
      <c r="E112" s="33" t="s">
        <v>1016</v>
      </c>
      <c r="F112" s="43">
        <v>46145.416666666664</v>
      </c>
      <c r="G112" s="33" t="s">
        <v>408</v>
      </c>
      <c r="H112" s="33"/>
      <c r="I112" s="33" t="s">
        <v>73</v>
      </c>
      <c r="J112" s="33" t="s">
        <v>1017</v>
      </c>
      <c r="K112" s="33" t="s">
        <v>75</v>
      </c>
      <c r="L112" s="33" t="s">
        <v>1018</v>
      </c>
      <c r="M112" s="43">
        <v>46149.457881944443</v>
      </c>
      <c r="N112" s="33" t="s">
        <v>1019</v>
      </c>
      <c r="O112" s="33" t="s">
        <v>797</v>
      </c>
      <c r="P112" s="33" t="s">
        <v>79</v>
      </c>
      <c r="Q112" s="33"/>
      <c r="R112" s="33"/>
      <c r="S112" s="33"/>
      <c r="T112" s="33" t="s">
        <v>119</v>
      </c>
      <c r="U112" s="43">
        <v>46148.257638888892</v>
      </c>
      <c r="V112" s="44">
        <v>1.2</v>
      </c>
      <c r="W112" s="33" t="s">
        <v>119</v>
      </c>
      <c r="X112" s="43">
        <v>46148.257638888892</v>
      </c>
      <c r="Y112" s="44">
        <v>1.2</v>
      </c>
      <c r="Z112" s="33" t="s">
        <v>119</v>
      </c>
      <c r="AA112" s="43">
        <v>46148.333333333336</v>
      </c>
      <c r="AB112" s="33" t="s">
        <v>81</v>
      </c>
      <c r="AC112" s="33" t="s">
        <v>1020</v>
      </c>
      <c r="AD112" s="44">
        <v>4.0152777777777775</v>
      </c>
      <c r="AE112" s="44">
        <v>4.0006944444444441</v>
      </c>
      <c r="AF112" s="44">
        <v>4.0152777777777775</v>
      </c>
      <c r="AG112" s="33" t="s">
        <v>1021</v>
      </c>
      <c r="AH112" s="33">
        <v>2</v>
      </c>
      <c r="AI112" s="43">
        <v>46148.257638888892</v>
      </c>
      <c r="AJ112" s="33" t="s">
        <v>73</v>
      </c>
      <c r="AK112" s="42">
        <v>198432.01</v>
      </c>
      <c r="AL112" s="33" t="s">
        <v>1022</v>
      </c>
    </row>
    <row r="113" spans="1:38">
      <c r="A113" s="33">
        <v>6009428</v>
      </c>
      <c r="B113" s="33"/>
      <c r="C113" s="33" t="s">
        <v>789</v>
      </c>
      <c r="D113" s="33" t="s">
        <v>1023</v>
      </c>
      <c r="E113" s="33" t="s">
        <v>1024</v>
      </c>
      <c r="F113" s="43">
        <v>46145.696527777778</v>
      </c>
      <c r="G113" s="33" t="s">
        <v>72</v>
      </c>
      <c r="H113" s="33"/>
      <c r="I113" s="33" t="s">
        <v>73</v>
      </c>
      <c r="J113" s="33" t="s">
        <v>1025</v>
      </c>
      <c r="K113" s="33" t="s">
        <v>75</v>
      </c>
      <c r="L113" s="33" t="s">
        <v>1026</v>
      </c>
      <c r="M113" s="43">
        <v>46146.411261574074</v>
      </c>
      <c r="N113" s="33" t="s">
        <v>1027</v>
      </c>
      <c r="O113" s="33" t="s">
        <v>797</v>
      </c>
      <c r="P113" s="33" t="s">
        <v>140</v>
      </c>
      <c r="Q113" s="43">
        <v>46145.7</v>
      </c>
      <c r="R113" s="43">
        <v>46145.706944444442</v>
      </c>
      <c r="S113" s="58">
        <v>6.9444444444444441E-3</v>
      </c>
      <c r="T113" s="33" t="s">
        <v>383</v>
      </c>
      <c r="U113" s="43">
        <v>46146.255555555559</v>
      </c>
      <c r="V113" s="58">
        <v>0.15625</v>
      </c>
      <c r="W113" s="33" t="s">
        <v>383</v>
      </c>
      <c r="X113" s="43">
        <v>46146.255555555559</v>
      </c>
      <c r="Y113" s="58">
        <v>0.15625</v>
      </c>
      <c r="Z113" s="33" t="s">
        <v>383</v>
      </c>
      <c r="AA113" s="43">
        <v>46146.25</v>
      </c>
      <c r="AB113" s="33" t="s">
        <v>81</v>
      </c>
      <c r="AC113" s="33" t="s">
        <v>1028</v>
      </c>
      <c r="AD113" s="58">
        <v>0.71180555555555558</v>
      </c>
      <c r="AE113" s="58">
        <v>0.70347222222222228</v>
      </c>
      <c r="AF113" s="58">
        <v>0.71180555555555558</v>
      </c>
      <c r="AG113" s="33"/>
      <c r="AH113" s="33">
        <v>2</v>
      </c>
      <c r="AI113" s="43">
        <v>46146.255555555559</v>
      </c>
      <c r="AJ113" s="33" t="s">
        <v>73</v>
      </c>
      <c r="AK113" s="42">
        <v>435523.65</v>
      </c>
      <c r="AL113" s="33" t="s">
        <v>1029</v>
      </c>
    </row>
    <row r="114" spans="1:38">
      <c r="A114" s="33" t="s">
        <v>944</v>
      </c>
      <c r="B114" s="33"/>
      <c r="C114" s="33" t="s">
        <v>789</v>
      </c>
      <c r="D114" s="33" t="s">
        <v>945</v>
      </c>
      <c r="E114" s="33" t="s">
        <v>1030</v>
      </c>
      <c r="F114" s="43">
        <v>46146.295138888891</v>
      </c>
      <c r="G114" s="33" t="s">
        <v>227</v>
      </c>
      <c r="H114" s="33"/>
      <c r="I114" s="33" t="s">
        <v>73</v>
      </c>
      <c r="J114" s="33" t="s">
        <v>947</v>
      </c>
      <c r="K114" s="33" t="s">
        <v>75</v>
      </c>
      <c r="L114" s="33" t="s">
        <v>1031</v>
      </c>
      <c r="M114" s="43">
        <v>46147.325567129628</v>
      </c>
      <c r="N114" s="33" t="s">
        <v>949</v>
      </c>
      <c r="O114" s="33" t="s">
        <v>797</v>
      </c>
      <c r="P114" s="33" t="s">
        <v>79</v>
      </c>
      <c r="Q114" s="33"/>
      <c r="R114" s="33"/>
      <c r="S114" s="33"/>
      <c r="T114" s="33" t="s">
        <v>286</v>
      </c>
      <c r="U114" s="43">
        <v>46146.365277777775</v>
      </c>
      <c r="V114" s="58">
        <v>0.95972222222222225</v>
      </c>
      <c r="W114" s="33"/>
      <c r="X114" s="33"/>
      <c r="Y114" s="33"/>
      <c r="Z114" s="33" t="s">
        <v>950</v>
      </c>
      <c r="AA114" s="43">
        <v>46146.333333333336</v>
      </c>
      <c r="AB114" s="33" t="s">
        <v>81</v>
      </c>
      <c r="AC114" s="33" t="s">
        <v>952</v>
      </c>
      <c r="AD114" s="44">
        <v>1.0291666666666666</v>
      </c>
      <c r="AE114" s="33"/>
      <c r="AF114" s="44">
        <v>1.0291666666666666</v>
      </c>
      <c r="AG114" s="33" t="s">
        <v>953</v>
      </c>
      <c r="AH114" s="33">
        <v>2</v>
      </c>
      <c r="AI114" s="43">
        <v>46147.314583333333</v>
      </c>
      <c r="AJ114" s="33" t="s">
        <v>73</v>
      </c>
      <c r="AK114" s="42">
        <v>330606.25</v>
      </c>
      <c r="AL114" s="33" t="s">
        <v>954</v>
      </c>
    </row>
    <row r="115" spans="1:38">
      <c r="A115" s="33">
        <v>5956427</v>
      </c>
      <c r="B115" s="33"/>
      <c r="C115" s="33" t="s">
        <v>789</v>
      </c>
      <c r="D115" s="33" t="s">
        <v>1032</v>
      </c>
      <c r="E115" s="33" t="s">
        <v>1033</v>
      </c>
      <c r="F115" s="43">
        <v>46146.333333333336</v>
      </c>
      <c r="G115" s="33" t="s">
        <v>792</v>
      </c>
      <c r="H115" s="33"/>
      <c r="I115" s="33" t="s">
        <v>793</v>
      </c>
      <c r="J115" s="33" t="s">
        <v>1034</v>
      </c>
      <c r="K115" s="33" t="s">
        <v>75</v>
      </c>
      <c r="L115" s="33" t="s">
        <v>1035</v>
      </c>
      <c r="M115" s="43">
        <v>46146.421331018515</v>
      </c>
      <c r="N115" s="33" t="s">
        <v>1036</v>
      </c>
      <c r="O115" s="33" t="s">
        <v>797</v>
      </c>
      <c r="P115" s="33" t="s">
        <v>799</v>
      </c>
      <c r="Q115" s="43">
        <v>46146.307638888888</v>
      </c>
      <c r="R115" s="43">
        <v>46146.311805555553</v>
      </c>
      <c r="S115" s="58">
        <v>4.1666666666666666E-3</v>
      </c>
      <c r="T115" s="33" t="s">
        <v>140</v>
      </c>
      <c r="U115" s="43">
        <v>46146.418055555558</v>
      </c>
      <c r="V115" s="58">
        <v>3.472222222222222E-3</v>
      </c>
      <c r="W115" s="33" t="s">
        <v>140</v>
      </c>
      <c r="X115" s="43">
        <v>46146.418055555558</v>
      </c>
      <c r="Y115" s="58">
        <v>6.2500000000000003E-3</v>
      </c>
      <c r="Z115" s="33" t="s">
        <v>140</v>
      </c>
      <c r="AA115" s="43">
        <v>46147.291666666664</v>
      </c>
      <c r="AB115" s="33" t="s">
        <v>81</v>
      </c>
      <c r="AC115" s="33" t="s">
        <v>1037</v>
      </c>
      <c r="AD115" s="58">
        <v>0.11736111111111111</v>
      </c>
      <c r="AE115" s="58">
        <v>0.10902777777777778</v>
      </c>
      <c r="AF115" s="58">
        <v>0.11736111111111111</v>
      </c>
      <c r="AG115" s="33" t="s">
        <v>1038</v>
      </c>
      <c r="AH115" s="33">
        <v>2</v>
      </c>
      <c r="AI115" s="43">
        <v>46146.418055555558</v>
      </c>
      <c r="AJ115" s="33" t="s">
        <v>793</v>
      </c>
      <c r="AK115" s="42">
        <v>938387.16</v>
      </c>
      <c r="AL115" s="33" t="s">
        <v>1039</v>
      </c>
    </row>
    <row r="116" spans="1:38">
      <c r="A116" s="33">
        <v>5981476</v>
      </c>
      <c r="B116" s="33"/>
      <c r="C116" s="33" t="s">
        <v>789</v>
      </c>
      <c r="D116" s="33" t="s">
        <v>1040</v>
      </c>
      <c r="E116" s="33" t="s">
        <v>1041</v>
      </c>
      <c r="F116" s="43">
        <v>46146.333333333336</v>
      </c>
      <c r="G116" s="33" t="s">
        <v>792</v>
      </c>
      <c r="H116" s="33"/>
      <c r="I116" s="33" t="s">
        <v>793</v>
      </c>
      <c r="J116" s="33" t="s">
        <v>1042</v>
      </c>
      <c r="K116" s="33" t="s">
        <v>75</v>
      </c>
      <c r="L116" s="33" t="s">
        <v>1043</v>
      </c>
      <c r="M116" s="43">
        <v>46146.485324074078</v>
      </c>
      <c r="N116" s="33" t="s">
        <v>796</v>
      </c>
      <c r="O116" s="33" t="s">
        <v>797</v>
      </c>
      <c r="P116" s="33" t="s">
        <v>799</v>
      </c>
      <c r="Q116" s="43">
        <v>46146.318749999999</v>
      </c>
      <c r="R116" s="43">
        <v>46146.326388888891</v>
      </c>
      <c r="S116" s="58">
        <v>7.6388888888888886E-3</v>
      </c>
      <c r="T116" s="33" t="s">
        <v>140</v>
      </c>
      <c r="U116" s="43">
        <v>46146.385416666664</v>
      </c>
      <c r="V116" s="58">
        <v>7.9166666666666663E-2</v>
      </c>
      <c r="W116" s="33" t="s">
        <v>140</v>
      </c>
      <c r="X116" s="43">
        <v>46146.385416666664</v>
      </c>
      <c r="Y116" s="58">
        <v>9.930555555555555E-2</v>
      </c>
      <c r="Z116" s="33" t="s">
        <v>140</v>
      </c>
      <c r="AA116" s="43">
        <v>46147.291666666664</v>
      </c>
      <c r="AB116" s="33" t="s">
        <v>81</v>
      </c>
      <c r="AC116" s="33" t="s">
        <v>1044</v>
      </c>
      <c r="AD116" s="58">
        <v>0.16944444444444445</v>
      </c>
      <c r="AE116" s="58">
        <v>0.15902777777777777</v>
      </c>
      <c r="AF116" s="58">
        <v>0.16944444444444445</v>
      </c>
      <c r="AG116" s="33" t="s">
        <v>1045</v>
      </c>
      <c r="AH116" s="33">
        <v>2</v>
      </c>
      <c r="AI116" s="43">
        <v>46146.385416666664</v>
      </c>
      <c r="AJ116" s="33" t="s">
        <v>793</v>
      </c>
      <c r="AK116" s="42">
        <v>550624.74</v>
      </c>
      <c r="AL116" s="33" t="s">
        <v>1046</v>
      </c>
    </row>
    <row r="117" spans="1:38">
      <c r="A117" s="33">
        <v>5958064</v>
      </c>
      <c r="B117" s="33"/>
      <c r="C117" s="33" t="s">
        <v>789</v>
      </c>
      <c r="D117" s="33" t="s">
        <v>1047</v>
      </c>
      <c r="E117" s="33" t="s">
        <v>1048</v>
      </c>
      <c r="F117" s="43">
        <v>46146</v>
      </c>
      <c r="G117" s="33" t="s">
        <v>792</v>
      </c>
      <c r="H117" s="33"/>
      <c r="I117" s="33" t="s">
        <v>793</v>
      </c>
      <c r="J117" s="33" t="s">
        <v>1049</v>
      </c>
      <c r="K117" s="33" t="s">
        <v>358</v>
      </c>
      <c r="L117" s="33" t="s">
        <v>1050</v>
      </c>
      <c r="M117" s="43">
        <v>46146.356805555559</v>
      </c>
      <c r="N117" s="33" t="s">
        <v>1051</v>
      </c>
      <c r="O117" s="33" t="s">
        <v>682</v>
      </c>
      <c r="P117" s="33" t="s">
        <v>799</v>
      </c>
      <c r="Q117" s="43">
        <v>46146.322916666664</v>
      </c>
      <c r="R117" s="43">
        <v>46146.328472222223</v>
      </c>
      <c r="S117" s="58">
        <v>5.5555555555555558E-3</v>
      </c>
      <c r="T117" s="33" t="s">
        <v>140</v>
      </c>
      <c r="U117" s="33"/>
      <c r="V117" s="33"/>
      <c r="W117" s="33"/>
      <c r="X117" s="33"/>
      <c r="Y117" s="33"/>
      <c r="Z117" s="33" t="s">
        <v>140</v>
      </c>
      <c r="AA117" s="43">
        <v>46147.291666666664</v>
      </c>
      <c r="AB117" s="33" t="s">
        <v>1052</v>
      </c>
      <c r="AC117" s="33" t="s">
        <v>1053</v>
      </c>
      <c r="AD117" s="58">
        <v>6.1111111111111109E-2</v>
      </c>
      <c r="AE117" s="33"/>
      <c r="AF117" s="58">
        <v>6.1111111111111109E-2</v>
      </c>
      <c r="AG117" s="33" t="s">
        <v>1054</v>
      </c>
      <c r="AH117" s="33">
        <v>1</v>
      </c>
      <c r="AI117" s="43">
        <v>46146.359027777777</v>
      </c>
      <c r="AJ117" s="33" t="s">
        <v>793</v>
      </c>
      <c r="AK117" s="42">
        <v>1377229.56</v>
      </c>
      <c r="AL117" s="33" t="s">
        <v>1055</v>
      </c>
    </row>
    <row r="118" spans="1:38">
      <c r="A118" s="33">
        <v>6002334</v>
      </c>
      <c r="B118" s="33"/>
      <c r="C118" s="33" t="s">
        <v>789</v>
      </c>
      <c r="D118" s="33" t="s">
        <v>1056</v>
      </c>
      <c r="E118" s="33" t="s">
        <v>1057</v>
      </c>
      <c r="F118" s="43">
        <v>46146.333333333336</v>
      </c>
      <c r="G118" s="33" t="s">
        <v>792</v>
      </c>
      <c r="H118" s="33"/>
      <c r="I118" s="33" t="s">
        <v>793</v>
      </c>
      <c r="J118" s="33" t="s">
        <v>1004</v>
      </c>
      <c r="K118" s="33" t="s">
        <v>1058</v>
      </c>
      <c r="L118" s="33" t="s">
        <v>1059</v>
      </c>
      <c r="M118" s="43">
        <v>46146.481921296298</v>
      </c>
      <c r="N118" s="33" t="s">
        <v>1060</v>
      </c>
      <c r="O118" s="33" t="s">
        <v>868</v>
      </c>
      <c r="P118" s="33" t="s">
        <v>861</v>
      </c>
      <c r="Q118" s="33"/>
      <c r="R118" s="33"/>
      <c r="S118" s="33"/>
      <c r="T118" s="33" t="s">
        <v>799</v>
      </c>
      <c r="U118" s="43">
        <v>46146.438194444447</v>
      </c>
      <c r="V118" s="58">
        <v>4.3055555555555555E-2</v>
      </c>
      <c r="W118" s="33"/>
      <c r="X118" s="33"/>
      <c r="Y118" s="33"/>
      <c r="Z118" s="33" t="s">
        <v>799</v>
      </c>
      <c r="AA118" s="43">
        <v>46147.416666666664</v>
      </c>
      <c r="AB118" s="33" t="s">
        <v>81</v>
      </c>
      <c r="AC118" s="33" t="s">
        <v>81</v>
      </c>
      <c r="AD118" s="58">
        <v>0.15972222222222221</v>
      </c>
      <c r="AE118" s="33"/>
      <c r="AF118" s="58">
        <v>0.15972222222222221</v>
      </c>
      <c r="AG118" s="33" t="s">
        <v>1061</v>
      </c>
      <c r="AH118" s="33">
        <v>1</v>
      </c>
      <c r="AI118" s="43">
        <v>46146.438194444447</v>
      </c>
      <c r="AJ118" s="33" t="s">
        <v>793</v>
      </c>
      <c r="AK118" s="42">
        <v>988569.66</v>
      </c>
      <c r="AL118" s="33" t="s">
        <v>1062</v>
      </c>
    </row>
    <row r="119" spans="1:38">
      <c r="A119" s="33">
        <v>5992612</v>
      </c>
      <c r="B119" s="33"/>
      <c r="C119" s="33" t="s">
        <v>789</v>
      </c>
      <c r="D119" s="33" t="s">
        <v>817</v>
      </c>
      <c r="E119" s="33" t="s">
        <v>1063</v>
      </c>
      <c r="F119" s="43">
        <v>46146.333333333336</v>
      </c>
      <c r="G119" s="33" t="s">
        <v>792</v>
      </c>
      <c r="H119" s="33"/>
      <c r="I119" s="33" t="s">
        <v>793</v>
      </c>
      <c r="J119" s="33" t="s">
        <v>1004</v>
      </c>
      <c r="K119" s="33" t="s">
        <v>75</v>
      </c>
      <c r="L119" s="33" t="s">
        <v>1064</v>
      </c>
      <c r="M119" s="43">
        <v>46146.486793981479</v>
      </c>
      <c r="N119" s="33" t="s">
        <v>822</v>
      </c>
      <c r="O119" s="33" t="s">
        <v>1065</v>
      </c>
      <c r="P119" s="33" t="s">
        <v>861</v>
      </c>
      <c r="Q119" s="33"/>
      <c r="R119" s="33"/>
      <c r="S119" s="33"/>
      <c r="T119" s="33" t="s">
        <v>799</v>
      </c>
      <c r="U119" s="43">
        <v>46146.438888888886</v>
      </c>
      <c r="V119" s="58">
        <v>4.7222222222222221E-2</v>
      </c>
      <c r="W119" s="33"/>
      <c r="X119" s="33"/>
      <c r="Y119" s="33"/>
      <c r="Z119" s="33" t="s">
        <v>799</v>
      </c>
      <c r="AA119" s="43">
        <v>46147.416666666664</v>
      </c>
      <c r="AB119" s="33" t="s">
        <v>81</v>
      </c>
      <c r="AC119" s="33" t="s">
        <v>81</v>
      </c>
      <c r="AD119" s="58">
        <v>0.16458333333333333</v>
      </c>
      <c r="AE119" s="33"/>
      <c r="AF119" s="58">
        <v>0.16458333333333333</v>
      </c>
      <c r="AG119" s="33" t="s">
        <v>825</v>
      </c>
      <c r="AH119" s="33">
        <v>1</v>
      </c>
      <c r="AI119" s="43">
        <v>46146.438888888886</v>
      </c>
      <c r="AJ119" s="33" t="s">
        <v>793</v>
      </c>
      <c r="AK119" s="42">
        <v>826758.31</v>
      </c>
      <c r="AL119" s="33" t="s">
        <v>826</v>
      </c>
    </row>
    <row r="120" spans="1:38">
      <c r="A120" s="33">
        <v>6009601</v>
      </c>
      <c r="B120" s="33"/>
      <c r="C120" s="33" t="s">
        <v>789</v>
      </c>
      <c r="D120" s="33" t="s">
        <v>1066</v>
      </c>
      <c r="E120" s="33" t="s">
        <v>1067</v>
      </c>
      <c r="F120" s="43">
        <v>46146.458333333336</v>
      </c>
      <c r="G120" s="33" t="s">
        <v>72</v>
      </c>
      <c r="H120" s="33"/>
      <c r="I120" s="33" t="s">
        <v>73</v>
      </c>
      <c r="J120" s="33" t="s">
        <v>1068</v>
      </c>
      <c r="K120" s="33" t="s">
        <v>347</v>
      </c>
      <c r="L120" s="33" t="s">
        <v>1069</v>
      </c>
      <c r="M120" s="43">
        <v>46149.410821759258</v>
      </c>
      <c r="N120" s="33" t="s">
        <v>1070</v>
      </c>
      <c r="O120" s="33" t="s">
        <v>797</v>
      </c>
      <c r="P120" s="33" t="s">
        <v>79</v>
      </c>
      <c r="Q120" s="43">
        <v>46146.623611111114</v>
      </c>
      <c r="R120" s="43">
        <v>46146.665277777778</v>
      </c>
      <c r="S120" s="58">
        <v>4.1666666666666664E-2</v>
      </c>
      <c r="T120" s="33" t="s">
        <v>434</v>
      </c>
      <c r="U120" s="43">
        <v>46148.290277777778</v>
      </c>
      <c r="V120" s="44">
        <v>1.1187499999999999</v>
      </c>
      <c r="W120" s="33"/>
      <c r="X120" s="33"/>
      <c r="Y120" s="33"/>
      <c r="Z120" s="33" t="s">
        <v>434</v>
      </c>
      <c r="AA120" s="43">
        <v>46149.208333333336</v>
      </c>
      <c r="AB120" s="33" t="s">
        <v>908</v>
      </c>
      <c r="AC120" s="33" t="s">
        <v>1071</v>
      </c>
      <c r="AD120" s="44">
        <v>2.9430555555555555</v>
      </c>
      <c r="AE120" s="33"/>
      <c r="AF120" s="44">
        <v>2.9430555555555555</v>
      </c>
      <c r="AG120" s="33" t="s">
        <v>1072</v>
      </c>
      <c r="AH120" s="33">
        <v>2</v>
      </c>
      <c r="AI120" s="43">
        <v>46148.290277777778</v>
      </c>
      <c r="AJ120" s="33" t="s">
        <v>73</v>
      </c>
      <c r="AK120" s="42">
        <v>158250.75</v>
      </c>
      <c r="AL120" s="33" t="s">
        <v>1073</v>
      </c>
    </row>
    <row r="121" spans="1:38">
      <c r="A121" s="33">
        <v>5996366</v>
      </c>
      <c r="B121" s="33"/>
      <c r="C121" s="33" t="s">
        <v>789</v>
      </c>
      <c r="D121" s="33" t="s">
        <v>1074</v>
      </c>
      <c r="E121" s="33" t="s">
        <v>1075</v>
      </c>
      <c r="F121" s="43">
        <v>46146.416666666664</v>
      </c>
      <c r="G121" s="33" t="s">
        <v>792</v>
      </c>
      <c r="H121" s="33"/>
      <c r="I121" s="33" t="s">
        <v>793</v>
      </c>
      <c r="J121" s="33" t="s">
        <v>1076</v>
      </c>
      <c r="K121" s="33" t="s">
        <v>1077</v>
      </c>
      <c r="L121" s="33" t="s">
        <v>795</v>
      </c>
      <c r="M121" s="43">
        <v>46146.571388888886</v>
      </c>
      <c r="N121" s="33" t="s">
        <v>1078</v>
      </c>
      <c r="O121" s="33" t="s">
        <v>797</v>
      </c>
      <c r="P121" s="33" t="s">
        <v>798</v>
      </c>
      <c r="Q121" s="43">
        <v>46146.417361111111</v>
      </c>
      <c r="R121" s="43">
        <v>46146.441666666666</v>
      </c>
      <c r="S121" s="58">
        <v>2.4305555555555556E-2</v>
      </c>
      <c r="T121" s="33" t="s">
        <v>799</v>
      </c>
      <c r="U121" s="43">
        <v>46146.55972222222</v>
      </c>
      <c r="V121" s="58">
        <v>2.0833333333333333E-3</v>
      </c>
      <c r="W121" s="33" t="s">
        <v>799</v>
      </c>
      <c r="X121" s="43">
        <v>46146.55972222222</v>
      </c>
      <c r="Y121" s="58">
        <v>9.0277777777777769E-3</v>
      </c>
      <c r="Z121" s="33" t="s">
        <v>799</v>
      </c>
      <c r="AA121" s="43">
        <v>46146.625</v>
      </c>
      <c r="AB121" s="33" t="s">
        <v>81</v>
      </c>
      <c r="AC121" s="33" t="s">
        <v>1079</v>
      </c>
      <c r="AD121" s="58">
        <v>0.16666666666666666</v>
      </c>
      <c r="AE121" s="58">
        <v>0.12916666666666668</v>
      </c>
      <c r="AF121" s="58">
        <v>0.16666666666666666</v>
      </c>
      <c r="AG121" s="33" t="s">
        <v>1080</v>
      </c>
      <c r="AH121" s="33">
        <v>2</v>
      </c>
      <c r="AI121" s="43">
        <v>46146.55972222222</v>
      </c>
      <c r="AJ121" s="33" t="s">
        <v>793</v>
      </c>
      <c r="AK121" s="42">
        <v>1252258.69</v>
      </c>
      <c r="AL121" s="33" t="s">
        <v>1081</v>
      </c>
    </row>
    <row r="122" spans="1:38">
      <c r="A122" s="33">
        <v>5996037</v>
      </c>
      <c r="B122" s="33"/>
      <c r="C122" s="33" t="s">
        <v>789</v>
      </c>
      <c r="D122" s="33" t="s">
        <v>804</v>
      </c>
      <c r="E122" s="33" t="s">
        <v>1082</v>
      </c>
      <c r="F122" s="43">
        <v>46146.458333333336</v>
      </c>
      <c r="G122" s="33" t="s">
        <v>792</v>
      </c>
      <c r="H122" s="33"/>
      <c r="I122" s="33" t="s">
        <v>793</v>
      </c>
      <c r="J122" s="33" t="s">
        <v>856</v>
      </c>
      <c r="K122" s="33" t="s">
        <v>75</v>
      </c>
      <c r="L122" s="33" t="s">
        <v>874</v>
      </c>
      <c r="M122" s="43">
        <v>46146.932268518518</v>
      </c>
      <c r="N122" s="33" t="s">
        <v>796</v>
      </c>
      <c r="O122" s="33" t="s">
        <v>797</v>
      </c>
      <c r="P122" s="33" t="s">
        <v>798</v>
      </c>
      <c r="Q122" s="43">
        <v>46146.504166666666</v>
      </c>
      <c r="R122" s="43">
        <v>46146.529166666667</v>
      </c>
      <c r="S122" s="58">
        <v>2.5000000000000001E-2</v>
      </c>
      <c r="T122" s="33" t="s">
        <v>799</v>
      </c>
      <c r="U122" s="43">
        <v>46146.841666666667</v>
      </c>
      <c r="V122" s="58">
        <v>9.0277777777777776E-2</v>
      </c>
      <c r="W122" s="33"/>
      <c r="X122" s="33"/>
      <c r="Y122" s="33"/>
      <c r="Z122" s="33" t="s">
        <v>799</v>
      </c>
      <c r="AA122" s="43">
        <v>46146.666666666664</v>
      </c>
      <c r="AB122" s="33" t="s">
        <v>81</v>
      </c>
      <c r="AC122" s="33" t="s">
        <v>858</v>
      </c>
      <c r="AD122" s="58">
        <v>0.53263888888888888</v>
      </c>
      <c r="AE122" s="33"/>
      <c r="AF122" s="58">
        <v>0.47916666666666669</v>
      </c>
      <c r="AG122" s="33" t="s">
        <v>1083</v>
      </c>
      <c r="AH122" s="33">
        <v>2</v>
      </c>
      <c r="AI122" s="43">
        <v>46146.841666666667</v>
      </c>
      <c r="AJ122" s="33" t="s">
        <v>793</v>
      </c>
      <c r="AK122" s="42">
        <v>706985.76</v>
      </c>
      <c r="AL122" s="33" t="s">
        <v>808</v>
      </c>
    </row>
    <row r="123" spans="1:38">
      <c r="A123" s="33">
        <v>6001855</v>
      </c>
      <c r="B123" s="33"/>
      <c r="C123" s="33" t="s">
        <v>789</v>
      </c>
      <c r="D123" s="33" t="s">
        <v>1084</v>
      </c>
      <c r="E123" s="33" t="s">
        <v>1085</v>
      </c>
      <c r="F123" s="43">
        <v>46146.458333333336</v>
      </c>
      <c r="G123" s="33" t="s">
        <v>792</v>
      </c>
      <c r="H123" s="33"/>
      <c r="I123" s="33" t="s">
        <v>793</v>
      </c>
      <c r="J123" s="33" t="s">
        <v>1086</v>
      </c>
      <c r="K123" s="33" t="s">
        <v>75</v>
      </c>
      <c r="L123" s="33" t="s">
        <v>1087</v>
      </c>
      <c r="M123" s="43">
        <v>46146.632395833331</v>
      </c>
      <c r="N123" s="33" t="s">
        <v>1088</v>
      </c>
      <c r="O123" s="33" t="s">
        <v>797</v>
      </c>
      <c r="P123" s="33" t="s">
        <v>798</v>
      </c>
      <c r="Q123" s="43">
        <v>46146.452777777777</v>
      </c>
      <c r="R123" s="43">
        <v>46146.472916666666</v>
      </c>
      <c r="S123" s="58">
        <v>2.013888888888889E-2</v>
      </c>
      <c r="T123" s="33" t="s">
        <v>140</v>
      </c>
      <c r="U123" s="43">
        <v>46146.585416666669</v>
      </c>
      <c r="V123" s="58">
        <v>4.6527777777777779E-2</v>
      </c>
      <c r="W123" s="33" t="s">
        <v>140</v>
      </c>
      <c r="X123" s="43">
        <v>46146.585416666669</v>
      </c>
      <c r="Y123" s="58">
        <v>4.6527777777777779E-2</v>
      </c>
      <c r="Z123" s="33" t="s">
        <v>140</v>
      </c>
      <c r="AA123" s="43">
        <v>46146.666666666664</v>
      </c>
      <c r="AB123" s="33" t="s">
        <v>81</v>
      </c>
      <c r="AC123" s="33" t="s">
        <v>1089</v>
      </c>
      <c r="AD123" s="58">
        <v>0.23402777777777778</v>
      </c>
      <c r="AE123" s="58">
        <v>0.16180555555555556</v>
      </c>
      <c r="AF123" s="58">
        <v>0.23402777777777778</v>
      </c>
      <c r="AG123" s="33" t="s">
        <v>1090</v>
      </c>
      <c r="AH123" s="33">
        <v>2</v>
      </c>
      <c r="AI123" s="43">
        <v>46146.585416666669</v>
      </c>
      <c r="AJ123" s="33" t="s">
        <v>793</v>
      </c>
      <c r="AK123" s="42">
        <v>934754.93</v>
      </c>
      <c r="AL123" s="33" t="s">
        <v>1091</v>
      </c>
    </row>
    <row r="124" spans="1:38">
      <c r="A124" s="33">
        <v>5999695</v>
      </c>
      <c r="B124" s="33"/>
      <c r="C124" s="33" t="s">
        <v>789</v>
      </c>
      <c r="D124" s="33" t="s">
        <v>1092</v>
      </c>
      <c r="E124" s="33" t="s">
        <v>1093</v>
      </c>
      <c r="F124" s="43">
        <v>46146.458333333336</v>
      </c>
      <c r="G124" s="33" t="s">
        <v>792</v>
      </c>
      <c r="H124" s="33"/>
      <c r="I124" s="33" t="s">
        <v>793</v>
      </c>
      <c r="J124" s="33" t="s">
        <v>1086</v>
      </c>
      <c r="K124" s="33" t="s">
        <v>75</v>
      </c>
      <c r="L124" s="33" t="s">
        <v>1094</v>
      </c>
      <c r="M124" s="43">
        <v>46146.618831018517</v>
      </c>
      <c r="N124" s="33" t="s">
        <v>1095</v>
      </c>
      <c r="O124" s="33" t="s">
        <v>797</v>
      </c>
      <c r="P124" s="33" t="s">
        <v>798</v>
      </c>
      <c r="Q124" s="43">
        <v>46146.474305555559</v>
      </c>
      <c r="R124" s="43">
        <v>46146.491666666669</v>
      </c>
      <c r="S124" s="58">
        <v>1.7361111111111112E-2</v>
      </c>
      <c r="T124" s="33" t="s">
        <v>140</v>
      </c>
      <c r="U124" s="43">
        <v>46146.598611111112</v>
      </c>
      <c r="V124" s="58">
        <v>1.9444444444444445E-2</v>
      </c>
      <c r="W124" s="33" t="s">
        <v>140</v>
      </c>
      <c r="X124" s="43">
        <v>46146.598611111112</v>
      </c>
      <c r="Y124" s="58">
        <v>1.9444444444444445E-2</v>
      </c>
      <c r="Z124" s="33" t="s">
        <v>140</v>
      </c>
      <c r="AA124" s="43">
        <v>46146.666666666664</v>
      </c>
      <c r="AB124" s="33" t="s">
        <v>1096</v>
      </c>
      <c r="AC124" s="33" t="s">
        <v>1089</v>
      </c>
      <c r="AD124" s="58">
        <v>0.21805555555555556</v>
      </c>
      <c r="AE124" s="58">
        <v>0.12708333333333333</v>
      </c>
      <c r="AF124" s="58">
        <v>0.21805555555555556</v>
      </c>
      <c r="AG124" s="33" t="s">
        <v>1097</v>
      </c>
      <c r="AH124" s="33">
        <v>2</v>
      </c>
      <c r="AI124" s="43">
        <v>46146.598611111112</v>
      </c>
      <c r="AJ124" s="33" t="s">
        <v>793</v>
      </c>
      <c r="AK124" s="42">
        <v>623831.31000000006</v>
      </c>
      <c r="AL124" s="33" t="s">
        <v>1098</v>
      </c>
    </row>
    <row r="125" spans="1:38">
      <c r="A125" s="33">
        <v>5996325</v>
      </c>
      <c r="B125" s="33"/>
      <c r="C125" s="33" t="s">
        <v>789</v>
      </c>
      <c r="D125" s="33" t="s">
        <v>809</v>
      </c>
      <c r="E125" s="33" t="s">
        <v>1099</v>
      </c>
      <c r="F125" s="43">
        <v>46146.541666666664</v>
      </c>
      <c r="G125" s="33" t="s">
        <v>792</v>
      </c>
      <c r="H125" s="33"/>
      <c r="I125" s="33" t="s">
        <v>793</v>
      </c>
      <c r="J125" s="33" t="s">
        <v>811</v>
      </c>
      <c r="K125" s="33" t="s">
        <v>1100</v>
      </c>
      <c r="L125" s="33" t="s">
        <v>1101</v>
      </c>
      <c r="M125" s="43">
        <v>46146.904907407406</v>
      </c>
      <c r="N125" s="33" t="s">
        <v>813</v>
      </c>
      <c r="O125" s="33" t="s">
        <v>797</v>
      </c>
      <c r="P125" s="33" t="s">
        <v>798</v>
      </c>
      <c r="Q125" s="43">
        <v>46146.631944444445</v>
      </c>
      <c r="R125" s="43">
        <v>46146.636805555558</v>
      </c>
      <c r="S125" s="58">
        <v>4.8611111111111112E-3</v>
      </c>
      <c r="T125" s="33" t="s">
        <v>799</v>
      </c>
      <c r="U125" s="43">
        <v>46146.782638888886</v>
      </c>
      <c r="V125" s="58">
        <v>0.11458333333333333</v>
      </c>
      <c r="W125" s="33"/>
      <c r="X125" s="33"/>
      <c r="Y125" s="33"/>
      <c r="Z125" s="33" t="s">
        <v>799</v>
      </c>
      <c r="AA125" s="43">
        <v>46146.75</v>
      </c>
      <c r="AB125" s="33" t="s">
        <v>81</v>
      </c>
      <c r="AC125" s="33" t="s">
        <v>81</v>
      </c>
      <c r="AD125" s="58">
        <v>0.50416666666666665</v>
      </c>
      <c r="AE125" s="33"/>
      <c r="AF125" s="58">
        <v>0.50208333333333333</v>
      </c>
      <c r="AG125" s="33" t="s">
        <v>815</v>
      </c>
      <c r="AH125" s="33">
        <v>2</v>
      </c>
      <c r="AI125" s="43">
        <v>46146.782638888886</v>
      </c>
      <c r="AJ125" s="33" t="s">
        <v>793</v>
      </c>
      <c r="AK125" s="42">
        <v>602905.02</v>
      </c>
      <c r="AL125" s="33" t="s">
        <v>816</v>
      </c>
    </row>
    <row r="126" spans="1:38">
      <c r="A126" s="33" t="s">
        <v>1102</v>
      </c>
      <c r="B126" s="33"/>
      <c r="C126" s="33" t="s">
        <v>789</v>
      </c>
      <c r="D126" s="33" t="s">
        <v>1103</v>
      </c>
      <c r="E126" s="33" t="s">
        <v>1104</v>
      </c>
      <c r="F126" s="43">
        <v>46146.541666666664</v>
      </c>
      <c r="G126" s="33" t="s">
        <v>792</v>
      </c>
      <c r="H126" s="33"/>
      <c r="I126" s="33" t="s">
        <v>793</v>
      </c>
      <c r="J126" s="33" t="s">
        <v>856</v>
      </c>
      <c r="K126" s="33" t="s">
        <v>75</v>
      </c>
      <c r="L126" s="33" t="s">
        <v>1105</v>
      </c>
      <c r="M126" s="43">
        <v>46146.93513888889</v>
      </c>
      <c r="N126" s="33" t="s">
        <v>1106</v>
      </c>
      <c r="O126" s="33" t="s">
        <v>797</v>
      </c>
      <c r="P126" s="33" t="s">
        <v>798</v>
      </c>
      <c r="Q126" s="43">
        <v>46146.503472222219</v>
      </c>
      <c r="R126" s="43">
        <v>46146.574999999997</v>
      </c>
      <c r="S126" s="58">
        <v>7.1527777777777773E-2</v>
      </c>
      <c r="T126" s="33" t="s">
        <v>799</v>
      </c>
      <c r="U126" s="43">
        <v>46146.841666666667</v>
      </c>
      <c r="V126" s="58">
        <v>9.0972222222222218E-2</v>
      </c>
      <c r="W126" s="33"/>
      <c r="X126" s="33"/>
      <c r="Y126" s="33"/>
      <c r="Z126" s="33" t="s">
        <v>799</v>
      </c>
      <c r="AA126" s="43">
        <v>46146.791666666664</v>
      </c>
      <c r="AB126" s="33" t="s">
        <v>81</v>
      </c>
      <c r="AC126" s="33" t="s">
        <v>858</v>
      </c>
      <c r="AD126" s="58">
        <v>0.52708333333333335</v>
      </c>
      <c r="AE126" s="33"/>
      <c r="AF126" s="58">
        <v>0.50347222222222221</v>
      </c>
      <c r="AG126" s="33" t="s">
        <v>1107</v>
      </c>
      <c r="AH126" s="33">
        <v>2</v>
      </c>
      <c r="AI126" s="43">
        <v>46146.841666666667</v>
      </c>
      <c r="AJ126" s="33" t="s">
        <v>793</v>
      </c>
      <c r="AK126" s="42">
        <v>1111195.8500000001</v>
      </c>
      <c r="AL126" s="33" t="s">
        <v>1108</v>
      </c>
    </row>
    <row r="127" spans="1:38">
      <c r="A127" s="33">
        <v>5956914</v>
      </c>
      <c r="B127" s="33"/>
      <c r="C127" s="33" t="s">
        <v>789</v>
      </c>
      <c r="D127" s="33" t="s">
        <v>1109</v>
      </c>
      <c r="E127" s="33" t="s">
        <v>1110</v>
      </c>
      <c r="F127" s="43">
        <v>46146.416666666664</v>
      </c>
      <c r="G127" s="33" t="s">
        <v>792</v>
      </c>
      <c r="H127" s="33"/>
      <c r="I127" s="33" t="s">
        <v>793</v>
      </c>
      <c r="J127" s="33" t="s">
        <v>1111</v>
      </c>
      <c r="K127" s="33" t="s">
        <v>75</v>
      </c>
      <c r="L127" s="33" t="s">
        <v>1112</v>
      </c>
      <c r="M127" s="43">
        <v>46146.509189814817</v>
      </c>
      <c r="N127" s="33" t="s">
        <v>1113</v>
      </c>
      <c r="O127" s="33" t="s">
        <v>797</v>
      </c>
      <c r="P127" s="33" t="s">
        <v>799</v>
      </c>
      <c r="Q127" s="43">
        <v>46146.415972222225</v>
      </c>
      <c r="R127" s="43">
        <v>46146.45</v>
      </c>
      <c r="S127" s="58">
        <v>3.4027777777777775E-2</v>
      </c>
      <c r="T127" s="33" t="s">
        <v>140</v>
      </c>
      <c r="U127" s="43">
        <v>46146.504166666666</v>
      </c>
      <c r="V127" s="58">
        <v>7.6388888888888886E-3</v>
      </c>
      <c r="W127" s="33" t="s">
        <v>140</v>
      </c>
      <c r="X127" s="43">
        <v>46146.504166666666</v>
      </c>
      <c r="Y127" s="58">
        <v>7.6388888888888886E-3</v>
      </c>
      <c r="Z127" s="33" t="s">
        <v>140</v>
      </c>
      <c r="AA127" s="43">
        <v>46147.291666666664</v>
      </c>
      <c r="AB127" s="33" t="s">
        <v>81</v>
      </c>
      <c r="AC127" s="33" t="s">
        <v>1114</v>
      </c>
      <c r="AD127" s="58">
        <v>9.583333333333334E-2</v>
      </c>
      <c r="AE127" s="58">
        <v>6.1805555555555558E-2</v>
      </c>
      <c r="AF127" s="58">
        <v>9.583333333333334E-2</v>
      </c>
      <c r="AG127" s="33" t="s">
        <v>1115</v>
      </c>
      <c r="AH127" s="33">
        <v>2</v>
      </c>
      <c r="AI127" s="43">
        <v>46146.504166666666</v>
      </c>
      <c r="AJ127" s="33" t="s">
        <v>793</v>
      </c>
      <c r="AK127" s="42">
        <v>385124.48</v>
      </c>
      <c r="AL127" s="33" t="s">
        <v>1116</v>
      </c>
    </row>
    <row r="128" spans="1:38">
      <c r="A128" s="33">
        <v>5956914</v>
      </c>
      <c r="B128" s="33"/>
      <c r="C128" s="33" t="s">
        <v>789</v>
      </c>
      <c r="D128" s="33" t="s">
        <v>1109</v>
      </c>
      <c r="E128" s="33" t="s">
        <v>1117</v>
      </c>
      <c r="F128" s="43">
        <v>46146.458333333336</v>
      </c>
      <c r="G128" s="33" t="s">
        <v>792</v>
      </c>
      <c r="H128" s="33"/>
      <c r="I128" s="33" t="s">
        <v>793</v>
      </c>
      <c r="J128" s="33" t="s">
        <v>1042</v>
      </c>
      <c r="K128" s="33" t="s">
        <v>1118</v>
      </c>
      <c r="L128" s="33" t="s">
        <v>1119</v>
      </c>
      <c r="M128" s="43">
        <v>46146.815057870372</v>
      </c>
      <c r="N128" s="33" t="s">
        <v>1113</v>
      </c>
      <c r="O128" s="33" t="s">
        <v>797</v>
      </c>
      <c r="P128" s="33" t="s">
        <v>799</v>
      </c>
      <c r="Q128" s="33"/>
      <c r="R128" s="33"/>
      <c r="S128" s="33"/>
      <c r="T128" s="33" t="s">
        <v>140</v>
      </c>
      <c r="U128" s="43">
        <v>46146.517361111109</v>
      </c>
      <c r="V128" s="58">
        <v>4.027777777777778E-2</v>
      </c>
      <c r="W128" s="33"/>
      <c r="X128" s="33"/>
      <c r="Y128" s="33"/>
      <c r="Z128" s="33" t="s">
        <v>140</v>
      </c>
      <c r="AA128" s="43">
        <v>46147.5</v>
      </c>
      <c r="AB128" s="33" t="s">
        <v>908</v>
      </c>
      <c r="AC128" s="33" t="s">
        <v>1044</v>
      </c>
      <c r="AD128" s="58">
        <v>0.29791666666666666</v>
      </c>
      <c r="AE128" s="33"/>
      <c r="AF128" s="58">
        <v>0.29791666666666666</v>
      </c>
      <c r="AG128" s="33" t="s">
        <v>1115</v>
      </c>
      <c r="AH128" s="33">
        <v>1</v>
      </c>
      <c r="AI128" s="43">
        <v>46146.517361111109</v>
      </c>
      <c r="AJ128" s="33" t="s">
        <v>793</v>
      </c>
      <c r="AK128" s="42">
        <v>385124.48</v>
      </c>
      <c r="AL128" s="33" t="s">
        <v>1116</v>
      </c>
    </row>
    <row r="129" spans="1:38">
      <c r="A129" s="33">
        <v>6003589</v>
      </c>
      <c r="B129" s="33"/>
      <c r="C129" s="33" t="s">
        <v>789</v>
      </c>
      <c r="D129" s="33" t="s">
        <v>1120</v>
      </c>
      <c r="E129" s="33" t="s">
        <v>1121</v>
      </c>
      <c r="F129" s="43">
        <v>46146.447916666664</v>
      </c>
      <c r="G129" s="33" t="s">
        <v>216</v>
      </c>
      <c r="H129" s="33"/>
      <c r="I129" s="33" t="s">
        <v>73</v>
      </c>
      <c r="J129" s="33" t="s">
        <v>272</v>
      </c>
      <c r="K129" s="33" t="s">
        <v>75</v>
      </c>
      <c r="L129" s="33" t="s">
        <v>1122</v>
      </c>
      <c r="M129" s="43">
        <v>46149.443171296298</v>
      </c>
      <c r="N129" s="33" t="s">
        <v>219</v>
      </c>
      <c r="O129" s="33" t="s">
        <v>797</v>
      </c>
      <c r="P129" s="33" t="s">
        <v>79</v>
      </c>
      <c r="Q129" s="33"/>
      <c r="R129" s="33"/>
      <c r="S129" s="33"/>
      <c r="T129" s="33" t="s">
        <v>198</v>
      </c>
      <c r="U129" s="43">
        <v>46149.44027777778</v>
      </c>
      <c r="V129" s="58">
        <v>3.472222222222222E-3</v>
      </c>
      <c r="W129" s="33" t="s">
        <v>198</v>
      </c>
      <c r="X129" s="43">
        <v>46149.44027777778</v>
      </c>
      <c r="Y129" s="58">
        <v>5.5555555555555558E-3</v>
      </c>
      <c r="Z129" s="33" t="s">
        <v>198</v>
      </c>
      <c r="AA129" s="43">
        <v>46149.25</v>
      </c>
      <c r="AB129" s="33" t="s">
        <v>81</v>
      </c>
      <c r="AC129" s="33" t="s">
        <v>277</v>
      </c>
      <c r="AD129" s="44">
        <v>2.995138888888889</v>
      </c>
      <c r="AE129" s="44">
        <v>2.4701388888888891</v>
      </c>
      <c r="AF129" s="44">
        <v>2.995138888888889</v>
      </c>
      <c r="AG129" s="33" t="s">
        <v>1123</v>
      </c>
      <c r="AH129" s="33">
        <v>3</v>
      </c>
      <c r="AI129" s="43">
        <v>46149.44027777778</v>
      </c>
      <c r="AJ129" s="33" t="s">
        <v>73</v>
      </c>
      <c r="AK129" s="42">
        <v>242370.22</v>
      </c>
      <c r="AL129" s="33" t="s">
        <v>1124</v>
      </c>
    </row>
    <row r="130" spans="1:38">
      <c r="A130" s="33" t="s">
        <v>1125</v>
      </c>
      <c r="B130" s="33"/>
      <c r="C130" s="33" t="s">
        <v>789</v>
      </c>
      <c r="D130" s="33" t="s">
        <v>1126</v>
      </c>
      <c r="E130" s="33" t="s">
        <v>1127</v>
      </c>
      <c r="F130" s="43">
        <v>46146.958333333336</v>
      </c>
      <c r="G130" s="33" t="s">
        <v>836</v>
      </c>
      <c r="H130" s="33"/>
      <c r="I130" s="33" t="s">
        <v>73</v>
      </c>
      <c r="J130" s="33" t="s">
        <v>837</v>
      </c>
      <c r="K130" s="33" t="s">
        <v>1012</v>
      </c>
      <c r="L130" s="33" t="s">
        <v>1128</v>
      </c>
      <c r="M130" s="43">
        <v>46148.241967592592</v>
      </c>
      <c r="N130" s="33" t="s">
        <v>1129</v>
      </c>
      <c r="O130" s="33" t="s">
        <v>797</v>
      </c>
      <c r="P130" s="33" t="s">
        <v>79</v>
      </c>
      <c r="Q130" s="43">
        <v>46146.557638888888</v>
      </c>
      <c r="R130" s="43">
        <v>46146.916666666664</v>
      </c>
      <c r="S130" s="58">
        <v>0.35902777777777778</v>
      </c>
      <c r="T130" s="33" t="s">
        <v>840</v>
      </c>
      <c r="U130" s="43">
        <v>46147.605555555558</v>
      </c>
      <c r="V130" s="58">
        <v>0.63611111111111107</v>
      </c>
      <c r="W130" s="33"/>
      <c r="X130" s="33"/>
      <c r="Y130" s="33"/>
      <c r="Z130" s="33" t="s">
        <v>840</v>
      </c>
      <c r="AA130" s="43">
        <v>46147.25</v>
      </c>
      <c r="AB130" s="33" t="s">
        <v>81</v>
      </c>
      <c r="AC130" s="33" t="s">
        <v>901</v>
      </c>
      <c r="AD130" s="44">
        <v>1.5506944444444444</v>
      </c>
      <c r="AE130" s="33"/>
      <c r="AF130" s="44">
        <v>1.5506944444444444</v>
      </c>
      <c r="AG130" s="33" t="s">
        <v>1130</v>
      </c>
      <c r="AH130" s="33">
        <v>4</v>
      </c>
      <c r="AI130" s="43">
        <v>46148.241666666669</v>
      </c>
      <c r="AJ130" s="33" t="s">
        <v>73</v>
      </c>
      <c r="AK130" s="42">
        <v>208813.45</v>
      </c>
      <c r="AL130" s="33" t="s">
        <v>1131</v>
      </c>
    </row>
    <row r="131" spans="1:38">
      <c r="A131" s="33">
        <v>5961154</v>
      </c>
      <c r="B131" s="33"/>
      <c r="C131" s="33" t="s">
        <v>789</v>
      </c>
      <c r="D131" s="33" t="s">
        <v>1132</v>
      </c>
      <c r="E131" s="33" t="s">
        <v>1133</v>
      </c>
      <c r="F131" s="43">
        <v>46146.5</v>
      </c>
      <c r="G131" s="33" t="s">
        <v>792</v>
      </c>
      <c r="H131" s="33"/>
      <c r="I131" s="33" t="s">
        <v>793</v>
      </c>
      <c r="J131" s="33" t="s">
        <v>1034</v>
      </c>
      <c r="K131" s="33" t="s">
        <v>75</v>
      </c>
      <c r="L131" s="33" t="s">
        <v>1094</v>
      </c>
      <c r="M131" s="43">
        <v>46146.593206018515</v>
      </c>
      <c r="N131" s="33" t="s">
        <v>1134</v>
      </c>
      <c r="O131" s="33" t="s">
        <v>797</v>
      </c>
      <c r="P131" s="33" t="s">
        <v>799</v>
      </c>
      <c r="Q131" s="43">
        <v>46146.48541666667</v>
      </c>
      <c r="R131" s="43">
        <v>46146.549305555556</v>
      </c>
      <c r="S131" s="58">
        <v>6.3888888888888884E-2</v>
      </c>
      <c r="T131" s="33" t="s">
        <v>140</v>
      </c>
      <c r="U131" s="43">
        <v>46146.574999999997</v>
      </c>
      <c r="V131" s="58">
        <v>1.3888888888888889E-3</v>
      </c>
      <c r="W131" s="33"/>
      <c r="X131" s="33"/>
      <c r="Y131" s="33"/>
      <c r="Z131" s="33" t="s">
        <v>140</v>
      </c>
      <c r="AA131" s="43">
        <v>46146.541666666664</v>
      </c>
      <c r="AB131" s="33" t="s">
        <v>81</v>
      </c>
      <c r="AC131" s="33" t="s">
        <v>1037</v>
      </c>
      <c r="AD131" s="58">
        <v>0.10833333333333334</v>
      </c>
      <c r="AE131" s="33"/>
      <c r="AF131" s="58">
        <v>0.10833333333333334</v>
      </c>
      <c r="AG131" s="33" t="s">
        <v>1135</v>
      </c>
      <c r="AH131" s="33">
        <v>2</v>
      </c>
      <c r="AI131" s="43">
        <v>46146.574999999997</v>
      </c>
      <c r="AJ131" s="33" t="s">
        <v>793</v>
      </c>
      <c r="AK131" s="42">
        <v>1198476</v>
      </c>
      <c r="AL131" s="33" t="s">
        <v>1136</v>
      </c>
    </row>
    <row r="132" spans="1:38">
      <c r="A132" s="33">
        <v>6002507</v>
      </c>
      <c r="B132" s="33"/>
      <c r="C132" s="33" t="s">
        <v>789</v>
      </c>
      <c r="D132" s="33" t="s">
        <v>1047</v>
      </c>
      <c r="E132" s="33" t="s">
        <v>1137</v>
      </c>
      <c r="F132" s="43">
        <v>46146.625</v>
      </c>
      <c r="G132" s="33" t="s">
        <v>792</v>
      </c>
      <c r="H132" s="33"/>
      <c r="I132" s="33" t="s">
        <v>793</v>
      </c>
      <c r="J132" s="33" t="s">
        <v>1049</v>
      </c>
      <c r="K132" s="33" t="s">
        <v>75</v>
      </c>
      <c r="L132" s="33" t="s">
        <v>1094</v>
      </c>
      <c r="M132" s="43">
        <v>46146.577731481484</v>
      </c>
      <c r="N132" s="33" t="s">
        <v>1051</v>
      </c>
      <c r="O132" s="33" t="s">
        <v>797</v>
      </c>
      <c r="P132" s="33" t="s">
        <v>799</v>
      </c>
      <c r="Q132" s="43">
        <v>46146.49722222222</v>
      </c>
      <c r="R132" s="43">
        <v>46146.532638888886</v>
      </c>
      <c r="S132" s="58">
        <v>3.5416666666666666E-2</v>
      </c>
      <c r="T132" s="33" t="s">
        <v>140</v>
      </c>
      <c r="U132" s="33"/>
      <c r="V132" s="33"/>
      <c r="W132" s="33"/>
      <c r="X132" s="33"/>
      <c r="Y132" s="33"/>
      <c r="Z132" s="33" t="s">
        <v>140</v>
      </c>
      <c r="AA132" s="43">
        <v>46147.5</v>
      </c>
      <c r="AB132" s="33" t="s">
        <v>1138</v>
      </c>
      <c r="AC132" s="33" t="s">
        <v>1053</v>
      </c>
      <c r="AD132" s="58">
        <v>0.11388888888888889</v>
      </c>
      <c r="AE132" s="33"/>
      <c r="AF132" s="58">
        <v>0.11388888888888889</v>
      </c>
      <c r="AG132" s="33" t="s">
        <v>1054</v>
      </c>
      <c r="AH132" s="33">
        <v>1</v>
      </c>
      <c r="AI132" s="43">
        <v>46146.554861111108</v>
      </c>
      <c r="AJ132" s="33" t="s">
        <v>793</v>
      </c>
      <c r="AK132" s="42">
        <v>886739.18</v>
      </c>
      <c r="AL132" s="33" t="s">
        <v>1055</v>
      </c>
    </row>
    <row r="133" spans="1:38">
      <c r="A133" s="33">
        <v>6006644</v>
      </c>
      <c r="B133" s="33"/>
      <c r="C133" s="33" t="s">
        <v>789</v>
      </c>
      <c r="D133" s="33" t="s">
        <v>1139</v>
      </c>
      <c r="E133" s="33" t="s">
        <v>1140</v>
      </c>
      <c r="F133" s="43">
        <v>46147.125</v>
      </c>
      <c r="G133" s="33" t="s">
        <v>1141</v>
      </c>
      <c r="H133" s="33"/>
      <c r="I133" s="33" t="s">
        <v>73</v>
      </c>
      <c r="J133" s="33" t="s">
        <v>1142</v>
      </c>
      <c r="K133" s="33" t="s">
        <v>75</v>
      </c>
      <c r="L133" s="33" t="s">
        <v>1143</v>
      </c>
      <c r="M133" s="43">
        <v>46148.457951388889</v>
      </c>
      <c r="N133" s="33" t="s">
        <v>1144</v>
      </c>
      <c r="O133" s="33" t="s">
        <v>868</v>
      </c>
      <c r="P133" s="33" t="s">
        <v>140</v>
      </c>
      <c r="Q133" s="43">
        <v>46146.588888888888</v>
      </c>
      <c r="R133" s="43">
        <v>46146.754861111112</v>
      </c>
      <c r="S133" s="58">
        <v>0.16597222222222222</v>
      </c>
      <c r="T133" s="33" t="s">
        <v>232</v>
      </c>
      <c r="U133" s="43">
        <v>46148.265972222223</v>
      </c>
      <c r="V133" s="58">
        <v>0.19166666666666668</v>
      </c>
      <c r="W133" s="33"/>
      <c r="X133" s="33"/>
      <c r="Y133" s="33"/>
      <c r="Z133" s="33" t="s">
        <v>232</v>
      </c>
      <c r="AA133" s="43">
        <v>46148.333333333336</v>
      </c>
      <c r="AB133" s="33" t="s">
        <v>81</v>
      </c>
      <c r="AC133" s="33" t="s">
        <v>81</v>
      </c>
      <c r="AD133" s="44">
        <v>1.9701388888888889</v>
      </c>
      <c r="AE133" s="33"/>
      <c r="AF133" s="44">
        <v>1.9701388888888889</v>
      </c>
      <c r="AG133" s="33"/>
      <c r="AH133" s="33">
        <v>2</v>
      </c>
      <c r="AI133" s="43">
        <v>46148.265972222223</v>
      </c>
      <c r="AJ133" s="33" t="s">
        <v>73</v>
      </c>
      <c r="AK133" s="42">
        <v>233251.76</v>
      </c>
      <c r="AL133" s="33" t="s">
        <v>1145</v>
      </c>
    </row>
    <row r="134" spans="1:38">
      <c r="A134" s="33">
        <v>5988853</v>
      </c>
      <c r="B134" s="33"/>
      <c r="C134" s="33" t="s">
        <v>789</v>
      </c>
      <c r="D134" s="33" t="s">
        <v>1032</v>
      </c>
      <c r="E134" s="33" t="s">
        <v>1146</v>
      </c>
      <c r="F134" s="43">
        <v>46146.541666666664</v>
      </c>
      <c r="G134" s="33" t="s">
        <v>792</v>
      </c>
      <c r="H134" s="33"/>
      <c r="I134" s="33" t="s">
        <v>793</v>
      </c>
      <c r="J134" s="33" t="s">
        <v>1147</v>
      </c>
      <c r="K134" s="33" t="s">
        <v>75</v>
      </c>
      <c r="L134" s="33" t="s">
        <v>1148</v>
      </c>
      <c r="M134" s="43">
        <v>46146.671134259261</v>
      </c>
      <c r="N134" s="33" t="s">
        <v>1036</v>
      </c>
      <c r="O134" s="33" t="s">
        <v>797</v>
      </c>
      <c r="P134" s="33" t="s">
        <v>799</v>
      </c>
      <c r="Q134" s="43">
        <v>46146.527083333334</v>
      </c>
      <c r="R134" s="43">
        <v>46146.625694444447</v>
      </c>
      <c r="S134" s="58">
        <v>9.8611111111111108E-2</v>
      </c>
      <c r="T134" s="33" t="s">
        <v>140</v>
      </c>
      <c r="U134" s="43">
        <v>46146.645138888889</v>
      </c>
      <c r="V134" s="58">
        <v>2.5694444444444443E-2</v>
      </c>
      <c r="W134" s="33" t="s">
        <v>140</v>
      </c>
      <c r="X134" s="43">
        <v>46146.645138888889</v>
      </c>
      <c r="Y134" s="58">
        <v>2.5694444444444443E-2</v>
      </c>
      <c r="Z134" s="33" t="s">
        <v>140</v>
      </c>
      <c r="AA134" s="43">
        <v>46147.666666666664</v>
      </c>
      <c r="AB134" s="33" t="s">
        <v>606</v>
      </c>
      <c r="AC134" s="33" t="s">
        <v>1149</v>
      </c>
      <c r="AD134" s="58">
        <v>0.16805555555555557</v>
      </c>
      <c r="AE134" s="58">
        <v>4.5138888888888888E-2</v>
      </c>
      <c r="AF134" s="58">
        <v>0.16805555555555557</v>
      </c>
      <c r="AG134" s="33" t="s">
        <v>1038</v>
      </c>
      <c r="AH134" s="33">
        <v>2</v>
      </c>
      <c r="AI134" s="43">
        <v>46146.645138888889</v>
      </c>
      <c r="AJ134" s="33" t="s">
        <v>793</v>
      </c>
      <c r="AK134" s="42">
        <v>891412.74</v>
      </c>
      <c r="AL134" s="33" t="s">
        <v>1039</v>
      </c>
    </row>
    <row r="135" spans="1:38">
      <c r="A135" s="33">
        <v>6001840</v>
      </c>
      <c r="B135" s="33"/>
      <c r="C135" s="33" t="s">
        <v>789</v>
      </c>
      <c r="D135" s="33" t="s">
        <v>1150</v>
      </c>
      <c r="E135" s="33" t="s">
        <v>1151</v>
      </c>
      <c r="F135" s="43">
        <v>46146.625</v>
      </c>
      <c r="G135" s="33" t="s">
        <v>792</v>
      </c>
      <c r="H135" s="33"/>
      <c r="I135" s="33" t="s">
        <v>793</v>
      </c>
      <c r="J135" s="33" t="s">
        <v>1049</v>
      </c>
      <c r="K135" s="33" t="s">
        <v>75</v>
      </c>
      <c r="L135" s="33" t="s">
        <v>795</v>
      </c>
      <c r="M135" s="43">
        <v>46146.840671296297</v>
      </c>
      <c r="N135" s="33" t="s">
        <v>1152</v>
      </c>
      <c r="O135" s="33" t="s">
        <v>797</v>
      </c>
      <c r="P135" s="33" t="s">
        <v>799</v>
      </c>
      <c r="Q135" s="43">
        <v>46146.534722222219</v>
      </c>
      <c r="R135" s="43">
        <v>46146.62222222222</v>
      </c>
      <c r="S135" s="58">
        <v>8.7499999999999994E-2</v>
      </c>
      <c r="T135" s="33" t="s">
        <v>140</v>
      </c>
      <c r="U135" s="43">
        <v>46146.645833333336</v>
      </c>
      <c r="V135" s="58">
        <v>0.16180555555555556</v>
      </c>
      <c r="W135" s="33"/>
      <c r="X135" s="33"/>
      <c r="Y135" s="33"/>
      <c r="Z135" s="33" t="s">
        <v>140</v>
      </c>
      <c r="AA135" s="43">
        <v>46147.5</v>
      </c>
      <c r="AB135" s="33" t="s">
        <v>1153</v>
      </c>
      <c r="AC135" s="33" t="s">
        <v>1053</v>
      </c>
      <c r="AD135" s="58">
        <v>0.30833333333333335</v>
      </c>
      <c r="AE135" s="33"/>
      <c r="AF135" s="58">
        <v>0.30833333333333335</v>
      </c>
      <c r="AG135" s="33" t="s">
        <v>1154</v>
      </c>
      <c r="AH135" s="33">
        <v>2</v>
      </c>
      <c r="AI135" s="43">
        <v>46146.645833333336</v>
      </c>
      <c r="AJ135" s="33" t="s">
        <v>793</v>
      </c>
      <c r="AK135" s="42">
        <v>1096514.82</v>
      </c>
      <c r="AL135" s="33" t="s">
        <v>1155</v>
      </c>
    </row>
    <row r="136" spans="1:38">
      <c r="A136" s="33">
        <v>5992612</v>
      </c>
      <c r="B136" s="33"/>
      <c r="C136" s="33" t="s">
        <v>789</v>
      </c>
      <c r="D136" s="33" t="s">
        <v>1156</v>
      </c>
      <c r="E136" s="33" t="s">
        <v>1157</v>
      </c>
      <c r="F136" s="43">
        <v>46146.583333333336</v>
      </c>
      <c r="G136" s="33" t="s">
        <v>792</v>
      </c>
      <c r="H136" s="33"/>
      <c r="I136" s="33" t="s">
        <v>793</v>
      </c>
      <c r="J136" s="33" t="s">
        <v>1049</v>
      </c>
      <c r="K136" s="33" t="s">
        <v>1158</v>
      </c>
      <c r="L136" s="33" t="s">
        <v>1159</v>
      </c>
      <c r="M136" s="43">
        <v>46146.734143518515</v>
      </c>
      <c r="N136" s="33" t="s">
        <v>1160</v>
      </c>
      <c r="O136" s="33" t="s">
        <v>868</v>
      </c>
      <c r="P136" s="33" t="s">
        <v>799</v>
      </c>
      <c r="Q136" s="43">
        <v>46146.534722222219</v>
      </c>
      <c r="R136" s="43">
        <v>46146.647916666669</v>
      </c>
      <c r="S136" s="58">
        <v>0.11319444444444444</v>
      </c>
      <c r="T136" s="33" t="s">
        <v>140</v>
      </c>
      <c r="U136" s="43">
        <v>46146.677083333336</v>
      </c>
      <c r="V136" s="58">
        <v>5.6944444444444443E-2</v>
      </c>
      <c r="W136" s="33"/>
      <c r="X136" s="33"/>
      <c r="Y136" s="33"/>
      <c r="Z136" s="33" t="s">
        <v>140</v>
      </c>
      <c r="AA136" s="43">
        <v>46147.5</v>
      </c>
      <c r="AB136" s="33" t="s">
        <v>81</v>
      </c>
      <c r="AC136" s="33" t="s">
        <v>81</v>
      </c>
      <c r="AD136" s="58">
        <v>0.20208333333333334</v>
      </c>
      <c r="AE136" s="33"/>
      <c r="AF136" s="58">
        <v>0.20208333333333334</v>
      </c>
      <c r="AG136" s="33" t="s">
        <v>1161</v>
      </c>
      <c r="AH136" s="33">
        <v>2</v>
      </c>
      <c r="AI136" s="43">
        <v>46146.677083333336</v>
      </c>
      <c r="AJ136" s="33" t="s">
        <v>793</v>
      </c>
      <c r="AK136" s="42">
        <v>826758.31</v>
      </c>
      <c r="AL136" s="33" t="s">
        <v>1162</v>
      </c>
    </row>
    <row r="137" spans="1:38">
      <c r="A137" s="33">
        <v>6007817</v>
      </c>
      <c r="B137" s="33"/>
      <c r="C137" s="33" t="s">
        <v>789</v>
      </c>
      <c r="D137" s="33" t="s">
        <v>1163</v>
      </c>
      <c r="E137" s="33" t="s">
        <v>1164</v>
      </c>
      <c r="F137" s="43">
        <v>46146.625</v>
      </c>
      <c r="G137" s="33" t="s">
        <v>792</v>
      </c>
      <c r="H137" s="33"/>
      <c r="I137" s="33" t="s">
        <v>793</v>
      </c>
      <c r="J137" s="33" t="s">
        <v>1165</v>
      </c>
      <c r="K137" s="33" t="s">
        <v>75</v>
      </c>
      <c r="L137" s="33" t="s">
        <v>1166</v>
      </c>
      <c r="M137" s="43">
        <v>46147.778090277781</v>
      </c>
      <c r="N137" s="33" t="s">
        <v>1167</v>
      </c>
      <c r="O137" s="33" t="s">
        <v>797</v>
      </c>
      <c r="P137" s="33" t="s">
        <v>799</v>
      </c>
      <c r="Q137" s="43">
        <v>46146.540972222225</v>
      </c>
      <c r="R137" s="43">
        <v>46146.664583333331</v>
      </c>
      <c r="S137" s="58">
        <v>0.12361111111111112</v>
      </c>
      <c r="T137" s="33" t="s">
        <v>1168</v>
      </c>
      <c r="U137" s="43">
        <v>46147.664583333331</v>
      </c>
      <c r="V137" s="58">
        <v>0.11180555555555556</v>
      </c>
      <c r="W137" s="33" t="s">
        <v>1168</v>
      </c>
      <c r="X137" s="43">
        <v>46147.664583333331</v>
      </c>
      <c r="Y137" s="58">
        <v>0.11180555555555556</v>
      </c>
      <c r="Z137" s="33" t="s">
        <v>1168</v>
      </c>
      <c r="AA137" s="43">
        <v>46149.291666666664</v>
      </c>
      <c r="AB137" s="33" t="s">
        <v>1169</v>
      </c>
      <c r="AC137" s="33" t="s">
        <v>1170</v>
      </c>
      <c r="AD137" s="44">
        <v>1.2354166666666666</v>
      </c>
      <c r="AE137" s="44">
        <v>1.1131944444444444</v>
      </c>
      <c r="AF137" s="44">
        <v>1.2354166666666666</v>
      </c>
      <c r="AG137" s="33" t="s">
        <v>1171</v>
      </c>
      <c r="AH137" s="33">
        <v>2</v>
      </c>
      <c r="AI137" s="43">
        <v>46147.664583333331</v>
      </c>
      <c r="AJ137" s="33" t="s">
        <v>793</v>
      </c>
      <c r="AK137" s="42">
        <v>511129.55</v>
      </c>
      <c r="AL137" s="33" t="s">
        <v>1172</v>
      </c>
    </row>
    <row r="138" spans="1:38">
      <c r="A138" s="33">
        <v>5957863</v>
      </c>
      <c r="B138" s="33"/>
      <c r="C138" s="33" t="s">
        <v>789</v>
      </c>
      <c r="D138" s="33" t="s">
        <v>1109</v>
      </c>
      <c r="E138" s="33" t="s">
        <v>1173</v>
      </c>
      <c r="F138" s="43">
        <v>46146.625</v>
      </c>
      <c r="G138" s="33" t="s">
        <v>792</v>
      </c>
      <c r="H138" s="33"/>
      <c r="I138" s="33" t="s">
        <v>793</v>
      </c>
      <c r="J138" s="33" t="s">
        <v>1049</v>
      </c>
      <c r="K138" s="33" t="s">
        <v>75</v>
      </c>
      <c r="L138" s="33" t="s">
        <v>1174</v>
      </c>
      <c r="M138" s="43">
        <v>46146.893171296295</v>
      </c>
      <c r="N138" s="33" t="s">
        <v>1113</v>
      </c>
      <c r="O138" s="33" t="s">
        <v>797</v>
      </c>
      <c r="P138" s="33" t="s">
        <v>799</v>
      </c>
      <c r="Q138" s="43">
        <v>46146.830555555556</v>
      </c>
      <c r="R138" s="43">
        <v>46146.870138888888</v>
      </c>
      <c r="S138" s="58">
        <v>3.9583333333333331E-2</v>
      </c>
      <c r="T138" s="33" t="s">
        <v>140</v>
      </c>
      <c r="U138" s="33"/>
      <c r="V138" s="33"/>
      <c r="W138" s="33"/>
      <c r="X138" s="33"/>
      <c r="Y138" s="33"/>
      <c r="Z138" s="33" t="s">
        <v>140</v>
      </c>
      <c r="AA138" s="43">
        <v>46147.5</v>
      </c>
      <c r="AB138" s="33" t="s">
        <v>81</v>
      </c>
      <c r="AC138" s="33" t="s">
        <v>81</v>
      </c>
      <c r="AD138" s="58">
        <v>7.2222222222222215E-2</v>
      </c>
      <c r="AE138" s="33"/>
      <c r="AF138" s="58">
        <v>7.1527777777777773E-2</v>
      </c>
      <c r="AG138" s="33" t="s">
        <v>1175</v>
      </c>
      <c r="AH138" s="33">
        <v>1</v>
      </c>
      <c r="AI138" s="43">
        <v>46146.90902777778</v>
      </c>
      <c r="AJ138" s="33" t="s">
        <v>793</v>
      </c>
      <c r="AK138" s="42">
        <v>1130086</v>
      </c>
      <c r="AL138" s="33" t="s">
        <v>1116</v>
      </c>
    </row>
    <row r="139" spans="1:38">
      <c r="A139" s="33">
        <v>6006625</v>
      </c>
      <c r="B139" s="33"/>
      <c r="C139" s="33" t="s">
        <v>789</v>
      </c>
      <c r="D139" s="33" t="s">
        <v>1176</v>
      </c>
      <c r="E139" s="33" t="s">
        <v>1177</v>
      </c>
      <c r="F139" s="43">
        <v>46146.666666666664</v>
      </c>
      <c r="G139" s="33" t="s">
        <v>227</v>
      </c>
      <c r="H139" s="33"/>
      <c r="I139" s="33" t="s">
        <v>73</v>
      </c>
      <c r="J139" s="33" t="s">
        <v>325</v>
      </c>
      <c r="K139" s="33" t="s">
        <v>75</v>
      </c>
      <c r="L139" s="33" t="s">
        <v>1178</v>
      </c>
      <c r="M139" s="43">
        <v>46147.0625462963</v>
      </c>
      <c r="N139" s="33" t="s">
        <v>1179</v>
      </c>
      <c r="O139" s="33" t="s">
        <v>797</v>
      </c>
      <c r="P139" s="33" t="s">
        <v>79</v>
      </c>
      <c r="Q139" s="43">
        <v>46146.556250000001</v>
      </c>
      <c r="R139" s="43">
        <v>46146.7</v>
      </c>
      <c r="S139" s="58">
        <v>0.14374999999999999</v>
      </c>
      <c r="T139" s="33" t="s">
        <v>327</v>
      </c>
      <c r="U139" s="33"/>
      <c r="V139" s="33"/>
      <c r="W139" s="33"/>
      <c r="X139" s="33"/>
      <c r="Y139" s="33"/>
      <c r="Z139" s="33" t="s">
        <v>327</v>
      </c>
      <c r="AA139" s="43">
        <v>46149.375</v>
      </c>
      <c r="AB139" s="33" t="s">
        <v>1180</v>
      </c>
      <c r="AC139" s="33" t="s">
        <v>330</v>
      </c>
      <c r="AD139" s="58">
        <v>0.49791666666666667</v>
      </c>
      <c r="AE139" s="33"/>
      <c r="AF139" s="58">
        <v>0.47986111111111113</v>
      </c>
      <c r="AG139" s="33" t="s">
        <v>1181</v>
      </c>
      <c r="AH139" s="33">
        <v>2</v>
      </c>
      <c r="AI139" s="43">
        <v>46147.100694444445</v>
      </c>
      <c r="AJ139" s="33" t="s">
        <v>73</v>
      </c>
      <c r="AK139" s="42">
        <v>247062.67</v>
      </c>
      <c r="AL139" s="33" t="s">
        <v>1182</v>
      </c>
    </row>
    <row r="140" spans="1:38">
      <c r="A140" s="33">
        <v>6010815</v>
      </c>
      <c r="B140" s="33"/>
      <c r="C140" s="33" t="s">
        <v>789</v>
      </c>
      <c r="D140" s="33" t="s">
        <v>302</v>
      </c>
      <c r="E140" s="33" t="s">
        <v>1183</v>
      </c>
      <c r="F140" s="43">
        <v>46146.708333333336</v>
      </c>
      <c r="G140" s="33" t="s">
        <v>227</v>
      </c>
      <c r="H140" s="33"/>
      <c r="I140" s="33" t="s">
        <v>772</v>
      </c>
      <c r="J140" s="33" t="s">
        <v>304</v>
      </c>
      <c r="K140" s="33" t="s">
        <v>75</v>
      </c>
      <c r="L140" s="33" t="s">
        <v>1184</v>
      </c>
      <c r="M140" s="43">
        <v>46147.534479166665</v>
      </c>
      <c r="N140" s="33" t="s">
        <v>307</v>
      </c>
      <c r="O140" s="33" t="s">
        <v>797</v>
      </c>
      <c r="P140" s="33" t="s">
        <v>79</v>
      </c>
      <c r="Q140" s="43">
        <v>46146.588194444441</v>
      </c>
      <c r="R140" s="43">
        <v>46146.882638888892</v>
      </c>
      <c r="S140" s="58">
        <v>0.29444444444444445</v>
      </c>
      <c r="T140" s="33" t="s">
        <v>308</v>
      </c>
      <c r="U140" s="43">
        <v>46147.511111111111</v>
      </c>
      <c r="V140" s="58">
        <v>2.2916666666666665E-2</v>
      </c>
      <c r="W140" s="33" t="s">
        <v>308</v>
      </c>
      <c r="X140" s="43">
        <v>46147.511111111111</v>
      </c>
      <c r="Y140" s="58">
        <v>2.2916666666666665E-2</v>
      </c>
      <c r="Z140" s="33" t="s">
        <v>308</v>
      </c>
      <c r="AA140" s="43">
        <v>46153.333333333336</v>
      </c>
      <c r="AB140" s="33" t="s">
        <v>81</v>
      </c>
      <c r="AC140" s="33" t="s">
        <v>310</v>
      </c>
      <c r="AD140" s="58">
        <v>0.96944444444444444</v>
      </c>
      <c r="AE140" s="58">
        <v>0.3576388888888889</v>
      </c>
      <c r="AF140" s="58">
        <v>0.96944444444444444</v>
      </c>
      <c r="AG140" s="33" t="s">
        <v>1185</v>
      </c>
      <c r="AH140" s="33">
        <v>2</v>
      </c>
      <c r="AI140" s="43">
        <v>46147.511111111111</v>
      </c>
      <c r="AJ140" s="33" t="s">
        <v>73</v>
      </c>
      <c r="AK140" s="42">
        <v>240704.55</v>
      </c>
      <c r="AL140" s="33" t="s">
        <v>312</v>
      </c>
    </row>
    <row r="141" spans="1:38">
      <c r="A141" s="33">
        <v>6010816</v>
      </c>
      <c r="B141" s="33"/>
      <c r="C141" s="33" t="s">
        <v>789</v>
      </c>
      <c r="D141" s="33" t="s">
        <v>1186</v>
      </c>
      <c r="E141" s="33" t="s">
        <v>1187</v>
      </c>
      <c r="F141" s="43">
        <v>46146.708333333336</v>
      </c>
      <c r="G141" s="33" t="s">
        <v>227</v>
      </c>
      <c r="H141" s="33"/>
      <c r="I141" s="33" t="s">
        <v>772</v>
      </c>
      <c r="J141" s="33" t="s">
        <v>1188</v>
      </c>
      <c r="K141" s="33" t="s">
        <v>75</v>
      </c>
      <c r="L141" s="33" t="s">
        <v>1189</v>
      </c>
      <c r="M141" s="43">
        <v>46147.331655092596</v>
      </c>
      <c r="N141" s="33" t="s">
        <v>1190</v>
      </c>
      <c r="O141" s="33" t="s">
        <v>797</v>
      </c>
      <c r="P141" s="33" t="s">
        <v>79</v>
      </c>
      <c r="Q141" s="43">
        <v>46146.563888888886</v>
      </c>
      <c r="R141" s="43">
        <v>46146.906944444447</v>
      </c>
      <c r="S141" s="58">
        <v>0.34305555555555556</v>
      </c>
      <c r="T141" s="33" t="s">
        <v>308</v>
      </c>
      <c r="U141" s="43">
        <v>46147.281944444447</v>
      </c>
      <c r="V141" s="58">
        <v>4.6527777777777779E-2</v>
      </c>
      <c r="W141" s="33" t="s">
        <v>308</v>
      </c>
      <c r="X141" s="43">
        <v>46147.281944444447</v>
      </c>
      <c r="Y141" s="58">
        <v>4.6527777777777779E-2</v>
      </c>
      <c r="Z141" s="33" t="s">
        <v>308</v>
      </c>
      <c r="AA141" s="43">
        <v>46149.375</v>
      </c>
      <c r="AB141" s="33" t="s">
        <v>81</v>
      </c>
      <c r="AC141" s="33" t="s">
        <v>1191</v>
      </c>
      <c r="AD141" s="58">
        <v>0.76388888888888884</v>
      </c>
      <c r="AE141" s="58">
        <v>0.39097222222222222</v>
      </c>
      <c r="AF141" s="58">
        <v>0.76388888888888884</v>
      </c>
      <c r="AG141" s="33" t="s">
        <v>1192</v>
      </c>
      <c r="AH141" s="33">
        <v>2</v>
      </c>
      <c r="AI141" s="43">
        <v>46147.281944444447</v>
      </c>
      <c r="AJ141" s="33" t="s">
        <v>73</v>
      </c>
      <c r="AK141" s="42">
        <v>224083.8</v>
      </c>
      <c r="AL141" s="33" t="s">
        <v>1193</v>
      </c>
    </row>
    <row r="142" spans="1:38">
      <c r="A142" s="33">
        <v>6009920</v>
      </c>
      <c r="B142" s="33"/>
      <c r="C142" s="33" t="s">
        <v>789</v>
      </c>
      <c r="D142" s="33" t="s">
        <v>1194</v>
      </c>
      <c r="E142" s="33" t="s">
        <v>1195</v>
      </c>
      <c r="F142" s="43">
        <v>46146.472916666666</v>
      </c>
      <c r="G142" s="33" t="s">
        <v>114</v>
      </c>
      <c r="H142" s="33"/>
      <c r="I142" s="33" t="s">
        <v>73</v>
      </c>
      <c r="J142" s="33" t="s">
        <v>1196</v>
      </c>
      <c r="K142" s="33" t="s">
        <v>116</v>
      </c>
      <c r="L142" s="33" t="s">
        <v>1197</v>
      </c>
      <c r="M142" s="43">
        <v>46146.651041666664</v>
      </c>
      <c r="N142" s="33" t="s">
        <v>1198</v>
      </c>
      <c r="O142" s="33" t="s">
        <v>797</v>
      </c>
      <c r="P142" s="33" t="s">
        <v>140</v>
      </c>
      <c r="Q142" s="33"/>
      <c r="R142" s="33"/>
      <c r="S142" s="33"/>
      <c r="T142" s="33" t="s">
        <v>1199</v>
      </c>
      <c r="U142" s="33"/>
      <c r="V142" s="33"/>
      <c r="W142" s="33"/>
      <c r="X142" s="33"/>
      <c r="Y142" s="33"/>
      <c r="Z142" s="33" t="s">
        <v>1199</v>
      </c>
      <c r="AA142" s="43">
        <v>46147.416666666664</v>
      </c>
      <c r="AB142" s="33" t="s">
        <v>1200</v>
      </c>
      <c r="AC142" s="33" t="s">
        <v>1201</v>
      </c>
      <c r="AD142" s="58">
        <v>7.6388888888888895E-2</v>
      </c>
      <c r="AE142" s="33"/>
      <c r="AF142" s="58">
        <v>7.6388888888888895E-2</v>
      </c>
      <c r="AG142" s="33"/>
      <c r="AH142" s="33">
        <v>0</v>
      </c>
      <c r="AI142" s="43">
        <v>46146.852083333331</v>
      </c>
      <c r="AJ142" s="33" t="s">
        <v>73</v>
      </c>
      <c r="AK142" s="42">
        <v>160589.49</v>
      </c>
      <c r="AL142" s="33" t="s">
        <v>1202</v>
      </c>
    </row>
    <row r="143" spans="1:38">
      <c r="A143" s="33">
        <v>5988969</v>
      </c>
      <c r="B143" s="33"/>
      <c r="C143" s="33" t="s">
        <v>789</v>
      </c>
      <c r="D143" s="33" t="s">
        <v>1047</v>
      </c>
      <c r="E143" s="33" t="s">
        <v>1203</v>
      </c>
      <c r="F143" s="43">
        <v>46146.666666666664</v>
      </c>
      <c r="G143" s="33" t="s">
        <v>792</v>
      </c>
      <c r="H143" s="33"/>
      <c r="I143" s="33" t="s">
        <v>793</v>
      </c>
      <c r="J143" s="33" t="s">
        <v>1049</v>
      </c>
      <c r="K143" s="33" t="s">
        <v>75</v>
      </c>
      <c r="L143" s="33" t="s">
        <v>1204</v>
      </c>
      <c r="M143" s="43">
        <v>46146.71402777778</v>
      </c>
      <c r="N143" s="33" t="s">
        <v>1051</v>
      </c>
      <c r="O143" s="33" t="s">
        <v>797</v>
      </c>
      <c r="P143" s="33" t="s">
        <v>799</v>
      </c>
      <c r="Q143" s="43">
        <v>46146.642361111109</v>
      </c>
      <c r="R143" s="43">
        <v>46146.691666666666</v>
      </c>
      <c r="S143" s="58">
        <v>4.9305555555555554E-2</v>
      </c>
      <c r="T143" s="33" t="s">
        <v>140</v>
      </c>
      <c r="U143" s="33"/>
      <c r="V143" s="33"/>
      <c r="W143" s="33"/>
      <c r="X143" s="33"/>
      <c r="Y143" s="33"/>
      <c r="Z143" s="33" t="s">
        <v>140</v>
      </c>
      <c r="AA143" s="43">
        <v>46147.625</v>
      </c>
      <c r="AB143" s="33" t="s">
        <v>1138</v>
      </c>
      <c r="AC143" s="33" t="s">
        <v>1053</v>
      </c>
      <c r="AD143" s="58">
        <v>9.583333333333334E-2</v>
      </c>
      <c r="AE143" s="33"/>
      <c r="AF143" s="58">
        <v>9.583333333333334E-2</v>
      </c>
      <c r="AG143" s="33" t="s">
        <v>1205</v>
      </c>
      <c r="AH143" s="33">
        <v>1</v>
      </c>
      <c r="AI143" s="43">
        <v>46146.715277777781</v>
      </c>
      <c r="AJ143" s="33" t="s">
        <v>793</v>
      </c>
      <c r="AK143" s="42">
        <v>402107.42</v>
      </c>
      <c r="AL143" s="33" t="s">
        <v>1055</v>
      </c>
    </row>
    <row r="144" spans="1:38">
      <c r="A144" s="33">
        <v>5999955</v>
      </c>
      <c r="B144" s="33"/>
      <c r="C144" s="33" t="s">
        <v>789</v>
      </c>
      <c r="D144" s="33" t="s">
        <v>849</v>
      </c>
      <c r="E144" s="33" t="s">
        <v>1206</v>
      </c>
      <c r="F144" s="43">
        <v>46146.666666666664</v>
      </c>
      <c r="G144" s="33" t="s">
        <v>792</v>
      </c>
      <c r="H144" s="33"/>
      <c r="I144" s="33" t="s">
        <v>793</v>
      </c>
      <c r="J144" s="33" t="s">
        <v>856</v>
      </c>
      <c r="K144" s="33" t="s">
        <v>1207</v>
      </c>
      <c r="L144" s="33" t="s">
        <v>1208</v>
      </c>
      <c r="M144" s="43">
        <v>46146.828587962962</v>
      </c>
      <c r="N144" s="33" t="s">
        <v>852</v>
      </c>
      <c r="O144" s="33" t="s">
        <v>868</v>
      </c>
      <c r="P144" s="33" t="s">
        <v>798</v>
      </c>
      <c r="Q144" s="33"/>
      <c r="R144" s="33"/>
      <c r="S144" s="33"/>
      <c r="T144" s="33" t="s">
        <v>799</v>
      </c>
      <c r="U144" s="43">
        <v>46146.773611111108</v>
      </c>
      <c r="V144" s="58">
        <v>5.486111111111111E-2</v>
      </c>
      <c r="W144" s="33"/>
      <c r="X144" s="33"/>
      <c r="Y144" s="33"/>
      <c r="Z144" s="33" t="s">
        <v>799</v>
      </c>
      <c r="AA144" s="43">
        <v>46147.958333333336</v>
      </c>
      <c r="AB144" s="33" t="s">
        <v>81</v>
      </c>
      <c r="AC144" s="33" t="s">
        <v>81</v>
      </c>
      <c r="AD144" s="58">
        <v>0.1673611111111111</v>
      </c>
      <c r="AE144" s="33"/>
      <c r="AF144" s="58">
        <v>0.1673611111111111</v>
      </c>
      <c r="AG144" s="33" t="s">
        <v>853</v>
      </c>
      <c r="AH144" s="33">
        <v>1</v>
      </c>
      <c r="AI144" s="43">
        <v>46146.773611111108</v>
      </c>
      <c r="AJ144" s="33" t="s">
        <v>793</v>
      </c>
      <c r="AK144" s="42">
        <v>1085716.73</v>
      </c>
      <c r="AL144" s="33" t="s">
        <v>1209</v>
      </c>
    </row>
    <row r="145" spans="1:38">
      <c r="A145" s="33">
        <v>5957869</v>
      </c>
      <c r="B145" s="33"/>
      <c r="C145" s="33" t="s">
        <v>789</v>
      </c>
      <c r="D145" s="33" t="s">
        <v>1210</v>
      </c>
      <c r="E145" s="33" t="s">
        <v>1211</v>
      </c>
      <c r="F145" s="43">
        <v>46146.708333333336</v>
      </c>
      <c r="G145" s="33" t="s">
        <v>792</v>
      </c>
      <c r="H145" s="33"/>
      <c r="I145" s="33" t="s">
        <v>793</v>
      </c>
      <c r="J145" s="33" t="s">
        <v>1049</v>
      </c>
      <c r="K145" s="33" t="s">
        <v>75</v>
      </c>
      <c r="L145" s="33" t="s">
        <v>1035</v>
      </c>
      <c r="M145" s="43">
        <v>46146.817418981482</v>
      </c>
      <c r="N145" s="33" t="s">
        <v>796</v>
      </c>
      <c r="O145" s="33" t="s">
        <v>797</v>
      </c>
      <c r="P145" s="33" t="s">
        <v>799</v>
      </c>
      <c r="Q145" s="43">
        <v>46146.669444444444</v>
      </c>
      <c r="R145" s="43">
        <v>46146.70416666667</v>
      </c>
      <c r="S145" s="58">
        <v>3.4722222222222224E-2</v>
      </c>
      <c r="T145" s="33" t="s">
        <v>140</v>
      </c>
      <c r="U145" s="43">
        <v>46146.739583333336</v>
      </c>
      <c r="V145" s="58">
        <v>0.11597222222222223</v>
      </c>
      <c r="W145" s="33" t="s">
        <v>140</v>
      </c>
      <c r="X145" s="43">
        <v>46146.739583333336</v>
      </c>
      <c r="Y145" s="58">
        <v>0.11597222222222223</v>
      </c>
      <c r="Z145" s="33" t="s">
        <v>140</v>
      </c>
      <c r="AA145" s="43">
        <v>46147.625</v>
      </c>
      <c r="AB145" s="33" t="s">
        <v>81</v>
      </c>
      <c r="AC145" s="33" t="s">
        <v>1053</v>
      </c>
      <c r="AD145" s="58">
        <v>0.20694444444444443</v>
      </c>
      <c r="AE145" s="58">
        <v>0.11388888888888889</v>
      </c>
      <c r="AF145" s="58">
        <v>0.20694444444444443</v>
      </c>
      <c r="AG145" s="33" t="s">
        <v>1212</v>
      </c>
      <c r="AH145" s="33">
        <v>2</v>
      </c>
      <c r="AI145" s="43">
        <v>46146.739583333336</v>
      </c>
      <c r="AJ145" s="33" t="s">
        <v>793</v>
      </c>
      <c r="AK145" s="42">
        <v>618981.75</v>
      </c>
      <c r="AL145" s="33" t="s">
        <v>1213</v>
      </c>
    </row>
    <row r="146" spans="1:38">
      <c r="A146" s="33">
        <v>5986792</v>
      </c>
      <c r="B146" s="33"/>
      <c r="C146" s="33" t="s">
        <v>789</v>
      </c>
      <c r="D146" s="33" t="s">
        <v>1214</v>
      </c>
      <c r="E146" s="33" t="s">
        <v>1215</v>
      </c>
      <c r="F146" s="43">
        <v>46146.65625</v>
      </c>
      <c r="G146" s="33" t="s">
        <v>114</v>
      </c>
      <c r="H146" s="33"/>
      <c r="I146" s="33" t="s">
        <v>73</v>
      </c>
      <c r="J146" s="33" t="s">
        <v>1216</v>
      </c>
      <c r="K146" s="33" t="s">
        <v>75</v>
      </c>
      <c r="L146" s="33" t="s">
        <v>1018</v>
      </c>
      <c r="M146" s="43">
        <v>46153.440636574072</v>
      </c>
      <c r="N146" s="33" t="s">
        <v>1217</v>
      </c>
      <c r="O146" s="33" t="s">
        <v>797</v>
      </c>
      <c r="P146" s="33" t="s">
        <v>79</v>
      </c>
      <c r="Q146" s="33"/>
      <c r="R146" s="33"/>
      <c r="S146" s="33"/>
      <c r="T146" s="33" t="s">
        <v>119</v>
      </c>
      <c r="U146" s="43">
        <v>46152.580555555556</v>
      </c>
      <c r="V146" s="58">
        <v>0.86041666666666672</v>
      </c>
      <c r="W146" s="33" t="s">
        <v>119</v>
      </c>
      <c r="X146" s="43">
        <v>46152.580555555556</v>
      </c>
      <c r="Y146" s="58">
        <v>0.86041666666666672</v>
      </c>
      <c r="Z146" s="33" t="s">
        <v>119</v>
      </c>
      <c r="AA146" s="43">
        <v>46153.333333333336</v>
      </c>
      <c r="AB146" s="33" t="s">
        <v>81</v>
      </c>
      <c r="AC146" s="33" t="s">
        <v>1218</v>
      </c>
      <c r="AD146" s="44">
        <v>6.6611111111111114</v>
      </c>
      <c r="AE146" s="44">
        <v>4.1451388888888889</v>
      </c>
      <c r="AF146" s="44">
        <v>6.6611111111111114</v>
      </c>
      <c r="AG146" s="33" t="s">
        <v>1219</v>
      </c>
      <c r="AH146" s="33">
        <v>2</v>
      </c>
      <c r="AI146" s="43">
        <v>46152.580555555556</v>
      </c>
      <c r="AJ146" s="33" t="s">
        <v>73</v>
      </c>
      <c r="AK146" s="42">
        <v>130497.01</v>
      </c>
      <c r="AL146" s="33" t="s">
        <v>1220</v>
      </c>
    </row>
    <row r="147" spans="1:38">
      <c r="A147" s="33" t="s">
        <v>1221</v>
      </c>
      <c r="B147" s="33"/>
      <c r="C147" s="33" t="s">
        <v>789</v>
      </c>
      <c r="D147" s="33" t="s">
        <v>1222</v>
      </c>
      <c r="E147" s="33" t="s">
        <v>1223</v>
      </c>
      <c r="F147" s="43">
        <v>46146.958333333336</v>
      </c>
      <c r="G147" s="33" t="s">
        <v>836</v>
      </c>
      <c r="H147" s="33"/>
      <c r="I147" s="33" t="s">
        <v>73</v>
      </c>
      <c r="J147" s="33" t="s">
        <v>897</v>
      </c>
      <c r="K147" s="33" t="s">
        <v>1207</v>
      </c>
      <c r="L147" s="33" t="s">
        <v>1224</v>
      </c>
      <c r="M147" s="43">
        <v>46148.455000000002</v>
      </c>
      <c r="N147" s="33" t="s">
        <v>1225</v>
      </c>
      <c r="O147" s="33" t="s">
        <v>797</v>
      </c>
      <c r="P147" s="33" t="s">
        <v>79</v>
      </c>
      <c r="Q147" s="43">
        <v>46146.845833333333</v>
      </c>
      <c r="R147" s="43">
        <v>46146.929861111108</v>
      </c>
      <c r="S147" s="58">
        <v>8.4027777777777785E-2</v>
      </c>
      <c r="T147" s="33" t="s">
        <v>840</v>
      </c>
      <c r="U147" s="43">
        <v>46147.297222222223</v>
      </c>
      <c r="V147" s="44">
        <v>1.1430555555555555</v>
      </c>
      <c r="W147" s="33"/>
      <c r="X147" s="33"/>
      <c r="Y147" s="33"/>
      <c r="Z147" s="33" t="s">
        <v>840</v>
      </c>
      <c r="AA147" s="43">
        <v>46147.25</v>
      </c>
      <c r="AB147" s="33" t="s">
        <v>1226</v>
      </c>
      <c r="AC147" s="33" t="s">
        <v>901</v>
      </c>
      <c r="AD147" s="44">
        <v>1.7590277777777779</v>
      </c>
      <c r="AE147" s="33"/>
      <c r="AF147" s="44">
        <v>1.7590277777777779</v>
      </c>
      <c r="AG147" s="33"/>
      <c r="AH147" s="33">
        <v>3</v>
      </c>
      <c r="AI147" s="43">
        <v>46148.455555555556</v>
      </c>
      <c r="AJ147" s="33" t="s">
        <v>73</v>
      </c>
      <c r="AK147" s="42">
        <v>115606.52</v>
      </c>
      <c r="AL147" s="33" t="s">
        <v>1227</v>
      </c>
    </row>
    <row r="148" spans="1:38">
      <c r="A148" s="33" t="s">
        <v>1228</v>
      </c>
      <c r="B148" s="33"/>
      <c r="C148" s="33" t="s">
        <v>789</v>
      </c>
      <c r="D148" s="33" t="s">
        <v>677</v>
      </c>
      <c r="E148" s="33" t="s">
        <v>1229</v>
      </c>
      <c r="F148" s="43">
        <v>46146.75</v>
      </c>
      <c r="G148" s="33" t="s">
        <v>171</v>
      </c>
      <c r="H148" s="33"/>
      <c r="I148" s="33" t="s">
        <v>73</v>
      </c>
      <c r="J148" s="33" t="s">
        <v>1230</v>
      </c>
      <c r="K148" s="33" t="s">
        <v>75</v>
      </c>
      <c r="L148" s="33" t="s">
        <v>1231</v>
      </c>
      <c r="M148" s="43">
        <v>46146.915648148148</v>
      </c>
      <c r="N148" s="33" t="s">
        <v>681</v>
      </c>
      <c r="O148" s="33" t="s">
        <v>797</v>
      </c>
      <c r="P148" s="33" t="s">
        <v>967</v>
      </c>
      <c r="Q148" s="33"/>
      <c r="R148" s="33"/>
      <c r="S148" s="33"/>
      <c r="T148" s="33" t="s">
        <v>308</v>
      </c>
      <c r="U148" s="43">
        <v>46146.859722222223</v>
      </c>
      <c r="V148" s="58">
        <v>5.4166666666666669E-2</v>
      </c>
      <c r="W148" s="33" t="s">
        <v>308</v>
      </c>
      <c r="X148" s="43">
        <v>46146.859722222223</v>
      </c>
      <c r="Y148" s="58">
        <v>5.4166666666666669E-2</v>
      </c>
      <c r="Z148" s="33" t="s">
        <v>308</v>
      </c>
      <c r="AA148" s="43">
        <v>46147</v>
      </c>
      <c r="AB148" s="33" t="s">
        <v>81</v>
      </c>
      <c r="AC148" s="33" t="s">
        <v>1232</v>
      </c>
      <c r="AD148" s="58">
        <v>0.17499999999999999</v>
      </c>
      <c r="AE148" s="33"/>
      <c r="AF148" s="58">
        <v>0.17499999999999999</v>
      </c>
      <c r="AG148" s="33" t="s">
        <v>1233</v>
      </c>
      <c r="AH148" s="33">
        <v>1</v>
      </c>
      <c r="AI148" s="43">
        <v>46146.859722222223</v>
      </c>
      <c r="AJ148" s="33" t="s">
        <v>793</v>
      </c>
      <c r="AK148" s="42">
        <v>281254.25</v>
      </c>
      <c r="AL148" s="33" t="s">
        <v>684</v>
      </c>
    </row>
    <row r="149" spans="1:38">
      <c r="A149" s="33" t="s">
        <v>1234</v>
      </c>
      <c r="B149" s="33"/>
      <c r="C149" s="33" t="s">
        <v>789</v>
      </c>
      <c r="D149" s="33" t="s">
        <v>599</v>
      </c>
      <c r="E149" s="33" t="s">
        <v>1235</v>
      </c>
      <c r="F149" s="43">
        <v>46146.75</v>
      </c>
      <c r="G149" s="33" t="s">
        <v>171</v>
      </c>
      <c r="H149" s="33"/>
      <c r="I149" s="33" t="s">
        <v>793</v>
      </c>
      <c r="J149" s="33" t="s">
        <v>965</v>
      </c>
      <c r="K149" s="33" t="s">
        <v>75</v>
      </c>
      <c r="L149" s="33" t="s">
        <v>1236</v>
      </c>
      <c r="M149" s="43">
        <v>46146.914513888885</v>
      </c>
      <c r="N149" s="33" t="s">
        <v>603</v>
      </c>
      <c r="O149" s="33" t="s">
        <v>797</v>
      </c>
      <c r="P149" s="33" t="s">
        <v>967</v>
      </c>
      <c r="Q149" s="33"/>
      <c r="R149" s="33"/>
      <c r="S149" s="33"/>
      <c r="T149" s="33" t="s">
        <v>308</v>
      </c>
      <c r="U149" s="43">
        <v>46146.870833333334</v>
      </c>
      <c r="V149" s="58">
        <v>4.1666666666666664E-2</v>
      </c>
      <c r="W149" s="33"/>
      <c r="X149" s="33"/>
      <c r="Y149" s="33"/>
      <c r="Z149" s="33" t="s">
        <v>308</v>
      </c>
      <c r="AA149" s="43">
        <v>46152</v>
      </c>
      <c r="AB149" s="33" t="s">
        <v>81</v>
      </c>
      <c r="AC149" s="33" t="s">
        <v>968</v>
      </c>
      <c r="AD149" s="58">
        <v>0.1701388888888889</v>
      </c>
      <c r="AE149" s="33"/>
      <c r="AF149" s="58">
        <v>0.13472222222222222</v>
      </c>
      <c r="AG149" s="33" t="s">
        <v>969</v>
      </c>
      <c r="AH149" s="33">
        <v>1</v>
      </c>
      <c r="AI149" s="43">
        <v>46146.870833333334</v>
      </c>
      <c r="AJ149" s="33" t="s">
        <v>793</v>
      </c>
      <c r="AK149" s="42">
        <v>307034.71999999997</v>
      </c>
      <c r="AL149" s="33" t="s">
        <v>609</v>
      </c>
    </row>
    <row r="150" spans="1:38">
      <c r="A150" s="33">
        <v>6002372</v>
      </c>
      <c r="B150" s="33"/>
      <c r="C150" s="33" t="s">
        <v>789</v>
      </c>
      <c r="D150" s="33" t="s">
        <v>1040</v>
      </c>
      <c r="E150" s="33" t="s">
        <v>1237</v>
      </c>
      <c r="F150" s="43">
        <v>46146.708333333336</v>
      </c>
      <c r="G150" s="33" t="s">
        <v>792</v>
      </c>
      <c r="H150" s="33"/>
      <c r="I150" s="33" t="s">
        <v>793</v>
      </c>
      <c r="J150" s="33" t="s">
        <v>1049</v>
      </c>
      <c r="K150" s="33" t="s">
        <v>75</v>
      </c>
      <c r="L150" s="33" t="s">
        <v>1148</v>
      </c>
      <c r="M150" s="43">
        <v>46146.966064814813</v>
      </c>
      <c r="N150" s="33" t="s">
        <v>796</v>
      </c>
      <c r="O150" s="33" t="s">
        <v>797</v>
      </c>
      <c r="P150" s="33" t="s">
        <v>799</v>
      </c>
      <c r="Q150" s="43">
        <v>46146.668055555558</v>
      </c>
      <c r="R150" s="43">
        <v>46146.686805555553</v>
      </c>
      <c r="S150" s="58">
        <v>1.8749999999999999E-2</v>
      </c>
      <c r="T150" s="33" t="s">
        <v>140</v>
      </c>
      <c r="U150" s="43">
        <v>46146.71875</v>
      </c>
      <c r="V150" s="58">
        <v>0.24652777777777779</v>
      </c>
      <c r="W150" s="33" t="s">
        <v>140</v>
      </c>
      <c r="X150" s="43">
        <v>46146.71875</v>
      </c>
      <c r="Y150" s="58">
        <v>0.24652777777777779</v>
      </c>
      <c r="Z150" s="33" t="s">
        <v>140</v>
      </c>
      <c r="AA150" s="43">
        <v>46147.75</v>
      </c>
      <c r="AB150" s="33" t="s">
        <v>81</v>
      </c>
      <c r="AC150" s="33" t="s">
        <v>1053</v>
      </c>
      <c r="AD150" s="58">
        <v>0.29791666666666666</v>
      </c>
      <c r="AE150" s="58">
        <v>0.27916666666666667</v>
      </c>
      <c r="AF150" s="58">
        <v>0.29791666666666666</v>
      </c>
      <c r="AG150" s="33" t="s">
        <v>1045</v>
      </c>
      <c r="AH150" s="33">
        <v>2</v>
      </c>
      <c r="AI150" s="43">
        <v>46146.71875</v>
      </c>
      <c r="AJ150" s="33" t="s">
        <v>793</v>
      </c>
      <c r="AK150" s="42">
        <v>572811.36</v>
      </c>
      <c r="AL150" s="33" t="s">
        <v>1046</v>
      </c>
    </row>
    <row r="151" spans="1:38">
      <c r="A151" s="33">
        <v>6001482</v>
      </c>
      <c r="B151" s="33"/>
      <c r="C151" s="33" t="s">
        <v>789</v>
      </c>
      <c r="D151" s="33" t="s">
        <v>1194</v>
      </c>
      <c r="E151" s="33" t="s">
        <v>1238</v>
      </c>
      <c r="F151" s="43">
        <v>46146.661805555559</v>
      </c>
      <c r="G151" s="33" t="s">
        <v>114</v>
      </c>
      <c r="H151" s="33"/>
      <c r="I151" s="33" t="s">
        <v>73</v>
      </c>
      <c r="J151" s="33" t="s">
        <v>1239</v>
      </c>
      <c r="K151" s="33" t="s">
        <v>1240</v>
      </c>
      <c r="L151" s="33" t="s">
        <v>1241</v>
      </c>
      <c r="M151" s="43">
        <v>46147.229166666664</v>
      </c>
      <c r="N151" s="33" t="s">
        <v>1198</v>
      </c>
      <c r="O151" s="33" t="s">
        <v>797</v>
      </c>
      <c r="P151" s="33" t="s">
        <v>140</v>
      </c>
      <c r="Q151" s="33"/>
      <c r="R151" s="33"/>
      <c r="S151" s="33"/>
      <c r="T151" s="33" t="s">
        <v>1242</v>
      </c>
      <c r="U151" s="43">
        <v>46147.198611111111</v>
      </c>
      <c r="V151" s="58">
        <v>6.9444444444444447E-4</v>
      </c>
      <c r="W151" s="33"/>
      <c r="X151" s="33"/>
      <c r="Y151" s="33"/>
      <c r="Z151" s="33" t="s">
        <v>1242</v>
      </c>
      <c r="AA151" s="43">
        <v>46147.416666666664</v>
      </c>
      <c r="AB151" s="33" t="s">
        <v>81</v>
      </c>
      <c r="AC151" s="33" t="s">
        <v>1243</v>
      </c>
      <c r="AD151" s="58">
        <v>0.50694444444444442</v>
      </c>
      <c r="AE151" s="33"/>
      <c r="AF151" s="58">
        <v>0.49861111111111112</v>
      </c>
      <c r="AG151" s="33"/>
      <c r="AH151" s="33">
        <v>1</v>
      </c>
      <c r="AI151" s="43">
        <v>46147.198611111111</v>
      </c>
      <c r="AJ151" s="33" t="s">
        <v>73</v>
      </c>
      <c r="AK151" s="42">
        <v>117538.57</v>
      </c>
      <c r="AL151" s="33" t="s">
        <v>1202</v>
      </c>
    </row>
    <row r="152" spans="1:38">
      <c r="A152" s="33">
        <v>6010779</v>
      </c>
      <c r="B152" s="33"/>
      <c r="C152" s="33" t="s">
        <v>789</v>
      </c>
      <c r="D152" s="33" t="s">
        <v>1244</v>
      </c>
      <c r="E152" s="33" t="s">
        <v>1245</v>
      </c>
      <c r="F152" s="43">
        <v>46146.690972222219</v>
      </c>
      <c r="G152" s="33" t="s">
        <v>1246</v>
      </c>
      <c r="H152" s="33"/>
      <c r="I152" s="33" t="s">
        <v>73</v>
      </c>
      <c r="J152" s="33" t="s">
        <v>1247</v>
      </c>
      <c r="K152" s="33" t="s">
        <v>75</v>
      </c>
      <c r="L152" s="33" t="s">
        <v>1248</v>
      </c>
      <c r="M152" s="43">
        <v>46146.815567129626</v>
      </c>
      <c r="N152" s="33" t="s">
        <v>1249</v>
      </c>
      <c r="O152" s="33" t="s">
        <v>797</v>
      </c>
      <c r="P152" s="33" t="s">
        <v>79</v>
      </c>
      <c r="Q152" s="33"/>
      <c r="R152" s="33"/>
      <c r="S152" s="33"/>
      <c r="T152" s="33" t="s">
        <v>1250</v>
      </c>
      <c r="U152" s="43">
        <v>46146.768750000003</v>
      </c>
      <c r="V152" s="58">
        <v>7.9861111111111105E-2</v>
      </c>
      <c r="W152" s="33" t="s">
        <v>1250</v>
      </c>
      <c r="X152" s="43">
        <v>46146.768750000003</v>
      </c>
      <c r="Y152" s="58">
        <v>7.9861111111111105E-2</v>
      </c>
      <c r="Z152" s="33" t="s">
        <v>1250</v>
      </c>
      <c r="AA152" s="43">
        <v>46155.416666666664</v>
      </c>
      <c r="AB152" s="33" t="s">
        <v>81</v>
      </c>
      <c r="AC152" s="33" t="s">
        <v>1251</v>
      </c>
      <c r="AD152" s="58">
        <v>0.16041666666666668</v>
      </c>
      <c r="AE152" s="33"/>
      <c r="AF152" s="58">
        <v>0.16041666666666668</v>
      </c>
      <c r="AG152" s="33"/>
      <c r="AH152" s="33">
        <v>1</v>
      </c>
      <c r="AI152" s="43">
        <v>46146.768750000003</v>
      </c>
      <c r="AJ152" s="33" t="s">
        <v>73</v>
      </c>
      <c r="AK152" s="42">
        <v>121358.2</v>
      </c>
      <c r="AL152" s="33" t="s">
        <v>1252</v>
      </c>
    </row>
    <row r="153" spans="1:38">
      <c r="A153" s="33">
        <v>6011425</v>
      </c>
      <c r="B153" s="33"/>
      <c r="C153" s="33" t="s">
        <v>789</v>
      </c>
      <c r="D153" s="33" t="s">
        <v>1253</v>
      </c>
      <c r="E153" s="33" t="s">
        <v>1254</v>
      </c>
      <c r="F153" s="43">
        <v>46146.671527777777</v>
      </c>
      <c r="G153" s="33" t="s">
        <v>114</v>
      </c>
      <c r="H153" s="33"/>
      <c r="I153" s="33" t="s">
        <v>73</v>
      </c>
      <c r="J153" s="33" t="s">
        <v>1255</v>
      </c>
      <c r="K153" s="33" t="s">
        <v>75</v>
      </c>
      <c r="L153" s="33" t="s">
        <v>1256</v>
      </c>
      <c r="M153" s="43">
        <v>46147.487685185188</v>
      </c>
      <c r="N153" s="33" t="s">
        <v>1257</v>
      </c>
      <c r="O153" s="33" t="s">
        <v>797</v>
      </c>
      <c r="P153" s="33" t="s">
        <v>79</v>
      </c>
      <c r="Q153" s="43">
        <v>46146.790277777778</v>
      </c>
      <c r="R153" s="43">
        <v>46146.905555555553</v>
      </c>
      <c r="S153" s="58">
        <v>0.11527777777777778</v>
      </c>
      <c r="T153" s="33" t="s">
        <v>1258</v>
      </c>
      <c r="U153" s="43">
        <v>46147.37222222222</v>
      </c>
      <c r="V153" s="58">
        <v>0.11527777777777778</v>
      </c>
      <c r="W153" s="33" t="s">
        <v>1258</v>
      </c>
      <c r="X153" s="43">
        <v>46147.37222222222</v>
      </c>
      <c r="Y153" s="58">
        <v>0.11527777777777778</v>
      </c>
      <c r="Z153" s="33" t="s">
        <v>1258</v>
      </c>
      <c r="AA153" s="43">
        <v>46153.333333333336</v>
      </c>
      <c r="AB153" s="33" t="s">
        <v>81</v>
      </c>
      <c r="AC153" s="33" t="s">
        <v>1259</v>
      </c>
      <c r="AD153" s="58">
        <v>0.79791666666666672</v>
      </c>
      <c r="AE153" s="58">
        <v>0.58125000000000004</v>
      </c>
      <c r="AF153" s="58">
        <v>0.79791666666666672</v>
      </c>
      <c r="AG153" s="33"/>
      <c r="AH153" s="33">
        <v>2</v>
      </c>
      <c r="AI153" s="43">
        <v>46147.37222222222</v>
      </c>
      <c r="AJ153" s="33" t="s">
        <v>73</v>
      </c>
      <c r="AK153" s="42">
        <v>148100.07999999999</v>
      </c>
      <c r="AL153" s="33" t="s">
        <v>1260</v>
      </c>
    </row>
    <row r="154" spans="1:38">
      <c r="A154" s="33">
        <v>5999484</v>
      </c>
      <c r="B154" s="33"/>
      <c r="C154" s="33" t="s">
        <v>789</v>
      </c>
      <c r="D154" s="33" t="s">
        <v>1261</v>
      </c>
      <c r="E154" s="33" t="s">
        <v>1262</v>
      </c>
      <c r="F154" s="43">
        <v>46146.708333333336</v>
      </c>
      <c r="G154" s="33" t="s">
        <v>792</v>
      </c>
      <c r="H154" s="33"/>
      <c r="I154" s="33" t="s">
        <v>793</v>
      </c>
      <c r="J154" s="33" t="s">
        <v>1263</v>
      </c>
      <c r="K154" s="33" t="s">
        <v>75</v>
      </c>
      <c r="L154" s="33" t="s">
        <v>1264</v>
      </c>
      <c r="M154" s="43">
        <v>46146.84097222222</v>
      </c>
      <c r="N154" s="33" t="s">
        <v>1265</v>
      </c>
      <c r="O154" s="33" t="s">
        <v>797</v>
      </c>
      <c r="P154" s="33" t="s">
        <v>798</v>
      </c>
      <c r="Q154" s="43">
        <v>46146.682638888888</v>
      </c>
      <c r="R154" s="43">
        <v>46146.693055555559</v>
      </c>
      <c r="S154" s="58">
        <v>1.0416666666666666E-2</v>
      </c>
      <c r="T154" s="33" t="s">
        <v>140</v>
      </c>
      <c r="U154" s="43">
        <v>46146.838888888888</v>
      </c>
      <c r="V154" s="58">
        <v>2.7777777777777779E-3</v>
      </c>
      <c r="W154" s="33" t="s">
        <v>140</v>
      </c>
      <c r="X154" s="43">
        <v>46146.838888888888</v>
      </c>
      <c r="Y154" s="58">
        <v>2.7777777777777779E-3</v>
      </c>
      <c r="Z154" s="33" t="s">
        <v>140</v>
      </c>
      <c r="AA154" s="43">
        <v>46147.875</v>
      </c>
      <c r="AB154" s="33" t="s">
        <v>81</v>
      </c>
      <c r="AC154" s="33" t="s">
        <v>1266</v>
      </c>
      <c r="AD154" s="58">
        <v>0.16041666666666668</v>
      </c>
      <c r="AE154" s="58">
        <v>0.14861111111111111</v>
      </c>
      <c r="AF154" s="58">
        <v>0.16041666666666668</v>
      </c>
      <c r="AG154" s="33" t="s">
        <v>1267</v>
      </c>
      <c r="AH154" s="33">
        <v>2</v>
      </c>
      <c r="AI154" s="43">
        <v>46146.838888888888</v>
      </c>
      <c r="AJ154" s="33" t="s">
        <v>793</v>
      </c>
      <c r="AK154" s="42">
        <v>402107.42</v>
      </c>
      <c r="AL154" s="33" t="s">
        <v>1268</v>
      </c>
    </row>
    <row r="155" spans="1:38">
      <c r="A155" s="33">
        <v>6007818</v>
      </c>
      <c r="B155" s="33"/>
      <c r="C155" s="33" t="s">
        <v>789</v>
      </c>
      <c r="D155" s="33" t="s">
        <v>1269</v>
      </c>
      <c r="E155" s="33" t="s">
        <v>1270</v>
      </c>
      <c r="F155" s="43">
        <v>46146.708333333336</v>
      </c>
      <c r="G155" s="33" t="s">
        <v>792</v>
      </c>
      <c r="H155" s="33"/>
      <c r="I155" s="33" t="s">
        <v>793</v>
      </c>
      <c r="J155" s="33" t="s">
        <v>1165</v>
      </c>
      <c r="K155" s="33" t="s">
        <v>1271</v>
      </c>
      <c r="L155" s="33" t="s">
        <v>1272</v>
      </c>
      <c r="M155" s="43">
        <v>46148.468842592592</v>
      </c>
      <c r="N155" s="33" t="s">
        <v>1273</v>
      </c>
      <c r="O155" s="33" t="s">
        <v>868</v>
      </c>
      <c r="P155" s="33" t="s">
        <v>799</v>
      </c>
      <c r="Q155" s="43">
        <v>46146.688194444447</v>
      </c>
      <c r="R155" s="43">
        <v>46146.691666666666</v>
      </c>
      <c r="S155" s="58">
        <v>3.472222222222222E-3</v>
      </c>
      <c r="T155" s="33" t="s">
        <v>1168</v>
      </c>
      <c r="U155" s="43">
        <v>46147.693055555559</v>
      </c>
      <c r="V155" s="58">
        <v>0.77569444444444446</v>
      </c>
      <c r="W155" s="33"/>
      <c r="X155" s="33"/>
      <c r="Y155" s="33"/>
      <c r="Z155" s="33" t="s">
        <v>1168</v>
      </c>
      <c r="AA155" s="43">
        <v>46148.291666666664</v>
      </c>
      <c r="AB155" s="33" t="s">
        <v>81</v>
      </c>
      <c r="AC155" s="33" t="s">
        <v>81</v>
      </c>
      <c r="AD155" s="44">
        <v>1.7847222222222223</v>
      </c>
      <c r="AE155" s="33"/>
      <c r="AF155" s="44">
        <v>1.7847222222222223</v>
      </c>
      <c r="AG155" s="33" t="s">
        <v>1274</v>
      </c>
      <c r="AH155" s="33">
        <v>2</v>
      </c>
      <c r="AI155" s="43">
        <v>46147.693055555559</v>
      </c>
      <c r="AJ155" s="33" t="s">
        <v>793</v>
      </c>
      <c r="AK155" s="42">
        <v>555818.76</v>
      </c>
      <c r="AL155" s="33" t="s">
        <v>1275</v>
      </c>
    </row>
    <row r="156" spans="1:38">
      <c r="A156" s="33">
        <v>5957860</v>
      </c>
      <c r="B156" s="33"/>
      <c r="C156" s="33" t="s">
        <v>789</v>
      </c>
      <c r="D156" s="33" t="s">
        <v>1032</v>
      </c>
      <c r="E156" s="33" t="s">
        <v>1276</v>
      </c>
      <c r="F156" s="43">
        <v>46146.75</v>
      </c>
      <c r="G156" s="33" t="s">
        <v>792</v>
      </c>
      <c r="H156" s="33"/>
      <c r="I156" s="33" t="s">
        <v>793</v>
      </c>
      <c r="J156" s="33" t="s">
        <v>1049</v>
      </c>
      <c r="K156" s="33" t="s">
        <v>1277</v>
      </c>
      <c r="L156" s="33" t="s">
        <v>1278</v>
      </c>
      <c r="M156" s="43">
        <v>46146.93408564815</v>
      </c>
      <c r="N156" s="33" t="s">
        <v>1036</v>
      </c>
      <c r="O156" s="33" t="s">
        <v>797</v>
      </c>
      <c r="P156" s="33" t="s">
        <v>799</v>
      </c>
      <c r="Q156" s="43">
        <v>46146.734722222223</v>
      </c>
      <c r="R156" s="43">
        <v>46146.805555555555</v>
      </c>
      <c r="S156" s="58">
        <v>7.0833333333333331E-2</v>
      </c>
      <c r="T156" s="33" t="s">
        <v>140</v>
      </c>
      <c r="U156" s="43">
        <v>46146.833333333336</v>
      </c>
      <c r="V156" s="58">
        <v>3.1944444444444442E-2</v>
      </c>
      <c r="W156" s="33"/>
      <c r="X156" s="33"/>
      <c r="Y156" s="33"/>
      <c r="Z156" s="33" t="s">
        <v>140</v>
      </c>
      <c r="AA156" s="43">
        <v>46147.75</v>
      </c>
      <c r="AB156" s="33" t="s">
        <v>81</v>
      </c>
      <c r="AC156" s="33" t="s">
        <v>1053</v>
      </c>
      <c r="AD156" s="58">
        <v>0.21875</v>
      </c>
      <c r="AE156" s="33"/>
      <c r="AF156" s="58">
        <v>0.13055555555555556</v>
      </c>
      <c r="AG156" s="33" t="s">
        <v>1279</v>
      </c>
      <c r="AH156" s="33">
        <v>2</v>
      </c>
      <c r="AI156" s="43">
        <v>46146.833333333336</v>
      </c>
      <c r="AJ156" s="33" t="s">
        <v>793</v>
      </c>
      <c r="AK156" s="42">
        <v>1130086</v>
      </c>
      <c r="AL156" s="33" t="s">
        <v>1039</v>
      </c>
    </row>
    <row r="157" spans="1:38">
      <c r="A157" s="33"/>
      <c r="B157" s="33"/>
      <c r="C157" s="33" t="s">
        <v>789</v>
      </c>
      <c r="D157" s="33" t="s">
        <v>956</v>
      </c>
      <c r="E157" s="33" t="s">
        <v>1280</v>
      </c>
      <c r="F157" s="43">
        <v>46146.75</v>
      </c>
      <c r="G157" s="33" t="s">
        <v>171</v>
      </c>
      <c r="H157" s="33"/>
      <c r="I157" s="33" t="s">
        <v>793</v>
      </c>
      <c r="J157" s="33" t="s">
        <v>965</v>
      </c>
      <c r="K157" s="33" t="s">
        <v>75</v>
      </c>
      <c r="L157" s="33" t="s">
        <v>1281</v>
      </c>
      <c r="M157" s="43">
        <v>46146.930011574077</v>
      </c>
      <c r="N157" s="33" t="s">
        <v>174</v>
      </c>
      <c r="O157" s="33" t="s">
        <v>797</v>
      </c>
      <c r="P157" s="33" t="s">
        <v>967</v>
      </c>
      <c r="Q157" s="33"/>
      <c r="R157" s="33"/>
      <c r="S157" s="33"/>
      <c r="T157" s="33" t="s">
        <v>308</v>
      </c>
      <c r="U157" s="43">
        <v>46146.849305555559</v>
      </c>
      <c r="V157" s="58">
        <v>8.2638888888888887E-2</v>
      </c>
      <c r="W157" s="33"/>
      <c r="X157" s="33"/>
      <c r="Y157" s="33"/>
      <c r="Z157" s="33" t="s">
        <v>308</v>
      </c>
      <c r="AA157" s="43">
        <v>46148</v>
      </c>
      <c r="AB157" s="33" t="s">
        <v>81</v>
      </c>
      <c r="AC157" s="33" t="s">
        <v>968</v>
      </c>
      <c r="AD157" s="58">
        <v>0.19305555555555556</v>
      </c>
      <c r="AE157" s="33"/>
      <c r="AF157" s="58">
        <v>0.17083333333333334</v>
      </c>
      <c r="AG157" s="33" t="s">
        <v>961</v>
      </c>
      <c r="AH157" s="33">
        <v>1</v>
      </c>
      <c r="AI157" s="43">
        <v>46146.849305555559</v>
      </c>
      <c r="AJ157" s="33" t="s">
        <v>793</v>
      </c>
      <c r="AK157" s="42">
        <v>426978.72</v>
      </c>
      <c r="AL157" s="33" t="s">
        <v>962</v>
      </c>
    </row>
    <row r="158" spans="1:38">
      <c r="A158" s="33">
        <v>6000532</v>
      </c>
      <c r="B158" s="33"/>
      <c r="C158" s="33" t="s">
        <v>789</v>
      </c>
      <c r="D158" s="33" t="s">
        <v>1056</v>
      </c>
      <c r="E158" s="33" t="s">
        <v>1282</v>
      </c>
      <c r="F158" s="43">
        <v>46146.791666666664</v>
      </c>
      <c r="G158" s="33" t="s">
        <v>792</v>
      </c>
      <c r="H158" s="33"/>
      <c r="I158" s="33" t="s">
        <v>793</v>
      </c>
      <c r="J158" s="33" t="s">
        <v>872</v>
      </c>
      <c r="K158" s="33" t="s">
        <v>75</v>
      </c>
      <c r="L158" s="33" t="s">
        <v>1283</v>
      </c>
      <c r="M158" s="43">
        <v>46146.981192129628</v>
      </c>
      <c r="N158" s="33" t="s">
        <v>1060</v>
      </c>
      <c r="O158" s="33" t="s">
        <v>797</v>
      </c>
      <c r="P158" s="33" t="s">
        <v>861</v>
      </c>
      <c r="Q158" s="43">
        <v>46146.798611111109</v>
      </c>
      <c r="R158" s="43">
        <v>46146.799305555556</v>
      </c>
      <c r="S158" s="58">
        <v>6.9444444444444447E-4</v>
      </c>
      <c r="T158" s="33" t="s">
        <v>799</v>
      </c>
      <c r="U158" s="43">
        <v>46146.947916666664</v>
      </c>
      <c r="V158" s="58">
        <v>3.1944444444444442E-2</v>
      </c>
      <c r="W158" s="33"/>
      <c r="X158" s="33"/>
      <c r="Y158" s="33"/>
      <c r="Z158" s="33" t="s">
        <v>799</v>
      </c>
      <c r="AA158" s="43">
        <v>46147.958333333336</v>
      </c>
      <c r="AB158" s="33" t="s">
        <v>81</v>
      </c>
      <c r="AC158" s="33" t="s">
        <v>875</v>
      </c>
      <c r="AD158" s="58">
        <v>0.27500000000000002</v>
      </c>
      <c r="AE158" s="33"/>
      <c r="AF158" s="58">
        <v>0.25486111111111109</v>
      </c>
      <c r="AG158" s="33" t="s">
        <v>1061</v>
      </c>
      <c r="AH158" s="33">
        <v>2</v>
      </c>
      <c r="AI158" s="43">
        <v>46146.947916666664</v>
      </c>
      <c r="AJ158" s="33" t="s">
        <v>793</v>
      </c>
      <c r="AK158" s="42">
        <v>706985.76</v>
      </c>
      <c r="AL158" s="33" t="s">
        <v>1062</v>
      </c>
    </row>
    <row r="159" spans="1:38">
      <c r="A159" s="33">
        <v>5996484</v>
      </c>
      <c r="B159" s="33"/>
      <c r="C159" s="33" t="s">
        <v>789</v>
      </c>
      <c r="D159" s="33" t="s">
        <v>1284</v>
      </c>
      <c r="E159" s="33" t="s">
        <v>1285</v>
      </c>
      <c r="F159" s="43">
        <v>46146.708333333336</v>
      </c>
      <c r="G159" s="33" t="s">
        <v>792</v>
      </c>
      <c r="H159" s="33"/>
      <c r="I159" s="33" t="s">
        <v>793</v>
      </c>
      <c r="J159" s="33" t="s">
        <v>856</v>
      </c>
      <c r="K159" s="33" t="s">
        <v>453</v>
      </c>
      <c r="L159" s="33" t="s">
        <v>1286</v>
      </c>
      <c r="M159" s="43">
        <v>46146.91951388889</v>
      </c>
      <c r="N159" s="33" t="s">
        <v>1287</v>
      </c>
      <c r="O159" s="33" t="s">
        <v>797</v>
      </c>
      <c r="P159" s="33" t="s">
        <v>798</v>
      </c>
      <c r="Q159" s="43">
        <v>46146.724999999999</v>
      </c>
      <c r="R159" s="43">
        <v>46146.734027777777</v>
      </c>
      <c r="S159" s="58">
        <v>9.0277777777777769E-3</v>
      </c>
      <c r="T159" s="33" t="s">
        <v>799</v>
      </c>
      <c r="U159" s="43">
        <v>46146.843055555553</v>
      </c>
      <c r="V159" s="58">
        <v>7.4999999999999997E-2</v>
      </c>
      <c r="W159" s="33" t="s">
        <v>799</v>
      </c>
      <c r="X159" s="43">
        <v>46146.843055555553</v>
      </c>
      <c r="Y159" s="58">
        <v>7.4999999999999997E-2</v>
      </c>
      <c r="Z159" s="33" t="s">
        <v>799</v>
      </c>
      <c r="AA159" s="43">
        <v>46147.958333333336</v>
      </c>
      <c r="AB159" s="33" t="s">
        <v>81</v>
      </c>
      <c r="AC159" s="33" t="s">
        <v>858</v>
      </c>
      <c r="AD159" s="58">
        <v>0.19652777777777777</v>
      </c>
      <c r="AE159" s="58">
        <v>0.18472222222222223</v>
      </c>
      <c r="AF159" s="58">
        <v>0.19652777777777777</v>
      </c>
      <c r="AG159" s="33" t="s">
        <v>1288</v>
      </c>
      <c r="AH159" s="33">
        <v>2</v>
      </c>
      <c r="AI159" s="43">
        <v>46146.843055555553</v>
      </c>
      <c r="AJ159" s="33" t="s">
        <v>793</v>
      </c>
      <c r="AK159" s="42">
        <v>763025.02</v>
      </c>
      <c r="AL159" s="33" t="s">
        <v>1289</v>
      </c>
    </row>
    <row r="160" spans="1:38">
      <c r="A160" s="33" t="s">
        <v>1290</v>
      </c>
      <c r="B160" s="33"/>
      <c r="C160" s="33" t="s">
        <v>789</v>
      </c>
      <c r="D160" s="33" t="s">
        <v>1291</v>
      </c>
      <c r="E160" s="33" t="s">
        <v>1292</v>
      </c>
      <c r="F160" s="43">
        <v>46146.75</v>
      </c>
      <c r="G160" s="33" t="s">
        <v>1246</v>
      </c>
      <c r="H160" s="33"/>
      <c r="I160" s="33" t="s">
        <v>73</v>
      </c>
      <c r="J160" s="33" t="s">
        <v>1293</v>
      </c>
      <c r="K160" s="33" t="s">
        <v>75</v>
      </c>
      <c r="L160" s="33" t="s">
        <v>1294</v>
      </c>
      <c r="M160" s="43">
        <v>46147.658634259256</v>
      </c>
      <c r="N160" s="33" t="s">
        <v>1295</v>
      </c>
      <c r="O160" s="33" t="s">
        <v>797</v>
      </c>
      <c r="P160" s="33" t="s">
        <v>140</v>
      </c>
      <c r="Q160" s="33"/>
      <c r="R160" s="33"/>
      <c r="S160" s="33"/>
      <c r="T160" s="33" t="s">
        <v>1296</v>
      </c>
      <c r="U160" s="43">
        <v>46146.790277777778</v>
      </c>
      <c r="V160" s="58">
        <v>0.86736111111111114</v>
      </c>
      <c r="W160" s="33" t="s">
        <v>1296</v>
      </c>
      <c r="X160" s="43">
        <v>46146.790277777778</v>
      </c>
      <c r="Y160" s="58">
        <v>0.86736111111111114</v>
      </c>
      <c r="Z160" s="33" t="s">
        <v>1296</v>
      </c>
      <c r="AA160" s="43">
        <v>46149.416666666664</v>
      </c>
      <c r="AB160" s="33" t="s">
        <v>81</v>
      </c>
      <c r="AC160" s="33" t="s">
        <v>1297</v>
      </c>
      <c r="AD160" s="58">
        <v>0.92361111111111116</v>
      </c>
      <c r="AE160" s="33"/>
      <c r="AF160" s="58">
        <v>0.92361111111111116</v>
      </c>
      <c r="AG160" s="33"/>
      <c r="AH160" s="33">
        <v>1</v>
      </c>
      <c r="AI160" s="43">
        <v>46146.790277777778</v>
      </c>
      <c r="AJ160" s="33" t="s">
        <v>73</v>
      </c>
      <c r="AK160" s="42">
        <v>66624.55</v>
      </c>
      <c r="AL160" s="33" t="s">
        <v>1298</v>
      </c>
    </row>
    <row r="161" spans="1:38">
      <c r="A161" s="33">
        <v>6007816</v>
      </c>
      <c r="B161" s="33"/>
      <c r="C161" s="33" t="s">
        <v>789</v>
      </c>
      <c r="D161" s="33" t="s">
        <v>925</v>
      </c>
      <c r="E161" s="33" t="s">
        <v>1299</v>
      </c>
      <c r="F161" s="43">
        <v>46146.833333333336</v>
      </c>
      <c r="G161" s="33" t="s">
        <v>792</v>
      </c>
      <c r="H161" s="58">
        <v>0.18611111111111112</v>
      </c>
      <c r="I161" s="33" t="s">
        <v>793</v>
      </c>
      <c r="J161" s="33" t="s">
        <v>1300</v>
      </c>
      <c r="K161" s="33" t="s">
        <v>75</v>
      </c>
      <c r="L161" s="33" t="s">
        <v>1301</v>
      </c>
      <c r="M161" s="43">
        <v>46148.288541666669</v>
      </c>
      <c r="N161" s="33" t="s">
        <v>927</v>
      </c>
      <c r="O161" s="33" t="s">
        <v>797</v>
      </c>
      <c r="P161" s="33" t="s">
        <v>799</v>
      </c>
      <c r="Q161" s="43">
        <v>46146.765972222223</v>
      </c>
      <c r="R161" s="43">
        <v>46146.866666666669</v>
      </c>
      <c r="S161" s="58">
        <v>0.10069444444444445</v>
      </c>
      <c r="T161" s="33" t="s">
        <v>1168</v>
      </c>
      <c r="U161" s="43">
        <v>46148.250694444447</v>
      </c>
      <c r="V161" s="58">
        <v>3.4722222222222224E-2</v>
      </c>
      <c r="W161" s="33" t="s">
        <v>1168</v>
      </c>
      <c r="X161" s="43">
        <v>46148.250694444447</v>
      </c>
      <c r="Y161" s="58">
        <v>3.4722222222222224E-2</v>
      </c>
      <c r="Z161" s="33" t="s">
        <v>1168</v>
      </c>
      <c r="AA161" s="43">
        <v>46148.291666666664</v>
      </c>
      <c r="AB161" s="33" t="s">
        <v>1169</v>
      </c>
      <c r="AC161" s="33" t="s">
        <v>1302</v>
      </c>
      <c r="AD161" s="44">
        <v>1.554861111111111</v>
      </c>
      <c r="AE161" s="44">
        <v>1.4215277777777777</v>
      </c>
      <c r="AF161" s="44">
        <v>1.554861111111111</v>
      </c>
      <c r="AG161" s="33" t="s">
        <v>928</v>
      </c>
      <c r="AH161" s="33">
        <v>2</v>
      </c>
      <c r="AI161" s="43">
        <v>46148.250694444447</v>
      </c>
      <c r="AJ161" s="33" t="s">
        <v>793</v>
      </c>
      <c r="AK161" s="42">
        <v>557004.6</v>
      </c>
      <c r="AL161" s="33" t="s">
        <v>929</v>
      </c>
    </row>
    <row r="162" spans="1:38">
      <c r="A162" s="33">
        <v>6005836</v>
      </c>
      <c r="B162" s="33"/>
      <c r="C162" s="33" t="s">
        <v>789</v>
      </c>
      <c r="D162" s="33" t="s">
        <v>1303</v>
      </c>
      <c r="E162" s="33" t="s">
        <v>1304</v>
      </c>
      <c r="F162" s="43">
        <v>46146.958333333336</v>
      </c>
      <c r="G162" s="33" t="s">
        <v>836</v>
      </c>
      <c r="H162" s="33"/>
      <c r="I162" s="33" t="s">
        <v>73</v>
      </c>
      <c r="J162" s="33" t="s">
        <v>1305</v>
      </c>
      <c r="K162" s="59" t="s">
        <v>1306</v>
      </c>
      <c r="L162" s="33" t="s">
        <v>880</v>
      </c>
      <c r="M162" s="43">
        <v>46147.001446759263</v>
      </c>
      <c r="N162" s="33" t="s">
        <v>1307</v>
      </c>
      <c r="O162" s="33" t="s">
        <v>797</v>
      </c>
      <c r="P162" s="33" t="s">
        <v>79</v>
      </c>
      <c r="Q162" s="43">
        <v>46146.772916666669</v>
      </c>
      <c r="R162" s="43">
        <v>46146.927777777775</v>
      </c>
      <c r="S162" s="58">
        <v>0.15486111111111112</v>
      </c>
      <c r="T162" s="33" t="s">
        <v>984</v>
      </c>
      <c r="U162" s="43">
        <v>46147.001388888886</v>
      </c>
      <c r="V162" s="58">
        <v>0.47222222222222221</v>
      </c>
      <c r="W162" s="33" t="s">
        <v>984</v>
      </c>
      <c r="X162" s="43">
        <v>46147.001388888886</v>
      </c>
      <c r="Y162" s="58">
        <v>0.47222222222222221</v>
      </c>
      <c r="Z162" s="33" t="s">
        <v>984</v>
      </c>
      <c r="AA162" s="43">
        <v>46147.25</v>
      </c>
      <c r="AB162" s="33" t="s">
        <v>81</v>
      </c>
      <c r="AC162" s="33" t="s">
        <v>1308</v>
      </c>
      <c r="AD162" s="58">
        <v>0.72986111111111107</v>
      </c>
      <c r="AE162" s="58">
        <v>7.3611111111111113E-2</v>
      </c>
      <c r="AF162" s="58">
        <v>0.72986111111111107</v>
      </c>
      <c r="AG162" s="33" t="s">
        <v>1309</v>
      </c>
      <c r="AH162" s="33">
        <v>2</v>
      </c>
      <c r="AI162" s="43">
        <v>46147.001388888886</v>
      </c>
      <c r="AJ162" s="33" t="s">
        <v>73</v>
      </c>
      <c r="AK162" s="42">
        <v>155446.41</v>
      </c>
      <c r="AL162" s="33" t="s">
        <v>1310</v>
      </c>
    </row>
    <row r="163" spans="1:38">
      <c r="A163" s="33">
        <v>6002318</v>
      </c>
      <c r="B163" s="33"/>
      <c r="C163" s="33" t="s">
        <v>789</v>
      </c>
      <c r="D163" s="33" t="s">
        <v>1047</v>
      </c>
      <c r="E163" s="33" t="s">
        <v>1311</v>
      </c>
      <c r="F163" s="43">
        <v>46146.791666666664</v>
      </c>
      <c r="G163" s="33" t="s">
        <v>792</v>
      </c>
      <c r="H163" s="33"/>
      <c r="I163" s="33" t="s">
        <v>793</v>
      </c>
      <c r="J163" s="33" t="s">
        <v>1312</v>
      </c>
      <c r="K163" s="33" t="s">
        <v>75</v>
      </c>
      <c r="L163" s="33" t="s">
        <v>1313</v>
      </c>
      <c r="M163" s="43">
        <v>46146.904236111113</v>
      </c>
      <c r="N163" s="33" t="s">
        <v>1051</v>
      </c>
      <c r="O163" s="33" t="s">
        <v>797</v>
      </c>
      <c r="P163" s="33" t="s">
        <v>799</v>
      </c>
      <c r="Q163" s="43">
        <v>46146.788194444445</v>
      </c>
      <c r="R163" s="43">
        <v>46146.886111111111</v>
      </c>
      <c r="S163" s="58">
        <v>9.7916666666666666E-2</v>
      </c>
      <c r="T163" s="33" t="s">
        <v>140</v>
      </c>
      <c r="U163" s="33"/>
      <c r="V163" s="33"/>
      <c r="W163" s="33"/>
      <c r="X163" s="33"/>
      <c r="Y163" s="33"/>
      <c r="Z163" s="33" t="s">
        <v>140</v>
      </c>
      <c r="AA163" s="43">
        <v>46146.833333333336</v>
      </c>
      <c r="AB163" s="33" t="s">
        <v>606</v>
      </c>
      <c r="AC163" s="33" t="s">
        <v>1314</v>
      </c>
      <c r="AD163" s="58">
        <v>0.17708333333333334</v>
      </c>
      <c r="AE163" s="33"/>
      <c r="AF163" s="58">
        <v>0.17708333333333334</v>
      </c>
      <c r="AG163" s="33" t="s">
        <v>1054</v>
      </c>
      <c r="AH163" s="33">
        <v>1</v>
      </c>
      <c r="AI163" s="43">
        <v>46146.904861111114</v>
      </c>
      <c r="AJ163" s="33" t="s">
        <v>793</v>
      </c>
      <c r="AK163" s="42">
        <v>988569.66</v>
      </c>
      <c r="AL163" s="33" t="s">
        <v>1055</v>
      </c>
    </row>
    <row r="164" spans="1:38">
      <c r="A164" s="33">
        <v>6004969</v>
      </c>
      <c r="B164" s="33"/>
      <c r="C164" s="33" t="s">
        <v>789</v>
      </c>
      <c r="D164" s="33" t="s">
        <v>1315</v>
      </c>
      <c r="E164" s="33" t="s">
        <v>1316</v>
      </c>
      <c r="F164" s="43">
        <v>46146.875</v>
      </c>
      <c r="G164" s="33" t="s">
        <v>792</v>
      </c>
      <c r="H164" s="33"/>
      <c r="I164" s="33" t="s">
        <v>793</v>
      </c>
      <c r="J164" s="33" t="s">
        <v>1317</v>
      </c>
      <c r="K164" s="33" t="s">
        <v>75</v>
      </c>
      <c r="L164" s="33" t="s">
        <v>1318</v>
      </c>
      <c r="M164" s="43">
        <v>46147.044699074075</v>
      </c>
      <c r="N164" s="33" t="s">
        <v>1319</v>
      </c>
      <c r="O164" s="33" t="s">
        <v>797</v>
      </c>
      <c r="P164" s="33" t="s">
        <v>861</v>
      </c>
      <c r="Q164" s="43">
        <v>46146.854166666664</v>
      </c>
      <c r="R164" s="43">
        <v>46146.925694444442</v>
      </c>
      <c r="S164" s="58">
        <v>7.1527777777777773E-2</v>
      </c>
      <c r="T164" s="33" t="s">
        <v>140</v>
      </c>
      <c r="U164" s="43">
        <v>46147.035416666666</v>
      </c>
      <c r="V164" s="58">
        <v>9.0277777777777769E-3</v>
      </c>
      <c r="W164" s="33" t="s">
        <v>140</v>
      </c>
      <c r="X164" s="43">
        <v>46147.035416666666</v>
      </c>
      <c r="Y164" s="58">
        <v>9.0277777777777769E-3</v>
      </c>
      <c r="Z164" s="33" t="s">
        <v>140</v>
      </c>
      <c r="AA164" s="43">
        <v>46147.208333333336</v>
      </c>
      <c r="AB164" s="33" t="s">
        <v>1320</v>
      </c>
      <c r="AC164" s="33" t="s">
        <v>1321</v>
      </c>
      <c r="AD164" s="58">
        <v>0.28333333333333333</v>
      </c>
      <c r="AE164" s="58">
        <v>0.11874999999999999</v>
      </c>
      <c r="AF164" s="58">
        <v>0.28333333333333333</v>
      </c>
      <c r="AG164" s="33" t="s">
        <v>1322</v>
      </c>
      <c r="AH164" s="33">
        <v>2</v>
      </c>
      <c r="AI164" s="43">
        <v>46147.035416666666</v>
      </c>
      <c r="AJ164" s="33" t="s">
        <v>793</v>
      </c>
      <c r="AK164" s="42">
        <v>1009634.01</v>
      </c>
      <c r="AL164" s="33" t="s">
        <v>1323</v>
      </c>
    </row>
    <row r="165" spans="1:38">
      <c r="A165" s="33" t="s">
        <v>1324</v>
      </c>
      <c r="B165" s="33"/>
      <c r="C165" s="33" t="s">
        <v>789</v>
      </c>
      <c r="D165" s="33" t="s">
        <v>366</v>
      </c>
      <c r="E165" s="33" t="s">
        <v>1325</v>
      </c>
      <c r="F165" s="43">
        <v>46147.25</v>
      </c>
      <c r="G165" s="33" t="s">
        <v>171</v>
      </c>
      <c r="H165" s="33"/>
      <c r="I165" s="33" t="s">
        <v>73</v>
      </c>
      <c r="J165" s="33" t="s">
        <v>1326</v>
      </c>
      <c r="K165" s="33" t="s">
        <v>75</v>
      </c>
      <c r="L165" s="33" t="s">
        <v>1327</v>
      </c>
      <c r="M165" s="43">
        <v>46149.458773148152</v>
      </c>
      <c r="N165" s="33" t="s">
        <v>371</v>
      </c>
      <c r="O165" s="33" t="s">
        <v>797</v>
      </c>
      <c r="P165" s="33" t="s">
        <v>79</v>
      </c>
      <c r="Q165" s="43">
        <v>46146.790972222225</v>
      </c>
      <c r="R165" s="43">
        <v>46147.320833333331</v>
      </c>
      <c r="S165" s="58">
        <v>0.52986111111111112</v>
      </c>
      <c r="T165" s="33" t="s">
        <v>434</v>
      </c>
      <c r="U165" s="43">
        <v>46148.813194444447</v>
      </c>
      <c r="V165" s="58">
        <v>0.64375000000000004</v>
      </c>
      <c r="W165" s="33" t="s">
        <v>434</v>
      </c>
      <c r="X165" s="43">
        <v>46148.813194444447</v>
      </c>
      <c r="Y165" s="58">
        <v>0.64375000000000004</v>
      </c>
      <c r="Z165" s="33" t="s">
        <v>434</v>
      </c>
      <c r="AA165" s="43">
        <v>46149.208333333336</v>
      </c>
      <c r="AB165" s="33" t="s">
        <v>81</v>
      </c>
      <c r="AC165" s="33" t="s">
        <v>1328</v>
      </c>
      <c r="AD165" s="44">
        <v>2.6791666666666667</v>
      </c>
      <c r="AE165" s="44">
        <v>1.0979166666666667</v>
      </c>
      <c r="AF165" s="44">
        <v>2.6791666666666667</v>
      </c>
      <c r="AG165" s="33" t="s">
        <v>1329</v>
      </c>
      <c r="AH165" s="33">
        <v>3</v>
      </c>
      <c r="AI165" s="43">
        <v>46148.813194444447</v>
      </c>
      <c r="AJ165" s="33" t="s">
        <v>73</v>
      </c>
      <c r="AK165" s="42">
        <v>267448.94</v>
      </c>
      <c r="AL165" s="33" t="s">
        <v>376</v>
      </c>
    </row>
    <row r="166" spans="1:38">
      <c r="A166" s="33">
        <v>6011418</v>
      </c>
      <c r="B166" s="33"/>
      <c r="C166" s="33" t="s">
        <v>789</v>
      </c>
      <c r="D166" s="33" t="s">
        <v>1330</v>
      </c>
      <c r="E166" s="33" t="s">
        <v>1331</v>
      </c>
      <c r="F166" s="43">
        <v>46147.291666666664</v>
      </c>
      <c r="G166" s="33" t="s">
        <v>114</v>
      </c>
      <c r="H166" s="33"/>
      <c r="I166" s="33" t="s">
        <v>73</v>
      </c>
      <c r="J166" s="33" t="s">
        <v>1332</v>
      </c>
      <c r="K166" s="33" t="s">
        <v>75</v>
      </c>
      <c r="L166" s="33" t="s">
        <v>1333</v>
      </c>
      <c r="M166" s="43">
        <v>46147.511145833334</v>
      </c>
      <c r="N166" s="33" t="s">
        <v>1334</v>
      </c>
      <c r="O166" s="33" t="s">
        <v>797</v>
      </c>
      <c r="P166" s="33" t="s">
        <v>140</v>
      </c>
      <c r="Q166" s="43">
        <v>46147.451388888891</v>
      </c>
      <c r="R166" s="43">
        <v>46147.45208333333</v>
      </c>
      <c r="S166" s="58">
        <v>6.9444444444444447E-4</v>
      </c>
      <c r="T166" s="33" t="s">
        <v>1335</v>
      </c>
      <c r="U166" s="43">
        <v>46147.509722222225</v>
      </c>
      <c r="V166" s="58">
        <v>1.6666666666666666E-2</v>
      </c>
      <c r="W166" s="33" t="s">
        <v>1335</v>
      </c>
      <c r="X166" s="43">
        <v>46147.509722222225</v>
      </c>
      <c r="Y166" s="58">
        <v>1.6666666666666666E-2</v>
      </c>
      <c r="Z166" s="33" t="s">
        <v>1335</v>
      </c>
      <c r="AA166" s="43">
        <v>46147.416666666664</v>
      </c>
      <c r="AB166" s="33" t="s">
        <v>81</v>
      </c>
      <c r="AC166" s="33" t="s">
        <v>1336</v>
      </c>
      <c r="AD166" s="58">
        <v>0.17499999999999999</v>
      </c>
      <c r="AE166" s="33"/>
      <c r="AF166" s="58">
        <v>0.17499999999999999</v>
      </c>
      <c r="AG166" s="33"/>
      <c r="AH166" s="33">
        <v>2</v>
      </c>
      <c r="AI166" s="43">
        <v>46147.510416666664</v>
      </c>
      <c r="AJ166" s="33" t="s">
        <v>73</v>
      </c>
      <c r="AK166" s="42">
        <v>141466.9</v>
      </c>
      <c r="AL166" s="33" t="s">
        <v>1337</v>
      </c>
    </row>
    <row r="167" spans="1:38">
      <c r="A167" s="33">
        <v>6000603</v>
      </c>
      <c r="B167" s="33"/>
      <c r="C167" s="33" t="s">
        <v>789</v>
      </c>
      <c r="D167" s="33" t="s">
        <v>1338</v>
      </c>
      <c r="E167" s="33" t="s">
        <v>1339</v>
      </c>
      <c r="F167" s="43">
        <v>46146.791666666664</v>
      </c>
      <c r="G167" s="33" t="s">
        <v>792</v>
      </c>
      <c r="H167" s="33"/>
      <c r="I167" s="33" t="s">
        <v>793</v>
      </c>
      <c r="J167" s="33" t="s">
        <v>860</v>
      </c>
      <c r="K167" s="33" t="s">
        <v>75</v>
      </c>
      <c r="L167" s="33" t="s">
        <v>1340</v>
      </c>
      <c r="M167" s="43">
        <v>46146.979537037034</v>
      </c>
      <c r="N167" s="33" t="s">
        <v>796</v>
      </c>
      <c r="O167" s="33" t="s">
        <v>797</v>
      </c>
      <c r="P167" s="33" t="s">
        <v>861</v>
      </c>
      <c r="Q167" s="43">
        <v>46146.8</v>
      </c>
      <c r="R167" s="43">
        <v>46146.8</v>
      </c>
      <c r="S167" s="33"/>
      <c r="T167" s="33" t="s">
        <v>799</v>
      </c>
      <c r="U167" s="43">
        <v>46146.926388888889</v>
      </c>
      <c r="V167" s="58">
        <v>5.347222222222222E-2</v>
      </c>
      <c r="W167" s="33"/>
      <c r="X167" s="33"/>
      <c r="Y167" s="33"/>
      <c r="Z167" s="33" t="s">
        <v>799</v>
      </c>
      <c r="AA167" s="43">
        <v>46146.958333333336</v>
      </c>
      <c r="AB167" s="33" t="s">
        <v>81</v>
      </c>
      <c r="AC167" s="33" t="s">
        <v>862</v>
      </c>
      <c r="AD167" s="58">
        <v>0.18333333333333332</v>
      </c>
      <c r="AE167" s="33"/>
      <c r="AF167" s="58">
        <v>0.15625</v>
      </c>
      <c r="AG167" s="33" t="s">
        <v>1341</v>
      </c>
      <c r="AH167" s="33">
        <v>2</v>
      </c>
      <c r="AI167" s="43">
        <v>46146.926388888889</v>
      </c>
      <c r="AJ167" s="33" t="s">
        <v>793</v>
      </c>
      <c r="AK167" s="42">
        <v>1120482.24</v>
      </c>
      <c r="AL167" s="33" t="s">
        <v>1342</v>
      </c>
    </row>
    <row r="168" spans="1:38">
      <c r="A168" s="33">
        <v>6002588</v>
      </c>
      <c r="B168" s="33"/>
      <c r="C168" s="33" t="s">
        <v>789</v>
      </c>
      <c r="D168" s="33" t="s">
        <v>1343</v>
      </c>
      <c r="E168" s="33" t="s">
        <v>1344</v>
      </c>
      <c r="F168" s="43">
        <v>46146.833333333336</v>
      </c>
      <c r="G168" s="33" t="s">
        <v>792</v>
      </c>
      <c r="H168" s="33"/>
      <c r="I168" s="33" t="s">
        <v>793</v>
      </c>
      <c r="J168" s="33" t="s">
        <v>1312</v>
      </c>
      <c r="K168" s="33" t="s">
        <v>75</v>
      </c>
      <c r="L168" s="33" t="s">
        <v>1189</v>
      </c>
      <c r="M168" s="43">
        <v>46146.954039351855</v>
      </c>
      <c r="N168" s="33" t="s">
        <v>1345</v>
      </c>
      <c r="O168" s="33" t="s">
        <v>797</v>
      </c>
      <c r="P168" s="33" t="s">
        <v>799</v>
      </c>
      <c r="Q168" s="43">
        <v>46146.790972222225</v>
      </c>
      <c r="R168" s="43">
        <v>46146.884722222225</v>
      </c>
      <c r="S168" s="58">
        <v>9.375E-2</v>
      </c>
      <c r="T168" s="33" t="s">
        <v>140</v>
      </c>
      <c r="U168" s="43">
        <v>46146.911805555559</v>
      </c>
      <c r="V168" s="58">
        <v>4.0972222222222222E-2</v>
      </c>
      <c r="W168" s="33" t="s">
        <v>140</v>
      </c>
      <c r="X168" s="43">
        <v>46146.911805555559</v>
      </c>
      <c r="Y168" s="58">
        <v>4.0972222222222222E-2</v>
      </c>
      <c r="Z168" s="33" t="s">
        <v>140</v>
      </c>
      <c r="AA168" s="43">
        <v>46146.875</v>
      </c>
      <c r="AB168" s="33" t="s">
        <v>81</v>
      </c>
      <c r="AC168" s="33" t="s">
        <v>1314</v>
      </c>
      <c r="AD168" s="58">
        <v>0.16041666666666668</v>
      </c>
      <c r="AE168" s="58">
        <v>6.8750000000000006E-2</v>
      </c>
      <c r="AF168" s="58">
        <v>0.16041666666666668</v>
      </c>
      <c r="AG168" s="33" t="s">
        <v>1346</v>
      </c>
      <c r="AH168" s="33">
        <v>2</v>
      </c>
      <c r="AI168" s="43">
        <v>46146.911805555559</v>
      </c>
      <c r="AJ168" s="33" t="s">
        <v>793</v>
      </c>
      <c r="AK168" s="42">
        <v>991949.01</v>
      </c>
      <c r="AL168" s="33" t="s">
        <v>1347</v>
      </c>
    </row>
    <row r="169" spans="1:38">
      <c r="A169" s="33" t="s">
        <v>1348</v>
      </c>
      <c r="B169" s="33"/>
      <c r="C169" s="33" t="s">
        <v>789</v>
      </c>
      <c r="D169" s="33" t="s">
        <v>1349</v>
      </c>
      <c r="E169" s="33" t="s">
        <v>1350</v>
      </c>
      <c r="F169" s="43">
        <v>46146.797222222223</v>
      </c>
      <c r="G169" s="33" t="s">
        <v>114</v>
      </c>
      <c r="H169" s="33"/>
      <c r="I169" s="33" t="s">
        <v>73</v>
      </c>
      <c r="J169" s="33" t="s">
        <v>1351</v>
      </c>
      <c r="K169" s="33" t="s">
        <v>75</v>
      </c>
      <c r="L169" s="33" t="s">
        <v>1352</v>
      </c>
      <c r="M169" s="43">
        <v>46147.70753472222</v>
      </c>
      <c r="N169" s="33" t="s">
        <v>493</v>
      </c>
      <c r="O169" s="33" t="s">
        <v>797</v>
      </c>
      <c r="P169" s="33" t="s">
        <v>140</v>
      </c>
      <c r="Q169" s="43">
        <v>46147.288888888892</v>
      </c>
      <c r="R169" s="43">
        <v>46147.302777777775</v>
      </c>
      <c r="S169" s="58">
        <v>1.3888888888888888E-2</v>
      </c>
      <c r="T169" s="33" t="s">
        <v>1353</v>
      </c>
      <c r="U169" s="43">
        <v>46147.613194444442</v>
      </c>
      <c r="V169" s="58">
        <v>4.8611111111111112E-3</v>
      </c>
      <c r="W169" s="33"/>
      <c r="X169" s="33"/>
      <c r="Y169" s="33"/>
      <c r="Z169" s="33" t="s">
        <v>1353</v>
      </c>
      <c r="AA169" s="43">
        <v>46147.417361111111</v>
      </c>
      <c r="AB169" s="33" t="s">
        <v>81</v>
      </c>
      <c r="AC169" s="33" t="s">
        <v>1354</v>
      </c>
      <c r="AD169" s="58">
        <v>0.49930555555555556</v>
      </c>
      <c r="AE169" s="33"/>
      <c r="AF169" s="58">
        <v>0.49930555555555556</v>
      </c>
      <c r="AG169" s="33"/>
      <c r="AH169" s="33">
        <v>3</v>
      </c>
      <c r="AI169" s="43">
        <v>46147.613194444442</v>
      </c>
      <c r="AJ169" s="33" t="s">
        <v>73</v>
      </c>
      <c r="AK169" s="42">
        <v>538176.78</v>
      </c>
      <c r="AL169" s="33" t="s">
        <v>1355</v>
      </c>
    </row>
    <row r="170" spans="1:38">
      <c r="A170" s="33">
        <v>6002379</v>
      </c>
      <c r="B170" s="33"/>
      <c r="C170" s="33" t="s">
        <v>789</v>
      </c>
      <c r="D170" s="33" t="s">
        <v>1156</v>
      </c>
      <c r="E170" s="33" t="s">
        <v>1356</v>
      </c>
      <c r="F170" s="43">
        <v>46146.833333333336</v>
      </c>
      <c r="G170" s="33" t="s">
        <v>792</v>
      </c>
      <c r="H170" s="33"/>
      <c r="I170" s="33" t="s">
        <v>793</v>
      </c>
      <c r="J170" s="33" t="s">
        <v>1312</v>
      </c>
      <c r="K170" s="33" t="s">
        <v>75</v>
      </c>
      <c r="L170" s="33" t="s">
        <v>1189</v>
      </c>
      <c r="M170" s="43">
        <v>46146.954502314817</v>
      </c>
      <c r="N170" s="33" t="s">
        <v>1160</v>
      </c>
      <c r="O170" s="33" t="s">
        <v>797</v>
      </c>
      <c r="P170" s="33" t="s">
        <v>799</v>
      </c>
      <c r="Q170" s="43">
        <v>46146.804166666669</v>
      </c>
      <c r="R170" s="43">
        <v>46146.90625</v>
      </c>
      <c r="S170" s="58">
        <v>0.10208333333333333</v>
      </c>
      <c r="T170" s="33" t="s">
        <v>140</v>
      </c>
      <c r="U170" s="43">
        <v>46146.940972222219</v>
      </c>
      <c r="V170" s="58">
        <v>1.1805555555555555E-2</v>
      </c>
      <c r="W170" s="33" t="s">
        <v>140</v>
      </c>
      <c r="X170" s="43">
        <v>46146.940972222219</v>
      </c>
      <c r="Y170" s="58">
        <v>1.1805555555555555E-2</v>
      </c>
      <c r="Z170" s="33" t="s">
        <v>140</v>
      </c>
      <c r="AA170" s="43">
        <v>46146.875</v>
      </c>
      <c r="AB170" s="33" t="s">
        <v>81</v>
      </c>
      <c r="AC170" s="33" t="s">
        <v>1314</v>
      </c>
      <c r="AD170" s="58">
        <v>0.14930555555555555</v>
      </c>
      <c r="AE170" s="58">
        <v>4.791666666666667E-2</v>
      </c>
      <c r="AF170" s="58">
        <v>0.14930555555555555</v>
      </c>
      <c r="AG170" s="33" t="s">
        <v>1357</v>
      </c>
      <c r="AH170" s="33">
        <v>2</v>
      </c>
      <c r="AI170" s="43">
        <v>46146.940972222219</v>
      </c>
      <c r="AJ170" s="33" t="s">
        <v>793</v>
      </c>
      <c r="AK170" s="42">
        <v>572811.36</v>
      </c>
      <c r="AL170" s="33" t="s">
        <v>1162</v>
      </c>
    </row>
    <row r="171" spans="1:38">
      <c r="A171" s="33">
        <v>6003741</v>
      </c>
      <c r="B171" s="33"/>
      <c r="C171" s="33" t="s">
        <v>789</v>
      </c>
      <c r="D171" s="33" t="s">
        <v>1358</v>
      </c>
      <c r="E171" s="33" t="s">
        <v>1359</v>
      </c>
      <c r="F171" s="43">
        <v>46146.806250000001</v>
      </c>
      <c r="G171" s="33" t="s">
        <v>72</v>
      </c>
      <c r="H171" s="33"/>
      <c r="I171" s="33" t="s">
        <v>73</v>
      </c>
      <c r="J171" s="33" t="s">
        <v>1360</v>
      </c>
      <c r="K171" s="33" t="s">
        <v>75</v>
      </c>
      <c r="L171" s="33" t="s">
        <v>1361</v>
      </c>
      <c r="M171" s="43">
        <v>46149.491666666669</v>
      </c>
      <c r="N171" s="33" t="s">
        <v>1362</v>
      </c>
      <c r="O171" s="33" t="s">
        <v>797</v>
      </c>
      <c r="P171" s="33" t="s">
        <v>79</v>
      </c>
      <c r="Q171" s="43">
        <v>46146.957638888889</v>
      </c>
      <c r="R171" s="43">
        <v>46147.240972222222</v>
      </c>
      <c r="S171" s="58">
        <v>0.28333333333333333</v>
      </c>
      <c r="T171" s="33" t="s">
        <v>1363</v>
      </c>
      <c r="U171" s="43">
        <v>46148.740277777775</v>
      </c>
      <c r="V171" s="58">
        <v>0.75138888888888888</v>
      </c>
      <c r="W171" s="33" t="s">
        <v>1363</v>
      </c>
      <c r="X171" s="43">
        <v>46148.740277777775</v>
      </c>
      <c r="Y171" s="44">
        <v>1.6506944444444445</v>
      </c>
      <c r="Z171" s="33" t="s">
        <v>1363</v>
      </c>
      <c r="AA171" s="43">
        <v>46149.208333333336</v>
      </c>
      <c r="AB171" s="33" t="s">
        <v>81</v>
      </c>
      <c r="AC171" s="33" t="s">
        <v>1364</v>
      </c>
      <c r="AD171" s="44">
        <v>3.5631944444444446</v>
      </c>
      <c r="AE171" s="44">
        <v>2.2576388888888888</v>
      </c>
      <c r="AF171" s="44">
        <v>3.5631944444444446</v>
      </c>
      <c r="AG171" s="33"/>
      <c r="AH171" s="33">
        <v>2</v>
      </c>
      <c r="AI171" s="43">
        <v>46148.740277777775</v>
      </c>
      <c r="AJ171" s="33" t="s">
        <v>83</v>
      </c>
      <c r="AK171" s="42">
        <v>89898.8</v>
      </c>
      <c r="AL171" s="33" t="s">
        <v>1365</v>
      </c>
    </row>
    <row r="172" spans="1:38">
      <c r="A172" s="33">
        <v>5999488</v>
      </c>
      <c r="B172" s="33"/>
      <c r="C172" s="33" t="s">
        <v>789</v>
      </c>
      <c r="D172" s="33" t="s">
        <v>1366</v>
      </c>
      <c r="E172" s="33" t="s">
        <v>1367</v>
      </c>
      <c r="F172" s="43">
        <v>46147</v>
      </c>
      <c r="G172" s="33" t="s">
        <v>792</v>
      </c>
      <c r="H172" s="33"/>
      <c r="I172" s="33" t="s">
        <v>793</v>
      </c>
      <c r="J172" s="33" t="s">
        <v>1368</v>
      </c>
      <c r="K172" s="33" t="s">
        <v>75</v>
      </c>
      <c r="L172" s="33" t="s">
        <v>1264</v>
      </c>
      <c r="M172" s="43">
        <v>46147.167210648149</v>
      </c>
      <c r="N172" s="33" t="s">
        <v>796</v>
      </c>
      <c r="O172" s="33" t="s">
        <v>797</v>
      </c>
      <c r="P172" s="33" t="s">
        <v>798</v>
      </c>
      <c r="Q172" s="43">
        <v>46147.005555555559</v>
      </c>
      <c r="R172" s="43">
        <v>46147.050694444442</v>
      </c>
      <c r="S172" s="58">
        <v>4.5138888888888888E-2</v>
      </c>
      <c r="T172" s="33" t="s">
        <v>140</v>
      </c>
      <c r="U172" s="43">
        <v>46147.160416666666</v>
      </c>
      <c r="V172" s="58">
        <v>6.2500000000000003E-3</v>
      </c>
      <c r="W172" s="33"/>
      <c r="X172" s="33"/>
      <c r="Y172" s="33"/>
      <c r="Z172" s="33" t="s">
        <v>140</v>
      </c>
      <c r="AA172" s="43">
        <v>46147.208333333336</v>
      </c>
      <c r="AB172" s="33" t="s">
        <v>81</v>
      </c>
      <c r="AC172" s="33" t="s">
        <v>81</v>
      </c>
      <c r="AD172" s="58">
        <v>0.35</v>
      </c>
      <c r="AE172" s="33"/>
      <c r="AF172" s="58">
        <v>0.34930555555555554</v>
      </c>
      <c r="AG172" s="33" t="s">
        <v>1369</v>
      </c>
      <c r="AH172" s="33">
        <v>2</v>
      </c>
      <c r="AI172" s="43">
        <v>46147.160416666666</v>
      </c>
      <c r="AJ172" s="33" t="s">
        <v>793</v>
      </c>
      <c r="AK172" s="42">
        <v>637643.44999999995</v>
      </c>
      <c r="AL172" s="33" t="s">
        <v>1370</v>
      </c>
    </row>
    <row r="173" spans="1:38">
      <c r="A173" s="33">
        <v>6002609</v>
      </c>
      <c r="B173" s="33"/>
      <c r="C173" s="33" t="s">
        <v>789</v>
      </c>
      <c r="D173" s="33" t="s">
        <v>1371</v>
      </c>
      <c r="E173" s="33" t="s">
        <v>1372</v>
      </c>
      <c r="F173" s="43">
        <v>46146.916666666664</v>
      </c>
      <c r="G173" s="33" t="s">
        <v>792</v>
      </c>
      <c r="H173" s="33"/>
      <c r="I173" s="33" t="s">
        <v>793</v>
      </c>
      <c r="J173" s="33" t="s">
        <v>1317</v>
      </c>
      <c r="K173" s="33" t="s">
        <v>1373</v>
      </c>
      <c r="L173" s="33" t="s">
        <v>1087</v>
      </c>
      <c r="M173" s="43">
        <v>46147.08121527778</v>
      </c>
      <c r="N173" s="33" t="s">
        <v>1374</v>
      </c>
      <c r="O173" s="33" t="s">
        <v>797</v>
      </c>
      <c r="P173" s="33" t="s">
        <v>861</v>
      </c>
      <c r="Q173" s="43">
        <v>46146.913888888892</v>
      </c>
      <c r="R173" s="43">
        <v>46146.941666666666</v>
      </c>
      <c r="S173" s="58">
        <v>2.7777777777777776E-2</v>
      </c>
      <c r="T173" s="33" t="s">
        <v>140</v>
      </c>
      <c r="U173" s="43">
        <v>46147.065972222219</v>
      </c>
      <c r="V173" s="58">
        <v>1.3194444444444444E-2</v>
      </c>
      <c r="W173" s="33"/>
      <c r="X173" s="33"/>
      <c r="Y173" s="33"/>
      <c r="Z173" s="33" t="s">
        <v>140</v>
      </c>
      <c r="AA173" s="43">
        <v>46147.208333333336</v>
      </c>
      <c r="AB173" s="33" t="s">
        <v>81</v>
      </c>
      <c r="AC173" s="33" t="s">
        <v>1321</v>
      </c>
      <c r="AD173" s="58">
        <v>0.25138888888888888</v>
      </c>
      <c r="AE173" s="33"/>
      <c r="AF173" s="58">
        <v>0.24652777777777779</v>
      </c>
      <c r="AG173" s="33" t="s">
        <v>1375</v>
      </c>
      <c r="AH173" s="33">
        <v>2</v>
      </c>
      <c r="AI173" s="43">
        <v>46147.065972222219</v>
      </c>
      <c r="AJ173" s="33" t="s">
        <v>793</v>
      </c>
      <c r="AK173" s="42">
        <v>872284.68</v>
      </c>
      <c r="AL173" s="33" t="s">
        <v>1376</v>
      </c>
    </row>
    <row r="174" spans="1:38">
      <c r="A174" s="33">
        <v>5996347</v>
      </c>
      <c r="B174" s="33"/>
      <c r="C174" s="33" t="s">
        <v>789</v>
      </c>
      <c r="D174" s="33" t="s">
        <v>849</v>
      </c>
      <c r="E174" s="33" t="s">
        <v>1377</v>
      </c>
      <c r="F174" s="43">
        <v>46147.125</v>
      </c>
      <c r="G174" s="33" t="s">
        <v>792</v>
      </c>
      <c r="H174" s="33"/>
      <c r="I174" s="33" t="s">
        <v>793</v>
      </c>
      <c r="J174" s="33" t="s">
        <v>856</v>
      </c>
      <c r="K174" s="33" t="s">
        <v>1378</v>
      </c>
      <c r="L174" s="33" t="s">
        <v>1379</v>
      </c>
      <c r="M174" s="43">
        <v>46147.32545138889</v>
      </c>
      <c r="N174" s="33" t="s">
        <v>852</v>
      </c>
      <c r="O174" s="33" t="s">
        <v>868</v>
      </c>
      <c r="P174" s="33" t="s">
        <v>798</v>
      </c>
      <c r="Q174" s="43">
        <v>46147.039583333331</v>
      </c>
      <c r="R174" s="43">
        <v>46147.170138888891</v>
      </c>
      <c r="S174" s="58">
        <v>0.13055555555555556</v>
      </c>
      <c r="T174" s="33" t="s">
        <v>799</v>
      </c>
      <c r="U174" s="43">
        <v>46147.28125</v>
      </c>
      <c r="V174" s="58">
        <v>4.3749999999999997E-2</v>
      </c>
      <c r="W174" s="33"/>
      <c r="X174" s="33"/>
      <c r="Y174" s="33"/>
      <c r="Z174" s="33" t="s">
        <v>799</v>
      </c>
      <c r="AA174" s="43">
        <v>46147.333333333336</v>
      </c>
      <c r="AB174" s="33" t="s">
        <v>81</v>
      </c>
      <c r="AC174" s="33" t="s">
        <v>81</v>
      </c>
      <c r="AD174" s="58">
        <v>0.49513888888888891</v>
      </c>
      <c r="AE174" s="33"/>
      <c r="AF174" s="58">
        <v>0.49513888888888891</v>
      </c>
      <c r="AG174" s="33" t="s">
        <v>853</v>
      </c>
      <c r="AH174" s="33">
        <v>2</v>
      </c>
      <c r="AI174" s="43">
        <v>46147.28125</v>
      </c>
      <c r="AJ174" s="33" t="s">
        <v>793</v>
      </c>
      <c r="AK174" s="42">
        <v>461544.48</v>
      </c>
      <c r="AL174" s="33" t="s">
        <v>1209</v>
      </c>
    </row>
    <row r="175" spans="1:38">
      <c r="A175" s="33">
        <v>5996082</v>
      </c>
      <c r="B175" s="33"/>
      <c r="C175" s="33" t="s">
        <v>789</v>
      </c>
      <c r="D175" s="33" t="s">
        <v>809</v>
      </c>
      <c r="E175" s="33" t="s">
        <v>1380</v>
      </c>
      <c r="F175" s="43">
        <v>46147.208333333336</v>
      </c>
      <c r="G175" s="33" t="s">
        <v>792</v>
      </c>
      <c r="H175" s="33"/>
      <c r="I175" s="33" t="s">
        <v>793</v>
      </c>
      <c r="J175" s="33" t="s">
        <v>811</v>
      </c>
      <c r="K175" s="33" t="s">
        <v>1378</v>
      </c>
      <c r="L175" s="33" t="s">
        <v>1105</v>
      </c>
      <c r="M175" s="43">
        <v>46147.473460648151</v>
      </c>
      <c r="N175" s="33" t="s">
        <v>813</v>
      </c>
      <c r="O175" s="33" t="s">
        <v>797</v>
      </c>
      <c r="P175" s="33" t="s">
        <v>798</v>
      </c>
      <c r="Q175" s="43">
        <v>46147.202777777777</v>
      </c>
      <c r="R175" s="43">
        <v>46147.270138888889</v>
      </c>
      <c r="S175" s="58">
        <v>6.7361111111111108E-2</v>
      </c>
      <c r="T175" s="33" t="s">
        <v>799</v>
      </c>
      <c r="U175" s="43">
        <v>46147.441666666666</v>
      </c>
      <c r="V175" s="58">
        <v>3.0555555555555555E-2</v>
      </c>
      <c r="W175" s="33" t="s">
        <v>799</v>
      </c>
      <c r="X175" s="43">
        <v>46147.441666666666</v>
      </c>
      <c r="Y175" s="58">
        <v>3.0555555555555555E-2</v>
      </c>
      <c r="Z175" s="33" t="s">
        <v>799</v>
      </c>
      <c r="AA175" s="43">
        <v>46147.416666666664</v>
      </c>
      <c r="AB175" s="33" t="s">
        <v>81</v>
      </c>
      <c r="AC175" s="33" t="s">
        <v>814</v>
      </c>
      <c r="AD175" s="58">
        <v>0.38055555555555554</v>
      </c>
      <c r="AE175" s="58">
        <v>0.20277777777777778</v>
      </c>
      <c r="AF175" s="58">
        <v>0.38055555555555554</v>
      </c>
      <c r="AG175" s="33" t="s">
        <v>815</v>
      </c>
      <c r="AH175" s="33">
        <v>2</v>
      </c>
      <c r="AI175" s="43">
        <v>46147.441666666666</v>
      </c>
      <c r="AJ175" s="33" t="s">
        <v>793</v>
      </c>
      <c r="AK175" s="42">
        <v>1008151.43</v>
      </c>
      <c r="AL175" s="33" t="s">
        <v>816</v>
      </c>
    </row>
    <row r="176" spans="1:38">
      <c r="A176" s="33">
        <v>5956940</v>
      </c>
      <c r="B176" s="33"/>
      <c r="C176" s="33" t="s">
        <v>789</v>
      </c>
      <c r="D176" s="33" t="s">
        <v>1150</v>
      </c>
      <c r="E176" s="33" t="s">
        <v>1381</v>
      </c>
      <c r="F176" s="43">
        <v>46146.875</v>
      </c>
      <c r="G176" s="33" t="s">
        <v>792</v>
      </c>
      <c r="H176" s="33"/>
      <c r="I176" s="33" t="s">
        <v>793</v>
      </c>
      <c r="J176" s="33" t="s">
        <v>1382</v>
      </c>
      <c r="K176" s="33" t="s">
        <v>75</v>
      </c>
      <c r="L176" s="33" t="s">
        <v>1035</v>
      </c>
      <c r="M176" s="43">
        <v>46146.955949074072</v>
      </c>
      <c r="N176" s="33" t="s">
        <v>1152</v>
      </c>
      <c r="O176" s="33" t="s">
        <v>797</v>
      </c>
      <c r="P176" s="33" t="s">
        <v>799</v>
      </c>
      <c r="Q176" s="43">
        <v>46146.84652777778</v>
      </c>
      <c r="R176" s="43">
        <v>46146.90902777778</v>
      </c>
      <c r="S176" s="58">
        <v>6.25E-2</v>
      </c>
      <c r="T176" s="33" t="s">
        <v>140</v>
      </c>
      <c r="U176" s="43">
        <v>46146.94027777778</v>
      </c>
      <c r="V176" s="58">
        <v>1.8055555555555554E-2</v>
      </c>
      <c r="W176" s="33" t="s">
        <v>140</v>
      </c>
      <c r="X176" s="43">
        <v>46146.94027777778</v>
      </c>
      <c r="Y176" s="58">
        <v>1.8055555555555554E-2</v>
      </c>
      <c r="Z176" s="33" t="s">
        <v>140</v>
      </c>
      <c r="AA176" s="43">
        <v>46147.916666666664</v>
      </c>
      <c r="AB176" s="33" t="s">
        <v>81</v>
      </c>
      <c r="AC176" s="33" t="s">
        <v>1383</v>
      </c>
      <c r="AD176" s="58">
        <v>0.11319444444444444</v>
      </c>
      <c r="AE176" s="58">
        <v>4.6527777777777779E-2</v>
      </c>
      <c r="AF176" s="58">
        <v>0.11319444444444444</v>
      </c>
      <c r="AG176" s="33" t="s">
        <v>1154</v>
      </c>
      <c r="AH176" s="33">
        <v>2</v>
      </c>
      <c r="AI176" s="43">
        <v>46146.94027777778</v>
      </c>
      <c r="AJ176" s="33" t="s">
        <v>793</v>
      </c>
      <c r="AK176" s="42">
        <v>971676</v>
      </c>
      <c r="AL176" s="33" t="s">
        <v>1155</v>
      </c>
    </row>
    <row r="177" spans="1:38">
      <c r="A177" s="33">
        <v>6004177</v>
      </c>
      <c r="B177" s="33"/>
      <c r="C177" s="33" t="s">
        <v>789</v>
      </c>
      <c r="D177" s="33" t="s">
        <v>1384</v>
      </c>
      <c r="E177" s="33" t="s">
        <v>1385</v>
      </c>
      <c r="F177" s="43">
        <v>46147.208333333336</v>
      </c>
      <c r="G177" s="33" t="s">
        <v>792</v>
      </c>
      <c r="H177" s="33"/>
      <c r="I177" s="33" t="s">
        <v>793</v>
      </c>
      <c r="J177" s="33" t="s">
        <v>1386</v>
      </c>
      <c r="K177" s="33" t="s">
        <v>75</v>
      </c>
      <c r="L177" s="33" t="s">
        <v>1035</v>
      </c>
      <c r="M177" s="43">
        <v>46147.430300925924</v>
      </c>
      <c r="N177" s="33" t="s">
        <v>1387</v>
      </c>
      <c r="O177" s="33" t="s">
        <v>797</v>
      </c>
      <c r="P177" s="33" t="s">
        <v>861</v>
      </c>
      <c r="Q177" s="43">
        <v>46147.243750000001</v>
      </c>
      <c r="R177" s="43">
        <v>46147.281944444447</v>
      </c>
      <c r="S177" s="58">
        <v>3.8194444444444448E-2</v>
      </c>
      <c r="T177" s="33" t="s">
        <v>140</v>
      </c>
      <c r="U177" s="43">
        <v>46147.398611111108</v>
      </c>
      <c r="V177" s="58">
        <v>2.9861111111111113E-2</v>
      </c>
      <c r="W177" s="33" t="s">
        <v>140</v>
      </c>
      <c r="X177" s="43">
        <v>46147.398611111108</v>
      </c>
      <c r="Y177" s="58">
        <v>2.9861111111111113E-2</v>
      </c>
      <c r="Z177" s="33" t="s">
        <v>140</v>
      </c>
      <c r="AA177" s="43">
        <v>46147.416666666664</v>
      </c>
      <c r="AB177" s="33" t="s">
        <v>81</v>
      </c>
      <c r="AC177" s="33" t="s">
        <v>1388</v>
      </c>
      <c r="AD177" s="58">
        <v>0.60069444444444442</v>
      </c>
      <c r="AE177" s="58">
        <v>0.14791666666666667</v>
      </c>
      <c r="AF177" s="58">
        <v>0.60069444444444442</v>
      </c>
      <c r="AG177" s="33" t="s">
        <v>1389</v>
      </c>
      <c r="AH177" s="33">
        <v>2</v>
      </c>
      <c r="AI177" s="43">
        <v>46147.398611111108</v>
      </c>
      <c r="AJ177" s="33" t="s">
        <v>793</v>
      </c>
      <c r="AK177" s="42">
        <v>898052.42</v>
      </c>
      <c r="AL177" s="33" t="s">
        <v>1390</v>
      </c>
    </row>
    <row r="178" spans="1:38">
      <c r="A178" s="33">
        <v>5996481</v>
      </c>
      <c r="B178" s="33"/>
      <c r="C178" s="33" t="s">
        <v>789</v>
      </c>
      <c r="D178" s="33" t="s">
        <v>817</v>
      </c>
      <c r="E178" s="33" t="s">
        <v>1391</v>
      </c>
      <c r="F178" s="43">
        <v>46146.875</v>
      </c>
      <c r="G178" s="33" t="s">
        <v>792</v>
      </c>
      <c r="H178" s="33"/>
      <c r="I178" s="33" t="s">
        <v>793</v>
      </c>
      <c r="J178" s="33" t="s">
        <v>1392</v>
      </c>
      <c r="K178" s="33" t="s">
        <v>75</v>
      </c>
      <c r="L178" s="33" t="s">
        <v>1393</v>
      </c>
      <c r="M178" s="43">
        <v>46146.934328703705</v>
      </c>
      <c r="N178" s="33" t="s">
        <v>822</v>
      </c>
      <c r="O178" s="33" t="s">
        <v>797</v>
      </c>
      <c r="P178" s="33" t="s">
        <v>861</v>
      </c>
      <c r="Q178" s="43">
        <v>46146.852777777778</v>
      </c>
      <c r="R178" s="43">
        <v>46146.935416666667</v>
      </c>
      <c r="S178" s="58">
        <v>8.2638888888888887E-2</v>
      </c>
      <c r="T178" s="33" t="s">
        <v>799</v>
      </c>
      <c r="U178" s="33"/>
      <c r="V178" s="33"/>
      <c r="W178" s="33" t="s">
        <v>861</v>
      </c>
      <c r="X178" s="43">
        <v>46146.852777777778</v>
      </c>
      <c r="Y178" s="58">
        <v>8.2638888888888887E-2</v>
      </c>
      <c r="Z178" s="33" t="s">
        <v>799</v>
      </c>
      <c r="AA178" s="43">
        <v>46147.958333333336</v>
      </c>
      <c r="AB178" s="33" t="s">
        <v>1394</v>
      </c>
      <c r="AC178" s="33" t="s">
        <v>1395</v>
      </c>
      <c r="AD178" s="58">
        <v>0.10694444444444444</v>
      </c>
      <c r="AE178" s="33"/>
      <c r="AF178" s="58">
        <v>0.10694444444444444</v>
      </c>
      <c r="AG178" s="33" t="s">
        <v>825</v>
      </c>
      <c r="AH178" s="33">
        <v>1</v>
      </c>
      <c r="AI178" s="43">
        <v>46148.619444444441</v>
      </c>
      <c r="AJ178" s="33" t="s">
        <v>793</v>
      </c>
      <c r="AK178" s="42">
        <v>526037.44999999995</v>
      </c>
      <c r="AL178" s="33" t="s">
        <v>826</v>
      </c>
    </row>
    <row r="179" spans="1:38">
      <c r="A179" s="33">
        <v>6004054</v>
      </c>
      <c r="B179" s="33"/>
      <c r="C179" s="33" t="s">
        <v>789</v>
      </c>
      <c r="D179" s="33" t="s">
        <v>1396</v>
      </c>
      <c r="E179" s="33" t="s">
        <v>1397</v>
      </c>
      <c r="F179" s="43">
        <v>46147.208333333336</v>
      </c>
      <c r="G179" s="33" t="s">
        <v>792</v>
      </c>
      <c r="H179" s="33"/>
      <c r="I179" s="33" t="s">
        <v>793</v>
      </c>
      <c r="J179" s="33" t="s">
        <v>1398</v>
      </c>
      <c r="K179" s="33" t="s">
        <v>75</v>
      </c>
      <c r="L179" s="33" t="s">
        <v>1189</v>
      </c>
      <c r="M179" s="43">
        <v>46147.276701388888</v>
      </c>
      <c r="N179" s="33" t="s">
        <v>1399</v>
      </c>
      <c r="O179" s="33" t="s">
        <v>797</v>
      </c>
      <c r="P179" s="33" t="s">
        <v>861</v>
      </c>
      <c r="Q179" s="43">
        <v>46147.15902777778</v>
      </c>
      <c r="R179" s="43">
        <v>46147.18472222222</v>
      </c>
      <c r="S179" s="58">
        <v>2.5694444444444443E-2</v>
      </c>
      <c r="T179" s="33" t="s">
        <v>140</v>
      </c>
      <c r="U179" s="43">
        <v>46147.268055555556</v>
      </c>
      <c r="V179" s="58">
        <v>8.3333333333333332E-3</v>
      </c>
      <c r="W179" s="33" t="s">
        <v>140</v>
      </c>
      <c r="X179" s="43">
        <v>46147.268055555556</v>
      </c>
      <c r="Y179" s="58">
        <v>8.3333333333333332E-3</v>
      </c>
      <c r="Z179" s="33" t="s">
        <v>140</v>
      </c>
      <c r="AA179" s="43">
        <v>46147.416666666664</v>
      </c>
      <c r="AB179" s="33" t="s">
        <v>81</v>
      </c>
      <c r="AC179" s="33" t="s">
        <v>1400</v>
      </c>
      <c r="AD179" s="58">
        <v>0.44791666666666669</v>
      </c>
      <c r="AE179" s="58">
        <v>9.2361111111111116E-2</v>
      </c>
      <c r="AF179" s="58">
        <v>0.44791666666666669</v>
      </c>
      <c r="AG179" s="33" t="s">
        <v>1401</v>
      </c>
      <c r="AH179" s="33">
        <v>2</v>
      </c>
      <c r="AI179" s="43">
        <v>46147.268055555556</v>
      </c>
      <c r="AJ179" s="33" t="s">
        <v>793</v>
      </c>
      <c r="AK179" s="42">
        <v>746135.13</v>
      </c>
      <c r="AL179" s="33" t="s">
        <v>1402</v>
      </c>
    </row>
    <row r="180" spans="1:38">
      <c r="A180" s="33">
        <v>6001494</v>
      </c>
      <c r="B180" s="33"/>
      <c r="C180" s="33" t="s">
        <v>789</v>
      </c>
      <c r="D180" s="33" t="s">
        <v>1084</v>
      </c>
      <c r="E180" s="33" t="s">
        <v>1403</v>
      </c>
      <c r="F180" s="43">
        <v>46147.208333333336</v>
      </c>
      <c r="G180" s="33" t="s">
        <v>792</v>
      </c>
      <c r="H180" s="33"/>
      <c r="I180" s="33" t="s">
        <v>793</v>
      </c>
      <c r="J180" s="33" t="s">
        <v>958</v>
      </c>
      <c r="K180" s="33" t="s">
        <v>75</v>
      </c>
      <c r="L180" s="33" t="s">
        <v>1087</v>
      </c>
      <c r="M180" s="43">
        <v>46147.474062499998</v>
      </c>
      <c r="N180" s="33" t="s">
        <v>1088</v>
      </c>
      <c r="O180" s="33" t="s">
        <v>797</v>
      </c>
      <c r="P180" s="33" t="s">
        <v>861</v>
      </c>
      <c r="Q180" s="43">
        <v>46147.280555555553</v>
      </c>
      <c r="R180" s="43">
        <v>46147.29583333333</v>
      </c>
      <c r="S180" s="58">
        <v>1.5277777777777777E-2</v>
      </c>
      <c r="T180" s="33" t="s">
        <v>140</v>
      </c>
      <c r="U180" s="43">
        <v>46147.431944444441</v>
      </c>
      <c r="V180" s="58">
        <v>4.0972222222222222E-2</v>
      </c>
      <c r="W180" s="33" t="s">
        <v>140</v>
      </c>
      <c r="X180" s="43">
        <v>46147.431944444441</v>
      </c>
      <c r="Y180" s="58">
        <v>4.0972222222222222E-2</v>
      </c>
      <c r="Z180" s="33" t="s">
        <v>140</v>
      </c>
      <c r="AA180" s="43">
        <v>46147.416666666664</v>
      </c>
      <c r="AB180" s="33" t="s">
        <v>1052</v>
      </c>
      <c r="AC180" s="33" t="s">
        <v>1404</v>
      </c>
      <c r="AD180" s="58">
        <v>0.64375000000000004</v>
      </c>
      <c r="AE180" s="58">
        <v>0.17777777777777778</v>
      </c>
      <c r="AF180" s="58">
        <v>0.64375000000000004</v>
      </c>
      <c r="AG180" s="33" t="s">
        <v>1090</v>
      </c>
      <c r="AH180" s="33">
        <v>2</v>
      </c>
      <c r="AI180" s="43">
        <v>46147.431944444441</v>
      </c>
      <c r="AJ180" s="33" t="s">
        <v>793</v>
      </c>
      <c r="AK180" s="42">
        <v>898185.95</v>
      </c>
      <c r="AL180" s="33" t="s">
        <v>1091</v>
      </c>
    </row>
    <row r="181" spans="1:38">
      <c r="A181" s="33">
        <v>6004966</v>
      </c>
      <c r="B181" s="33"/>
      <c r="C181" s="33" t="s">
        <v>789</v>
      </c>
      <c r="D181" s="33" t="s">
        <v>1092</v>
      </c>
      <c r="E181" s="33" t="s">
        <v>1405</v>
      </c>
      <c r="F181" s="43">
        <v>46147.25</v>
      </c>
      <c r="G181" s="33" t="s">
        <v>792</v>
      </c>
      <c r="H181" s="33"/>
      <c r="I181" s="33" t="s">
        <v>793</v>
      </c>
      <c r="J181" s="33" t="s">
        <v>1398</v>
      </c>
      <c r="K181" s="33" t="s">
        <v>75</v>
      </c>
      <c r="L181" s="33" t="s">
        <v>1094</v>
      </c>
      <c r="M181" s="43">
        <v>46147.458113425928</v>
      </c>
      <c r="N181" s="33" t="s">
        <v>1095</v>
      </c>
      <c r="O181" s="33" t="s">
        <v>797</v>
      </c>
      <c r="P181" s="33" t="s">
        <v>861</v>
      </c>
      <c r="Q181" s="43">
        <v>46147.249305555553</v>
      </c>
      <c r="R181" s="43">
        <v>46147.26666666667</v>
      </c>
      <c r="S181" s="58">
        <v>1.7361111111111112E-2</v>
      </c>
      <c r="T181" s="33" t="s">
        <v>140</v>
      </c>
      <c r="U181" s="43">
        <v>46147.432638888888</v>
      </c>
      <c r="V181" s="58">
        <v>2.5000000000000001E-2</v>
      </c>
      <c r="W181" s="33" t="s">
        <v>140</v>
      </c>
      <c r="X181" s="43">
        <v>46147.432638888888</v>
      </c>
      <c r="Y181" s="58">
        <v>2.5000000000000001E-2</v>
      </c>
      <c r="Z181" s="33" t="s">
        <v>140</v>
      </c>
      <c r="AA181" s="43">
        <v>46148.458333333336</v>
      </c>
      <c r="AB181" s="33" t="s">
        <v>1052</v>
      </c>
      <c r="AC181" s="33" t="s">
        <v>1400</v>
      </c>
      <c r="AD181" s="58">
        <v>0.62013888888888891</v>
      </c>
      <c r="AE181" s="58">
        <v>0.19236111111111112</v>
      </c>
      <c r="AF181" s="58">
        <v>0.62013888888888891</v>
      </c>
      <c r="AG181" s="33" t="s">
        <v>1097</v>
      </c>
      <c r="AH181" s="33">
        <v>2</v>
      </c>
      <c r="AI181" s="43">
        <v>46147.432638888888</v>
      </c>
      <c r="AJ181" s="33" t="s">
        <v>793</v>
      </c>
      <c r="AK181" s="42">
        <v>858925.92</v>
      </c>
      <c r="AL181" s="33" t="s">
        <v>1098</v>
      </c>
    </row>
    <row r="182" spans="1:38">
      <c r="A182" s="33">
        <v>5996031</v>
      </c>
      <c r="B182" s="33"/>
      <c r="C182" s="33" t="s">
        <v>789</v>
      </c>
      <c r="D182" s="33" t="s">
        <v>1284</v>
      </c>
      <c r="E182" s="33" t="s">
        <v>1406</v>
      </c>
      <c r="F182" s="43">
        <v>46147.333333333336</v>
      </c>
      <c r="G182" s="33" t="s">
        <v>792</v>
      </c>
      <c r="H182" s="33"/>
      <c r="I182" s="33" t="s">
        <v>793</v>
      </c>
      <c r="J182" s="33" t="s">
        <v>887</v>
      </c>
      <c r="K182" s="33" t="s">
        <v>583</v>
      </c>
      <c r="L182" s="33" t="s">
        <v>917</v>
      </c>
      <c r="M182" s="43">
        <v>46147.550185185188</v>
      </c>
      <c r="N182" s="33" t="s">
        <v>1287</v>
      </c>
      <c r="O182" s="33" t="s">
        <v>868</v>
      </c>
      <c r="P182" s="33" t="s">
        <v>798</v>
      </c>
      <c r="Q182" s="43">
        <v>46147.335416666669</v>
      </c>
      <c r="R182" s="43">
        <v>46147.39166666667</v>
      </c>
      <c r="S182" s="58">
        <v>5.6250000000000001E-2</v>
      </c>
      <c r="T182" s="33" t="s">
        <v>799</v>
      </c>
      <c r="U182" s="43">
        <v>46147.504861111112</v>
      </c>
      <c r="V182" s="58">
        <v>4.5138888888888888E-2</v>
      </c>
      <c r="W182" s="33"/>
      <c r="X182" s="33"/>
      <c r="Y182" s="33"/>
      <c r="Z182" s="33" t="s">
        <v>799</v>
      </c>
      <c r="AA182" s="43">
        <v>46148.541666666664</v>
      </c>
      <c r="AB182" s="33" t="s">
        <v>81</v>
      </c>
      <c r="AC182" s="33" t="s">
        <v>81</v>
      </c>
      <c r="AD182" s="58">
        <v>0.2722222222222222</v>
      </c>
      <c r="AE182" s="33"/>
      <c r="AF182" s="58">
        <v>0.2722222222222222</v>
      </c>
      <c r="AG182" s="33" t="s">
        <v>1288</v>
      </c>
      <c r="AH182" s="33">
        <v>2</v>
      </c>
      <c r="AI182" s="43">
        <v>46147.504861111112</v>
      </c>
      <c r="AJ182" s="33" t="s">
        <v>793</v>
      </c>
      <c r="AK182" s="42">
        <v>1018319.64</v>
      </c>
      <c r="AL182" s="33" t="s">
        <v>1289</v>
      </c>
    </row>
    <row r="183" spans="1:38">
      <c r="A183" s="33">
        <v>6003438</v>
      </c>
      <c r="B183" s="33"/>
      <c r="C183" s="33" t="s">
        <v>789</v>
      </c>
      <c r="D183" s="33" t="s">
        <v>1407</v>
      </c>
      <c r="E183" s="33" t="s">
        <v>1408</v>
      </c>
      <c r="F183" s="43">
        <v>46147.375</v>
      </c>
      <c r="G183" s="33" t="s">
        <v>792</v>
      </c>
      <c r="H183" s="33"/>
      <c r="I183" s="33" t="s">
        <v>793</v>
      </c>
      <c r="J183" s="33" t="s">
        <v>958</v>
      </c>
      <c r="K183" s="33" t="s">
        <v>75</v>
      </c>
      <c r="L183" s="33" t="s">
        <v>1035</v>
      </c>
      <c r="M183" s="43">
        <v>46147.474050925928</v>
      </c>
      <c r="N183" s="33" t="s">
        <v>1409</v>
      </c>
      <c r="O183" s="33" t="s">
        <v>797</v>
      </c>
      <c r="P183" s="33" t="s">
        <v>861</v>
      </c>
      <c r="Q183" s="43">
        <v>46147.32708333333</v>
      </c>
      <c r="R183" s="43">
        <v>46147.350694444445</v>
      </c>
      <c r="S183" s="58">
        <v>2.361111111111111E-2</v>
      </c>
      <c r="T183" s="33" t="s">
        <v>140</v>
      </c>
      <c r="U183" s="43">
        <v>46147.442361111112</v>
      </c>
      <c r="V183" s="58">
        <v>3.0555555555555555E-2</v>
      </c>
      <c r="W183" s="33" t="s">
        <v>140</v>
      </c>
      <c r="X183" s="43">
        <v>46147.442361111112</v>
      </c>
      <c r="Y183" s="58">
        <v>3.0555555555555555E-2</v>
      </c>
      <c r="Z183" s="33" t="s">
        <v>140</v>
      </c>
      <c r="AA183" s="43">
        <v>46147.583333333336</v>
      </c>
      <c r="AB183" s="33" t="s">
        <v>1052</v>
      </c>
      <c r="AC183" s="33" t="s">
        <v>1404</v>
      </c>
      <c r="AD183" s="58">
        <v>0.32291666666666669</v>
      </c>
      <c r="AE183" s="58">
        <v>0.12291666666666666</v>
      </c>
      <c r="AF183" s="58">
        <v>0.32291666666666669</v>
      </c>
      <c r="AG183" s="33" t="s">
        <v>1410</v>
      </c>
      <c r="AH183" s="33">
        <v>2</v>
      </c>
      <c r="AI183" s="43">
        <v>46147.442361111112</v>
      </c>
      <c r="AJ183" s="33" t="s">
        <v>793</v>
      </c>
      <c r="AK183" s="42">
        <v>1010343.42</v>
      </c>
      <c r="AL183" s="33" t="s">
        <v>1411</v>
      </c>
    </row>
    <row r="184" spans="1:38">
      <c r="A184" s="33">
        <v>6000987</v>
      </c>
      <c r="B184" s="33"/>
      <c r="C184" s="33" t="s">
        <v>789</v>
      </c>
      <c r="D184" s="33" t="s">
        <v>1412</v>
      </c>
      <c r="E184" s="33" t="s">
        <v>1413</v>
      </c>
      <c r="F184" s="43">
        <v>46147.375</v>
      </c>
      <c r="G184" s="33" t="s">
        <v>792</v>
      </c>
      <c r="H184" s="33"/>
      <c r="I184" s="33" t="s">
        <v>793</v>
      </c>
      <c r="J184" s="33" t="s">
        <v>1398</v>
      </c>
      <c r="K184" s="33" t="s">
        <v>75</v>
      </c>
      <c r="L184" s="33" t="s">
        <v>1035</v>
      </c>
      <c r="M184" s="43">
        <v>46147.486018518517</v>
      </c>
      <c r="N184" s="33" t="s">
        <v>1414</v>
      </c>
      <c r="O184" s="33" t="s">
        <v>456</v>
      </c>
      <c r="P184" s="33" t="s">
        <v>861</v>
      </c>
      <c r="Q184" s="43">
        <v>46147.299305555556</v>
      </c>
      <c r="R184" s="43">
        <v>46147.300694444442</v>
      </c>
      <c r="S184" s="58">
        <v>1.3888888888888889E-3</v>
      </c>
      <c r="T184" s="33" t="s">
        <v>140</v>
      </c>
      <c r="U184" s="43">
        <v>46147.464583333334</v>
      </c>
      <c r="V184" s="58">
        <v>6.9444444444444447E-4</v>
      </c>
      <c r="W184" s="33"/>
      <c r="X184" s="33"/>
      <c r="Y184" s="33"/>
      <c r="Z184" s="33" t="s">
        <v>140</v>
      </c>
      <c r="AA184" s="43">
        <v>46147.583333333336</v>
      </c>
      <c r="AB184" s="33" t="s">
        <v>1052</v>
      </c>
      <c r="AC184" s="33" t="s">
        <v>1400</v>
      </c>
      <c r="AD184" s="58">
        <v>0.33541666666666664</v>
      </c>
      <c r="AE184" s="33"/>
      <c r="AF184" s="58">
        <v>0.33541666666666664</v>
      </c>
      <c r="AG184" s="33" t="s">
        <v>1415</v>
      </c>
      <c r="AH184" s="33">
        <v>2</v>
      </c>
      <c r="AI184" s="43">
        <v>46147.464583333334</v>
      </c>
      <c r="AJ184" s="33" t="s">
        <v>793</v>
      </c>
      <c r="AK184" s="42">
        <v>402107.42</v>
      </c>
      <c r="AL184" s="33" t="s">
        <v>1416</v>
      </c>
    </row>
    <row r="185" spans="1:38">
      <c r="A185" s="33">
        <v>6001859</v>
      </c>
      <c r="B185" s="33"/>
      <c r="C185" s="33" t="s">
        <v>789</v>
      </c>
      <c r="D185" s="33" t="s">
        <v>1417</v>
      </c>
      <c r="E185" s="33" t="s">
        <v>1418</v>
      </c>
      <c r="F185" s="43">
        <v>46147.375</v>
      </c>
      <c r="G185" s="33" t="s">
        <v>792</v>
      </c>
      <c r="H185" s="33"/>
      <c r="I185" s="33" t="s">
        <v>793</v>
      </c>
      <c r="J185" s="33" t="s">
        <v>958</v>
      </c>
      <c r="K185" s="33" t="s">
        <v>1012</v>
      </c>
      <c r="L185" s="33" t="s">
        <v>1043</v>
      </c>
      <c r="M185" s="43">
        <v>46147.87091435185</v>
      </c>
      <c r="N185" s="33" t="s">
        <v>1409</v>
      </c>
      <c r="O185" s="33" t="s">
        <v>1419</v>
      </c>
      <c r="P185" s="33" t="s">
        <v>861</v>
      </c>
      <c r="Q185" s="43">
        <v>46147.315972222219</v>
      </c>
      <c r="R185" s="43">
        <v>46147.317361111112</v>
      </c>
      <c r="S185" s="58">
        <v>1.3888888888888889E-3</v>
      </c>
      <c r="T185" s="33" t="s">
        <v>140</v>
      </c>
      <c r="U185" s="43">
        <v>46147.523611111108</v>
      </c>
      <c r="V185" s="58">
        <v>0.34722222222222221</v>
      </c>
      <c r="W185" s="33"/>
      <c r="X185" s="33"/>
      <c r="Y185" s="33"/>
      <c r="Z185" s="33" t="s">
        <v>140</v>
      </c>
      <c r="AA185" s="43">
        <v>46147.583333333336</v>
      </c>
      <c r="AB185" s="33" t="s">
        <v>81</v>
      </c>
      <c r="AC185" s="33" t="s">
        <v>81</v>
      </c>
      <c r="AD185" s="44">
        <v>1.0249999999999999</v>
      </c>
      <c r="AE185" s="33"/>
      <c r="AF185" s="44">
        <v>1.0249999999999999</v>
      </c>
      <c r="AG185" s="33" t="s">
        <v>1420</v>
      </c>
      <c r="AH185" s="33">
        <v>2</v>
      </c>
      <c r="AI185" s="43">
        <v>46147.523611111108</v>
      </c>
      <c r="AJ185" s="33" t="s">
        <v>793</v>
      </c>
      <c r="AK185" s="42">
        <v>93539.3</v>
      </c>
      <c r="AL185" s="33" t="s">
        <v>1421</v>
      </c>
    </row>
    <row r="186" spans="1:38">
      <c r="A186" s="33">
        <v>6004004</v>
      </c>
      <c r="B186" s="33"/>
      <c r="C186" s="33" t="s">
        <v>789</v>
      </c>
      <c r="D186" s="33" t="s">
        <v>863</v>
      </c>
      <c r="E186" s="33" t="s">
        <v>1422</v>
      </c>
      <c r="F186" s="43">
        <v>46147.25</v>
      </c>
      <c r="G186" s="33" t="s">
        <v>792</v>
      </c>
      <c r="H186" s="33"/>
      <c r="I186" s="33" t="s">
        <v>793</v>
      </c>
      <c r="J186" s="33" t="s">
        <v>958</v>
      </c>
      <c r="K186" s="33" t="s">
        <v>75</v>
      </c>
      <c r="L186" s="33" t="s">
        <v>1423</v>
      </c>
      <c r="M186" s="43">
        <v>46147.525231481479</v>
      </c>
      <c r="N186" s="33" t="s">
        <v>867</v>
      </c>
      <c r="O186" s="33" t="s">
        <v>797</v>
      </c>
      <c r="P186" s="33" t="s">
        <v>861</v>
      </c>
      <c r="Q186" s="43">
        <v>46147.211111111108</v>
      </c>
      <c r="R186" s="43">
        <v>46147.261111111111</v>
      </c>
      <c r="S186" s="58">
        <v>0.05</v>
      </c>
      <c r="T186" s="33" t="s">
        <v>140</v>
      </c>
      <c r="U186" s="43">
        <v>46147.361111111109</v>
      </c>
      <c r="V186" s="58">
        <v>0.16458333333333333</v>
      </c>
      <c r="W186" s="33" t="s">
        <v>140</v>
      </c>
      <c r="X186" s="43">
        <v>46147.361111111109</v>
      </c>
      <c r="Y186" s="58">
        <v>0.16458333333333333</v>
      </c>
      <c r="Z186" s="33" t="s">
        <v>140</v>
      </c>
      <c r="AA186" s="43">
        <v>46147.583333333336</v>
      </c>
      <c r="AB186" s="33" t="s">
        <v>81</v>
      </c>
      <c r="AC186" s="33" t="s">
        <v>1404</v>
      </c>
      <c r="AD186" s="58">
        <v>0.6791666666666667</v>
      </c>
      <c r="AE186" s="58">
        <v>0.2638888888888889</v>
      </c>
      <c r="AF186" s="58">
        <v>0.6791666666666667</v>
      </c>
      <c r="AG186" s="33" t="s">
        <v>869</v>
      </c>
      <c r="AH186" s="33">
        <v>2</v>
      </c>
      <c r="AI186" s="43">
        <v>46147.361111111109</v>
      </c>
      <c r="AJ186" s="33" t="s">
        <v>793</v>
      </c>
      <c r="AK186" s="42">
        <v>391237.55</v>
      </c>
      <c r="AL186" s="33" t="s">
        <v>870</v>
      </c>
    </row>
    <row r="187" spans="1:38">
      <c r="A187" s="33">
        <v>6004976</v>
      </c>
      <c r="B187" s="33"/>
      <c r="C187" s="33" t="s">
        <v>789</v>
      </c>
      <c r="D187" s="33" t="s">
        <v>1424</v>
      </c>
      <c r="E187" s="33" t="s">
        <v>1425</v>
      </c>
      <c r="F187" s="43">
        <v>46147.375</v>
      </c>
      <c r="G187" s="33" t="s">
        <v>792</v>
      </c>
      <c r="H187" s="33"/>
      <c r="I187" s="33" t="s">
        <v>793</v>
      </c>
      <c r="J187" s="33" t="s">
        <v>1398</v>
      </c>
      <c r="K187" s="33" t="s">
        <v>75</v>
      </c>
      <c r="L187" s="33" t="s">
        <v>1094</v>
      </c>
      <c r="M187" s="43">
        <v>46147.518750000003</v>
      </c>
      <c r="N187" s="33" t="s">
        <v>1426</v>
      </c>
      <c r="O187" s="33" t="s">
        <v>797</v>
      </c>
      <c r="P187" s="33" t="s">
        <v>861</v>
      </c>
      <c r="Q187" s="43">
        <v>46147.34375</v>
      </c>
      <c r="R187" s="43">
        <v>46147.373611111114</v>
      </c>
      <c r="S187" s="58">
        <v>2.9861111111111113E-2</v>
      </c>
      <c r="T187" s="33" t="s">
        <v>140</v>
      </c>
      <c r="U187" s="43">
        <v>46147.509722222225</v>
      </c>
      <c r="V187" s="58">
        <v>1.5277777777777777E-2</v>
      </c>
      <c r="W187" s="33" t="s">
        <v>140</v>
      </c>
      <c r="X187" s="43">
        <v>46147.509722222225</v>
      </c>
      <c r="Y187" s="58">
        <v>1.5277777777777777E-2</v>
      </c>
      <c r="Z187" s="33" t="s">
        <v>140</v>
      </c>
      <c r="AA187" s="43">
        <v>46147.583333333336</v>
      </c>
      <c r="AB187" s="33" t="s">
        <v>1052</v>
      </c>
      <c r="AC187" s="33" t="s">
        <v>1400</v>
      </c>
      <c r="AD187" s="58">
        <v>0.37430555555555556</v>
      </c>
      <c r="AE187" s="58">
        <v>0.14583333333333334</v>
      </c>
      <c r="AF187" s="58">
        <v>0.37430555555555556</v>
      </c>
      <c r="AG187" s="33" t="s">
        <v>1427</v>
      </c>
      <c r="AH187" s="33">
        <v>2</v>
      </c>
      <c r="AI187" s="43">
        <v>46147.509722222225</v>
      </c>
      <c r="AJ187" s="33" t="s">
        <v>793</v>
      </c>
      <c r="AK187" s="42">
        <v>1210154.3999999999</v>
      </c>
      <c r="AL187" s="33" t="s">
        <v>1428</v>
      </c>
    </row>
    <row r="188" spans="1:38">
      <c r="A188" s="33">
        <v>6003193</v>
      </c>
      <c r="B188" s="33"/>
      <c r="C188" s="33" t="s">
        <v>789</v>
      </c>
      <c r="D188" s="33" t="s">
        <v>1429</v>
      </c>
      <c r="E188" s="33" t="s">
        <v>1430</v>
      </c>
      <c r="F188" s="43">
        <v>46147.25</v>
      </c>
      <c r="G188" s="33" t="s">
        <v>792</v>
      </c>
      <c r="H188" s="33"/>
      <c r="I188" s="33" t="s">
        <v>793</v>
      </c>
      <c r="J188" s="33" t="s">
        <v>958</v>
      </c>
      <c r="K188" s="33" t="s">
        <v>873</v>
      </c>
      <c r="L188" s="33" t="s">
        <v>1236</v>
      </c>
      <c r="M188" s="43">
        <v>46147.552187499998</v>
      </c>
      <c r="N188" s="33" t="s">
        <v>1431</v>
      </c>
      <c r="O188" s="33" t="s">
        <v>797</v>
      </c>
      <c r="P188" s="33" t="s">
        <v>861</v>
      </c>
      <c r="Q188" s="43">
        <v>46147.347916666666</v>
      </c>
      <c r="R188" s="43">
        <v>46147.347916666666</v>
      </c>
      <c r="S188" s="33"/>
      <c r="T188" s="33" t="s">
        <v>140</v>
      </c>
      <c r="U188" s="43">
        <v>46147.536805555559</v>
      </c>
      <c r="V188" s="58">
        <v>1.5277777777777777E-2</v>
      </c>
      <c r="W188" s="33" t="s">
        <v>140</v>
      </c>
      <c r="X188" s="43">
        <v>46147.536805555559</v>
      </c>
      <c r="Y188" s="58">
        <v>1.5277777777777777E-2</v>
      </c>
      <c r="Z188" s="33" t="s">
        <v>140</v>
      </c>
      <c r="AA188" s="43">
        <v>46147.583333333336</v>
      </c>
      <c r="AB188" s="33" t="s">
        <v>1432</v>
      </c>
      <c r="AC188" s="33" t="s">
        <v>1404</v>
      </c>
      <c r="AD188" s="58">
        <v>0.70486111111111116</v>
      </c>
      <c r="AE188" s="58">
        <v>0.20416666666666666</v>
      </c>
      <c r="AF188" s="58">
        <v>0.70486111111111116</v>
      </c>
      <c r="AG188" s="33" t="s">
        <v>1433</v>
      </c>
      <c r="AH188" s="33">
        <v>2</v>
      </c>
      <c r="AI188" s="43">
        <v>46147.536805555559</v>
      </c>
      <c r="AJ188" s="33" t="s">
        <v>793</v>
      </c>
      <c r="AK188" s="42">
        <v>855386.4</v>
      </c>
      <c r="AL188" s="33" t="s">
        <v>1434</v>
      </c>
    </row>
    <row r="189" spans="1:38">
      <c r="A189" s="33">
        <v>6003164</v>
      </c>
      <c r="B189" s="33"/>
      <c r="C189" s="33" t="s">
        <v>789</v>
      </c>
      <c r="D189" s="33" t="s">
        <v>1435</v>
      </c>
      <c r="E189" s="33" t="s">
        <v>1436</v>
      </c>
      <c r="F189" s="43">
        <v>46147.375</v>
      </c>
      <c r="G189" s="33" t="s">
        <v>792</v>
      </c>
      <c r="H189" s="33"/>
      <c r="I189" s="33" t="s">
        <v>793</v>
      </c>
      <c r="J189" s="33" t="s">
        <v>958</v>
      </c>
      <c r="K189" s="33" t="s">
        <v>75</v>
      </c>
      <c r="L189" s="33" t="s">
        <v>1236</v>
      </c>
      <c r="M189" s="43">
        <v>46147.551539351851</v>
      </c>
      <c r="N189" s="33" t="s">
        <v>1095</v>
      </c>
      <c r="O189" s="33" t="s">
        <v>797</v>
      </c>
      <c r="P189" s="33" t="s">
        <v>861</v>
      </c>
      <c r="Q189" s="43">
        <v>46147.365972222222</v>
      </c>
      <c r="R189" s="43">
        <v>46147.392361111109</v>
      </c>
      <c r="S189" s="58">
        <v>2.6388888888888889E-2</v>
      </c>
      <c r="T189" s="33" t="s">
        <v>140</v>
      </c>
      <c r="U189" s="43">
        <v>46147.54583333333</v>
      </c>
      <c r="V189" s="58">
        <v>5.5555555555555558E-3</v>
      </c>
      <c r="W189" s="33" t="s">
        <v>140</v>
      </c>
      <c r="X189" s="43">
        <v>46147.54583333333</v>
      </c>
      <c r="Y189" s="58">
        <v>5.5555555555555558E-3</v>
      </c>
      <c r="Z189" s="33" t="s">
        <v>140</v>
      </c>
      <c r="AA189" s="43">
        <v>46147.583333333336</v>
      </c>
      <c r="AB189" s="33" t="s">
        <v>1052</v>
      </c>
      <c r="AC189" s="33" t="s">
        <v>1404</v>
      </c>
      <c r="AD189" s="58">
        <v>0.70347222222222228</v>
      </c>
      <c r="AE189" s="58">
        <v>0.15833333333333333</v>
      </c>
      <c r="AF189" s="58">
        <v>0.70347222222222228</v>
      </c>
      <c r="AG189" s="33" t="s">
        <v>1437</v>
      </c>
      <c r="AH189" s="33">
        <v>2</v>
      </c>
      <c r="AI189" s="43">
        <v>46147.54583333333</v>
      </c>
      <c r="AJ189" s="33" t="s">
        <v>793</v>
      </c>
      <c r="AK189" s="42">
        <v>855386.4</v>
      </c>
      <c r="AL189" s="33" t="s">
        <v>1438</v>
      </c>
    </row>
    <row r="190" spans="1:38">
      <c r="A190" s="33">
        <v>6005022</v>
      </c>
      <c r="B190" s="33"/>
      <c r="C190" s="33" t="s">
        <v>789</v>
      </c>
      <c r="D190" s="33" t="s">
        <v>1439</v>
      </c>
      <c r="E190" s="33" t="s">
        <v>1440</v>
      </c>
      <c r="F190" s="43">
        <v>46147.25</v>
      </c>
      <c r="G190" s="33" t="s">
        <v>792</v>
      </c>
      <c r="H190" s="33"/>
      <c r="I190" s="33" t="s">
        <v>793</v>
      </c>
      <c r="J190" s="33" t="s">
        <v>958</v>
      </c>
      <c r="K190" s="33" t="s">
        <v>75</v>
      </c>
      <c r="L190" s="33" t="s">
        <v>1087</v>
      </c>
      <c r="M190" s="43">
        <v>46147.39912037037</v>
      </c>
      <c r="N190" s="33" t="s">
        <v>1441</v>
      </c>
      <c r="O190" s="33" t="s">
        <v>797</v>
      </c>
      <c r="P190" s="33" t="s">
        <v>861</v>
      </c>
      <c r="Q190" s="43">
        <v>46147.252083333333</v>
      </c>
      <c r="R190" s="43">
        <v>46147.281944444447</v>
      </c>
      <c r="S190" s="58">
        <v>2.9861111111111113E-2</v>
      </c>
      <c r="T190" s="33" t="s">
        <v>140</v>
      </c>
      <c r="U190" s="43">
        <v>46147.37777777778</v>
      </c>
      <c r="V190" s="58">
        <v>2.0833333333333332E-2</v>
      </c>
      <c r="W190" s="33" t="s">
        <v>140</v>
      </c>
      <c r="X190" s="43">
        <v>46147.37777777778</v>
      </c>
      <c r="Y190" s="58">
        <v>2.0833333333333332E-2</v>
      </c>
      <c r="Z190" s="33" t="s">
        <v>140</v>
      </c>
      <c r="AA190" s="43">
        <v>46147.583333333336</v>
      </c>
      <c r="AB190" s="33" t="s">
        <v>1442</v>
      </c>
      <c r="AC190" s="33" t="s">
        <v>1404</v>
      </c>
      <c r="AD190" s="58">
        <v>0.55000000000000004</v>
      </c>
      <c r="AE190" s="58">
        <v>0.11944444444444445</v>
      </c>
      <c r="AF190" s="58">
        <v>0.55000000000000004</v>
      </c>
      <c r="AG190" s="33" t="s">
        <v>1443</v>
      </c>
      <c r="AH190" s="33">
        <v>2</v>
      </c>
      <c r="AI190" s="43">
        <v>46147.37777777778</v>
      </c>
      <c r="AJ190" s="33" t="s">
        <v>793</v>
      </c>
      <c r="AK190" s="42">
        <v>980553.68</v>
      </c>
      <c r="AL190" s="33" t="s">
        <v>1444</v>
      </c>
    </row>
    <row r="191" spans="1:38">
      <c r="A191" s="33">
        <v>6004004</v>
      </c>
      <c r="B191" s="33"/>
      <c r="C191" s="33" t="s">
        <v>789</v>
      </c>
      <c r="D191" s="33" t="s">
        <v>863</v>
      </c>
      <c r="E191" s="33" t="s">
        <v>1445</v>
      </c>
      <c r="F191" s="43">
        <v>46147.25</v>
      </c>
      <c r="G191" s="33" t="s">
        <v>792</v>
      </c>
      <c r="H191" s="33"/>
      <c r="I191" s="33" t="s">
        <v>793</v>
      </c>
      <c r="J191" s="33" t="s">
        <v>958</v>
      </c>
      <c r="K191" s="33" t="s">
        <v>75</v>
      </c>
      <c r="L191" s="33" t="s">
        <v>795</v>
      </c>
      <c r="M191" s="43">
        <v>46147.555891203701</v>
      </c>
      <c r="N191" s="33" t="s">
        <v>867</v>
      </c>
      <c r="O191" s="33" t="s">
        <v>797</v>
      </c>
      <c r="P191" s="33" t="s">
        <v>861</v>
      </c>
      <c r="Q191" s="33"/>
      <c r="R191" s="33"/>
      <c r="S191" s="33"/>
      <c r="T191" s="33" t="s">
        <v>140</v>
      </c>
      <c r="U191" s="33"/>
      <c r="V191" s="33"/>
      <c r="W191" s="33"/>
      <c r="X191" s="33"/>
      <c r="Y191" s="33"/>
      <c r="Z191" s="33" t="s">
        <v>140</v>
      </c>
      <c r="AA191" s="43">
        <v>46147.583333333336</v>
      </c>
      <c r="AB191" s="33" t="s">
        <v>1446</v>
      </c>
      <c r="AC191" s="33" t="s">
        <v>1404</v>
      </c>
      <c r="AD191" s="58">
        <v>2.9861111111111113E-2</v>
      </c>
      <c r="AE191" s="33"/>
      <c r="AF191" s="58">
        <v>2.9861111111111113E-2</v>
      </c>
      <c r="AG191" s="33" t="s">
        <v>869</v>
      </c>
      <c r="AH191" s="33">
        <v>0</v>
      </c>
      <c r="AI191" s="43">
        <v>46149.326388888891</v>
      </c>
      <c r="AJ191" s="33" t="s">
        <v>793</v>
      </c>
      <c r="AK191" s="42">
        <v>391237.55</v>
      </c>
      <c r="AL191" s="33" t="s">
        <v>870</v>
      </c>
    </row>
    <row r="192" spans="1:38">
      <c r="A192" s="33">
        <v>5996289</v>
      </c>
      <c r="B192" s="33"/>
      <c r="C192" s="33" t="s">
        <v>789</v>
      </c>
      <c r="D192" s="33" t="s">
        <v>790</v>
      </c>
      <c r="E192" s="33" t="s">
        <v>1447</v>
      </c>
      <c r="F192" s="43">
        <v>46147.375</v>
      </c>
      <c r="G192" s="33" t="s">
        <v>792</v>
      </c>
      <c r="H192" s="33"/>
      <c r="I192" s="33" t="s">
        <v>793</v>
      </c>
      <c r="J192" s="33" t="s">
        <v>811</v>
      </c>
      <c r="K192" s="33" t="s">
        <v>75</v>
      </c>
      <c r="L192" s="33" t="s">
        <v>812</v>
      </c>
      <c r="M192" s="43">
        <v>46147.58315972222</v>
      </c>
      <c r="N192" s="33" t="s">
        <v>796</v>
      </c>
      <c r="O192" s="33" t="s">
        <v>797</v>
      </c>
      <c r="P192" s="33" t="s">
        <v>798</v>
      </c>
      <c r="Q192" s="43">
        <v>46147.395138888889</v>
      </c>
      <c r="R192" s="43">
        <v>46147.428472222222</v>
      </c>
      <c r="S192" s="58">
        <v>3.3333333333333333E-2</v>
      </c>
      <c r="T192" s="33" t="s">
        <v>799</v>
      </c>
      <c r="U192" s="43">
        <v>46147.554166666669</v>
      </c>
      <c r="V192" s="58">
        <v>2.9166666666666667E-2</v>
      </c>
      <c r="W192" s="33" t="s">
        <v>799</v>
      </c>
      <c r="X192" s="43">
        <v>46147.554166666669</v>
      </c>
      <c r="Y192" s="58">
        <v>2.9166666666666667E-2</v>
      </c>
      <c r="Z192" s="33" t="s">
        <v>799</v>
      </c>
      <c r="AA192" s="43">
        <v>46147.625</v>
      </c>
      <c r="AB192" s="33" t="s">
        <v>81</v>
      </c>
      <c r="AC192" s="33" t="s">
        <v>814</v>
      </c>
      <c r="AD192" s="58">
        <v>0.73333333333333328</v>
      </c>
      <c r="AE192" s="58">
        <v>0.15694444444444444</v>
      </c>
      <c r="AF192" s="58">
        <v>0.73333333333333328</v>
      </c>
      <c r="AG192" s="33" t="s">
        <v>801</v>
      </c>
      <c r="AH192" s="33">
        <v>2</v>
      </c>
      <c r="AI192" s="43">
        <v>46147.554166666669</v>
      </c>
      <c r="AJ192" s="33" t="s">
        <v>793</v>
      </c>
      <c r="AK192" s="42">
        <v>602818.19999999995</v>
      </c>
      <c r="AL192" s="33" t="s">
        <v>802</v>
      </c>
    </row>
    <row r="193" spans="1:38">
      <c r="A193" s="33">
        <v>6004042</v>
      </c>
      <c r="B193" s="33"/>
      <c r="C193" s="33" t="s">
        <v>789</v>
      </c>
      <c r="D193" s="33" t="s">
        <v>1448</v>
      </c>
      <c r="E193" s="33" t="s">
        <v>1449</v>
      </c>
      <c r="F193" s="43">
        <v>46147</v>
      </c>
      <c r="G193" s="33" t="s">
        <v>792</v>
      </c>
      <c r="H193" s="33"/>
      <c r="I193" s="33" t="s">
        <v>793</v>
      </c>
      <c r="J193" s="33" t="s">
        <v>1450</v>
      </c>
      <c r="K193" s="33" t="s">
        <v>75</v>
      </c>
      <c r="L193" s="33" t="s">
        <v>1451</v>
      </c>
      <c r="M193" s="43">
        <v>46147.379351851851</v>
      </c>
      <c r="N193" s="33" t="s">
        <v>1452</v>
      </c>
      <c r="O193" s="33" t="s">
        <v>797</v>
      </c>
      <c r="P193" s="33" t="s">
        <v>1453</v>
      </c>
      <c r="Q193" s="33"/>
      <c r="R193" s="33"/>
      <c r="S193" s="33"/>
      <c r="T193" s="33" t="s">
        <v>1454</v>
      </c>
      <c r="U193" s="33"/>
      <c r="V193" s="33"/>
      <c r="W193" s="33" t="s">
        <v>1455</v>
      </c>
      <c r="X193" s="43">
        <v>46147.24722222222</v>
      </c>
      <c r="Y193" s="58">
        <v>0.13125000000000001</v>
      </c>
      <c r="Z193" s="33" t="s">
        <v>1454</v>
      </c>
      <c r="AA193" s="43">
        <v>46148.583333333336</v>
      </c>
      <c r="AB193" s="33" t="s">
        <v>81</v>
      </c>
      <c r="AC193" s="33" t="s">
        <v>1456</v>
      </c>
      <c r="AD193" s="58">
        <v>0.3215277777777778</v>
      </c>
      <c r="AE193" s="33"/>
      <c r="AF193" s="58">
        <v>0.3215277777777778</v>
      </c>
      <c r="AG193" s="33" t="s">
        <v>1457</v>
      </c>
      <c r="AH193" s="33">
        <v>2</v>
      </c>
      <c r="AI193" s="43">
        <v>46147.379166666666</v>
      </c>
      <c r="AJ193" s="33" t="s">
        <v>793</v>
      </c>
      <c r="AK193" s="42">
        <v>987654.86</v>
      </c>
      <c r="AL193" s="33" t="s">
        <v>1458</v>
      </c>
    </row>
    <row r="194" spans="1:38">
      <c r="A194" s="33">
        <v>6001537</v>
      </c>
      <c r="B194" s="33"/>
      <c r="C194" s="33" t="s">
        <v>789</v>
      </c>
      <c r="D194" s="33" t="s">
        <v>1032</v>
      </c>
      <c r="E194" s="33" t="s">
        <v>1459</v>
      </c>
      <c r="F194" s="43">
        <v>46146.958333333336</v>
      </c>
      <c r="G194" s="33" t="s">
        <v>792</v>
      </c>
      <c r="H194" s="33"/>
      <c r="I194" s="33" t="s">
        <v>793</v>
      </c>
      <c r="J194" s="33" t="s">
        <v>1312</v>
      </c>
      <c r="K194" s="33" t="s">
        <v>1118</v>
      </c>
      <c r="L194" s="33" t="s">
        <v>1460</v>
      </c>
      <c r="M194" s="43">
        <v>46146.952824074076</v>
      </c>
      <c r="N194" s="33" t="s">
        <v>1036</v>
      </c>
      <c r="O194" s="33" t="s">
        <v>797</v>
      </c>
      <c r="P194" s="33" t="s">
        <v>799</v>
      </c>
      <c r="Q194" s="33"/>
      <c r="R194" s="33"/>
      <c r="S194" s="33"/>
      <c r="T194" s="33" t="s">
        <v>140</v>
      </c>
      <c r="U194" s="43">
        <v>46146.944444444445</v>
      </c>
      <c r="V194" s="58">
        <v>7.6388888888888886E-3</v>
      </c>
      <c r="W194" s="33" t="s">
        <v>140</v>
      </c>
      <c r="X194" s="43">
        <v>46146.944444444445</v>
      </c>
      <c r="Y194" s="58">
        <v>7.6388888888888886E-3</v>
      </c>
      <c r="Z194" s="33" t="s">
        <v>140</v>
      </c>
      <c r="AA194" s="43">
        <v>46147</v>
      </c>
      <c r="AB194" s="33" t="s">
        <v>81</v>
      </c>
      <c r="AC194" s="33" t="s">
        <v>1314</v>
      </c>
      <c r="AD194" s="58">
        <v>1.7361111111111112E-2</v>
      </c>
      <c r="AE194" s="33"/>
      <c r="AF194" s="58">
        <v>1.7361111111111112E-2</v>
      </c>
      <c r="AG194" s="33" t="s">
        <v>1038</v>
      </c>
      <c r="AH194" s="33">
        <v>1</v>
      </c>
      <c r="AI194" s="43">
        <v>46146.944444444445</v>
      </c>
      <c r="AJ194" s="33" t="s">
        <v>793</v>
      </c>
      <c r="AK194" s="42">
        <v>596634.30000000005</v>
      </c>
      <c r="AL194" s="33" t="s">
        <v>1039</v>
      </c>
    </row>
    <row r="195" spans="1:38">
      <c r="A195" s="33">
        <v>6002581</v>
      </c>
      <c r="B195" s="33"/>
      <c r="C195" s="33" t="s">
        <v>789</v>
      </c>
      <c r="D195" s="33" t="s">
        <v>1461</v>
      </c>
      <c r="E195" s="33" t="s">
        <v>1462</v>
      </c>
      <c r="F195" s="43">
        <v>46146.895833333336</v>
      </c>
      <c r="G195" s="33" t="s">
        <v>792</v>
      </c>
      <c r="H195" s="33"/>
      <c r="I195" s="33" t="s">
        <v>793</v>
      </c>
      <c r="J195" s="33" t="s">
        <v>1147</v>
      </c>
      <c r="K195" s="33" t="s">
        <v>75</v>
      </c>
      <c r="L195" s="33" t="s">
        <v>1264</v>
      </c>
      <c r="M195" s="43">
        <v>46146.951655092591</v>
      </c>
      <c r="N195" s="33" t="s">
        <v>1463</v>
      </c>
      <c r="O195" s="33" t="s">
        <v>797</v>
      </c>
      <c r="P195" s="33" t="s">
        <v>799</v>
      </c>
      <c r="Q195" s="43">
        <v>46146.902777777781</v>
      </c>
      <c r="R195" s="43">
        <v>46146.916666666664</v>
      </c>
      <c r="S195" s="58">
        <v>1.3888888888888888E-2</v>
      </c>
      <c r="T195" s="33" t="s">
        <v>140</v>
      </c>
      <c r="U195" s="43">
        <v>46146.943055555559</v>
      </c>
      <c r="V195" s="58">
        <v>9.0277777777777769E-3</v>
      </c>
      <c r="W195" s="33" t="s">
        <v>140</v>
      </c>
      <c r="X195" s="43">
        <v>46146.943055555559</v>
      </c>
      <c r="Y195" s="58">
        <v>9.0277777777777769E-3</v>
      </c>
      <c r="Z195" s="33" t="s">
        <v>140</v>
      </c>
      <c r="AA195" s="43">
        <v>46146.916666666664</v>
      </c>
      <c r="AB195" s="33" t="s">
        <v>81</v>
      </c>
      <c r="AC195" s="33" t="s">
        <v>1149</v>
      </c>
      <c r="AD195" s="58">
        <v>5.0694444444444445E-2</v>
      </c>
      <c r="AE195" s="58">
        <v>3.4722222222222224E-2</v>
      </c>
      <c r="AF195" s="58">
        <v>5.0694444444444445E-2</v>
      </c>
      <c r="AG195" s="33" t="s">
        <v>1464</v>
      </c>
      <c r="AH195" s="33">
        <v>2</v>
      </c>
      <c r="AI195" s="43">
        <v>46146.943055555559</v>
      </c>
      <c r="AJ195" s="33" t="s">
        <v>793</v>
      </c>
      <c r="AK195" s="42">
        <v>1022118.71</v>
      </c>
      <c r="AL195" s="33" t="s">
        <v>1465</v>
      </c>
    </row>
    <row r="196" spans="1:38">
      <c r="A196" s="33">
        <v>6002517</v>
      </c>
      <c r="B196" s="33"/>
      <c r="C196" s="33" t="s">
        <v>789</v>
      </c>
      <c r="D196" s="33" t="s">
        <v>1466</v>
      </c>
      <c r="E196" s="33" t="s">
        <v>1467</v>
      </c>
      <c r="F196" s="43">
        <v>46146.916666666664</v>
      </c>
      <c r="G196" s="33" t="s">
        <v>792</v>
      </c>
      <c r="H196" s="33"/>
      <c r="I196" s="33" t="s">
        <v>793</v>
      </c>
      <c r="J196" s="33" t="s">
        <v>1042</v>
      </c>
      <c r="K196" s="33" t="s">
        <v>75</v>
      </c>
      <c r="L196" s="33" t="s">
        <v>1112</v>
      </c>
      <c r="M196" s="43">
        <v>46147.036712962959</v>
      </c>
      <c r="N196" s="33" t="s">
        <v>1468</v>
      </c>
      <c r="O196" s="33" t="s">
        <v>797</v>
      </c>
      <c r="P196" s="33" t="s">
        <v>799</v>
      </c>
      <c r="Q196" s="43">
        <v>46146.896527777775</v>
      </c>
      <c r="R196" s="43">
        <v>46146.92083333333</v>
      </c>
      <c r="S196" s="58">
        <v>2.4305555555555556E-2</v>
      </c>
      <c r="T196" s="33" t="s">
        <v>140</v>
      </c>
      <c r="U196" s="43">
        <v>46147.029166666667</v>
      </c>
      <c r="V196" s="58">
        <v>4.1666666666666666E-3</v>
      </c>
      <c r="W196" s="33" t="s">
        <v>140</v>
      </c>
      <c r="X196" s="43">
        <v>46147.029166666667</v>
      </c>
      <c r="Y196" s="58">
        <v>4.1666666666666666E-3</v>
      </c>
      <c r="Z196" s="33" t="s">
        <v>140</v>
      </c>
      <c r="AA196" s="43">
        <v>46147</v>
      </c>
      <c r="AB196" s="33" t="s">
        <v>81</v>
      </c>
      <c r="AC196" s="33" t="s">
        <v>1044</v>
      </c>
      <c r="AD196" s="58">
        <v>0.13958333333333334</v>
      </c>
      <c r="AE196" s="58">
        <v>0.11527777777777778</v>
      </c>
      <c r="AF196" s="58">
        <v>0.13958333333333334</v>
      </c>
      <c r="AG196" s="33" t="s">
        <v>1469</v>
      </c>
      <c r="AH196" s="33">
        <v>2</v>
      </c>
      <c r="AI196" s="43">
        <v>46147.029166666667</v>
      </c>
      <c r="AJ196" s="33" t="s">
        <v>793</v>
      </c>
      <c r="AK196" s="42">
        <v>848873.48</v>
      </c>
      <c r="AL196" s="33" t="s">
        <v>1470</v>
      </c>
    </row>
    <row r="197" spans="1:38">
      <c r="A197" s="33">
        <v>5996481</v>
      </c>
      <c r="B197" s="33"/>
      <c r="C197" s="33" t="s">
        <v>789</v>
      </c>
      <c r="D197" s="33" t="s">
        <v>817</v>
      </c>
      <c r="E197" s="33" t="s">
        <v>1471</v>
      </c>
      <c r="F197" s="43">
        <v>46146.958333333336</v>
      </c>
      <c r="G197" s="33" t="s">
        <v>792</v>
      </c>
      <c r="H197" s="33"/>
      <c r="I197" s="33" t="s">
        <v>793</v>
      </c>
      <c r="J197" s="33" t="s">
        <v>1009</v>
      </c>
      <c r="K197" s="33" t="s">
        <v>75</v>
      </c>
      <c r="L197" s="33" t="s">
        <v>1472</v>
      </c>
      <c r="M197" s="43">
        <v>46147.063067129631</v>
      </c>
      <c r="N197" s="33" t="s">
        <v>822</v>
      </c>
      <c r="O197" s="33" t="s">
        <v>797</v>
      </c>
      <c r="P197" s="33" t="s">
        <v>861</v>
      </c>
      <c r="Q197" s="43">
        <v>46146.935416666667</v>
      </c>
      <c r="R197" s="43">
        <v>46146.945833333331</v>
      </c>
      <c r="S197" s="58">
        <v>1.0416666666666666E-2</v>
      </c>
      <c r="T197" s="33" t="s">
        <v>799</v>
      </c>
      <c r="U197" s="43">
        <v>46147.046527777777</v>
      </c>
      <c r="V197" s="58">
        <v>1.8055555555555554E-2</v>
      </c>
      <c r="W197" s="33"/>
      <c r="X197" s="33"/>
      <c r="Y197" s="33"/>
      <c r="Z197" s="33" t="s">
        <v>799</v>
      </c>
      <c r="AA197" s="43">
        <v>46147.958333333336</v>
      </c>
      <c r="AB197" s="33" t="s">
        <v>81</v>
      </c>
      <c r="AC197" s="33" t="s">
        <v>81</v>
      </c>
      <c r="AD197" s="58">
        <v>0.12847222222222221</v>
      </c>
      <c r="AE197" s="33"/>
      <c r="AF197" s="58">
        <v>0.12638888888888888</v>
      </c>
      <c r="AG197" s="33" t="s">
        <v>825</v>
      </c>
      <c r="AH197" s="33">
        <v>2</v>
      </c>
      <c r="AI197" s="43">
        <v>46147.046527777777</v>
      </c>
      <c r="AJ197" s="33" t="s">
        <v>793</v>
      </c>
      <c r="AK197" s="42">
        <v>526037.44999999995</v>
      </c>
      <c r="AL197" s="33" t="s">
        <v>826</v>
      </c>
    </row>
    <row r="198" spans="1:38">
      <c r="A198" s="33">
        <v>6004432</v>
      </c>
      <c r="B198" s="33"/>
      <c r="C198" s="33" t="s">
        <v>789</v>
      </c>
      <c r="D198" s="33" t="s">
        <v>1473</v>
      </c>
      <c r="E198" s="33" t="s">
        <v>1474</v>
      </c>
      <c r="F198" s="43">
        <v>46147.125</v>
      </c>
      <c r="G198" s="33" t="s">
        <v>792</v>
      </c>
      <c r="H198" s="33"/>
      <c r="I198" s="33" t="s">
        <v>793</v>
      </c>
      <c r="J198" s="33" t="s">
        <v>1450</v>
      </c>
      <c r="K198" s="33" t="s">
        <v>75</v>
      </c>
      <c r="L198" s="33" t="s">
        <v>1475</v>
      </c>
      <c r="M198" s="43">
        <v>46147.490624999999</v>
      </c>
      <c r="N198" s="33" t="s">
        <v>1476</v>
      </c>
      <c r="O198" s="33" t="s">
        <v>797</v>
      </c>
      <c r="P198" s="33" t="s">
        <v>1453</v>
      </c>
      <c r="Q198" s="43">
        <v>46147.118750000001</v>
      </c>
      <c r="R198" s="43">
        <v>46147.350694444445</v>
      </c>
      <c r="S198" s="58">
        <v>0.23194444444444445</v>
      </c>
      <c r="T198" s="33" t="s">
        <v>1455</v>
      </c>
      <c r="U198" s="43">
        <v>46147.490277777775</v>
      </c>
      <c r="V198" s="58">
        <v>1.5972222222222221E-2</v>
      </c>
      <c r="W198" s="33" t="s">
        <v>1454</v>
      </c>
      <c r="X198" s="43">
        <v>46147.418749999997</v>
      </c>
      <c r="Y198" s="58">
        <v>8.7499999999999994E-2</v>
      </c>
      <c r="Z198" s="33" t="s">
        <v>1455</v>
      </c>
      <c r="AA198" s="43">
        <v>46147.490277777775</v>
      </c>
      <c r="AB198" s="33" t="s">
        <v>81</v>
      </c>
      <c r="AC198" s="33" t="s">
        <v>1456</v>
      </c>
      <c r="AD198" s="58">
        <v>0.53125</v>
      </c>
      <c r="AE198" s="58">
        <v>9.7916666666666666E-2</v>
      </c>
      <c r="AF198" s="58">
        <v>0.53125</v>
      </c>
      <c r="AG198" s="33" t="s">
        <v>1477</v>
      </c>
      <c r="AH198" s="33">
        <v>3</v>
      </c>
      <c r="AI198" s="33"/>
      <c r="AJ198" s="33" t="s">
        <v>793</v>
      </c>
      <c r="AK198" s="42">
        <v>987654.85</v>
      </c>
      <c r="AL198" s="33" t="s">
        <v>1478</v>
      </c>
    </row>
    <row r="199" spans="1:38">
      <c r="A199" s="33">
        <v>6004010</v>
      </c>
      <c r="B199" s="33"/>
      <c r="C199" s="33" t="s">
        <v>789</v>
      </c>
      <c r="D199" s="33" t="s">
        <v>1479</v>
      </c>
      <c r="E199" s="33" t="s">
        <v>1480</v>
      </c>
      <c r="F199" s="43">
        <v>46147</v>
      </c>
      <c r="G199" s="33" t="s">
        <v>792</v>
      </c>
      <c r="H199" s="33"/>
      <c r="I199" s="33" t="s">
        <v>793</v>
      </c>
      <c r="J199" s="33" t="s">
        <v>1450</v>
      </c>
      <c r="K199" s="33" t="s">
        <v>1481</v>
      </c>
      <c r="L199" s="33" t="s">
        <v>1482</v>
      </c>
      <c r="M199" s="43">
        <v>46147.368611111109</v>
      </c>
      <c r="N199" s="33" t="s">
        <v>1483</v>
      </c>
      <c r="O199" s="33" t="s">
        <v>797</v>
      </c>
      <c r="P199" s="33" t="s">
        <v>1453</v>
      </c>
      <c r="Q199" s="43">
        <v>46146.995138888888</v>
      </c>
      <c r="R199" s="43">
        <v>46147.046527777777</v>
      </c>
      <c r="S199" s="58">
        <v>5.1388888888888887E-2</v>
      </c>
      <c r="T199" s="33" t="s">
        <v>1454</v>
      </c>
      <c r="U199" s="33"/>
      <c r="V199" s="33"/>
      <c r="W199" s="33"/>
      <c r="X199" s="33"/>
      <c r="Y199" s="33"/>
      <c r="Z199" s="33" t="s">
        <v>1454</v>
      </c>
      <c r="AA199" s="43">
        <v>46148.583333333336</v>
      </c>
      <c r="AB199" s="33" t="s">
        <v>1484</v>
      </c>
      <c r="AC199" s="33" t="s">
        <v>1456</v>
      </c>
      <c r="AD199" s="58">
        <v>0.39374999999999999</v>
      </c>
      <c r="AE199" s="33"/>
      <c r="AF199" s="58">
        <v>0.39374999999999999</v>
      </c>
      <c r="AG199" s="33" t="s">
        <v>1485</v>
      </c>
      <c r="AH199" s="33">
        <v>3</v>
      </c>
      <c r="AI199" s="43">
        <v>46147.370833333334</v>
      </c>
      <c r="AJ199" s="33" t="s">
        <v>793</v>
      </c>
      <c r="AK199" s="42">
        <v>1108596.8600000001</v>
      </c>
      <c r="AL199" s="33" t="s">
        <v>1486</v>
      </c>
    </row>
    <row r="200" spans="1:38">
      <c r="A200" s="33">
        <v>6009915</v>
      </c>
      <c r="B200" s="33"/>
      <c r="C200" s="33" t="s">
        <v>789</v>
      </c>
      <c r="D200" s="33" t="s">
        <v>1487</v>
      </c>
      <c r="E200" s="33" t="s">
        <v>1488</v>
      </c>
      <c r="F200" s="43">
        <v>46146.989583333336</v>
      </c>
      <c r="G200" s="33" t="s">
        <v>227</v>
      </c>
      <c r="H200" s="33"/>
      <c r="I200" s="33" t="s">
        <v>73</v>
      </c>
      <c r="J200" s="33" t="s">
        <v>1489</v>
      </c>
      <c r="K200" s="33" t="s">
        <v>1490</v>
      </c>
      <c r="L200" s="33" t="s">
        <v>1491</v>
      </c>
      <c r="M200" s="43">
        <v>46147.054305555554</v>
      </c>
      <c r="N200" s="33" t="s">
        <v>1492</v>
      </c>
      <c r="O200" s="33" t="s">
        <v>797</v>
      </c>
      <c r="P200" s="33" t="s">
        <v>79</v>
      </c>
      <c r="Q200" s="43">
        <v>46146.984722222223</v>
      </c>
      <c r="R200" s="43">
        <v>46146.988888888889</v>
      </c>
      <c r="S200" s="58">
        <v>4.1666666666666666E-3</v>
      </c>
      <c r="T200" s="33" t="s">
        <v>1493</v>
      </c>
      <c r="U200" s="33"/>
      <c r="V200" s="33"/>
      <c r="W200" s="33"/>
      <c r="X200" s="33"/>
      <c r="Y200" s="33"/>
      <c r="Z200" s="33" t="s">
        <v>984</v>
      </c>
      <c r="AA200" s="43">
        <v>46149.791666666664</v>
      </c>
      <c r="AB200" s="33" t="s">
        <v>1494</v>
      </c>
      <c r="AC200" s="33" t="s">
        <v>1495</v>
      </c>
      <c r="AD200" s="58">
        <v>6.8750000000000006E-2</v>
      </c>
      <c r="AE200" s="33"/>
      <c r="AF200" s="58">
        <v>6.8750000000000006E-2</v>
      </c>
      <c r="AG200" s="33" t="s">
        <v>1496</v>
      </c>
      <c r="AH200" s="33">
        <v>3</v>
      </c>
      <c r="AI200" s="43">
        <v>46147.084027777775</v>
      </c>
      <c r="AJ200" s="33" t="s">
        <v>73</v>
      </c>
      <c r="AK200" s="42">
        <v>384579.38</v>
      </c>
      <c r="AL200" s="33" t="s">
        <v>1497</v>
      </c>
    </row>
    <row r="201" spans="1:38">
      <c r="A201" s="33">
        <v>6002503</v>
      </c>
      <c r="B201" s="33"/>
      <c r="C201" s="33" t="s">
        <v>789</v>
      </c>
      <c r="D201" s="33" t="s">
        <v>1032</v>
      </c>
      <c r="E201" s="33" t="s">
        <v>1498</v>
      </c>
      <c r="F201" s="43">
        <v>46147.125</v>
      </c>
      <c r="G201" s="33" t="s">
        <v>792</v>
      </c>
      <c r="H201" s="33"/>
      <c r="I201" s="33" t="s">
        <v>793</v>
      </c>
      <c r="J201" s="33" t="s">
        <v>1147</v>
      </c>
      <c r="K201" s="33" t="s">
        <v>75</v>
      </c>
      <c r="L201" s="33" t="s">
        <v>1189</v>
      </c>
      <c r="M201" s="43">
        <v>46147.185069444444</v>
      </c>
      <c r="N201" s="33" t="s">
        <v>1036</v>
      </c>
      <c r="O201" s="33" t="s">
        <v>797</v>
      </c>
      <c r="P201" s="33" t="s">
        <v>799</v>
      </c>
      <c r="Q201" s="33"/>
      <c r="R201" s="33"/>
      <c r="S201" s="33"/>
      <c r="T201" s="33" t="s">
        <v>140</v>
      </c>
      <c r="U201" s="43">
        <v>46147.055555555555</v>
      </c>
      <c r="V201" s="58">
        <v>2.013888888888889E-2</v>
      </c>
      <c r="W201" s="33"/>
      <c r="X201" s="33"/>
      <c r="Y201" s="33"/>
      <c r="Z201" s="33" t="s">
        <v>140</v>
      </c>
      <c r="AA201" s="43">
        <v>46147.166666666664</v>
      </c>
      <c r="AB201" s="33" t="s">
        <v>81</v>
      </c>
      <c r="AC201" s="33" t="s">
        <v>1149</v>
      </c>
      <c r="AD201" s="58">
        <v>0.12777777777777777</v>
      </c>
      <c r="AE201" s="33"/>
      <c r="AF201" s="58">
        <v>0.12777777777777777</v>
      </c>
      <c r="AG201" s="33" t="s">
        <v>1038</v>
      </c>
      <c r="AH201" s="33">
        <v>1</v>
      </c>
      <c r="AI201" s="43">
        <v>46147.055555555555</v>
      </c>
      <c r="AJ201" s="33" t="s">
        <v>793</v>
      </c>
      <c r="AK201" s="42">
        <v>941566.16</v>
      </c>
      <c r="AL201" s="33" t="s">
        <v>1039</v>
      </c>
    </row>
    <row r="202" spans="1:38">
      <c r="A202" s="33">
        <v>6004042</v>
      </c>
      <c r="B202" s="33"/>
      <c r="C202" s="33" t="s">
        <v>789</v>
      </c>
      <c r="D202" s="33" t="s">
        <v>1448</v>
      </c>
      <c r="E202" s="33" t="s">
        <v>1499</v>
      </c>
      <c r="F202" s="43">
        <v>46147</v>
      </c>
      <c r="G202" s="33" t="s">
        <v>792</v>
      </c>
      <c r="H202" s="33"/>
      <c r="I202" s="33" t="s">
        <v>793</v>
      </c>
      <c r="J202" s="33" t="s">
        <v>1450</v>
      </c>
      <c r="K202" s="33" t="s">
        <v>1500</v>
      </c>
      <c r="L202" s="33" t="s">
        <v>1501</v>
      </c>
      <c r="M202" s="43">
        <v>46147.058206018519</v>
      </c>
      <c r="N202" s="33" t="s">
        <v>1452</v>
      </c>
      <c r="O202" s="33" t="s">
        <v>797</v>
      </c>
      <c r="P202" s="33" t="s">
        <v>1453</v>
      </c>
      <c r="Q202" s="33"/>
      <c r="R202" s="33"/>
      <c r="S202" s="33"/>
      <c r="T202" s="33" t="s">
        <v>1454</v>
      </c>
      <c r="U202" s="33"/>
      <c r="V202" s="33"/>
      <c r="W202" s="33"/>
      <c r="X202" s="33"/>
      <c r="Y202" s="33"/>
      <c r="Z202" s="33" t="s">
        <v>1454</v>
      </c>
      <c r="AA202" s="43">
        <v>46148.583333333336</v>
      </c>
      <c r="AB202" s="33" t="s">
        <v>81</v>
      </c>
      <c r="AC202" s="33" t="s">
        <v>81</v>
      </c>
      <c r="AD202" s="58">
        <v>2.7777777777777779E-3</v>
      </c>
      <c r="AE202" s="33"/>
      <c r="AF202" s="58">
        <v>2.7777777777777779E-3</v>
      </c>
      <c r="AG202" s="33" t="s">
        <v>1457</v>
      </c>
      <c r="AH202" s="33">
        <v>0</v>
      </c>
      <c r="AI202" s="43">
        <v>46148.747916666667</v>
      </c>
      <c r="AJ202" s="33" t="s">
        <v>793</v>
      </c>
      <c r="AK202" s="42">
        <v>987654.84</v>
      </c>
      <c r="AL202" s="33" t="s">
        <v>1458</v>
      </c>
    </row>
    <row r="203" spans="1:38">
      <c r="A203" s="33">
        <v>5996363</v>
      </c>
      <c r="B203" s="33"/>
      <c r="C203" s="33" t="s">
        <v>789</v>
      </c>
      <c r="D203" s="33" t="s">
        <v>1074</v>
      </c>
      <c r="E203" s="33" t="s">
        <v>1502</v>
      </c>
      <c r="F203" s="43">
        <v>46147.208333333336</v>
      </c>
      <c r="G203" s="33" t="s">
        <v>792</v>
      </c>
      <c r="H203" s="33"/>
      <c r="I203" s="33" t="s">
        <v>793</v>
      </c>
      <c r="J203" s="33" t="s">
        <v>856</v>
      </c>
      <c r="K203" s="33" t="s">
        <v>75</v>
      </c>
      <c r="L203" s="33" t="s">
        <v>806</v>
      </c>
      <c r="M203" s="43">
        <v>46147.388113425928</v>
      </c>
      <c r="N203" s="33" t="s">
        <v>1078</v>
      </c>
      <c r="O203" s="33" t="s">
        <v>797</v>
      </c>
      <c r="P203" s="33" t="s">
        <v>798</v>
      </c>
      <c r="Q203" s="43">
        <v>46147.216666666667</v>
      </c>
      <c r="R203" s="43">
        <v>46147.260416666664</v>
      </c>
      <c r="S203" s="58">
        <v>4.3749999999999997E-2</v>
      </c>
      <c r="T203" s="33" t="s">
        <v>799</v>
      </c>
      <c r="U203" s="43">
        <v>46147.377083333333</v>
      </c>
      <c r="V203" s="58">
        <v>1.1111111111111112E-2</v>
      </c>
      <c r="W203" s="33" t="s">
        <v>799</v>
      </c>
      <c r="X203" s="43">
        <v>46147.377083333333</v>
      </c>
      <c r="Y203" s="58">
        <v>1.1111111111111112E-2</v>
      </c>
      <c r="Z203" s="33" t="s">
        <v>799</v>
      </c>
      <c r="AA203" s="43">
        <v>46148.416666666664</v>
      </c>
      <c r="AB203" s="33" t="s">
        <v>81</v>
      </c>
      <c r="AC203" s="33" t="s">
        <v>858</v>
      </c>
      <c r="AD203" s="58">
        <v>0.30277777777777776</v>
      </c>
      <c r="AE203" s="58">
        <v>0.12708333333333333</v>
      </c>
      <c r="AF203" s="58">
        <v>0.30277777777777776</v>
      </c>
      <c r="AG203" s="33" t="s">
        <v>1080</v>
      </c>
      <c r="AH203" s="33">
        <v>2</v>
      </c>
      <c r="AI203" s="43">
        <v>46147.377083333333</v>
      </c>
      <c r="AJ203" s="33" t="s">
        <v>793</v>
      </c>
      <c r="AK203" s="42">
        <v>577854.54</v>
      </c>
      <c r="AL203" s="33" t="s">
        <v>1081</v>
      </c>
    </row>
    <row r="204" spans="1:38">
      <c r="A204" s="33">
        <v>5996328</v>
      </c>
      <c r="B204" s="33"/>
      <c r="C204" s="33" t="s">
        <v>789</v>
      </c>
      <c r="D204" s="33" t="s">
        <v>1338</v>
      </c>
      <c r="E204" s="33" t="s">
        <v>1503</v>
      </c>
      <c r="F204" s="43">
        <v>46147.208333333336</v>
      </c>
      <c r="G204" s="33" t="s">
        <v>792</v>
      </c>
      <c r="H204" s="33"/>
      <c r="I204" s="33" t="s">
        <v>793</v>
      </c>
      <c r="J204" s="33" t="s">
        <v>1504</v>
      </c>
      <c r="K204" s="33" t="s">
        <v>75</v>
      </c>
      <c r="L204" s="33" t="s">
        <v>812</v>
      </c>
      <c r="M204" s="43">
        <v>46147.475289351853</v>
      </c>
      <c r="N204" s="33" t="s">
        <v>796</v>
      </c>
      <c r="O204" s="33" t="s">
        <v>797</v>
      </c>
      <c r="P204" s="33" t="s">
        <v>798</v>
      </c>
      <c r="Q204" s="43">
        <v>46147.199999999997</v>
      </c>
      <c r="R204" s="43">
        <v>46147.224305555559</v>
      </c>
      <c r="S204" s="58">
        <v>2.4305555555555556E-2</v>
      </c>
      <c r="T204" s="33" t="s">
        <v>799</v>
      </c>
      <c r="U204" s="43">
        <v>46147.464583333334</v>
      </c>
      <c r="V204" s="58">
        <v>9.0277777777777769E-3</v>
      </c>
      <c r="W204" s="33" t="s">
        <v>799</v>
      </c>
      <c r="X204" s="43">
        <v>46147.464583333334</v>
      </c>
      <c r="Y204" s="58">
        <v>9.0277777777777769E-3</v>
      </c>
      <c r="Z204" s="33" t="s">
        <v>799</v>
      </c>
      <c r="AA204" s="43">
        <v>46147.416666666664</v>
      </c>
      <c r="AB204" s="33" t="s">
        <v>81</v>
      </c>
      <c r="AC204" s="33" t="s">
        <v>1505</v>
      </c>
      <c r="AD204" s="58">
        <v>0.38750000000000001</v>
      </c>
      <c r="AE204" s="58">
        <v>0.25069444444444444</v>
      </c>
      <c r="AF204" s="58">
        <v>0.38750000000000001</v>
      </c>
      <c r="AG204" s="33" t="s">
        <v>1341</v>
      </c>
      <c r="AH204" s="33">
        <v>2</v>
      </c>
      <c r="AI204" s="43">
        <v>46147.464583333334</v>
      </c>
      <c r="AJ204" s="33" t="s">
        <v>793</v>
      </c>
      <c r="AK204" s="42">
        <v>602818.19999999995</v>
      </c>
      <c r="AL204" s="33" t="s">
        <v>1342</v>
      </c>
    </row>
    <row r="205" spans="1:38">
      <c r="A205" s="33">
        <v>6012682</v>
      </c>
      <c r="B205" s="33"/>
      <c r="C205" s="33" t="s">
        <v>789</v>
      </c>
      <c r="D205" s="33" t="s">
        <v>1506</v>
      </c>
      <c r="E205" s="33" t="s">
        <v>1507</v>
      </c>
      <c r="F205" s="43">
        <v>46147.991666666669</v>
      </c>
      <c r="G205" s="33" t="s">
        <v>216</v>
      </c>
      <c r="H205" s="33"/>
      <c r="I205" s="33" t="s">
        <v>73</v>
      </c>
      <c r="J205" s="33" t="s">
        <v>1508</v>
      </c>
      <c r="K205" s="33" t="s">
        <v>75</v>
      </c>
      <c r="L205" s="33" t="s">
        <v>1509</v>
      </c>
      <c r="M205" s="43">
        <v>46148.367986111109</v>
      </c>
      <c r="N205" s="33" t="s">
        <v>1510</v>
      </c>
      <c r="O205" s="33" t="s">
        <v>797</v>
      </c>
      <c r="P205" s="33" t="s">
        <v>140</v>
      </c>
      <c r="Q205" s="33"/>
      <c r="R205" s="33"/>
      <c r="S205" s="33"/>
      <c r="T205" s="33" t="s">
        <v>1511</v>
      </c>
      <c r="U205" s="33"/>
      <c r="V205" s="33"/>
      <c r="W205" s="33"/>
      <c r="X205" s="33"/>
      <c r="Y205" s="33"/>
      <c r="Z205" s="33" t="s">
        <v>1511</v>
      </c>
      <c r="AA205" s="43">
        <v>46149.291666666664</v>
      </c>
      <c r="AB205" s="33" t="s">
        <v>1512</v>
      </c>
      <c r="AC205" s="33" t="s">
        <v>1513</v>
      </c>
      <c r="AD205" s="44">
        <v>1.2715277777777778</v>
      </c>
      <c r="AE205" s="33"/>
      <c r="AF205" s="44">
        <v>1.2715277777777778</v>
      </c>
      <c r="AG205" s="33" t="s">
        <v>1514</v>
      </c>
      <c r="AH205" s="33">
        <v>1</v>
      </c>
      <c r="AI205" s="43">
        <v>46148.368750000001</v>
      </c>
      <c r="AJ205" s="33" t="s">
        <v>73</v>
      </c>
      <c r="AK205" s="42">
        <v>1017357.92</v>
      </c>
      <c r="AL205" s="33" t="s">
        <v>1515</v>
      </c>
    </row>
    <row r="206" spans="1:38">
      <c r="A206" s="33">
        <v>6005834</v>
      </c>
      <c r="B206" s="33"/>
      <c r="C206" s="33" t="s">
        <v>789</v>
      </c>
      <c r="D206" s="33" t="s">
        <v>1516</v>
      </c>
      <c r="E206" s="33" t="s">
        <v>1517</v>
      </c>
      <c r="F206" s="43">
        <v>46147.75</v>
      </c>
      <c r="G206" s="33" t="s">
        <v>282</v>
      </c>
      <c r="H206" s="33"/>
      <c r="I206" s="33" t="s">
        <v>73</v>
      </c>
      <c r="J206" s="33" t="s">
        <v>1305</v>
      </c>
      <c r="K206" s="33" t="s">
        <v>1277</v>
      </c>
      <c r="L206" s="33" t="s">
        <v>1518</v>
      </c>
      <c r="M206" s="43">
        <v>46147.491956018515</v>
      </c>
      <c r="N206" s="33" t="s">
        <v>1519</v>
      </c>
      <c r="O206" s="33" t="s">
        <v>797</v>
      </c>
      <c r="P206" s="33" t="s">
        <v>79</v>
      </c>
      <c r="Q206" s="33"/>
      <c r="R206" s="33"/>
      <c r="S206" s="33"/>
      <c r="T206" s="33" t="s">
        <v>984</v>
      </c>
      <c r="U206" s="43">
        <v>46147.109027777777</v>
      </c>
      <c r="V206" s="58">
        <v>0.33333333333333331</v>
      </c>
      <c r="W206" s="33"/>
      <c r="X206" s="33"/>
      <c r="Y206" s="33"/>
      <c r="Z206" s="33" t="s">
        <v>984</v>
      </c>
      <c r="AA206" s="43">
        <v>46148.25</v>
      </c>
      <c r="AB206" s="33" t="s">
        <v>1226</v>
      </c>
      <c r="AC206" s="33" t="s">
        <v>1308</v>
      </c>
      <c r="AD206" s="58">
        <v>0.3972222222222222</v>
      </c>
      <c r="AE206" s="33"/>
      <c r="AF206" s="58">
        <v>0.3972222222222222</v>
      </c>
      <c r="AG206" s="33"/>
      <c r="AH206" s="33">
        <v>1</v>
      </c>
      <c r="AI206" s="43">
        <v>46147.109027777777</v>
      </c>
      <c r="AJ206" s="33" t="s">
        <v>73</v>
      </c>
      <c r="AK206" s="42">
        <v>155446.41</v>
      </c>
      <c r="AL206" s="33" t="s">
        <v>1520</v>
      </c>
    </row>
    <row r="207" spans="1:38">
      <c r="A207" s="33">
        <v>5996350</v>
      </c>
      <c r="B207" s="33"/>
      <c r="C207" s="33" t="s">
        <v>789</v>
      </c>
      <c r="D207" s="33" t="s">
        <v>1521</v>
      </c>
      <c r="E207" s="33" t="s">
        <v>1522</v>
      </c>
      <c r="F207" s="43">
        <v>46147.25</v>
      </c>
      <c r="G207" s="33" t="s">
        <v>792</v>
      </c>
      <c r="H207" s="33"/>
      <c r="I207" s="33" t="s">
        <v>793</v>
      </c>
      <c r="J207" s="33" t="s">
        <v>922</v>
      </c>
      <c r="K207" s="33" t="s">
        <v>75</v>
      </c>
      <c r="L207" s="33" t="s">
        <v>1523</v>
      </c>
      <c r="M207" s="43">
        <v>46147.777199074073</v>
      </c>
      <c r="N207" s="33" t="s">
        <v>1524</v>
      </c>
      <c r="O207" s="33" t="s">
        <v>797</v>
      </c>
      <c r="P207" s="33" t="s">
        <v>861</v>
      </c>
      <c r="Q207" s="43">
        <v>46147.375694444447</v>
      </c>
      <c r="R207" s="43">
        <v>46147.407638888886</v>
      </c>
      <c r="S207" s="58">
        <v>3.1944444444444442E-2</v>
      </c>
      <c r="T207" s="33" t="s">
        <v>799</v>
      </c>
      <c r="U207" s="33"/>
      <c r="V207" s="33"/>
      <c r="W207" s="33"/>
      <c r="X207" s="33"/>
      <c r="Y207" s="33"/>
      <c r="Z207" s="33" t="s">
        <v>799</v>
      </c>
      <c r="AA207" s="43">
        <v>46148.208333333336</v>
      </c>
      <c r="AB207" s="33" t="s">
        <v>1525</v>
      </c>
      <c r="AC207" s="33" t="s">
        <v>923</v>
      </c>
      <c r="AD207" s="58">
        <v>0.60486111111111107</v>
      </c>
      <c r="AE207" s="33"/>
      <c r="AF207" s="58">
        <v>0.60486111111111107</v>
      </c>
      <c r="AG207" s="33" t="s">
        <v>1526</v>
      </c>
      <c r="AH207" s="33">
        <v>1</v>
      </c>
      <c r="AI207" s="43">
        <v>46147.792361111111</v>
      </c>
      <c r="AJ207" s="33" t="s">
        <v>793</v>
      </c>
      <c r="AK207" s="42">
        <v>581016.69999999995</v>
      </c>
      <c r="AL207" s="33" t="s">
        <v>1527</v>
      </c>
    </row>
    <row r="208" spans="1:38">
      <c r="A208" s="33">
        <v>6003992</v>
      </c>
      <c r="B208" s="33"/>
      <c r="C208" s="33" t="s">
        <v>789</v>
      </c>
      <c r="D208" s="33" t="s">
        <v>914</v>
      </c>
      <c r="E208" s="33" t="s">
        <v>1528</v>
      </c>
      <c r="F208" s="43">
        <v>46147.25</v>
      </c>
      <c r="G208" s="33" t="s">
        <v>792</v>
      </c>
      <c r="H208" s="33"/>
      <c r="I208" s="33" t="s">
        <v>793</v>
      </c>
      <c r="J208" s="33" t="s">
        <v>1529</v>
      </c>
      <c r="K208" s="33" t="s">
        <v>1530</v>
      </c>
      <c r="L208" s="33" t="s">
        <v>1531</v>
      </c>
      <c r="M208" s="43">
        <v>46147.764525462961</v>
      </c>
      <c r="N208" s="33" t="s">
        <v>918</v>
      </c>
      <c r="O208" s="33" t="s">
        <v>797</v>
      </c>
      <c r="P208" s="33" t="s">
        <v>861</v>
      </c>
      <c r="Q208" s="43">
        <v>46147.224999999999</v>
      </c>
      <c r="R208" s="43">
        <v>46147.259722222225</v>
      </c>
      <c r="S208" s="58">
        <v>3.4722222222222224E-2</v>
      </c>
      <c r="T208" s="33" t="s">
        <v>140</v>
      </c>
      <c r="U208" s="43">
        <v>46147.359027777777</v>
      </c>
      <c r="V208" s="58">
        <v>0.38750000000000001</v>
      </c>
      <c r="W208" s="33"/>
      <c r="X208" s="33"/>
      <c r="Y208" s="33"/>
      <c r="Z208" s="33" t="s">
        <v>140</v>
      </c>
      <c r="AA208" s="43">
        <v>46147.5</v>
      </c>
      <c r="AB208" s="33" t="s">
        <v>1532</v>
      </c>
      <c r="AC208" s="33" t="s">
        <v>1533</v>
      </c>
      <c r="AD208" s="58">
        <v>0.5395833333333333</v>
      </c>
      <c r="AE208" s="33"/>
      <c r="AF208" s="58">
        <v>0.5395833333333333</v>
      </c>
      <c r="AG208" s="33" t="s">
        <v>919</v>
      </c>
      <c r="AH208" s="33">
        <v>2</v>
      </c>
      <c r="AI208" s="43">
        <v>46147.359027777777</v>
      </c>
      <c r="AJ208" s="33" t="s">
        <v>793</v>
      </c>
      <c r="AK208" s="42">
        <v>733478.04</v>
      </c>
      <c r="AL208" s="33" t="s">
        <v>920</v>
      </c>
    </row>
    <row r="209" spans="1:38">
      <c r="A209" s="33">
        <v>6002331</v>
      </c>
      <c r="B209" s="33"/>
      <c r="C209" s="33" t="s">
        <v>789</v>
      </c>
      <c r="D209" s="33" t="s">
        <v>1032</v>
      </c>
      <c r="E209" s="33" t="s">
        <v>1534</v>
      </c>
      <c r="F209" s="43">
        <v>46147.291666666664</v>
      </c>
      <c r="G209" s="33" t="s">
        <v>792</v>
      </c>
      <c r="H209" s="33"/>
      <c r="I209" s="33" t="s">
        <v>793</v>
      </c>
      <c r="J209" s="33" t="s">
        <v>1147</v>
      </c>
      <c r="K209" s="33" t="s">
        <v>75</v>
      </c>
      <c r="L209" s="33" t="s">
        <v>806</v>
      </c>
      <c r="M209" s="43">
        <v>46148.209189814814</v>
      </c>
      <c r="N209" s="33" t="s">
        <v>1036</v>
      </c>
      <c r="O209" s="33" t="s">
        <v>797</v>
      </c>
      <c r="P209" s="33" t="s">
        <v>799</v>
      </c>
      <c r="Q209" s="43">
        <v>46147.244444444441</v>
      </c>
      <c r="R209" s="43">
        <v>46147.262499999997</v>
      </c>
      <c r="S209" s="58">
        <v>1.8055555555555554E-2</v>
      </c>
      <c r="T209" s="33" t="s">
        <v>140</v>
      </c>
      <c r="U209" s="43">
        <v>46147.288194444445</v>
      </c>
      <c r="V209" s="58">
        <v>0.92013888888888884</v>
      </c>
      <c r="W209" s="33"/>
      <c r="X209" s="33"/>
      <c r="Y209" s="33"/>
      <c r="Z209" s="33" t="s">
        <v>140</v>
      </c>
      <c r="AA209" s="43">
        <v>46147.333333333336</v>
      </c>
      <c r="AB209" s="33" t="s">
        <v>81</v>
      </c>
      <c r="AC209" s="33" t="s">
        <v>1149</v>
      </c>
      <c r="AD209" s="58">
        <v>0.97222222222222221</v>
      </c>
      <c r="AE209" s="33"/>
      <c r="AF209" s="58">
        <v>5.6250000000000001E-2</v>
      </c>
      <c r="AG209" s="33" t="s">
        <v>1279</v>
      </c>
      <c r="AH209" s="33">
        <v>2</v>
      </c>
      <c r="AI209" s="43">
        <v>46147.288194444445</v>
      </c>
      <c r="AJ209" s="33" t="s">
        <v>793</v>
      </c>
      <c r="AK209" s="42">
        <v>988569.66</v>
      </c>
      <c r="AL209" s="33" t="s">
        <v>1039</v>
      </c>
    </row>
    <row r="210" spans="1:38">
      <c r="A210" s="33" t="s">
        <v>1535</v>
      </c>
      <c r="B210" s="33"/>
      <c r="C210" s="33" t="s">
        <v>789</v>
      </c>
      <c r="D210" s="33" t="s">
        <v>1536</v>
      </c>
      <c r="E210" s="33" t="s">
        <v>1537</v>
      </c>
      <c r="F210" s="43">
        <v>46147.276388888888</v>
      </c>
      <c r="G210" s="33" t="s">
        <v>216</v>
      </c>
      <c r="H210" s="33"/>
      <c r="I210" s="33" t="s">
        <v>73</v>
      </c>
      <c r="J210" s="33" t="s">
        <v>1538</v>
      </c>
      <c r="K210" s="33" t="s">
        <v>75</v>
      </c>
      <c r="L210" s="33" t="s">
        <v>1539</v>
      </c>
      <c r="M210" s="43">
        <v>46148.161354166667</v>
      </c>
      <c r="N210" s="33" t="s">
        <v>219</v>
      </c>
      <c r="O210" s="33" t="s">
        <v>797</v>
      </c>
      <c r="P210" s="33" t="s">
        <v>140</v>
      </c>
      <c r="Q210" s="43">
        <v>46147.290972222225</v>
      </c>
      <c r="R210" s="43">
        <v>46147.320833333331</v>
      </c>
      <c r="S210" s="58">
        <v>2.9861111111111113E-2</v>
      </c>
      <c r="T210" s="33" t="s">
        <v>1540</v>
      </c>
      <c r="U210" s="33"/>
      <c r="V210" s="33"/>
      <c r="W210" s="33" t="s">
        <v>1541</v>
      </c>
      <c r="X210" s="43">
        <v>46148.155555555553</v>
      </c>
      <c r="Y210" s="58">
        <v>8.3333333333333332E-3</v>
      </c>
      <c r="Z210" s="33" t="s">
        <v>1540</v>
      </c>
      <c r="AA210" s="43">
        <v>46150.959027777775</v>
      </c>
      <c r="AB210" s="33" t="s">
        <v>81</v>
      </c>
      <c r="AC210" s="33" t="s">
        <v>1542</v>
      </c>
      <c r="AD210" s="58">
        <v>0.86805555555555558</v>
      </c>
      <c r="AE210" s="33"/>
      <c r="AF210" s="58">
        <v>0.86805555555555558</v>
      </c>
      <c r="AG210" s="33"/>
      <c r="AH210" s="33">
        <v>2</v>
      </c>
      <c r="AI210" s="43">
        <v>46148.364583333336</v>
      </c>
      <c r="AJ210" s="33" t="s">
        <v>73</v>
      </c>
      <c r="AK210" s="42">
        <v>776076.13</v>
      </c>
      <c r="AL210" s="33" t="s">
        <v>1543</v>
      </c>
    </row>
    <row r="211" spans="1:38">
      <c r="A211" s="33">
        <v>6002366</v>
      </c>
      <c r="B211" s="33"/>
      <c r="C211" s="33" t="s">
        <v>789</v>
      </c>
      <c r="D211" s="33" t="s">
        <v>1047</v>
      </c>
      <c r="E211" s="33" t="s">
        <v>1544</v>
      </c>
      <c r="F211" s="43">
        <v>46147.333333333336</v>
      </c>
      <c r="G211" s="33" t="s">
        <v>792</v>
      </c>
      <c r="H211" s="33"/>
      <c r="I211" s="33" t="s">
        <v>793</v>
      </c>
      <c r="J211" s="33" t="s">
        <v>1312</v>
      </c>
      <c r="K211" s="33" t="s">
        <v>75</v>
      </c>
      <c r="L211" s="33" t="s">
        <v>1545</v>
      </c>
      <c r="M211" s="43">
        <v>46147.353888888887</v>
      </c>
      <c r="N211" s="33" t="s">
        <v>1051</v>
      </c>
      <c r="O211" s="33" t="s">
        <v>797</v>
      </c>
      <c r="P211" s="33" t="s">
        <v>799</v>
      </c>
      <c r="Q211" s="43">
        <v>46147.288194444445</v>
      </c>
      <c r="R211" s="43">
        <v>46147.31527777778</v>
      </c>
      <c r="S211" s="58">
        <v>2.7083333333333334E-2</v>
      </c>
      <c r="T211" s="33" t="s">
        <v>140</v>
      </c>
      <c r="U211" s="43">
        <v>46147.352777777778</v>
      </c>
      <c r="V211" s="58">
        <v>2.0833333333333332E-2</v>
      </c>
      <c r="W211" s="33" t="s">
        <v>140</v>
      </c>
      <c r="X211" s="43">
        <v>46147.352777777778</v>
      </c>
      <c r="Y211" s="58">
        <v>2.0833333333333332E-2</v>
      </c>
      <c r="Z211" s="33" t="s">
        <v>140</v>
      </c>
      <c r="AA211" s="43">
        <v>46147.375</v>
      </c>
      <c r="AB211" s="33" t="s">
        <v>81</v>
      </c>
      <c r="AC211" s="33" t="s">
        <v>1314</v>
      </c>
      <c r="AD211" s="58">
        <v>8.4722222222222227E-2</v>
      </c>
      <c r="AE211" s="58">
        <v>4.3749999999999997E-2</v>
      </c>
      <c r="AF211" s="58">
        <v>8.4722222222222227E-2</v>
      </c>
      <c r="AG211" s="33" t="s">
        <v>1054</v>
      </c>
      <c r="AH211" s="33">
        <v>2</v>
      </c>
      <c r="AI211" s="43">
        <v>46147.352777777778</v>
      </c>
      <c r="AJ211" s="33" t="s">
        <v>793</v>
      </c>
      <c r="AK211" s="42">
        <v>572811.36</v>
      </c>
      <c r="AL211" s="33" t="s">
        <v>1055</v>
      </c>
    </row>
    <row r="212" spans="1:38">
      <c r="A212" s="33" t="s">
        <v>944</v>
      </c>
      <c r="B212" s="33"/>
      <c r="C212" s="33" t="s">
        <v>789</v>
      </c>
      <c r="D212" s="33" t="s">
        <v>1546</v>
      </c>
      <c r="E212" s="33" t="s">
        <v>1547</v>
      </c>
      <c r="F212" s="43">
        <v>46147.295138888891</v>
      </c>
      <c r="G212" s="33" t="s">
        <v>227</v>
      </c>
      <c r="H212" s="33"/>
      <c r="I212" s="33" t="s">
        <v>73</v>
      </c>
      <c r="J212" s="33" t="s">
        <v>947</v>
      </c>
      <c r="K212" s="33" t="s">
        <v>75</v>
      </c>
      <c r="L212" s="33" t="s">
        <v>1548</v>
      </c>
      <c r="M212" s="43">
        <v>46147.764918981484</v>
      </c>
      <c r="N212" s="33" t="s">
        <v>1549</v>
      </c>
      <c r="O212" s="33" t="s">
        <v>797</v>
      </c>
      <c r="P212" s="33" t="s">
        <v>79</v>
      </c>
      <c r="Q212" s="33"/>
      <c r="R212" s="33"/>
      <c r="S212" s="33"/>
      <c r="T212" s="33" t="s">
        <v>286</v>
      </c>
      <c r="U212" s="43">
        <v>46147.338888888888</v>
      </c>
      <c r="V212" s="58">
        <v>0.40277777777777779</v>
      </c>
      <c r="W212" s="33" t="s">
        <v>950</v>
      </c>
      <c r="X212" s="43">
        <v>46147.760416666664</v>
      </c>
      <c r="Y212" s="58">
        <v>6.2500000000000003E-3</v>
      </c>
      <c r="Z212" s="33" t="s">
        <v>286</v>
      </c>
      <c r="AA212" s="43">
        <v>46147.333333333336</v>
      </c>
      <c r="AB212" s="33" t="s">
        <v>951</v>
      </c>
      <c r="AC212" s="33" t="s">
        <v>952</v>
      </c>
      <c r="AD212" s="58">
        <v>0.47569444444444442</v>
      </c>
      <c r="AE212" s="58">
        <v>2.361111111111111E-2</v>
      </c>
      <c r="AF212" s="58">
        <v>0.47569444444444442</v>
      </c>
      <c r="AG212" s="33"/>
      <c r="AH212" s="33">
        <v>3</v>
      </c>
      <c r="AI212" s="43">
        <v>46147.774305555555</v>
      </c>
      <c r="AJ212" s="33" t="s">
        <v>73</v>
      </c>
      <c r="AK212" s="42">
        <v>330606.25</v>
      </c>
      <c r="AL212" s="33" t="s">
        <v>1550</v>
      </c>
    </row>
    <row r="213" spans="1:38">
      <c r="A213" s="33" t="s">
        <v>1551</v>
      </c>
      <c r="B213" s="33"/>
      <c r="C213" s="33" t="s">
        <v>789</v>
      </c>
      <c r="D213" s="33" t="s">
        <v>1552</v>
      </c>
      <c r="E213" s="33" t="s">
        <v>1553</v>
      </c>
      <c r="F213" s="43">
        <v>46147.35</v>
      </c>
      <c r="G213" s="33" t="s">
        <v>216</v>
      </c>
      <c r="H213" s="33"/>
      <c r="I213" s="33" t="s">
        <v>73</v>
      </c>
      <c r="J213" s="33" t="s">
        <v>1554</v>
      </c>
      <c r="K213" s="33" t="s">
        <v>75</v>
      </c>
      <c r="L213" s="33" t="s">
        <v>1555</v>
      </c>
      <c r="M213" s="43">
        <v>46148.098912037036</v>
      </c>
      <c r="N213" s="33" t="s">
        <v>219</v>
      </c>
      <c r="O213" s="33" t="s">
        <v>797</v>
      </c>
      <c r="P213" s="33" t="s">
        <v>140</v>
      </c>
      <c r="Q213" s="43">
        <v>46147.349305555559</v>
      </c>
      <c r="R213" s="43">
        <v>46147.380555555559</v>
      </c>
      <c r="S213" s="58">
        <v>3.125E-2</v>
      </c>
      <c r="T213" s="33" t="s">
        <v>1556</v>
      </c>
      <c r="U213" s="33"/>
      <c r="V213" s="33"/>
      <c r="W213" s="33" t="s">
        <v>1541</v>
      </c>
      <c r="X213" s="43">
        <v>46148.085416666669</v>
      </c>
      <c r="Y213" s="58">
        <v>1.3194444444444444E-2</v>
      </c>
      <c r="Z213" s="33" t="s">
        <v>557</v>
      </c>
      <c r="AA213" s="43">
        <v>46150.333333333336</v>
      </c>
      <c r="AB213" s="33" t="s">
        <v>266</v>
      </c>
      <c r="AC213" s="33" t="s">
        <v>1557</v>
      </c>
      <c r="AD213" s="58">
        <v>0.74444444444444446</v>
      </c>
      <c r="AE213" s="33"/>
      <c r="AF213" s="58">
        <v>0.74444444444444446</v>
      </c>
      <c r="AG213" s="33"/>
      <c r="AH213" s="33">
        <v>4</v>
      </c>
      <c r="AI213" s="43">
        <v>46148.112500000003</v>
      </c>
      <c r="AJ213" s="33" t="s">
        <v>73</v>
      </c>
      <c r="AK213" s="42">
        <v>698434.83</v>
      </c>
      <c r="AL213" s="33" t="s">
        <v>1558</v>
      </c>
    </row>
    <row r="214" spans="1:38">
      <c r="A214" s="33">
        <v>6010791</v>
      </c>
      <c r="B214" s="33"/>
      <c r="C214" s="33" t="s">
        <v>789</v>
      </c>
      <c r="D214" s="33" t="s">
        <v>1559</v>
      </c>
      <c r="E214" s="33" t="s">
        <v>1560</v>
      </c>
      <c r="F214" s="43">
        <v>46147.35833333333</v>
      </c>
      <c r="G214" s="33" t="s">
        <v>440</v>
      </c>
      <c r="H214" s="33"/>
      <c r="I214" s="33" t="s">
        <v>73</v>
      </c>
      <c r="J214" s="33" t="s">
        <v>635</v>
      </c>
      <c r="K214" s="33" t="s">
        <v>1561</v>
      </c>
      <c r="L214" s="33" t="s">
        <v>1241</v>
      </c>
      <c r="M214" s="43">
        <v>46149.636076388888</v>
      </c>
      <c r="N214" s="33" t="s">
        <v>1562</v>
      </c>
      <c r="O214" s="33" t="s">
        <v>797</v>
      </c>
      <c r="P214" s="33" t="s">
        <v>79</v>
      </c>
      <c r="Q214" s="43">
        <v>46147.441666666666</v>
      </c>
      <c r="R214" s="43">
        <v>46147.447916666664</v>
      </c>
      <c r="S214" s="58">
        <v>6.2500000000000003E-3</v>
      </c>
      <c r="T214" s="33" t="s">
        <v>383</v>
      </c>
      <c r="U214" s="43">
        <v>46149.384722222225</v>
      </c>
      <c r="V214" s="58">
        <v>0.21388888888888888</v>
      </c>
      <c r="W214" s="33"/>
      <c r="X214" s="33"/>
      <c r="Y214" s="33"/>
      <c r="Z214" s="33" t="s">
        <v>383</v>
      </c>
      <c r="AA214" s="43">
        <v>46150.25</v>
      </c>
      <c r="AB214" s="33" t="s">
        <v>951</v>
      </c>
      <c r="AC214" s="33" t="s">
        <v>638</v>
      </c>
      <c r="AD214" s="44">
        <v>2.2388888888888889</v>
      </c>
      <c r="AE214" s="33"/>
      <c r="AF214" s="44">
        <v>2.2388888888888889</v>
      </c>
      <c r="AG214" s="33" t="s">
        <v>1563</v>
      </c>
      <c r="AH214" s="33">
        <v>2</v>
      </c>
      <c r="AI214" s="43">
        <v>46149.384722222225</v>
      </c>
      <c r="AJ214" s="33" t="s">
        <v>73</v>
      </c>
      <c r="AK214" s="42">
        <v>254265.26</v>
      </c>
      <c r="AL214" s="33" t="s">
        <v>1564</v>
      </c>
    </row>
    <row r="215" spans="1:38">
      <c r="A215" s="33">
        <v>6000484</v>
      </c>
      <c r="B215" s="33"/>
      <c r="C215" s="33" t="s">
        <v>789</v>
      </c>
      <c r="D215" s="33" t="s">
        <v>1565</v>
      </c>
      <c r="E215" s="33" t="s">
        <v>1566</v>
      </c>
      <c r="F215" s="43">
        <v>46147.35833333333</v>
      </c>
      <c r="G215" s="33" t="s">
        <v>216</v>
      </c>
      <c r="H215" s="58">
        <v>7.7083333333333337E-2</v>
      </c>
      <c r="I215" s="33" t="s">
        <v>73</v>
      </c>
      <c r="J215" s="33" t="s">
        <v>1567</v>
      </c>
      <c r="K215" s="33" t="s">
        <v>75</v>
      </c>
      <c r="L215" s="33" t="s">
        <v>1568</v>
      </c>
      <c r="M215" s="43">
        <v>46153.302858796298</v>
      </c>
      <c r="N215" s="33" t="s">
        <v>1569</v>
      </c>
      <c r="O215" s="33" t="s">
        <v>682</v>
      </c>
      <c r="P215" s="33" t="s">
        <v>79</v>
      </c>
      <c r="Q215" s="43">
        <v>46147.376388888886</v>
      </c>
      <c r="R215" s="43">
        <v>46147.601388888892</v>
      </c>
      <c r="S215" s="58">
        <v>0.22500000000000001</v>
      </c>
      <c r="T215" s="33" t="s">
        <v>141</v>
      </c>
      <c r="U215" s="43">
        <v>46153.263888888891</v>
      </c>
      <c r="V215" s="58">
        <v>6.2500000000000003E-3</v>
      </c>
      <c r="W215" s="33"/>
      <c r="X215" s="33"/>
      <c r="Y215" s="33"/>
      <c r="Z215" s="33" t="s">
        <v>141</v>
      </c>
      <c r="AA215" s="43">
        <v>46153.25</v>
      </c>
      <c r="AB215" s="33" t="s">
        <v>81</v>
      </c>
      <c r="AC215" s="33" t="s">
        <v>1570</v>
      </c>
      <c r="AD215" s="44">
        <v>5.9312500000000004</v>
      </c>
      <c r="AE215" s="33"/>
      <c r="AF215" s="44">
        <v>5.9312500000000004</v>
      </c>
      <c r="AG215" s="33" t="s">
        <v>1571</v>
      </c>
      <c r="AH215" s="33">
        <v>2</v>
      </c>
      <c r="AI215" s="43">
        <v>46153.26458333333</v>
      </c>
      <c r="AJ215" s="33" t="s">
        <v>73</v>
      </c>
      <c r="AK215" s="42">
        <v>185390.25</v>
      </c>
      <c r="AL215" s="33" t="s">
        <v>1572</v>
      </c>
    </row>
    <row r="216" spans="1:38">
      <c r="A216" s="33">
        <v>5975419</v>
      </c>
      <c r="B216" s="33"/>
      <c r="C216" s="33" t="s">
        <v>789</v>
      </c>
      <c r="D216" s="33" t="s">
        <v>1032</v>
      </c>
      <c r="E216" s="33" t="s">
        <v>1573</v>
      </c>
      <c r="F216" s="43">
        <v>46147.375</v>
      </c>
      <c r="G216" s="33" t="s">
        <v>792</v>
      </c>
      <c r="H216" s="33"/>
      <c r="I216" s="33" t="s">
        <v>793</v>
      </c>
      <c r="J216" s="33" t="s">
        <v>1049</v>
      </c>
      <c r="K216" s="33"/>
      <c r="L216" s="33"/>
      <c r="M216" s="33"/>
      <c r="N216" s="33"/>
      <c r="O216" s="33" t="s">
        <v>797</v>
      </c>
      <c r="P216" s="33" t="s">
        <v>799</v>
      </c>
      <c r="Q216" s="33"/>
      <c r="R216" s="33"/>
      <c r="S216" s="33"/>
      <c r="T216" s="33" t="s">
        <v>140</v>
      </c>
      <c r="U216" s="33"/>
      <c r="V216" s="33"/>
      <c r="W216" s="33"/>
      <c r="X216" s="33"/>
      <c r="Y216" s="33"/>
      <c r="Z216" s="33" t="s">
        <v>140</v>
      </c>
      <c r="AA216" s="43">
        <v>46147.958333333336</v>
      </c>
      <c r="AB216" s="33" t="s">
        <v>81</v>
      </c>
      <c r="AC216" s="33" t="s">
        <v>81</v>
      </c>
      <c r="AD216" s="33"/>
      <c r="AE216" s="33"/>
      <c r="AF216" s="33"/>
      <c r="AG216" s="33" t="s">
        <v>1038</v>
      </c>
      <c r="AH216" s="33">
        <v>0</v>
      </c>
      <c r="AI216" s="33"/>
      <c r="AJ216" s="33" t="s">
        <v>793</v>
      </c>
      <c r="AK216" s="42">
        <v>1251037.68</v>
      </c>
      <c r="AL216" s="33" t="s">
        <v>1039</v>
      </c>
    </row>
    <row r="217" spans="1:38">
      <c r="A217" s="33">
        <v>6010790</v>
      </c>
      <c r="B217" s="33"/>
      <c r="C217" s="33" t="s">
        <v>789</v>
      </c>
      <c r="D217" s="33" t="s">
        <v>1574</v>
      </c>
      <c r="E217" s="33" t="s">
        <v>1575</v>
      </c>
      <c r="F217" s="43">
        <v>46147.583333333336</v>
      </c>
      <c r="G217" s="33" t="s">
        <v>440</v>
      </c>
      <c r="H217" s="33"/>
      <c r="I217" s="33" t="s">
        <v>73</v>
      </c>
      <c r="J217" s="33" t="s">
        <v>1576</v>
      </c>
      <c r="K217" s="33" t="s">
        <v>75</v>
      </c>
      <c r="L217" s="33" t="s">
        <v>1577</v>
      </c>
      <c r="M217" s="43">
        <v>46149.513495370367</v>
      </c>
      <c r="N217" s="33" t="s">
        <v>1578</v>
      </c>
      <c r="O217" s="33" t="s">
        <v>797</v>
      </c>
      <c r="P217" s="33" t="s">
        <v>79</v>
      </c>
      <c r="Q217" s="43">
        <v>46147.821527777778</v>
      </c>
      <c r="R217" s="43">
        <v>46147.908333333333</v>
      </c>
      <c r="S217" s="58">
        <v>8.6805555555555552E-2</v>
      </c>
      <c r="T217" s="33" t="s">
        <v>383</v>
      </c>
      <c r="U217" s="43">
        <v>46149.385416666664</v>
      </c>
      <c r="V217" s="58">
        <v>0.12569444444444444</v>
      </c>
      <c r="W217" s="33" t="s">
        <v>383</v>
      </c>
      <c r="X217" s="43">
        <v>46149.385416666664</v>
      </c>
      <c r="Y217" s="58">
        <v>0.12569444444444444</v>
      </c>
      <c r="Z217" s="33" t="s">
        <v>383</v>
      </c>
      <c r="AA217" s="43">
        <v>46150.25</v>
      </c>
      <c r="AB217" s="33" t="s">
        <v>81</v>
      </c>
      <c r="AC217" s="33" t="s">
        <v>1579</v>
      </c>
      <c r="AD217" s="44">
        <v>1.7180555555555554</v>
      </c>
      <c r="AE217" s="44">
        <v>1.6055555555555556</v>
      </c>
      <c r="AF217" s="44">
        <v>1.7180555555555554</v>
      </c>
      <c r="AG217" s="33" t="s">
        <v>1580</v>
      </c>
      <c r="AH217" s="33">
        <v>2</v>
      </c>
      <c r="AI217" s="43">
        <v>46149.385416666664</v>
      </c>
      <c r="AJ217" s="33" t="s">
        <v>73</v>
      </c>
      <c r="AK217" s="42">
        <v>193491.99</v>
      </c>
      <c r="AL217" s="33" t="s">
        <v>1581</v>
      </c>
    </row>
    <row r="218" spans="1:38">
      <c r="A218" s="33">
        <v>6004435</v>
      </c>
      <c r="B218" s="33"/>
      <c r="C218" s="33" t="s">
        <v>789</v>
      </c>
      <c r="D218" s="33" t="s">
        <v>1582</v>
      </c>
      <c r="E218" s="33" t="s">
        <v>1583</v>
      </c>
      <c r="F218" s="43">
        <v>46147.375</v>
      </c>
      <c r="G218" s="33" t="s">
        <v>792</v>
      </c>
      <c r="H218" s="33"/>
      <c r="I218" s="33" t="s">
        <v>793</v>
      </c>
      <c r="J218" s="33" t="s">
        <v>1450</v>
      </c>
      <c r="K218" s="33" t="s">
        <v>75</v>
      </c>
      <c r="L218" s="33" t="s">
        <v>1584</v>
      </c>
      <c r="M218" s="43">
        <v>46147.475740740738</v>
      </c>
      <c r="N218" s="33" t="s">
        <v>1585</v>
      </c>
      <c r="O218" s="33" t="s">
        <v>797</v>
      </c>
      <c r="P218" s="33" t="s">
        <v>1453</v>
      </c>
      <c r="Q218" s="43">
        <v>46147.365972222222</v>
      </c>
      <c r="R218" s="43">
        <v>46147.397916666669</v>
      </c>
      <c r="S218" s="58">
        <v>3.1944444444444442E-2</v>
      </c>
      <c r="T218" s="33" t="s">
        <v>1454</v>
      </c>
      <c r="U218" s="43">
        <v>46147.467361111114</v>
      </c>
      <c r="V218" s="58">
        <v>6.2500000000000003E-3</v>
      </c>
      <c r="W218" s="33" t="s">
        <v>1454</v>
      </c>
      <c r="X218" s="43">
        <v>46147.467361111114</v>
      </c>
      <c r="Y218" s="58">
        <v>6.2500000000000003E-3</v>
      </c>
      <c r="Z218" s="33" t="s">
        <v>1454</v>
      </c>
      <c r="AA218" s="43">
        <v>46147.583333333336</v>
      </c>
      <c r="AB218" s="33" t="s">
        <v>81</v>
      </c>
      <c r="AC218" s="33" t="s">
        <v>1456</v>
      </c>
      <c r="AD218" s="58">
        <v>0.10833333333333334</v>
      </c>
      <c r="AE218" s="58">
        <v>7.7083333333333337E-2</v>
      </c>
      <c r="AF218" s="58">
        <v>0.10833333333333334</v>
      </c>
      <c r="AG218" s="33" t="s">
        <v>1586</v>
      </c>
      <c r="AH218" s="33">
        <v>2</v>
      </c>
      <c r="AI218" s="43">
        <v>46147.467361111114</v>
      </c>
      <c r="AJ218" s="33" t="s">
        <v>793</v>
      </c>
      <c r="AK218" s="42">
        <v>987654.84</v>
      </c>
      <c r="AL218" s="33" t="s">
        <v>1587</v>
      </c>
    </row>
    <row r="219" spans="1:38">
      <c r="A219" s="33">
        <v>6001490</v>
      </c>
      <c r="B219" s="33"/>
      <c r="C219" s="33" t="s">
        <v>789</v>
      </c>
      <c r="D219" s="33" t="s">
        <v>1521</v>
      </c>
      <c r="E219" s="33" t="s">
        <v>1588</v>
      </c>
      <c r="F219" s="43">
        <v>46147.375</v>
      </c>
      <c r="G219" s="33" t="s">
        <v>792</v>
      </c>
      <c r="H219" s="33"/>
      <c r="I219" s="33" t="s">
        <v>793</v>
      </c>
      <c r="J219" s="33" t="s">
        <v>1398</v>
      </c>
      <c r="K219" s="33" t="s">
        <v>1589</v>
      </c>
      <c r="L219" s="33" t="s">
        <v>966</v>
      </c>
      <c r="M219" s="43">
        <v>46147.842048611114</v>
      </c>
      <c r="N219" s="33" t="s">
        <v>1524</v>
      </c>
      <c r="O219" s="33" t="s">
        <v>797</v>
      </c>
      <c r="P219" s="33" t="s">
        <v>861</v>
      </c>
      <c r="Q219" s="33"/>
      <c r="R219" s="33"/>
      <c r="S219" s="33"/>
      <c r="T219" s="33" t="s">
        <v>140</v>
      </c>
      <c r="U219" s="43">
        <v>46147.78402777778</v>
      </c>
      <c r="V219" s="58">
        <v>4.791666666666667E-2</v>
      </c>
      <c r="W219" s="33"/>
      <c r="X219" s="33"/>
      <c r="Y219" s="33"/>
      <c r="Z219" s="33" t="s">
        <v>140</v>
      </c>
      <c r="AA219" s="43">
        <v>46147.583333333336</v>
      </c>
      <c r="AB219" s="33" t="s">
        <v>81</v>
      </c>
      <c r="AC219" s="33" t="s">
        <v>1400</v>
      </c>
      <c r="AD219" s="58">
        <v>6.25E-2</v>
      </c>
      <c r="AE219" s="33"/>
      <c r="AF219" s="58">
        <v>6.25E-2</v>
      </c>
      <c r="AG219" s="33" t="s">
        <v>1526</v>
      </c>
      <c r="AH219" s="33">
        <v>1</v>
      </c>
      <c r="AI219" s="43">
        <v>46147.78402777778</v>
      </c>
      <c r="AJ219" s="33" t="s">
        <v>793</v>
      </c>
      <c r="AK219" s="42">
        <v>706985.76</v>
      </c>
      <c r="AL219" s="33" t="s">
        <v>1527</v>
      </c>
    </row>
    <row r="220" spans="1:38">
      <c r="A220" s="33" t="s">
        <v>1590</v>
      </c>
      <c r="B220" s="33"/>
      <c r="C220" s="33" t="s">
        <v>789</v>
      </c>
      <c r="D220" s="33" t="s">
        <v>1466</v>
      </c>
      <c r="E220" s="33" t="s">
        <v>1591</v>
      </c>
      <c r="F220" s="43">
        <v>46147.458333333336</v>
      </c>
      <c r="G220" s="33" t="s">
        <v>792</v>
      </c>
      <c r="H220" s="33"/>
      <c r="I220" s="33" t="s">
        <v>793</v>
      </c>
      <c r="J220" s="33" t="s">
        <v>1312</v>
      </c>
      <c r="K220" s="33" t="s">
        <v>75</v>
      </c>
      <c r="L220" s="33" t="s">
        <v>1592</v>
      </c>
      <c r="M220" s="43">
        <v>46147.617962962962</v>
      </c>
      <c r="N220" s="33" t="s">
        <v>1468</v>
      </c>
      <c r="O220" s="33" t="s">
        <v>797</v>
      </c>
      <c r="P220" s="33" t="s">
        <v>799</v>
      </c>
      <c r="Q220" s="43">
        <v>46147.369444444441</v>
      </c>
      <c r="R220" s="43">
        <v>46147.414583333331</v>
      </c>
      <c r="S220" s="58">
        <v>4.5138888888888888E-2</v>
      </c>
      <c r="T220" s="33" t="s">
        <v>140</v>
      </c>
      <c r="U220" s="43">
        <v>46147.45416666667</v>
      </c>
      <c r="V220" s="58">
        <v>0.16111111111111112</v>
      </c>
      <c r="W220" s="33" t="s">
        <v>140</v>
      </c>
      <c r="X220" s="43">
        <v>46147.45416666667</v>
      </c>
      <c r="Y220" s="58">
        <v>0.16111111111111112</v>
      </c>
      <c r="Z220" s="33" t="s">
        <v>140</v>
      </c>
      <c r="AA220" s="43">
        <v>46147.541666666664</v>
      </c>
      <c r="AB220" s="33" t="s">
        <v>81</v>
      </c>
      <c r="AC220" s="33" t="s">
        <v>1314</v>
      </c>
      <c r="AD220" s="58">
        <v>0.24791666666666667</v>
      </c>
      <c r="AE220" s="58">
        <v>0.20277777777777778</v>
      </c>
      <c r="AF220" s="58">
        <v>0.24791666666666667</v>
      </c>
      <c r="AG220" s="33" t="s">
        <v>1469</v>
      </c>
      <c r="AH220" s="33">
        <v>2</v>
      </c>
      <c r="AI220" s="43">
        <v>46147.45416666667</v>
      </c>
      <c r="AJ220" s="33" t="s">
        <v>793</v>
      </c>
      <c r="AK220" s="42">
        <v>1087279.71</v>
      </c>
      <c r="AL220" s="33" t="s">
        <v>1470</v>
      </c>
    </row>
    <row r="221" spans="1:38">
      <c r="A221" s="33">
        <v>5996286</v>
      </c>
      <c r="B221" s="33"/>
      <c r="C221" s="33" t="s">
        <v>789</v>
      </c>
      <c r="D221" s="33" t="s">
        <v>1593</v>
      </c>
      <c r="E221" s="33" t="s">
        <v>1594</v>
      </c>
      <c r="F221" s="43">
        <v>46147.375</v>
      </c>
      <c r="G221" s="33" t="s">
        <v>792</v>
      </c>
      <c r="H221" s="33"/>
      <c r="I221" s="33" t="s">
        <v>793</v>
      </c>
      <c r="J221" s="33" t="s">
        <v>811</v>
      </c>
      <c r="K221" s="33" t="s">
        <v>149</v>
      </c>
      <c r="L221" s="33" t="s">
        <v>1595</v>
      </c>
      <c r="M221" s="43">
        <v>46147.671458333331</v>
      </c>
      <c r="N221" s="33" t="s">
        <v>1596</v>
      </c>
      <c r="O221" s="33" t="s">
        <v>797</v>
      </c>
      <c r="P221" s="33" t="s">
        <v>798</v>
      </c>
      <c r="Q221" s="43">
        <v>46147.436805555553</v>
      </c>
      <c r="R221" s="43">
        <v>46147.478472222225</v>
      </c>
      <c r="S221" s="58">
        <v>4.1666666666666664E-2</v>
      </c>
      <c r="T221" s="33" t="s">
        <v>799</v>
      </c>
      <c r="U221" s="43">
        <v>46147.602777777778</v>
      </c>
      <c r="V221" s="58">
        <v>4.3055555555555555E-2</v>
      </c>
      <c r="W221" s="33"/>
      <c r="X221" s="33"/>
      <c r="Y221" s="33"/>
      <c r="Z221" s="33" t="s">
        <v>799</v>
      </c>
      <c r="AA221" s="43">
        <v>46147.625</v>
      </c>
      <c r="AB221" s="33" t="s">
        <v>1532</v>
      </c>
      <c r="AC221" s="33" t="s">
        <v>814</v>
      </c>
      <c r="AD221" s="58">
        <v>0.30416666666666664</v>
      </c>
      <c r="AE221" s="33"/>
      <c r="AF221" s="58">
        <v>0.30416666666666664</v>
      </c>
      <c r="AG221" s="33" t="s">
        <v>1597</v>
      </c>
      <c r="AH221" s="33">
        <v>2</v>
      </c>
      <c r="AI221" s="43">
        <v>46147.602777777778</v>
      </c>
      <c r="AJ221" s="33" t="s">
        <v>793</v>
      </c>
      <c r="AK221" s="42">
        <v>461544.48</v>
      </c>
      <c r="AL221" s="33" t="s">
        <v>1598</v>
      </c>
    </row>
    <row r="222" spans="1:38">
      <c r="A222" s="33" t="s">
        <v>1599</v>
      </c>
      <c r="B222" s="33"/>
      <c r="C222" s="33" t="s">
        <v>789</v>
      </c>
      <c r="D222" s="33" t="s">
        <v>938</v>
      </c>
      <c r="E222" s="33" t="s">
        <v>1600</v>
      </c>
      <c r="F222" s="43">
        <v>46147.5</v>
      </c>
      <c r="G222" s="33" t="s">
        <v>792</v>
      </c>
      <c r="H222" s="33"/>
      <c r="I222" s="33" t="s">
        <v>793</v>
      </c>
      <c r="J222" s="33" t="s">
        <v>1601</v>
      </c>
      <c r="K222" s="33" t="s">
        <v>75</v>
      </c>
      <c r="L222" s="33" t="s">
        <v>998</v>
      </c>
      <c r="M222" s="43">
        <v>46147.901701388888</v>
      </c>
      <c r="N222" s="33" t="s">
        <v>940</v>
      </c>
      <c r="O222" s="33" t="s">
        <v>797</v>
      </c>
      <c r="P222" s="33" t="s">
        <v>861</v>
      </c>
      <c r="Q222" s="43">
        <v>46147.550694444442</v>
      </c>
      <c r="R222" s="43">
        <v>46147.566666666666</v>
      </c>
      <c r="S222" s="58">
        <v>1.5972222222222221E-2</v>
      </c>
      <c r="T222" s="33" t="s">
        <v>799</v>
      </c>
      <c r="U222" s="43">
        <v>46147.879166666666</v>
      </c>
      <c r="V222" s="58">
        <v>2.0833333333333332E-2</v>
      </c>
      <c r="W222" s="33" t="s">
        <v>799</v>
      </c>
      <c r="X222" s="43">
        <v>46147.879166666666</v>
      </c>
      <c r="Y222" s="58">
        <v>2.0833333333333332E-2</v>
      </c>
      <c r="Z222" s="33" t="s">
        <v>799</v>
      </c>
      <c r="AA222" s="43">
        <v>46147.75</v>
      </c>
      <c r="AB222" s="33" t="s">
        <v>81</v>
      </c>
      <c r="AC222" s="33" t="s">
        <v>934</v>
      </c>
      <c r="AD222" s="58">
        <v>0.34722222222222221</v>
      </c>
      <c r="AE222" s="58">
        <v>0.3347222222222222</v>
      </c>
      <c r="AF222" s="58">
        <v>0.34722222222222221</v>
      </c>
      <c r="AG222" s="33" t="s">
        <v>942</v>
      </c>
      <c r="AH222" s="33">
        <v>2</v>
      </c>
      <c r="AI222" s="43">
        <v>46147.879166666666</v>
      </c>
      <c r="AJ222" s="33" t="s">
        <v>793</v>
      </c>
      <c r="AK222" s="42">
        <v>2228474.04</v>
      </c>
      <c r="AL222" s="33" t="s">
        <v>943</v>
      </c>
    </row>
    <row r="223" spans="1:38">
      <c r="A223" s="33" t="s">
        <v>1602</v>
      </c>
      <c r="B223" s="33"/>
      <c r="C223" s="33" t="s">
        <v>789</v>
      </c>
      <c r="D223" s="33" t="s">
        <v>931</v>
      </c>
      <c r="E223" s="33" t="s">
        <v>1603</v>
      </c>
      <c r="F223" s="43">
        <v>46147.541666666664</v>
      </c>
      <c r="G223" s="33" t="s">
        <v>792</v>
      </c>
      <c r="H223" s="33"/>
      <c r="I223" s="33" t="s">
        <v>793</v>
      </c>
      <c r="J223" s="33" t="s">
        <v>922</v>
      </c>
      <c r="K223" s="33" t="s">
        <v>75</v>
      </c>
      <c r="L223" s="33" t="s">
        <v>806</v>
      </c>
      <c r="M223" s="43">
        <v>46147.88349537037</v>
      </c>
      <c r="N223" s="33" t="s">
        <v>933</v>
      </c>
      <c r="O223" s="33" t="s">
        <v>868</v>
      </c>
      <c r="P223" s="33" t="s">
        <v>861</v>
      </c>
      <c r="Q223" s="43">
        <v>46147.551388888889</v>
      </c>
      <c r="R223" s="43">
        <v>46147.666666666664</v>
      </c>
      <c r="S223" s="58">
        <v>0.11527777777777778</v>
      </c>
      <c r="T223" s="33" t="s">
        <v>799</v>
      </c>
      <c r="U223" s="43">
        <v>46147.87222222222</v>
      </c>
      <c r="V223" s="58">
        <v>1.1111111111111112E-2</v>
      </c>
      <c r="W223" s="33"/>
      <c r="X223" s="33"/>
      <c r="Y223" s="33"/>
      <c r="Z223" s="33" t="s">
        <v>799</v>
      </c>
      <c r="AA223" s="43">
        <v>46147.75</v>
      </c>
      <c r="AB223" s="33" t="s">
        <v>81</v>
      </c>
      <c r="AC223" s="33" t="s">
        <v>81</v>
      </c>
      <c r="AD223" s="58">
        <v>0.3298611111111111</v>
      </c>
      <c r="AE223" s="33"/>
      <c r="AF223" s="58">
        <v>0.3298611111111111</v>
      </c>
      <c r="AG223" s="33" t="s">
        <v>1604</v>
      </c>
      <c r="AH223" s="33">
        <v>2</v>
      </c>
      <c r="AI223" s="43">
        <v>46147.87222222222</v>
      </c>
      <c r="AJ223" s="33" t="s">
        <v>793</v>
      </c>
      <c r="AK223" s="42">
        <v>1945031.2</v>
      </c>
      <c r="AL223" s="33" t="s">
        <v>936</v>
      </c>
    </row>
    <row r="224" spans="1:38">
      <c r="A224" s="33">
        <v>6004223</v>
      </c>
      <c r="B224" s="33"/>
      <c r="C224" s="33" t="s">
        <v>789</v>
      </c>
      <c r="D224" s="33" t="s">
        <v>1605</v>
      </c>
      <c r="E224" s="33" t="s">
        <v>1606</v>
      </c>
      <c r="F224" s="43">
        <v>46147.375</v>
      </c>
      <c r="G224" s="33" t="s">
        <v>792</v>
      </c>
      <c r="H224" s="33"/>
      <c r="I224" s="33" t="s">
        <v>793</v>
      </c>
      <c r="J224" s="33" t="s">
        <v>1607</v>
      </c>
      <c r="K224" s="33" t="s">
        <v>75</v>
      </c>
      <c r="L224" s="33" t="s">
        <v>1451</v>
      </c>
      <c r="M224" s="43">
        <v>46147.555451388886</v>
      </c>
      <c r="N224" s="33" t="s">
        <v>1608</v>
      </c>
      <c r="O224" s="33" t="s">
        <v>797</v>
      </c>
      <c r="P224" s="33" t="s">
        <v>1453</v>
      </c>
      <c r="Q224" s="43">
        <v>46147.398611111108</v>
      </c>
      <c r="R224" s="43">
        <v>46147.410416666666</v>
      </c>
      <c r="S224" s="58">
        <v>1.1805555555555555E-2</v>
      </c>
      <c r="T224" s="33" t="s">
        <v>1455</v>
      </c>
      <c r="U224" s="43">
        <v>46147.551388888889</v>
      </c>
      <c r="V224" s="58">
        <v>3.472222222222222E-3</v>
      </c>
      <c r="W224" s="33" t="s">
        <v>1454</v>
      </c>
      <c r="X224" s="43">
        <v>46147.48541666667</v>
      </c>
      <c r="Y224" s="58">
        <v>6.9444444444444448E-2</v>
      </c>
      <c r="Z224" s="33" t="s">
        <v>1455</v>
      </c>
      <c r="AA224" s="43">
        <v>46147.551388888889</v>
      </c>
      <c r="AB224" s="33" t="s">
        <v>1052</v>
      </c>
      <c r="AC224" s="33" t="s">
        <v>1609</v>
      </c>
      <c r="AD224" s="58">
        <v>0.16041666666666668</v>
      </c>
      <c r="AE224" s="58">
        <v>0.14444444444444443</v>
      </c>
      <c r="AF224" s="58">
        <v>0.16041666666666668</v>
      </c>
      <c r="AG224" s="33" t="s">
        <v>1610</v>
      </c>
      <c r="AH224" s="33">
        <v>2</v>
      </c>
      <c r="AI224" s="33"/>
      <c r="AJ224" s="33" t="s">
        <v>793</v>
      </c>
      <c r="AK224" s="42">
        <v>1050789.46</v>
      </c>
      <c r="AL224" s="33" t="s">
        <v>1611</v>
      </c>
    </row>
    <row r="225" spans="1:38">
      <c r="A225" s="33">
        <v>5996487</v>
      </c>
      <c r="B225" s="33"/>
      <c r="C225" s="33" t="s">
        <v>789</v>
      </c>
      <c r="D225" s="33" t="s">
        <v>804</v>
      </c>
      <c r="E225" s="33" t="s">
        <v>1612</v>
      </c>
      <c r="F225" s="43">
        <v>46147.458333333336</v>
      </c>
      <c r="G225" s="33" t="s">
        <v>792</v>
      </c>
      <c r="H225" s="33"/>
      <c r="I225" s="33" t="s">
        <v>793</v>
      </c>
      <c r="J225" s="33" t="s">
        <v>887</v>
      </c>
      <c r="K225" s="33" t="s">
        <v>75</v>
      </c>
      <c r="L225" s="33" t="s">
        <v>795</v>
      </c>
      <c r="M225" s="43">
        <v>46147.868090277778</v>
      </c>
      <c r="N225" s="33" t="s">
        <v>796</v>
      </c>
      <c r="O225" s="33" t="s">
        <v>797</v>
      </c>
      <c r="P225" s="33" t="s">
        <v>798</v>
      </c>
      <c r="Q225" s="43">
        <v>46147.568749999999</v>
      </c>
      <c r="R225" s="43">
        <v>46147.606249999997</v>
      </c>
      <c r="S225" s="58">
        <v>3.7499999999999999E-2</v>
      </c>
      <c r="T225" s="33" t="s">
        <v>799</v>
      </c>
      <c r="U225" s="43">
        <v>46147.834027777775</v>
      </c>
      <c r="V225" s="58">
        <v>3.125E-2</v>
      </c>
      <c r="W225" s="33" t="s">
        <v>799</v>
      </c>
      <c r="X225" s="43">
        <v>46147.834027777775</v>
      </c>
      <c r="Y225" s="58">
        <v>3.125E-2</v>
      </c>
      <c r="Z225" s="33" t="s">
        <v>799</v>
      </c>
      <c r="AA225" s="43">
        <v>46148.75</v>
      </c>
      <c r="AB225" s="33" t="s">
        <v>81</v>
      </c>
      <c r="AC225" s="33" t="s">
        <v>890</v>
      </c>
      <c r="AD225" s="58">
        <v>0.47986111111111113</v>
      </c>
      <c r="AE225" s="58">
        <v>0.26111111111111113</v>
      </c>
      <c r="AF225" s="58">
        <v>0.47986111111111113</v>
      </c>
      <c r="AG225" s="33" t="s">
        <v>1083</v>
      </c>
      <c r="AH225" s="33">
        <v>2</v>
      </c>
      <c r="AI225" s="43">
        <v>46147.834027777775</v>
      </c>
      <c r="AJ225" s="33" t="s">
        <v>793</v>
      </c>
      <c r="AK225" s="42">
        <v>765445.02</v>
      </c>
      <c r="AL225" s="33" t="s">
        <v>808</v>
      </c>
    </row>
    <row r="226" spans="1:38">
      <c r="A226" s="33">
        <v>6009602</v>
      </c>
      <c r="B226" s="33"/>
      <c r="C226" s="33" t="s">
        <v>789</v>
      </c>
      <c r="D226" s="33" t="s">
        <v>1613</v>
      </c>
      <c r="E226" s="33" t="s">
        <v>1614</v>
      </c>
      <c r="F226" s="43">
        <v>46147.708333333336</v>
      </c>
      <c r="G226" s="33" t="s">
        <v>184</v>
      </c>
      <c r="H226" s="33"/>
      <c r="I226" s="33" t="s">
        <v>73</v>
      </c>
      <c r="J226" s="33" t="s">
        <v>1068</v>
      </c>
      <c r="K226" s="33" t="s">
        <v>1615</v>
      </c>
      <c r="L226" s="33" t="s">
        <v>1616</v>
      </c>
      <c r="M226" s="43">
        <v>46150.646851851852</v>
      </c>
      <c r="N226" s="33" t="s">
        <v>1617</v>
      </c>
      <c r="O226" s="33" t="s">
        <v>797</v>
      </c>
      <c r="P226" s="33" t="s">
        <v>79</v>
      </c>
      <c r="Q226" s="33"/>
      <c r="R226" s="33"/>
      <c r="S226" s="33"/>
      <c r="T226" s="33" t="s">
        <v>434</v>
      </c>
      <c r="U226" s="43">
        <v>46150.181944444441</v>
      </c>
      <c r="V226" s="58">
        <v>0.46597222222222223</v>
      </c>
      <c r="W226" s="33"/>
      <c r="X226" s="33"/>
      <c r="Y226" s="33"/>
      <c r="Z226" s="33" t="s">
        <v>434</v>
      </c>
      <c r="AA226" s="43">
        <v>46150.208333333336</v>
      </c>
      <c r="AB226" s="33" t="s">
        <v>81</v>
      </c>
      <c r="AC226" s="33" t="s">
        <v>1071</v>
      </c>
      <c r="AD226" s="44">
        <v>2.9451388888888888</v>
      </c>
      <c r="AE226" s="33"/>
      <c r="AF226" s="44">
        <v>2.9451388888888888</v>
      </c>
      <c r="AG226" s="33" t="s">
        <v>1618</v>
      </c>
      <c r="AH226" s="33">
        <v>1</v>
      </c>
      <c r="AI226" s="43">
        <v>46150.181944444441</v>
      </c>
      <c r="AJ226" s="33" t="s">
        <v>73</v>
      </c>
      <c r="AK226" s="42">
        <v>158250.75</v>
      </c>
      <c r="AL226" s="33" t="s">
        <v>1619</v>
      </c>
    </row>
    <row r="227" spans="1:38">
      <c r="A227" s="33">
        <v>6002375</v>
      </c>
      <c r="B227" s="33"/>
      <c r="C227" s="33" t="s">
        <v>789</v>
      </c>
      <c r="D227" s="33" t="s">
        <v>1366</v>
      </c>
      <c r="E227" s="33" t="s">
        <v>1620</v>
      </c>
      <c r="F227" s="43">
        <v>46147.5</v>
      </c>
      <c r="G227" s="33" t="s">
        <v>792</v>
      </c>
      <c r="H227" s="33"/>
      <c r="I227" s="33" t="s">
        <v>793</v>
      </c>
      <c r="J227" s="33" t="s">
        <v>1312</v>
      </c>
      <c r="K227" s="33" t="s">
        <v>75</v>
      </c>
      <c r="L227" s="33" t="s">
        <v>1112</v>
      </c>
      <c r="M227" s="43">
        <v>46147.510150462964</v>
      </c>
      <c r="N227" s="33" t="s">
        <v>796</v>
      </c>
      <c r="O227" s="33" t="s">
        <v>797</v>
      </c>
      <c r="P227" s="33" t="s">
        <v>799</v>
      </c>
      <c r="Q227" s="43">
        <v>46147.426388888889</v>
      </c>
      <c r="R227" s="43">
        <v>46147.461805555555</v>
      </c>
      <c r="S227" s="58">
        <v>3.5416666666666666E-2</v>
      </c>
      <c r="T227" s="33" t="s">
        <v>140</v>
      </c>
      <c r="U227" s="33"/>
      <c r="V227" s="33"/>
      <c r="W227" s="33"/>
      <c r="X227" s="33"/>
      <c r="Y227" s="33"/>
      <c r="Z227" s="33" t="s">
        <v>140</v>
      </c>
      <c r="AA227" s="43">
        <v>46148.583333333336</v>
      </c>
      <c r="AB227" s="33" t="s">
        <v>1621</v>
      </c>
      <c r="AC227" s="33" t="s">
        <v>1314</v>
      </c>
      <c r="AD227" s="58">
        <v>0.12083333333333333</v>
      </c>
      <c r="AE227" s="33"/>
      <c r="AF227" s="58">
        <v>0.12083333333333333</v>
      </c>
      <c r="AG227" s="33" t="s">
        <v>1369</v>
      </c>
      <c r="AH227" s="33">
        <v>1</v>
      </c>
      <c r="AI227" s="43">
        <v>46147.493055555555</v>
      </c>
      <c r="AJ227" s="33" t="s">
        <v>793</v>
      </c>
      <c r="AK227" s="42">
        <v>572811.36</v>
      </c>
      <c r="AL227" s="33" t="s">
        <v>1370</v>
      </c>
    </row>
    <row r="228" spans="1:38">
      <c r="A228" s="33">
        <v>6002499</v>
      </c>
      <c r="B228" s="33"/>
      <c r="C228" s="33" t="s">
        <v>789</v>
      </c>
      <c r="D228" s="33" t="s">
        <v>1047</v>
      </c>
      <c r="E228" s="33" t="s">
        <v>1622</v>
      </c>
      <c r="F228" s="43">
        <v>46147.5</v>
      </c>
      <c r="G228" s="33" t="s">
        <v>792</v>
      </c>
      <c r="H228" s="33"/>
      <c r="I228" s="33" t="s">
        <v>793</v>
      </c>
      <c r="J228" s="33" t="s">
        <v>1049</v>
      </c>
      <c r="K228" s="33" t="s">
        <v>75</v>
      </c>
      <c r="L228" s="33" t="s">
        <v>1623</v>
      </c>
      <c r="M228" s="43">
        <v>46147.491215277776</v>
      </c>
      <c r="N228" s="33" t="s">
        <v>1051</v>
      </c>
      <c r="O228" s="33" t="s">
        <v>797</v>
      </c>
      <c r="P228" s="33" t="s">
        <v>799</v>
      </c>
      <c r="Q228" s="43">
        <v>46147.447916666664</v>
      </c>
      <c r="R228" s="43">
        <v>46147.464583333334</v>
      </c>
      <c r="S228" s="58">
        <v>1.6666666666666666E-2</v>
      </c>
      <c r="T228" s="33" t="s">
        <v>140</v>
      </c>
      <c r="U228" s="33"/>
      <c r="V228" s="33"/>
      <c r="W228" s="33"/>
      <c r="X228" s="33"/>
      <c r="Y228" s="33"/>
      <c r="Z228" s="33" t="s">
        <v>140</v>
      </c>
      <c r="AA228" s="43">
        <v>46148.5</v>
      </c>
      <c r="AB228" s="33" t="s">
        <v>1226</v>
      </c>
      <c r="AC228" s="33" t="s">
        <v>1053</v>
      </c>
      <c r="AD228" s="58">
        <v>6.5972222222222224E-2</v>
      </c>
      <c r="AE228" s="33"/>
      <c r="AF228" s="58">
        <v>6.5972222222222224E-2</v>
      </c>
      <c r="AG228" s="33" t="s">
        <v>1205</v>
      </c>
      <c r="AH228" s="33">
        <v>1</v>
      </c>
      <c r="AI228" s="43">
        <v>46147.488888888889</v>
      </c>
      <c r="AJ228" s="33" t="s">
        <v>793</v>
      </c>
      <c r="AK228" s="42">
        <v>994791.43</v>
      </c>
      <c r="AL228" s="33" t="s">
        <v>1055</v>
      </c>
    </row>
    <row r="229" spans="1:38">
      <c r="A229" s="33">
        <v>5996344</v>
      </c>
      <c r="B229" s="33"/>
      <c r="C229" s="33" t="s">
        <v>789</v>
      </c>
      <c r="D229" s="33" t="s">
        <v>1032</v>
      </c>
      <c r="E229" s="33" t="s">
        <v>1624</v>
      </c>
      <c r="F229" s="43">
        <v>46147.541666666664</v>
      </c>
      <c r="G229" s="33" t="s">
        <v>792</v>
      </c>
      <c r="H229" s="33"/>
      <c r="I229" s="33" t="s">
        <v>793</v>
      </c>
      <c r="J229" s="33" t="s">
        <v>1049</v>
      </c>
      <c r="K229" s="33"/>
      <c r="L229" s="33"/>
      <c r="M229" s="33"/>
      <c r="N229" s="33"/>
      <c r="O229" s="33" t="s">
        <v>797</v>
      </c>
      <c r="P229" s="33" t="s">
        <v>799</v>
      </c>
      <c r="Q229" s="33"/>
      <c r="R229" s="33"/>
      <c r="S229" s="33"/>
      <c r="T229" s="33" t="s">
        <v>140</v>
      </c>
      <c r="U229" s="33"/>
      <c r="V229" s="33"/>
      <c r="W229" s="33"/>
      <c r="X229" s="33"/>
      <c r="Y229" s="33"/>
      <c r="Z229" s="33" t="s">
        <v>140</v>
      </c>
      <c r="AA229" s="43">
        <v>46148.5</v>
      </c>
      <c r="AB229" s="33" t="s">
        <v>81</v>
      </c>
      <c r="AC229" s="33" t="s">
        <v>81</v>
      </c>
      <c r="AD229" s="33"/>
      <c r="AE229" s="33"/>
      <c r="AF229" s="33"/>
      <c r="AG229" s="33" t="s">
        <v>1279</v>
      </c>
      <c r="AH229" s="33">
        <v>0</v>
      </c>
      <c r="AI229" s="33"/>
      <c r="AJ229" s="33" t="s">
        <v>793</v>
      </c>
      <c r="AK229" s="42">
        <v>526037.44999999995</v>
      </c>
      <c r="AL229" s="33" t="s">
        <v>1039</v>
      </c>
    </row>
    <row r="230" spans="1:38">
      <c r="A230" s="33" t="s">
        <v>1625</v>
      </c>
      <c r="B230" s="33"/>
      <c r="C230" s="33" t="s">
        <v>789</v>
      </c>
      <c r="D230" s="33" t="s">
        <v>956</v>
      </c>
      <c r="E230" s="33" t="s">
        <v>1626</v>
      </c>
      <c r="F230" s="43">
        <v>46147.708333333336</v>
      </c>
      <c r="G230" s="33" t="s">
        <v>171</v>
      </c>
      <c r="H230" s="33"/>
      <c r="I230" s="33" t="s">
        <v>793</v>
      </c>
      <c r="J230" s="33" t="s">
        <v>1230</v>
      </c>
      <c r="K230" s="33" t="s">
        <v>75</v>
      </c>
      <c r="L230" s="33" t="s">
        <v>1627</v>
      </c>
      <c r="M230" s="43">
        <v>46147.863425925927</v>
      </c>
      <c r="N230" s="33" t="s">
        <v>174</v>
      </c>
      <c r="O230" s="33" t="s">
        <v>797</v>
      </c>
      <c r="P230" s="33" t="s">
        <v>967</v>
      </c>
      <c r="Q230" s="33"/>
      <c r="R230" s="33"/>
      <c r="S230" s="33"/>
      <c r="T230" s="33" t="s">
        <v>308</v>
      </c>
      <c r="U230" s="43">
        <v>46147.84097222222</v>
      </c>
      <c r="V230" s="58">
        <v>2.0833333333333332E-2</v>
      </c>
      <c r="W230" s="33" t="s">
        <v>308</v>
      </c>
      <c r="X230" s="43">
        <v>46147.84097222222</v>
      </c>
      <c r="Y230" s="58">
        <v>2.0833333333333332E-2</v>
      </c>
      <c r="Z230" s="33" t="s">
        <v>308</v>
      </c>
      <c r="AA230" s="43">
        <v>46152</v>
      </c>
      <c r="AB230" s="33" t="s">
        <v>81</v>
      </c>
      <c r="AC230" s="33" t="s">
        <v>1232</v>
      </c>
      <c r="AD230" s="58">
        <v>0.15833333333333333</v>
      </c>
      <c r="AE230" s="33"/>
      <c r="AF230" s="58">
        <v>0.15833333333333333</v>
      </c>
      <c r="AG230" s="33" t="s">
        <v>961</v>
      </c>
      <c r="AH230" s="33">
        <v>1</v>
      </c>
      <c r="AI230" s="43">
        <v>46147.84097222222</v>
      </c>
      <c r="AJ230" s="33" t="s">
        <v>793</v>
      </c>
      <c r="AK230" s="42">
        <v>301879.56</v>
      </c>
      <c r="AL230" s="33" t="s">
        <v>962</v>
      </c>
    </row>
    <row r="231" spans="1:38">
      <c r="A231" s="33" t="s">
        <v>1628</v>
      </c>
      <c r="B231" s="33"/>
      <c r="C231" s="33" t="s">
        <v>789</v>
      </c>
      <c r="D231" s="33" t="s">
        <v>599</v>
      </c>
      <c r="E231" s="33" t="s">
        <v>1629</v>
      </c>
      <c r="F231" s="43">
        <v>46147.666666666664</v>
      </c>
      <c r="G231" s="33" t="s">
        <v>171</v>
      </c>
      <c r="H231" s="33"/>
      <c r="I231" s="33" t="s">
        <v>793</v>
      </c>
      <c r="J231" s="33" t="s">
        <v>1630</v>
      </c>
      <c r="K231" s="33" t="s">
        <v>75</v>
      </c>
      <c r="L231" s="33" t="s">
        <v>492</v>
      </c>
      <c r="M231" s="43">
        <v>46148.103310185186</v>
      </c>
      <c r="N231" s="33" t="s">
        <v>603</v>
      </c>
      <c r="O231" s="33" t="s">
        <v>797</v>
      </c>
      <c r="P231" s="33" t="s">
        <v>861</v>
      </c>
      <c r="Q231" s="33"/>
      <c r="R231" s="33"/>
      <c r="S231" s="33"/>
      <c r="T231" s="33" t="s">
        <v>308</v>
      </c>
      <c r="U231" s="43">
        <v>46147.82916666667</v>
      </c>
      <c r="V231" s="58">
        <v>0.27430555555555558</v>
      </c>
      <c r="W231" s="33" t="s">
        <v>308</v>
      </c>
      <c r="X231" s="43">
        <v>46147.82916666667</v>
      </c>
      <c r="Y231" s="58">
        <v>0.27430555555555558</v>
      </c>
      <c r="Z231" s="33" t="s">
        <v>308</v>
      </c>
      <c r="AA231" s="43">
        <v>46148</v>
      </c>
      <c r="AB231" s="33" t="s">
        <v>81</v>
      </c>
      <c r="AC231" s="33" t="s">
        <v>1631</v>
      </c>
      <c r="AD231" s="58">
        <v>0.40555555555555556</v>
      </c>
      <c r="AE231" s="33"/>
      <c r="AF231" s="58">
        <v>0.40555555555555556</v>
      </c>
      <c r="AG231" s="33" t="s">
        <v>969</v>
      </c>
      <c r="AH231" s="33">
        <v>1</v>
      </c>
      <c r="AI231" s="43">
        <v>46147.82916666667</v>
      </c>
      <c r="AJ231" s="33" t="s">
        <v>793</v>
      </c>
      <c r="AK231" s="42">
        <v>633207</v>
      </c>
      <c r="AL231" s="33" t="s">
        <v>609</v>
      </c>
    </row>
    <row r="232" spans="1:38">
      <c r="A232" s="33" t="s">
        <v>1632</v>
      </c>
      <c r="B232" s="33"/>
      <c r="C232" s="33" t="s">
        <v>789</v>
      </c>
      <c r="D232" s="33" t="s">
        <v>1633</v>
      </c>
      <c r="E232" s="33" t="s">
        <v>1634</v>
      </c>
      <c r="F232" s="43">
        <v>46147.5</v>
      </c>
      <c r="G232" s="33" t="s">
        <v>1635</v>
      </c>
      <c r="H232" s="33"/>
      <c r="I232" s="33" t="s">
        <v>772</v>
      </c>
      <c r="J232" s="33" t="s">
        <v>1636</v>
      </c>
      <c r="K232" s="33" t="s">
        <v>75</v>
      </c>
      <c r="L232" s="33" t="s">
        <v>1256</v>
      </c>
      <c r="M232" s="43">
        <v>46148.523761574077</v>
      </c>
      <c r="N232" s="33" t="s">
        <v>1637</v>
      </c>
      <c r="O232" s="33" t="s">
        <v>682</v>
      </c>
      <c r="P232" s="33" t="s">
        <v>140</v>
      </c>
      <c r="Q232" s="33"/>
      <c r="R232" s="33"/>
      <c r="S232" s="33"/>
      <c r="T232" s="33" t="s">
        <v>1258</v>
      </c>
      <c r="U232" s="43">
        <v>46148.370138888888</v>
      </c>
      <c r="V232" s="58">
        <v>0.10416666666666667</v>
      </c>
      <c r="W232" s="33"/>
      <c r="X232" s="33"/>
      <c r="Y232" s="33"/>
      <c r="Z232" s="33" t="s">
        <v>1258</v>
      </c>
      <c r="AA232" s="43">
        <v>46149</v>
      </c>
      <c r="AB232" s="33" t="s">
        <v>81</v>
      </c>
      <c r="AC232" s="33" t="s">
        <v>1638</v>
      </c>
      <c r="AD232" s="44">
        <v>1.0131944444444445</v>
      </c>
      <c r="AE232" s="33"/>
      <c r="AF232" s="44">
        <v>1.0131944444444445</v>
      </c>
      <c r="AG232" s="33" t="s">
        <v>1639</v>
      </c>
      <c r="AH232" s="33">
        <v>2</v>
      </c>
      <c r="AI232" s="43">
        <v>46148.370138888888</v>
      </c>
      <c r="AJ232" s="33" t="s">
        <v>73</v>
      </c>
      <c r="AK232" s="42">
        <v>604059.09</v>
      </c>
      <c r="AL232" s="33" t="s">
        <v>1640</v>
      </c>
    </row>
    <row r="233" spans="1:38">
      <c r="A233" s="33">
        <v>6010787</v>
      </c>
      <c r="B233" s="33"/>
      <c r="C233" s="33" t="s">
        <v>789</v>
      </c>
      <c r="D233" s="33" t="s">
        <v>1641</v>
      </c>
      <c r="E233" s="33" t="s">
        <v>1642</v>
      </c>
      <c r="F233" s="43">
        <v>46147.479861111111</v>
      </c>
      <c r="G233" s="33" t="s">
        <v>114</v>
      </c>
      <c r="H233" s="33"/>
      <c r="I233" s="33" t="s">
        <v>73</v>
      </c>
      <c r="J233" s="33" t="s">
        <v>1643</v>
      </c>
      <c r="K233" s="33" t="s">
        <v>75</v>
      </c>
      <c r="L233" s="33" t="s">
        <v>1644</v>
      </c>
      <c r="M233" s="43">
        <v>46154.649340277778</v>
      </c>
      <c r="N233" s="33" t="s">
        <v>1645</v>
      </c>
      <c r="O233" s="33" t="s">
        <v>93</v>
      </c>
      <c r="P233" s="33" t="s">
        <v>79</v>
      </c>
      <c r="Q233" s="43">
        <v>46147.652083333334</v>
      </c>
      <c r="R233" s="43">
        <v>46147.753472222219</v>
      </c>
      <c r="S233" s="58">
        <v>0.10138888888888889</v>
      </c>
      <c r="T233" s="33" t="s">
        <v>594</v>
      </c>
      <c r="U233" s="43">
        <v>46152.442361111112</v>
      </c>
      <c r="V233" s="44">
        <v>2.0833333333333335</v>
      </c>
      <c r="W233" s="33"/>
      <c r="X233" s="33"/>
      <c r="Y233" s="33"/>
      <c r="Z233" s="33" t="s">
        <v>594</v>
      </c>
      <c r="AA233" s="43">
        <v>46154.25</v>
      </c>
      <c r="AB233" s="33" t="s">
        <v>81</v>
      </c>
      <c r="AC233" s="33" t="s">
        <v>1646</v>
      </c>
      <c r="AD233" s="44">
        <v>7.1375000000000002</v>
      </c>
      <c r="AE233" s="33"/>
      <c r="AF233" s="44">
        <v>7.1375000000000002</v>
      </c>
      <c r="AG233" s="33" t="s">
        <v>1647</v>
      </c>
      <c r="AH233" s="33">
        <v>2</v>
      </c>
      <c r="AI233" s="43">
        <v>46152.442361111112</v>
      </c>
      <c r="AJ233" s="33" t="s">
        <v>73</v>
      </c>
      <c r="AK233" s="42">
        <v>157389.12</v>
      </c>
      <c r="AL233" s="33" t="s">
        <v>1648</v>
      </c>
    </row>
    <row r="234" spans="1:38">
      <c r="A234" s="33">
        <v>6004229</v>
      </c>
      <c r="B234" s="33"/>
      <c r="C234" s="33" t="s">
        <v>789</v>
      </c>
      <c r="D234" s="33" t="s">
        <v>1448</v>
      </c>
      <c r="E234" s="33" t="s">
        <v>1649</v>
      </c>
      <c r="F234" s="43">
        <v>46147.541666666664</v>
      </c>
      <c r="G234" s="33" t="s">
        <v>792</v>
      </c>
      <c r="H234" s="33"/>
      <c r="I234" s="33" t="s">
        <v>793</v>
      </c>
      <c r="J234" s="33" t="s">
        <v>1607</v>
      </c>
      <c r="K234" s="33" t="s">
        <v>75</v>
      </c>
      <c r="L234" s="33" t="s">
        <v>1650</v>
      </c>
      <c r="M234" s="43">
        <v>46147.655902777777</v>
      </c>
      <c r="N234" s="33" t="s">
        <v>1452</v>
      </c>
      <c r="O234" s="33" t="s">
        <v>797</v>
      </c>
      <c r="P234" s="33" t="s">
        <v>1453</v>
      </c>
      <c r="Q234" s="33"/>
      <c r="R234" s="33"/>
      <c r="S234" s="33"/>
      <c r="T234" s="33" t="s">
        <v>1454</v>
      </c>
      <c r="U234" s="43">
        <v>46147.579861111109</v>
      </c>
      <c r="V234" s="58">
        <v>7.3611111111111113E-2</v>
      </c>
      <c r="W234" s="33" t="s">
        <v>1454</v>
      </c>
      <c r="X234" s="43">
        <v>46147.579861111109</v>
      </c>
      <c r="Y234" s="58">
        <v>7.3611111111111113E-2</v>
      </c>
      <c r="Z234" s="33" t="s">
        <v>1454</v>
      </c>
      <c r="AA234" s="43">
        <v>46148.583333333336</v>
      </c>
      <c r="AB234" s="33" t="s">
        <v>1052</v>
      </c>
      <c r="AC234" s="33" t="s">
        <v>1609</v>
      </c>
      <c r="AD234" s="58">
        <v>0.11388888888888889</v>
      </c>
      <c r="AE234" s="33"/>
      <c r="AF234" s="58">
        <v>0.11388888888888889</v>
      </c>
      <c r="AG234" s="33" t="s">
        <v>1457</v>
      </c>
      <c r="AH234" s="33">
        <v>1</v>
      </c>
      <c r="AI234" s="43">
        <v>46147.579861111109</v>
      </c>
      <c r="AJ234" s="33" t="s">
        <v>793</v>
      </c>
      <c r="AK234" s="42">
        <v>987654.84</v>
      </c>
      <c r="AL234" s="33" t="s">
        <v>1458</v>
      </c>
    </row>
    <row r="235" spans="1:38">
      <c r="A235" s="33">
        <v>5996369</v>
      </c>
      <c r="B235" s="33"/>
      <c r="C235" s="33" t="s">
        <v>789</v>
      </c>
      <c r="D235" s="33" t="s">
        <v>1047</v>
      </c>
      <c r="E235" s="33" t="s">
        <v>1651</v>
      </c>
      <c r="F235" s="43">
        <v>46147.583333333336</v>
      </c>
      <c r="G235" s="33" t="s">
        <v>792</v>
      </c>
      <c r="H235" s="33"/>
      <c r="I235" s="33" t="s">
        <v>793</v>
      </c>
      <c r="J235" s="33" t="s">
        <v>1049</v>
      </c>
      <c r="K235" s="33" t="s">
        <v>75</v>
      </c>
      <c r="L235" s="33" t="s">
        <v>1652</v>
      </c>
      <c r="M235" s="43">
        <v>46147.611909722225</v>
      </c>
      <c r="N235" s="33" t="s">
        <v>1051</v>
      </c>
      <c r="O235" s="33" t="s">
        <v>797</v>
      </c>
      <c r="P235" s="33" t="s">
        <v>799</v>
      </c>
      <c r="Q235" s="43">
        <v>46147.570833333331</v>
      </c>
      <c r="R235" s="43">
        <v>46147.588194444441</v>
      </c>
      <c r="S235" s="58">
        <v>1.7361111111111112E-2</v>
      </c>
      <c r="T235" s="33" t="s">
        <v>140</v>
      </c>
      <c r="U235" s="33"/>
      <c r="V235" s="33"/>
      <c r="W235" s="33"/>
      <c r="X235" s="33"/>
      <c r="Y235" s="33"/>
      <c r="Z235" s="33" t="s">
        <v>140</v>
      </c>
      <c r="AA235" s="43">
        <v>46148.583333333336</v>
      </c>
      <c r="AB235" s="33" t="s">
        <v>1138</v>
      </c>
      <c r="AC235" s="33" t="s">
        <v>1053</v>
      </c>
      <c r="AD235" s="58">
        <v>8.1250000000000003E-2</v>
      </c>
      <c r="AE235" s="33"/>
      <c r="AF235" s="58">
        <v>8.1250000000000003E-2</v>
      </c>
      <c r="AG235" s="33" t="s">
        <v>1054</v>
      </c>
      <c r="AH235" s="33">
        <v>1</v>
      </c>
      <c r="AI235" s="43">
        <v>46147.613194444442</v>
      </c>
      <c r="AJ235" s="33" t="s">
        <v>793</v>
      </c>
      <c r="AK235" s="42">
        <v>650802.68000000005</v>
      </c>
      <c r="AL235" s="33" t="s">
        <v>1055</v>
      </c>
    </row>
    <row r="236" spans="1:38">
      <c r="A236" s="33">
        <v>6002337</v>
      </c>
      <c r="B236" s="33"/>
      <c r="C236" s="33" t="s">
        <v>789</v>
      </c>
      <c r="D236" s="33" t="s">
        <v>1439</v>
      </c>
      <c r="E236" s="33" t="s">
        <v>1653</v>
      </c>
      <c r="F236" s="43">
        <v>46147.666666666664</v>
      </c>
      <c r="G236" s="33" t="s">
        <v>792</v>
      </c>
      <c r="H236" s="33"/>
      <c r="I236" s="33" t="s">
        <v>793</v>
      </c>
      <c r="J236" s="33" t="s">
        <v>1049</v>
      </c>
      <c r="K236" s="33" t="s">
        <v>75</v>
      </c>
      <c r="L236" s="33" t="s">
        <v>1592</v>
      </c>
      <c r="M236" s="43">
        <v>46147.678715277776</v>
      </c>
      <c r="N236" s="33" t="s">
        <v>1441</v>
      </c>
      <c r="O236" s="33" t="s">
        <v>797</v>
      </c>
      <c r="P236" s="33" t="s">
        <v>799</v>
      </c>
      <c r="Q236" s="43">
        <v>46147.581944444442</v>
      </c>
      <c r="R236" s="43">
        <v>46147.623611111114</v>
      </c>
      <c r="S236" s="58">
        <v>4.1666666666666664E-2</v>
      </c>
      <c r="T236" s="33" t="s">
        <v>140</v>
      </c>
      <c r="U236" s="43">
        <v>46147.647916666669</v>
      </c>
      <c r="V236" s="58">
        <v>2.8472222222222222E-2</v>
      </c>
      <c r="W236" s="33" t="s">
        <v>140</v>
      </c>
      <c r="X236" s="43">
        <v>46147.647916666669</v>
      </c>
      <c r="Y236" s="58">
        <v>2.8472222222222222E-2</v>
      </c>
      <c r="Z236" s="33" t="s">
        <v>140</v>
      </c>
      <c r="AA236" s="43">
        <v>46148.583333333336</v>
      </c>
      <c r="AB236" s="33" t="s">
        <v>81</v>
      </c>
      <c r="AC236" s="33" t="s">
        <v>1053</v>
      </c>
      <c r="AD236" s="58">
        <v>0.11736111111111111</v>
      </c>
      <c r="AE236" s="58">
        <v>5.5555555555555552E-2</v>
      </c>
      <c r="AF236" s="58">
        <v>0.11736111111111111</v>
      </c>
      <c r="AG236" s="33" t="s">
        <v>1443</v>
      </c>
      <c r="AH236" s="33">
        <v>2</v>
      </c>
      <c r="AI236" s="43">
        <v>46147.647916666669</v>
      </c>
      <c r="AJ236" s="33" t="s">
        <v>793</v>
      </c>
      <c r="AK236" s="42">
        <v>988569.66</v>
      </c>
      <c r="AL236" s="33" t="s">
        <v>1444</v>
      </c>
    </row>
    <row r="237" spans="1:38">
      <c r="A237" s="33">
        <v>6004048</v>
      </c>
      <c r="B237" s="33"/>
      <c r="C237" s="33" t="s">
        <v>789</v>
      </c>
      <c r="D237" s="33" t="s">
        <v>1479</v>
      </c>
      <c r="E237" s="33" t="s">
        <v>1654</v>
      </c>
      <c r="F237" s="43">
        <v>46147.541666666664</v>
      </c>
      <c r="G237" s="33" t="s">
        <v>792</v>
      </c>
      <c r="H237" s="33"/>
      <c r="I237" s="33" t="s">
        <v>793</v>
      </c>
      <c r="J237" s="33" t="s">
        <v>1607</v>
      </c>
      <c r="K237" s="33" t="s">
        <v>1655</v>
      </c>
      <c r="L237" s="33" t="s">
        <v>1656</v>
      </c>
      <c r="M237" s="43">
        <v>46147.772569444445</v>
      </c>
      <c r="N237" s="33" t="s">
        <v>1483</v>
      </c>
      <c r="O237" s="33" t="s">
        <v>797</v>
      </c>
      <c r="P237" s="33" t="s">
        <v>1453</v>
      </c>
      <c r="Q237" s="33"/>
      <c r="R237" s="33"/>
      <c r="S237" s="33"/>
      <c r="T237" s="33" t="s">
        <v>1454</v>
      </c>
      <c r="U237" s="33"/>
      <c r="V237" s="33"/>
      <c r="W237" s="33"/>
      <c r="X237" s="33"/>
      <c r="Y237" s="33"/>
      <c r="Z237" s="33" t="s">
        <v>1454</v>
      </c>
      <c r="AA237" s="43">
        <v>46148.583333333336</v>
      </c>
      <c r="AB237" s="33" t="s">
        <v>81</v>
      </c>
      <c r="AC237" s="33" t="s">
        <v>81</v>
      </c>
      <c r="AD237" s="58">
        <v>0.20347222222222222</v>
      </c>
      <c r="AE237" s="33"/>
      <c r="AF237" s="58">
        <v>0.20347222222222222</v>
      </c>
      <c r="AG237" s="33" t="s">
        <v>1485</v>
      </c>
      <c r="AH237" s="33">
        <v>2</v>
      </c>
      <c r="AI237" s="43">
        <v>46147.770833333336</v>
      </c>
      <c r="AJ237" s="33" t="s">
        <v>793</v>
      </c>
      <c r="AK237" s="42">
        <v>1108596.8600000001</v>
      </c>
      <c r="AL237" s="33" t="s">
        <v>1486</v>
      </c>
    </row>
    <row r="238" spans="1:38">
      <c r="A238" s="33">
        <v>6010363</v>
      </c>
      <c r="B238" s="33"/>
      <c r="C238" s="33" t="s">
        <v>789</v>
      </c>
      <c r="D238" s="33" t="s">
        <v>1657</v>
      </c>
      <c r="E238" s="33" t="s">
        <v>1658</v>
      </c>
      <c r="F238" s="43">
        <v>46147.597222222219</v>
      </c>
      <c r="G238" s="33" t="s">
        <v>227</v>
      </c>
      <c r="H238" s="33"/>
      <c r="I238" s="33" t="s">
        <v>73</v>
      </c>
      <c r="J238" s="33" t="s">
        <v>1659</v>
      </c>
      <c r="K238" s="33" t="s">
        <v>75</v>
      </c>
      <c r="L238" s="33" t="s">
        <v>501</v>
      </c>
      <c r="M238" s="43">
        <v>46150.363807870373</v>
      </c>
      <c r="N238" s="33" t="s">
        <v>230</v>
      </c>
      <c r="O238" s="33" t="s">
        <v>797</v>
      </c>
      <c r="P238" s="33" t="s">
        <v>79</v>
      </c>
      <c r="Q238" s="43">
        <v>46147.588194444441</v>
      </c>
      <c r="R238" s="43">
        <v>46147.70208333333</v>
      </c>
      <c r="S238" s="58">
        <v>0.11388888888888889</v>
      </c>
      <c r="T238" s="33" t="s">
        <v>1660</v>
      </c>
      <c r="U238" s="33"/>
      <c r="V238" s="33"/>
      <c r="W238" s="33"/>
      <c r="X238" s="33"/>
      <c r="Y238" s="33"/>
      <c r="Z238" s="33" t="s">
        <v>1660</v>
      </c>
      <c r="AA238" s="43">
        <v>46150.25</v>
      </c>
      <c r="AB238" s="33" t="s">
        <v>1661</v>
      </c>
      <c r="AC238" s="33" t="s">
        <v>1662</v>
      </c>
      <c r="AD238" s="44">
        <v>2.7854166666666669</v>
      </c>
      <c r="AE238" s="33"/>
      <c r="AF238" s="44">
        <v>2.7854166666666669</v>
      </c>
      <c r="AG238" s="33" t="s">
        <v>1663</v>
      </c>
      <c r="AH238" s="33">
        <v>2</v>
      </c>
      <c r="AI238" s="43">
        <v>46150.498611111114</v>
      </c>
      <c r="AJ238" s="33" t="s">
        <v>83</v>
      </c>
      <c r="AK238" s="42">
        <v>71556.740000000005</v>
      </c>
      <c r="AL238" s="33" t="s">
        <v>1664</v>
      </c>
    </row>
    <row r="239" spans="1:38">
      <c r="A239" s="33">
        <v>6009486</v>
      </c>
      <c r="B239" s="33"/>
      <c r="C239" s="33" t="s">
        <v>789</v>
      </c>
      <c r="D239" s="33" t="s">
        <v>1665</v>
      </c>
      <c r="E239" s="33" t="s">
        <v>1666</v>
      </c>
      <c r="F239" s="43">
        <v>46147.604166666664</v>
      </c>
      <c r="G239" s="33" t="s">
        <v>72</v>
      </c>
      <c r="H239" s="58">
        <v>2.4305555555555556E-2</v>
      </c>
      <c r="I239" s="33" t="s">
        <v>73</v>
      </c>
      <c r="J239" s="33" t="s">
        <v>1667</v>
      </c>
      <c r="K239" s="33" t="s">
        <v>75</v>
      </c>
      <c r="L239" s="33" t="s">
        <v>880</v>
      </c>
      <c r="M239" s="43">
        <v>46149.235891203702</v>
      </c>
      <c r="N239" s="33" t="s">
        <v>1668</v>
      </c>
      <c r="O239" s="33" t="s">
        <v>797</v>
      </c>
      <c r="P239" s="33" t="s">
        <v>140</v>
      </c>
      <c r="Q239" s="33"/>
      <c r="R239" s="33"/>
      <c r="S239" s="33"/>
      <c r="T239" s="33" t="s">
        <v>984</v>
      </c>
      <c r="U239" s="43">
        <v>46148.745833333334</v>
      </c>
      <c r="V239" s="58">
        <v>0.49027777777777776</v>
      </c>
      <c r="W239" s="33" t="s">
        <v>984</v>
      </c>
      <c r="X239" s="43">
        <v>46148.745833333334</v>
      </c>
      <c r="Y239" s="58">
        <v>0.49027777777777776</v>
      </c>
      <c r="Z239" s="33" t="s">
        <v>984</v>
      </c>
      <c r="AA239" s="43">
        <v>46149.25</v>
      </c>
      <c r="AB239" s="33" t="s">
        <v>81</v>
      </c>
      <c r="AC239" s="33" t="s">
        <v>1669</v>
      </c>
      <c r="AD239" s="44">
        <v>1.6312500000000001</v>
      </c>
      <c r="AE239" s="58">
        <v>0.51180555555555551</v>
      </c>
      <c r="AF239" s="44">
        <v>1.6312500000000001</v>
      </c>
      <c r="AG239" s="33" t="s">
        <v>1670</v>
      </c>
      <c r="AH239" s="33">
        <v>2</v>
      </c>
      <c r="AI239" s="43">
        <v>46148.745833333334</v>
      </c>
      <c r="AJ239" s="33" t="s">
        <v>73</v>
      </c>
      <c r="AK239" s="42">
        <v>206548.81</v>
      </c>
      <c r="AL239" s="33" t="s">
        <v>1671</v>
      </c>
    </row>
    <row r="240" spans="1:38">
      <c r="A240" s="33" t="s">
        <v>1672</v>
      </c>
      <c r="B240" s="33"/>
      <c r="C240" s="33" t="s">
        <v>789</v>
      </c>
      <c r="D240" s="33" t="s">
        <v>1673</v>
      </c>
      <c r="E240" s="33" t="s">
        <v>1674</v>
      </c>
      <c r="F240" s="43">
        <v>46147.541666666664</v>
      </c>
      <c r="G240" s="33" t="s">
        <v>792</v>
      </c>
      <c r="H240" s="33"/>
      <c r="I240" s="33" t="s">
        <v>793</v>
      </c>
      <c r="J240" s="33" t="s">
        <v>1675</v>
      </c>
      <c r="K240" s="33" t="s">
        <v>75</v>
      </c>
      <c r="L240" s="33" t="s">
        <v>1676</v>
      </c>
      <c r="M240" s="43">
        <v>46149.415810185186</v>
      </c>
      <c r="N240" s="33" t="s">
        <v>1677</v>
      </c>
      <c r="O240" s="33" t="s">
        <v>797</v>
      </c>
      <c r="P240" s="33" t="s">
        <v>799</v>
      </c>
      <c r="Q240" s="43">
        <v>46147.604861111111</v>
      </c>
      <c r="R240" s="43">
        <v>46147.62222222222</v>
      </c>
      <c r="S240" s="58">
        <v>1.7361111111111112E-2</v>
      </c>
      <c r="T240" s="33" t="s">
        <v>1168</v>
      </c>
      <c r="U240" s="43">
        <v>46148.651388888888</v>
      </c>
      <c r="V240" s="58">
        <v>0.7631944444444444</v>
      </c>
      <c r="W240" s="33" t="s">
        <v>1168</v>
      </c>
      <c r="X240" s="43">
        <v>46148.651388888888</v>
      </c>
      <c r="Y240" s="58">
        <v>0.7631944444444444</v>
      </c>
      <c r="Z240" s="33" t="s">
        <v>1168</v>
      </c>
      <c r="AA240" s="43">
        <v>46150.291666666664</v>
      </c>
      <c r="AB240" s="33" t="s">
        <v>81</v>
      </c>
      <c r="AC240" s="33" t="s">
        <v>1678</v>
      </c>
      <c r="AD240" s="44">
        <v>1.8104166666666666</v>
      </c>
      <c r="AE240" s="44">
        <v>1.7930555555555556</v>
      </c>
      <c r="AF240" s="44">
        <v>1.8104166666666666</v>
      </c>
      <c r="AG240" s="33" t="s">
        <v>1679</v>
      </c>
      <c r="AH240" s="33">
        <v>2</v>
      </c>
      <c r="AI240" s="43">
        <v>46148.651388888888</v>
      </c>
      <c r="AJ240" s="33" t="s">
        <v>793</v>
      </c>
      <c r="AK240" s="42">
        <v>1218477</v>
      </c>
      <c r="AL240" s="33" t="s">
        <v>1680</v>
      </c>
    </row>
    <row r="241" spans="1:38">
      <c r="A241" s="33">
        <v>6010796</v>
      </c>
      <c r="B241" s="33"/>
      <c r="C241" s="33" t="s">
        <v>789</v>
      </c>
      <c r="D241" s="33" t="s">
        <v>1681</v>
      </c>
      <c r="E241" s="33" t="s">
        <v>1682</v>
      </c>
      <c r="F241" s="43">
        <v>46147.708333333336</v>
      </c>
      <c r="G241" s="33" t="s">
        <v>227</v>
      </c>
      <c r="H241" s="33"/>
      <c r="I241" s="33" t="s">
        <v>73</v>
      </c>
      <c r="J241" s="33" t="s">
        <v>1683</v>
      </c>
      <c r="K241" s="33" t="s">
        <v>75</v>
      </c>
      <c r="L241" s="33" t="s">
        <v>1684</v>
      </c>
      <c r="M241" s="43">
        <v>46148.006354166668</v>
      </c>
      <c r="N241" s="33" t="s">
        <v>230</v>
      </c>
      <c r="O241" s="33" t="s">
        <v>797</v>
      </c>
      <c r="P241" s="33" t="s">
        <v>79</v>
      </c>
      <c r="Q241" s="43">
        <v>46147.609722222223</v>
      </c>
      <c r="R241" s="43">
        <v>46147.625</v>
      </c>
      <c r="S241" s="58">
        <v>1.5277777777777777E-2</v>
      </c>
      <c r="T241" s="33" t="s">
        <v>372</v>
      </c>
      <c r="U241" s="33"/>
      <c r="V241" s="33"/>
      <c r="W241" s="33"/>
      <c r="X241" s="33"/>
      <c r="Y241" s="33"/>
      <c r="Z241" s="33" t="s">
        <v>372</v>
      </c>
      <c r="AA241" s="43">
        <v>46149.958333333336</v>
      </c>
      <c r="AB241" s="33" t="s">
        <v>81</v>
      </c>
      <c r="AC241" s="33" t="s">
        <v>81</v>
      </c>
      <c r="AD241" s="58">
        <v>0.4</v>
      </c>
      <c r="AE241" s="33"/>
      <c r="AF241" s="58">
        <v>0.4</v>
      </c>
      <c r="AG241" s="33" t="s">
        <v>1685</v>
      </c>
      <c r="AH241" s="33">
        <v>2</v>
      </c>
      <c r="AI241" s="43">
        <v>46148.040972222225</v>
      </c>
      <c r="AJ241" s="33" t="s">
        <v>73</v>
      </c>
      <c r="AK241" s="42">
        <v>364071.61</v>
      </c>
      <c r="AL241" s="33" t="s">
        <v>1686</v>
      </c>
    </row>
    <row r="242" spans="1:38">
      <c r="A242" s="33">
        <v>6002295</v>
      </c>
      <c r="B242" s="33"/>
      <c r="C242" s="33" t="s">
        <v>789</v>
      </c>
      <c r="D242" s="33" t="s">
        <v>1032</v>
      </c>
      <c r="E242" s="33" t="s">
        <v>1687</v>
      </c>
      <c r="F242" s="43">
        <v>46147.666666666664</v>
      </c>
      <c r="G242" s="33" t="s">
        <v>792</v>
      </c>
      <c r="H242" s="33"/>
      <c r="I242" s="33" t="s">
        <v>793</v>
      </c>
      <c r="J242" s="33" t="s">
        <v>1049</v>
      </c>
      <c r="K242" s="33"/>
      <c r="L242" s="33"/>
      <c r="M242" s="33"/>
      <c r="N242" s="33"/>
      <c r="O242" s="33" t="s">
        <v>797</v>
      </c>
      <c r="P242" s="33" t="s">
        <v>799</v>
      </c>
      <c r="Q242" s="33"/>
      <c r="R242" s="33"/>
      <c r="S242" s="33"/>
      <c r="T242" s="33" t="s">
        <v>140</v>
      </c>
      <c r="U242" s="33"/>
      <c r="V242" s="33"/>
      <c r="W242" s="33"/>
      <c r="X242" s="33"/>
      <c r="Y242" s="33"/>
      <c r="Z242" s="33" t="s">
        <v>140</v>
      </c>
      <c r="AA242" s="43">
        <v>46148.75</v>
      </c>
      <c r="AB242" s="33" t="s">
        <v>81</v>
      </c>
      <c r="AC242" s="33" t="s">
        <v>81</v>
      </c>
      <c r="AD242" s="58">
        <v>1.3888888888888889E-3</v>
      </c>
      <c r="AE242" s="33"/>
      <c r="AF242" s="58">
        <v>1.3888888888888889E-3</v>
      </c>
      <c r="AG242" s="33" t="s">
        <v>1161</v>
      </c>
      <c r="AH242" s="33">
        <v>0</v>
      </c>
      <c r="AI242" s="33"/>
      <c r="AJ242" s="33" t="s">
        <v>793</v>
      </c>
      <c r="AK242" s="42">
        <v>395827.15</v>
      </c>
      <c r="AL242" s="33" t="s">
        <v>1039</v>
      </c>
    </row>
    <row r="243" spans="1:38">
      <c r="A243" s="33" t="s">
        <v>1688</v>
      </c>
      <c r="B243" s="33"/>
      <c r="C243" s="33" t="s">
        <v>789</v>
      </c>
      <c r="D243" s="33" t="s">
        <v>1689</v>
      </c>
      <c r="E243" s="33" t="s">
        <v>1690</v>
      </c>
      <c r="F243" s="43">
        <v>46147.708333333336</v>
      </c>
      <c r="G243" s="33" t="s">
        <v>792</v>
      </c>
      <c r="H243" s="33"/>
      <c r="I243" s="33" t="s">
        <v>793</v>
      </c>
      <c r="J243" s="33" t="s">
        <v>1312</v>
      </c>
      <c r="K243" s="33" t="s">
        <v>75</v>
      </c>
      <c r="L243" s="33" t="s">
        <v>1691</v>
      </c>
      <c r="M243" s="43">
        <v>46148.102650462963</v>
      </c>
      <c r="N243" s="33" t="s">
        <v>1692</v>
      </c>
      <c r="O243" s="33" t="s">
        <v>93</v>
      </c>
      <c r="P243" s="33" t="s">
        <v>799</v>
      </c>
      <c r="Q243" s="43">
        <v>46147.651388888888</v>
      </c>
      <c r="R243" s="43">
        <v>46147.657638888886</v>
      </c>
      <c r="S243" s="58">
        <v>6.2500000000000003E-3</v>
      </c>
      <c r="T243" s="33" t="s">
        <v>140</v>
      </c>
      <c r="U243" s="43">
        <v>46147.686111111114</v>
      </c>
      <c r="V243" s="58">
        <v>2.7777777777777779E-3</v>
      </c>
      <c r="W243" s="33"/>
      <c r="X243" s="33"/>
      <c r="Y243" s="33"/>
      <c r="Z243" s="33" t="s">
        <v>140</v>
      </c>
      <c r="AA243" s="43">
        <v>46148.75</v>
      </c>
      <c r="AB243" s="33" t="s">
        <v>81</v>
      </c>
      <c r="AC243" s="33" t="s">
        <v>1314</v>
      </c>
      <c r="AD243" s="58">
        <v>0.4548611111111111</v>
      </c>
      <c r="AE243" s="33"/>
      <c r="AF243" s="58">
        <v>0.4548611111111111</v>
      </c>
      <c r="AG243" s="33" t="s">
        <v>1693</v>
      </c>
      <c r="AH243" s="33">
        <v>2</v>
      </c>
      <c r="AI243" s="43">
        <v>46147.686111111114</v>
      </c>
      <c r="AJ243" s="33" t="s">
        <v>793</v>
      </c>
      <c r="AK243" s="42">
        <v>839137.04</v>
      </c>
      <c r="AL243" s="33" t="s">
        <v>1694</v>
      </c>
    </row>
    <row r="244" spans="1:38">
      <c r="A244" s="33" t="s">
        <v>1695</v>
      </c>
      <c r="B244" s="33"/>
      <c r="C244" s="33" t="s">
        <v>789</v>
      </c>
      <c r="D244" s="33" t="s">
        <v>1103</v>
      </c>
      <c r="E244" s="33" t="s">
        <v>1696</v>
      </c>
      <c r="F244" s="43">
        <v>46147.666666666664</v>
      </c>
      <c r="G244" s="33" t="s">
        <v>792</v>
      </c>
      <c r="H244" s="33"/>
      <c r="I244" s="33" t="s">
        <v>793</v>
      </c>
      <c r="J244" s="33" t="s">
        <v>856</v>
      </c>
      <c r="K244" s="33" t="s">
        <v>75</v>
      </c>
      <c r="L244" s="33" t="s">
        <v>806</v>
      </c>
      <c r="M244" s="43">
        <v>46147.896504629629</v>
      </c>
      <c r="N244" s="33" t="s">
        <v>1106</v>
      </c>
      <c r="O244" s="33" t="s">
        <v>797</v>
      </c>
      <c r="P244" s="33" t="s">
        <v>798</v>
      </c>
      <c r="Q244" s="33"/>
      <c r="R244" s="33"/>
      <c r="S244" s="33"/>
      <c r="T244" s="33" t="s">
        <v>799</v>
      </c>
      <c r="U244" s="43">
        <v>46147.853472222225</v>
      </c>
      <c r="V244" s="58">
        <v>3.9583333333333331E-2</v>
      </c>
      <c r="W244" s="33" t="s">
        <v>799</v>
      </c>
      <c r="X244" s="43">
        <v>46147.853472222225</v>
      </c>
      <c r="Y244" s="58">
        <v>3.9583333333333331E-2</v>
      </c>
      <c r="Z244" s="33" t="s">
        <v>799</v>
      </c>
      <c r="AA244" s="43">
        <v>46148.958333333336</v>
      </c>
      <c r="AB244" s="33" t="s">
        <v>81</v>
      </c>
      <c r="AC244" s="33" t="s">
        <v>858</v>
      </c>
      <c r="AD244" s="58">
        <v>0.22291666666666668</v>
      </c>
      <c r="AE244" s="33"/>
      <c r="AF244" s="58">
        <v>0.22291666666666668</v>
      </c>
      <c r="AG244" s="33" t="s">
        <v>807</v>
      </c>
      <c r="AH244" s="33">
        <v>1</v>
      </c>
      <c r="AI244" s="43">
        <v>46147.853472222225</v>
      </c>
      <c r="AJ244" s="33" t="s">
        <v>793</v>
      </c>
      <c r="AK244" s="42">
        <v>2093149.11</v>
      </c>
      <c r="AL244" s="33" t="s">
        <v>1108</v>
      </c>
    </row>
    <row r="245" spans="1:38">
      <c r="A245" s="33">
        <v>6000561</v>
      </c>
      <c r="B245" s="33"/>
      <c r="C245" s="33" t="s">
        <v>789</v>
      </c>
      <c r="D245" s="33" t="s">
        <v>849</v>
      </c>
      <c r="E245" s="33" t="s">
        <v>1697</v>
      </c>
      <c r="F245" s="43">
        <v>46147.652777777781</v>
      </c>
      <c r="G245" s="33" t="s">
        <v>792</v>
      </c>
      <c r="H245" s="33"/>
      <c r="I245" s="33" t="s">
        <v>793</v>
      </c>
      <c r="J245" s="33" t="s">
        <v>1698</v>
      </c>
      <c r="K245" s="33" t="s">
        <v>273</v>
      </c>
      <c r="L245" s="33" t="s">
        <v>1699</v>
      </c>
      <c r="M245" s="43">
        <v>46147.996261574073</v>
      </c>
      <c r="N245" s="33" t="s">
        <v>852</v>
      </c>
      <c r="O245" s="33" t="s">
        <v>797</v>
      </c>
      <c r="P245" s="33" t="s">
        <v>798</v>
      </c>
      <c r="Q245" s="33"/>
      <c r="R245" s="33"/>
      <c r="S245" s="33"/>
      <c r="T245" s="33" t="s">
        <v>799</v>
      </c>
      <c r="U245" s="43">
        <v>46147.701388888891</v>
      </c>
      <c r="V245" s="58">
        <v>0.26944444444444443</v>
      </c>
      <c r="W245" s="33"/>
      <c r="X245" s="33"/>
      <c r="Y245" s="33"/>
      <c r="Z245" s="33" t="s">
        <v>799</v>
      </c>
      <c r="AA245" s="43">
        <v>46148.75</v>
      </c>
      <c r="AB245" s="33" t="s">
        <v>1700</v>
      </c>
      <c r="AC245" s="33" t="s">
        <v>1505</v>
      </c>
      <c r="AD245" s="58">
        <v>0.34166666666666667</v>
      </c>
      <c r="AE245" s="33"/>
      <c r="AF245" s="58">
        <v>0.34166666666666667</v>
      </c>
      <c r="AG245" s="33" t="s">
        <v>853</v>
      </c>
      <c r="AH245" s="33">
        <v>1</v>
      </c>
      <c r="AI245" s="43">
        <v>46147.701388888891</v>
      </c>
      <c r="AJ245" s="33" t="s">
        <v>793</v>
      </c>
      <c r="AK245" s="42">
        <v>602905.02</v>
      </c>
      <c r="AL245" s="33" t="s">
        <v>1209</v>
      </c>
    </row>
    <row r="246" spans="1:38">
      <c r="A246" s="33">
        <v>6005028</v>
      </c>
      <c r="B246" s="33"/>
      <c r="C246" s="33" t="s">
        <v>789</v>
      </c>
      <c r="D246" s="33" t="s">
        <v>1315</v>
      </c>
      <c r="E246" s="33" t="s">
        <v>1701</v>
      </c>
      <c r="F246" s="43">
        <v>46147.666666666664</v>
      </c>
      <c r="G246" s="33" t="s">
        <v>792</v>
      </c>
      <c r="H246" s="33"/>
      <c r="I246" s="33" t="s">
        <v>793</v>
      </c>
      <c r="J246" s="33" t="s">
        <v>958</v>
      </c>
      <c r="K246" s="33" t="s">
        <v>75</v>
      </c>
      <c r="L246" s="33" t="s">
        <v>1184</v>
      </c>
      <c r="M246" s="43">
        <v>46147.777083333334</v>
      </c>
      <c r="N246" s="33" t="s">
        <v>1319</v>
      </c>
      <c r="O246" s="33" t="s">
        <v>797</v>
      </c>
      <c r="P246" s="33" t="s">
        <v>861</v>
      </c>
      <c r="Q246" s="33"/>
      <c r="R246" s="33"/>
      <c r="S246" s="33"/>
      <c r="T246" s="33" t="s">
        <v>140</v>
      </c>
      <c r="U246" s="43">
        <v>46147.758333333331</v>
      </c>
      <c r="V246" s="58">
        <v>1.6666666666666666E-2</v>
      </c>
      <c r="W246" s="33" t="s">
        <v>140</v>
      </c>
      <c r="X246" s="43">
        <v>46147.758333333331</v>
      </c>
      <c r="Y246" s="58">
        <v>1.6666666666666666E-2</v>
      </c>
      <c r="Z246" s="33" t="s">
        <v>140</v>
      </c>
      <c r="AA246" s="43">
        <v>46148.791666666664</v>
      </c>
      <c r="AB246" s="33" t="s">
        <v>1052</v>
      </c>
      <c r="AC246" s="33" t="s">
        <v>1404</v>
      </c>
      <c r="AD246" s="58">
        <v>0.10486111111111111</v>
      </c>
      <c r="AE246" s="33"/>
      <c r="AF246" s="58">
        <v>0.10486111111111111</v>
      </c>
      <c r="AG246" s="33" t="s">
        <v>1322</v>
      </c>
      <c r="AH246" s="33">
        <v>1</v>
      </c>
      <c r="AI246" s="43">
        <v>46147.758333333331</v>
      </c>
      <c r="AJ246" s="33" t="s">
        <v>793</v>
      </c>
      <c r="AK246" s="42">
        <v>1026845.31</v>
      </c>
      <c r="AL246" s="33" t="s">
        <v>1323</v>
      </c>
    </row>
    <row r="247" spans="1:38">
      <c r="A247" s="33">
        <v>6004943</v>
      </c>
      <c r="B247" s="33"/>
      <c r="C247" s="33" t="s">
        <v>789</v>
      </c>
      <c r="D247" s="33" t="s">
        <v>1702</v>
      </c>
      <c r="E247" s="33" t="s">
        <v>1703</v>
      </c>
      <c r="F247" s="43">
        <v>46147.666666666664</v>
      </c>
      <c r="G247" s="33" t="s">
        <v>792</v>
      </c>
      <c r="H247" s="33"/>
      <c r="I247" s="33" t="s">
        <v>793</v>
      </c>
      <c r="J247" s="33" t="s">
        <v>958</v>
      </c>
      <c r="K247" s="33" t="s">
        <v>369</v>
      </c>
      <c r="L247" s="33" t="s">
        <v>1704</v>
      </c>
      <c r="M247" s="43">
        <v>46147.850590277776</v>
      </c>
      <c r="N247" s="33" t="s">
        <v>1705</v>
      </c>
      <c r="O247" s="33" t="s">
        <v>797</v>
      </c>
      <c r="P247" s="33" t="s">
        <v>861</v>
      </c>
      <c r="Q247" s="43">
        <v>46147.716666666667</v>
      </c>
      <c r="R247" s="43">
        <v>46147.729861111111</v>
      </c>
      <c r="S247" s="58">
        <v>1.3194444444444444E-2</v>
      </c>
      <c r="T247" s="33" t="s">
        <v>140</v>
      </c>
      <c r="U247" s="33"/>
      <c r="V247" s="33"/>
      <c r="W247" s="33"/>
      <c r="X247" s="33"/>
      <c r="Y247" s="33"/>
      <c r="Z247" s="33" t="s">
        <v>140</v>
      </c>
      <c r="AA247" s="43">
        <v>46148.833333333336</v>
      </c>
      <c r="AB247" s="33" t="s">
        <v>951</v>
      </c>
      <c r="AC247" s="33" t="s">
        <v>1404</v>
      </c>
      <c r="AD247" s="58">
        <v>0.50347222222222221</v>
      </c>
      <c r="AE247" s="33"/>
      <c r="AF247" s="58">
        <v>0.50347222222222221</v>
      </c>
      <c r="AG247" s="33" t="s">
        <v>1706</v>
      </c>
      <c r="AH247" s="33">
        <v>1</v>
      </c>
      <c r="AI247" s="43">
        <v>46147.852777777778</v>
      </c>
      <c r="AJ247" s="33" t="s">
        <v>793</v>
      </c>
      <c r="AK247" s="42">
        <v>855386.4</v>
      </c>
      <c r="AL247" s="33" t="s">
        <v>1707</v>
      </c>
    </row>
    <row r="248" spans="1:38">
      <c r="A248" s="33">
        <v>6005025</v>
      </c>
      <c r="B248" s="33"/>
      <c r="C248" s="33" t="s">
        <v>789</v>
      </c>
      <c r="D248" s="33" t="s">
        <v>1708</v>
      </c>
      <c r="E248" s="33" t="s">
        <v>1709</v>
      </c>
      <c r="F248" s="43">
        <v>46147.666666666664</v>
      </c>
      <c r="G248" s="33" t="s">
        <v>792</v>
      </c>
      <c r="H248" s="33"/>
      <c r="I248" s="33" t="s">
        <v>793</v>
      </c>
      <c r="J248" s="33" t="s">
        <v>958</v>
      </c>
      <c r="K248" s="33" t="s">
        <v>75</v>
      </c>
      <c r="L248" s="33" t="s">
        <v>1094</v>
      </c>
      <c r="M248" s="43">
        <v>46147.8590625</v>
      </c>
      <c r="N248" s="33" t="s">
        <v>1710</v>
      </c>
      <c r="O248" s="33" t="s">
        <v>797</v>
      </c>
      <c r="P248" s="33" t="s">
        <v>861</v>
      </c>
      <c r="Q248" s="43">
        <v>46147.655555555553</v>
      </c>
      <c r="R248" s="43">
        <v>46147.677083333336</v>
      </c>
      <c r="S248" s="58">
        <v>2.1527777777777778E-2</v>
      </c>
      <c r="T248" s="33" t="s">
        <v>140</v>
      </c>
      <c r="U248" s="43">
        <v>46147.832638888889</v>
      </c>
      <c r="V248" s="58">
        <v>2.7777777777777776E-2</v>
      </c>
      <c r="W248" s="33" t="s">
        <v>140</v>
      </c>
      <c r="X248" s="43">
        <v>46147.832638888889</v>
      </c>
      <c r="Y248" s="58">
        <v>2.7777777777777776E-2</v>
      </c>
      <c r="Z248" s="33" t="s">
        <v>140</v>
      </c>
      <c r="AA248" s="43">
        <v>46148.833333333336</v>
      </c>
      <c r="AB248" s="33" t="s">
        <v>1052</v>
      </c>
      <c r="AC248" s="33" t="s">
        <v>1404</v>
      </c>
      <c r="AD248" s="58">
        <v>0.2048611111111111</v>
      </c>
      <c r="AE248" s="58">
        <v>0.18263888888888888</v>
      </c>
      <c r="AF248" s="58">
        <v>0.2048611111111111</v>
      </c>
      <c r="AG248" s="33" t="s">
        <v>1711</v>
      </c>
      <c r="AH248" s="33">
        <v>2</v>
      </c>
      <c r="AI248" s="43">
        <v>46147.832638888889</v>
      </c>
      <c r="AJ248" s="33" t="s">
        <v>793</v>
      </c>
      <c r="AK248" s="42">
        <v>524080</v>
      </c>
      <c r="AL248" s="33" t="s">
        <v>1712</v>
      </c>
    </row>
    <row r="249" spans="1:38">
      <c r="A249" s="33">
        <v>6009603</v>
      </c>
      <c r="B249" s="33"/>
      <c r="C249" s="33" t="s">
        <v>789</v>
      </c>
      <c r="D249" s="33" t="s">
        <v>1713</v>
      </c>
      <c r="E249" s="33" t="s">
        <v>1714</v>
      </c>
      <c r="F249" s="43">
        <v>46147.661111111112</v>
      </c>
      <c r="G249" s="33" t="s">
        <v>72</v>
      </c>
      <c r="H249" s="33"/>
      <c r="I249" s="33" t="s">
        <v>73</v>
      </c>
      <c r="J249" s="33" t="s">
        <v>431</v>
      </c>
      <c r="K249" s="33" t="s">
        <v>1077</v>
      </c>
      <c r="L249" s="33" t="s">
        <v>1715</v>
      </c>
      <c r="M249" s="43">
        <v>46150.341956018521</v>
      </c>
      <c r="N249" s="33" t="s">
        <v>1716</v>
      </c>
      <c r="O249" s="33" t="s">
        <v>797</v>
      </c>
      <c r="P249" s="33" t="s">
        <v>79</v>
      </c>
      <c r="Q249" s="33"/>
      <c r="R249" s="33"/>
      <c r="S249" s="33"/>
      <c r="T249" s="33" t="s">
        <v>434</v>
      </c>
      <c r="U249" s="43">
        <v>46149.509027777778</v>
      </c>
      <c r="V249" s="44">
        <v>1.0222222222222221</v>
      </c>
      <c r="W249" s="33"/>
      <c r="X249" s="33"/>
      <c r="Y249" s="33"/>
      <c r="Z249" s="33" t="s">
        <v>434</v>
      </c>
      <c r="AA249" s="43">
        <v>46150.208333333336</v>
      </c>
      <c r="AB249" s="33" t="s">
        <v>81</v>
      </c>
      <c r="AC249" s="33" t="s">
        <v>436</v>
      </c>
      <c r="AD249" s="44">
        <v>2.8333333333333335</v>
      </c>
      <c r="AE249" s="33"/>
      <c r="AF249" s="44">
        <v>2.8333333333333335</v>
      </c>
      <c r="AG249" s="33" t="s">
        <v>1717</v>
      </c>
      <c r="AH249" s="33">
        <v>1</v>
      </c>
      <c r="AI249" s="43">
        <v>46149.509027777778</v>
      </c>
      <c r="AJ249" s="33" t="s">
        <v>73</v>
      </c>
      <c r="AK249" s="42">
        <v>158250.75</v>
      </c>
      <c r="AL249" s="33" t="s">
        <v>1718</v>
      </c>
    </row>
    <row r="250" spans="1:38">
      <c r="A250" s="33">
        <v>6010705</v>
      </c>
      <c r="B250" s="33"/>
      <c r="C250" s="33" t="s">
        <v>789</v>
      </c>
      <c r="D250" s="33" t="s">
        <v>1719</v>
      </c>
      <c r="E250" s="33" t="s">
        <v>1720</v>
      </c>
      <c r="F250" s="43">
        <v>46147.662499999999</v>
      </c>
      <c r="G250" s="33" t="s">
        <v>72</v>
      </c>
      <c r="H250" s="33"/>
      <c r="I250" s="33" t="s">
        <v>73</v>
      </c>
      <c r="J250" s="33" t="s">
        <v>1721</v>
      </c>
      <c r="K250" s="33" t="s">
        <v>75</v>
      </c>
      <c r="L250" s="33" t="s">
        <v>1361</v>
      </c>
      <c r="M250" s="43">
        <v>46150.309988425928</v>
      </c>
      <c r="N250" s="33" t="s">
        <v>1722</v>
      </c>
      <c r="O250" s="33" t="s">
        <v>797</v>
      </c>
      <c r="P250" s="33" t="s">
        <v>140</v>
      </c>
      <c r="Q250" s="43">
        <v>46147.664583333331</v>
      </c>
      <c r="R250" s="43">
        <v>46147.705555555556</v>
      </c>
      <c r="S250" s="58">
        <v>4.0972222222222222E-2</v>
      </c>
      <c r="T250" s="33" t="s">
        <v>717</v>
      </c>
      <c r="U250" s="43">
        <v>46149.44027777778</v>
      </c>
      <c r="V250" s="58">
        <v>0.96527777777777779</v>
      </c>
      <c r="W250" s="33" t="s">
        <v>717</v>
      </c>
      <c r="X250" s="43">
        <v>46149.44027777778</v>
      </c>
      <c r="Y250" s="58">
        <v>0.96527777777777779</v>
      </c>
      <c r="Z250" s="33" t="s">
        <v>717</v>
      </c>
      <c r="AA250" s="43">
        <v>46150.25</v>
      </c>
      <c r="AB250" s="33" t="s">
        <v>81</v>
      </c>
      <c r="AC250" s="33" t="s">
        <v>1723</v>
      </c>
      <c r="AD250" s="44">
        <v>2.7409722222222221</v>
      </c>
      <c r="AE250" s="44">
        <v>2.6048611111111111</v>
      </c>
      <c r="AF250" s="44">
        <v>2.7409722222222221</v>
      </c>
      <c r="AG250" s="33"/>
      <c r="AH250" s="33">
        <v>2</v>
      </c>
      <c r="AI250" s="43">
        <v>46149.44027777778</v>
      </c>
      <c r="AJ250" s="33" t="s">
        <v>73</v>
      </c>
      <c r="AK250" s="42">
        <v>110015.26</v>
      </c>
      <c r="AL250" s="33" t="s">
        <v>1724</v>
      </c>
    </row>
    <row r="251" spans="1:38">
      <c r="A251" s="33">
        <v>6000828</v>
      </c>
      <c r="B251" s="33"/>
      <c r="C251" s="33" t="s">
        <v>789</v>
      </c>
      <c r="D251" s="33" t="s">
        <v>1725</v>
      </c>
      <c r="E251" s="33" t="s">
        <v>1726</v>
      </c>
      <c r="F251" s="43">
        <v>46147.664583333331</v>
      </c>
      <c r="G251" s="33" t="s">
        <v>72</v>
      </c>
      <c r="H251" s="33"/>
      <c r="I251" s="33" t="s">
        <v>73</v>
      </c>
      <c r="J251" s="33" t="s">
        <v>1727</v>
      </c>
      <c r="K251" s="33" t="s">
        <v>75</v>
      </c>
      <c r="L251" s="33" t="s">
        <v>1361</v>
      </c>
      <c r="M251" s="43">
        <v>46150.675127314818</v>
      </c>
      <c r="N251" s="33" t="s">
        <v>1728</v>
      </c>
      <c r="O251" s="33" t="s">
        <v>797</v>
      </c>
      <c r="P251" s="33" t="s">
        <v>140</v>
      </c>
      <c r="Q251" s="33"/>
      <c r="R251" s="33"/>
      <c r="S251" s="33"/>
      <c r="T251" s="33" t="s">
        <v>513</v>
      </c>
      <c r="U251" s="43">
        <v>46149.431944444441</v>
      </c>
      <c r="V251" s="44">
        <v>1.3284722222222223</v>
      </c>
      <c r="W251" s="33" t="s">
        <v>513</v>
      </c>
      <c r="X251" s="43">
        <v>46149.431944444441</v>
      </c>
      <c r="Y251" s="44">
        <v>1.3284722222222223</v>
      </c>
      <c r="Z251" s="33" t="s">
        <v>513</v>
      </c>
      <c r="AA251" s="43">
        <v>46150.25</v>
      </c>
      <c r="AB251" s="33" t="s">
        <v>81</v>
      </c>
      <c r="AC251" s="33" t="s">
        <v>1729</v>
      </c>
      <c r="AD251" s="44">
        <v>3.0923611111111109</v>
      </c>
      <c r="AE251" s="33"/>
      <c r="AF251" s="44">
        <v>3.0923611111111109</v>
      </c>
      <c r="AG251" s="33"/>
      <c r="AH251" s="33">
        <v>1</v>
      </c>
      <c r="AI251" s="43">
        <v>46149.431944444441</v>
      </c>
      <c r="AJ251" s="33" t="s">
        <v>73</v>
      </c>
      <c r="AK251" s="42">
        <v>165920.4</v>
      </c>
      <c r="AL251" s="33" t="s">
        <v>1730</v>
      </c>
    </row>
    <row r="252" spans="1:38">
      <c r="A252" s="33">
        <v>6002369</v>
      </c>
      <c r="B252" s="33"/>
      <c r="C252" s="33" t="s">
        <v>789</v>
      </c>
      <c r="D252" s="33" t="s">
        <v>1156</v>
      </c>
      <c r="E252" s="33" t="s">
        <v>1731</v>
      </c>
      <c r="F252" s="43">
        <v>46147.708333333336</v>
      </c>
      <c r="G252" s="33" t="s">
        <v>792</v>
      </c>
      <c r="H252" s="33"/>
      <c r="I252" s="33" t="s">
        <v>793</v>
      </c>
      <c r="J252" s="33" t="s">
        <v>1049</v>
      </c>
      <c r="K252" s="33" t="s">
        <v>75</v>
      </c>
      <c r="L252" s="33" t="s">
        <v>1236</v>
      </c>
      <c r="M252" s="43">
        <v>46147.75949074074</v>
      </c>
      <c r="N252" s="33" t="s">
        <v>1160</v>
      </c>
      <c r="O252" s="33" t="s">
        <v>1419</v>
      </c>
      <c r="P252" s="33" t="s">
        <v>799</v>
      </c>
      <c r="Q252" s="43">
        <v>46147.666666666664</v>
      </c>
      <c r="R252" s="43">
        <v>46147.696527777778</v>
      </c>
      <c r="S252" s="58">
        <v>2.9861111111111113E-2</v>
      </c>
      <c r="T252" s="33" t="s">
        <v>140</v>
      </c>
      <c r="U252" s="43">
        <v>46147.731249999997</v>
      </c>
      <c r="V252" s="58">
        <v>7.6388888888888886E-3</v>
      </c>
      <c r="W252" s="33"/>
      <c r="X252" s="33"/>
      <c r="Y252" s="33"/>
      <c r="Z252" s="33" t="s">
        <v>140</v>
      </c>
      <c r="AA252" s="43">
        <v>46148.75</v>
      </c>
      <c r="AB252" s="33" t="s">
        <v>81</v>
      </c>
      <c r="AC252" s="33" t="s">
        <v>1053</v>
      </c>
      <c r="AD252" s="58">
        <v>8.6805555555555552E-2</v>
      </c>
      <c r="AE252" s="33"/>
      <c r="AF252" s="58">
        <v>8.6805555555555552E-2</v>
      </c>
      <c r="AG252" s="33" t="s">
        <v>1357</v>
      </c>
      <c r="AH252" s="33">
        <v>2</v>
      </c>
      <c r="AI252" s="43">
        <v>46147.731249999997</v>
      </c>
      <c r="AJ252" s="33" t="s">
        <v>793</v>
      </c>
      <c r="AK252" s="42">
        <v>572811.36</v>
      </c>
      <c r="AL252" s="33" t="s">
        <v>1162</v>
      </c>
    </row>
    <row r="253" spans="1:38">
      <c r="A253" s="33">
        <v>6013028</v>
      </c>
      <c r="B253" s="33"/>
      <c r="C253" s="33" t="s">
        <v>789</v>
      </c>
      <c r="D253" s="33" t="s">
        <v>1732</v>
      </c>
      <c r="E253" s="33" t="s">
        <v>1733</v>
      </c>
      <c r="F253" s="43">
        <v>46147.791666666664</v>
      </c>
      <c r="G253" s="33" t="s">
        <v>227</v>
      </c>
      <c r="H253" s="33"/>
      <c r="I253" s="33" t="s">
        <v>772</v>
      </c>
      <c r="J253" s="33" t="s">
        <v>773</v>
      </c>
      <c r="K253" s="33" t="s">
        <v>75</v>
      </c>
      <c r="L253" s="33" t="s">
        <v>1035</v>
      </c>
      <c r="M253" s="43">
        <v>46148.751770833333</v>
      </c>
      <c r="N253" s="33" t="s">
        <v>529</v>
      </c>
      <c r="O253" s="33" t="s">
        <v>797</v>
      </c>
      <c r="P253" s="33" t="s">
        <v>79</v>
      </c>
      <c r="Q253" s="33"/>
      <c r="R253" s="33"/>
      <c r="S253" s="33"/>
      <c r="T253" s="33" t="s">
        <v>308</v>
      </c>
      <c r="U253" s="43">
        <v>46148.576388888891</v>
      </c>
      <c r="V253" s="58">
        <v>0.17569444444444443</v>
      </c>
      <c r="W253" s="33" t="s">
        <v>308</v>
      </c>
      <c r="X253" s="43">
        <v>46148.576388888891</v>
      </c>
      <c r="Y253" s="58">
        <v>0.17569444444444443</v>
      </c>
      <c r="Z253" s="33" t="s">
        <v>308</v>
      </c>
      <c r="AA253" s="43">
        <v>46152.095833333333</v>
      </c>
      <c r="AB253" s="33" t="s">
        <v>81</v>
      </c>
      <c r="AC253" s="33" t="s">
        <v>775</v>
      </c>
      <c r="AD253" s="44">
        <v>1.0729166666666667</v>
      </c>
      <c r="AE253" s="58">
        <v>0.51944444444444449</v>
      </c>
      <c r="AF253" s="44">
        <v>1.0729166666666667</v>
      </c>
      <c r="AG253" s="33" t="s">
        <v>1734</v>
      </c>
      <c r="AH253" s="33">
        <v>3</v>
      </c>
      <c r="AI253" s="43">
        <v>46148.576388888891</v>
      </c>
      <c r="AJ253" s="33" t="s">
        <v>73</v>
      </c>
      <c r="AK253" s="42">
        <v>194198.72</v>
      </c>
      <c r="AL253" s="33" t="s">
        <v>1735</v>
      </c>
    </row>
    <row r="254" spans="1:38">
      <c r="A254" s="33">
        <v>6010795</v>
      </c>
      <c r="B254" s="33"/>
      <c r="C254" s="33" t="s">
        <v>789</v>
      </c>
      <c r="D254" s="33" t="s">
        <v>1736</v>
      </c>
      <c r="E254" s="33" t="s">
        <v>1737</v>
      </c>
      <c r="F254" s="43">
        <v>46147.791666666664</v>
      </c>
      <c r="G254" s="33" t="s">
        <v>227</v>
      </c>
      <c r="H254" s="33"/>
      <c r="I254" s="33" t="s">
        <v>73</v>
      </c>
      <c r="J254" s="33" t="s">
        <v>545</v>
      </c>
      <c r="K254" s="33" t="s">
        <v>75</v>
      </c>
      <c r="L254" s="33" t="s">
        <v>1738</v>
      </c>
      <c r="M254" s="43">
        <v>46148.222812499997</v>
      </c>
      <c r="N254" s="33" t="s">
        <v>1739</v>
      </c>
      <c r="O254" s="33" t="s">
        <v>797</v>
      </c>
      <c r="P254" s="33" t="s">
        <v>79</v>
      </c>
      <c r="Q254" s="43">
        <v>46147.676388888889</v>
      </c>
      <c r="R254" s="43">
        <v>46147.727083333331</v>
      </c>
      <c r="S254" s="58">
        <v>5.0694444444444445E-2</v>
      </c>
      <c r="T254" s="33" t="s">
        <v>372</v>
      </c>
      <c r="U254" s="33"/>
      <c r="V254" s="33"/>
      <c r="W254" s="33" t="s">
        <v>1740</v>
      </c>
      <c r="X254" s="43">
        <v>46148.209027777775</v>
      </c>
      <c r="Y254" s="58">
        <v>1.0416666666666666E-2</v>
      </c>
      <c r="Z254" s="33" t="s">
        <v>372</v>
      </c>
      <c r="AA254" s="43">
        <v>46149.958333333336</v>
      </c>
      <c r="AB254" s="33" t="s">
        <v>1741</v>
      </c>
      <c r="AC254" s="33" t="s">
        <v>547</v>
      </c>
      <c r="AD254" s="58">
        <v>0.54027777777777775</v>
      </c>
      <c r="AE254" s="33"/>
      <c r="AF254" s="58">
        <v>0.54027777777777775</v>
      </c>
      <c r="AG254" s="33" t="s">
        <v>1742</v>
      </c>
      <c r="AH254" s="33">
        <v>2</v>
      </c>
      <c r="AI254" s="43">
        <v>46148.304166666669</v>
      </c>
      <c r="AJ254" s="33" t="s">
        <v>73</v>
      </c>
      <c r="AK254" s="42">
        <v>162075.71</v>
      </c>
      <c r="AL254" s="33" t="s">
        <v>1743</v>
      </c>
    </row>
    <row r="255" spans="1:38">
      <c r="A255" s="33">
        <v>6001764</v>
      </c>
      <c r="B255" s="33"/>
      <c r="C255" s="33" t="s">
        <v>789</v>
      </c>
      <c r="D255" s="33" t="s">
        <v>1150</v>
      </c>
      <c r="E255" s="33" t="s">
        <v>1744</v>
      </c>
      <c r="F255" s="43">
        <v>46147.708333333336</v>
      </c>
      <c r="G255" s="33" t="s">
        <v>792</v>
      </c>
      <c r="H255" s="33"/>
      <c r="I255" s="33" t="s">
        <v>793</v>
      </c>
      <c r="J255" s="33" t="s">
        <v>1382</v>
      </c>
      <c r="K255" s="33" t="s">
        <v>75</v>
      </c>
      <c r="L255" s="33" t="s">
        <v>1184</v>
      </c>
      <c r="M255" s="43">
        <v>46147.757141203707</v>
      </c>
      <c r="N255" s="33" t="s">
        <v>1152</v>
      </c>
      <c r="O255" s="33" t="s">
        <v>797</v>
      </c>
      <c r="P255" s="33" t="s">
        <v>799</v>
      </c>
      <c r="Q255" s="33"/>
      <c r="R255" s="33"/>
      <c r="S255" s="33"/>
      <c r="T255" s="33" t="s">
        <v>140</v>
      </c>
      <c r="U255" s="43">
        <v>46147.726388888892</v>
      </c>
      <c r="V255" s="58">
        <v>3.2638888888888891E-2</v>
      </c>
      <c r="W255" s="33" t="s">
        <v>140</v>
      </c>
      <c r="X255" s="43">
        <v>46147.726388888892</v>
      </c>
      <c r="Y255" s="58">
        <v>3.2638888888888891E-2</v>
      </c>
      <c r="Z255" s="33" t="s">
        <v>140</v>
      </c>
      <c r="AA255" s="43">
        <v>46148.75</v>
      </c>
      <c r="AB255" s="33" t="s">
        <v>81</v>
      </c>
      <c r="AC255" s="33" t="s">
        <v>1383</v>
      </c>
      <c r="AD255" s="58">
        <v>6.0416666666666667E-2</v>
      </c>
      <c r="AE255" s="33"/>
      <c r="AF255" s="58">
        <v>6.0416666666666667E-2</v>
      </c>
      <c r="AG255" s="33" t="s">
        <v>1154</v>
      </c>
      <c r="AH255" s="33">
        <v>1</v>
      </c>
      <c r="AI255" s="43">
        <v>46147.726388888892</v>
      </c>
      <c r="AJ255" s="33" t="s">
        <v>793</v>
      </c>
      <c r="AK255" s="42">
        <v>741899.46</v>
      </c>
      <c r="AL255" s="33" t="s">
        <v>1155</v>
      </c>
    </row>
    <row r="256" spans="1:38">
      <c r="A256" s="33">
        <v>6003265</v>
      </c>
      <c r="B256" s="33"/>
      <c r="C256" s="33" t="s">
        <v>789</v>
      </c>
      <c r="D256" s="33" t="s">
        <v>1745</v>
      </c>
      <c r="E256" s="33" t="s">
        <v>1746</v>
      </c>
      <c r="F256" s="43">
        <v>46147.708333333336</v>
      </c>
      <c r="G256" s="33" t="s">
        <v>792</v>
      </c>
      <c r="H256" s="33"/>
      <c r="I256" s="33" t="s">
        <v>793</v>
      </c>
      <c r="J256" s="33" t="s">
        <v>958</v>
      </c>
      <c r="K256" s="33" t="s">
        <v>75</v>
      </c>
      <c r="L256" s="33" t="s">
        <v>1747</v>
      </c>
      <c r="M256" s="43">
        <v>46147.868946759256</v>
      </c>
      <c r="N256" s="33" t="s">
        <v>1748</v>
      </c>
      <c r="O256" s="33" t="s">
        <v>797</v>
      </c>
      <c r="P256" s="33" t="s">
        <v>861</v>
      </c>
      <c r="Q256" s="43">
        <v>46147.693749999999</v>
      </c>
      <c r="R256" s="43">
        <v>46147.71597222222</v>
      </c>
      <c r="S256" s="58">
        <v>2.2222222222222223E-2</v>
      </c>
      <c r="T256" s="33" t="s">
        <v>140</v>
      </c>
      <c r="U256" s="43">
        <v>46147.85</v>
      </c>
      <c r="V256" s="58">
        <v>1.8749999999999999E-2</v>
      </c>
      <c r="W256" s="33" t="s">
        <v>140</v>
      </c>
      <c r="X256" s="43">
        <v>46147.85</v>
      </c>
      <c r="Y256" s="58">
        <v>1.8749999999999999E-2</v>
      </c>
      <c r="Z256" s="33" t="s">
        <v>140</v>
      </c>
      <c r="AA256" s="43">
        <v>46148.916666666664</v>
      </c>
      <c r="AB256" s="33" t="s">
        <v>1749</v>
      </c>
      <c r="AC256" s="33" t="s">
        <v>1404</v>
      </c>
      <c r="AD256" s="58">
        <v>0.17499999999999999</v>
      </c>
      <c r="AE256" s="58">
        <v>0.15277777777777779</v>
      </c>
      <c r="AF256" s="58">
        <v>0.17499999999999999</v>
      </c>
      <c r="AG256" s="33" t="s">
        <v>1750</v>
      </c>
      <c r="AH256" s="33">
        <v>2</v>
      </c>
      <c r="AI256" s="43">
        <v>46147.85</v>
      </c>
      <c r="AJ256" s="33" t="s">
        <v>793</v>
      </c>
      <c r="AK256" s="42">
        <v>855386.4</v>
      </c>
      <c r="AL256" s="33" t="s">
        <v>1751</v>
      </c>
    </row>
    <row r="257" spans="1:38">
      <c r="A257" s="33" t="s">
        <v>1688</v>
      </c>
      <c r="B257" s="33"/>
      <c r="C257" s="33" t="s">
        <v>789</v>
      </c>
      <c r="D257" s="33" t="s">
        <v>1210</v>
      </c>
      <c r="E257" s="33" t="s">
        <v>1752</v>
      </c>
      <c r="F257" s="43">
        <v>46147.791666666664</v>
      </c>
      <c r="G257" s="33" t="s">
        <v>792</v>
      </c>
      <c r="H257" s="33"/>
      <c r="I257" s="33" t="s">
        <v>793</v>
      </c>
      <c r="J257" s="33" t="s">
        <v>1049</v>
      </c>
      <c r="K257" s="33" t="s">
        <v>75</v>
      </c>
      <c r="L257" s="33" t="s">
        <v>1148</v>
      </c>
      <c r="M257" s="43">
        <v>46148.311666666668</v>
      </c>
      <c r="N257" s="33" t="s">
        <v>796</v>
      </c>
      <c r="O257" s="33" t="s">
        <v>797</v>
      </c>
      <c r="P257" s="33" t="s">
        <v>799</v>
      </c>
      <c r="Q257" s="43">
        <v>46147.731944444444</v>
      </c>
      <c r="R257" s="43">
        <v>46147.933333333334</v>
      </c>
      <c r="S257" s="58">
        <v>0.2013888888888889</v>
      </c>
      <c r="T257" s="33" t="s">
        <v>140</v>
      </c>
      <c r="U257" s="43">
        <v>46147.97152777778</v>
      </c>
      <c r="V257" s="58">
        <v>0.34027777777777779</v>
      </c>
      <c r="W257" s="33" t="s">
        <v>140</v>
      </c>
      <c r="X257" s="43">
        <v>46147.97152777778</v>
      </c>
      <c r="Y257" s="58">
        <v>0.34027777777777779</v>
      </c>
      <c r="Z257" s="33" t="s">
        <v>140</v>
      </c>
      <c r="AA257" s="43">
        <v>46148.75</v>
      </c>
      <c r="AB257" s="33" t="s">
        <v>81</v>
      </c>
      <c r="AC257" s="33" t="s">
        <v>1053</v>
      </c>
      <c r="AD257" s="58">
        <v>0.6118055555555556</v>
      </c>
      <c r="AE257" s="58">
        <v>0.37916666666666665</v>
      </c>
      <c r="AF257" s="58">
        <v>0.6118055555555556</v>
      </c>
      <c r="AG257" s="33" t="s">
        <v>1212</v>
      </c>
      <c r="AH257" s="33">
        <v>2</v>
      </c>
      <c r="AI257" s="43">
        <v>46147.97152777778</v>
      </c>
      <c r="AJ257" s="33" t="s">
        <v>793</v>
      </c>
      <c r="AK257" s="42">
        <v>839137.04</v>
      </c>
      <c r="AL257" s="33" t="s">
        <v>1213</v>
      </c>
    </row>
    <row r="258" spans="1:38">
      <c r="A258" s="33">
        <v>6004158</v>
      </c>
      <c r="B258" s="33"/>
      <c r="C258" s="33" t="s">
        <v>789</v>
      </c>
      <c r="D258" s="33" t="s">
        <v>1473</v>
      </c>
      <c r="E258" s="33" t="s">
        <v>1753</v>
      </c>
      <c r="F258" s="43">
        <v>46147.625</v>
      </c>
      <c r="G258" s="33" t="s">
        <v>792</v>
      </c>
      <c r="H258" s="33"/>
      <c r="I258" s="33" t="s">
        <v>793</v>
      </c>
      <c r="J258" s="33" t="s">
        <v>1607</v>
      </c>
      <c r="K258" s="33" t="s">
        <v>75</v>
      </c>
      <c r="L258" s="33" t="s">
        <v>1754</v>
      </c>
      <c r="M258" s="43">
        <v>46147.826192129629</v>
      </c>
      <c r="N258" s="33" t="s">
        <v>1476</v>
      </c>
      <c r="O258" s="33" t="s">
        <v>797</v>
      </c>
      <c r="P258" s="33" t="s">
        <v>1453</v>
      </c>
      <c r="Q258" s="43">
        <v>46147.725694444445</v>
      </c>
      <c r="R258" s="43">
        <v>46147.734027777777</v>
      </c>
      <c r="S258" s="58">
        <v>8.3333333333333332E-3</v>
      </c>
      <c r="T258" s="33" t="s">
        <v>1455</v>
      </c>
      <c r="U258" s="43">
        <v>46147.822916666664</v>
      </c>
      <c r="V258" s="58">
        <v>1.3888888888888889E-3</v>
      </c>
      <c r="W258" s="33" t="s">
        <v>1454</v>
      </c>
      <c r="X258" s="43">
        <v>46147.806944444441</v>
      </c>
      <c r="Y258" s="58">
        <v>1.7361111111111112E-2</v>
      </c>
      <c r="Z258" s="33" t="s">
        <v>1455</v>
      </c>
      <c r="AA258" s="43">
        <v>46147.822916666664</v>
      </c>
      <c r="AB258" s="33" t="s">
        <v>1052</v>
      </c>
      <c r="AC258" s="33" t="s">
        <v>1609</v>
      </c>
      <c r="AD258" s="58">
        <v>9.930555555555555E-2</v>
      </c>
      <c r="AE258" s="58">
        <v>9.166666666666666E-2</v>
      </c>
      <c r="AF258" s="58">
        <v>9.930555555555555E-2</v>
      </c>
      <c r="AG258" s="33" t="s">
        <v>1477</v>
      </c>
      <c r="AH258" s="33">
        <v>2</v>
      </c>
      <c r="AI258" s="33"/>
      <c r="AJ258" s="33" t="s">
        <v>793</v>
      </c>
      <c r="AK258" s="42">
        <v>987654.84</v>
      </c>
      <c r="AL258" s="33" t="s">
        <v>1755</v>
      </c>
    </row>
    <row r="259" spans="1:38">
      <c r="A259" s="33">
        <v>6010785</v>
      </c>
      <c r="B259" s="33"/>
      <c r="C259" s="33" t="s">
        <v>789</v>
      </c>
      <c r="D259" s="33" t="s">
        <v>1756</v>
      </c>
      <c r="E259" s="33" t="s">
        <v>1757</v>
      </c>
      <c r="F259" s="43">
        <v>46147.770833333336</v>
      </c>
      <c r="G259" s="33" t="s">
        <v>216</v>
      </c>
      <c r="H259" s="33"/>
      <c r="I259" s="33" t="s">
        <v>73</v>
      </c>
      <c r="J259" s="33" t="s">
        <v>1643</v>
      </c>
      <c r="K259" s="33" t="s">
        <v>75</v>
      </c>
      <c r="L259" s="33" t="s">
        <v>1758</v>
      </c>
      <c r="M259" s="43">
        <v>46154.634884259256</v>
      </c>
      <c r="N259" s="33" t="s">
        <v>1759</v>
      </c>
      <c r="O259" s="33" t="s">
        <v>175</v>
      </c>
      <c r="P259" s="33" t="s">
        <v>79</v>
      </c>
      <c r="Q259" s="33"/>
      <c r="R259" s="33"/>
      <c r="S259" s="33"/>
      <c r="T259" s="33" t="s">
        <v>594</v>
      </c>
      <c r="U259" s="43">
        <v>46154.177083333336</v>
      </c>
      <c r="V259" s="58">
        <v>0.34583333333333333</v>
      </c>
      <c r="W259" s="33"/>
      <c r="X259" s="33"/>
      <c r="Y259" s="33"/>
      <c r="Z259" s="33" t="s">
        <v>594</v>
      </c>
      <c r="AA259" s="43">
        <v>46154.25</v>
      </c>
      <c r="AB259" s="33" t="s">
        <v>81</v>
      </c>
      <c r="AC259" s="33" t="s">
        <v>1646</v>
      </c>
      <c r="AD259" s="44">
        <v>6.8979166666666663</v>
      </c>
      <c r="AE259" s="33"/>
      <c r="AF259" s="44">
        <v>6.8979166666666663</v>
      </c>
      <c r="AG259" s="33" t="s">
        <v>1760</v>
      </c>
      <c r="AH259" s="33">
        <v>1</v>
      </c>
      <c r="AI259" s="43">
        <v>46154.177083333336</v>
      </c>
      <c r="AJ259" s="33" t="s">
        <v>73</v>
      </c>
      <c r="AK259" s="42">
        <v>163947</v>
      </c>
      <c r="AL259" s="33" t="s">
        <v>1761</v>
      </c>
    </row>
    <row r="260" spans="1:38">
      <c r="A260" s="33">
        <v>6011632</v>
      </c>
      <c r="B260" s="33"/>
      <c r="C260" s="33" t="s">
        <v>789</v>
      </c>
      <c r="D260" s="33" t="s">
        <v>1762</v>
      </c>
      <c r="E260" s="33" t="s">
        <v>1763</v>
      </c>
      <c r="F260" s="43">
        <v>46147.74722222222</v>
      </c>
      <c r="G260" s="33" t="s">
        <v>1246</v>
      </c>
      <c r="H260" s="33"/>
      <c r="I260" s="33" t="s">
        <v>73</v>
      </c>
      <c r="J260" s="33" t="s">
        <v>1293</v>
      </c>
      <c r="K260" s="33"/>
      <c r="L260" s="33"/>
      <c r="M260" s="33"/>
      <c r="N260" s="33"/>
      <c r="O260" s="33" t="s">
        <v>797</v>
      </c>
      <c r="P260" s="33" t="s">
        <v>140</v>
      </c>
      <c r="Q260" s="33"/>
      <c r="R260" s="33"/>
      <c r="S260" s="33"/>
      <c r="T260" s="33" t="s">
        <v>1296</v>
      </c>
      <c r="U260" s="33"/>
      <c r="V260" s="33"/>
      <c r="W260" s="33"/>
      <c r="X260" s="33"/>
      <c r="Y260" s="33"/>
      <c r="Z260" s="33" t="s">
        <v>1296</v>
      </c>
      <c r="AA260" s="43">
        <v>46155.416666666664</v>
      </c>
      <c r="AB260" s="33" t="s">
        <v>81</v>
      </c>
      <c r="AC260" s="33" t="s">
        <v>81</v>
      </c>
      <c r="AD260" s="58">
        <v>7.5694444444444439E-2</v>
      </c>
      <c r="AE260" s="33"/>
      <c r="AF260" s="58">
        <v>7.5694444444444439E-2</v>
      </c>
      <c r="AG260" s="33"/>
      <c r="AH260" s="33">
        <v>0</v>
      </c>
      <c r="AI260" s="33"/>
      <c r="AJ260" s="33" t="s">
        <v>73</v>
      </c>
      <c r="AK260" s="42">
        <v>181296.11</v>
      </c>
      <c r="AL260" s="33" t="s">
        <v>1298</v>
      </c>
    </row>
    <row r="261" spans="1:38">
      <c r="A261" s="33">
        <v>6002510</v>
      </c>
      <c r="B261" s="33"/>
      <c r="C261" s="33" t="s">
        <v>789</v>
      </c>
      <c r="D261" s="33" t="s">
        <v>914</v>
      </c>
      <c r="E261" s="33" t="s">
        <v>1764</v>
      </c>
      <c r="F261" s="43">
        <v>46147.833333333336</v>
      </c>
      <c r="G261" s="33" t="s">
        <v>792</v>
      </c>
      <c r="H261" s="33"/>
      <c r="I261" s="33" t="s">
        <v>793</v>
      </c>
      <c r="J261" s="33" t="s">
        <v>1382</v>
      </c>
      <c r="K261" s="33" t="s">
        <v>453</v>
      </c>
      <c r="L261" s="33" t="s">
        <v>1765</v>
      </c>
      <c r="M261" s="43">
        <v>46148.36755787037</v>
      </c>
      <c r="N261" s="33" t="s">
        <v>918</v>
      </c>
      <c r="O261" s="33" t="s">
        <v>797</v>
      </c>
      <c r="P261" s="33" t="s">
        <v>799</v>
      </c>
      <c r="Q261" s="43">
        <v>46147.803472222222</v>
      </c>
      <c r="R261" s="43">
        <v>46147.84652777778</v>
      </c>
      <c r="S261" s="58">
        <v>4.3055555555555555E-2</v>
      </c>
      <c r="T261" s="33" t="s">
        <v>140</v>
      </c>
      <c r="U261" s="43">
        <v>46147.875694444447</v>
      </c>
      <c r="V261" s="58">
        <v>0.48958333333333331</v>
      </c>
      <c r="W261" s="33"/>
      <c r="X261" s="33"/>
      <c r="Y261" s="33"/>
      <c r="Z261" s="33" t="s">
        <v>140</v>
      </c>
      <c r="AA261" s="43">
        <v>46148.833333333336</v>
      </c>
      <c r="AB261" s="33" t="s">
        <v>81</v>
      </c>
      <c r="AC261" s="33" t="s">
        <v>81</v>
      </c>
      <c r="AD261" s="58">
        <v>0.59652777777777777</v>
      </c>
      <c r="AE261" s="33"/>
      <c r="AF261" s="58">
        <v>0.59652777777777777</v>
      </c>
      <c r="AG261" s="33" t="s">
        <v>919</v>
      </c>
      <c r="AH261" s="33">
        <v>2</v>
      </c>
      <c r="AI261" s="43">
        <v>46147.875694444447</v>
      </c>
      <c r="AJ261" s="33" t="s">
        <v>793</v>
      </c>
      <c r="AK261" s="42">
        <v>1080721.46</v>
      </c>
      <c r="AL261" s="33" t="s">
        <v>920</v>
      </c>
    </row>
    <row r="262" spans="1:38">
      <c r="A262" s="33">
        <v>6010788</v>
      </c>
      <c r="B262" s="33"/>
      <c r="C262" s="33" t="s">
        <v>789</v>
      </c>
      <c r="D262" s="33" t="s">
        <v>1766</v>
      </c>
      <c r="E262" s="33" t="s">
        <v>1767</v>
      </c>
      <c r="F262" s="43">
        <v>46147.833333333336</v>
      </c>
      <c r="G262" s="33" t="s">
        <v>89</v>
      </c>
      <c r="H262" s="33"/>
      <c r="I262" s="33" t="s">
        <v>73</v>
      </c>
      <c r="J262" s="33" t="s">
        <v>1643</v>
      </c>
      <c r="K262" s="33" t="s">
        <v>75</v>
      </c>
      <c r="L262" s="33" t="s">
        <v>1768</v>
      </c>
      <c r="M262" s="43">
        <v>46154.550983796296</v>
      </c>
      <c r="N262" s="33" t="s">
        <v>1769</v>
      </c>
      <c r="O262" s="33" t="s">
        <v>797</v>
      </c>
      <c r="P262" s="33" t="s">
        <v>79</v>
      </c>
      <c r="Q262" s="33"/>
      <c r="R262" s="33"/>
      <c r="S262" s="33"/>
      <c r="T262" s="33" t="s">
        <v>594</v>
      </c>
      <c r="U262" s="43">
        <v>46153.573611111111</v>
      </c>
      <c r="V262" s="58">
        <v>0.97986111111111107</v>
      </c>
      <c r="W262" s="33" t="s">
        <v>594</v>
      </c>
      <c r="X262" s="43">
        <v>46153.573611111111</v>
      </c>
      <c r="Y262" s="58">
        <v>0.97986111111111107</v>
      </c>
      <c r="Z262" s="33" t="s">
        <v>594</v>
      </c>
      <c r="AA262" s="43">
        <v>46154.25</v>
      </c>
      <c r="AB262" s="33" t="s">
        <v>81</v>
      </c>
      <c r="AC262" s="33" t="s">
        <v>1646</v>
      </c>
      <c r="AD262" s="44">
        <v>6.6902777777777782</v>
      </c>
      <c r="AE262" s="33"/>
      <c r="AF262" s="44">
        <v>6.6902777777777782</v>
      </c>
      <c r="AG262" s="33" t="s">
        <v>1770</v>
      </c>
      <c r="AH262" s="33">
        <v>1</v>
      </c>
      <c r="AI262" s="43">
        <v>46153.573611111111</v>
      </c>
      <c r="AJ262" s="33" t="s">
        <v>73</v>
      </c>
      <c r="AK262" s="42">
        <v>147435.63</v>
      </c>
      <c r="AL262" s="33" t="s">
        <v>1771</v>
      </c>
    </row>
    <row r="263" spans="1:38">
      <c r="A263" s="33">
        <v>6000477</v>
      </c>
      <c r="B263" s="33" t="s">
        <v>1772</v>
      </c>
      <c r="C263" s="33" t="s">
        <v>789</v>
      </c>
      <c r="D263" s="33" t="s">
        <v>1074</v>
      </c>
      <c r="E263" s="33" t="s">
        <v>1773</v>
      </c>
      <c r="F263" s="43">
        <v>46147.75</v>
      </c>
      <c r="G263" s="33" t="s">
        <v>792</v>
      </c>
      <c r="H263" s="44">
        <v>10.52361111111111</v>
      </c>
      <c r="I263" s="33" t="s">
        <v>793</v>
      </c>
      <c r="J263" s="33" t="s">
        <v>887</v>
      </c>
      <c r="K263" s="33" t="s">
        <v>75</v>
      </c>
      <c r="L263" s="33" t="s">
        <v>1774</v>
      </c>
      <c r="M263" s="43">
        <v>46148.087534722225</v>
      </c>
      <c r="N263" s="33" t="s">
        <v>1078</v>
      </c>
      <c r="O263" s="33" t="s">
        <v>797</v>
      </c>
      <c r="P263" s="33" t="s">
        <v>798</v>
      </c>
      <c r="Q263" s="33"/>
      <c r="R263" s="33"/>
      <c r="S263" s="33"/>
      <c r="T263" s="33" t="s">
        <v>799</v>
      </c>
      <c r="U263" s="33"/>
      <c r="V263" s="33"/>
      <c r="W263" s="33"/>
      <c r="X263" s="33"/>
      <c r="Y263" s="33"/>
      <c r="Z263" s="33" t="s">
        <v>799</v>
      </c>
      <c r="AA263" s="43">
        <v>46148.958333333336</v>
      </c>
      <c r="AB263" s="33" t="s">
        <v>1775</v>
      </c>
      <c r="AC263" s="33" t="s">
        <v>890</v>
      </c>
      <c r="AD263" s="58">
        <v>0.33402777777777776</v>
      </c>
      <c r="AE263" s="33"/>
      <c r="AF263" s="58">
        <v>0.33402777777777776</v>
      </c>
      <c r="AG263" s="33" t="s">
        <v>1080</v>
      </c>
      <c r="AH263" s="33">
        <v>0</v>
      </c>
      <c r="AI263" s="43">
        <v>46149.82708333333</v>
      </c>
      <c r="AJ263" s="33" t="s">
        <v>793</v>
      </c>
      <c r="AK263" s="42">
        <v>584049.81000000006</v>
      </c>
      <c r="AL263" s="33" t="s">
        <v>1081</v>
      </c>
    </row>
    <row r="264" spans="1:38">
      <c r="A264" s="33">
        <v>5996088</v>
      </c>
      <c r="B264" s="33"/>
      <c r="C264" s="33" t="s">
        <v>789</v>
      </c>
      <c r="D264" s="33" t="s">
        <v>817</v>
      </c>
      <c r="E264" s="33" t="s">
        <v>1776</v>
      </c>
      <c r="F264" s="43">
        <v>46147.791666666664</v>
      </c>
      <c r="G264" s="33" t="s">
        <v>792</v>
      </c>
      <c r="H264" s="33"/>
      <c r="I264" s="33" t="s">
        <v>793</v>
      </c>
      <c r="J264" s="33" t="s">
        <v>794</v>
      </c>
      <c r="K264" s="33" t="s">
        <v>75</v>
      </c>
      <c r="L264" s="33" t="s">
        <v>1105</v>
      </c>
      <c r="M264" s="43">
        <v>46147.982951388891</v>
      </c>
      <c r="N264" s="33" t="s">
        <v>822</v>
      </c>
      <c r="O264" s="33" t="s">
        <v>797</v>
      </c>
      <c r="P264" s="33" t="s">
        <v>798</v>
      </c>
      <c r="Q264" s="43">
        <v>46147.790277777778</v>
      </c>
      <c r="R264" s="43">
        <v>46147.841666666667</v>
      </c>
      <c r="S264" s="58">
        <v>5.1388888888888887E-2</v>
      </c>
      <c r="T264" s="33" t="s">
        <v>799</v>
      </c>
      <c r="U264" s="43">
        <v>46147.961111111108</v>
      </c>
      <c r="V264" s="58">
        <v>2.2916666666666665E-2</v>
      </c>
      <c r="W264" s="33" t="s">
        <v>799</v>
      </c>
      <c r="X264" s="43">
        <v>46147.961111111108</v>
      </c>
      <c r="Y264" s="58">
        <v>2.2916666666666665E-2</v>
      </c>
      <c r="Z264" s="33" t="s">
        <v>799</v>
      </c>
      <c r="AA264" s="43">
        <v>46148.958333333336</v>
      </c>
      <c r="AB264" s="33" t="s">
        <v>81</v>
      </c>
      <c r="AC264" s="33" t="s">
        <v>800</v>
      </c>
      <c r="AD264" s="58">
        <v>0.22916666666666666</v>
      </c>
      <c r="AE264" s="58">
        <v>0.14097222222222222</v>
      </c>
      <c r="AF264" s="58">
        <v>0.22916666666666666</v>
      </c>
      <c r="AG264" s="33" t="s">
        <v>825</v>
      </c>
      <c r="AH264" s="33">
        <v>2</v>
      </c>
      <c r="AI264" s="43">
        <v>46147.961111111108</v>
      </c>
      <c r="AJ264" s="33" t="s">
        <v>793</v>
      </c>
      <c r="AK264" s="42">
        <v>458504.93</v>
      </c>
      <c r="AL264" s="33" t="s">
        <v>826</v>
      </c>
    </row>
    <row r="265" spans="1:38">
      <c r="A265" s="33">
        <v>6001755</v>
      </c>
      <c r="B265" s="33"/>
      <c r="C265" s="33" t="s">
        <v>789</v>
      </c>
      <c r="D265" s="33" t="s">
        <v>1056</v>
      </c>
      <c r="E265" s="33" t="s">
        <v>1777</v>
      </c>
      <c r="F265" s="43">
        <v>46147.791666666664</v>
      </c>
      <c r="G265" s="33" t="s">
        <v>792</v>
      </c>
      <c r="H265" s="33"/>
      <c r="I265" s="33" t="s">
        <v>793</v>
      </c>
      <c r="J265" s="33" t="s">
        <v>794</v>
      </c>
      <c r="K265" s="33" t="s">
        <v>971</v>
      </c>
      <c r="L265" s="33" t="s">
        <v>1778</v>
      </c>
      <c r="M265" s="43">
        <v>46147.979270833333</v>
      </c>
      <c r="N265" s="33" t="s">
        <v>1060</v>
      </c>
      <c r="O265" s="33" t="s">
        <v>797</v>
      </c>
      <c r="P265" s="33" t="s">
        <v>798</v>
      </c>
      <c r="Q265" s="43">
        <v>46147.792361111111</v>
      </c>
      <c r="R265" s="43">
        <v>46147.840277777781</v>
      </c>
      <c r="S265" s="58">
        <v>4.791666666666667E-2</v>
      </c>
      <c r="T265" s="33" t="s">
        <v>799</v>
      </c>
      <c r="U265" s="43">
        <v>46147.961111111108</v>
      </c>
      <c r="V265" s="58">
        <v>1.8055555555555554E-2</v>
      </c>
      <c r="W265" s="33" t="s">
        <v>799</v>
      </c>
      <c r="X265" s="43">
        <v>46147.961111111108</v>
      </c>
      <c r="Y265" s="58">
        <v>1.8055555555555554E-2</v>
      </c>
      <c r="Z265" s="33" t="s">
        <v>799</v>
      </c>
      <c r="AA265" s="43">
        <v>46148.958333333336</v>
      </c>
      <c r="AB265" s="33" t="s">
        <v>81</v>
      </c>
      <c r="AC265" s="33" t="s">
        <v>800</v>
      </c>
      <c r="AD265" s="58">
        <v>0.22361111111111112</v>
      </c>
      <c r="AE265" s="58">
        <v>0.13958333333333334</v>
      </c>
      <c r="AF265" s="58">
        <v>0.22361111111111112</v>
      </c>
      <c r="AG265" s="33" t="s">
        <v>1061</v>
      </c>
      <c r="AH265" s="33">
        <v>2</v>
      </c>
      <c r="AI265" s="43">
        <v>46147.961111111108</v>
      </c>
      <c r="AJ265" s="33" t="s">
        <v>793</v>
      </c>
      <c r="AK265" s="42">
        <v>589841.06000000006</v>
      </c>
      <c r="AL265" s="33" t="s">
        <v>1062</v>
      </c>
    </row>
    <row r="266" spans="1:38">
      <c r="A266" s="33">
        <v>6002334</v>
      </c>
      <c r="B266" s="33"/>
      <c r="C266" s="33" t="s">
        <v>789</v>
      </c>
      <c r="D266" s="33" t="s">
        <v>1779</v>
      </c>
      <c r="E266" s="33" t="s">
        <v>1780</v>
      </c>
      <c r="F266" s="43">
        <v>46147.833333333336</v>
      </c>
      <c r="G266" s="33" t="s">
        <v>792</v>
      </c>
      <c r="H266" s="33"/>
      <c r="I266" s="33" t="s">
        <v>793</v>
      </c>
      <c r="J266" s="33" t="s">
        <v>1781</v>
      </c>
      <c r="K266" s="33" t="s">
        <v>75</v>
      </c>
      <c r="L266" s="33" t="s">
        <v>1523</v>
      </c>
      <c r="M266" s="43">
        <v>46147.927777777775</v>
      </c>
      <c r="N266" s="33" t="s">
        <v>796</v>
      </c>
      <c r="O266" s="33" t="s">
        <v>797</v>
      </c>
      <c r="P266" s="33" t="s">
        <v>799</v>
      </c>
      <c r="Q266" s="43">
        <v>46147.813888888886</v>
      </c>
      <c r="R266" s="43">
        <v>46147.864583333336</v>
      </c>
      <c r="S266" s="58">
        <v>5.0694444444444445E-2</v>
      </c>
      <c r="T266" s="33" t="s">
        <v>140</v>
      </c>
      <c r="U266" s="43">
        <v>46147.904166666667</v>
      </c>
      <c r="V266" s="58">
        <v>3.888888888888889E-2</v>
      </c>
      <c r="W266" s="33" t="s">
        <v>140</v>
      </c>
      <c r="X266" s="43">
        <v>46147.904166666667</v>
      </c>
      <c r="Y266" s="58">
        <v>3.888888888888889E-2</v>
      </c>
      <c r="Z266" s="33" t="s">
        <v>140</v>
      </c>
      <c r="AA266" s="43">
        <v>46147.875</v>
      </c>
      <c r="AB266" s="33" t="s">
        <v>81</v>
      </c>
      <c r="AC266" s="33" t="s">
        <v>1314</v>
      </c>
      <c r="AD266" s="58">
        <v>0.18402777777777779</v>
      </c>
      <c r="AE266" s="58">
        <v>6.3194444444444442E-2</v>
      </c>
      <c r="AF266" s="58">
        <v>0.18402777777777779</v>
      </c>
      <c r="AG266" s="33" t="s">
        <v>1782</v>
      </c>
      <c r="AH266" s="33">
        <v>2</v>
      </c>
      <c r="AI266" s="43">
        <v>46147.904166666667</v>
      </c>
      <c r="AJ266" s="33" t="s">
        <v>793</v>
      </c>
      <c r="AK266" s="42">
        <v>988569.66</v>
      </c>
      <c r="AL266" s="33" t="s">
        <v>1783</v>
      </c>
    </row>
    <row r="267" spans="1:38">
      <c r="A267" s="33">
        <v>6003190</v>
      </c>
      <c r="B267" s="33"/>
      <c r="C267" s="33" t="s">
        <v>789</v>
      </c>
      <c r="D267" s="33" t="s">
        <v>1784</v>
      </c>
      <c r="E267" s="33" t="s">
        <v>1785</v>
      </c>
      <c r="F267" s="43">
        <v>46147.875</v>
      </c>
      <c r="G267" s="33" t="s">
        <v>792</v>
      </c>
      <c r="H267" s="33"/>
      <c r="I267" s="33" t="s">
        <v>793</v>
      </c>
      <c r="J267" s="33" t="s">
        <v>1786</v>
      </c>
      <c r="K267" s="33" t="s">
        <v>75</v>
      </c>
      <c r="L267" s="33" t="s">
        <v>1094</v>
      </c>
      <c r="M267" s="43">
        <v>46148.033356481479</v>
      </c>
      <c r="N267" s="33" t="s">
        <v>796</v>
      </c>
      <c r="O267" s="33" t="s">
        <v>797</v>
      </c>
      <c r="P267" s="33" t="s">
        <v>861</v>
      </c>
      <c r="Q267" s="43">
        <v>46147.853472222225</v>
      </c>
      <c r="R267" s="43">
        <v>46147.881249999999</v>
      </c>
      <c r="S267" s="58">
        <v>2.7777777777777776E-2</v>
      </c>
      <c r="T267" s="33" t="s">
        <v>140</v>
      </c>
      <c r="U267" s="43">
        <v>46148.020833333336</v>
      </c>
      <c r="V267" s="58">
        <v>1.1805555555555555E-2</v>
      </c>
      <c r="W267" s="33" t="s">
        <v>140</v>
      </c>
      <c r="X267" s="43">
        <v>46148.020833333336</v>
      </c>
      <c r="Y267" s="58">
        <v>1.1805555555555555E-2</v>
      </c>
      <c r="Z267" s="33" t="s">
        <v>140</v>
      </c>
      <c r="AA267" s="43">
        <v>46149.166666666664</v>
      </c>
      <c r="AB267" s="33" t="s">
        <v>81</v>
      </c>
      <c r="AC267" s="33" t="s">
        <v>1787</v>
      </c>
      <c r="AD267" s="58">
        <v>0.27291666666666664</v>
      </c>
      <c r="AE267" s="58">
        <v>0.15208333333333332</v>
      </c>
      <c r="AF267" s="58">
        <v>0.27291666666666664</v>
      </c>
      <c r="AG267" s="33" t="s">
        <v>1788</v>
      </c>
      <c r="AH267" s="33">
        <v>2</v>
      </c>
      <c r="AI267" s="43">
        <v>46148.020833333336</v>
      </c>
      <c r="AJ267" s="33" t="s">
        <v>793</v>
      </c>
      <c r="AK267" s="42">
        <v>855386.4</v>
      </c>
      <c r="AL267" s="33" t="s">
        <v>1789</v>
      </c>
    </row>
    <row r="268" spans="1:38">
      <c r="A268" s="33" t="s">
        <v>1790</v>
      </c>
      <c r="B268" s="33"/>
      <c r="C268" s="33" t="s">
        <v>789</v>
      </c>
      <c r="D268" s="33" t="s">
        <v>877</v>
      </c>
      <c r="E268" s="33" t="s">
        <v>1791</v>
      </c>
      <c r="F268" s="43">
        <v>46147.833333333336</v>
      </c>
      <c r="G268" s="33" t="s">
        <v>792</v>
      </c>
      <c r="H268" s="33"/>
      <c r="I268" s="33" t="s">
        <v>793</v>
      </c>
      <c r="J268" s="33" t="s">
        <v>1792</v>
      </c>
      <c r="K268" s="33" t="s">
        <v>75</v>
      </c>
      <c r="L268" s="33" t="s">
        <v>1793</v>
      </c>
      <c r="M268" s="43">
        <v>46148.328460648147</v>
      </c>
      <c r="N268" s="33" t="s">
        <v>881</v>
      </c>
      <c r="O268" s="33" t="s">
        <v>797</v>
      </c>
      <c r="P268" s="33" t="s">
        <v>799</v>
      </c>
      <c r="Q268" s="43">
        <v>46147.769444444442</v>
      </c>
      <c r="R268" s="43">
        <v>46147.78125</v>
      </c>
      <c r="S268" s="58">
        <v>1.1805555555555555E-2</v>
      </c>
      <c r="T268" s="33" t="s">
        <v>383</v>
      </c>
      <c r="U268" s="43">
        <v>46148.277777777781</v>
      </c>
      <c r="V268" s="58">
        <v>5.1388888888888887E-2</v>
      </c>
      <c r="W268" s="33" t="s">
        <v>383</v>
      </c>
      <c r="X268" s="43">
        <v>46148.277777777781</v>
      </c>
      <c r="Y268" s="58">
        <v>5.1388888888888887E-2</v>
      </c>
      <c r="Z268" s="33" t="s">
        <v>383</v>
      </c>
      <c r="AA268" s="43">
        <v>46148.375</v>
      </c>
      <c r="AB268" s="33" t="s">
        <v>81</v>
      </c>
      <c r="AC268" s="33" t="s">
        <v>1794</v>
      </c>
      <c r="AD268" s="58">
        <v>0.55972222222222223</v>
      </c>
      <c r="AE268" s="58">
        <v>0.54652777777777772</v>
      </c>
      <c r="AF268" s="58">
        <v>0.55972222222222223</v>
      </c>
      <c r="AG268" s="33" t="s">
        <v>883</v>
      </c>
      <c r="AH268" s="33">
        <v>2</v>
      </c>
      <c r="AI268" s="43">
        <v>46148.277777777781</v>
      </c>
      <c r="AJ268" s="33" t="s">
        <v>793</v>
      </c>
      <c r="AK268" s="42">
        <v>1747275.61</v>
      </c>
      <c r="AL268" s="33" t="s">
        <v>884</v>
      </c>
    </row>
    <row r="269" spans="1:38">
      <c r="A269" s="33">
        <v>5963750</v>
      </c>
      <c r="B269" s="33"/>
      <c r="C269" s="33" t="s">
        <v>789</v>
      </c>
      <c r="D269" s="33" t="s">
        <v>1466</v>
      </c>
      <c r="E269" s="33" t="s">
        <v>1795</v>
      </c>
      <c r="F269" s="43">
        <v>46147.958333333336</v>
      </c>
      <c r="G269" s="33" t="s">
        <v>792</v>
      </c>
      <c r="H269" s="33"/>
      <c r="I269" s="33" t="s">
        <v>793</v>
      </c>
      <c r="J269" s="33" t="s">
        <v>1382</v>
      </c>
      <c r="K269" s="59" t="s">
        <v>1306</v>
      </c>
      <c r="L269" s="33" t="s">
        <v>1796</v>
      </c>
      <c r="M269" s="43">
        <v>46148.327222222222</v>
      </c>
      <c r="N269" s="33" t="s">
        <v>1468</v>
      </c>
      <c r="O269" s="33" t="s">
        <v>797</v>
      </c>
      <c r="P269" s="33" t="s">
        <v>799</v>
      </c>
      <c r="Q269" s="43">
        <v>46147.787499999999</v>
      </c>
      <c r="R269" s="43">
        <v>46147.832638888889</v>
      </c>
      <c r="S269" s="58">
        <v>4.5138888888888888E-2</v>
      </c>
      <c r="T269" s="33" t="s">
        <v>140</v>
      </c>
      <c r="U269" s="43">
        <v>46147.868055555555</v>
      </c>
      <c r="V269" s="58">
        <v>0.29583333333333334</v>
      </c>
      <c r="W269" s="33"/>
      <c r="X269" s="33"/>
      <c r="Y269" s="33"/>
      <c r="Z269" s="33" t="s">
        <v>140</v>
      </c>
      <c r="AA269" s="43">
        <v>46148.208333333336</v>
      </c>
      <c r="AB269" s="33" t="s">
        <v>951</v>
      </c>
      <c r="AC269" s="33" t="s">
        <v>1383</v>
      </c>
      <c r="AD269" s="58">
        <v>0.56527777777777777</v>
      </c>
      <c r="AE269" s="33"/>
      <c r="AF269" s="58">
        <v>0.56527777777777777</v>
      </c>
      <c r="AG269" s="33" t="s">
        <v>1469</v>
      </c>
      <c r="AH269" s="33">
        <v>2</v>
      </c>
      <c r="AI269" s="43">
        <v>46147.868055555555</v>
      </c>
      <c r="AJ269" s="33" t="s">
        <v>793</v>
      </c>
      <c r="AK269" s="42">
        <v>971676</v>
      </c>
      <c r="AL269" s="33" t="s">
        <v>1470</v>
      </c>
    </row>
    <row r="270" spans="1:38">
      <c r="A270" s="33">
        <v>5972697</v>
      </c>
      <c r="B270" s="33"/>
      <c r="C270" s="33" t="s">
        <v>789</v>
      </c>
      <c r="D270" s="33" t="s">
        <v>1366</v>
      </c>
      <c r="E270" s="33" t="s">
        <v>1797</v>
      </c>
      <c r="F270" s="43">
        <v>46147.958333333336</v>
      </c>
      <c r="G270" s="33" t="s">
        <v>792</v>
      </c>
      <c r="H270" s="33"/>
      <c r="I270" s="33" t="s">
        <v>793</v>
      </c>
      <c r="J270" s="33" t="s">
        <v>1382</v>
      </c>
      <c r="K270" s="33" t="s">
        <v>75</v>
      </c>
      <c r="L270" s="33" t="s">
        <v>1148</v>
      </c>
      <c r="M270" s="43">
        <v>46148.027905092589</v>
      </c>
      <c r="N270" s="33" t="s">
        <v>796</v>
      </c>
      <c r="O270" s="33" t="s">
        <v>220</v>
      </c>
      <c r="P270" s="33" t="s">
        <v>799</v>
      </c>
      <c r="Q270" s="33"/>
      <c r="R270" s="33"/>
      <c r="S270" s="33"/>
      <c r="T270" s="33" t="s">
        <v>140</v>
      </c>
      <c r="U270" s="43">
        <v>46147.765972222223</v>
      </c>
      <c r="V270" s="58">
        <v>0.1361111111111111</v>
      </c>
      <c r="W270" s="33"/>
      <c r="X270" s="33"/>
      <c r="Y270" s="33"/>
      <c r="Z270" s="33" t="s">
        <v>140</v>
      </c>
      <c r="AA270" s="43">
        <v>46149.208333333336</v>
      </c>
      <c r="AB270" s="33" t="s">
        <v>81</v>
      </c>
      <c r="AC270" s="33" t="s">
        <v>1383</v>
      </c>
      <c r="AD270" s="58">
        <v>0.26319444444444445</v>
      </c>
      <c r="AE270" s="33"/>
      <c r="AF270" s="58">
        <v>0.26319444444444445</v>
      </c>
      <c r="AG270" s="33" t="s">
        <v>1369</v>
      </c>
      <c r="AH270" s="33">
        <v>1</v>
      </c>
      <c r="AI270" s="43">
        <v>46147.765972222223</v>
      </c>
      <c r="AJ270" s="33" t="s">
        <v>793</v>
      </c>
      <c r="AK270" s="42">
        <v>557108.28</v>
      </c>
      <c r="AL270" s="33" t="s">
        <v>1370</v>
      </c>
    </row>
    <row r="271" spans="1:38">
      <c r="A271" s="33">
        <v>6000808</v>
      </c>
      <c r="B271" s="33"/>
      <c r="C271" s="33" t="s">
        <v>789</v>
      </c>
      <c r="D271" s="33" t="s">
        <v>1284</v>
      </c>
      <c r="E271" s="33" t="s">
        <v>1798</v>
      </c>
      <c r="F271" s="43">
        <v>46147.8125</v>
      </c>
      <c r="G271" s="33" t="s">
        <v>792</v>
      </c>
      <c r="H271" s="33"/>
      <c r="I271" s="33" t="s">
        <v>793</v>
      </c>
      <c r="J271" s="33" t="s">
        <v>887</v>
      </c>
      <c r="K271" s="33" t="s">
        <v>75</v>
      </c>
      <c r="L271" s="33" t="s">
        <v>1340</v>
      </c>
      <c r="M271" s="43">
        <v>46148.023935185185</v>
      </c>
      <c r="N271" s="33" t="s">
        <v>1287</v>
      </c>
      <c r="O271" s="33" t="s">
        <v>797</v>
      </c>
      <c r="P271" s="33" t="s">
        <v>798</v>
      </c>
      <c r="Q271" s="43">
        <v>46147.809027777781</v>
      </c>
      <c r="R271" s="43">
        <v>46147.881249999999</v>
      </c>
      <c r="S271" s="58">
        <v>7.2222222222222215E-2</v>
      </c>
      <c r="T271" s="33" t="s">
        <v>799</v>
      </c>
      <c r="U271" s="43">
        <v>46147.993750000001</v>
      </c>
      <c r="V271" s="58">
        <v>2.8472222222222222E-2</v>
      </c>
      <c r="W271" s="33" t="s">
        <v>799</v>
      </c>
      <c r="X271" s="43">
        <v>46147.993750000001</v>
      </c>
      <c r="Y271" s="58">
        <v>2.8472222222222222E-2</v>
      </c>
      <c r="Z271" s="33" t="s">
        <v>799</v>
      </c>
      <c r="AA271" s="43">
        <v>46148.958333333336</v>
      </c>
      <c r="AB271" s="33" t="s">
        <v>81</v>
      </c>
      <c r="AC271" s="33" t="s">
        <v>890</v>
      </c>
      <c r="AD271" s="58">
        <v>0.21944444444444444</v>
      </c>
      <c r="AE271" s="58">
        <v>0.1423611111111111</v>
      </c>
      <c r="AF271" s="58">
        <v>0.21944444444444444</v>
      </c>
      <c r="AG271" s="33" t="s">
        <v>1288</v>
      </c>
      <c r="AH271" s="33">
        <v>2</v>
      </c>
      <c r="AI271" s="43">
        <v>46147.993750000001</v>
      </c>
      <c r="AJ271" s="33" t="s">
        <v>793</v>
      </c>
      <c r="AK271" s="42">
        <v>821754.6</v>
      </c>
      <c r="AL271" s="33" t="s">
        <v>1289</v>
      </c>
    </row>
    <row r="272" spans="1:38">
      <c r="A272" s="33">
        <v>6000481</v>
      </c>
      <c r="B272" s="33"/>
      <c r="C272" s="33" t="s">
        <v>789</v>
      </c>
      <c r="D272" s="33" t="s">
        <v>1338</v>
      </c>
      <c r="E272" s="33" t="s">
        <v>1799</v>
      </c>
      <c r="F272" s="43">
        <v>46147.8125</v>
      </c>
      <c r="G272" s="33" t="s">
        <v>792</v>
      </c>
      <c r="H272" s="33"/>
      <c r="I272" s="33" t="s">
        <v>793</v>
      </c>
      <c r="J272" s="33" t="s">
        <v>1698</v>
      </c>
      <c r="K272" s="33" t="s">
        <v>453</v>
      </c>
      <c r="L272" s="33" t="s">
        <v>1800</v>
      </c>
      <c r="M272" s="43">
        <v>46147.942106481481</v>
      </c>
      <c r="N272" s="33" t="s">
        <v>796</v>
      </c>
      <c r="O272" s="33" t="s">
        <v>797</v>
      </c>
      <c r="P272" s="33" t="s">
        <v>798</v>
      </c>
      <c r="Q272" s="33"/>
      <c r="R272" s="33"/>
      <c r="S272" s="33"/>
      <c r="T272" s="33" t="s">
        <v>799</v>
      </c>
      <c r="U272" s="43">
        <v>46147.90902777778</v>
      </c>
      <c r="V272" s="58">
        <v>3.3333333333333333E-2</v>
      </c>
      <c r="W272" s="33" t="s">
        <v>799</v>
      </c>
      <c r="X272" s="43">
        <v>46147.90902777778</v>
      </c>
      <c r="Y272" s="58">
        <v>3.3333333333333333E-2</v>
      </c>
      <c r="Z272" s="33" t="s">
        <v>799</v>
      </c>
      <c r="AA272" s="43">
        <v>46148.958333333336</v>
      </c>
      <c r="AB272" s="33" t="s">
        <v>81</v>
      </c>
      <c r="AC272" s="33" t="s">
        <v>1505</v>
      </c>
      <c r="AD272" s="58">
        <v>0.14583333333333334</v>
      </c>
      <c r="AE272" s="33"/>
      <c r="AF272" s="58">
        <v>0.14583333333333334</v>
      </c>
      <c r="AG272" s="33" t="s">
        <v>1341</v>
      </c>
      <c r="AH272" s="33">
        <v>1</v>
      </c>
      <c r="AI272" s="43">
        <v>46147.90902777778</v>
      </c>
      <c r="AJ272" s="33" t="s">
        <v>793</v>
      </c>
      <c r="AK272" s="42">
        <v>471928.8</v>
      </c>
      <c r="AL272" s="33" t="s">
        <v>1342</v>
      </c>
    </row>
    <row r="273" spans="1:38">
      <c r="A273" s="33">
        <v>6013470</v>
      </c>
      <c r="B273" s="33"/>
      <c r="C273" s="33" t="s">
        <v>789</v>
      </c>
      <c r="D273" s="33" t="s">
        <v>1801</v>
      </c>
      <c r="E273" s="33" t="s">
        <v>1802</v>
      </c>
      <c r="F273" s="43">
        <v>46147.833333333336</v>
      </c>
      <c r="G273" s="33" t="s">
        <v>227</v>
      </c>
      <c r="H273" s="33"/>
      <c r="I273" s="33" t="s">
        <v>73</v>
      </c>
      <c r="J273" s="33" t="s">
        <v>773</v>
      </c>
      <c r="K273" s="33" t="s">
        <v>75</v>
      </c>
      <c r="L273" s="33" t="s">
        <v>1803</v>
      </c>
      <c r="M273" s="43">
        <v>46147.937662037039</v>
      </c>
      <c r="N273" s="33" t="s">
        <v>1804</v>
      </c>
      <c r="O273" s="33" t="s">
        <v>797</v>
      </c>
      <c r="P273" s="33" t="s">
        <v>79</v>
      </c>
      <c r="Q273" s="43">
        <v>46147.827777777777</v>
      </c>
      <c r="R273" s="43">
        <v>46147.833333333336</v>
      </c>
      <c r="S273" s="58">
        <v>5.5555555555555558E-3</v>
      </c>
      <c r="T273" s="33" t="s">
        <v>308</v>
      </c>
      <c r="U273" s="33"/>
      <c r="V273" s="33"/>
      <c r="W273" s="33" t="s">
        <v>530</v>
      </c>
      <c r="X273" s="43">
        <v>46147.923611111109</v>
      </c>
      <c r="Y273" s="58">
        <v>1.2500000000000001E-2</v>
      </c>
      <c r="Z273" s="33" t="s">
        <v>308</v>
      </c>
      <c r="AA273" s="43">
        <v>46150.666666666664</v>
      </c>
      <c r="AB273" s="33" t="s">
        <v>1805</v>
      </c>
      <c r="AC273" s="33" t="s">
        <v>775</v>
      </c>
      <c r="AD273" s="58">
        <v>0.1076388888888889</v>
      </c>
      <c r="AE273" s="33"/>
      <c r="AF273" s="58">
        <v>0.1076388888888889</v>
      </c>
      <c r="AG273" s="33" t="s">
        <v>1806</v>
      </c>
      <c r="AH273" s="33">
        <v>2</v>
      </c>
      <c r="AI273" s="43">
        <v>46148.26666666667</v>
      </c>
      <c r="AJ273" s="33" t="s">
        <v>73</v>
      </c>
      <c r="AK273" s="42">
        <v>530509</v>
      </c>
      <c r="AL273" s="33" t="s">
        <v>1807</v>
      </c>
    </row>
    <row r="274" spans="1:38">
      <c r="A274" s="33">
        <v>6013469</v>
      </c>
      <c r="B274" s="33"/>
      <c r="C274" s="33" t="s">
        <v>789</v>
      </c>
      <c r="D274" s="33" t="s">
        <v>1808</v>
      </c>
      <c r="E274" s="33" t="s">
        <v>1809</v>
      </c>
      <c r="F274" s="43">
        <v>46147.833333333336</v>
      </c>
      <c r="G274" s="33" t="s">
        <v>227</v>
      </c>
      <c r="H274" s="33"/>
      <c r="I274" s="33" t="s">
        <v>73</v>
      </c>
      <c r="J274" s="33" t="s">
        <v>773</v>
      </c>
      <c r="K274" s="33" t="s">
        <v>75</v>
      </c>
      <c r="L274" s="33" t="s">
        <v>1148</v>
      </c>
      <c r="M274" s="43">
        <v>46148.468761574077</v>
      </c>
      <c r="N274" s="33" t="s">
        <v>1810</v>
      </c>
      <c r="O274" s="33" t="s">
        <v>797</v>
      </c>
      <c r="P274" s="33" t="s">
        <v>79</v>
      </c>
      <c r="Q274" s="43">
        <v>46147.832638888889</v>
      </c>
      <c r="R274" s="43">
        <v>46147.928472222222</v>
      </c>
      <c r="S274" s="58">
        <v>9.583333333333334E-2</v>
      </c>
      <c r="T274" s="33" t="s">
        <v>308</v>
      </c>
      <c r="U274" s="43">
        <v>46148.422222222223</v>
      </c>
      <c r="V274" s="58">
        <v>4.4444444444444446E-2</v>
      </c>
      <c r="W274" s="33" t="s">
        <v>308</v>
      </c>
      <c r="X274" s="43">
        <v>46148.422222222223</v>
      </c>
      <c r="Y274" s="58">
        <v>4.4444444444444446E-2</v>
      </c>
      <c r="Z274" s="33" t="s">
        <v>308</v>
      </c>
      <c r="AA274" s="43">
        <v>46150.583333333336</v>
      </c>
      <c r="AB274" s="33" t="s">
        <v>81</v>
      </c>
      <c r="AC274" s="33" t="s">
        <v>775</v>
      </c>
      <c r="AD274" s="58">
        <v>0.63263888888888886</v>
      </c>
      <c r="AE274" s="58">
        <v>0.51597222222222228</v>
      </c>
      <c r="AF274" s="58">
        <v>0.63263888888888886</v>
      </c>
      <c r="AG274" s="33" t="s">
        <v>1811</v>
      </c>
      <c r="AH274" s="33">
        <v>2</v>
      </c>
      <c r="AI274" s="43">
        <v>46148.422222222223</v>
      </c>
      <c r="AJ274" s="33" t="s">
        <v>73</v>
      </c>
      <c r="AK274" s="42">
        <v>224145</v>
      </c>
      <c r="AL274" s="33" t="s">
        <v>1812</v>
      </c>
    </row>
    <row r="275" spans="1:38">
      <c r="A275" s="33">
        <v>5971377</v>
      </c>
      <c r="B275" s="33"/>
      <c r="C275" s="33" t="s">
        <v>789</v>
      </c>
      <c r="D275" s="33" t="s">
        <v>1429</v>
      </c>
      <c r="E275" s="33" t="s">
        <v>1813</v>
      </c>
      <c r="F275" s="43">
        <v>46147.916666666664</v>
      </c>
      <c r="G275" s="33" t="s">
        <v>792</v>
      </c>
      <c r="H275" s="33"/>
      <c r="I275" s="33" t="s">
        <v>793</v>
      </c>
      <c r="J275" s="33" t="s">
        <v>1781</v>
      </c>
      <c r="K275" s="33" t="s">
        <v>75</v>
      </c>
      <c r="L275" s="33" t="s">
        <v>795</v>
      </c>
      <c r="M275" s="43">
        <v>46148.355740740742</v>
      </c>
      <c r="N275" s="33" t="s">
        <v>1431</v>
      </c>
      <c r="O275" s="33" t="s">
        <v>797</v>
      </c>
      <c r="P275" s="33" t="s">
        <v>799</v>
      </c>
      <c r="Q275" s="43">
        <v>46147.896527777775</v>
      </c>
      <c r="R275" s="43">
        <v>46147.95208333333</v>
      </c>
      <c r="S275" s="58">
        <v>5.5555555555555552E-2</v>
      </c>
      <c r="T275" s="33" t="s">
        <v>140</v>
      </c>
      <c r="U275" s="43">
        <v>46147.978472222225</v>
      </c>
      <c r="V275" s="58">
        <v>0.33958333333333335</v>
      </c>
      <c r="W275" s="33"/>
      <c r="X275" s="33"/>
      <c r="Y275" s="33"/>
      <c r="Z275" s="33" t="s">
        <v>140</v>
      </c>
      <c r="AA275" s="43">
        <v>46147.958333333336</v>
      </c>
      <c r="AB275" s="33" t="s">
        <v>1180</v>
      </c>
      <c r="AC275" s="33" t="s">
        <v>1314</v>
      </c>
      <c r="AD275" s="58">
        <v>0.48125000000000001</v>
      </c>
      <c r="AE275" s="33"/>
      <c r="AF275" s="58">
        <v>0.48125000000000001</v>
      </c>
      <c r="AG275" s="33" t="s">
        <v>1433</v>
      </c>
      <c r="AH275" s="33">
        <v>2</v>
      </c>
      <c r="AI275" s="43">
        <v>46147.978472222225</v>
      </c>
      <c r="AJ275" s="33" t="s">
        <v>793</v>
      </c>
      <c r="AK275" s="42">
        <v>557108.28</v>
      </c>
      <c r="AL275" s="33" t="s">
        <v>1434</v>
      </c>
    </row>
    <row r="276" spans="1:38">
      <c r="A276" s="33">
        <v>6007930</v>
      </c>
      <c r="B276" s="33"/>
      <c r="C276" s="33" t="s">
        <v>789</v>
      </c>
      <c r="D276" s="33" t="s">
        <v>1814</v>
      </c>
      <c r="E276" s="33" t="s">
        <v>1815</v>
      </c>
      <c r="F276" s="43">
        <v>46147.916666666664</v>
      </c>
      <c r="G276" s="33" t="s">
        <v>553</v>
      </c>
      <c r="H276" s="33"/>
      <c r="I276" s="33" t="s">
        <v>73</v>
      </c>
      <c r="J276" s="33" t="s">
        <v>1816</v>
      </c>
      <c r="K276" s="33" t="s">
        <v>75</v>
      </c>
      <c r="L276" s="33" t="s">
        <v>1817</v>
      </c>
      <c r="M276" s="43">
        <v>46149.591099537036</v>
      </c>
      <c r="N276" s="33" t="s">
        <v>1818</v>
      </c>
      <c r="O276" s="33" t="s">
        <v>797</v>
      </c>
      <c r="P276" s="33" t="s">
        <v>140</v>
      </c>
      <c r="Q276" s="43">
        <v>46147.99722222222</v>
      </c>
      <c r="R276" s="43">
        <v>46148.188888888886</v>
      </c>
      <c r="S276" s="58">
        <v>0.19166666666666668</v>
      </c>
      <c r="T276" s="33" t="s">
        <v>1819</v>
      </c>
      <c r="U276" s="43">
        <v>46149.393750000003</v>
      </c>
      <c r="V276" s="58">
        <v>0.19166666666666668</v>
      </c>
      <c r="W276" s="33"/>
      <c r="X276" s="33"/>
      <c r="Y276" s="33"/>
      <c r="Z276" s="33" t="s">
        <v>1819</v>
      </c>
      <c r="AA276" s="43">
        <v>46149.291666666664</v>
      </c>
      <c r="AB276" s="33" t="s">
        <v>823</v>
      </c>
      <c r="AC276" s="33" t="s">
        <v>1820</v>
      </c>
      <c r="AD276" s="44">
        <v>1.675</v>
      </c>
      <c r="AE276" s="33"/>
      <c r="AF276" s="44">
        <v>1.675</v>
      </c>
      <c r="AG276" s="33" t="s">
        <v>1821</v>
      </c>
      <c r="AH276" s="33">
        <v>4</v>
      </c>
      <c r="AI276" s="43">
        <v>46149.393750000003</v>
      </c>
      <c r="AJ276" s="33" t="s">
        <v>73</v>
      </c>
      <c r="AK276" s="42">
        <v>596272.75</v>
      </c>
      <c r="AL276" s="33" t="s">
        <v>1822</v>
      </c>
    </row>
    <row r="277" spans="1:38">
      <c r="A277" s="33">
        <v>5971377</v>
      </c>
      <c r="B277" s="33"/>
      <c r="C277" s="33" t="s">
        <v>789</v>
      </c>
      <c r="D277" s="33" t="s">
        <v>1429</v>
      </c>
      <c r="E277" s="33" t="s">
        <v>1823</v>
      </c>
      <c r="F277" s="43">
        <v>46147.9375</v>
      </c>
      <c r="G277" s="33" t="s">
        <v>792</v>
      </c>
      <c r="H277" s="33"/>
      <c r="I277" s="33" t="s">
        <v>793</v>
      </c>
      <c r="J277" s="33" t="s">
        <v>1382</v>
      </c>
      <c r="K277" s="33" t="s">
        <v>1589</v>
      </c>
      <c r="L277" s="33" t="s">
        <v>1824</v>
      </c>
      <c r="M277" s="43">
        <v>46148.414780092593</v>
      </c>
      <c r="N277" s="33" t="s">
        <v>1431</v>
      </c>
      <c r="O277" s="33" t="s">
        <v>797</v>
      </c>
      <c r="P277" s="33" t="s">
        <v>799</v>
      </c>
      <c r="Q277" s="43">
        <v>46148.356944444444</v>
      </c>
      <c r="R277" s="43">
        <v>46148.370833333334</v>
      </c>
      <c r="S277" s="58">
        <v>1.3888888888888888E-2</v>
      </c>
      <c r="T277" s="33" t="s">
        <v>140</v>
      </c>
      <c r="U277" s="33"/>
      <c r="V277" s="33"/>
      <c r="W277" s="33"/>
      <c r="X277" s="33"/>
      <c r="Y277" s="33"/>
      <c r="Z277" s="33" t="s">
        <v>140</v>
      </c>
      <c r="AA277" s="43">
        <v>46148.916666666664</v>
      </c>
      <c r="AB277" s="33" t="s">
        <v>81</v>
      </c>
      <c r="AC277" s="33" t="s">
        <v>1383</v>
      </c>
      <c r="AD277" s="58">
        <v>5.7638888888888892E-2</v>
      </c>
      <c r="AE277" s="33"/>
      <c r="AF277" s="58">
        <v>5.7638888888888892E-2</v>
      </c>
      <c r="AG277" s="33" t="s">
        <v>1433</v>
      </c>
      <c r="AH277" s="33">
        <v>1</v>
      </c>
      <c r="AI277" s="43">
        <v>46148.415277777778</v>
      </c>
      <c r="AJ277" s="33" t="s">
        <v>793</v>
      </c>
      <c r="AK277" s="42">
        <v>557108.28</v>
      </c>
      <c r="AL277" s="33" t="s">
        <v>1434</v>
      </c>
    </row>
    <row r="278" spans="1:38">
      <c r="A278" s="33">
        <v>6001476</v>
      </c>
      <c r="B278" s="33"/>
      <c r="C278" s="33" t="s">
        <v>789</v>
      </c>
      <c r="D278" s="33" t="s">
        <v>849</v>
      </c>
      <c r="E278" s="33" t="s">
        <v>1825</v>
      </c>
      <c r="F278" s="43">
        <v>46148.125</v>
      </c>
      <c r="G278" s="33" t="s">
        <v>792</v>
      </c>
      <c r="H278" s="33"/>
      <c r="I278" s="33" t="s">
        <v>793</v>
      </c>
      <c r="J278" s="33" t="s">
        <v>922</v>
      </c>
      <c r="K278" s="33" t="s">
        <v>75</v>
      </c>
      <c r="L278" s="33" t="s">
        <v>812</v>
      </c>
      <c r="M278" s="43">
        <v>46148.312928240739</v>
      </c>
      <c r="N278" s="33" t="s">
        <v>852</v>
      </c>
      <c r="O278" s="33" t="s">
        <v>797</v>
      </c>
      <c r="P278" s="33" t="s">
        <v>861</v>
      </c>
      <c r="Q278" s="43">
        <v>46148.120833333334</v>
      </c>
      <c r="R278" s="43">
        <v>46148.163888888892</v>
      </c>
      <c r="S278" s="58">
        <v>4.3055555555555555E-2</v>
      </c>
      <c r="T278" s="33" t="s">
        <v>799</v>
      </c>
      <c r="U278" s="43">
        <v>46148.284722222219</v>
      </c>
      <c r="V278" s="58">
        <v>2.7083333333333334E-2</v>
      </c>
      <c r="W278" s="33" t="s">
        <v>799</v>
      </c>
      <c r="X278" s="43">
        <v>46148.284722222219</v>
      </c>
      <c r="Y278" s="58">
        <v>2.7083333333333334E-2</v>
      </c>
      <c r="Z278" s="33" t="s">
        <v>799</v>
      </c>
      <c r="AA278" s="43">
        <v>46149.333333333336</v>
      </c>
      <c r="AB278" s="33" t="s">
        <v>81</v>
      </c>
      <c r="AC278" s="33" t="s">
        <v>923</v>
      </c>
      <c r="AD278" s="58">
        <v>0.31319444444444444</v>
      </c>
      <c r="AE278" s="58">
        <v>0.14861111111111111</v>
      </c>
      <c r="AF278" s="58">
        <v>0.31319444444444444</v>
      </c>
      <c r="AG278" s="33" t="s">
        <v>853</v>
      </c>
      <c r="AH278" s="33">
        <v>2</v>
      </c>
      <c r="AI278" s="43">
        <v>46148.284722222219</v>
      </c>
      <c r="AJ278" s="33" t="s">
        <v>793</v>
      </c>
      <c r="AK278" s="42">
        <v>988569.66</v>
      </c>
      <c r="AL278" s="33" t="s">
        <v>1209</v>
      </c>
    </row>
    <row r="279" spans="1:38">
      <c r="A279" s="33">
        <v>6003370</v>
      </c>
      <c r="B279" s="33"/>
      <c r="C279" s="33" t="s">
        <v>789</v>
      </c>
      <c r="D279" s="33" t="s">
        <v>885</v>
      </c>
      <c r="E279" s="33" t="s">
        <v>1826</v>
      </c>
      <c r="F279" s="43">
        <v>46148.333333333336</v>
      </c>
      <c r="G279" s="33" t="s">
        <v>792</v>
      </c>
      <c r="H279" s="33"/>
      <c r="I279" s="33" t="s">
        <v>793</v>
      </c>
      <c r="J279" s="33" t="s">
        <v>922</v>
      </c>
      <c r="K279" s="33" t="s">
        <v>75</v>
      </c>
      <c r="L279" s="33" t="s">
        <v>806</v>
      </c>
      <c r="M279" s="43">
        <v>46148.45484953704</v>
      </c>
      <c r="N279" s="33" t="s">
        <v>889</v>
      </c>
      <c r="O279" s="33" t="s">
        <v>175</v>
      </c>
      <c r="P279" s="33" t="s">
        <v>861</v>
      </c>
      <c r="Q279" s="33"/>
      <c r="R279" s="33"/>
      <c r="S279" s="33"/>
      <c r="T279" s="33" t="s">
        <v>799</v>
      </c>
      <c r="U279" s="43">
        <v>46147.939583333333</v>
      </c>
      <c r="V279" s="58">
        <v>6.2500000000000003E-3</v>
      </c>
      <c r="W279" s="33"/>
      <c r="X279" s="33"/>
      <c r="Y279" s="33"/>
      <c r="Z279" s="33" t="s">
        <v>799</v>
      </c>
      <c r="AA279" s="43">
        <v>46149.541666666664</v>
      </c>
      <c r="AB279" s="33" t="s">
        <v>81</v>
      </c>
      <c r="AC279" s="33" t="s">
        <v>923</v>
      </c>
      <c r="AD279" s="58">
        <v>0.51527777777777772</v>
      </c>
      <c r="AE279" s="33"/>
      <c r="AF279" s="58">
        <v>0.51527777777777772</v>
      </c>
      <c r="AG279" s="33" t="s">
        <v>891</v>
      </c>
      <c r="AH279" s="33">
        <v>1</v>
      </c>
      <c r="AI279" s="43">
        <v>46147.939583333333</v>
      </c>
      <c r="AJ279" s="33" t="s">
        <v>793</v>
      </c>
      <c r="AK279" s="42">
        <v>529237.57999999996</v>
      </c>
      <c r="AL279" s="33" t="s">
        <v>892</v>
      </c>
    </row>
    <row r="280" spans="1:38">
      <c r="A280" s="33" t="s">
        <v>1688</v>
      </c>
      <c r="B280" s="33"/>
      <c r="C280" s="33" t="s">
        <v>789</v>
      </c>
      <c r="D280" s="33" t="s">
        <v>1384</v>
      </c>
      <c r="E280" s="33" t="s">
        <v>1827</v>
      </c>
      <c r="F280" s="43">
        <v>46148.375</v>
      </c>
      <c r="G280" s="33" t="s">
        <v>792</v>
      </c>
      <c r="H280" s="33"/>
      <c r="I280" s="33" t="s">
        <v>793</v>
      </c>
      <c r="J280" s="33" t="s">
        <v>1529</v>
      </c>
      <c r="K280" s="33" t="s">
        <v>1373</v>
      </c>
      <c r="L280" s="33" t="s">
        <v>1765</v>
      </c>
      <c r="M280" s="43">
        <v>46148.720497685186</v>
      </c>
      <c r="N280" s="33" t="s">
        <v>1387</v>
      </c>
      <c r="O280" s="33" t="s">
        <v>1828</v>
      </c>
      <c r="P280" s="33" t="s">
        <v>861</v>
      </c>
      <c r="Q280" s="43">
        <v>46148.383333333331</v>
      </c>
      <c r="R280" s="43">
        <v>46148.422222222223</v>
      </c>
      <c r="S280" s="58">
        <v>3.888888888888889E-2</v>
      </c>
      <c r="T280" s="33" t="s">
        <v>140</v>
      </c>
      <c r="U280" s="43">
        <v>46148.541666666664</v>
      </c>
      <c r="V280" s="58">
        <v>0.17847222222222223</v>
      </c>
      <c r="W280" s="33"/>
      <c r="X280" s="33"/>
      <c r="Y280" s="33"/>
      <c r="Z280" s="33" t="s">
        <v>140</v>
      </c>
      <c r="AA280" s="43">
        <v>46149.583333333336</v>
      </c>
      <c r="AB280" s="33" t="s">
        <v>81</v>
      </c>
      <c r="AC280" s="33" t="s">
        <v>81</v>
      </c>
      <c r="AD280" s="58">
        <v>0.77916666666666667</v>
      </c>
      <c r="AE280" s="33"/>
      <c r="AF280" s="58">
        <v>0.77916666666666667</v>
      </c>
      <c r="AG280" s="33" t="s">
        <v>1389</v>
      </c>
      <c r="AH280" s="33">
        <v>2</v>
      </c>
      <c r="AI280" s="43">
        <v>46148.541666666664</v>
      </c>
      <c r="AJ280" s="33" t="s">
        <v>793</v>
      </c>
      <c r="AK280" s="42">
        <v>654239.22</v>
      </c>
      <c r="AL280" s="33" t="s">
        <v>1390</v>
      </c>
    </row>
    <row r="281" spans="1:38">
      <c r="A281" s="33">
        <v>5959609</v>
      </c>
      <c r="B281" s="33"/>
      <c r="C281" s="33" t="s">
        <v>789</v>
      </c>
      <c r="D281" s="33" t="s">
        <v>1210</v>
      </c>
      <c r="E281" s="33" t="s">
        <v>1829</v>
      </c>
      <c r="F281" s="43">
        <v>46148.291666666664</v>
      </c>
      <c r="G281" s="33" t="s">
        <v>792</v>
      </c>
      <c r="H281" s="33"/>
      <c r="I281" s="33" t="s">
        <v>793</v>
      </c>
      <c r="J281" s="33" t="s">
        <v>1830</v>
      </c>
      <c r="K281" s="33" t="s">
        <v>1831</v>
      </c>
      <c r="L281" s="33" t="s">
        <v>1460</v>
      </c>
      <c r="M281" s="43">
        <v>46148.368437500001</v>
      </c>
      <c r="N281" s="33" t="s">
        <v>796</v>
      </c>
      <c r="O281" s="33" t="s">
        <v>797</v>
      </c>
      <c r="P281" s="33" t="s">
        <v>799</v>
      </c>
      <c r="Q281" s="33"/>
      <c r="R281" s="33"/>
      <c r="S281" s="33"/>
      <c r="T281" s="33" t="s">
        <v>140</v>
      </c>
      <c r="U281" s="43">
        <v>46148.329861111109</v>
      </c>
      <c r="V281" s="58">
        <v>3.8194444444444448E-2</v>
      </c>
      <c r="W281" s="33"/>
      <c r="X281" s="33"/>
      <c r="Y281" s="33"/>
      <c r="Z281" s="33" t="s">
        <v>140</v>
      </c>
      <c r="AA281" s="43">
        <v>46148.375</v>
      </c>
      <c r="AB281" s="33" t="s">
        <v>81</v>
      </c>
      <c r="AC281" s="33" t="s">
        <v>81</v>
      </c>
      <c r="AD281" s="58">
        <v>4.2361111111111113E-2</v>
      </c>
      <c r="AE281" s="33"/>
      <c r="AF281" s="58">
        <v>4.2361111111111113E-2</v>
      </c>
      <c r="AG281" s="33" t="s">
        <v>1212</v>
      </c>
      <c r="AH281" s="33">
        <v>1</v>
      </c>
      <c r="AI281" s="43">
        <v>46148.329861111109</v>
      </c>
      <c r="AJ281" s="33" t="s">
        <v>793</v>
      </c>
      <c r="AK281" s="42">
        <v>570443.84</v>
      </c>
      <c r="AL281" s="33" t="s">
        <v>1213</v>
      </c>
    </row>
    <row r="282" spans="1:38">
      <c r="A282" s="33">
        <v>6010783</v>
      </c>
      <c r="B282" s="33"/>
      <c r="C282" s="33" t="s">
        <v>789</v>
      </c>
      <c r="D282" s="33" t="s">
        <v>1832</v>
      </c>
      <c r="E282" s="33" t="s">
        <v>1833</v>
      </c>
      <c r="F282" s="43">
        <v>46148.291666666664</v>
      </c>
      <c r="G282" s="33" t="s">
        <v>89</v>
      </c>
      <c r="H282" s="33"/>
      <c r="I282" s="33" t="s">
        <v>73</v>
      </c>
      <c r="J282" s="33" t="s">
        <v>1834</v>
      </c>
      <c r="K282" s="33"/>
      <c r="L282" s="33"/>
      <c r="M282" s="43">
        <v>46154.550706018519</v>
      </c>
      <c r="N282" s="33" t="s">
        <v>1835</v>
      </c>
      <c r="O282" s="33" t="s">
        <v>868</v>
      </c>
      <c r="P282" s="33" t="s">
        <v>79</v>
      </c>
      <c r="Q282" s="43">
        <v>46148.213194444441</v>
      </c>
      <c r="R282" s="43">
        <v>46148.411805555559</v>
      </c>
      <c r="S282" s="58">
        <v>0.1986111111111111</v>
      </c>
      <c r="T282" s="33" t="s">
        <v>613</v>
      </c>
      <c r="U282" s="43">
        <v>46153.61041666667</v>
      </c>
      <c r="V282" s="58">
        <v>0.94027777777777777</v>
      </c>
      <c r="W282" s="33"/>
      <c r="X282" s="33"/>
      <c r="Y282" s="33"/>
      <c r="Z282" s="33" t="s">
        <v>613</v>
      </c>
      <c r="AA282" s="43">
        <v>46154.25</v>
      </c>
      <c r="AB282" s="33" t="s">
        <v>81</v>
      </c>
      <c r="AC282" s="33" t="s">
        <v>81</v>
      </c>
      <c r="AD282" s="44">
        <v>6.2729166666666663</v>
      </c>
      <c r="AE282" s="33"/>
      <c r="AF282" s="44">
        <v>6.2729166666666663</v>
      </c>
      <c r="AG282" s="33" t="s">
        <v>1836</v>
      </c>
      <c r="AH282" s="33">
        <v>2</v>
      </c>
      <c r="AI282" s="43">
        <v>46153.61041666667</v>
      </c>
      <c r="AJ282" s="33" t="s">
        <v>73</v>
      </c>
      <c r="AK282" s="42">
        <v>163947</v>
      </c>
      <c r="AL282" s="33" t="s">
        <v>1837</v>
      </c>
    </row>
    <row r="283" spans="1:38">
      <c r="A283" s="33">
        <v>5979983</v>
      </c>
      <c r="B283" s="33"/>
      <c r="C283" s="33" t="s">
        <v>789</v>
      </c>
      <c r="D283" s="33" t="s">
        <v>1838</v>
      </c>
      <c r="E283" s="33" t="s">
        <v>1839</v>
      </c>
      <c r="F283" s="43">
        <v>46148.041666666664</v>
      </c>
      <c r="G283" s="33" t="s">
        <v>792</v>
      </c>
      <c r="H283" s="33"/>
      <c r="I283" s="33" t="s">
        <v>793</v>
      </c>
      <c r="J283" s="33" t="s">
        <v>1312</v>
      </c>
      <c r="K283" s="33" t="s">
        <v>75</v>
      </c>
      <c r="L283" s="33" t="s">
        <v>1281</v>
      </c>
      <c r="M283" s="43">
        <v>46148.515868055554</v>
      </c>
      <c r="N283" s="33" t="s">
        <v>1840</v>
      </c>
      <c r="O283" s="33" t="s">
        <v>797</v>
      </c>
      <c r="P283" s="33" t="s">
        <v>799</v>
      </c>
      <c r="Q283" s="43">
        <v>46148.045138888891</v>
      </c>
      <c r="R283" s="43">
        <v>46148.457638888889</v>
      </c>
      <c r="S283" s="58">
        <v>0.41249999999999998</v>
      </c>
      <c r="T283" s="33" t="s">
        <v>140</v>
      </c>
      <c r="U283" s="43">
        <v>46148.48333333333</v>
      </c>
      <c r="V283" s="58">
        <v>3.4722222222222224E-2</v>
      </c>
      <c r="W283" s="33" t="s">
        <v>140</v>
      </c>
      <c r="X283" s="43">
        <v>46148.48333333333</v>
      </c>
      <c r="Y283" s="58">
        <v>3.4722222222222224E-2</v>
      </c>
      <c r="Z283" s="33" t="s">
        <v>140</v>
      </c>
      <c r="AA283" s="43">
        <v>46148.083333333336</v>
      </c>
      <c r="AB283" s="33" t="s">
        <v>81</v>
      </c>
      <c r="AC283" s="33" t="s">
        <v>1314</v>
      </c>
      <c r="AD283" s="58">
        <v>0.47569444444444442</v>
      </c>
      <c r="AE283" s="58">
        <v>5.7638888888888892E-2</v>
      </c>
      <c r="AF283" s="58">
        <v>0.47569444444444442</v>
      </c>
      <c r="AG283" s="33" t="s">
        <v>1841</v>
      </c>
      <c r="AH283" s="33">
        <v>2</v>
      </c>
      <c r="AI283" s="43">
        <v>46148.48333333333</v>
      </c>
      <c r="AJ283" s="33" t="s">
        <v>793</v>
      </c>
      <c r="AK283" s="42">
        <v>1013880</v>
      </c>
      <c r="AL283" s="33" t="s">
        <v>1842</v>
      </c>
    </row>
    <row r="284" spans="1:38">
      <c r="A284" s="33">
        <v>6000477</v>
      </c>
      <c r="B284" s="33"/>
      <c r="C284" s="33" t="s">
        <v>789</v>
      </c>
      <c r="D284" s="33" t="s">
        <v>809</v>
      </c>
      <c r="E284" s="33" t="s">
        <v>1843</v>
      </c>
      <c r="F284" s="43">
        <v>46148.125</v>
      </c>
      <c r="G284" s="33" t="s">
        <v>792</v>
      </c>
      <c r="H284" s="33"/>
      <c r="I284" s="33" t="s">
        <v>793</v>
      </c>
      <c r="J284" s="33" t="s">
        <v>794</v>
      </c>
      <c r="K284" s="33" t="s">
        <v>1012</v>
      </c>
      <c r="L284" s="33" t="s">
        <v>1844</v>
      </c>
      <c r="M284" s="43">
        <v>46148.223229166666</v>
      </c>
      <c r="N284" s="33" t="s">
        <v>813</v>
      </c>
      <c r="O284" s="33" t="s">
        <v>797</v>
      </c>
      <c r="P284" s="33" t="s">
        <v>798</v>
      </c>
      <c r="Q284" s="33"/>
      <c r="R284" s="33"/>
      <c r="S284" s="33"/>
      <c r="T284" s="33" t="s">
        <v>799</v>
      </c>
      <c r="U284" s="43">
        <v>46148.193749999999</v>
      </c>
      <c r="V284" s="58">
        <v>1.5277777777777777E-2</v>
      </c>
      <c r="W284" s="33"/>
      <c r="X284" s="33"/>
      <c r="Y284" s="33"/>
      <c r="Z284" s="33" t="s">
        <v>799</v>
      </c>
      <c r="AA284" s="43">
        <v>46148.208333333336</v>
      </c>
      <c r="AB284" s="33" t="s">
        <v>81</v>
      </c>
      <c r="AC284" s="33" t="s">
        <v>800</v>
      </c>
      <c r="AD284" s="58">
        <v>0.12986111111111112</v>
      </c>
      <c r="AE284" s="33"/>
      <c r="AF284" s="58">
        <v>0.12986111111111112</v>
      </c>
      <c r="AG284" s="33"/>
      <c r="AH284" s="33">
        <v>1</v>
      </c>
      <c r="AI284" s="43">
        <v>46148.193749999999</v>
      </c>
      <c r="AJ284" s="33" t="s">
        <v>793</v>
      </c>
      <c r="AK284" s="42">
        <v>584049.81999999995</v>
      </c>
      <c r="AL284" s="33" t="s">
        <v>816</v>
      </c>
    </row>
    <row r="285" spans="1:38">
      <c r="A285" s="33">
        <v>6001778</v>
      </c>
      <c r="B285" s="33"/>
      <c r="C285" s="33" t="s">
        <v>789</v>
      </c>
      <c r="D285" s="33" t="s">
        <v>1338</v>
      </c>
      <c r="E285" s="33" t="s">
        <v>1845</v>
      </c>
      <c r="F285" s="43">
        <v>46148.166666666664</v>
      </c>
      <c r="G285" s="33" t="s">
        <v>792</v>
      </c>
      <c r="H285" s="33"/>
      <c r="I285" s="33" t="s">
        <v>793</v>
      </c>
      <c r="J285" s="33" t="s">
        <v>922</v>
      </c>
      <c r="K285" s="33" t="s">
        <v>75</v>
      </c>
      <c r="L285" s="33" t="s">
        <v>806</v>
      </c>
      <c r="M285" s="43">
        <v>46148.312974537039</v>
      </c>
      <c r="N285" s="33" t="s">
        <v>796</v>
      </c>
      <c r="O285" s="33" t="s">
        <v>797</v>
      </c>
      <c r="P285" s="33" t="s">
        <v>861</v>
      </c>
      <c r="Q285" s="43">
        <v>46148.15347222222</v>
      </c>
      <c r="R285" s="43">
        <v>46148.163888888892</v>
      </c>
      <c r="S285" s="58">
        <v>1.0416666666666666E-2</v>
      </c>
      <c r="T285" s="33" t="s">
        <v>799</v>
      </c>
      <c r="U285" s="43">
        <v>46148.284722222219</v>
      </c>
      <c r="V285" s="58">
        <v>2.5000000000000001E-2</v>
      </c>
      <c r="W285" s="33" t="s">
        <v>799</v>
      </c>
      <c r="X285" s="43">
        <v>46148.284722222219</v>
      </c>
      <c r="Y285" s="58">
        <v>2.5000000000000001E-2</v>
      </c>
      <c r="Z285" s="33" t="s">
        <v>799</v>
      </c>
      <c r="AA285" s="43">
        <v>46148.333333333336</v>
      </c>
      <c r="AB285" s="33" t="s">
        <v>81</v>
      </c>
      <c r="AC285" s="33" t="s">
        <v>923</v>
      </c>
      <c r="AD285" s="58">
        <v>0.15625</v>
      </c>
      <c r="AE285" s="58">
        <v>0.14861111111111111</v>
      </c>
      <c r="AF285" s="58">
        <v>0.15625</v>
      </c>
      <c r="AG285" s="33" t="s">
        <v>1341</v>
      </c>
      <c r="AH285" s="33">
        <v>2</v>
      </c>
      <c r="AI285" s="43">
        <v>46148.284722222219</v>
      </c>
      <c r="AJ285" s="33" t="s">
        <v>793</v>
      </c>
      <c r="AK285" s="42">
        <v>415959.5</v>
      </c>
      <c r="AL285" s="33" t="s">
        <v>1342</v>
      </c>
    </row>
    <row r="286" spans="1:38">
      <c r="A286" s="33">
        <v>5992166</v>
      </c>
      <c r="B286" s="33"/>
      <c r="C286" s="33" t="s">
        <v>789</v>
      </c>
      <c r="D286" s="33" t="s">
        <v>1032</v>
      </c>
      <c r="E286" s="33" t="s">
        <v>1846</v>
      </c>
      <c r="F286" s="43">
        <v>46148.208333333336</v>
      </c>
      <c r="G286" s="33" t="s">
        <v>792</v>
      </c>
      <c r="H286" s="33"/>
      <c r="I286" s="33" t="s">
        <v>793</v>
      </c>
      <c r="J286" s="33" t="s">
        <v>1147</v>
      </c>
      <c r="K286" s="33" t="s">
        <v>75</v>
      </c>
      <c r="L286" s="33" t="s">
        <v>1094</v>
      </c>
      <c r="M286" s="43">
        <v>46148.263819444444</v>
      </c>
      <c r="N286" s="33" t="s">
        <v>1036</v>
      </c>
      <c r="O286" s="33" t="s">
        <v>797</v>
      </c>
      <c r="P286" s="33" t="s">
        <v>799</v>
      </c>
      <c r="Q286" s="43">
        <v>46148.222916666666</v>
      </c>
      <c r="R286" s="43">
        <v>46148.227777777778</v>
      </c>
      <c r="S286" s="58">
        <v>4.8611111111111112E-3</v>
      </c>
      <c r="T286" s="33" t="s">
        <v>140</v>
      </c>
      <c r="U286" s="43">
        <v>46148.253472222219</v>
      </c>
      <c r="V286" s="58">
        <v>6.9444444444444441E-3</v>
      </c>
      <c r="W286" s="33" t="s">
        <v>140</v>
      </c>
      <c r="X286" s="43">
        <v>46148.253472222219</v>
      </c>
      <c r="Y286" s="58">
        <v>6.9444444444444441E-3</v>
      </c>
      <c r="Z286" s="33" t="s">
        <v>140</v>
      </c>
      <c r="AA286" s="43">
        <v>46148.25</v>
      </c>
      <c r="AB286" s="33" t="s">
        <v>81</v>
      </c>
      <c r="AC286" s="33" t="s">
        <v>1149</v>
      </c>
      <c r="AD286" s="58">
        <v>4.027777777777778E-2</v>
      </c>
      <c r="AE286" s="58">
        <v>3.5416666666666666E-2</v>
      </c>
      <c r="AF286" s="58">
        <v>4.027777777777778E-2</v>
      </c>
      <c r="AG286" s="33" t="s">
        <v>1038</v>
      </c>
      <c r="AH286" s="33">
        <v>2</v>
      </c>
      <c r="AI286" s="43">
        <v>46148.253472222219</v>
      </c>
      <c r="AJ286" s="33" t="s">
        <v>793</v>
      </c>
      <c r="AK286" s="42">
        <v>1659820.08</v>
      </c>
      <c r="AL286" s="33" t="s">
        <v>1039</v>
      </c>
    </row>
    <row r="287" spans="1:38">
      <c r="A287" s="33">
        <v>5970539</v>
      </c>
      <c r="B287" s="33"/>
      <c r="C287" s="33" t="s">
        <v>789</v>
      </c>
      <c r="D287" s="33" t="s">
        <v>1745</v>
      </c>
      <c r="E287" s="33" t="s">
        <v>1847</v>
      </c>
      <c r="F287" s="43">
        <v>46148.208333333336</v>
      </c>
      <c r="G287" s="33" t="s">
        <v>792</v>
      </c>
      <c r="H287" s="33"/>
      <c r="I287" s="33" t="s">
        <v>793</v>
      </c>
      <c r="J287" s="33" t="s">
        <v>1147</v>
      </c>
      <c r="K287" s="33" t="s">
        <v>75</v>
      </c>
      <c r="L287" s="33" t="s">
        <v>1094</v>
      </c>
      <c r="M287" s="43">
        <v>46148.241284722222</v>
      </c>
      <c r="N287" s="33" t="s">
        <v>1748</v>
      </c>
      <c r="O287" s="33" t="s">
        <v>797</v>
      </c>
      <c r="P287" s="33" t="s">
        <v>799</v>
      </c>
      <c r="Q287" s="43">
        <v>46148.18472222222</v>
      </c>
      <c r="R287" s="43">
        <v>46148.203472222223</v>
      </c>
      <c r="S287" s="58">
        <v>1.8749999999999999E-2</v>
      </c>
      <c r="T287" s="33" t="s">
        <v>140</v>
      </c>
      <c r="U287" s="43">
        <v>46148.225694444445</v>
      </c>
      <c r="V287" s="58">
        <v>1.5277777777777777E-2</v>
      </c>
      <c r="W287" s="33" t="s">
        <v>140</v>
      </c>
      <c r="X287" s="43">
        <v>46148.225694444445</v>
      </c>
      <c r="Y287" s="58">
        <v>1.5277777777777777E-2</v>
      </c>
      <c r="Z287" s="33" t="s">
        <v>140</v>
      </c>
      <c r="AA287" s="43">
        <v>46148.25</v>
      </c>
      <c r="AB287" s="33" t="s">
        <v>606</v>
      </c>
      <c r="AC287" s="33" t="s">
        <v>1149</v>
      </c>
      <c r="AD287" s="58">
        <v>7.9166666666666663E-2</v>
      </c>
      <c r="AE287" s="58">
        <v>3.9583333333333331E-2</v>
      </c>
      <c r="AF287" s="58">
        <v>7.9166666666666663E-2</v>
      </c>
      <c r="AG287" s="33" t="s">
        <v>1750</v>
      </c>
      <c r="AH287" s="33">
        <v>2</v>
      </c>
      <c r="AI287" s="43">
        <v>46148.225694444445</v>
      </c>
      <c r="AJ287" s="33" t="s">
        <v>793</v>
      </c>
      <c r="AK287" s="42">
        <v>544888.80000000005</v>
      </c>
      <c r="AL287" s="33" t="s">
        <v>1751</v>
      </c>
    </row>
    <row r="288" spans="1:38">
      <c r="A288" s="33">
        <v>5971429</v>
      </c>
      <c r="B288" s="33"/>
      <c r="C288" s="33" t="s">
        <v>789</v>
      </c>
      <c r="D288" s="33" t="s">
        <v>1047</v>
      </c>
      <c r="E288" s="33" t="s">
        <v>1848</v>
      </c>
      <c r="F288" s="43">
        <v>46148.25</v>
      </c>
      <c r="G288" s="33" t="s">
        <v>792</v>
      </c>
      <c r="H288" s="33"/>
      <c r="I288" s="33" t="s">
        <v>793</v>
      </c>
      <c r="J288" s="33" t="s">
        <v>1147</v>
      </c>
      <c r="K288" s="33" t="s">
        <v>865</v>
      </c>
      <c r="L288" s="33" t="s">
        <v>1849</v>
      </c>
      <c r="M288" s="43">
        <v>46148.331087962964</v>
      </c>
      <c r="N288" s="33" t="s">
        <v>1051</v>
      </c>
      <c r="O288" s="33" t="s">
        <v>797</v>
      </c>
      <c r="P288" s="33" t="s">
        <v>799</v>
      </c>
      <c r="Q288" s="43">
        <v>46148.208333333336</v>
      </c>
      <c r="R288" s="43">
        <v>46148.240972222222</v>
      </c>
      <c r="S288" s="58">
        <v>3.2638888888888891E-2</v>
      </c>
      <c r="T288" s="33" t="s">
        <v>140</v>
      </c>
      <c r="U288" s="43">
        <v>46148.299305555556</v>
      </c>
      <c r="V288" s="58">
        <v>1.4583333333333334E-2</v>
      </c>
      <c r="W288" s="33"/>
      <c r="X288" s="33"/>
      <c r="Y288" s="33"/>
      <c r="Z288" s="33" t="s">
        <v>140</v>
      </c>
      <c r="AA288" s="43">
        <v>46148.291666666664</v>
      </c>
      <c r="AB288" s="33" t="s">
        <v>1850</v>
      </c>
      <c r="AC288" s="33" t="s">
        <v>1149</v>
      </c>
      <c r="AD288" s="58">
        <v>0.13541666666666666</v>
      </c>
      <c r="AE288" s="33"/>
      <c r="AF288" s="58">
        <v>0.13541666666666666</v>
      </c>
      <c r="AG288" s="33" t="s">
        <v>1054</v>
      </c>
      <c r="AH288" s="33">
        <v>2</v>
      </c>
      <c r="AI288" s="43">
        <v>46148.299305555556</v>
      </c>
      <c r="AJ288" s="33" t="s">
        <v>793</v>
      </c>
      <c r="AK288" s="42">
        <v>557108.28</v>
      </c>
      <c r="AL288" s="33" t="s">
        <v>1055</v>
      </c>
    </row>
    <row r="289" spans="1:38">
      <c r="A289" s="33">
        <v>5972709</v>
      </c>
      <c r="B289" s="33"/>
      <c r="C289" s="33" t="s">
        <v>789</v>
      </c>
      <c r="D289" s="33" t="s">
        <v>1032</v>
      </c>
      <c r="E289" s="33" t="s">
        <v>1851</v>
      </c>
      <c r="F289" s="43">
        <v>46148.333333333336</v>
      </c>
      <c r="G289" s="33" t="s">
        <v>792</v>
      </c>
      <c r="H289" s="33"/>
      <c r="I289" s="33" t="s">
        <v>793</v>
      </c>
      <c r="J289" s="33" t="s">
        <v>1147</v>
      </c>
      <c r="K289" s="33" t="s">
        <v>75</v>
      </c>
      <c r="L289" s="33" t="s">
        <v>1852</v>
      </c>
      <c r="M289" s="43">
        <v>46148.502592592595</v>
      </c>
      <c r="N289" s="33" t="s">
        <v>1036</v>
      </c>
      <c r="O289" s="33" t="s">
        <v>797</v>
      </c>
      <c r="P289" s="33" t="s">
        <v>799</v>
      </c>
      <c r="Q289" s="43">
        <v>46148.320138888892</v>
      </c>
      <c r="R289" s="43">
        <v>46148.361111111109</v>
      </c>
      <c r="S289" s="58">
        <v>4.0972222222222222E-2</v>
      </c>
      <c r="T289" s="33" t="s">
        <v>140</v>
      </c>
      <c r="U289" s="43">
        <v>46148.429166666669</v>
      </c>
      <c r="V289" s="58">
        <v>5.6944444444444443E-2</v>
      </c>
      <c r="W289" s="33"/>
      <c r="X289" s="33"/>
      <c r="Y289" s="33"/>
      <c r="Z289" s="33" t="s">
        <v>140</v>
      </c>
      <c r="AA289" s="43">
        <v>46148.375</v>
      </c>
      <c r="AB289" s="33" t="s">
        <v>1853</v>
      </c>
      <c r="AC289" s="33" t="s">
        <v>1149</v>
      </c>
      <c r="AD289" s="58">
        <v>0.19722222222222222</v>
      </c>
      <c r="AE289" s="33"/>
      <c r="AF289" s="58">
        <v>0.19722222222222222</v>
      </c>
      <c r="AG289" s="33" t="s">
        <v>1279</v>
      </c>
      <c r="AH289" s="33">
        <v>2</v>
      </c>
      <c r="AI289" s="43">
        <v>46148.429166666669</v>
      </c>
      <c r="AJ289" s="33" t="s">
        <v>793</v>
      </c>
      <c r="AK289" s="42">
        <v>1251037.68</v>
      </c>
      <c r="AL289" s="33" t="s">
        <v>1039</v>
      </c>
    </row>
    <row r="290" spans="1:38">
      <c r="A290" s="33">
        <v>6003202</v>
      </c>
      <c r="B290" s="33"/>
      <c r="C290" s="33" t="s">
        <v>789</v>
      </c>
      <c r="D290" s="33" t="s">
        <v>1284</v>
      </c>
      <c r="E290" s="33" t="s">
        <v>1854</v>
      </c>
      <c r="F290" s="43">
        <v>46148.333333333336</v>
      </c>
      <c r="G290" s="33" t="s">
        <v>792</v>
      </c>
      <c r="H290" s="33"/>
      <c r="I290" s="33" t="s">
        <v>793</v>
      </c>
      <c r="J290" s="33" t="s">
        <v>911</v>
      </c>
      <c r="K290" s="33" t="s">
        <v>1855</v>
      </c>
      <c r="L290" s="33" t="s">
        <v>917</v>
      </c>
      <c r="M290" s="43">
        <v>46148.703055555554</v>
      </c>
      <c r="N290" s="33" t="s">
        <v>1287</v>
      </c>
      <c r="O290" s="33" t="s">
        <v>868</v>
      </c>
      <c r="P290" s="33" t="s">
        <v>861</v>
      </c>
      <c r="Q290" s="43">
        <v>46148.450694444444</v>
      </c>
      <c r="R290" s="43">
        <v>46148.519444444442</v>
      </c>
      <c r="S290" s="58">
        <v>6.8750000000000006E-2</v>
      </c>
      <c r="T290" s="33" t="s">
        <v>799</v>
      </c>
      <c r="U290" s="43">
        <v>46148.628472222219</v>
      </c>
      <c r="V290" s="58">
        <v>7.4305555555555555E-2</v>
      </c>
      <c r="W290" s="33"/>
      <c r="X290" s="33"/>
      <c r="Y290" s="33"/>
      <c r="Z290" s="33" t="s">
        <v>799</v>
      </c>
      <c r="AA290" s="43">
        <v>46149.541666666664</v>
      </c>
      <c r="AB290" s="33" t="s">
        <v>81</v>
      </c>
      <c r="AC290" s="33" t="s">
        <v>81</v>
      </c>
      <c r="AD290" s="58">
        <v>0.35347222222222224</v>
      </c>
      <c r="AE290" s="33"/>
      <c r="AF290" s="58">
        <v>0.35347222222222224</v>
      </c>
      <c r="AG290" s="33" t="s">
        <v>1288</v>
      </c>
      <c r="AH290" s="33">
        <v>2</v>
      </c>
      <c r="AI290" s="43">
        <v>46148.628472222219</v>
      </c>
      <c r="AJ290" s="33" t="s">
        <v>793</v>
      </c>
      <c r="AK290" s="42">
        <v>1120482.24</v>
      </c>
      <c r="AL290" s="33" t="s">
        <v>1289</v>
      </c>
    </row>
    <row r="291" spans="1:38">
      <c r="A291" s="33">
        <v>6003998</v>
      </c>
      <c r="B291" s="33"/>
      <c r="C291" s="33" t="s">
        <v>789</v>
      </c>
      <c r="D291" s="33" t="s">
        <v>1856</v>
      </c>
      <c r="E291" s="33" t="s">
        <v>1857</v>
      </c>
      <c r="F291" s="43">
        <v>46148.416666666664</v>
      </c>
      <c r="G291" s="33" t="s">
        <v>792</v>
      </c>
      <c r="H291" s="33"/>
      <c r="I291" s="33" t="s">
        <v>793</v>
      </c>
      <c r="J291" s="33" t="s">
        <v>922</v>
      </c>
      <c r="K291" s="33" t="s">
        <v>1858</v>
      </c>
      <c r="L291" s="33" t="s">
        <v>1859</v>
      </c>
      <c r="M291" s="43">
        <v>46148.626145833332</v>
      </c>
      <c r="N291" s="33" t="s">
        <v>1860</v>
      </c>
      <c r="O291" s="33" t="s">
        <v>868</v>
      </c>
      <c r="P291" s="33" t="s">
        <v>861</v>
      </c>
      <c r="Q291" s="43">
        <v>46148.445138888892</v>
      </c>
      <c r="R291" s="43">
        <v>46148.472916666666</v>
      </c>
      <c r="S291" s="58">
        <v>2.7777777777777776E-2</v>
      </c>
      <c r="T291" s="33" t="s">
        <v>799</v>
      </c>
      <c r="U291" s="43">
        <v>46148.588888888888</v>
      </c>
      <c r="V291" s="58">
        <v>3.6805555555555557E-2</v>
      </c>
      <c r="W291" s="33"/>
      <c r="X291" s="33"/>
      <c r="Y291" s="33"/>
      <c r="Z291" s="33" t="s">
        <v>799</v>
      </c>
      <c r="AA291" s="43">
        <v>46149.625</v>
      </c>
      <c r="AB291" s="33" t="s">
        <v>81</v>
      </c>
      <c r="AC291" s="33" t="s">
        <v>81</v>
      </c>
      <c r="AD291" s="58">
        <v>0.28541666666666665</v>
      </c>
      <c r="AE291" s="33"/>
      <c r="AF291" s="58">
        <v>0.28541666666666665</v>
      </c>
      <c r="AG291" s="33" t="s">
        <v>1861</v>
      </c>
      <c r="AH291" s="33">
        <v>2</v>
      </c>
      <c r="AI291" s="43">
        <v>46148.588888888888</v>
      </c>
      <c r="AJ291" s="33" t="s">
        <v>793</v>
      </c>
      <c r="AK291" s="42">
        <v>762594.24</v>
      </c>
      <c r="AL291" s="33" t="s">
        <v>1862</v>
      </c>
    </row>
    <row r="292" spans="1:38">
      <c r="A292" s="33">
        <v>5972668</v>
      </c>
      <c r="B292" s="33"/>
      <c r="C292" s="33" t="s">
        <v>789</v>
      </c>
      <c r="D292" s="33" t="s">
        <v>1047</v>
      </c>
      <c r="E292" s="33" t="s">
        <v>1863</v>
      </c>
      <c r="F292" s="43">
        <v>46148.375</v>
      </c>
      <c r="G292" s="33" t="s">
        <v>792</v>
      </c>
      <c r="H292" s="33"/>
      <c r="I292" s="33" t="s">
        <v>793</v>
      </c>
      <c r="J292" s="33" t="s">
        <v>1049</v>
      </c>
      <c r="K292" s="33" t="s">
        <v>75</v>
      </c>
      <c r="L292" s="33" t="s">
        <v>1094</v>
      </c>
      <c r="M292" s="43">
        <v>46148.412534722222</v>
      </c>
      <c r="N292" s="33" t="s">
        <v>1051</v>
      </c>
      <c r="O292" s="33" t="s">
        <v>797</v>
      </c>
      <c r="P292" s="33" t="s">
        <v>799</v>
      </c>
      <c r="Q292" s="43">
        <v>46148.357638888891</v>
      </c>
      <c r="R292" s="43">
        <v>46148.362500000003</v>
      </c>
      <c r="S292" s="58">
        <v>4.8611111111111112E-3</v>
      </c>
      <c r="T292" s="33" t="s">
        <v>140</v>
      </c>
      <c r="U292" s="43">
        <v>46148.40902777778</v>
      </c>
      <c r="V292" s="58">
        <v>1.5277777777777777E-2</v>
      </c>
      <c r="W292" s="33" t="s">
        <v>140</v>
      </c>
      <c r="X292" s="43">
        <v>46148.40902777778</v>
      </c>
      <c r="Y292" s="58">
        <v>1.5277777777777777E-2</v>
      </c>
      <c r="Z292" s="33" t="s">
        <v>140</v>
      </c>
      <c r="AA292" s="43">
        <v>46149.208333333336</v>
      </c>
      <c r="AB292" s="33" t="s">
        <v>81</v>
      </c>
      <c r="AC292" s="33" t="s">
        <v>1053</v>
      </c>
      <c r="AD292" s="58">
        <v>6.5277777777777782E-2</v>
      </c>
      <c r="AE292" s="58">
        <v>5.0694444444444445E-2</v>
      </c>
      <c r="AF292" s="58">
        <v>6.5277777777777782E-2</v>
      </c>
      <c r="AG292" s="33" t="s">
        <v>1205</v>
      </c>
      <c r="AH292" s="33">
        <v>2</v>
      </c>
      <c r="AI292" s="43">
        <v>46148.40902777778</v>
      </c>
      <c r="AJ292" s="33" t="s">
        <v>793</v>
      </c>
      <c r="AK292" s="42">
        <v>557108.28</v>
      </c>
      <c r="AL292" s="33" t="s">
        <v>1055</v>
      </c>
    </row>
    <row r="293" spans="1:38">
      <c r="A293" s="33">
        <v>6001485</v>
      </c>
      <c r="B293" s="33"/>
      <c r="C293" s="33" t="s">
        <v>789</v>
      </c>
      <c r="D293" s="33" t="s">
        <v>1466</v>
      </c>
      <c r="E293" s="33" t="s">
        <v>1864</v>
      </c>
      <c r="F293" s="43">
        <v>46148.375</v>
      </c>
      <c r="G293" s="33" t="s">
        <v>792</v>
      </c>
      <c r="H293" s="33"/>
      <c r="I293" s="33" t="s">
        <v>793</v>
      </c>
      <c r="J293" s="33" t="s">
        <v>1049</v>
      </c>
      <c r="K293" s="33" t="s">
        <v>75</v>
      </c>
      <c r="L293" s="33" t="s">
        <v>806</v>
      </c>
      <c r="M293" s="43">
        <v>46148.753784722219</v>
      </c>
      <c r="N293" s="33" t="s">
        <v>1468</v>
      </c>
      <c r="O293" s="33" t="s">
        <v>797</v>
      </c>
      <c r="P293" s="33" t="s">
        <v>799</v>
      </c>
      <c r="Q293" s="43">
        <v>46148.361805555556</v>
      </c>
      <c r="R293" s="43">
        <v>46148.382638888892</v>
      </c>
      <c r="S293" s="58">
        <v>2.0833333333333332E-2</v>
      </c>
      <c r="T293" s="33" t="s">
        <v>140</v>
      </c>
      <c r="U293" s="43">
        <v>46148.414583333331</v>
      </c>
      <c r="V293" s="58">
        <v>0.27430555555555558</v>
      </c>
      <c r="W293" s="33"/>
      <c r="X293" s="33"/>
      <c r="Y293" s="33"/>
      <c r="Z293" s="33" t="s">
        <v>140</v>
      </c>
      <c r="AA293" s="43">
        <v>46149.333333333336</v>
      </c>
      <c r="AB293" s="33" t="s">
        <v>1153</v>
      </c>
      <c r="AC293" s="33" t="s">
        <v>1053</v>
      </c>
      <c r="AD293" s="58">
        <v>0.39305555555555555</v>
      </c>
      <c r="AE293" s="33"/>
      <c r="AF293" s="58">
        <v>0.39305555555555555</v>
      </c>
      <c r="AG293" s="33" t="s">
        <v>1469</v>
      </c>
      <c r="AH293" s="33">
        <v>2</v>
      </c>
      <c r="AI293" s="43">
        <v>46148.414583333331</v>
      </c>
      <c r="AJ293" s="33" t="s">
        <v>793</v>
      </c>
      <c r="AK293" s="42">
        <v>638630.72</v>
      </c>
      <c r="AL293" s="33" t="s">
        <v>1470</v>
      </c>
    </row>
    <row r="294" spans="1:38">
      <c r="A294" s="33">
        <v>5970484</v>
      </c>
      <c r="B294" s="33"/>
      <c r="C294" s="33" t="s">
        <v>789</v>
      </c>
      <c r="D294" s="33" t="s">
        <v>914</v>
      </c>
      <c r="E294" s="33" t="s">
        <v>1865</v>
      </c>
      <c r="F294" s="43">
        <v>46148.5</v>
      </c>
      <c r="G294" s="33" t="s">
        <v>792</v>
      </c>
      <c r="H294" s="33"/>
      <c r="I294" s="33" t="s">
        <v>793</v>
      </c>
      <c r="J294" s="33" t="s">
        <v>1049</v>
      </c>
      <c r="K294" s="33" t="s">
        <v>75</v>
      </c>
      <c r="L294" s="33" t="s">
        <v>1035</v>
      </c>
      <c r="M294" s="43">
        <v>46148.535277777781</v>
      </c>
      <c r="N294" s="33" t="s">
        <v>918</v>
      </c>
      <c r="O294" s="33" t="s">
        <v>797</v>
      </c>
      <c r="P294" s="33" t="s">
        <v>799</v>
      </c>
      <c r="Q294" s="43">
        <v>46148.411111111112</v>
      </c>
      <c r="R294" s="43">
        <v>46148.459027777775</v>
      </c>
      <c r="S294" s="58">
        <v>4.791666666666667E-2</v>
      </c>
      <c r="T294" s="33" t="s">
        <v>140</v>
      </c>
      <c r="U294" s="43">
        <v>46148.48541666667</v>
      </c>
      <c r="V294" s="58">
        <v>4.791666666666667E-2</v>
      </c>
      <c r="W294" s="33" t="s">
        <v>140</v>
      </c>
      <c r="X294" s="43">
        <v>46148.48541666667</v>
      </c>
      <c r="Y294" s="58">
        <v>4.791666666666667E-2</v>
      </c>
      <c r="Z294" s="33" t="s">
        <v>140</v>
      </c>
      <c r="AA294" s="43">
        <v>46149.416666666664</v>
      </c>
      <c r="AB294" s="33" t="s">
        <v>81</v>
      </c>
      <c r="AC294" s="33" t="s">
        <v>1053</v>
      </c>
      <c r="AD294" s="58">
        <v>0.14791666666666667</v>
      </c>
      <c r="AE294" s="58">
        <v>7.5694444444444439E-2</v>
      </c>
      <c r="AF294" s="58">
        <v>0.14791666666666667</v>
      </c>
      <c r="AG294" s="33" t="s">
        <v>919</v>
      </c>
      <c r="AH294" s="33">
        <v>2</v>
      </c>
      <c r="AI294" s="43">
        <v>46148.48541666667</v>
      </c>
      <c r="AJ294" s="33" t="s">
        <v>793</v>
      </c>
      <c r="AK294" s="42">
        <v>507290</v>
      </c>
      <c r="AL294" s="33" t="s">
        <v>920</v>
      </c>
    </row>
    <row r="295" spans="1:38">
      <c r="A295" s="33">
        <v>5962427</v>
      </c>
      <c r="B295" s="33"/>
      <c r="C295" s="33" t="s">
        <v>789</v>
      </c>
      <c r="D295" s="33" t="s">
        <v>1745</v>
      </c>
      <c r="E295" s="33" t="s">
        <v>1866</v>
      </c>
      <c r="F295" s="43">
        <v>46148.5</v>
      </c>
      <c r="G295" s="33" t="s">
        <v>792</v>
      </c>
      <c r="H295" s="33"/>
      <c r="I295" s="33" t="s">
        <v>793</v>
      </c>
      <c r="J295" s="33" t="s">
        <v>1049</v>
      </c>
      <c r="K295" s="33" t="s">
        <v>75</v>
      </c>
      <c r="L295" s="33" t="s">
        <v>1867</v>
      </c>
      <c r="M295" s="43">
        <v>46148.562789351854</v>
      </c>
      <c r="N295" s="33" t="s">
        <v>1748</v>
      </c>
      <c r="O295" s="33" t="s">
        <v>175</v>
      </c>
      <c r="P295" s="33" t="s">
        <v>799</v>
      </c>
      <c r="Q295" s="33"/>
      <c r="R295" s="33"/>
      <c r="S295" s="33"/>
      <c r="T295" s="33" t="s">
        <v>140</v>
      </c>
      <c r="U295" s="43">
        <v>46148.400694444441</v>
      </c>
      <c r="V295" s="58">
        <v>1.1805555555555555E-2</v>
      </c>
      <c r="W295" s="33"/>
      <c r="X295" s="33"/>
      <c r="Y295" s="33"/>
      <c r="Z295" s="33" t="s">
        <v>140</v>
      </c>
      <c r="AA295" s="43">
        <v>46149.583333333336</v>
      </c>
      <c r="AB295" s="33" t="s">
        <v>81</v>
      </c>
      <c r="AC295" s="33" t="s">
        <v>1053</v>
      </c>
      <c r="AD295" s="58">
        <v>0.16041666666666668</v>
      </c>
      <c r="AE295" s="33"/>
      <c r="AF295" s="58">
        <v>0.16041666666666668</v>
      </c>
      <c r="AG295" s="33" t="s">
        <v>1750</v>
      </c>
      <c r="AH295" s="33">
        <v>1</v>
      </c>
      <c r="AI295" s="43">
        <v>46148.400694444441</v>
      </c>
      <c r="AJ295" s="33" t="s">
        <v>793</v>
      </c>
      <c r="AK295" s="42">
        <v>557271.67000000004</v>
      </c>
      <c r="AL295" s="33" t="s">
        <v>1751</v>
      </c>
    </row>
    <row r="296" spans="1:38">
      <c r="A296" s="33">
        <v>6000603</v>
      </c>
      <c r="B296" s="33"/>
      <c r="C296" s="33" t="s">
        <v>789</v>
      </c>
      <c r="D296" s="33" t="s">
        <v>1047</v>
      </c>
      <c r="E296" s="33" t="s">
        <v>1868</v>
      </c>
      <c r="F296" s="43">
        <v>46148.541666666664</v>
      </c>
      <c r="G296" s="33" t="s">
        <v>792</v>
      </c>
      <c r="H296" s="33"/>
      <c r="I296" s="33" t="s">
        <v>793</v>
      </c>
      <c r="J296" s="33" t="s">
        <v>1049</v>
      </c>
      <c r="K296" s="33" t="s">
        <v>1500</v>
      </c>
      <c r="L296" s="33" t="s">
        <v>1869</v>
      </c>
      <c r="M296" s="43">
        <v>46148.569861111115</v>
      </c>
      <c r="N296" s="33" t="s">
        <v>1051</v>
      </c>
      <c r="O296" s="33" t="s">
        <v>1828</v>
      </c>
      <c r="P296" s="33" t="s">
        <v>799</v>
      </c>
      <c r="Q296" s="43">
        <v>46148.450694444444</v>
      </c>
      <c r="R296" s="43">
        <v>46148.494444444441</v>
      </c>
      <c r="S296" s="58">
        <v>4.3749999999999997E-2</v>
      </c>
      <c r="T296" s="33" t="s">
        <v>140</v>
      </c>
      <c r="U296" s="43">
        <v>46148.540277777778</v>
      </c>
      <c r="V296" s="58">
        <v>2.9166666666666667E-2</v>
      </c>
      <c r="W296" s="33"/>
      <c r="X296" s="33"/>
      <c r="Y296" s="33"/>
      <c r="Z296" s="33" t="s">
        <v>140</v>
      </c>
      <c r="AA296" s="43">
        <v>46149.583333333336</v>
      </c>
      <c r="AB296" s="33" t="s">
        <v>81</v>
      </c>
      <c r="AC296" s="33" t="s">
        <v>81</v>
      </c>
      <c r="AD296" s="58">
        <v>0.13750000000000001</v>
      </c>
      <c r="AE296" s="33"/>
      <c r="AF296" s="58">
        <v>0.13750000000000001</v>
      </c>
      <c r="AG296" s="33" t="s">
        <v>1054</v>
      </c>
      <c r="AH296" s="33">
        <v>2</v>
      </c>
      <c r="AI296" s="43">
        <v>46148.540277777778</v>
      </c>
      <c r="AJ296" s="33" t="s">
        <v>793</v>
      </c>
      <c r="AK296" s="42">
        <v>1120482.24</v>
      </c>
      <c r="AL296" s="33" t="s">
        <v>1055</v>
      </c>
    </row>
    <row r="297" spans="1:38">
      <c r="A297" s="33">
        <v>5979079</v>
      </c>
      <c r="B297" s="33"/>
      <c r="C297" s="33" t="s">
        <v>789</v>
      </c>
      <c r="D297" s="33" t="s">
        <v>1032</v>
      </c>
      <c r="E297" s="33" t="s">
        <v>1870</v>
      </c>
      <c r="F297" s="43">
        <v>46148.541666666664</v>
      </c>
      <c r="G297" s="33" t="s">
        <v>792</v>
      </c>
      <c r="H297" s="33"/>
      <c r="I297" s="33" t="s">
        <v>793</v>
      </c>
      <c r="J297" s="33" t="s">
        <v>1049</v>
      </c>
      <c r="K297" s="33" t="s">
        <v>1530</v>
      </c>
      <c r="L297" s="33" t="s">
        <v>1159</v>
      </c>
      <c r="M297" s="43">
        <v>46148.632407407407</v>
      </c>
      <c r="N297" s="33" t="s">
        <v>1036</v>
      </c>
      <c r="O297" s="33" t="s">
        <v>868</v>
      </c>
      <c r="P297" s="33" t="s">
        <v>799</v>
      </c>
      <c r="Q297" s="43">
        <v>46148.51458333333</v>
      </c>
      <c r="R297" s="43">
        <v>46148.55972222222</v>
      </c>
      <c r="S297" s="58">
        <v>4.5138888888888888E-2</v>
      </c>
      <c r="T297" s="33" t="s">
        <v>140</v>
      </c>
      <c r="U297" s="43">
        <v>46148.590277777781</v>
      </c>
      <c r="V297" s="58">
        <v>4.1666666666666664E-2</v>
      </c>
      <c r="W297" s="33"/>
      <c r="X297" s="33"/>
      <c r="Y297" s="33"/>
      <c r="Z297" s="33" t="s">
        <v>140</v>
      </c>
      <c r="AA297" s="43">
        <v>46149.583333333336</v>
      </c>
      <c r="AB297" s="33" t="s">
        <v>81</v>
      </c>
      <c r="AC297" s="33" t="s">
        <v>81</v>
      </c>
      <c r="AD297" s="58">
        <v>0.12291666666666666</v>
      </c>
      <c r="AE297" s="33"/>
      <c r="AF297" s="58">
        <v>0.12291666666666666</v>
      </c>
      <c r="AG297" s="33" t="s">
        <v>1038</v>
      </c>
      <c r="AH297" s="33">
        <v>2</v>
      </c>
      <c r="AI297" s="43">
        <v>46148.590277777781</v>
      </c>
      <c r="AJ297" s="33" t="s">
        <v>793</v>
      </c>
      <c r="AK297" s="42">
        <v>1013880</v>
      </c>
      <c r="AL297" s="33" t="s">
        <v>1039</v>
      </c>
    </row>
    <row r="298" spans="1:38">
      <c r="A298" s="33">
        <v>6003682</v>
      </c>
      <c r="B298" s="33"/>
      <c r="C298" s="33" t="s">
        <v>789</v>
      </c>
      <c r="D298" s="33" t="s">
        <v>1871</v>
      </c>
      <c r="E298" s="33" t="s">
        <v>1872</v>
      </c>
      <c r="F298" s="43">
        <v>46148.466666666667</v>
      </c>
      <c r="G298" s="33" t="s">
        <v>114</v>
      </c>
      <c r="H298" s="33"/>
      <c r="I298" s="33" t="s">
        <v>73</v>
      </c>
      <c r="J298" s="33" t="s">
        <v>1873</v>
      </c>
      <c r="K298" s="33" t="s">
        <v>75</v>
      </c>
      <c r="L298" s="33" t="s">
        <v>1874</v>
      </c>
      <c r="M298" s="43">
        <v>46155.317743055559</v>
      </c>
      <c r="N298" s="33" t="s">
        <v>1875</v>
      </c>
      <c r="O298" s="33" t="s">
        <v>797</v>
      </c>
      <c r="P298" s="33" t="s">
        <v>79</v>
      </c>
      <c r="Q298" s="33"/>
      <c r="R298" s="33"/>
      <c r="S298" s="33"/>
      <c r="T298" s="33" t="s">
        <v>107</v>
      </c>
      <c r="U298" s="43">
        <v>46153.578472222223</v>
      </c>
      <c r="V298" s="44">
        <v>1.8659722222222221</v>
      </c>
      <c r="W298" s="33" t="s">
        <v>107</v>
      </c>
      <c r="X298" s="43">
        <v>46153.578472222223</v>
      </c>
      <c r="Y298" s="44">
        <v>1.8659722222222221</v>
      </c>
      <c r="Z298" s="33" t="s">
        <v>107</v>
      </c>
      <c r="AA298" s="43">
        <v>46154.25</v>
      </c>
      <c r="AB298" s="33" t="s">
        <v>81</v>
      </c>
      <c r="AC298" s="33" t="s">
        <v>1876</v>
      </c>
      <c r="AD298" s="44">
        <v>6.7305555555555552</v>
      </c>
      <c r="AE298" s="33"/>
      <c r="AF298" s="44">
        <v>6.7305555555555552</v>
      </c>
      <c r="AG298" s="33" t="s">
        <v>1877</v>
      </c>
      <c r="AH298" s="33">
        <v>1</v>
      </c>
      <c r="AI298" s="43">
        <v>46153.578472222223</v>
      </c>
      <c r="AJ298" s="33" t="s">
        <v>73</v>
      </c>
      <c r="AK298" s="42">
        <v>395441.82</v>
      </c>
      <c r="AL298" s="33" t="s">
        <v>1878</v>
      </c>
    </row>
    <row r="299" spans="1:38">
      <c r="A299" s="33" t="s">
        <v>1879</v>
      </c>
      <c r="B299" s="33"/>
      <c r="C299" s="33" t="s">
        <v>789</v>
      </c>
      <c r="D299" s="33" t="s">
        <v>938</v>
      </c>
      <c r="E299" s="33" t="s">
        <v>1880</v>
      </c>
      <c r="F299" s="43">
        <v>46148.541666666664</v>
      </c>
      <c r="G299" s="33" t="s">
        <v>792</v>
      </c>
      <c r="H299" s="33"/>
      <c r="I299" s="33" t="s">
        <v>793</v>
      </c>
      <c r="J299" s="33" t="s">
        <v>860</v>
      </c>
      <c r="K299" s="33" t="s">
        <v>75</v>
      </c>
      <c r="L299" s="33" t="s">
        <v>795</v>
      </c>
      <c r="M299" s="43">
        <v>46148.775127314817</v>
      </c>
      <c r="N299" s="33" t="s">
        <v>940</v>
      </c>
      <c r="O299" s="33" t="s">
        <v>797</v>
      </c>
      <c r="P299" s="33" t="s">
        <v>861</v>
      </c>
      <c r="Q299" s="43">
        <v>46148.530555555553</v>
      </c>
      <c r="R299" s="43">
        <v>46148.564583333333</v>
      </c>
      <c r="S299" s="58">
        <v>3.4027777777777775E-2</v>
      </c>
      <c r="T299" s="33" t="s">
        <v>799</v>
      </c>
      <c r="U299" s="43">
        <v>46148.765277777777</v>
      </c>
      <c r="V299" s="58">
        <v>8.3333333333333332E-3</v>
      </c>
      <c r="W299" s="33" t="s">
        <v>799</v>
      </c>
      <c r="X299" s="43">
        <v>46148.765277777777</v>
      </c>
      <c r="Y299" s="58">
        <v>8.3333333333333332E-3</v>
      </c>
      <c r="Z299" s="33" t="s">
        <v>799</v>
      </c>
      <c r="AA299" s="43">
        <v>46149.958333333336</v>
      </c>
      <c r="AB299" s="33" t="s">
        <v>81</v>
      </c>
      <c r="AC299" s="33" t="s">
        <v>862</v>
      </c>
      <c r="AD299" s="58">
        <v>0.24374999999999999</v>
      </c>
      <c r="AE299" s="58">
        <v>0.21041666666666667</v>
      </c>
      <c r="AF299" s="58">
        <v>0.24374999999999999</v>
      </c>
      <c r="AG299" s="33" t="s">
        <v>1881</v>
      </c>
      <c r="AH299" s="33">
        <v>2</v>
      </c>
      <c r="AI299" s="43">
        <v>46148.765277777777</v>
      </c>
      <c r="AJ299" s="33" t="s">
        <v>793</v>
      </c>
      <c r="AK299" s="42">
        <v>2534170.06</v>
      </c>
      <c r="AL299" s="33" t="s">
        <v>943</v>
      </c>
    </row>
    <row r="300" spans="1:38">
      <c r="A300" s="33" t="s">
        <v>1882</v>
      </c>
      <c r="B300" s="33"/>
      <c r="C300" s="33" t="s">
        <v>789</v>
      </c>
      <c r="D300" s="33" t="s">
        <v>804</v>
      </c>
      <c r="E300" s="33" t="s">
        <v>1883</v>
      </c>
      <c r="F300" s="43">
        <v>46148.583333333336</v>
      </c>
      <c r="G300" s="33" t="s">
        <v>792</v>
      </c>
      <c r="H300" s="33"/>
      <c r="I300" s="33" t="s">
        <v>793</v>
      </c>
      <c r="J300" s="33" t="s">
        <v>922</v>
      </c>
      <c r="K300" s="33" t="s">
        <v>305</v>
      </c>
      <c r="L300" s="33" t="s">
        <v>1884</v>
      </c>
      <c r="M300" s="43">
        <v>46148.693993055553</v>
      </c>
      <c r="N300" s="33" t="s">
        <v>796</v>
      </c>
      <c r="O300" s="33" t="s">
        <v>868</v>
      </c>
      <c r="P300" s="33" t="s">
        <v>861</v>
      </c>
      <c r="Q300" s="33"/>
      <c r="R300" s="33"/>
      <c r="S300" s="33"/>
      <c r="T300" s="33" t="s">
        <v>799</v>
      </c>
      <c r="U300" s="43">
        <v>46148.668749999997</v>
      </c>
      <c r="V300" s="58">
        <v>2.5000000000000001E-2</v>
      </c>
      <c r="W300" s="33"/>
      <c r="X300" s="33"/>
      <c r="Y300" s="33"/>
      <c r="Z300" s="33" t="s">
        <v>799</v>
      </c>
      <c r="AA300" s="43">
        <v>46149.833333333336</v>
      </c>
      <c r="AB300" s="33" t="s">
        <v>81</v>
      </c>
      <c r="AC300" s="33" t="s">
        <v>81</v>
      </c>
      <c r="AD300" s="58">
        <v>0.16458333333333333</v>
      </c>
      <c r="AE300" s="33"/>
      <c r="AF300" s="58">
        <v>0.16458333333333333</v>
      </c>
      <c r="AG300" s="33" t="s">
        <v>1083</v>
      </c>
      <c r="AH300" s="33">
        <v>1</v>
      </c>
      <c r="AI300" s="43">
        <v>46148.668749999997</v>
      </c>
      <c r="AJ300" s="33" t="s">
        <v>793</v>
      </c>
      <c r="AK300" s="42">
        <v>1502936.68</v>
      </c>
      <c r="AL300" s="33" t="s">
        <v>808</v>
      </c>
    </row>
    <row r="301" spans="1:38">
      <c r="A301" s="33">
        <v>5965594</v>
      </c>
      <c r="B301" s="33"/>
      <c r="C301" s="33" t="s">
        <v>789</v>
      </c>
      <c r="D301" s="33" t="s">
        <v>1366</v>
      </c>
      <c r="E301" s="33" t="s">
        <v>1885</v>
      </c>
      <c r="F301" s="43">
        <v>46148.541666666664</v>
      </c>
      <c r="G301" s="33" t="s">
        <v>792</v>
      </c>
      <c r="H301" s="33"/>
      <c r="I301" s="33" t="s">
        <v>793</v>
      </c>
      <c r="J301" s="33" t="s">
        <v>1049</v>
      </c>
      <c r="K301" s="33" t="s">
        <v>75</v>
      </c>
      <c r="L301" s="33" t="s">
        <v>1148</v>
      </c>
      <c r="M301" s="43">
        <v>46148.602384259262</v>
      </c>
      <c r="N301" s="33" t="s">
        <v>796</v>
      </c>
      <c r="O301" s="33" t="s">
        <v>868</v>
      </c>
      <c r="P301" s="33" t="s">
        <v>799</v>
      </c>
      <c r="Q301" s="43">
        <v>46148.51666666667</v>
      </c>
      <c r="R301" s="43">
        <v>46148.56527777778</v>
      </c>
      <c r="S301" s="58">
        <v>4.8611111111111112E-2</v>
      </c>
      <c r="T301" s="33" t="s">
        <v>140</v>
      </c>
      <c r="U301" s="43">
        <v>46148.597916666666</v>
      </c>
      <c r="V301" s="58">
        <v>4.1666666666666666E-3</v>
      </c>
      <c r="W301" s="33"/>
      <c r="X301" s="33"/>
      <c r="Y301" s="33"/>
      <c r="Z301" s="33" t="s">
        <v>140</v>
      </c>
      <c r="AA301" s="43">
        <v>46149.583333333336</v>
      </c>
      <c r="AB301" s="33" t="s">
        <v>81</v>
      </c>
      <c r="AC301" s="33" t="s">
        <v>81</v>
      </c>
      <c r="AD301" s="58">
        <v>8.611111111111111E-2</v>
      </c>
      <c r="AE301" s="33"/>
      <c r="AF301" s="58">
        <v>8.611111111111111E-2</v>
      </c>
      <c r="AG301" s="33" t="s">
        <v>1369</v>
      </c>
      <c r="AH301" s="33">
        <v>2</v>
      </c>
      <c r="AI301" s="43">
        <v>46148.597916666666</v>
      </c>
      <c r="AJ301" s="33" t="s">
        <v>793</v>
      </c>
      <c r="AK301" s="42">
        <v>590669.5</v>
      </c>
      <c r="AL301" s="33" t="s">
        <v>1370</v>
      </c>
    </row>
    <row r="302" spans="1:38">
      <c r="A302" s="33">
        <v>6009916</v>
      </c>
      <c r="B302" s="33"/>
      <c r="C302" s="33" t="s">
        <v>789</v>
      </c>
      <c r="D302" s="33" t="s">
        <v>1303</v>
      </c>
      <c r="E302" s="33" t="s">
        <v>1886</v>
      </c>
      <c r="F302" s="43">
        <v>46148.583333333336</v>
      </c>
      <c r="G302" s="33" t="s">
        <v>836</v>
      </c>
      <c r="H302" s="33"/>
      <c r="I302" s="33" t="s">
        <v>73</v>
      </c>
      <c r="J302" s="33" t="s">
        <v>1305</v>
      </c>
      <c r="K302" s="33" t="s">
        <v>1012</v>
      </c>
      <c r="L302" s="33" t="s">
        <v>880</v>
      </c>
      <c r="M302" s="43">
        <v>46149.539178240739</v>
      </c>
      <c r="N302" s="33" t="s">
        <v>1307</v>
      </c>
      <c r="O302" s="33" t="s">
        <v>797</v>
      </c>
      <c r="P302" s="33" t="s">
        <v>79</v>
      </c>
      <c r="Q302" s="33"/>
      <c r="R302" s="33"/>
      <c r="S302" s="33"/>
      <c r="T302" s="33" t="s">
        <v>984</v>
      </c>
      <c r="U302" s="43">
        <v>46148.663888888892</v>
      </c>
      <c r="V302" s="58">
        <v>0.87430555555555556</v>
      </c>
      <c r="W302" s="33"/>
      <c r="X302" s="33"/>
      <c r="Y302" s="33"/>
      <c r="Z302" s="33" t="s">
        <v>984</v>
      </c>
      <c r="AA302" s="43">
        <v>46149.25</v>
      </c>
      <c r="AB302" s="33" t="s">
        <v>81</v>
      </c>
      <c r="AC302" s="33" t="s">
        <v>1308</v>
      </c>
      <c r="AD302" s="58">
        <v>0.96597222222222223</v>
      </c>
      <c r="AE302" s="33"/>
      <c r="AF302" s="58">
        <v>0.96597222222222223</v>
      </c>
      <c r="AG302" s="33" t="s">
        <v>1309</v>
      </c>
      <c r="AH302" s="33">
        <v>1</v>
      </c>
      <c r="AI302" s="43">
        <v>46148.663888888892</v>
      </c>
      <c r="AJ302" s="33" t="s">
        <v>73</v>
      </c>
      <c r="AK302" s="42">
        <v>155000</v>
      </c>
      <c r="AL302" s="33" t="s">
        <v>1310</v>
      </c>
    </row>
    <row r="303" spans="1:38">
      <c r="A303" s="33">
        <v>6012844</v>
      </c>
      <c r="B303" s="33"/>
      <c r="C303" s="33" t="s">
        <v>789</v>
      </c>
      <c r="D303" s="33" t="s">
        <v>302</v>
      </c>
      <c r="E303" s="33" t="s">
        <v>1887</v>
      </c>
      <c r="F303" s="43">
        <v>46148.833333333336</v>
      </c>
      <c r="G303" s="33" t="s">
        <v>227</v>
      </c>
      <c r="H303" s="33"/>
      <c r="I303" s="33" t="s">
        <v>73</v>
      </c>
      <c r="J303" s="33" t="s">
        <v>1888</v>
      </c>
      <c r="K303" s="33" t="s">
        <v>75</v>
      </c>
      <c r="L303" s="33" t="s">
        <v>1738</v>
      </c>
      <c r="M303" s="43">
        <v>46148.855902777781</v>
      </c>
      <c r="N303" s="33" t="s">
        <v>307</v>
      </c>
      <c r="O303" s="33" t="s">
        <v>797</v>
      </c>
      <c r="P303" s="33" t="s">
        <v>140</v>
      </c>
      <c r="Q303" s="43">
        <v>46148.598611111112</v>
      </c>
      <c r="R303" s="43">
        <v>46148.605555555558</v>
      </c>
      <c r="S303" s="58">
        <v>6.9444444444444441E-3</v>
      </c>
      <c r="T303" s="33" t="s">
        <v>1889</v>
      </c>
      <c r="U303" s="33"/>
      <c r="V303" s="33"/>
      <c r="W303" s="33" t="s">
        <v>1740</v>
      </c>
      <c r="X303" s="43">
        <v>46148.632638888892</v>
      </c>
      <c r="Y303" s="58">
        <v>0.22500000000000001</v>
      </c>
      <c r="Z303" s="33" t="s">
        <v>1889</v>
      </c>
      <c r="AA303" s="43">
        <v>46155.333333333336</v>
      </c>
      <c r="AB303" s="33" t="s">
        <v>1890</v>
      </c>
      <c r="AC303" s="33" t="s">
        <v>1891</v>
      </c>
      <c r="AD303" s="58">
        <v>0.27569444444444446</v>
      </c>
      <c r="AE303" s="33"/>
      <c r="AF303" s="58">
        <v>0.27569444444444446</v>
      </c>
      <c r="AG303" s="33" t="s">
        <v>1185</v>
      </c>
      <c r="AH303" s="33">
        <v>2</v>
      </c>
      <c r="AI303" s="43">
        <v>46149.729861111111</v>
      </c>
      <c r="AJ303" s="33" t="s">
        <v>73</v>
      </c>
      <c r="AK303" s="42">
        <v>341969.51</v>
      </c>
      <c r="AL303" s="33" t="s">
        <v>312</v>
      </c>
    </row>
    <row r="304" spans="1:38">
      <c r="A304" s="33" t="s">
        <v>1892</v>
      </c>
      <c r="B304" s="33"/>
      <c r="C304" s="33" t="s">
        <v>789</v>
      </c>
      <c r="D304" s="33" t="s">
        <v>1893</v>
      </c>
      <c r="E304" s="33" t="s">
        <v>1894</v>
      </c>
      <c r="F304" s="43">
        <v>46148.59097222222</v>
      </c>
      <c r="G304" s="33" t="s">
        <v>171</v>
      </c>
      <c r="H304" s="33"/>
      <c r="I304" s="33" t="s">
        <v>793</v>
      </c>
      <c r="J304" s="33" t="s">
        <v>958</v>
      </c>
      <c r="K304" s="33" t="s">
        <v>916</v>
      </c>
      <c r="L304" s="33" t="s">
        <v>1523</v>
      </c>
      <c r="M304" s="43">
        <v>46148.755497685182</v>
      </c>
      <c r="N304" s="33" t="s">
        <v>1895</v>
      </c>
      <c r="O304" s="33" t="s">
        <v>797</v>
      </c>
      <c r="P304" s="33" t="s">
        <v>861</v>
      </c>
      <c r="Q304" s="33"/>
      <c r="R304" s="33"/>
      <c r="S304" s="33"/>
      <c r="T304" s="33" t="s">
        <v>308</v>
      </c>
      <c r="U304" s="43">
        <v>46148.754166666666</v>
      </c>
      <c r="V304" s="58">
        <v>6.9444444444444447E-4</v>
      </c>
      <c r="W304" s="33" t="s">
        <v>308</v>
      </c>
      <c r="X304" s="43">
        <v>46148.754166666666</v>
      </c>
      <c r="Y304" s="58">
        <v>6.9444444444444447E-4</v>
      </c>
      <c r="Z304" s="33" t="s">
        <v>308</v>
      </c>
      <c r="AA304" s="43">
        <v>46150.000694444447</v>
      </c>
      <c r="AB304" s="33" t="s">
        <v>1052</v>
      </c>
      <c r="AC304" s="33" t="s">
        <v>1404</v>
      </c>
      <c r="AD304" s="58">
        <v>0.15138888888888888</v>
      </c>
      <c r="AE304" s="33"/>
      <c r="AF304" s="58">
        <v>0.15138888888888888</v>
      </c>
      <c r="AG304" s="33" t="s">
        <v>1896</v>
      </c>
      <c r="AH304" s="33">
        <v>0</v>
      </c>
      <c r="AI304" s="43">
        <v>46148.754166666666</v>
      </c>
      <c r="AJ304" s="33" t="s">
        <v>793</v>
      </c>
      <c r="AK304" s="42">
        <v>1176212.8600000001</v>
      </c>
      <c r="AL304" s="33" t="s">
        <v>668</v>
      </c>
    </row>
    <row r="305" spans="1:38">
      <c r="A305" s="33" t="s">
        <v>1897</v>
      </c>
      <c r="B305" s="33"/>
      <c r="C305" s="33" t="s">
        <v>789</v>
      </c>
      <c r="D305" s="33" t="s">
        <v>744</v>
      </c>
      <c r="E305" s="33" t="s">
        <v>1898</v>
      </c>
      <c r="F305" s="43">
        <v>46148.594444444447</v>
      </c>
      <c r="G305" s="33" t="s">
        <v>171</v>
      </c>
      <c r="H305" s="33"/>
      <c r="I305" s="33" t="s">
        <v>793</v>
      </c>
      <c r="J305" s="33" t="s">
        <v>958</v>
      </c>
      <c r="K305" s="33" t="s">
        <v>75</v>
      </c>
      <c r="L305" s="33" t="s">
        <v>1148</v>
      </c>
      <c r="M305" s="43">
        <v>46148.777650462966</v>
      </c>
      <c r="N305" s="33" t="s">
        <v>749</v>
      </c>
      <c r="O305" s="33" t="s">
        <v>797</v>
      </c>
      <c r="P305" s="33" t="s">
        <v>861</v>
      </c>
      <c r="Q305" s="33"/>
      <c r="R305" s="33"/>
      <c r="S305" s="33"/>
      <c r="T305" s="33" t="s">
        <v>308</v>
      </c>
      <c r="U305" s="43">
        <v>46148.756249999999</v>
      </c>
      <c r="V305" s="58">
        <v>2.0833333333333332E-2</v>
      </c>
      <c r="W305" s="33" t="s">
        <v>308</v>
      </c>
      <c r="X305" s="43">
        <v>46148.756249999999</v>
      </c>
      <c r="Y305" s="58">
        <v>2.0833333333333332E-2</v>
      </c>
      <c r="Z305" s="33" t="s">
        <v>308</v>
      </c>
      <c r="AA305" s="43">
        <v>46150.000694444447</v>
      </c>
      <c r="AB305" s="33" t="s">
        <v>81</v>
      </c>
      <c r="AC305" s="33" t="s">
        <v>1404</v>
      </c>
      <c r="AD305" s="58">
        <v>0.17499999999999999</v>
      </c>
      <c r="AE305" s="33"/>
      <c r="AF305" s="58">
        <v>0.17499999999999999</v>
      </c>
      <c r="AG305" s="33" t="s">
        <v>1899</v>
      </c>
      <c r="AH305" s="33">
        <v>1</v>
      </c>
      <c r="AI305" s="43">
        <v>46148.756249999999</v>
      </c>
      <c r="AJ305" s="33" t="s">
        <v>793</v>
      </c>
      <c r="AK305" s="42">
        <v>1216087.3400000001</v>
      </c>
      <c r="AL305" s="33" t="s">
        <v>754</v>
      </c>
    </row>
    <row r="306" spans="1:38">
      <c r="A306" s="33">
        <v>5999955</v>
      </c>
      <c r="B306" s="33"/>
      <c r="C306" s="33" t="s">
        <v>789</v>
      </c>
      <c r="D306" s="33" t="s">
        <v>1343</v>
      </c>
      <c r="E306" s="33" t="s">
        <v>1900</v>
      </c>
      <c r="F306" s="43">
        <v>46148.625</v>
      </c>
      <c r="G306" s="33" t="s">
        <v>792</v>
      </c>
      <c r="H306" s="33"/>
      <c r="I306" s="33" t="s">
        <v>793</v>
      </c>
      <c r="J306" s="33" t="s">
        <v>1312</v>
      </c>
      <c r="K306" s="33" t="s">
        <v>75</v>
      </c>
      <c r="L306" s="33" t="s">
        <v>1035</v>
      </c>
      <c r="M306" s="43">
        <v>46148.828750000001</v>
      </c>
      <c r="N306" s="33" t="s">
        <v>1345</v>
      </c>
      <c r="O306" s="33" t="s">
        <v>797</v>
      </c>
      <c r="P306" s="33" t="s">
        <v>799</v>
      </c>
      <c r="Q306" s="43">
        <v>46148.622916666667</v>
      </c>
      <c r="R306" s="43">
        <v>46148.633333333331</v>
      </c>
      <c r="S306" s="58">
        <v>1.0416666666666666E-2</v>
      </c>
      <c r="T306" s="33" t="s">
        <v>140</v>
      </c>
      <c r="U306" s="43">
        <v>46148.661805555559</v>
      </c>
      <c r="V306" s="58">
        <v>0.16805555555555557</v>
      </c>
      <c r="W306" s="33" t="s">
        <v>140</v>
      </c>
      <c r="X306" s="43">
        <v>46148.661805555559</v>
      </c>
      <c r="Y306" s="58">
        <v>0.16805555555555557</v>
      </c>
      <c r="Z306" s="33" t="s">
        <v>140</v>
      </c>
      <c r="AA306" s="43">
        <v>46149.75</v>
      </c>
      <c r="AB306" s="33" t="s">
        <v>81</v>
      </c>
      <c r="AC306" s="33" t="s">
        <v>1314</v>
      </c>
      <c r="AD306" s="58">
        <v>0.21111111111111111</v>
      </c>
      <c r="AE306" s="58">
        <v>0.19513888888888889</v>
      </c>
      <c r="AF306" s="58">
        <v>0.21111111111111111</v>
      </c>
      <c r="AG306" s="33" t="s">
        <v>1346</v>
      </c>
      <c r="AH306" s="33">
        <v>2</v>
      </c>
      <c r="AI306" s="43">
        <v>46148.661805555559</v>
      </c>
      <c r="AJ306" s="33" t="s">
        <v>793</v>
      </c>
      <c r="AK306" s="42">
        <v>1085716.73</v>
      </c>
      <c r="AL306" s="33" t="s">
        <v>1347</v>
      </c>
    </row>
    <row r="307" spans="1:38">
      <c r="A307" s="33">
        <v>6003719</v>
      </c>
      <c r="B307" s="33"/>
      <c r="C307" s="33" t="s">
        <v>789</v>
      </c>
      <c r="D307" s="33" t="s">
        <v>1901</v>
      </c>
      <c r="E307" s="33" t="s">
        <v>1902</v>
      </c>
      <c r="F307" s="43">
        <v>46148.708333333336</v>
      </c>
      <c r="G307" s="33" t="s">
        <v>792</v>
      </c>
      <c r="H307" s="33"/>
      <c r="I307" s="33" t="s">
        <v>793</v>
      </c>
      <c r="J307" s="33" t="s">
        <v>1903</v>
      </c>
      <c r="K307" s="33" t="s">
        <v>1904</v>
      </c>
      <c r="L307" s="33" t="s">
        <v>1905</v>
      </c>
      <c r="M307" s="43">
        <v>46149.393182870372</v>
      </c>
      <c r="N307" s="33" t="s">
        <v>796</v>
      </c>
      <c r="O307" s="33" t="s">
        <v>868</v>
      </c>
      <c r="P307" s="33" t="s">
        <v>799</v>
      </c>
      <c r="Q307" s="43">
        <v>46148.606944444444</v>
      </c>
      <c r="R307" s="43">
        <v>46148.655555555553</v>
      </c>
      <c r="S307" s="58">
        <v>4.8611111111111112E-2</v>
      </c>
      <c r="T307" s="33" t="s">
        <v>383</v>
      </c>
      <c r="U307" s="43">
        <v>46149.049305555556</v>
      </c>
      <c r="V307" s="58">
        <v>0.34375</v>
      </c>
      <c r="W307" s="33"/>
      <c r="X307" s="33"/>
      <c r="Y307" s="33"/>
      <c r="Z307" s="33" t="s">
        <v>383</v>
      </c>
      <c r="AA307" s="43">
        <v>46149.25</v>
      </c>
      <c r="AB307" s="33" t="s">
        <v>81</v>
      </c>
      <c r="AC307" s="33" t="s">
        <v>81</v>
      </c>
      <c r="AD307" s="58">
        <v>0.78749999999999998</v>
      </c>
      <c r="AE307" s="33"/>
      <c r="AF307" s="58">
        <v>0.78749999999999998</v>
      </c>
      <c r="AG307" s="33" t="s">
        <v>1906</v>
      </c>
      <c r="AH307" s="33">
        <v>2</v>
      </c>
      <c r="AI307" s="43">
        <v>46149.049305555556</v>
      </c>
      <c r="AJ307" s="33" t="s">
        <v>793</v>
      </c>
      <c r="AK307" s="42">
        <v>675796.16</v>
      </c>
      <c r="AL307" s="33" t="s">
        <v>1907</v>
      </c>
    </row>
    <row r="308" spans="1:38">
      <c r="A308" s="33">
        <v>5996037</v>
      </c>
      <c r="B308" s="33"/>
      <c r="C308" s="33" t="s">
        <v>789</v>
      </c>
      <c r="D308" s="33" t="s">
        <v>1784</v>
      </c>
      <c r="E308" s="33" t="s">
        <v>1908</v>
      </c>
      <c r="F308" s="43">
        <v>46148.625</v>
      </c>
      <c r="G308" s="33" t="s">
        <v>792</v>
      </c>
      <c r="H308" s="33"/>
      <c r="I308" s="33" t="s">
        <v>793</v>
      </c>
      <c r="J308" s="33" t="s">
        <v>1312</v>
      </c>
      <c r="K308" s="33" t="s">
        <v>75</v>
      </c>
      <c r="L308" s="33" t="s">
        <v>1231</v>
      </c>
      <c r="M308" s="43">
        <v>46148.691145833334</v>
      </c>
      <c r="N308" s="33" t="s">
        <v>796</v>
      </c>
      <c r="O308" s="33" t="s">
        <v>1909</v>
      </c>
      <c r="P308" s="33" t="s">
        <v>799</v>
      </c>
      <c r="Q308" s="43">
        <v>46148.632638888892</v>
      </c>
      <c r="R308" s="43">
        <v>46148.644444444442</v>
      </c>
      <c r="S308" s="58">
        <v>1.1805555555555555E-2</v>
      </c>
      <c r="T308" s="33" t="s">
        <v>140</v>
      </c>
      <c r="U308" s="43">
        <v>46148.671527777777</v>
      </c>
      <c r="V308" s="58">
        <v>1.3194444444444444E-2</v>
      </c>
      <c r="W308" s="33"/>
      <c r="X308" s="33"/>
      <c r="Y308" s="33"/>
      <c r="Z308" s="33" t="s">
        <v>140</v>
      </c>
      <c r="AA308" s="43">
        <v>46148.75</v>
      </c>
      <c r="AB308" s="33" t="s">
        <v>81</v>
      </c>
      <c r="AC308" s="33" t="s">
        <v>1314</v>
      </c>
      <c r="AD308" s="58">
        <v>5.8333333333333334E-2</v>
      </c>
      <c r="AE308" s="33"/>
      <c r="AF308" s="58">
        <v>5.8333333333333334E-2</v>
      </c>
      <c r="AG308" s="33" t="s">
        <v>1788</v>
      </c>
      <c r="AH308" s="33">
        <v>2</v>
      </c>
      <c r="AI308" s="43">
        <v>46148.671527777777</v>
      </c>
      <c r="AJ308" s="33" t="s">
        <v>793</v>
      </c>
      <c r="AK308" s="42">
        <v>706985.76</v>
      </c>
      <c r="AL308" s="33" t="s">
        <v>1789</v>
      </c>
    </row>
    <row r="309" spans="1:38">
      <c r="A309" s="33">
        <v>6006445</v>
      </c>
      <c r="B309" s="33"/>
      <c r="C309" s="33" t="s">
        <v>789</v>
      </c>
      <c r="D309" s="33" t="s">
        <v>1910</v>
      </c>
      <c r="E309" s="33" t="s">
        <v>1911</v>
      </c>
      <c r="F309" s="43">
        <v>46148.645833333336</v>
      </c>
      <c r="G309" s="33" t="s">
        <v>1912</v>
      </c>
      <c r="H309" s="33"/>
      <c r="I309" s="33" t="s">
        <v>73</v>
      </c>
      <c r="J309" s="33" t="s">
        <v>1913</v>
      </c>
      <c r="K309" s="33" t="s">
        <v>1914</v>
      </c>
      <c r="L309" s="33" t="s">
        <v>1915</v>
      </c>
      <c r="M309" s="43">
        <v>46149.46707175926</v>
      </c>
      <c r="N309" s="33" t="s">
        <v>1916</v>
      </c>
      <c r="O309" s="33" t="s">
        <v>1917</v>
      </c>
      <c r="P309" s="33" t="s">
        <v>1918</v>
      </c>
      <c r="Q309" s="43">
        <v>46148.635416666664</v>
      </c>
      <c r="R309" s="43">
        <v>46148.706250000003</v>
      </c>
      <c r="S309" s="58">
        <v>7.0833333333333331E-2</v>
      </c>
      <c r="T309" s="33" t="s">
        <v>198</v>
      </c>
      <c r="U309" s="43">
        <v>46149.220138888886</v>
      </c>
      <c r="V309" s="58">
        <v>0.24652777777777779</v>
      </c>
      <c r="W309" s="33"/>
      <c r="X309" s="33"/>
      <c r="Y309" s="33"/>
      <c r="Z309" s="33" t="s">
        <v>198</v>
      </c>
      <c r="AA309" s="43">
        <v>46149.375</v>
      </c>
      <c r="AB309" s="33" t="s">
        <v>81</v>
      </c>
      <c r="AC309" s="33" t="s">
        <v>81</v>
      </c>
      <c r="AD309" s="58">
        <v>0.83263888888888893</v>
      </c>
      <c r="AE309" s="33"/>
      <c r="AF309" s="58">
        <v>0.83263888888888893</v>
      </c>
      <c r="AG309" s="33"/>
      <c r="AH309" s="33">
        <v>3</v>
      </c>
      <c r="AI309" s="43">
        <v>46149.220138888886</v>
      </c>
      <c r="AJ309" s="33" t="s">
        <v>73</v>
      </c>
      <c r="AK309" s="42">
        <v>77763.98</v>
      </c>
      <c r="AL309" s="33" t="s">
        <v>1919</v>
      </c>
    </row>
    <row r="310" spans="1:38">
      <c r="A310" s="33">
        <v>5980154</v>
      </c>
      <c r="B310" s="33"/>
      <c r="C310" s="33" t="s">
        <v>789</v>
      </c>
      <c r="D310" s="33" t="s">
        <v>1920</v>
      </c>
      <c r="E310" s="33" t="s">
        <v>1921</v>
      </c>
      <c r="F310" s="43">
        <v>46148.638888888891</v>
      </c>
      <c r="G310" s="33" t="s">
        <v>792</v>
      </c>
      <c r="H310" s="33"/>
      <c r="I310" s="33" t="s">
        <v>793</v>
      </c>
      <c r="J310" s="33" t="s">
        <v>1312</v>
      </c>
      <c r="K310" s="33" t="s">
        <v>75</v>
      </c>
      <c r="L310" s="33" t="s">
        <v>1148</v>
      </c>
      <c r="M310" s="43">
        <v>46148.712430555555</v>
      </c>
      <c r="N310" s="33" t="s">
        <v>1922</v>
      </c>
      <c r="O310" s="33" t="s">
        <v>797</v>
      </c>
      <c r="P310" s="33" t="s">
        <v>799</v>
      </c>
      <c r="Q310" s="33"/>
      <c r="R310" s="33"/>
      <c r="S310" s="33"/>
      <c r="T310" s="33" t="s">
        <v>140</v>
      </c>
      <c r="U310" s="43">
        <v>46148.689583333333</v>
      </c>
      <c r="V310" s="58">
        <v>2.0833333333333332E-2</v>
      </c>
      <c r="W310" s="33" t="s">
        <v>140</v>
      </c>
      <c r="X310" s="43">
        <v>46148.689583333333</v>
      </c>
      <c r="Y310" s="58">
        <v>2.0833333333333332E-2</v>
      </c>
      <c r="Z310" s="33" t="s">
        <v>140</v>
      </c>
      <c r="AA310" s="43">
        <v>46148.708333333336</v>
      </c>
      <c r="AB310" s="33" t="s">
        <v>81</v>
      </c>
      <c r="AC310" s="33" t="s">
        <v>1314</v>
      </c>
      <c r="AD310" s="58">
        <v>5.7638888888888892E-2</v>
      </c>
      <c r="AE310" s="33"/>
      <c r="AF310" s="58">
        <v>5.7638888888888892E-2</v>
      </c>
      <c r="AG310" s="33" t="s">
        <v>1923</v>
      </c>
      <c r="AH310" s="33">
        <v>1</v>
      </c>
      <c r="AI310" s="43">
        <v>46148.689583333333</v>
      </c>
      <c r="AJ310" s="33" t="s">
        <v>793</v>
      </c>
      <c r="AK310" s="42">
        <v>1013880</v>
      </c>
      <c r="AL310" s="33" t="s">
        <v>1924</v>
      </c>
    </row>
    <row r="311" spans="1:38">
      <c r="A311" s="33">
        <v>6005807</v>
      </c>
      <c r="B311" s="33"/>
      <c r="C311" s="33" t="s">
        <v>789</v>
      </c>
      <c r="D311" s="33" t="s">
        <v>1925</v>
      </c>
      <c r="E311" s="33" t="s">
        <v>1926</v>
      </c>
      <c r="F311" s="43">
        <v>46148.833333333336</v>
      </c>
      <c r="G311" s="33" t="s">
        <v>227</v>
      </c>
      <c r="H311" s="33"/>
      <c r="I311" s="33" t="s">
        <v>73</v>
      </c>
      <c r="J311" s="33" t="s">
        <v>1927</v>
      </c>
      <c r="K311" s="33" t="s">
        <v>75</v>
      </c>
      <c r="L311" s="33" t="s">
        <v>1928</v>
      </c>
      <c r="M311" s="43">
        <v>46149.100173611114</v>
      </c>
      <c r="N311" s="33" t="s">
        <v>529</v>
      </c>
      <c r="O311" s="33" t="s">
        <v>797</v>
      </c>
      <c r="P311" s="33" t="s">
        <v>79</v>
      </c>
      <c r="Q311" s="43">
        <v>46148.648611111108</v>
      </c>
      <c r="R311" s="43">
        <v>46148.708333333336</v>
      </c>
      <c r="S311" s="58">
        <v>5.9722222222222225E-2</v>
      </c>
      <c r="T311" s="33" t="s">
        <v>750</v>
      </c>
      <c r="U311" s="33"/>
      <c r="V311" s="33"/>
      <c r="W311" s="33" t="s">
        <v>1740</v>
      </c>
      <c r="X311" s="43">
        <v>46149.091666666667</v>
      </c>
      <c r="Y311" s="58">
        <v>9.0277777777777769E-3</v>
      </c>
      <c r="Z311" s="33" t="s">
        <v>750</v>
      </c>
      <c r="AA311" s="43">
        <v>46152.958333333336</v>
      </c>
      <c r="AB311" s="33" t="s">
        <v>1929</v>
      </c>
      <c r="AC311" s="33" t="s">
        <v>1930</v>
      </c>
      <c r="AD311" s="58">
        <v>0.45555555555555555</v>
      </c>
      <c r="AE311" s="33"/>
      <c r="AF311" s="58">
        <v>0.45555555555555555</v>
      </c>
      <c r="AG311" s="33" t="s">
        <v>1931</v>
      </c>
      <c r="AH311" s="33">
        <v>2</v>
      </c>
      <c r="AI311" s="43">
        <v>46149.151388888888</v>
      </c>
      <c r="AJ311" s="33" t="s">
        <v>73</v>
      </c>
      <c r="AK311" s="42">
        <v>131667.01</v>
      </c>
      <c r="AL311" s="33" t="s">
        <v>1932</v>
      </c>
    </row>
    <row r="312" spans="1:38">
      <c r="A312" s="33" t="s">
        <v>1933</v>
      </c>
      <c r="B312" s="33"/>
      <c r="C312" s="33" t="s">
        <v>789</v>
      </c>
      <c r="D312" s="33" t="s">
        <v>1244</v>
      </c>
      <c r="E312" s="33" t="s">
        <v>1934</v>
      </c>
      <c r="F312" s="43">
        <v>46148.63958333333</v>
      </c>
      <c r="G312" s="33" t="s">
        <v>1246</v>
      </c>
      <c r="H312" s="33"/>
      <c r="I312" s="33" t="s">
        <v>73</v>
      </c>
      <c r="J312" s="33" t="s">
        <v>1935</v>
      </c>
      <c r="K312" s="33" t="s">
        <v>75</v>
      </c>
      <c r="L312" s="33" t="s">
        <v>1936</v>
      </c>
      <c r="M312" s="43">
        <v>46148.740879629629</v>
      </c>
      <c r="N312" s="33" t="s">
        <v>1249</v>
      </c>
      <c r="O312" s="33" t="s">
        <v>797</v>
      </c>
      <c r="P312" s="33" t="s">
        <v>79</v>
      </c>
      <c r="Q312" s="43">
        <v>46148.647916666669</v>
      </c>
      <c r="R312" s="43">
        <v>46148.648611111108</v>
      </c>
      <c r="S312" s="58">
        <v>6.9444444444444447E-4</v>
      </c>
      <c r="T312" s="33" t="s">
        <v>1250</v>
      </c>
      <c r="U312" s="43">
        <v>46148.720833333333</v>
      </c>
      <c r="V312" s="58">
        <v>3.6111111111111108E-2</v>
      </c>
      <c r="W312" s="33" t="s">
        <v>1250</v>
      </c>
      <c r="X312" s="43">
        <v>46148.720833333333</v>
      </c>
      <c r="Y312" s="58">
        <v>3.6111111111111108E-2</v>
      </c>
      <c r="Z312" s="33" t="s">
        <v>1250</v>
      </c>
      <c r="AA312" s="43">
        <v>46154.333333333336</v>
      </c>
      <c r="AB312" s="33" t="s">
        <v>81</v>
      </c>
      <c r="AC312" s="33" t="s">
        <v>1937</v>
      </c>
      <c r="AD312" s="58">
        <v>0.11180555555555556</v>
      </c>
      <c r="AE312" s="58">
        <v>9.2361111111111116E-2</v>
      </c>
      <c r="AF312" s="58">
        <v>0.11180555555555556</v>
      </c>
      <c r="AG312" s="33"/>
      <c r="AH312" s="33">
        <v>2</v>
      </c>
      <c r="AI312" s="43">
        <v>46148.720833333333</v>
      </c>
      <c r="AJ312" s="33" t="s">
        <v>73</v>
      </c>
      <c r="AK312" s="42">
        <v>145662.26999999999</v>
      </c>
      <c r="AL312" s="33" t="s">
        <v>1252</v>
      </c>
    </row>
    <row r="313" spans="1:38">
      <c r="A313" s="33">
        <v>6010995</v>
      </c>
      <c r="B313" s="33"/>
      <c r="C313" s="33" t="s">
        <v>789</v>
      </c>
      <c r="D313" s="33" t="s">
        <v>1938</v>
      </c>
      <c r="E313" s="33" t="s">
        <v>1939</v>
      </c>
      <c r="F313" s="43">
        <v>46148.647916666669</v>
      </c>
      <c r="G313" s="33" t="s">
        <v>260</v>
      </c>
      <c r="H313" s="33"/>
      <c r="I313" s="33" t="s">
        <v>73</v>
      </c>
      <c r="J313" s="33" t="s">
        <v>1940</v>
      </c>
      <c r="K313" s="33" t="s">
        <v>75</v>
      </c>
      <c r="L313" s="33" t="s">
        <v>1941</v>
      </c>
      <c r="M313" s="43">
        <v>46150.360995370371</v>
      </c>
      <c r="N313" s="33" t="s">
        <v>1942</v>
      </c>
      <c r="O313" s="33" t="s">
        <v>797</v>
      </c>
      <c r="P313" s="33" t="s">
        <v>79</v>
      </c>
      <c r="Q313" s="43">
        <v>46148.645833333336</v>
      </c>
      <c r="R313" s="43">
        <v>46148.652083333334</v>
      </c>
      <c r="S313" s="58">
        <v>6.2500000000000003E-3</v>
      </c>
      <c r="T313" s="33" t="s">
        <v>765</v>
      </c>
      <c r="U313" s="43">
        <v>46150.208333333336</v>
      </c>
      <c r="V313" s="58">
        <v>0.1111111111111111</v>
      </c>
      <c r="W313" s="33" t="s">
        <v>765</v>
      </c>
      <c r="X313" s="43">
        <v>46150.208333333336</v>
      </c>
      <c r="Y313" s="58">
        <v>0.15347222222222223</v>
      </c>
      <c r="Z313" s="33" t="s">
        <v>765</v>
      </c>
      <c r="AA313" s="43">
        <v>46150.25</v>
      </c>
      <c r="AB313" s="33" t="s">
        <v>81</v>
      </c>
      <c r="AC313" s="33" t="s">
        <v>1943</v>
      </c>
      <c r="AD313" s="44">
        <v>1.711111111111111</v>
      </c>
      <c r="AE313" s="44">
        <v>1.7083333333333333</v>
      </c>
      <c r="AF313" s="44">
        <v>1.711111111111111</v>
      </c>
      <c r="AG313" s="33" t="s">
        <v>1944</v>
      </c>
      <c r="AH313" s="33">
        <v>2</v>
      </c>
      <c r="AI313" s="43">
        <v>46150.208333333336</v>
      </c>
      <c r="AJ313" s="33" t="s">
        <v>73</v>
      </c>
      <c r="AK313" s="42">
        <v>198820.2</v>
      </c>
      <c r="AL313" s="33" t="s">
        <v>1945</v>
      </c>
    </row>
    <row r="314" spans="1:38">
      <c r="A314" s="33">
        <v>5980160</v>
      </c>
      <c r="B314" s="33"/>
      <c r="C314" s="33" t="s">
        <v>789</v>
      </c>
      <c r="D314" s="33" t="s">
        <v>1047</v>
      </c>
      <c r="E314" s="33" t="s">
        <v>1946</v>
      </c>
      <c r="F314" s="43">
        <v>46148.666666666664</v>
      </c>
      <c r="G314" s="33" t="s">
        <v>792</v>
      </c>
      <c r="H314" s="33"/>
      <c r="I314" s="33" t="s">
        <v>793</v>
      </c>
      <c r="J314" s="33" t="s">
        <v>1049</v>
      </c>
      <c r="K314" s="33" t="s">
        <v>75</v>
      </c>
      <c r="L314" s="33" t="s">
        <v>1035</v>
      </c>
      <c r="M314" s="43">
        <v>46148.727962962963</v>
      </c>
      <c r="N314" s="33" t="s">
        <v>1051</v>
      </c>
      <c r="O314" s="33" t="s">
        <v>797</v>
      </c>
      <c r="P314" s="33" t="s">
        <v>799</v>
      </c>
      <c r="Q314" s="33"/>
      <c r="R314" s="33"/>
      <c r="S314" s="33"/>
      <c r="T314" s="33" t="s">
        <v>140</v>
      </c>
      <c r="U314" s="43">
        <v>46148.676388888889</v>
      </c>
      <c r="V314" s="58">
        <v>0.10902777777777778</v>
      </c>
      <c r="W314" s="33" t="s">
        <v>140</v>
      </c>
      <c r="X314" s="43">
        <v>46148.676388888889</v>
      </c>
      <c r="Y314" s="58">
        <v>0.10902777777777778</v>
      </c>
      <c r="Z314" s="33" t="s">
        <v>140</v>
      </c>
      <c r="AA314" s="43">
        <v>46149.75</v>
      </c>
      <c r="AB314" s="33" t="s">
        <v>81</v>
      </c>
      <c r="AC314" s="33" t="s">
        <v>1053</v>
      </c>
      <c r="AD314" s="58">
        <v>0.13194444444444445</v>
      </c>
      <c r="AE314" s="33"/>
      <c r="AF314" s="58">
        <v>0.13194444444444445</v>
      </c>
      <c r="AG314" s="33" t="s">
        <v>1205</v>
      </c>
      <c r="AH314" s="33">
        <v>1</v>
      </c>
      <c r="AI314" s="43">
        <v>46148.676388888889</v>
      </c>
      <c r="AJ314" s="33" t="s">
        <v>793</v>
      </c>
      <c r="AK314" s="42">
        <v>1013880</v>
      </c>
      <c r="AL314" s="33" t="s">
        <v>1055</v>
      </c>
    </row>
    <row r="315" spans="1:38">
      <c r="A315" s="33">
        <v>6010794</v>
      </c>
      <c r="B315" s="33"/>
      <c r="C315" s="33" t="s">
        <v>789</v>
      </c>
      <c r="D315" s="33" t="s">
        <v>1947</v>
      </c>
      <c r="E315" s="33" t="s">
        <v>1948</v>
      </c>
      <c r="F315" s="43">
        <v>46148.833333333336</v>
      </c>
      <c r="G315" s="33" t="s">
        <v>227</v>
      </c>
      <c r="H315" s="33"/>
      <c r="I315" s="33" t="s">
        <v>73</v>
      </c>
      <c r="J315" s="33" t="s">
        <v>335</v>
      </c>
      <c r="K315" s="33" t="s">
        <v>75</v>
      </c>
      <c r="L315" s="33" t="s">
        <v>1949</v>
      </c>
      <c r="M315" s="43">
        <v>46149.14439814815</v>
      </c>
      <c r="N315" s="33" t="s">
        <v>1950</v>
      </c>
      <c r="O315" s="33" t="s">
        <v>797</v>
      </c>
      <c r="P315" s="33" t="s">
        <v>79</v>
      </c>
      <c r="Q315" s="43">
        <v>46148.651388888888</v>
      </c>
      <c r="R315" s="43">
        <v>46148.688194444447</v>
      </c>
      <c r="S315" s="58">
        <v>3.6805555555555557E-2</v>
      </c>
      <c r="T315" s="33" t="s">
        <v>297</v>
      </c>
      <c r="U315" s="33"/>
      <c r="V315" s="33"/>
      <c r="W315" s="33"/>
      <c r="X315" s="33"/>
      <c r="Y315" s="33"/>
      <c r="Z315" s="33" t="s">
        <v>297</v>
      </c>
      <c r="AA315" s="43">
        <v>46150.25</v>
      </c>
      <c r="AB315" s="33" t="s">
        <v>81</v>
      </c>
      <c r="AC315" s="33" t="s">
        <v>81</v>
      </c>
      <c r="AD315" s="58">
        <v>0.49236111111111114</v>
      </c>
      <c r="AE315" s="33"/>
      <c r="AF315" s="58">
        <v>0.49236111111111114</v>
      </c>
      <c r="AG315" s="33" t="s">
        <v>1951</v>
      </c>
      <c r="AH315" s="33">
        <v>2</v>
      </c>
      <c r="AI315" s="43">
        <v>46149.171527777777</v>
      </c>
      <c r="AJ315" s="33" t="s">
        <v>73</v>
      </c>
      <c r="AK315" s="42">
        <v>336900.97</v>
      </c>
      <c r="AL315" s="33" t="s">
        <v>1952</v>
      </c>
    </row>
    <row r="316" spans="1:38">
      <c r="A316" s="33">
        <v>5979073</v>
      </c>
      <c r="B316" s="33"/>
      <c r="C316" s="33" t="s">
        <v>789</v>
      </c>
      <c r="D316" s="33" t="s">
        <v>1032</v>
      </c>
      <c r="E316" s="33" t="s">
        <v>1953</v>
      </c>
      <c r="F316" s="43">
        <v>46148.708333333336</v>
      </c>
      <c r="G316" s="33" t="s">
        <v>792</v>
      </c>
      <c r="H316" s="33"/>
      <c r="I316" s="33" t="s">
        <v>793</v>
      </c>
      <c r="J316" s="33" t="s">
        <v>1312</v>
      </c>
      <c r="K316" s="33" t="s">
        <v>75</v>
      </c>
      <c r="L316" s="33" t="s">
        <v>1867</v>
      </c>
      <c r="M316" s="43">
        <v>46148.755370370367</v>
      </c>
      <c r="N316" s="33" t="s">
        <v>1036</v>
      </c>
      <c r="O316" s="33" t="s">
        <v>797</v>
      </c>
      <c r="P316" s="33" t="s">
        <v>799</v>
      </c>
      <c r="Q316" s="43">
        <v>46148.65902777778</v>
      </c>
      <c r="R316" s="43">
        <v>46148.694444444445</v>
      </c>
      <c r="S316" s="58">
        <v>3.5416666666666666E-2</v>
      </c>
      <c r="T316" s="33" t="s">
        <v>140</v>
      </c>
      <c r="U316" s="43">
        <v>46148.722222222219</v>
      </c>
      <c r="V316" s="58">
        <v>3.5416666666666666E-2</v>
      </c>
      <c r="W316" s="33" t="s">
        <v>140</v>
      </c>
      <c r="X316" s="43">
        <v>46148.722222222219</v>
      </c>
      <c r="Y316" s="58">
        <v>3.5416666666666666E-2</v>
      </c>
      <c r="Z316" s="33" t="s">
        <v>140</v>
      </c>
      <c r="AA316" s="43">
        <v>46148.916666666664</v>
      </c>
      <c r="AB316" s="33" t="s">
        <v>81</v>
      </c>
      <c r="AC316" s="33" t="s">
        <v>1314</v>
      </c>
      <c r="AD316" s="58">
        <v>0.1</v>
      </c>
      <c r="AE316" s="58">
        <v>6.0416666666666667E-2</v>
      </c>
      <c r="AF316" s="58">
        <v>0.1</v>
      </c>
      <c r="AG316" s="33" t="s">
        <v>1161</v>
      </c>
      <c r="AH316" s="33">
        <v>2</v>
      </c>
      <c r="AI316" s="43">
        <v>46148.722222222219</v>
      </c>
      <c r="AJ316" s="33" t="s">
        <v>793</v>
      </c>
      <c r="AK316" s="42">
        <v>1013880</v>
      </c>
      <c r="AL316" s="33" t="s">
        <v>1039</v>
      </c>
    </row>
    <row r="317" spans="1:38">
      <c r="A317" s="33" t="s">
        <v>1954</v>
      </c>
      <c r="B317" s="33"/>
      <c r="C317" s="33" t="s">
        <v>789</v>
      </c>
      <c r="D317" s="33" t="s">
        <v>1955</v>
      </c>
      <c r="E317" s="33" t="s">
        <v>1956</v>
      </c>
      <c r="F317" s="43">
        <v>46148.708333333336</v>
      </c>
      <c r="G317" s="33" t="s">
        <v>1246</v>
      </c>
      <c r="H317" s="33"/>
      <c r="I317" s="33" t="s">
        <v>73</v>
      </c>
      <c r="J317" s="33" t="s">
        <v>1293</v>
      </c>
      <c r="K317" s="33" t="s">
        <v>1957</v>
      </c>
      <c r="L317" s="33" t="s">
        <v>1958</v>
      </c>
      <c r="M317" s="43">
        <v>46149.299085648148</v>
      </c>
      <c r="N317" s="33" t="s">
        <v>1959</v>
      </c>
      <c r="O317" s="33" t="s">
        <v>231</v>
      </c>
      <c r="P317" s="33" t="s">
        <v>140</v>
      </c>
      <c r="Q317" s="33"/>
      <c r="R317" s="33"/>
      <c r="S317" s="33"/>
      <c r="T317" s="33" t="s">
        <v>1296</v>
      </c>
      <c r="U317" s="43">
        <v>46148.798611111109</v>
      </c>
      <c r="V317" s="58">
        <v>0.5</v>
      </c>
      <c r="W317" s="33"/>
      <c r="X317" s="33"/>
      <c r="Y317" s="33"/>
      <c r="Z317" s="33" t="s">
        <v>1296</v>
      </c>
      <c r="AA317" s="43">
        <v>46155.416666666664</v>
      </c>
      <c r="AB317" s="33" t="s">
        <v>81</v>
      </c>
      <c r="AC317" s="33" t="s">
        <v>81</v>
      </c>
      <c r="AD317" s="58">
        <v>0.54374999999999996</v>
      </c>
      <c r="AE317" s="33"/>
      <c r="AF317" s="58">
        <v>0.54374999999999996</v>
      </c>
      <c r="AG317" s="33"/>
      <c r="AH317" s="33">
        <v>1</v>
      </c>
      <c r="AI317" s="43">
        <v>46149.25277777778</v>
      </c>
      <c r="AJ317" s="33" t="s">
        <v>73</v>
      </c>
      <c r="AK317" s="42">
        <v>89473.35</v>
      </c>
      <c r="AL317" s="33" t="s">
        <v>1960</v>
      </c>
    </row>
    <row r="318" spans="1:38">
      <c r="A318" s="33">
        <v>6004152</v>
      </c>
      <c r="B318" s="33"/>
      <c r="C318" s="33" t="s">
        <v>789</v>
      </c>
      <c r="D318" s="33" t="s">
        <v>1338</v>
      </c>
      <c r="E318" s="33" t="s">
        <v>1961</v>
      </c>
      <c r="F318" s="43">
        <v>46148.666666666664</v>
      </c>
      <c r="G318" s="33" t="s">
        <v>792</v>
      </c>
      <c r="H318" s="33"/>
      <c r="I318" s="33" t="s">
        <v>793</v>
      </c>
      <c r="J318" s="33" t="s">
        <v>1392</v>
      </c>
      <c r="K318" s="33" t="s">
        <v>75</v>
      </c>
      <c r="L318" s="33" t="s">
        <v>1962</v>
      </c>
      <c r="M318" s="43">
        <v>46148.932083333333</v>
      </c>
      <c r="N318" s="33" t="s">
        <v>796</v>
      </c>
      <c r="O318" s="33" t="s">
        <v>797</v>
      </c>
      <c r="P318" s="33" t="s">
        <v>1963</v>
      </c>
      <c r="Q318" s="43">
        <v>46148.71875</v>
      </c>
      <c r="R318" s="43">
        <v>46148.805555555555</v>
      </c>
      <c r="S318" s="58">
        <v>8.6805555555555552E-2</v>
      </c>
      <c r="T318" s="33" t="s">
        <v>799</v>
      </c>
      <c r="U318" s="43">
        <v>46148.929166666669</v>
      </c>
      <c r="V318" s="58">
        <v>4.1666666666666666E-3</v>
      </c>
      <c r="W318" s="33" t="s">
        <v>799</v>
      </c>
      <c r="X318" s="43">
        <v>46148.929166666669</v>
      </c>
      <c r="Y318" s="58">
        <v>4.1666666666666666E-3</v>
      </c>
      <c r="Z318" s="33" t="s">
        <v>799</v>
      </c>
      <c r="AA318" s="43">
        <v>46149.958333333336</v>
      </c>
      <c r="AB318" s="33" t="s">
        <v>81</v>
      </c>
      <c r="AC318" s="33" t="s">
        <v>1395</v>
      </c>
      <c r="AD318" s="58">
        <v>0.21805555555555556</v>
      </c>
      <c r="AE318" s="58">
        <v>0.12569444444444444</v>
      </c>
      <c r="AF318" s="58">
        <v>0.21805555555555556</v>
      </c>
      <c r="AG318" s="33" t="s">
        <v>1341</v>
      </c>
      <c r="AH318" s="33">
        <v>2</v>
      </c>
      <c r="AI318" s="43">
        <v>46148.929166666669</v>
      </c>
      <c r="AJ318" s="33" t="s">
        <v>793</v>
      </c>
      <c r="AK318" s="42">
        <v>1018319.64</v>
      </c>
      <c r="AL318" s="33" t="s">
        <v>1342</v>
      </c>
    </row>
    <row r="319" spans="1:38">
      <c r="A319" s="33">
        <v>5996283</v>
      </c>
      <c r="B319" s="33"/>
      <c r="C319" s="33" t="s">
        <v>789</v>
      </c>
      <c r="D319" s="33" t="s">
        <v>1103</v>
      </c>
      <c r="E319" s="33" t="s">
        <v>1964</v>
      </c>
      <c r="F319" s="43">
        <v>46148.708333333336</v>
      </c>
      <c r="G319" s="33" t="s">
        <v>792</v>
      </c>
      <c r="H319" s="33"/>
      <c r="I319" s="33" t="s">
        <v>793</v>
      </c>
      <c r="J319" s="33" t="s">
        <v>856</v>
      </c>
      <c r="K319" s="33" t="s">
        <v>75</v>
      </c>
      <c r="L319" s="33" t="s">
        <v>1965</v>
      </c>
      <c r="M319" s="43">
        <v>46149.229803240742</v>
      </c>
      <c r="N319" s="33" t="s">
        <v>1106</v>
      </c>
      <c r="O319" s="33" t="s">
        <v>797</v>
      </c>
      <c r="P319" s="33" t="s">
        <v>798</v>
      </c>
      <c r="Q319" s="33"/>
      <c r="R319" s="33"/>
      <c r="S319" s="33"/>
      <c r="T319" s="33" t="s">
        <v>799</v>
      </c>
      <c r="U319" s="43">
        <v>46148.82916666667</v>
      </c>
      <c r="V319" s="58">
        <v>0.40138888888888891</v>
      </c>
      <c r="W319" s="33"/>
      <c r="X319" s="33"/>
      <c r="Y319" s="33"/>
      <c r="Z319" s="33" t="s">
        <v>799</v>
      </c>
      <c r="AA319" s="43">
        <v>46149.916666666664</v>
      </c>
      <c r="AB319" s="33" t="s">
        <v>81</v>
      </c>
      <c r="AC319" s="33" t="s">
        <v>858</v>
      </c>
      <c r="AD319" s="58">
        <v>0.51736111111111116</v>
      </c>
      <c r="AE319" s="33"/>
      <c r="AF319" s="58">
        <v>0.13055555555555556</v>
      </c>
      <c r="AG319" s="33" t="s">
        <v>1107</v>
      </c>
      <c r="AH319" s="33">
        <v>1</v>
      </c>
      <c r="AI319" s="43">
        <v>46148.82916666667</v>
      </c>
      <c r="AJ319" s="33" t="s">
        <v>793</v>
      </c>
      <c r="AK319" s="42">
        <v>461544.48</v>
      </c>
      <c r="AL319" s="33" t="s">
        <v>1108</v>
      </c>
    </row>
    <row r="320" spans="1:38">
      <c r="A320" s="33" t="s">
        <v>1966</v>
      </c>
      <c r="B320" s="33"/>
      <c r="C320" s="33" t="s">
        <v>789</v>
      </c>
      <c r="D320" s="33" t="s">
        <v>1967</v>
      </c>
      <c r="E320" s="33" t="s">
        <v>1968</v>
      </c>
      <c r="F320" s="43">
        <v>46148.708333333336</v>
      </c>
      <c r="G320" s="33" t="s">
        <v>792</v>
      </c>
      <c r="H320" s="33"/>
      <c r="I320" s="33" t="s">
        <v>793</v>
      </c>
      <c r="J320" s="33" t="s">
        <v>1392</v>
      </c>
      <c r="K320" s="33" t="s">
        <v>75</v>
      </c>
      <c r="L320" s="33" t="s">
        <v>857</v>
      </c>
      <c r="M320" s="43">
        <v>46148.921550925923</v>
      </c>
      <c r="N320" s="33" t="s">
        <v>1969</v>
      </c>
      <c r="O320" s="33" t="s">
        <v>797</v>
      </c>
      <c r="P320" s="33" t="s">
        <v>1963</v>
      </c>
      <c r="Q320" s="43">
        <v>46148.726388888892</v>
      </c>
      <c r="R320" s="43">
        <v>46148.755555555559</v>
      </c>
      <c r="S320" s="58">
        <v>2.9166666666666667E-2</v>
      </c>
      <c r="T320" s="33" t="s">
        <v>799</v>
      </c>
      <c r="U320" s="43">
        <v>46148.914583333331</v>
      </c>
      <c r="V320" s="58">
        <v>4.1666666666666666E-3</v>
      </c>
      <c r="W320" s="33" t="s">
        <v>799</v>
      </c>
      <c r="X320" s="43">
        <v>46148.914583333331</v>
      </c>
      <c r="Y320" s="58">
        <v>4.1666666666666666E-3</v>
      </c>
      <c r="Z320" s="33" t="s">
        <v>799</v>
      </c>
      <c r="AA320" s="43">
        <v>46149.958333333336</v>
      </c>
      <c r="AB320" s="33" t="s">
        <v>81</v>
      </c>
      <c r="AC320" s="33" t="s">
        <v>1395</v>
      </c>
      <c r="AD320" s="58">
        <v>0.19375000000000001</v>
      </c>
      <c r="AE320" s="58">
        <v>0.16597222222222222</v>
      </c>
      <c r="AF320" s="58">
        <v>0.19375000000000001</v>
      </c>
      <c r="AG320" s="33" t="s">
        <v>1970</v>
      </c>
      <c r="AH320" s="33">
        <v>2</v>
      </c>
      <c r="AI320" s="43">
        <v>46148.914583333331</v>
      </c>
      <c r="AJ320" s="33" t="s">
        <v>793</v>
      </c>
      <c r="AK320" s="42">
        <v>1585419.36</v>
      </c>
      <c r="AL320" s="33" t="s">
        <v>1971</v>
      </c>
    </row>
    <row r="321" spans="1:38">
      <c r="A321" s="33">
        <v>6004143</v>
      </c>
      <c r="B321" s="33"/>
      <c r="C321" s="33" t="s">
        <v>789</v>
      </c>
      <c r="D321" s="33" t="s">
        <v>849</v>
      </c>
      <c r="E321" s="33" t="s">
        <v>1972</v>
      </c>
      <c r="F321" s="43">
        <v>46148.666666666664</v>
      </c>
      <c r="G321" s="33" t="s">
        <v>792</v>
      </c>
      <c r="H321" s="33"/>
      <c r="I321" s="33" t="s">
        <v>793</v>
      </c>
      <c r="J321" s="33" t="s">
        <v>1392</v>
      </c>
      <c r="K321" s="33" t="s">
        <v>75</v>
      </c>
      <c r="L321" s="33" t="s">
        <v>1962</v>
      </c>
      <c r="M321" s="43">
        <v>46148.968645833331</v>
      </c>
      <c r="N321" s="33" t="s">
        <v>852</v>
      </c>
      <c r="O321" s="33" t="s">
        <v>797</v>
      </c>
      <c r="P321" s="33" t="s">
        <v>1963</v>
      </c>
      <c r="Q321" s="43">
        <v>46148.699305555558</v>
      </c>
      <c r="R321" s="43">
        <v>46148.799305555556</v>
      </c>
      <c r="S321" s="58">
        <v>0.1</v>
      </c>
      <c r="T321" s="33" t="s">
        <v>799</v>
      </c>
      <c r="U321" s="43">
        <v>46148.924305555556</v>
      </c>
      <c r="V321" s="58">
        <v>4.3055555555555555E-2</v>
      </c>
      <c r="W321" s="33" t="s">
        <v>799</v>
      </c>
      <c r="X321" s="43">
        <v>46148.924305555556</v>
      </c>
      <c r="Y321" s="58">
        <v>4.3055555555555555E-2</v>
      </c>
      <c r="Z321" s="33" t="s">
        <v>799</v>
      </c>
      <c r="AA321" s="43">
        <v>46149.958333333336</v>
      </c>
      <c r="AB321" s="33" t="s">
        <v>81</v>
      </c>
      <c r="AC321" s="33" t="s">
        <v>1395</v>
      </c>
      <c r="AD321" s="58">
        <v>0.27361111111111114</v>
      </c>
      <c r="AE321" s="58">
        <v>0.16875000000000001</v>
      </c>
      <c r="AF321" s="58">
        <v>0.27361111111111114</v>
      </c>
      <c r="AG321" s="33" t="s">
        <v>853</v>
      </c>
      <c r="AH321" s="33">
        <v>2</v>
      </c>
      <c r="AI321" s="43">
        <v>46148.924305555556</v>
      </c>
      <c r="AJ321" s="33" t="s">
        <v>793</v>
      </c>
      <c r="AK321" s="42">
        <v>602818.19999999995</v>
      </c>
      <c r="AL321" s="33" t="s">
        <v>1209</v>
      </c>
    </row>
    <row r="322" spans="1:38">
      <c r="A322" s="33">
        <v>6002073</v>
      </c>
      <c r="B322" s="33"/>
      <c r="C322" s="33" t="s">
        <v>789</v>
      </c>
      <c r="D322" s="33" t="s">
        <v>790</v>
      </c>
      <c r="E322" s="33" t="s">
        <v>1973</v>
      </c>
      <c r="F322" s="43">
        <v>46148.708333333336</v>
      </c>
      <c r="G322" s="33" t="s">
        <v>792</v>
      </c>
      <c r="H322" s="33"/>
      <c r="I322" s="33" t="s">
        <v>793</v>
      </c>
      <c r="J322" s="33" t="s">
        <v>1392</v>
      </c>
      <c r="K322" s="33" t="s">
        <v>829</v>
      </c>
      <c r="L322" s="33" t="s">
        <v>1379</v>
      </c>
      <c r="M322" s="43">
        <v>46149.176608796297</v>
      </c>
      <c r="N322" s="33" t="s">
        <v>796</v>
      </c>
      <c r="O322" s="33" t="s">
        <v>1974</v>
      </c>
      <c r="P322" s="33" t="s">
        <v>1963</v>
      </c>
      <c r="Q322" s="43">
        <v>46148.706944444442</v>
      </c>
      <c r="R322" s="43">
        <v>46148.756249999999</v>
      </c>
      <c r="S322" s="58">
        <v>4.9305555555555554E-2</v>
      </c>
      <c r="T322" s="33" t="s">
        <v>799</v>
      </c>
      <c r="U322" s="43">
        <v>46148.874305555553</v>
      </c>
      <c r="V322" s="58">
        <v>0.30208333333333331</v>
      </c>
      <c r="W322" s="33"/>
      <c r="X322" s="33"/>
      <c r="Y322" s="33"/>
      <c r="Z322" s="33" t="s">
        <v>799</v>
      </c>
      <c r="AA322" s="43">
        <v>46149.958333333336</v>
      </c>
      <c r="AB322" s="33" t="s">
        <v>81</v>
      </c>
      <c r="AC322" s="33" t="s">
        <v>81</v>
      </c>
      <c r="AD322" s="58">
        <v>0.48333333333333334</v>
      </c>
      <c r="AE322" s="33"/>
      <c r="AF322" s="58">
        <v>0.20833333333333334</v>
      </c>
      <c r="AG322" s="33" t="s">
        <v>801</v>
      </c>
      <c r="AH322" s="33">
        <v>2</v>
      </c>
      <c r="AI322" s="43">
        <v>46148.874305555553</v>
      </c>
      <c r="AJ322" s="33" t="s">
        <v>793</v>
      </c>
      <c r="AK322" s="42">
        <v>574218.18000000005</v>
      </c>
      <c r="AL322" s="33" t="s">
        <v>802</v>
      </c>
    </row>
    <row r="323" spans="1:38">
      <c r="A323" s="33">
        <v>5980266</v>
      </c>
      <c r="B323" s="33"/>
      <c r="C323" s="33" t="s">
        <v>789</v>
      </c>
      <c r="D323" s="33" t="s">
        <v>1975</v>
      </c>
      <c r="E323" s="33" t="s">
        <v>1976</v>
      </c>
      <c r="F323" s="43">
        <v>46148.791666666664</v>
      </c>
      <c r="G323" s="33" t="s">
        <v>792</v>
      </c>
      <c r="H323" s="33"/>
      <c r="I323" s="33" t="s">
        <v>793</v>
      </c>
      <c r="J323" s="33" t="s">
        <v>1382</v>
      </c>
      <c r="K323" s="33"/>
      <c r="L323" s="33"/>
      <c r="M323" s="33"/>
      <c r="N323" s="33"/>
      <c r="O323" s="33" t="s">
        <v>797</v>
      </c>
      <c r="P323" s="33" t="s">
        <v>799</v>
      </c>
      <c r="Q323" s="33"/>
      <c r="R323" s="33"/>
      <c r="S323" s="33"/>
      <c r="T323" s="33" t="s">
        <v>140</v>
      </c>
      <c r="U323" s="33"/>
      <c r="V323" s="33"/>
      <c r="W323" s="33"/>
      <c r="X323" s="33"/>
      <c r="Y323" s="33"/>
      <c r="Z323" s="33" t="s">
        <v>140</v>
      </c>
      <c r="AA323" s="43">
        <v>46149.958333333336</v>
      </c>
      <c r="AB323" s="33" t="s">
        <v>81</v>
      </c>
      <c r="AC323" s="33" t="s">
        <v>81</v>
      </c>
      <c r="AD323" s="58">
        <v>0.1388888888888889</v>
      </c>
      <c r="AE323" s="33"/>
      <c r="AF323" s="58">
        <v>0.1388888888888889</v>
      </c>
      <c r="AG323" s="33" t="s">
        <v>1977</v>
      </c>
      <c r="AH323" s="33">
        <v>0</v>
      </c>
      <c r="AI323" s="33"/>
      <c r="AJ323" s="33" t="s">
        <v>793</v>
      </c>
      <c r="AK323" s="42">
        <v>612494.68000000005</v>
      </c>
      <c r="AL323" s="33" t="s">
        <v>1978</v>
      </c>
    </row>
    <row r="324" spans="1:38">
      <c r="A324" s="33">
        <v>6004155</v>
      </c>
      <c r="B324" s="33"/>
      <c r="C324" s="33" t="s">
        <v>789</v>
      </c>
      <c r="D324" s="33" t="s">
        <v>885</v>
      </c>
      <c r="E324" s="33" t="s">
        <v>1979</v>
      </c>
      <c r="F324" s="43">
        <v>46148.75</v>
      </c>
      <c r="G324" s="33" t="s">
        <v>792</v>
      </c>
      <c r="H324" s="33"/>
      <c r="I324" s="33" t="s">
        <v>793</v>
      </c>
      <c r="J324" s="33" t="s">
        <v>1392</v>
      </c>
      <c r="K324" s="33" t="s">
        <v>75</v>
      </c>
      <c r="L324" s="33" t="s">
        <v>972</v>
      </c>
      <c r="M324" s="43">
        <v>46148.938807870371</v>
      </c>
      <c r="N324" s="33" t="s">
        <v>889</v>
      </c>
      <c r="O324" s="33" t="s">
        <v>797</v>
      </c>
      <c r="P324" s="33" t="s">
        <v>1963</v>
      </c>
      <c r="Q324" s="43">
        <v>46148.74722222222</v>
      </c>
      <c r="R324" s="43">
        <v>46148.785416666666</v>
      </c>
      <c r="S324" s="58">
        <v>3.8194444444444448E-2</v>
      </c>
      <c r="T324" s="33" t="s">
        <v>799</v>
      </c>
      <c r="U324" s="43">
        <v>46148.92083333333</v>
      </c>
      <c r="V324" s="58">
        <v>1.5972222222222221E-2</v>
      </c>
      <c r="W324" s="33" t="s">
        <v>799</v>
      </c>
      <c r="X324" s="43">
        <v>46148.92083333333</v>
      </c>
      <c r="Y324" s="58">
        <v>1.5972222222222221E-2</v>
      </c>
      <c r="Z324" s="33" t="s">
        <v>799</v>
      </c>
      <c r="AA324" s="43">
        <v>46149.958333333336</v>
      </c>
      <c r="AB324" s="33" t="s">
        <v>81</v>
      </c>
      <c r="AC324" s="33" t="s">
        <v>1395</v>
      </c>
      <c r="AD324" s="58">
        <v>0.22291666666666668</v>
      </c>
      <c r="AE324" s="58">
        <v>0.15277777777777779</v>
      </c>
      <c r="AF324" s="58">
        <v>0.22291666666666668</v>
      </c>
      <c r="AG324" s="33" t="s">
        <v>891</v>
      </c>
      <c r="AH324" s="33">
        <v>2</v>
      </c>
      <c r="AI324" s="43">
        <v>46148.92083333333</v>
      </c>
      <c r="AJ324" s="33" t="s">
        <v>793</v>
      </c>
      <c r="AK324" s="42">
        <v>848873.48</v>
      </c>
      <c r="AL324" s="33" t="s">
        <v>892</v>
      </c>
    </row>
    <row r="325" spans="1:38">
      <c r="A325" s="33">
        <v>5972706</v>
      </c>
      <c r="B325" s="33"/>
      <c r="C325" s="33" t="s">
        <v>789</v>
      </c>
      <c r="D325" s="33" t="s">
        <v>1980</v>
      </c>
      <c r="E325" s="33" t="s">
        <v>1981</v>
      </c>
      <c r="F325" s="43">
        <v>46148.708333333336</v>
      </c>
      <c r="G325" s="33" t="s">
        <v>792</v>
      </c>
      <c r="H325" s="33"/>
      <c r="I325" s="33" t="s">
        <v>793</v>
      </c>
      <c r="J325" s="33" t="s">
        <v>1312</v>
      </c>
      <c r="K325" s="33" t="s">
        <v>75</v>
      </c>
      <c r="L325" s="33" t="s">
        <v>1627</v>
      </c>
      <c r="M325" s="43">
        <v>46148.776550925926</v>
      </c>
      <c r="N325" s="33" t="s">
        <v>1982</v>
      </c>
      <c r="O325" s="33" t="s">
        <v>797</v>
      </c>
      <c r="P325" s="33" t="s">
        <v>799</v>
      </c>
      <c r="Q325" s="43">
        <v>46148.72152777778</v>
      </c>
      <c r="R325" s="43">
        <v>46148.728472222225</v>
      </c>
      <c r="S325" s="58">
        <v>6.9444444444444441E-3</v>
      </c>
      <c r="T325" s="33" t="s">
        <v>140</v>
      </c>
      <c r="U325" s="43">
        <v>46148.765972222223</v>
      </c>
      <c r="V325" s="58">
        <v>1.3888888888888889E-3</v>
      </c>
      <c r="W325" s="33"/>
      <c r="X325" s="33"/>
      <c r="Y325" s="33"/>
      <c r="Z325" s="33" t="s">
        <v>140</v>
      </c>
      <c r="AA325" s="43">
        <v>46149.791666666664</v>
      </c>
      <c r="AB325" s="33" t="s">
        <v>81</v>
      </c>
      <c r="AC325" s="33" t="s">
        <v>1314</v>
      </c>
      <c r="AD325" s="58">
        <v>5.9027777777777776E-2</v>
      </c>
      <c r="AE325" s="33"/>
      <c r="AF325" s="58">
        <v>5.9027777777777776E-2</v>
      </c>
      <c r="AG325" s="33" t="s">
        <v>1983</v>
      </c>
      <c r="AH325" s="33">
        <v>2</v>
      </c>
      <c r="AI325" s="43">
        <v>46148.765972222223</v>
      </c>
      <c r="AJ325" s="33" t="s">
        <v>793</v>
      </c>
      <c r="AK325" s="42">
        <v>1251037.68</v>
      </c>
      <c r="AL325" s="33" t="s">
        <v>1984</v>
      </c>
    </row>
    <row r="326" spans="1:38">
      <c r="A326" s="33">
        <v>6004174</v>
      </c>
      <c r="B326" s="33"/>
      <c r="C326" s="33" t="s">
        <v>789</v>
      </c>
      <c r="D326" s="33" t="s">
        <v>817</v>
      </c>
      <c r="E326" s="33" t="s">
        <v>1985</v>
      </c>
      <c r="F326" s="43">
        <v>46148.75</v>
      </c>
      <c r="G326" s="33" t="s">
        <v>792</v>
      </c>
      <c r="H326" s="33"/>
      <c r="I326" s="33" t="s">
        <v>793</v>
      </c>
      <c r="J326" s="33" t="s">
        <v>1392</v>
      </c>
      <c r="K326" s="33" t="s">
        <v>1986</v>
      </c>
      <c r="L326" s="33" t="s">
        <v>1987</v>
      </c>
      <c r="M326" s="43">
        <v>46149.061840277776</v>
      </c>
      <c r="N326" s="33" t="s">
        <v>822</v>
      </c>
      <c r="O326" s="33" t="s">
        <v>797</v>
      </c>
      <c r="P326" s="33" t="s">
        <v>1963</v>
      </c>
      <c r="Q326" s="43">
        <v>46148.811805555553</v>
      </c>
      <c r="R326" s="43">
        <v>46148.829861111109</v>
      </c>
      <c r="S326" s="58">
        <v>1.8055555555555554E-2</v>
      </c>
      <c r="T326" s="33" t="s">
        <v>799</v>
      </c>
      <c r="U326" s="43">
        <v>46148.949305555558</v>
      </c>
      <c r="V326" s="58">
        <v>0.1125</v>
      </c>
      <c r="W326" s="33"/>
      <c r="X326" s="33"/>
      <c r="Y326" s="33"/>
      <c r="Z326" s="33" t="s">
        <v>799</v>
      </c>
      <c r="AA326" s="43">
        <v>46149.958333333336</v>
      </c>
      <c r="AB326" s="33" t="s">
        <v>81</v>
      </c>
      <c r="AC326" s="33" t="s">
        <v>81</v>
      </c>
      <c r="AD326" s="58">
        <v>0.35902777777777778</v>
      </c>
      <c r="AE326" s="33"/>
      <c r="AF326" s="58">
        <v>0.27777777777777779</v>
      </c>
      <c r="AG326" s="33" t="s">
        <v>825</v>
      </c>
      <c r="AH326" s="33">
        <v>2</v>
      </c>
      <c r="AI326" s="43">
        <v>46148.949305555558</v>
      </c>
      <c r="AJ326" s="33" t="s">
        <v>793</v>
      </c>
      <c r="AK326" s="42">
        <v>579546.81000000006</v>
      </c>
      <c r="AL326" s="33" t="s">
        <v>826</v>
      </c>
    </row>
    <row r="327" spans="1:38">
      <c r="A327" s="33">
        <v>6004036</v>
      </c>
      <c r="B327" s="33"/>
      <c r="C327" s="33" t="s">
        <v>789</v>
      </c>
      <c r="D327" s="33" t="s">
        <v>1056</v>
      </c>
      <c r="E327" s="33" t="s">
        <v>1988</v>
      </c>
      <c r="F327" s="43">
        <v>46148.75</v>
      </c>
      <c r="G327" s="33" t="s">
        <v>792</v>
      </c>
      <c r="H327" s="33"/>
      <c r="I327" s="33" t="s">
        <v>793</v>
      </c>
      <c r="J327" s="33" t="s">
        <v>1392</v>
      </c>
      <c r="K327" s="33" t="s">
        <v>1989</v>
      </c>
      <c r="L327" s="33" t="s">
        <v>1990</v>
      </c>
      <c r="M327" s="43">
        <v>46149.066238425927</v>
      </c>
      <c r="N327" s="33" t="s">
        <v>1060</v>
      </c>
      <c r="O327" s="33" t="s">
        <v>797</v>
      </c>
      <c r="P327" s="33" t="s">
        <v>1963</v>
      </c>
      <c r="Q327" s="43">
        <v>46148.810416666667</v>
      </c>
      <c r="R327" s="43">
        <v>46148.854861111111</v>
      </c>
      <c r="S327" s="58">
        <v>4.4444444444444446E-2</v>
      </c>
      <c r="T327" s="33" t="s">
        <v>799</v>
      </c>
      <c r="U327" s="43">
        <v>46148.977777777778</v>
      </c>
      <c r="V327" s="58">
        <v>8.819444444444445E-2</v>
      </c>
      <c r="W327" s="33"/>
      <c r="X327" s="33"/>
      <c r="Y327" s="33"/>
      <c r="Z327" s="33" t="s">
        <v>799</v>
      </c>
      <c r="AA327" s="43">
        <v>46149.958333333336</v>
      </c>
      <c r="AB327" s="33" t="s">
        <v>81</v>
      </c>
      <c r="AC327" s="33" t="s">
        <v>81</v>
      </c>
      <c r="AD327" s="58">
        <v>0.3527777777777778</v>
      </c>
      <c r="AE327" s="33"/>
      <c r="AF327" s="58">
        <v>0.28263888888888888</v>
      </c>
      <c r="AG327" s="33" t="s">
        <v>1061</v>
      </c>
      <c r="AH327" s="33">
        <v>2</v>
      </c>
      <c r="AI327" s="43">
        <v>46148.977777777778</v>
      </c>
      <c r="AJ327" s="33" t="s">
        <v>793</v>
      </c>
      <c r="AK327" s="42">
        <v>1120482.24</v>
      </c>
      <c r="AL327" s="33" t="s">
        <v>1062</v>
      </c>
    </row>
    <row r="328" spans="1:38">
      <c r="A328" s="33">
        <v>5981334</v>
      </c>
      <c r="B328" s="33"/>
      <c r="C328" s="33" t="s">
        <v>789</v>
      </c>
      <c r="D328" s="33" t="s">
        <v>914</v>
      </c>
      <c r="E328" s="33" t="s">
        <v>1991</v>
      </c>
      <c r="F328" s="43">
        <v>46148.791666666664</v>
      </c>
      <c r="G328" s="33" t="s">
        <v>792</v>
      </c>
      <c r="H328" s="33"/>
      <c r="I328" s="33" t="s">
        <v>793</v>
      </c>
      <c r="J328" s="33" t="s">
        <v>1382</v>
      </c>
      <c r="K328" s="33" t="s">
        <v>75</v>
      </c>
      <c r="L328" s="33" t="s">
        <v>1035</v>
      </c>
      <c r="M328" s="43">
        <v>46148.922002314815</v>
      </c>
      <c r="N328" s="33" t="s">
        <v>918</v>
      </c>
      <c r="O328" s="33" t="s">
        <v>797</v>
      </c>
      <c r="P328" s="33" t="s">
        <v>799</v>
      </c>
      <c r="Q328" s="43">
        <v>46148.771527777775</v>
      </c>
      <c r="R328" s="43">
        <v>46148.887499999997</v>
      </c>
      <c r="S328" s="58">
        <v>0.11597222222222223</v>
      </c>
      <c r="T328" s="33" t="s">
        <v>140</v>
      </c>
      <c r="U328" s="43">
        <v>46148.915972222225</v>
      </c>
      <c r="V328" s="58">
        <v>4.8611111111111112E-3</v>
      </c>
      <c r="W328" s="33" t="s">
        <v>140</v>
      </c>
      <c r="X328" s="43">
        <v>46148.915972222225</v>
      </c>
      <c r="Y328" s="58">
        <v>4.8611111111111112E-3</v>
      </c>
      <c r="Z328" s="33" t="s">
        <v>140</v>
      </c>
      <c r="AA328" s="43">
        <v>46149.916666666664</v>
      </c>
      <c r="AB328" s="33" t="s">
        <v>81</v>
      </c>
      <c r="AC328" s="33" t="s">
        <v>1383</v>
      </c>
      <c r="AD328" s="58">
        <v>0.21388888888888888</v>
      </c>
      <c r="AE328" s="58">
        <v>3.4027777777777775E-2</v>
      </c>
      <c r="AF328" s="58">
        <v>0.21388888888888888</v>
      </c>
      <c r="AG328" s="33" t="s">
        <v>919</v>
      </c>
      <c r="AH328" s="33">
        <v>2</v>
      </c>
      <c r="AI328" s="43">
        <v>46148.915972222225</v>
      </c>
      <c r="AJ328" s="33" t="s">
        <v>793</v>
      </c>
      <c r="AK328" s="42">
        <v>599884.74</v>
      </c>
      <c r="AL328" s="33" t="s">
        <v>920</v>
      </c>
    </row>
    <row r="329" spans="1:38">
      <c r="A329" s="33">
        <v>5979036</v>
      </c>
      <c r="B329" s="33"/>
      <c r="C329" s="33" t="s">
        <v>789</v>
      </c>
      <c r="D329" s="33" t="s">
        <v>1210</v>
      </c>
      <c r="E329" s="33" t="s">
        <v>1992</v>
      </c>
      <c r="F329" s="43">
        <v>46148.75</v>
      </c>
      <c r="G329" s="33" t="s">
        <v>792</v>
      </c>
      <c r="H329" s="33"/>
      <c r="I329" s="33" t="s">
        <v>793</v>
      </c>
      <c r="J329" s="33" t="s">
        <v>1147</v>
      </c>
      <c r="K329" s="33" t="s">
        <v>75</v>
      </c>
      <c r="L329" s="33" t="s">
        <v>1112</v>
      </c>
      <c r="M329" s="43">
        <v>46148.775011574071</v>
      </c>
      <c r="N329" s="33" t="s">
        <v>796</v>
      </c>
      <c r="O329" s="33" t="s">
        <v>797</v>
      </c>
      <c r="P329" s="33" t="s">
        <v>799</v>
      </c>
      <c r="Q329" s="43">
        <v>46148.71597222222</v>
      </c>
      <c r="R329" s="43">
        <v>46148.729861111111</v>
      </c>
      <c r="S329" s="58">
        <v>1.3888888888888888E-2</v>
      </c>
      <c r="T329" s="33" t="s">
        <v>140</v>
      </c>
      <c r="U329" s="43">
        <v>46148.772222222222</v>
      </c>
      <c r="V329" s="58">
        <v>2.7777777777777779E-3</v>
      </c>
      <c r="W329" s="33" t="s">
        <v>140</v>
      </c>
      <c r="X329" s="43">
        <v>46148.772222222222</v>
      </c>
      <c r="Y329" s="58">
        <v>2.7777777777777779E-3</v>
      </c>
      <c r="Z329" s="33" t="s">
        <v>140</v>
      </c>
      <c r="AA329" s="43">
        <v>46148.958333333336</v>
      </c>
      <c r="AB329" s="33" t="s">
        <v>81</v>
      </c>
      <c r="AC329" s="33" t="s">
        <v>1149</v>
      </c>
      <c r="AD329" s="58">
        <v>5.9722222222222225E-2</v>
      </c>
      <c r="AE329" s="58">
        <v>4.5138888888888888E-2</v>
      </c>
      <c r="AF329" s="58">
        <v>5.9722222222222225E-2</v>
      </c>
      <c r="AG329" s="33" t="s">
        <v>1212</v>
      </c>
      <c r="AH329" s="33">
        <v>2</v>
      </c>
      <c r="AI329" s="43">
        <v>46148.772222222222</v>
      </c>
      <c r="AJ329" s="33" t="s">
        <v>793</v>
      </c>
      <c r="AK329" s="42">
        <v>612494.68000000005</v>
      </c>
      <c r="AL329" s="33" t="s">
        <v>1213</v>
      </c>
    </row>
    <row r="330" spans="1:38">
      <c r="A330" s="33">
        <v>5977494</v>
      </c>
      <c r="B330" s="33"/>
      <c r="C330" s="33" t="s">
        <v>789</v>
      </c>
      <c r="D330" s="33" t="s">
        <v>1689</v>
      </c>
      <c r="E330" s="33" t="s">
        <v>1993</v>
      </c>
      <c r="F330" s="43">
        <v>46148.791666666664</v>
      </c>
      <c r="G330" s="33" t="s">
        <v>792</v>
      </c>
      <c r="H330" s="33"/>
      <c r="I330" s="33" t="s">
        <v>793</v>
      </c>
      <c r="J330" s="33" t="s">
        <v>1382</v>
      </c>
      <c r="K330" s="33" t="s">
        <v>75</v>
      </c>
      <c r="L330" s="33" t="s">
        <v>1148</v>
      </c>
      <c r="M330" s="43">
        <v>46148.771238425928</v>
      </c>
      <c r="N330" s="33" t="s">
        <v>1692</v>
      </c>
      <c r="O330" s="33" t="s">
        <v>797</v>
      </c>
      <c r="P330" s="33" t="s">
        <v>799</v>
      </c>
      <c r="Q330" s="43">
        <v>46148.720833333333</v>
      </c>
      <c r="R330" s="43">
        <v>46148.727083333331</v>
      </c>
      <c r="S330" s="58">
        <v>6.2500000000000003E-3</v>
      </c>
      <c r="T330" s="33" t="s">
        <v>140</v>
      </c>
      <c r="U330" s="43">
        <v>46148.759722222225</v>
      </c>
      <c r="V330" s="58">
        <v>2.7777777777777779E-3</v>
      </c>
      <c r="W330" s="33"/>
      <c r="X330" s="33"/>
      <c r="Y330" s="33"/>
      <c r="Z330" s="33" t="s">
        <v>140</v>
      </c>
      <c r="AA330" s="43">
        <v>46149.916666666664</v>
      </c>
      <c r="AB330" s="33" t="s">
        <v>81</v>
      </c>
      <c r="AC330" s="33" t="s">
        <v>1383</v>
      </c>
      <c r="AD330" s="58">
        <v>5.5555555555555552E-2</v>
      </c>
      <c r="AE330" s="33"/>
      <c r="AF330" s="58">
        <v>5.5555555555555552E-2</v>
      </c>
      <c r="AG330" s="33" t="s">
        <v>1693</v>
      </c>
      <c r="AH330" s="33">
        <v>2</v>
      </c>
      <c r="AI330" s="43">
        <v>46148.759722222225</v>
      </c>
      <c r="AJ330" s="33" t="s">
        <v>793</v>
      </c>
      <c r="AK330" s="42">
        <v>551838.75</v>
      </c>
      <c r="AL330" s="33" t="s">
        <v>1694</v>
      </c>
    </row>
    <row r="331" spans="1:38">
      <c r="A331" s="33">
        <v>6003995</v>
      </c>
      <c r="B331" s="33"/>
      <c r="C331" s="33" t="s">
        <v>789</v>
      </c>
      <c r="D331" s="33" t="s">
        <v>1994</v>
      </c>
      <c r="E331" s="33" t="s">
        <v>1995</v>
      </c>
      <c r="F331" s="43">
        <v>46149.375</v>
      </c>
      <c r="G331" s="33" t="s">
        <v>792</v>
      </c>
      <c r="H331" s="33"/>
      <c r="I331" s="33" t="s">
        <v>793</v>
      </c>
      <c r="J331" s="33" t="s">
        <v>922</v>
      </c>
      <c r="K331" s="33" t="s">
        <v>75</v>
      </c>
      <c r="L331" s="33" t="s">
        <v>998</v>
      </c>
      <c r="M331" s="43">
        <v>46149.525520833333</v>
      </c>
      <c r="N331" s="33" t="s">
        <v>1996</v>
      </c>
      <c r="O331" s="33" t="s">
        <v>797</v>
      </c>
      <c r="P331" s="33" t="s">
        <v>1963</v>
      </c>
      <c r="Q331" s="43">
        <v>46149.334722222222</v>
      </c>
      <c r="R331" s="43">
        <v>46149.356944444444</v>
      </c>
      <c r="S331" s="58">
        <v>2.2222222222222223E-2</v>
      </c>
      <c r="T331" s="33" t="s">
        <v>799</v>
      </c>
      <c r="U331" s="43">
        <v>46149.501388888886</v>
      </c>
      <c r="V331" s="58">
        <v>2.4305555555555556E-2</v>
      </c>
      <c r="W331" s="33" t="s">
        <v>799</v>
      </c>
      <c r="X331" s="43">
        <v>46149.501388888886</v>
      </c>
      <c r="Y331" s="58">
        <v>2.4305555555555556E-2</v>
      </c>
      <c r="Z331" s="33" t="s">
        <v>799</v>
      </c>
      <c r="AA331" s="43">
        <v>46149.583333333336</v>
      </c>
      <c r="AB331" s="33" t="s">
        <v>1997</v>
      </c>
      <c r="AC331" s="33" t="s">
        <v>923</v>
      </c>
      <c r="AD331" s="58">
        <v>0.65069444444444446</v>
      </c>
      <c r="AE331" s="58">
        <v>0.16944444444444445</v>
      </c>
      <c r="AF331" s="58">
        <v>0.65069444444444446</v>
      </c>
      <c r="AG331" s="33" t="s">
        <v>1998</v>
      </c>
      <c r="AH331" s="33">
        <v>2</v>
      </c>
      <c r="AI331" s="43">
        <v>46149.501388888886</v>
      </c>
      <c r="AJ331" s="33" t="s">
        <v>793</v>
      </c>
      <c r="AK331" s="42">
        <v>913981.83</v>
      </c>
      <c r="AL331" s="33" t="s">
        <v>1999</v>
      </c>
    </row>
    <row r="332" spans="1:38">
      <c r="A332" s="33" t="s">
        <v>2000</v>
      </c>
      <c r="B332" s="33"/>
      <c r="C332" s="33" t="s">
        <v>789</v>
      </c>
      <c r="D332" s="33" t="s">
        <v>956</v>
      </c>
      <c r="E332" s="33" t="s">
        <v>2001</v>
      </c>
      <c r="F332" s="43">
        <v>46148.729166666664</v>
      </c>
      <c r="G332" s="33" t="s">
        <v>171</v>
      </c>
      <c r="H332" s="33"/>
      <c r="I332" s="33" t="s">
        <v>793</v>
      </c>
      <c r="J332" s="33" t="s">
        <v>965</v>
      </c>
      <c r="K332" s="33" t="s">
        <v>75</v>
      </c>
      <c r="L332" s="33" t="s">
        <v>1627</v>
      </c>
      <c r="M332" s="43">
        <v>46148.856574074074</v>
      </c>
      <c r="N332" s="33" t="s">
        <v>174</v>
      </c>
      <c r="O332" s="33" t="s">
        <v>797</v>
      </c>
      <c r="P332" s="33" t="s">
        <v>967</v>
      </c>
      <c r="Q332" s="43">
        <v>46148.731944444444</v>
      </c>
      <c r="R332" s="43">
        <v>46148.747916666667</v>
      </c>
      <c r="S332" s="58">
        <v>1.5972222222222221E-2</v>
      </c>
      <c r="T332" s="33" t="s">
        <v>308</v>
      </c>
      <c r="U332" s="43">
        <v>46148.849305555559</v>
      </c>
      <c r="V332" s="58">
        <v>6.9444444444444441E-3</v>
      </c>
      <c r="W332" s="33" t="s">
        <v>308</v>
      </c>
      <c r="X332" s="43">
        <v>46148.849305555559</v>
      </c>
      <c r="Y332" s="58">
        <v>6.9444444444444441E-3</v>
      </c>
      <c r="Z332" s="33" t="s">
        <v>308</v>
      </c>
      <c r="AA332" s="43">
        <v>46152</v>
      </c>
      <c r="AB332" s="33" t="s">
        <v>81</v>
      </c>
      <c r="AC332" s="33" t="s">
        <v>968</v>
      </c>
      <c r="AD332" s="58">
        <v>0.125</v>
      </c>
      <c r="AE332" s="58">
        <v>0.10902777777777778</v>
      </c>
      <c r="AF332" s="58">
        <v>0.125</v>
      </c>
      <c r="AG332" s="33" t="s">
        <v>961</v>
      </c>
      <c r="AH332" s="33">
        <v>2</v>
      </c>
      <c r="AI332" s="43">
        <v>46148.849305555559</v>
      </c>
      <c r="AJ332" s="33" t="s">
        <v>793</v>
      </c>
      <c r="AK332" s="42">
        <v>381673.56</v>
      </c>
      <c r="AL332" s="33" t="s">
        <v>962</v>
      </c>
    </row>
    <row r="333" spans="1:38">
      <c r="A333" s="33">
        <v>6005809</v>
      </c>
      <c r="B333" s="33"/>
      <c r="C333" s="33" t="s">
        <v>789</v>
      </c>
      <c r="D333" s="33" t="s">
        <v>2002</v>
      </c>
      <c r="E333" s="33" t="s">
        <v>2003</v>
      </c>
      <c r="F333" s="43">
        <v>46148.833333333336</v>
      </c>
      <c r="G333" s="33" t="s">
        <v>89</v>
      </c>
      <c r="H333" s="33"/>
      <c r="I333" s="33" t="s">
        <v>73</v>
      </c>
      <c r="J333" s="33" t="s">
        <v>2004</v>
      </c>
      <c r="K333" s="33" t="s">
        <v>75</v>
      </c>
      <c r="L333" s="33" t="s">
        <v>2005</v>
      </c>
      <c r="M333" s="43">
        <v>46155.592800925922</v>
      </c>
      <c r="N333" s="33" t="s">
        <v>2006</v>
      </c>
      <c r="O333" s="33" t="s">
        <v>797</v>
      </c>
      <c r="P333" s="33" t="s">
        <v>79</v>
      </c>
      <c r="Q333" s="43">
        <v>46148.790972222225</v>
      </c>
      <c r="R333" s="43">
        <v>46148.904166666667</v>
      </c>
      <c r="S333" s="58">
        <v>0.11319444444444444</v>
      </c>
      <c r="T333" s="33" t="s">
        <v>2007</v>
      </c>
      <c r="U333" s="43">
        <v>46153.936805555553</v>
      </c>
      <c r="V333" s="44">
        <v>1.7819444444444446</v>
      </c>
      <c r="W333" s="33" t="s">
        <v>2007</v>
      </c>
      <c r="X333" s="43">
        <v>46153.936805555553</v>
      </c>
      <c r="Y333" s="44">
        <v>1.7819444444444446</v>
      </c>
      <c r="Z333" s="33" t="s">
        <v>2007</v>
      </c>
      <c r="AA333" s="43">
        <v>46155.25</v>
      </c>
      <c r="AB333" s="33" t="s">
        <v>81</v>
      </c>
      <c r="AC333" s="33" t="s">
        <v>2008</v>
      </c>
      <c r="AD333" s="44">
        <v>6.927777777777778</v>
      </c>
      <c r="AE333" s="44">
        <v>6.6888888888888891</v>
      </c>
      <c r="AF333" s="44">
        <v>6.927777777777778</v>
      </c>
      <c r="AG333" s="33" t="s">
        <v>2009</v>
      </c>
      <c r="AH333" s="33">
        <v>2</v>
      </c>
      <c r="AI333" s="43">
        <v>46153.936805555553</v>
      </c>
      <c r="AJ333" s="33" t="s">
        <v>73</v>
      </c>
      <c r="AK333" s="42">
        <v>205400.52</v>
      </c>
      <c r="AL333" s="33" t="s">
        <v>2010</v>
      </c>
    </row>
    <row r="334" spans="1:38">
      <c r="A334" s="33">
        <v>5979001</v>
      </c>
      <c r="B334" s="33"/>
      <c r="C334" s="33" t="s">
        <v>789</v>
      </c>
      <c r="D334" s="33" t="s">
        <v>1466</v>
      </c>
      <c r="E334" s="33" t="s">
        <v>2011</v>
      </c>
      <c r="F334" s="43">
        <v>46148.875</v>
      </c>
      <c r="G334" s="33" t="s">
        <v>792</v>
      </c>
      <c r="H334" s="33"/>
      <c r="I334" s="33" t="s">
        <v>793</v>
      </c>
      <c r="J334" s="33" t="s">
        <v>1042</v>
      </c>
      <c r="K334" s="33" t="s">
        <v>75</v>
      </c>
      <c r="L334" s="33" t="s">
        <v>2012</v>
      </c>
      <c r="M334" s="43">
        <v>46149.233587962961</v>
      </c>
      <c r="N334" s="33" t="s">
        <v>1468</v>
      </c>
      <c r="O334" s="33" t="s">
        <v>797</v>
      </c>
      <c r="P334" s="33" t="s">
        <v>799</v>
      </c>
      <c r="Q334" s="43">
        <v>46148.788194444445</v>
      </c>
      <c r="R334" s="43">
        <v>46148.875</v>
      </c>
      <c r="S334" s="58">
        <v>8.6805555555555552E-2</v>
      </c>
      <c r="T334" s="33" t="s">
        <v>140</v>
      </c>
      <c r="U334" s="43">
        <v>46148.912499999999</v>
      </c>
      <c r="V334" s="58">
        <v>0.31944444444444442</v>
      </c>
      <c r="W334" s="33"/>
      <c r="X334" s="33"/>
      <c r="Y334" s="33"/>
      <c r="Z334" s="33" t="s">
        <v>140</v>
      </c>
      <c r="AA334" s="43">
        <v>46148.958333333336</v>
      </c>
      <c r="AB334" s="33" t="s">
        <v>81</v>
      </c>
      <c r="AC334" s="33" t="s">
        <v>1044</v>
      </c>
      <c r="AD334" s="58">
        <v>0.4465277777777778</v>
      </c>
      <c r="AE334" s="33"/>
      <c r="AF334" s="58">
        <v>0.13194444444444445</v>
      </c>
      <c r="AG334" s="33" t="s">
        <v>1469</v>
      </c>
      <c r="AH334" s="33">
        <v>2</v>
      </c>
      <c r="AI334" s="43">
        <v>46148.912499999999</v>
      </c>
      <c r="AJ334" s="33" t="s">
        <v>793</v>
      </c>
      <c r="AK334" s="42">
        <v>612494.68000000005</v>
      </c>
      <c r="AL334" s="33" t="s">
        <v>1470</v>
      </c>
    </row>
    <row r="335" spans="1:38">
      <c r="A335" s="33">
        <v>5996031</v>
      </c>
      <c r="B335" s="33"/>
      <c r="C335" s="33" t="s">
        <v>789</v>
      </c>
      <c r="D335" s="33" t="s">
        <v>1343</v>
      </c>
      <c r="E335" s="33" t="s">
        <v>2013</v>
      </c>
      <c r="F335" s="43">
        <v>46148.833333333336</v>
      </c>
      <c r="G335" s="33" t="s">
        <v>792</v>
      </c>
      <c r="H335" s="33"/>
      <c r="I335" s="33" t="s">
        <v>793</v>
      </c>
      <c r="J335" s="33" t="s">
        <v>1382</v>
      </c>
      <c r="K335" s="33" t="s">
        <v>1077</v>
      </c>
      <c r="L335" s="33" t="s">
        <v>1035</v>
      </c>
      <c r="M335" s="43">
        <v>46148.939305555556</v>
      </c>
      <c r="N335" s="33" t="s">
        <v>1345</v>
      </c>
      <c r="O335" s="33" t="s">
        <v>797</v>
      </c>
      <c r="P335" s="33" t="s">
        <v>799</v>
      </c>
      <c r="Q335" s="43">
        <v>46148.861805555556</v>
      </c>
      <c r="R335" s="43">
        <v>46148.9</v>
      </c>
      <c r="S335" s="58">
        <v>3.8194444444444448E-2</v>
      </c>
      <c r="T335" s="33" t="s">
        <v>140</v>
      </c>
      <c r="U335" s="43">
        <v>46148.933333333334</v>
      </c>
      <c r="V335" s="58">
        <v>3.472222222222222E-3</v>
      </c>
      <c r="W335" s="33" t="s">
        <v>140</v>
      </c>
      <c r="X335" s="43">
        <v>46148.933333333334</v>
      </c>
      <c r="Y335" s="58">
        <v>3.472222222222222E-3</v>
      </c>
      <c r="Z335" s="33" t="s">
        <v>140</v>
      </c>
      <c r="AA335" s="43">
        <v>46149.958333333336</v>
      </c>
      <c r="AB335" s="33" t="s">
        <v>81</v>
      </c>
      <c r="AC335" s="33" t="s">
        <v>1383</v>
      </c>
      <c r="AD335" s="58">
        <v>9.2361111111111116E-2</v>
      </c>
      <c r="AE335" s="58">
        <v>3.8194444444444448E-2</v>
      </c>
      <c r="AF335" s="58">
        <v>9.2361111111111116E-2</v>
      </c>
      <c r="AG335" s="33" t="s">
        <v>1346</v>
      </c>
      <c r="AH335" s="33">
        <v>2</v>
      </c>
      <c r="AI335" s="43">
        <v>46148.933333333334</v>
      </c>
      <c r="AJ335" s="33" t="s">
        <v>793</v>
      </c>
      <c r="AK335" s="42">
        <v>1018319.64</v>
      </c>
      <c r="AL335" s="33" t="s">
        <v>1347</v>
      </c>
    </row>
    <row r="336" spans="1:38">
      <c r="A336" s="33">
        <v>6004123</v>
      </c>
      <c r="B336" s="33"/>
      <c r="C336" s="33" t="s">
        <v>789</v>
      </c>
      <c r="D336" s="33" t="s">
        <v>1284</v>
      </c>
      <c r="E336" s="33" t="s">
        <v>2014</v>
      </c>
      <c r="F336" s="43">
        <v>46148.833333333336</v>
      </c>
      <c r="G336" s="33" t="s">
        <v>792</v>
      </c>
      <c r="H336" s="33"/>
      <c r="I336" s="33" t="s">
        <v>793</v>
      </c>
      <c r="J336" s="33" t="s">
        <v>1392</v>
      </c>
      <c r="K336" s="33" t="s">
        <v>75</v>
      </c>
      <c r="L336" s="33" t="s">
        <v>795</v>
      </c>
      <c r="M336" s="43">
        <v>46149.065509259257</v>
      </c>
      <c r="N336" s="33" t="s">
        <v>1287</v>
      </c>
      <c r="O336" s="33" t="s">
        <v>797</v>
      </c>
      <c r="P336" s="33" t="s">
        <v>1963</v>
      </c>
      <c r="Q336" s="43">
        <v>46148.865277777775</v>
      </c>
      <c r="R336" s="43">
        <v>46148.892361111109</v>
      </c>
      <c r="S336" s="58">
        <v>2.7083333333333334E-2</v>
      </c>
      <c r="T336" s="33" t="s">
        <v>799</v>
      </c>
      <c r="U336" s="43">
        <v>46149.022222222222</v>
      </c>
      <c r="V336" s="58">
        <v>4.5138888888888888E-2</v>
      </c>
      <c r="W336" s="33" t="s">
        <v>799</v>
      </c>
      <c r="X336" s="43">
        <v>46149.022222222222</v>
      </c>
      <c r="Y336" s="58">
        <v>4.5138888888888888E-2</v>
      </c>
      <c r="Z336" s="33" t="s">
        <v>799</v>
      </c>
      <c r="AA336" s="43">
        <v>46149.958333333336</v>
      </c>
      <c r="AB336" s="33" t="s">
        <v>81</v>
      </c>
      <c r="AC336" s="33" t="s">
        <v>1395</v>
      </c>
      <c r="AD336" s="58">
        <v>0.27500000000000002</v>
      </c>
      <c r="AE336" s="58">
        <v>0.1736111111111111</v>
      </c>
      <c r="AF336" s="58">
        <v>0.27500000000000002</v>
      </c>
      <c r="AG336" s="33" t="s">
        <v>1288</v>
      </c>
      <c r="AH336" s="33">
        <v>2</v>
      </c>
      <c r="AI336" s="43">
        <v>46149.022222222222</v>
      </c>
      <c r="AJ336" s="33" t="s">
        <v>793</v>
      </c>
      <c r="AK336" s="42">
        <v>623363.69999999995</v>
      </c>
      <c r="AL336" s="33" t="s">
        <v>1289</v>
      </c>
    </row>
    <row r="337" spans="1:38">
      <c r="A337" s="33">
        <v>5974226</v>
      </c>
      <c r="B337" s="33"/>
      <c r="C337" s="33" t="s">
        <v>789</v>
      </c>
      <c r="D337" s="33" t="s">
        <v>1366</v>
      </c>
      <c r="E337" s="33" t="s">
        <v>2015</v>
      </c>
      <c r="F337" s="43">
        <v>46148.833333333336</v>
      </c>
      <c r="G337" s="33" t="s">
        <v>792</v>
      </c>
      <c r="H337" s="33"/>
      <c r="I337" s="33" t="s">
        <v>793</v>
      </c>
      <c r="J337" s="33" t="s">
        <v>1147</v>
      </c>
      <c r="K337" s="33" t="s">
        <v>75</v>
      </c>
      <c r="L337" s="33" t="s">
        <v>1148</v>
      </c>
      <c r="M337" s="43">
        <v>46148.873252314814</v>
      </c>
      <c r="N337" s="33" t="s">
        <v>796</v>
      </c>
      <c r="O337" s="33" t="s">
        <v>797</v>
      </c>
      <c r="P337" s="33" t="s">
        <v>799</v>
      </c>
      <c r="Q337" s="43">
        <v>46148.798611111109</v>
      </c>
      <c r="R337" s="43">
        <v>46148.834722222222</v>
      </c>
      <c r="S337" s="58">
        <v>3.6111111111111108E-2</v>
      </c>
      <c r="T337" s="33" t="s">
        <v>140</v>
      </c>
      <c r="U337" s="43">
        <v>46148.866666666669</v>
      </c>
      <c r="V337" s="58">
        <v>1.3888888888888889E-3</v>
      </c>
      <c r="W337" s="33"/>
      <c r="X337" s="33"/>
      <c r="Y337" s="33"/>
      <c r="Z337" s="33" t="s">
        <v>140</v>
      </c>
      <c r="AA337" s="43">
        <v>46148.965277777781</v>
      </c>
      <c r="AB337" s="33" t="s">
        <v>81</v>
      </c>
      <c r="AC337" s="33" t="s">
        <v>81</v>
      </c>
      <c r="AD337" s="58">
        <v>8.4722222222222227E-2</v>
      </c>
      <c r="AE337" s="33"/>
      <c r="AF337" s="58">
        <v>8.4722222222222227E-2</v>
      </c>
      <c r="AG337" s="33" t="s">
        <v>1369</v>
      </c>
      <c r="AH337" s="33">
        <v>2</v>
      </c>
      <c r="AI337" s="43">
        <v>46148.866666666669</v>
      </c>
      <c r="AJ337" s="33" t="s">
        <v>793</v>
      </c>
      <c r="AK337" s="42">
        <v>532637.4</v>
      </c>
      <c r="AL337" s="33" t="s">
        <v>1370</v>
      </c>
    </row>
    <row r="338" spans="1:38">
      <c r="A338" s="33">
        <v>5980941</v>
      </c>
      <c r="B338" s="33"/>
      <c r="C338" s="33" t="s">
        <v>789</v>
      </c>
      <c r="D338" s="33" t="s">
        <v>1032</v>
      </c>
      <c r="E338" s="33" t="s">
        <v>2016</v>
      </c>
      <c r="F338" s="43">
        <v>46148.833333333336</v>
      </c>
      <c r="G338" s="33" t="s">
        <v>792</v>
      </c>
      <c r="H338" s="33"/>
      <c r="I338" s="33" t="s">
        <v>793</v>
      </c>
      <c r="J338" s="33" t="s">
        <v>1312</v>
      </c>
      <c r="K338" s="33" t="s">
        <v>75</v>
      </c>
      <c r="L338" s="33" t="s">
        <v>1264</v>
      </c>
      <c r="M338" s="43">
        <v>46148.921851851854</v>
      </c>
      <c r="N338" s="33" t="s">
        <v>1036</v>
      </c>
      <c r="O338" s="33" t="s">
        <v>797</v>
      </c>
      <c r="P338" s="33" t="s">
        <v>799</v>
      </c>
      <c r="Q338" s="43">
        <v>46148.822222222225</v>
      </c>
      <c r="R338" s="43">
        <v>46148.887499999997</v>
      </c>
      <c r="S338" s="58">
        <v>6.5277777777777782E-2</v>
      </c>
      <c r="T338" s="33" t="s">
        <v>140</v>
      </c>
      <c r="U338" s="43">
        <v>46148.913194444445</v>
      </c>
      <c r="V338" s="58">
        <v>6.2500000000000003E-3</v>
      </c>
      <c r="W338" s="33" t="s">
        <v>140</v>
      </c>
      <c r="X338" s="43">
        <v>46148.913194444445</v>
      </c>
      <c r="Y338" s="58">
        <v>6.2500000000000003E-3</v>
      </c>
      <c r="Z338" s="33" t="s">
        <v>140</v>
      </c>
      <c r="AA338" s="43">
        <v>46148.965277777781</v>
      </c>
      <c r="AB338" s="33" t="s">
        <v>81</v>
      </c>
      <c r="AC338" s="33" t="s">
        <v>1314</v>
      </c>
      <c r="AD338" s="58">
        <v>0.1</v>
      </c>
      <c r="AE338" s="58">
        <v>3.4027777777777775E-2</v>
      </c>
      <c r="AF338" s="58">
        <v>0.1</v>
      </c>
      <c r="AG338" s="33" t="s">
        <v>1038</v>
      </c>
      <c r="AH338" s="33">
        <v>2</v>
      </c>
      <c r="AI338" s="43">
        <v>46148.913194444445</v>
      </c>
      <c r="AJ338" s="33" t="s">
        <v>793</v>
      </c>
      <c r="AK338" s="42">
        <v>418527</v>
      </c>
      <c r="AL338" s="33" t="s">
        <v>1039</v>
      </c>
    </row>
    <row r="339" spans="1:38">
      <c r="A339" s="33">
        <v>5996366</v>
      </c>
      <c r="B339" s="33"/>
      <c r="C339" s="33" t="s">
        <v>789</v>
      </c>
      <c r="D339" s="33" t="s">
        <v>1779</v>
      </c>
      <c r="E339" s="33" t="s">
        <v>2017</v>
      </c>
      <c r="F339" s="43">
        <v>46148.833333333336</v>
      </c>
      <c r="G339" s="33" t="s">
        <v>792</v>
      </c>
      <c r="H339" s="33"/>
      <c r="I339" s="33" t="s">
        <v>793</v>
      </c>
      <c r="J339" s="33" t="s">
        <v>1382</v>
      </c>
      <c r="K339" s="33" t="s">
        <v>75</v>
      </c>
      <c r="L339" s="33" t="s">
        <v>1264</v>
      </c>
      <c r="M339" s="43">
        <v>46148.918055555558</v>
      </c>
      <c r="N339" s="33" t="s">
        <v>796</v>
      </c>
      <c r="O339" s="33" t="s">
        <v>797</v>
      </c>
      <c r="P339" s="33" t="s">
        <v>799</v>
      </c>
      <c r="Q339" s="43">
        <v>46148.831944444442</v>
      </c>
      <c r="R339" s="43">
        <v>46148.892361111109</v>
      </c>
      <c r="S339" s="58">
        <v>6.0416666666666667E-2</v>
      </c>
      <c r="T339" s="33" t="s">
        <v>140</v>
      </c>
      <c r="U339" s="43">
        <v>46148.916666666664</v>
      </c>
      <c r="V339" s="58">
        <v>2.0833333333333333E-3</v>
      </c>
      <c r="W339" s="33" t="s">
        <v>140</v>
      </c>
      <c r="X339" s="43">
        <v>46148.916666666664</v>
      </c>
      <c r="Y339" s="58">
        <v>2.0833333333333333E-3</v>
      </c>
      <c r="Z339" s="33" t="s">
        <v>140</v>
      </c>
      <c r="AA339" s="43">
        <v>46149.958333333336</v>
      </c>
      <c r="AB339" s="33" t="s">
        <v>81</v>
      </c>
      <c r="AC339" s="33" t="s">
        <v>1383</v>
      </c>
      <c r="AD339" s="58">
        <v>8.4722222222222227E-2</v>
      </c>
      <c r="AE339" s="58">
        <v>2.6388888888888889E-2</v>
      </c>
      <c r="AF339" s="58">
        <v>8.4722222222222227E-2</v>
      </c>
      <c r="AG339" s="33" t="s">
        <v>1782</v>
      </c>
      <c r="AH339" s="33">
        <v>2</v>
      </c>
      <c r="AI339" s="43">
        <v>46148.916666666664</v>
      </c>
      <c r="AJ339" s="33" t="s">
        <v>793</v>
      </c>
      <c r="AK339" s="42">
        <v>1252258.69</v>
      </c>
      <c r="AL339" s="33" t="s">
        <v>1783</v>
      </c>
    </row>
    <row r="340" spans="1:38">
      <c r="A340" s="33" t="s">
        <v>2018</v>
      </c>
      <c r="B340" s="33"/>
      <c r="C340" s="33" t="s">
        <v>789</v>
      </c>
      <c r="D340" s="33" t="s">
        <v>2019</v>
      </c>
      <c r="E340" s="33" t="s">
        <v>2020</v>
      </c>
      <c r="F340" s="43">
        <v>46148.883333333331</v>
      </c>
      <c r="G340" s="33" t="s">
        <v>216</v>
      </c>
      <c r="H340" s="33"/>
      <c r="I340" s="33" t="s">
        <v>73</v>
      </c>
      <c r="J340" s="33" t="s">
        <v>2021</v>
      </c>
      <c r="K340" s="33" t="s">
        <v>75</v>
      </c>
      <c r="L340" s="33" t="s">
        <v>2022</v>
      </c>
      <c r="M340" s="43">
        <v>46149.867060185185</v>
      </c>
      <c r="N340" s="33" t="s">
        <v>219</v>
      </c>
      <c r="O340" s="33" t="s">
        <v>797</v>
      </c>
      <c r="P340" s="33" t="s">
        <v>140</v>
      </c>
      <c r="Q340" s="33"/>
      <c r="R340" s="33"/>
      <c r="S340" s="33"/>
      <c r="T340" s="33" t="s">
        <v>2023</v>
      </c>
      <c r="U340" s="33"/>
      <c r="V340" s="33"/>
      <c r="W340" s="33" t="s">
        <v>222</v>
      </c>
      <c r="X340" s="43">
        <v>46149.856249999997</v>
      </c>
      <c r="Y340" s="58">
        <v>1.0416666666666666E-2</v>
      </c>
      <c r="Z340" s="33" t="s">
        <v>2024</v>
      </c>
      <c r="AA340" s="43">
        <v>46153.334027777775</v>
      </c>
      <c r="AB340" s="33" t="s">
        <v>951</v>
      </c>
      <c r="AC340" s="33" t="s">
        <v>2025</v>
      </c>
      <c r="AD340" s="58">
        <v>0.8</v>
      </c>
      <c r="AE340" s="33"/>
      <c r="AF340" s="58">
        <v>0.8</v>
      </c>
      <c r="AG340" s="33"/>
      <c r="AH340" s="33">
        <v>1</v>
      </c>
      <c r="AI340" s="43">
        <v>46149.878472222219</v>
      </c>
      <c r="AJ340" s="33" t="s">
        <v>73</v>
      </c>
      <c r="AK340" s="42">
        <v>457196.74</v>
      </c>
      <c r="AL340" s="33" t="s">
        <v>2026</v>
      </c>
    </row>
    <row r="341" spans="1:38">
      <c r="A341" s="33">
        <v>5982414</v>
      </c>
      <c r="B341" s="33"/>
      <c r="C341" s="33" t="s">
        <v>789</v>
      </c>
      <c r="D341" s="33" t="s">
        <v>1156</v>
      </c>
      <c r="E341" s="33" t="s">
        <v>2027</v>
      </c>
      <c r="F341" s="43">
        <v>46149</v>
      </c>
      <c r="G341" s="33" t="s">
        <v>792</v>
      </c>
      <c r="H341" s="33"/>
      <c r="I341" s="33" t="s">
        <v>793</v>
      </c>
      <c r="J341" s="33" t="s">
        <v>1382</v>
      </c>
      <c r="K341" s="33" t="s">
        <v>75</v>
      </c>
      <c r="L341" s="33" t="s">
        <v>1264</v>
      </c>
      <c r="M341" s="43">
        <v>46149.13140046296</v>
      </c>
      <c r="N341" s="33" t="s">
        <v>1160</v>
      </c>
      <c r="O341" s="33" t="s">
        <v>797</v>
      </c>
      <c r="P341" s="33" t="s">
        <v>799</v>
      </c>
      <c r="Q341" s="43">
        <v>46148.925694444442</v>
      </c>
      <c r="R341" s="43">
        <v>46149.091666666667</v>
      </c>
      <c r="S341" s="58">
        <v>0.16597222222222222</v>
      </c>
      <c r="T341" s="33" t="s">
        <v>140</v>
      </c>
      <c r="U341" s="43">
        <v>46149.126388888886</v>
      </c>
      <c r="V341" s="58">
        <v>6.2500000000000003E-3</v>
      </c>
      <c r="W341" s="33" t="s">
        <v>140</v>
      </c>
      <c r="X341" s="43">
        <v>46149.126388888886</v>
      </c>
      <c r="Y341" s="58">
        <v>6.2500000000000003E-3</v>
      </c>
      <c r="Z341" s="33" t="s">
        <v>140</v>
      </c>
      <c r="AA341" s="43">
        <v>46149.041666666664</v>
      </c>
      <c r="AB341" s="33" t="s">
        <v>81</v>
      </c>
      <c r="AC341" s="33" t="s">
        <v>1383</v>
      </c>
      <c r="AD341" s="58">
        <v>0.22013888888888888</v>
      </c>
      <c r="AE341" s="58">
        <v>3.9583333333333331E-2</v>
      </c>
      <c r="AF341" s="58">
        <v>0.22013888888888888</v>
      </c>
      <c r="AG341" s="33" t="s">
        <v>1357</v>
      </c>
      <c r="AH341" s="33">
        <v>2</v>
      </c>
      <c r="AI341" s="43">
        <v>46149.126388888886</v>
      </c>
      <c r="AJ341" s="33" t="s">
        <v>793</v>
      </c>
      <c r="AK341" s="42">
        <v>448527</v>
      </c>
      <c r="AL341" s="33" t="s">
        <v>1162</v>
      </c>
    </row>
    <row r="342" spans="1:38">
      <c r="A342" s="33">
        <v>6010500</v>
      </c>
      <c r="B342" s="33"/>
      <c r="C342" s="33" t="s">
        <v>789</v>
      </c>
      <c r="D342" s="33" t="s">
        <v>2028</v>
      </c>
      <c r="E342" s="33" t="s">
        <v>2029</v>
      </c>
      <c r="F342" s="43">
        <v>46149.083333333336</v>
      </c>
      <c r="G342" s="33" t="s">
        <v>227</v>
      </c>
      <c r="H342" s="33"/>
      <c r="I342" s="33" t="s">
        <v>73</v>
      </c>
      <c r="J342" s="33" t="s">
        <v>1489</v>
      </c>
      <c r="K342" s="33" t="s">
        <v>75</v>
      </c>
      <c r="L342" s="33" t="s">
        <v>2030</v>
      </c>
      <c r="M342" s="43">
        <v>46149.250798611109</v>
      </c>
      <c r="N342" s="33" t="s">
        <v>2031</v>
      </c>
      <c r="O342" s="33" t="s">
        <v>797</v>
      </c>
      <c r="P342" s="33" t="s">
        <v>79</v>
      </c>
      <c r="Q342" s="33"/>
      <c r="R342" s="33"/>
      <c r="S342" s="33"/>
      <c r="T342" s="33" t="s">
        <v>1493</v>
      </c>
      <c r="U342" s="43">
        <v>46148.989583333336</v>
      </c>
      <c r="V342" s="58">
        <v>0.25555555555555554</v>
      </c>
      <c r="W342" s="33"/>
      <c r="X342" s="33"/>
      <c r="Y342" s="33"/>
      <c r="Z342" s="33" t="s">
        <v>1493</v>
      </c>
      <c r="AA342" s="43">
        <v>46149.958333333336</v>
      </c>
      <c r="AB342" s="33" t="s">
        <v>81</v>
      </c>
      <c r="AC342" s="33" t="s">
        <v>1495</v>
      </c>
      <c r="AD342" s="58">
        <v>0.31319444444444444</v>
      </c>
      <c r="AE342" s="33"/>
      <c r="AF342" s="58">
        <v>0.31319444444444444</v>
      </c>
      <c r="AG342" s="33" t="s">
        <v>1496</v>
      </c>
      <c r="AH342" s="33">
        <v>1</v>
      </c>
      <c r="AI342" s="43">
        <v>46148.989583333336</v>
      </c>
      <c r="AJ342" s="33" t="s">
        <v>73</v>
      </c>
      <c r="AK342" s="42">
        <v>327309.53999999998</v>
      </c>
      <c r="AL342" s="33" t="s">
        <v>2032</v>
      </c>
    </row>
    <row r="343" spans="1:38">
      <c r="A343" s="33" t="s">
        <v>2033</v>
      </c>
      <c r="B343" s="33"/>
      <c r="C343" s="33" t="s">
        <v>789</v>
      </c>
      <c r="D343" s="33" t="s">
        <v>2034</v>
      </c>
      <c r="E343" s="33" t="s">
        <v>2035</v>
      </c>
      <c r="F343" s="43">
        <v>46148.958333333336</v>
      </c>
      <c r="G343" s="33" t="s">
        <v>89</v>
      </c>
      <c r="H343" s="33"/>
      <c r="I343" s="33" t="s">
        <v>73</v>
      </c>
      <c r="J343" s="33" t="s">
        <v>160</v>
      </c>
      <c r="K343" s="33" t="s">
        <v>75</v>
      </c>
      <c r="L343" s="33" t="s">
        <v>2036</v>
      </c>
      <c r="M343" s="43">
        <v>46156.435960648145</v>
      </c>
      <c r="N343" s="33" t="s">
        <v>2037</v>
      </c>
      <c r="O343" s="33" t="s">
        <v>797</v>
      </c>
      <c r="P343" s="33" t="s">
        <v>140</v>
      </c>
      <c r="Q343" s="33"/>
      <c r="R343" s="33"/>
      <c r="S343" s="33"/>
      <c r="T343" s="33" t="s">
        <v>163</v>
      </c>
      <c r="U343" s="43">
        <v>46153.622916666667</v>
      </c>
      <c r="V343" s="44">
        <v>2.78125</v>
      </c>
      <c r="W343" s="33"/>
      <c r="X343" s="33"/>
      <c r="Y343" s="33"/>
      <c r="Z343" s="33" t="s">
        <v>163</v>
      </c>
      <c r="AA343" s="43">
        <v>46154.25</v>
      </c>
      <c r="AB343" s="33" t="s">
        <v>81</v>
      </c>
      <c r="AC343" s="33" t="s">
        <v>165</v>
      </c>
      <c r="AD343" s="44">
        <v>7.5118055555555552</v>
      </c>
      <c r="AE343" s="33"/>
      <c r="AF343" s="44">
        <v>7.5118055555555552</v>
      </c>
      <c r="AG343" s="33" t="s">
        <v>2038</v>
      </c>
      <c r="AH343" s="33">
        <v>1</v>
      </c>
      <c r="AI343" s="43">
        <v>46153.622916666667</v>
      </c>
      <c r="AJ343" s="33" t="s">
        <v>73</v>
      </c>
      <c r="AK343" s="42">
        <v>1978198.45</v>
      </c>
      <c r="AL343" s="33" t="s">
        <v>2039</v>
      </c>
    </row>
    <row r="344" spans="1:38">
      <c r="A344" s="33">
        <v>6003199</v>
      </c>
      <c r="B344" s="33"/>
      <c r="C344" s="33" t="s">
        <v>789</v>
      </c>
      <c r="D344" s="33" t="s">
        <v>2040</v>
      </c>
      <c r="E344" s="33" t="s">
        <v>2041</v>
      </c>
      <c r="F344" s="43">
        <v>46148.979166666664</v>
      </c>
      <c r="G344" s="33" t="s">
        <v>792</v>
      </c>
      <c r="H344" s="33"/>
      <c r="I344" s="33" t="s">
        <v>793</v>
      </c>
      <c r="J344" s="33" t="s">
        <v>1392</v>
      </c>
      <c r="K344" s="33" t="s">
        <v>75</v>
      </c>
      <c r="L344" s="33" t="s">
        <v>2042</v>
      </c>
      <c r="M344" s="43">
        <v>46149.230428240742</v>
      </c>
      <c r="N344" s="33" t="s">
        <v>796</v>
      </c>
      <c r="O344" s="33" t="s">
        <v>797</v>
      </c>
      <c r="P344" s="33" t="s">
        <v>1963</v>
      </c>
      <c r="Q344" s="33"/>
      <c r="R344" s="33"/>
      <c r="S344" s="33"/>
      <c r="T344" s="33" t="s">
        <v>799</v>
      </c>
      <c r="U344" s="43">
        <v>46148.98333333333</v>
      </c>
      <c r="V344" s="58">
        <v>7.6388888888888895E-2</v>
      </c>
      <c r="W344" s="33"/>
      <c r="X344" s="33"/>
      <c r="Y344" s="33"/>
      <c r="Z344" s="33" t="s">
        <v>799</v>
      </c>
      <c r="AA344" s="43">
        <v>46150.208333333336</v>
      </c>
      <c r="AB344" s="33" t="s">
        <v>81</v>
      </c>
      <c r="AC344" s="33" t="s">
        <v>1395</v>
      </c>
      <c r="AD344" s="58">
        <v>0.26041666666666669</v>
      </c>
      <c r="AE344" s="33"/>
      <c r="AF344" s="58">
        <v>1.8055555555555554E-2</v>
      </c>
      <c r="AG344" s="33" t="s">
        <v>2043</v>
      </c>
      <c r="AH344" s="33">
        <v>1</v>
      </c>
      <c r="AI344" s="43">
        <v>46148.98333333333</v>
      </c>
      <c r="AJ344" s="33" t="s">
        <v>793</v>
      </c>
      <c r="AK344" s="42">
        <v>1004743.8</v>
      </c>
      <c r="AL344" s="33" t="s">
        <v>2044</v>
      </c>
    </row>
    <row r="345" spans="1:38">
      <c r="A345" s="33">
        <v>6004060</v>
      </c>
      <c r="B345" s="33"/>
      <c r="C345" s="33" t="s">
        <v>789</v>
      </c>
      <c r="D345" s="33" t="s">
        <v>1745</v>
      </c>
      <c r="E345" s="33" t="s">
        <v>2045</v>
      </c>
      <c r="F345" s="43">
        <v>46149.291666666664</v>
      </c>
      <c r="G345" s="33" t="s">
        <v>792</v>
      </c>
      <c r="H345" s="33"/>
      <c r="I345" s="33" t="s">
        <v>793</v>
      </c>
      <c r="J345" s="33" t="s">
        <v>1398</v>
      </c>
      <c r="K345" s="33" t="s">
        <v>75</v>
      </c>
      <c r="L345" s="33" t="s">
        <v>1087</v>
      </c>
      <c r="M345" s="43">
        <v>46149.510277777779</v>
      </c>
      <c r="N345" s="33" t="s">
        <v>1748</v>
      </c>
      <c r="O345" s="33" t="s">
        <v>797</v>
      </c>
      <c r="P345" s="33" t="s">
        <v>1963</v>
      </c>
      <c r="Q345" s="43">
        <v>46149.279166666667</v>
      </c>
      <c r="R345" s="43">
        <v>46149.323611111111</v>
      </c>
      <c r="S345" s="58">
        <v>4.4444444444444446E-2</v>
      </c>
      <c r="T345" s="33" t="s">
        <v>140</v>
      </c>
      <c r="U345" s="43">
        <v>46149.443055555559</v>
      </c>
      <c r="V345" s="58">
        <v>8.1944444444444445E-2</v>
      </c>
      <c r="W345" s="33" t="s">
        <v>140</v>
      </c>
      <c r="X345" s="43">
        <v>46149.443055555559</v>
      </c>
      <c r="Y345" s="58">
        <v>8.1944444444444445E-2</v>
      </c>
      <c r="Z345" s="33" t="s">
        <v>140</v>
      </c>
      <c r="AA345" s="43">
        <v>46150.5</v>
      </c>
      <c r="AB345" s="33" t="s">
        <v>1052</v>
      </c>
      <c r="AC345" s="33" t="s">
        <v>1400</v>
      </c>
      <c r="AD345" s="58">
        <v>0.55277777777777781</v>
      </c>
      <c r="AE345" s="58">
        <v>0.18680555555555556</v>
      </c>
      <c r="AF345" s="58">
        <v>0.55277777777777781</v>
      </c>
      <c r="AG345" s="33" t="s">
        <v>1750</v>
      </c>
      <c r="AH345" s="33">
        <v>2</v>
      </c>
      <c r="AI345" s="43">
        <v>46149.443055555559</v>
      </c>
      <c r="AJ345" s="33" t="s">
        <v>793</v>
      </c>
      <c r="AK345" s="42">
        <v>704451.66</v>
      </c>
      <c r="AL345" s="33" t="s">
        <v>1751</v>
      </c>
    </row>
    <row r="346" spans="1:38">
      <c r="A346" s="33">
        <v>6006801</v>
      </c>
      <c r="B346" s="33"/>
      <c r="C346" s="33" t="s">
        <v>789</v>
      </c>
      <c r="D346" s="33" t="s">
        <v>790</v>
      </c>
      <c r="E346" s="33" t="s">
        <v>2046</v>
      </c>
      <c r="F346" s="43">
        <v>46149.375</v>
      </c>
      <c r="G346" s="33" t="s">
        <v>792</v>
      </c>
      <c r="H346" s="33"/>
      <c r="I346" s="33" t="s">
        <v>793</v>
      </c>
      <c r="J346" s="33" t="s">
        <v>1392</v>
      </c>
      <c r="K346" s="33" t="s">
        <v>75</v>
      </c>
      <c r="L346" s="33" t="s">
        <v>2047</v>
      </c>
      <c r="M346" s="43">
        <v>46149.528090277781</v>
      </c>
      <c r="N346" s="33" t="s">
        <v>796</v>
      </c>
      <c r="O346" s="33" t="s">
        <v>797</v>
      </c>
      <c r="P346" s="33" t="s">
        <v>1963</v>
      </c>
      <c r="Q346" s="43">
        <v>46149.333333333336</v>
      </c>
      <c r="R346" s="43">
        <v>46149.35</v>
      </c>
      <c r="S346" s="58">
        <v>1.6666666666666666E-2</v>
      </c>
      <c r="T346" s="33" t="s">
        <v>799</v>
      </c>
      <c r="U346" s="43">
        <v>46149.472916666666</v>
      </c>
      <c r="V346" s="58">
        <v>5.2083333333333336E-2</v>
      </c>
      <c r="W346" s="33" t="s">
        <v>799</v>
      </c>
      <c r="X346" s="43">
        <v>46149.472916666666</v>
      </c>
      <c r="Y346" s="58">
        <v>5.2083333333333336E-2</v>
      </c>
      <c r="Z346" s="33" t="s">
        <v>799</v>
      </c>
      <c r="AA346" s="43">
        <v>46150.583333333336</v>
      </c>
      <c r="AB346" s="33" t="s">
        <v>81</v>
      </c>
      <c r="AC346" s="33" t="s">
        <v>1395</v>
      </c>
      <c r="AD346" s="58">
        <v>0.34652777777777777</v>
      </c>
      <c r="AE346" s="58">
        <v>0.17777777777777778</v>
      </c>
      <c r="AF346" s="58">
        <v>0.34652777777777777</v>
      </c>
      <c r="AG346" s="33" t="s">
        <v>801</v>
      </c>
      <c r="AH346" s="33">
        <v>2</v>
      </c>
      <c r="AI346" s="43">
        <v>46149.472916666666</v>
      </c>
      <c r="AJ346" s="33" t="s">
        <v>793</v>
      </c>
      <c r="AK346" s="42">
        <v>574218.18000000005</v>
      </c>
      <c r="AL346" s="33" t="s">
        <v>802</v>
      </c>
    </row>
    <row r="347" spans="1:38">
      <c r="A347" s="33">
        <v>6007020</v>
      </c>
      <c r="B347" s="33"/>
      <c r="C347" s="33" t="s">
        <v>789</v>
      </c>
      <c r="D347" s="33" t="s">
        <v>817</v>
      </c>
      <c r="E347" s="33" t="s">
        <v>2048</v>
      </c>
      <c r="F347" s="43">
        <v>46149.375</v>
      </c>
      <c r="G347" s="33" t="s">
        <v>792</v>
      </c>
      <c r="H347" s="33"/>
      <c r="I347" s="33" t="s">
        <v>793</v>
      </c>
      <c r="J347" s="33" t="s">
        <v>2049</v>
      </c>
      <c r="K347" s="33" t="s">
        <v>1481</v>
      </c>
      <c r="L347" s="33" t="s">
        <v>2050</v>
      </c>
      <c r="M347" s="43">
        <v>46149.631678240738</v>
      </c>
      <c r="N347" s="33" t="s">
        <v>822</v>
      </c>
      <c r="O347" s="33" t="s">
        <v>868</v>
      </c>
      <c r="P347" s="33" t="s">
        <v>1963</v>
      </c>
      <c r="Q347" s="43">
        <v>46149.4</v>
      </c>
      <c r="R347" s="43">
        <v>46149.423611111109</v>
      </c>
      <c r="S347" s="58">
        <v>2.361111111111111E-2</v>
      </c>
      <c r="T347" s="33" t="s">
        <v>799</v>
      </c>
      <c r="U347" s="43">
        <v>46149.581250000003</v>
      </c>
      <c r="V347" s="58">
        <v>0.05</v>
      </c>
      <c r="W347" s="33"/>
      <c r="X347" s="33"/>
      <c r="Y347" s="33"/>
      <c r="Z347" s="33" t="s">
        <v>799</v>
      </c>
      <c r="AA347" s="43">
        <v>46150.583333333336</v>
      </c>
      <c r="AB347" s="33" t="s">
        <v>81</v>
      </c>
      <c r="AC347" s="33" t="s">
        <v>81</v>
      </c>
      <c r="AD347" s="58">
        <v>0.56874999999999998</v>
      </c>
      <c r="AE347" s="33"/>
      <c r="AF347" s="58">
        <v>0.56874999999999998</v>
      </c>
      <c r="AG347" s="33" t="s">
        <v>825</v>
      </c>
      <c r="AH347" s="33">
        <v>2</v>
      </c>
      <c r="AI347" s="43">
        <v>46149.581250000003</v>
      </c>
      <c r="AJ347" s="33" t="s">
        <v>793</v>
      </c>
      <c r="AK347" s="42">
        <v>529237.57999999996</v>
      </c>
      <c r="AL347" s="33" t="s">
        <v>826</v>
      </c>
    </row>
    <row r="348" spans="1:38">
      <c r="A348" s="33">
        <v>6009915</v>
      </c>
      <c r="B348" s="33"/>
      <c r="C348" s="33" t="s">
        <v>789</v>
      </c>
      <c r="D348" s="33" t="s">
        <v>1487</v>
      </c>
      <c r="E348" s="33" t="s">
        <v>2051</v>
      </c>
      <c r="F348" s="43">
        <v>46149.208333333336</v>
      </c>
      <c r="G348" s="33" t="s">
        <v>227</v>
      </c>
      <c r="H348" s="33"/>
      <c r="I348" s="33" t="s">
        <v>73</v>
      </c>
      <c r="J348" s="33" t="s">
        <v>2052</v>
      </c>
      <c r="K348" s="33" t="s">
        <v>1530</v>
      </c>
      <c r="L348" s="33" t="s">
        <v>880</v>
      </c>
      <c r="M348" s="43">
        <v>46149.40047453704</v>
      </c>
      <c r="N348" s="33" t="s">
        <v>1492</v>
      </c>
      <c r="O348" s="33" t="s">
        <v>231</v>
      </c>
      <c r="P348" s="33" t="s">
        <v>79</v>
      </c>
      <c r="Q348" s="33"/>
      <c r="R348" s="33"/>
      <c r="S348" s="33"/>
      <c r="T348" s="33" t="s">
        <v>984</v>
      </c>
      <c r="U348" s="43">
        <v>46149.234027777777</v>
      </c>
      <c r="V348" s="58">
        <v>0.16597222222222222</v>
      </c>
      <c r="W348" s="33"/>
      <c r="X348" s="33"/>
      <c r="Y348" s="33"/>
      <c r="Z348" s="33" t="s">
        <v>984</v>
      </c>
      <c r="AA348" s="43">
        <v>46149.25</v>
      </c>
      <c r="AB348" s="33" t="s">
        <v>81</v>
      </c>
      <c r="AC348" s="33" t="s">
        <v>81</v>
      </c>
      <c r="AD348" s="58">
        <v>0.39583333333333331</v>
      </c>
      <c r="AE348" s="33"/>
      <c r="AF348" s="58">
        <v>0.39583333333333331</v>
      </c>
      <c r="AG348" s="33" t="s">
        <v>2053</v>
      </c>
      <c r="AH348" s="33">
        <v>3</v>
      </c>
      <c r="AI348" s="43">
        <v>46149.234027777777</v>
      </c>
      <c r="AJ348" s="33" t="s">
        <v>83</v>
      </c>
      <c r="AK348" s="42">
        <v>57269.75</v>
      </c>
      <c r="AL348" s="33" t="s">
        <v>1497</v>
      </c>
    </row>
    <row r="349" spans="1:38">
      <c r="A349" s="33">
        <v>5982409</v>
      </c>
      <c r="B349" s="33"/>
      <c r="C349" s="33" t="s">
        <v>789</v>
      </c>
      <c r="D349" s="33" t="s">
        <v>1032</v>
      </c>
      <c r="E349" s="33" t="s">
        <v>2054</v>
      </c>
      <c r="F349" s="43">
        <v>46149.041666666664</v>
      </c>
      <c r="G349" s="33" t="s">
        <v>792</v>
      </c>
      <c r="H349" s="33"/>
      <c r="I349" s="33" t="s">
        <v>793</v>
      </c>
      <c r="J349" s="33" t="s">
        <v>1147</v>
      </c>
      <c r="K349" s="33" t="s">
        <v>75</v>
      </c>
      <c r="L349" s="33" t="s">
        <v>1087</v>
      </c>
      <c r="M349" s="43">
        <v>46149.229548611111</v>
      </c>
      <c r="N349" s="33" t="s">
        <v>1036</v>
      </c>
      <c r="O349" s="33" t="s">
        <v>797</v>
      </c>
      <c r="P349" s="33" t="s">
        <v>799</v>
      </c>
      <c r="Q349" s="43">
        <v>46148.989583333336</v>
      </c>
      <c r="R349" s="43">
        <v>46149.024305555555</v>
      </c>
      <c r="S349" s="58">
        <v>3.4722222222222224E-2</v>
      </c>
      <c r="T349" s="33" t="s">
        <v>140</v>
      </c>
      <c r="U349" s="43">
        <v>46149.050694444442</v>
      </c>
      <c r="V349" s="58">
        <v>0.17847222222222223</v>
      </c>
      <c r="W349" s="33"/>
      <c r="X349" s="33"/>
      <c r="Y349" s="33"/>
      <c r="Z349" s="33" t="s">
        <v>140</v>
      </c>
      <c r="AA349" s="43">
        <v>46149.208333333336</v>
      </c>
      <c r="AB349" s="33" t="s">
        <v>81</v>
      </c>
      <c r="AC349" s="33" t="s">
        <v>1149</v>
      </c>
      <c r="AD349" s="58">
        <v>0.24027777777777778</v>
      </c>
      <c r="AE349" s="33"/>
      <c r="AF349" s="58">
        <v>6.9444444444444448E-2</v>
      </c>
      <c r="AG349" s="33"/>
      <c r="AH349" s="33">
        <v>2</v>
      </c>
      <c r="AI349" s="43">
        <v>46149.050694444442</v>
      </c>
      <c r="AJ349" s="33" t="s">
        <v>793</v>
      </c>
      <c r="AK349" s="42">
        <v>448527</v>
      </c>
      <c r="AL349" s="33" t="s">
        <v>1039</v>
      </c>
    </row>
    <row r="350" spans="1:38">
      <c r="A350" s="33">
        <v>6003568</v>
      </c>
      <c r="B350" s="33"/>
      <c r="C350" s="33" t="s">
        <v>789</v>
      </c>
      <c r="D350" s="33" t="s">
        <v>809</v>
      </c>
      <c r="E350" s="33" t="s">
        <v>2055</v>
      </c>
      <c r="F350" s="43">
        <v>46149.291666666664</v>
      </c>
      <c r="G350" s="33" t="s">
        <v>792</v>
      </c>
      <c r="H350" s="33"/>
      <c r="I350" s="33" t="s">
        <v>793</v>
      </c>
      <c r="J350" s="33" t="s">
        <v>922</v>
      </c>
      <c r="K350" s="33" t="s">
        <v>1855</v>
      </c>
      <c r="L350" s="33" t="s">
        <v>806</v>
      </c>
      <c r="M350" s="43">
        <v>46149.383761574078</v>
      </c>
      <c r="N350" s="33" t="s">
        <v>813</v>
      </c>
      <c r="O350" s="33" t="s">
        <v>868</v>
      </c>
      <c r="P350" s="33" t="s">
        <v>1963</v>
      </c>
      <c r="Q350" s="43">
        <v>46149.207638888889</v>
      </c>
      <c r="R350" s="43">
        <v>46149.234027777777</v>
      </c>
      <c r="S350" s="58">
        <v>2.6388888888888889E-2</v>
      </c>
      <c r="T350" s="33" t="s">
        <v>799</v>
      </c>
      <c r="U350" s="43">
        <v>46149.350694444445</v>
      </c>
      <c r="V350" s="58">
        <v>3.2638888888888891E-2</v>
      </c>
      <c r="W350" s="33"/>
      <c r="X350" s="33"/>
      <c r="Y350" s="33"/>
      <c r="Z350" s="33" t="s">
        <v>799</v>
      </c>
      <c r="AA350" s="43">
        <v>46149.958333333336</v>
      </c>
      <c r="AB350" s="33" t="s">
        <v>81</v>
      </c>
      <c r="AC350" s="33" t="s">
        <v>81</v>
      </c>
      <c r="AD350" s="58">
        <v>0.39305555555555555</v>
      </c>
      <c r="AE350" s="33"/>
      <c r="AF350" s="58">
        <v>0.39305555555555555</v>
      </c>
      <c r="AG350" s="33" t="s">
        <v>815</v>
      </c>
      <c r="AH350" s="33">
        <v>2</v>
      </c>
      <c r="AI350" s="43">
        <v>46149.350694444445</v>
      </c>
      <c r="AJ350" s="33" t="s">
        <v>793</v>
      </c>
      <c r="AK350" s="42">
        <v>686274.84</v>
      </c>
      <c r="AL350" s="33" t="s">
        <v>816</v>
      </c>
    </row>
    <row r="351" spans="1:38">
      <c r="A351" s="33">
        <v>6001767</v>
      </c>
      <c r="B351" s="33"/>
      <c r="C351" s="33" t="s">
        <v>789</v>
      </c>
      <c r="D351" s="33" t="s">
        <v>1074</v>
      </c>
      <c r="E351" s="33" t="s">
        <v>2056</v>
      </c>
      <c r="F351" s="43">
        <v>46149.25</v>
      </c>
      <c r="G351" s="33" t="s">
        <v>792</v>
      </c>
      <c r="H351" s="33"/>
      <c r="I351" s="33" t="s">
        <v>793</v>
      </c>
      <c r="J351" s="33" t="s">
        <v>922</v>
      </c>
      <c r="K351" s="33" t="s">
        <v>75</v>
      </c>
      <c r="L351" s="33" t="s">
        <v>857</v>
      </c>
      <c r="M351" s="43">
        <v>46149.431226851855</v>
      </c>
      <c r="N351" s="33" t="s">
        <v>1078</v>
      </c>
      <c r="O351" s="33" t="s">
        <v>797</v>
      </c>
      <c r="P351" s="33" t="s">
        <v>1963</v>
      </c>
      <c r="Q351" s="43">
        <v>46149.215277777781</v>
      </c>
      <c r="R351" s="43">
        <v>46149.25</v>
      </c>
      <c r="S351" s="58">
        <v>3.4722222222222224E-2</v>
      </c>
      <c r="T351" s="33" t="s">
        <v>799</v>
      </c>
      <c r="U351" s="43">
        <v>46149.400694444441</v>
      </c>
      <c r="V351" s="58">
        <v>2.7777777777777779E-3</v>
      </c>
      <c r="W351" s="33" t="s">
        <v>799</v>
      </c>
      <c r="X351" s="43">
        <v>46149.400694444441</v>
      </c>
      <c r="Y351" s="58">
        <v>3.0555555555555555E-2</v>
      </c>
      <c r="Z351" s="33" t="s">
        <v>799</v>
      </c>
      <c r="AA351" s="43">
        <v>46149.541666666664</v>
      </c>
      <c r="AB351" s="33" t="s">
        <v>81</v>
      </c>
      <c r="AC351" s="33" t="s">
        <v>923</v>
      </c>
      <c r="AD351" s="58">
        <v>0.44027777777777777</v>
      </c>
      <c r="AE351" s="58">
        <v>0.18055555555555555</v>
      </c>
      <c r="AF351" s="58">
        <v>0.44027777777777777</v>
      </c>
      <c r="AG351" s="33" t="s">
        <v>1080</v>
      </c>
      <c r="AH351" s="33">
        <v>2</v>
      </c>
      <c r="AI351" s="43">
        <v>46149.400694444441</v>
      </c>
      <c r="AJ351" s="33" t="s">
        <v>793</v>
      </c>
      <c r="AK351" s="42">
        <v>574218.18000000005</v>
      </c>
      <c r="AL351" s="33" t="s">
        <v>1081</v>
      </c>
    </row>
    <row r="352" spans="1:38">
      <c r="A352" s="33">
        <v>6006625</v>
      </c>
      <c r="B352" s="33"/>
      <c r="C352" s="33" t="s">
        <v>789</v>
      </c>
      <c r="D352" s="33" t="s">
        <v>2057</v>
      </c>
      <c r="E352" s="33" t="s">
        <v>2058</v>
      </c>
      <c r="F352" s="43">
        <v>46149.25</v>
      </c>
      <c r="G352" s="33" t="s">
        <v>227</v>
      </c>
      <c r="H352" s="33"/>
      <c r="I352" s="33" t="s">
        <v>73</v>
      </c>
      <c r="J352" s="33" t="s">
        <v>2059</v>
      </c>
      <c r="K352" s="33" t="s">
        <v>75</v>
      </c>
      <c r="L352" s="33" t="s">
        <v>2060</v>
      </c>
      <c r="M352" s="43">
        <v>46149.579756944448</v>
      </c>
      <c r="N352" s="33" t="s">
        <v>2061</v>
      </c>
      <c r="O352" s="33" t="s">
        <v>797</v>
      </c>
      <c r="P352" s="33" t="s">
        <v>79</v>
      </c>
      <c r="Q352" s="33"/>
      <c r="R352" s="33"/>
      <c r="S352" s="33"/>
      <c r="T352" s="33" t="s">
        <v>327</v>
      </c>
      <c r="U352" s="43">
        <v>46149.315972222219</v>
      </c>
      <c r="V352" s="58">
        <v>0.26180555555555557</v>
      </c>
      <c r="W352" s="33" t="s">
        <v>327</v>
      </c>
      <c r="X352" s="43">
        <v>46149.315972222219</v>
      </c>
      <c r="Y352" s="58">
        <v>0.26180555555555557</v>
      </c>
      <c r="Z352" s="33" t="s">
        <v>327</v>
      </c>
      <c r="AA352" s="43">
        <v>46149.375</v>
      </c>
      <c r="AB352" s="33" t="s">
        <v>81</v>
      </c>
      <c r="AC352" s="33" t="s">
        <v>2062</v>
      </c>
      <c r="AD352" s="58">
        <v>0.57013888888888886</v>
      </c>
      <c r="AE352" s="58">
        <v>0.31111111111111112</v>
      </c>
      <c r="AF352" s="58">
        <v>0.57013888888888886</v>
      </c>
      <c r="AG352" s="33" t="s">
        <v>1181</v>
      </c>
      <c r="AH352" s="33">
        <v>2</v>
      </c>
      <c r="AI352" s="43">
        <v>46149.315972222219</v>
      </c>
      <c r="AJ352" s="33" t="s">
        <v>73</v>
      </c>
      <c r="AK352" s="42">
        <v>247062.67</v>
      </c>
      <c r="AL352" s="33" t="s">
        <v>2063</v>
      </c>
    </row>
    <row r="353" spans="1:38">
      <c r="A353" s="33">
        <v>6012844</v>
      </c>
      <c r="B353" s="33"/>
      <c r="C353" s="33" t="s">
        <v>789</v>
      </c>
      <c r="D353" s="33" t="s">
        <v>1681</v>
      </c>
      <c r="E353" s="33" t="s">
        <v>2064</v>
      </c>
      <c r="F353" s="43">
        <v>46149.166666666664</v>
      </c>
      <c r="G353" s="33" t="s">
        <v>227</v>
      </c>
      <c r="H353" s="33"/>
      <c r="I353" s="33" t="s">
        <v>73</v>
      </c>
      <c r="J353" s="33" t="s">
        <v>1888</v>
      </c>
      <c r="K353" s="33" t="s">
        <v>75</v>
      </c>
      <c r="L353" s="33" t="s">
        <v>2065</v>
      </c>
      <c r="M353" s="43">
        <v>46150.425937499997</v>
      </c>
      <c r="N353" s="33" t="s">
        <v>230</v>
      </c>
      <c r="O353" s="33" t="s">
        <v>797</v>
      </c>
      <c r="P353" s="33" t="s">
        <v>140</v>
      </c>
      <c r="Q353" s="33"/>
      <c r="R353" s="33"/>
      <c r="S353" s="33"/>
      <c r="T353" s="33" t="s">
        <v>1889</v>
      </c>
      <c r="U353" s="33"/>
      <c r="V353" s="33"/>
      <c r="W353" s="33"/>
      <c r="X353" s="33"/>
      <c r="Y353" s="33"/>
      <c r="Z353" s="33" t="s">
        <v>1889</v>
      </c>
      <c r="AA353" s="43">
        <v>46155.333333333336</v>
      </c>
      <c r="AB353" s="33" t="s">
        <v>2066</v>
      </c>
      <c r="AC353" s="33" t="s">
        <v>1891</v>
      </c>
      <c r="AD353" s="44">
        <v>1.3833333333333333</v>
      </c>
      <c r="AE353" s="33"/>
      <c r="AF353" s="44">
        <v>1.3833333333333333</v>
      </c>
      <c r="AG353" s="33" t="s">
        <v>1185</v>
      </c>
      <c r="AH353" s="33">
        <v>4</v>
      </c>
      <c r="AI353" s="43">
        <v>46150.535416666666</v>
      </c>
      <c r="AJ353" s="33" t="s">
        <v>73</v>
      </c>
      <c r="AK353" s="42">
        <v>341969.54</v>
      </c>
      <c r="AL353" s="33" t="s">
        <v>1686</v>
      </c>
    </row>
    <row r="354" spans="1:38">
      <c r="A354" s="33">
        <v>6002568</v>
      </c>
      <c r="B354" s="33"/>
      <c r="C354" s="33" t="s">
        <v>789</v>
      </c>
      <c r="D354" s="33" t="s">
        <v>849</v>
      </c>
      <c r="E354" s="33" t="s">
        <v>2067</v>
      </c>
      <c r="F354" s="43">
        <v>46149.375</v>
      </c>
      <c r="G354" s="33" t="s">
        <v>792</v>
      </c>
      <c r="H354" s="33"/>
      <c r="I354" s="33" t="s">
        <v>793</v>
      </c>
      <c r="J354" s="33" t="s">
        <v>1392</v>
      </c>
      <c r="K354" s="33" t="s">
        <v>971</v>
      </c>
      <c r="L354" s="33" t="s">
        <v>2068</v>
      </c>
      <c r="M354" s="43">
        <v>46149.688819444447</v>
      </c>
      <c r="N354" s="33" t="s">
        <v>852</v>
      </c>
      <c r="O354" s="33" t="s">
        <v>797</v>
      </c>
      <c r="P354" s="33" t="s">
        <v>1963</v>
      </c>
      <c r="Q354" s="43">
        <v>46149.417361111111</v>
      </c>
      <c r="R354" s="43">
        <v>46149.460416666669</v>
      </c>
      <c r="S354" s="58">
        <v>4.3055555555555555E-2</v>
      </c>
      <c r="T354" s="33" t="s">
        <v>799</v>
      </c>
      <c r="U354" s="43">
        <v>46149.603472222225</v>
      </c>
      <c r="V354" s="58">
        <v>8.2638888888888887E-2</v>
      </c>
      <c r="W354" s="33" t="s">
        <v>799</v>
      </c>
      <c r="X354" s="43">
        <v>46149.603472222225</v>
      </c>
      <c r="Y354" s="58">
        <v>8.2638888888888887E-2</v>
      </c>
      <c r="Z354" s="33" t="s">
        <v>799</v>
      </c>
      <c r="AA354" s="43">
        <v>46150.291666666664</v>
      </c>
      <c r="AB354" s="33" t="s">
        <v>81</v>
      </c>
      <c r="AC354" s="33" t="s">
        <v>1395</v>
      </c>
      <c r="AD354" s="58">
        <v>0.62708333333333333</v>
      </c>
      <c r="AE354" s="58">
        <v>0.22777777777777777</v>
      </c>
      <c r="AF354" s="58">
        <v>0.62708333333333333</v>
      </c>
      <c r="AG354" s="33" t="s">
        <v>853</v>
      </c>
      <c r="AH354" s="33">
        <v>2</v>
      </c>
      <c r="AI354" s="43">
        <v>46149.603472222225</v>
      </c>
      <c r="AJ354" s="33" t="s">
        <v>793</v>
      </c>
      <c r="AK354" s="42">
        <v>572811.36</v>
      </c>
      <c r="AL354" s="33" t="s">
        <v>1209</v>
      </c>
    </row>
    <row r="355" spans="1:38">
      <c r="A355" s="33">
        <v>5996082</v>
      </c>
      <c r="B355" s="33"/>
      <c r="C355" s="33" t="s">
        <v>789</v>
      </c>
      <c r="D355" s="33" t="s">
        <v>1343</v>
      </c>
      <c r="E355" s="33" t="s">
        <v>2069</v>
      </c>
      <c r="F355" s="43">
        <v>46149.125</v>
      </c>
      <c r="G355" s="33" t="s">
        <v>792</v>
      </c>
      <c r="H355" s="33"/>
      <c r="I355" s="33" t="s">
        <v>793</v>
      </c>
      <c r="J355" s="33" t="s">
        <v>1147</v>
      </c>
      <c r="K355" s="33" t="s">
        <v>75</v>
      </c>
      <c r="L355" s="33" t="s">
        <v>1087</v>
      </c>
      <c r="M355" s="43">
        <v>46149.229641203703</v>
      </c>
      <c r="N355" s="33" t="s">
        <v>1345</v>
      </c>
      <c r="O355" s="33" t="s">
        <v>797</v>
      </c>
      <c r="P355" s="33" t="s">
        <v>799</v>
      </c>
      <c r="Q355" s="43">
        <v>46149.132638888892</v>
      </c>
      <c r="R355" s="43">
        <v>46149.179861111108</v>
      </c>
      <c r="S355" s="58">
        <v>4.7222222222222221E-2</v>
      </c>
      <c r="T355" s="33" t="s">
        <v>140</v>
      </c>
      <c r="U355" s="43">
        <v>46149.205555555556</v>
      </c>
      <c r="V355" s="58">
        <v>2.361111111111111E-2</v>
      </c>
      <c r="W355" s="33"/>
      <c r="X355" s="33"/>
      <c r="Y355" s="33"/>
      <c r="Z355" s="33" t="s">
        <v>140</v>
      </c>
      <c r="AA355" s="43">
        <v>46149.166666666664</v>
      </c>
      <c r="AB355" s="33" t="s">
        <v>81</v>
      </c>
      <c r="AC355" s="33" t="s">
        <v>1149</v>
      </c>
      <c r="AD355" s="58">
        <v>0.10208333333333333</v>
      </c>
      <c r="AE355" s="33"/>
      <c r="AF355" s="58">
        <v>9.3055555555555558E-2</v>
      </c>
      <c r="AG355" s="33" t="s">
        <v>1346</v>
      </c>
      <c r="AH355" s="33">
        <v>2</v>
      </c>
      <c r="AI355" s="43">
        <v>46149.205555555556</v>
      </c>
      <c r="AJ355" s="33" t="s">
        <v>793</v>
      </c>
      <c r="AK355" s="42">
        <v>1008151.43</v>
      </c>
      <c r="AL355" s="33" t="s">
        <v>1347</v>
      </c>
    </row>
    <row r="356" spans="1:38">
      <c r="A356" s="33">
        <v>5979039</v>
      </c>
      <c r="B356" s="33"/>
      <c r="C356" s="33" t="s">
        <v>789</v>
      </c>
      <c r="D356" s="33" t="s">
        <v>1047</v>
      </c>
      <c r="E356" s="33" t="s">
        <v>2070</v>
      </c>
      <c r="F356" s="43">
        <v>46149.208333333336</v>
      </c>
      <c r="G356" s="33" t="s">
        <v>792</v>
      </c>
      <c r="H356" s="33"/>
      <c r="I356" s="33" t="s">
        <v>793</v>
      </c>
      <c r="J356" s="33" t="s">
        <v>1147</v>
      </c>
      <c r="K356" s="33" t="s">
        <v>75</v>
      </c>
      <c r="L356" s="33" t="s">
        <v>1050</v>
      </c>
      <c r="M356" s="43">
        <v>46149.216874999998</v>
      </c>
      <c r="N356" s="33" t="s">
        <v>1051</v>
      </c>
      <c r="O356" s="33" t="s">
        <v>797</v>
      </c>
      <c r="P356" s="33" t="s">
        <v>799</v>
      </c>
      <c r="Q356" s="43">
        <v>46149.168749999997</v>
      </c>
      <c r="R356" s="43">
        <v>46149.195833333331</v>
      </c>
      <c r="S356" s="58">
        <v>2.7083333333333334E-2</v>
      </c>
      <c r="T356" s="33" t="s">
        <v>140</v>
      </c>
      <c r="U356" s="33"/>
      <c r="V356" s="33"/>
      <c r="W356" s="33"/>
      <c r="X356" s="33"/>
      <c r="Y356" s="33"/>
      <c r="Z356" s="33" t="s">
        <v>140</v>
      </c>
      <c r="AA356" s="43">
        <v>46149.25</v>
      </c>
      <c r="AB356" s="33" t="s">
        <v>1052</v>
      </c>
      <c r="AC356" s="33" t="s">
        <v>1149</v>
      </c>
      <c r="AD356" s="58">
        <v>6.25E-2</v>
      </c>
      <c r="AE356" s="33"/>
      <c r="AF356" s="58">
        <v>6.25E-2</v>
      </c>
      <c r="AG356" s="33" t="s">
        <v>1054</v>
      </c>
      <c r="AH356" s="33">
        <v>1</v>
      </c>
      <c r="AI356" s="43">
        <v>46149.21875</v>
      </c>
      <c r="AJ356" s="33" t="s">
        <v>793</v>
      </c>
      <c r="AK356" s="42">
        <v>612494.68000000005</v>
      </c>
      <c r="AL356" s="33" t="s">
        <v>1055</v>
      </c>
    </row>
    <row r="357" spans="1:38">
      <c r="A357" s="33">
        <v>5981491</v>
      </c>
      <c r="B357" s="33"/>
      <c r="C357" s="33" t="s">
        <v>789</v>
      </c>
      <c r="D357" s="33" t="s">
        <v>1366</v>
      </c>
      <c r="E357" s="33" t="s">
        <v>2071</v>
      </c>
      <c r="F357" s="43">
        <v>46149.208333333336</v>
      </c>
      <c r="G357" s="33" t="s">
        <v>792</v>
      </c>
      <c r="H357" s="33"/>
      <c r="I357" s="33" t="s">
        <v>793</v>
      </c>
      <c r="J357" s="33" t="s">
        <v>1147</v>
      </c>
      <c r="K357" s="33" t="s">
        <v>75</v>
      </c>
      <c r="L357" s="33" t="s">
        <v>1094</v>
      </c>
      <c r="M357" s="43">
        <v>46149.244143518517</v>
      </c>
      <c r="N357" s="33" t="s">
        <v>796</v>
      </c>
      <c r="O357" s="33" t="s">
        <v>797</v>
      </c>
      <c r="P357" s="33" t="s">
        <v>799</v>
      </c>
      <c r="Q357" s="43">
        <v>46149.169444444444</v>
      </c>
      <c r="R357" s="43">
        <v>46149.202777777777</v>
      </c>
      <c r="S357" s="58">
        <v>3.3333333333333333E-2</v>
      </c>
      <c r="T357" s="33" t="s">
        <v>140</v>
      </c>
      <c r="U357" s="43">
        <v>46149.236111111109</v>
      </c>
      <c r="V357" s="58">
        <v>6.2500000000000003E-3</v>
      </c>
      <c r="W357" s="33"/>
      <c r="X357" s="33"/>
      <c r="Y357" s="33"/>
      <c r="Z357" s="33" t="s">
        <v>140</v>
      </c>
      <c r="AA357" s="43">
        <v>46149.25</v>
      </c>
      <c r="AB357" s="33" t="s">
        <v>81</v>
      </c>
      <c r="AC357" s="33" t="s">
        <v>81</v>
      </c>
      <c r="AD357" s="58">
        <v>7.3611111111111113E-2</v>
      </c>
      <c r="AE357" s="33"/>
      <c r="AF357" s="58">
        <v>7.2916666666666671E-2</v>
      </c>
      <c r="AG357" s="33" t="s">
        <v>1369</v>
      </c>
      <c r="AH357" s="33">
        <v>2</v>
      </c>
      <c r="AI357" s="43">
        <v>46149.236111111109</v>
      </c>
      <c r="AJ357" s="33" t="s">
        <v>793</v>
      </c>
      <c r="AK357" s="42">
        <v>798370.64</v>
      </c>
      <c r="AL357" s="33" t="s">
        <v>1370</v>
      </c>
    </row>
    <row r="358" spans="1:38">
      <c r="A358" s="33">
        <v>5977693</v>
      </c>
      <c r="B358" s="33"/>
      <c r="C358" s="33" t="s">
        <v>789</v>
      </c>
      <c r="D358" s="33" t="s">
        <v>1032</v>
      </c>
      <c r="E358" s="33" t="s">
        <v>2072</v>
      </c>
      <c r="F358" s="43">
        <v>46149.333333333336</v>
      </c>
      <c r="G358" s="33" t="s">
        <v>792</v>
      </c>
      <c r="H358" s="33"/>
      <c r="I358" s="33" t="s">
        <v>793</v>
      </c>
      <c r="J358" s="33" t="s">
        <v>1147</v>
      </c>
      <c r="K358" s="33" t="s">
        <v>75</v>
      </c>
      <c r="L358" s="33" t="s">
        <v>1231</v>
      </c>
      <c r="M358" s="43">
        <v>46149.35465277778</v>
      </c>
      <c r="N358" s="33" t="s">
        <v>1036</v>
      </c>
      <c r="O358" s="33" t="s">
        <v>797</v>
      </c>
      <c r="P358" s="33" t="s">
        <v>799</v>
      </c>
      <c r="Q358" s="43">
        <v>46149.265277777777</v>
      </c>
      <c r="R358" s="43">
        <v>46149.304861111108</v>
      </c>
      <c r="S358" s="58">
        <v>3.9583333333333331E-2</v>
      </c>
      <c r="T358" s="33" t="s">
        <v>140</v>
      </c>
      <c r="U358" s="43">
        <v>46149.343055555553</v>
      </c>
      <c r="V358" s="58">
        <v>1.0416666666666666E-2</v>
      </c>
      <c r="W358" s="33" t="s">
        <v>140</v>
      </c>
      <c r="X358" s="43">
        <v>46149.343055555553</v>
      </c>
      <c r="Y358" s="58">
        <v>1.0416666666666666E-2</v>
      </c>
      <c r="Z358" s="33" t="s">
        <v>140</v>
      </c>
      <c r="AA358" s="43">
        <v>46149.375</v>
      </c>
      <c r="AB358" s="33" t="s">
        <v>81</v>
      </c>
      <c r="AC358" s="33" t="s">
        <v>1149</v>
      </c>
      <c r="AD358" s="58">
        <v>0.1</v>
      </c>
      <c r="AE358" s="58">
        <v>4.9305555555555554E-2</v>
      </c>
      <c r="AF358" s="58">
        <v>0.1</v>
      </c>
      <c r="AG358" s="33" t="s">
        <v>1038</v>
      </c>
      <c r="AH358" s="33">
        <v>2</v>
      </c>
      <c r="AI358" s="43">
        <v>46149.343055555553</v>
      </c>
      <c r="AJ358" s="33" t="s">
        <v>793</v>
      </c>
      <c r="AK358" s="42">
        <v>612494.68000000005</v>
      </c>
      <c r="AL358" s="33" t="s">
        <v>1039</v>
      </c>
    </row>
    <row r="359" spans="1:38">
      <c r="A359" s="33">
        <v>5981002</v>
      </c>
      <c r="B359" s="33"/>
      <c r="C359" s="33" t="s">
        <v>789</v>
      </c>
      <c r="D359" s="33" t="s">
        <v>1047</v>
      </c>
      <c r="E359" s="33" t="s">
        <v>2073</v>
      </c>
      <c r="F359" s="43">
        <v>46149.333333333336</v>
      </c>
      <c r="G359" s="33" t="s">
        <v>792</v>
      </c>
      <c r="H359" s="33"/>
      <c r="I359" s="33" t="s">
        <v>793</v>
      </c>
      <c r="J359" s="33" t="s">
        <v>1147</v>
      </c>
      <c r="K359" s="33" t="s">
        <v>75</v>
      </c>
      <c r="L359" s="33" t="s">
        <v>2074</v>
      </c>
      <c r="M359" s="43">
        <v>46149.382962962962</v>
      </c>
      <c r="N359" s="33" t="s">
        <v>1051</v>
      </c>
      <c r="O359" s="33" t="s">
        <v>1419</v>
      </c>
      <c r="P359" s="33" t="s">
        <v>799</v>
      </c>
      <c r="Q359" s="43">
        <v>46149.274305555555</v>
      </c>
      <c r="R359" s="43">
        <v>46149.305555555555</v>
      </c>
      <c r="S359" s="58">
        <v>3.125E-2</v>
      </c>
      <c r="T359" s="33" t="s">
        <v>140</v>
      </c>
      <c r="U359" s="43">
        <v>46149.345833333333</v>
      </c>
      <c r="V359" s="58">
        <v>4.1666666666666666E-3</v>
      </c>
      <c r="W359" s="33"/>
      <c r="X359" s="33"/>
      <c r="Y359" s="33"/>
      <c r="Z359" s="33" t="s">
        <v>140</v>
      </c>
      <c r="AA359" s="43">
        <v>46149.375</v>
      </c>
      <c r="AB359" s="33" t="s">
        <v>606</v>
      </c>
      <c r="AC359" s="33" t="s">
        <v>1149</v>
      </c>
      <c r="AD359" s="58">
        <v>0.12708333333333333</v>
      </c>
      <c r="AE359" s="33"/>
      <c r="AF359" s="58">
        <v>0.12708333333333333</v>
      </c>
      <c r="AG359" s="33" t="s">
        <v>1205</v>
      </c>
      <c r="AH359" s="33">
        <v>2</v>
      </c>
      <c r="AI359" s="43">
        <v>46149.345833333333</v>
      </c>
      <c r="AJ359" s="33" t="s">
        <v>793</v>
      </c>
      <c r="AK359" s="42">
        <v>557108.28</v>
      </c>
      <c r="AL359" s="33" t="s">
        <v>1055</v>
      </c>
    </row>
    <row r="360" spans="1:38">
      <c r="A360" s="33">
        <v>6005992</v>
      </c>
      <c r="B360" s="33"/>
      <c r="C360" s="33" t="s">
        <v>789</v>
      </c>
      <c r="D360" s="33" t="s">
        <v>1056</v>
      </c>
      <c r="E360" s="33" t="s">
        <v>2075</v>
      </c>
      <c r="F360" s="43">
        <v>46149.416666666664</v>
      </c>
      <c r="G360" s="33" t="s">
        <v>792</v>
      </c>
      <c r="H360" s="33"/>
      <c r="I360" s="33" t="s">
        <v>793</v>
      </c>
      <c r="J360" s="33" t="s">
        <v>2049</v>
      </c>
      <c r="K360" s="33" t="s">
        <v>75</v>
      </c>
      <c r="L360" s="33" t="s">
        <v>806</v>
      </c>
      <c r="M360" s="43">
        <v>46149.680856481478</v>
      </c>
      <c r="N360" s="33" t="s">
        <v>1060</v>
      </c>
      <c r="O360" s="33" t="s">
        <v>797</v>
      </c>
      <c r="P360" s="33" t="s">
        <v>1963</v>
      </c>
      <c r="Q360" s="43">
        <v>46149.43472222222</v>
      </c>
      <c r="R360" s="43">
        <v>46149.504166666666</v>
      </c>
      <c r="S360" s="58">
        <v>6.9444444444444448E-2</v>
      </c>
      <c r="T360" s="33" t="s">
        <v>799</v>
      </c>
      <c r="U360" s="43">
        <v>46149.631249999999</v>
      </c>
      <c r="V360" s="58">
        <v>2.013888888888889E-2</v>
      </c>
      <c r="W360" s="33" t="s">
        <v>799</v>
      </c>
      <c r="X360" s="43">
        <v>46149.631249999999</v>
      </c>
      <c r="Y360" s="58">
        <v>4.9305555555555554E-2</v>
      </c>
      <c r="Z360" s="33" t="s">
        <v>799</v>
      </c>
      <c r="AA360" s="43">
        <v>46149.625</v>
      </c>
      <c r="AB360" s="33" t="s">
        <v>81</v>
      </c>
      <c r="AC360" s="33" t="s">
        <v>2076</v>
      </c>
      <c r="AD360" s="58">
        <v>0.36041666666666666</v>
      </c>
      <c r="AE360" s="58">
        <v>0.1763888888888889</v>
      </c>
      <c r="AF360" s="58">
        <v>0.36041666666666666</v>
      </c>
      <c r="AG360" s="33" t="s">
        <v>1061</v>
      </c>
      <c r="AH360" s="33">
        <v>2</v>
      </c>
      <c r="AI360" s="43">
        <v>46149.631249999999</v>
      </c>
      <c r="AJ360" s="33" t="s">
        <v>793</v>
      </c>
      <c r="AK360" s="42">
        <v>1247458.98</v>
      </c>
      <c r="AL360" s="33" t="s">
        <v>1062</v>
      </c>
    </row>
    <row r="361" spans="1:38">
      <c r="A361" s="33">
        <v>6006643</v>
      </c>
      <c r="B361" s="33"/>
      <c r="C361" s="33" t="s">
        <v>789</v>
      </c>
      <c r="D361" s="33" t="s">
        <v>1593</v>
      </c>
      <c r="E361" s="33" t="s">
        <v>2077</v>
      </c>
      <c r="F361" s="43">
        <v>46149.333333333336</v>
      </c>
      <c r="G361" s="33" t="s">
        <v>792</v>
      </c>
      <c r="H361" s="33"/>
      <c r="I361" s="33" t="s">
        <v>793</v>
      </c>
      <c r="J361" s="33" t="s">
        <v>922</v>
      </c>
      <c r="K361" s="59" t="s">
        <v>1306</v>
      </c>
      <c r="L361" s="33" t="s">
        <v>2078</v>
      </c>
      <c r="M361" s="43">
        <v>46149.640231481484</v>
      </c>
      <c r="N361" s="33" t="s">
        <v>1596</v>
      </c>
      <c r="O361" s="33" t="s">
        <v>797</v>
      </c>
      <c r="P361" s="33" t="s">
        <v>1963</v>
      </c>
      <c r="Q361" s="43">
        <v>46149.40347222222</v>
      </c>
      <c r="R361" s="43">
        <v>46149.430555555555</v>
      </c>
      <c r="S361" s="58">
        <v>2.7083333333333334E-2</v>
      </c>
      <c r="T361" s="33" t="s">
        <v>799</v>
      </c>
      <c r="U361" s="43">
        <v>46149.580555555556</v>
      </c>
      <c r="V361" s="58">
        <v>5.9722222222222225E-2</v>
      </c>
      <c r="W361" s="33" t="s">
        <v>799</v>
      </c>
      <c r="X361" s="43">
        <v>46149.580555555556</v>
      </c>
      <c r="Y361" s="58">
        <v>5.9722222222222225E-2</v>
      </c>
      <c r="Z361" s="33" t="s">
        <v>799</v>
      </c>
      <c r="AA361" s="43">
        <v>46149.541666666664</v>
      </c>
      <c r="AB361" s="33" t="s">
        <v>81</v>
      </c>
      <c r="AC361" s="33" t="s">
        <v>923</v>
      </c>
      <c r="AD361" s="58">
        <v>0.37361111111111112</v>
      </c>
      <c r="AE361" s="58">
        <v>0.20972222222222223</v>
      </c>
      <c r="AF361" s="58">
        <v>0.37361111111111112</v>
      </c>
      <c r="AG361" s="33" t="s">
        <v>1597</v>
      </c>
      <c r="AH361" s="33">
        <v>2</v>
      </c>
      <c r="AI361" s="43">
        <v>46149.580555555556</v>
      </c>
      <c r="AJ361" s="33" t="s">
        <v>793</v>
      </c>
      <c r="AK361" s="42">
        <v>706985.76</v>
      </c>
      <c r="AL361" s="33" t="s">
        <v>1598</v>
      </c>
    </row>
    <row r="362" spans="1:38">
      <c r="A362" s="33">
        <v>5981005</v>
      </c>
      <c r="B362" s="33"/>
      <c r="C362" s="33" t="s">
        <v>789</v>
      </c>
      <c r="D362" s="33" t="s">
        <v>1466</v>
      </c>
      <c r="E362" s="33" t="s">
        <v>2079</v>
      </c>
      <c r="F362" s="43">
        <v>46149.333333333336</v>
      </c>
      <c r="G362" s="33" t="s">
        <v>792</v>
      </c>
      <c r="H362" s="33"/>
      <c r="I362" s="33" t="s">
        <v>793</v>
      </c>
      <c r="J362" s="33" t="s">
        <v>1147</v>
      </c>
      <c r="K362" s="33" t="s">
        <v>75</v>
      </c>
      <c r="L362" s="33" t="s">
        <v>2080</v>
      </c>
      <c r="M362" s="43">
        <v>46149.507893518516</v>
      </c>
      <c r="N362" s="33" t="s">
        <v>1468</v>
      </c>
      <c r="O362" s="33" t="s">
        <v>797</v>
      </c>
      <c r="P362" s="33" t="s">
        <v>799</v>
      </c>
      <c r="Q362" s="43">
        <v>46149.323611111111</v>
      </c>
      <c r="R362" s="43">
        <v>46149.370833333334</v>
      </c>
      <c r="S362" s="58">
        <v>4.7222222222222221E-2</v>
      </c>
      <c r="T362" s="33" t="s">
        <v>140</v>
      </c>
      <c r="U362" s="43">
        <v>46149.410416666666</v>
      </c>
      <c r="V362" s="58">
        <v>9.7222222222222224E-2</v>
      </c>
      <c r="W362" s="33" t="s">
        <v>140</v>
      </c>
      <c r="X362" s="43">
        <v>46149.410416666666</v>
      </c>
      <c r="Y362" s="58">
        <v>9.7222222222222224E-2</v>
      </c>
      <c r="Z362" s="33" t="s">
        <v>140</v>
      </c>
      <c r="AA362" s="43">
        <v>46149.375</v>
      </c>
      <c r="AB362" s="33" t="s">
        <v>81</v>
      </c>
      <c r="AC362" s="33" t="s">
        <v>1149</v>
      </c>
      <c r="AD362" s="58">
        <v>0.21736111111111112</v>
      </c>
      <c r="AE362" s="58">
        <v>0.14027777777777778</v>
      </c>
      <c r="AF362" s="58">
        <v>0.21736111111111112</v>
      </c>
      <c r="AG362" s="33" t="s">
        <v>1469</v>
      </c>
      <c r="AH362" s="33">
        <v>2</v>
      </c>
      <c r="AI362" s="43">
        <v>46149.410416666666</v>
      </c>
      <c r="AJ362" s="33" t="s">
        <v>793</v>
      </c>
      <c r="AK362" s="42">
        <v>557108.28</v>
      </c>
      <c r="AL362" s="33" t="s">
        <v>1470</v>
      </c>
    </row>
    <row r="363" spans="1:38">
      <c r="A363" s="33" t="s">
        <v>2081</v>
      </c>
      <c r="B363" s="33"/>
      <c r="C363" s="33" t="s">
        <v>789</v>
      </c>
      <c r="D363" s="33" t="s">
        <v>804</v>
      </c>
      <c r="E363" s="33" t="s">
        <v>2082</v>
      </c>
      <c r="F363" s="43">
        <v>46149.375</v>
      </c>
      <c r="G363" s="33" t="s">
        <v>792</v>
      </c>
      <c r="H363" s="33"/>
      <c r="I363" s="33" t="s">
        <v>793</v>
      </c>
      <c r="J363" s="33" t="s">
        <v>2049</v>
      </c>
      <c r="K363" s="33" t="s">
        <v>75</v>
      </c>
      <c r="L363" s="33" t="s">
        <v>1035</v>
      </c>
      <c r="M363" s="43">
        <v>46149.701562499999</v>
      </c>
      <c r="N363" s="33" t="s">
        <v>796</v>
      </c>
      <c r="O363" s="33" t="s">
        <v>797</v>
      </c>
      <c r="P363" s="33" t="s">
        <v>1963</v>
      </c>
      <c r="Q363" s="43">
        <v>46149.345138888886</v>
      </c>
      <c r="R363" s="43">
        <v>46149.368750000001</v>
      </c>
      <c r="S363" s="58">
        <v>2.361111111111111E-2</v>
      </c>
      <c r="T363" s="33" t="s">
        <v>799</v>
      </c>
      <c r="U363" s="43">
        <v>46149.577777777777</v>
      </c>
      <c r="V363" s="58">
        <v>8.7499999999999994E-2</v>
      </c>
      <c r="W363" s="33"/>
      <c r="X363" s="33"/>
      <c r="Y363" s="33"/>
      <c r="Z363" s="33" t="s">
        <v>799</v>
      </c>
      <c r="AA363" s="43">
        <v>46150.541666666664</v>
      </c>
      <c r="AB363" s="33" t="s">
        <v>2083</v>
      </c>
      <c r="AC363" s="33" t="s">
        <v>2076</v>
      </c>
      <c r="AD363" s="58">
        <v>0.36458333333333331</v>
      </c>
      <c r="AE363" s="33"/>
      <c r="AF363" s="58">
        <v>0.36458333333333331</v>
      </c>
      <c r="AG363" s="33" t="s">
        <v>2084</v>
      </c>
      <c r="AH363" s="33">
        <v>2</v>
      </c>
      <c r="AI363" s="43">
        <v>46149.577777777777</v>
      </c>
      <c r="AJ363" s="33" t="s">
        <v>793</v>
      </c>
      <c r="AK363" s="42">
        <v>1525247.09</v>
      </c>
      <c r="AL363" s="33" t="s">
        <v>808</v>
      </c>
    </row>
    <row r="364" spans="1:38">
      <c r="A364" s="33">
        <v>6003486</v>
      </c>
      <c r="B364" s="33"/>
      <c r="C364" s="33" t="s">
        <v>789</v>
      </c>
      <c r="D364" s="33" t="s">
        <v>1396</v>
      </c>
      <c r="E364" s="33" t="s">
        <v>2085</v>
      </c>
      <c r="F364" s="43">
        <v>46149.375</v>
      </c>
      <c r="G364" s="33" t="s">
        <v>792</v>
      </c>
      <c r="H364" s="33"/>
      <c r="I364" s="33" t="s">
        <v>793</v>
      </c>
      <c r="J364" s="33" t="s">
        <v>2086</v>
      </c>
      <c r="K364" s="33" t="s">
        <v>916</v>
      </c>
      <c r="L364" s="33" t="s">
        <v>2087</v>
      </c>
      <c r="M364" s="43">
        <v>46149.552430555559</v>
      </c>
      <c r="N364" s="33" t="s">
        <v>1399</v>
      </c>
      <c r="O364" s="33" t="s">
        <v>868</v>
      </c>
      <c r="P364" s="33" t="s">
        <v>1963</v>
      </c>
      <c r="Q364" s="43">
        <v>46149.380555555559</v>
      </c>
      <c r="R364" s="43">
        <v>46149.436805555553</v>
      </c>
      <c r="S364" s="58">
        <v>5.6250000000000001E-2</v>
      </c>
      <c r="T364" s="33" t="s">
        <v>140</v>
      </c>
      <c r="U364" s="43">
        <v>46149.550694444442</v>
      </c>
      <c r="V364" s="58">
        <v>1.3888888888888889E-3</v>
      </c>
      <c r="W364" s="33"/>
      <c r="X364" s="33"/>
      <c r="Y364" s="33"/>
      <c r="Z364" s="33" t="s">
        <v>140</v>
      </c>
      <c r="AA364" s="43">
        <v>46150.5</v>
      </c>
      <c r="AB364" s="33" t="s">
        <v>81</v>
      </c>
      <c r="AC364" s="33" t="s">
        <v>81</v>
      </c>
      <c r="AD364" s="58">
        <v>0.21875</v>
      </c>
      <c r="AE364" s="33"/>
      <c r="AF364" s="58">
        <v>0.21875</v>
      </c>
      <c r="AG364" s="33" t="s">
        <v>1401</v>
      </c>
      <c r="AH364" s="33">
        <v>2</v>
      </c>
      <c r="AI364" s="43">
        <v>46149.550694444442</v>
      </c>
      <c r="AJ364" s="33" t="s">
        <v>793</v>
      </c>
      <c r="AK364" s="42">
        <v>964141.63</v>
      </c>
      <c r="AL364" s="33" t="s">
        <v>1402</v>
      </c>
    </row>
    <row r="365" spans="1:38">
      <c r="A365" s="33">
        <v>6010695</v>
      </c>
      <c r="B365" s="33"/>
      <c r="C365" s="33" t="s">
        <v>789</v>
      </c>
      <c r="D365" s="33" t="s">
        <v>2088</v>
      </c>
      <c r="E365" s="33" t="s">
        <v>2089</v>
      </c>
      <c r="F365" s="43">
        <v>46149.666666666664</v>
      </c>
      <c r="G365" s="33" t="s">
        <v>1141</v>
      </c>
      <c r="H365" s="33"/>
      <c r="I365" s="33" t="s">
        <v>73</v>
      </c>
      <c r="J365" s="33" t="s">
        <v>2090</v>
      </c>
      <c r="K365" s="33" t="s">
        <v>75</v>
      </c>
      <c r="L365" s="33" t="s">
        <v>2091</v>
      </c>
      <c r="M365" s="43">
        <v>46150.366238425922</v>
      </c>
      <c r="N365" s="33" t="s">
        <v>2092</v>
      </c>
      <c r="O365" s="33" t="s">
        <v>93</v>
      </c>
      <c r="P365" s="33" t="s">
        <v>140</v>
      </c>
      <c r="Q365" s="43">
        <v>46149.370138888888</v>
      </c>
      <c r="R365" s="43">
        <v>46149.561805555553</v>
      </c>
      <c r="S365" s="58">
        <v>0.19166666666666668</v>
      </c>
      <c r="T365" s="33" t="s">
        <v>2093</v>
      </c>
      <c r="U365" s="43">
        <v>46149.604861111111</v>
      </c>
      <c r="V365" s="58">
        <v>0.55208333333333337</v>
      </c>
      <c r="W365" s="33"/>
      <c r="X365" s="33"/>
      <c r="Y365" s="33"/>
      <c r="Z365" s="33" t="s">
        <v>2093</v>
      </c>
      <c r="AA365" s="43">
        <v>46150.25</v>
      </c>
      <c r="AB365" s="33" t="s">
        <v>81</v>
      </c>
      <c r="AC365" s="33" t="s">
        <v>2094</v>
      </c>
      <c r="AD365" s="58">
        <v>0.99375000000000002</v>
      </c>
      <c r="AE365" s="33"/>
      <c r="AF365" s="58">
        <v>0.99375000000000002</v>
      </c>
      <c r="AG365" s="33"/>
      <c r="AH365" s="33">
        <v>2</v>
      </c>
      <c r="AI365" s="43">
        <v>46149.604861111111</v>
      </c>
      <c r="AJ365" s="33" t="s">
        <v>73</v>
      </c>
      <c r="AK365" s="42">
        <v>259384.3</v>
      </c>
      <c r="AL365" s="33" t="s">
        <v>2095</v>
      </c>
    </row>
    <row r="366" spans="1:38">
      <c r="A366" s="33">
        <v>6012419</v>
      </c>
      <c r="B366" s="33"/>
      <c r="C366" s="33" t="s">
        <v>789</v>
      </c>
      <c r="D366" s="33" t="s">
        <v>2028</v>
      </c>
      <c r="E366" s="33" t="s">
        <v>2096</v>
      </c>
      <c r="F366" s="43">
        <v>46149.833333333336</v>
      </c>
      <c r="G366" s="33" t="s">
        <v>227</v>
      </c>
      <c r="H366" s="33"/>
      <c r="I366" s="33" t="s">
        <v>73</v>
      </c>
      <c r="J366" s="33" t="s">
        <v>2097</v>
      </c>
      <c r="K366" s="33" t="s">
        <v>75</v>
      </c>
      <c r="L366" s="33" t="s">
        <v>2098</v>
      </c>
      <c r="M366" s="43">
        <v>46149.868472222224</v>
      </c>
      <c r="N366" s="33" t="s">
        <v>2031</v>
      </c>
      <c r="O366" s="33" t="s">
        <v>797</v>
      </c>
      <c r="P366" s="33" t="s">
        <v>79</v>
      </c>
      <c r="Q366" s="43">
        <v>46149.50277777778</v>
      </c>
      <c r="R366" s="43">
        <v>46149.802777777775</v>
      </c>
      <c r="S366" s="58">
        <v>0.3</v>
      </c>
      <c r="T366" s="33" t="s">
        <v>2099</v>
      </c>
      <c r="U366" s="33"/>
      <c r="V366" s="33"/>
      <c r="W366" s="33" t="s">
        <v>328</v>
      </c>
      <c r="X366" s="43">
        <v>46149.852083333331</v>
      </c>
      <c r="Y366" s="58">
        <v>1.3888888888888888E-2</v>
      </c>
      <c r="Z366" s="33" t="s">
        <v>1660</v>
      </c>
      <c r="AA366" s="43">
        <v>46157.1875</v>
      </c>
      <c r="AB366" s="33" t="s">
        <v>2100</v>
      </c>
      <c r="AC366" s="33" t="s">
        <v>2101</v>
      </c>
      <c r="AD366" s="58">
        <v>0.36805555555555558</v>
      </c>
      <c r="AE366" s="33"/>
      <c r="AF366" s="58">
        <v>0.36805555555555558</v>
      </c>
      <c r="AG366" s="33" t="s">
        <v>1496</v>
      </c>
      <c r="AH366" s="33">
        <v>3</v>
      </c>
      <c r="AI366" s="43">
        <v>46149.975694444445</v>
      </c>
      <c r="AJ366" s="33" t="s">
        <v>73</v>
      </c>
      <c r="AK366" s="42">
        <v>370434.81</v>
      </c>
      <c r="AL366" s="33" t="s">
        <v>2032</v>
      </c>
    </row>
    <row r="367" spans="1:38">
      <c r="A367" s="33">
        <v>6001504</v>
      </c>
      <c r="B367" s="33"/>
      <c r="C367" s="33" t="s">
        <v>789</v>
      </c>
      <c r="D367" s="33" t="s">
        <v>1338</v>
      </c>
      <c r="E367" s="33" t="s">
        <v>2102</v>
      </c>
      <c r="F367" s="43">
        <v>46149.416666666664</v>
      </c>
      <c r="G367" s="33" t="s">
        <v>792</v>
      </c>
      <c r="H367" s="33"/>
      <c r="I367" s="33" t="s">
        <v>793</v>
      </c>
      <c r="J367" s="33" t="s">
        <v>2049</v>
      </c>
      <c r="K367" s="33" t="s">
        <v>75</v>
      </c>
      <c r="L367" s="33" t="s">
        <v>1001</v>
      </c>
      <c r="M367" s="43">
        <v>46149.682893518519</v>
      </c>
      <c r="N367" s="33" t="s">
        <v>796</v>
      </c>
      <c r="O367" s="33" t="s">
        <v>797</v>
      </c>
      <c r="P367" s="33" t="s">
        <v>1963</v>
      </c>
      <c r="Q367" s="43">
        <v>46149.418055555558</v>
      </c>
      <c r="R367" s="43">
        <v>46149.45</v>
      </c>
      <c r="S367" s="58">
        <v>3.1944444444444442E-2</v>
      </c>
      <c r="T367" s="33" t="s">
        <v>799</v>
      </c>
      <c r="U367" s="43">
        <v>46149.602777777778</v>
      </c>
      <c r="V367" s="58">
        <v>5.0694444444444445E-2</v>
      </c>
      <c r="W367" s="33" t="s">
        <v>799</v>
      </c>
      <c r="X367" s="43">
        <v>46149.602777777778</v>
      </c>
      <c r="Y367" s="58">
        <v>7.9166666666666663E-2</v>
      </c>
      <c r="Z367" s="33" t="s">
        <v>799</v>
      </c>
      <c r="AA367" s="43">
        <v>46150.291666666664</v>
      </c>
      <c r="AB367" s="33" t="s">
        <v>81</v>
      </c>
      <c r="AC367" s="33" t="s">
        <v>2076</v>
      </c>
      <c r="AD367" s="58">
        <v>0.30069444444444443</v>
      </c>
      <c r="AE367" s="58">
        <v>0.2326388888888889</v>
      </c>
      <c r="AF367" s="58">
        <v>0.30069444444444443</v>
      </c>
      <c r="AG367" s="33" t="s">
        <v>1341</v>
      </c>
      <c r="AH367" s="33">
        <v>2</v>
      </c>
      <c r="AI367" s="43">
        <v>46149.602777777778</v>
      </c>
      <c r="AJ367" s="33" t="s">
        <v>793</v>
      </c>
      <c r="AK367" s="42">
        <v>988569.66</v>
      </c>
      <c r="AL367" s="33" t="s">
        <v>1342</v>
      </c>
    </row>
    <row r="368" spans="1:38">
      <c r="A368" s="33">
        <v>5974229</v>
      </c>
      <c r="B368" s="33"/>
      <c r="C368" s="33" t="s">
        <v>789</v>
      </c>
      <c r="D368" s="33" t="s">
        <v>1047</v>
      </c>
      <c r="E368" s="33" t="s">
        <v>2103</v>
      </c>
      <c r="F368" s="43">
        <v>46149.583333333336</v>
      </c>
      <c r="G368" s="33" t="s">
        <v>792</v>
      </c>
      <c r="H368" s="33"/>
      <c r="I368" s="33" t="s">
        <v>793</v>
      </c>
      <c r="J368" s="33" t="s">
        <v>1049</v>
      </c>
      <c r="K368" s="33" t="s">
        <v>75</v>
      </c>
      <c r="L368" s="33" t="s">
        <v>2104</v>
      </c>
      <c r="M368" s="43">
        <v>46149.477314814816</v>
      </c>
      <c r="N368" s="33" t="s">
        <v>1051</v>
      </c>
      <c r="O368" s="33" t="s">
        <v>797</v>
      </c>
      <c r="P368" s="33" t="s">
        <v>799</v>
      </c>
      <c r="Q368" s="43">
        <v>46149.405555555553</v>
      </c>
      <c r="R368" s="43">
        <v>46149.456250000003</v>
      </c>
      <c r="S368" s="58">
        <v>5.0694444444444445E-2</v>
      </c>
      <c r="T368" s="33" t="s">
        <v>140</v>
      </c>
      <c r="U368" s="33"/>
      <c r="V368" s="33"/>
      <c r="W368" s="33"/>
      <c r="X368" s="33"/>
      <c r="Y368" s="33"/>
      <c r="Z368" s="33" t="s">
        <v>140</v>
      </c>
      <c r="AA368" s="43">
        <v>46150.458333333336</v>
      </c>
      <c r="AB368" s="33" t="s">
        <v>1052</v>
      </c>
      <c r="AC368" s="33" t="s">
        <v>1053</v>
      </c>
      <c r="AD368" s="58">
        <v>0.11874999999999999</v>
      </c>
      <c r="AE368" s="33"/>
      <c r="AF368" s="58">
        <v>0.11874999999999999</v>
      </c>
      <c r="AG368" s="33" t="s">
        <v>1054</v>
      </c>
      <c r="AH368" s="33">
        <v>1</v>
      </c>
      <c r="AI368" s="43">
        <v>46149.479166666664</v>
      </c>
      <c r="AJ368" s="33" t="s">
        <v>793</v>
      </c>
      <c r="AK368" s="42">
        <v>532637.4</v>
      </c>
      <c r="AL368" s="33" t="s">
        <v>1055</v>
      </c>
    </row>
    <row r="369" spans="1:38">
      <c r="A369" s="33">
        <v>5975430</v>
      </c>
      <c r="B369" s="33"/>
      <c r="C369" s="33" t="s">
        <v>789</v>
      </c>
      <c r="D369" s="33" t="s">
        <v>1032</v>
      </c>
      <c r="E369" s="33" t="s">
        <v>2105</v>
      </c>
      <c r="F369" s="43">
        <v>46149.416666666664</v>
      </c>
      <c r="G369" s="33" t="s">
        <v>792</v>
      </c>
      <c r="H369" s="33"/>
      <c r="I369" s="33" t="s">
        <v>793</v>
      </c>
      <c r="J369" s="33" t="s">
        <v>1049</v>
      </c>
      <c r="K369" s="33" t="s">
        <v>1500</v>
      </c>
      <c r="L369" s="33" t="s">
        <v>1112</v>
      </c>
      <c r="M369" s="43">
        <v>46149.512465277781</v>
      </c>
      <c r="N369" s="33" t="s">
        <v>1036</v>
      </c>
      <c r="O369" s="33" t="s">
        <v>1828</v>
      </c>
      <c r="P369" s="33" t="s">
        <v>799</v>
      </c>
      <c r="Q369" s="43">
        <v>46149.427083333336</v>
      </c>
      <c r="R369" s="43">
        <v>46149.450694444444</v>
      </c>
      <c r="S369" s="58">
        <v>2.361111111111111E-2</v>
      </c>
      <c r="T369" s="33" t="s">
        <v>140</v>
      </c>
      <c r="U369" s="43">
        <v>46149.478472222225</v>
      </c>
      <c r="V369" s="58">
        <v>3.3333333333333333E-2</v>
      </c>
      <c r="W369" s="33"/>
      <c r="X369" s="33"/>
      <c r="Y369" s="33"/>
      <c r="Z369" s="33" t="s">
        <v>140</v>
      </c>
      <c r="AA369" s="43">
        <v>46150.458333333336</v>
      </c>
      <c r="AB369" s="33" t="s">
        <v>81</v>
      </c>
      <c r="AC369" s="33" t="s">
        <v>81</v>
      </c>
      <c r="AD369" s="58">
        <v>0.13194444444444445</v>
      </c>
      <c r="AE369" s="33"/>
      <c r="AF369" s="58">
        <v>0.13194444444444445</v>
      </c>
      <c r="AG369" s="33" t="s">
        <v>1161</v>
      </c>
      <c r="AH369" s="33">
        <v>2</v>
      </c>
      <c r="AI369" s="43">
        <v>46149.478472222225</v>
      </c>
      <c r="AJ369" s="33" t="s">
        <v>793</v>
      </c>
      <c r="AK369" s="42">
        <v>612494.68000000005</v>
      </c>
      <c r="AL369" s="33" t="s">
        <v>1039</v>
      </c>
    </row>
    <row r="370" spans="1:38">
      <c r="A370" s="33">
        <v>6004226</v>
      </c>
      <c r="B370" s="33"/>
      <c r="C370" s="33" t="s">
        <v>789</v>
      </c>
      <c r="D370" s="33" t="s">
        <v>1366</v>
      </c>
      <c r="E370" s="33" t="s">
        <v>2106</v>
      </c>
      <c r="F370" s="43">
        <v>46149.666666666664</v>
      </c>
      <c r="G370" s="33" t="s">
        <v>792</v>
      </c>
      <c r="H370" s="33"/>
      <c r="I370" s="33" t="s">
        <v>793</v>
      </c>
      <c r="J370" s="33" t="s">
        <v>1049</v>
      </c>
      <c r="K370" s="33" t="s">
        <v>75</v>
      </c>
      <c r="L370" s="33" t="s">
        <v>1231</v>
      </c>
      <c r="M370" s="43">
        <v>46149.446134259262</v>
      </c>
      <c r="N370" s="33" t="s">
        <v>796</v>
      </c>
      <c r="O370" s="33" t="s">
        <v>797</v>
      </c>
      <c r="P370" s="33" t="s">
        <v>799</v>
      </c>
      <c r="Q370" s="43">
        <v>46149.385416666664</v>
      </c>
      <c r="R370" s="43">
        <v>46149.404166666667</v>
      </c>
      <c r="S370" s="58">
        <v>1.8749999999999999E-2</v>
      </c>
      <c r="T370" s="33" t="s">
        <v>140</v>
      </c>
      <c r="U370" s="43">
        <v>46149.434027777781</v>
      </c>
      <c r="V370" s="58">
        <v>5.5555555555555558E-3</v>
      </c>
      <c r="W370" s="33" t="s">
        <v>140</v>
      </c>
      <c r="X370" s="43">
        <v>46149.434027777781</v>
      </c>
      <c r="Y370" s="58">
        <v>9.7222222222222224E-3</v>
      </c>
      <c r="Z370" s="33" t="s">
        <v>140</v>
      </c>
      <c r="AA370" s="43">
        <v>46150.625</v>
      </c>
      <c r="AB370" s="33" t="s">
        <v>81</v>
      </c>
      <c r="AC370" s="33" t="s">
        <v>1053</v>
      </c>
      <c r="AD370" s="58">
        <v>5.8333333333333334E-2</v>
      </c>
      <c r="AE370" s="58">
        <v>4.1666666666666664E-2</v>
      </c>
      <c r="AF370" s="58">
        <v>5.8333333333333334E-2</v>
      </c>
      <c r="AG370" s="33" t="s">
        <v>1369</v>
      </c>
      <c r="AH370" s="33">
        <v>2</v>
      </c>
      <c r="AI370" s="43">
        <v>46149.434027777781</v>
      </c>
      <c r="AJ370" s="33" t="s">
        <v>793</v>
      </c>
      <c r="AK370" s="42">
        <v>647550.28</v>
      </c>
      <c r="AL370" s="33" t="s">
        <v>1370</v>
      </c>
    </row>
    <row r="371" spans="1:38">
      <c r="A371" s="33" t="s">
        <v>2107</v>
      </c>
      <c r="B371" s="33"/>
      <c r="C371" s="33" t="s">
        <v>789</v>
      </c>
      <c r="D371" s="33" t="s">
        <v>2108</v>
      </c>
      <c r="E371" s="33" t="s">
        <v>2109</v>
      </c>
      <c r="F371" s="43">
        <v>46149.458333333336</v>
      </c>
      <c r="G371" s="33" t="s">
        <v>171</v>
      </c>
      <c r="H371" s="33"/>
      <c r="I371" s="33" t="s">
        <v>793</v>
      </c>
      <c r="J371" s="33" t="s">
        <v>958</v>
      </c>
      <c r="K371" s="33" t="s">
        <v>75</v>
      </c>
      <c r="L371" s="33" t="s">
        <v>1592</v>
      </c>
      <c r="M371" s="43">
        <v>46149.677129629628</v>
      </c>
      <c r="N371" s="33" t="s">
        <v>2110</v>
      </c>
      <c r="O371" s="33" t="s">
        <v>797</v>
      </c>
      <c r="P371" s="33" t="s">
        <v>861</v>
      </c>
      <c r="Q371" s="33"/>
      <c r="R371" s="33"/>
      <c r="S371" s="33"/>
      <c r="T371" s="33" t="s">
        <v>308</v>
      </c>
      <c r="U371" s="43">
        <v>46149.652777777781</v>
      </c>
      <c r="V371" s="58">
        <v>2.361111111111111E-2</v>
      </c>
      <c r="W371" s="33" t="s">
        <v>308</v>
      </c>
      <c r="X371" s="43">
        <v>46149.652777777781</v>
      </c>
      <c r="Y371" s="58">
        <v>2.361111111111111E-2</v>
      </c>
      <c r="Z371" s="33" t="s">
        <v>308</v>
      </c>
      <c r="AA371" s="43">
        <v>46156</v>
      </c>
      <c r="AB371" s="33" t="s">
        <v>1052</v>
      </c>
      <c r="AC371" s="33" t="s">
        <v>1404</v>
      </c>
      <c r="AD371" s="58">
        <v>0.17986111111111111</v>
      </c>
      <c r="AE371" s="33"/>
      <c r="AF371" s="58">
        <v>0.17986111111111111</v>
      </c>
      <c r="AG371" s="33" t="s">
        <v>2111</v>
      </c>
      <c r="AH371" s="33">
        <v>1</v>
      </c>
      <c r="AI371" s="43">
        <v>46149.652777777781</v>
      </c>
      <c r="AJ371" s="33" t="s">
        <v>793</v>
      </c>
      <c r="AK371" s="42">
        <v>683491</v>
      </c>
      <c r="AL371" s="33" t="s">
        <v>2112</v>
      </c>
    </row>
    <row r="372" spans="1:38">
      <c r="A372" s="33" t="s">
        <v>2113</v>
      </c>
      <c r="B372" s="33"/>
      <c r="C372" s="33" t="s">
        <v>789</v>
      </c>
      <c r="D372" s="33" t="s">
        <v>2114</v>
      </c>
      <c r="E372" s="33" t="s">
        <v>2115</v>
      </c>
      <c r="F372" s="43">
        <v>46149.458333333336</v>
      </c>
      <c r="G372" s="33" t="s">
        <v>171</v>
      </c>
      <c r="H372" s="33"/>
      <c r="I372" s="33" t="s">
        <v>793</v>
      </c>
      <c r="J372" s="33" t="s">
        <v>958</v>
      </c>
      <c r="K372" s="33" t="s">
        <v>75</v>
      </c>
      <c r="L372" s="33" t="s">
        <v>1184</v>
      </c>
      <c r="M372" s="43">
        <v>46149.691504629627</v>
      </c>
      <c r="N372" s="33" t="s">
        <v>2116</v>
      </c>
      <c r="O372" s="33" t="s">
        <v>797</v>
      </c>
      <c r="P372" s="33" t="s">
        <v>861</v>
      </c>
      <c r="Q372" s="43">
        <v>46149.480555555558</v>
      </c>
      <c r="R372" s="43">
        <v>46149.518055555556</v>
      </c>
      <c r="S372" s="58">
        <v>3.7499999999999999E-2</v>
      </c>
      <c r="T372" s="33" t="s">
        <v>308</v>
      </c>
      <c r="U372" s="43">
        <v>46149.633333333331</v>
      </c>
      <c r="V372" s="58">
        <v>5.6944444444444443E-2</v>
      </c>
      <c r="W372" s="33" t="s">
        <v>308</v>
      </c>
      <c r="X372" s="43">
        <v>46149.633333333331</v>
      </c>
      <c r="Y372" s="58">
        <v>5.6944444444444443E-2</v>
      </c>
      <c r="Z372" s="33" t="s">
        <v>308</v>
      </c>
      <c r="AA372" s="43">
        <v>46156</v>
      </c>
      <c r="AB372" s="33" t="s">
        <v>1052</v>
      </c>
      <c r="AC372" s="33" t="s">
        <v>1404</v>
      </c>
      <c r="AD372" s="58">
        <v>0.20416666666666666</v>
      </c>
      <c r="AE372" s="58">
        <v>0.17430555555555555</v>
      </c>
      <c r="AF372" s="58">
        <v>0.20416666666666666</v>
      </c>
      <c r="AG372" s="33" t="s">
        <v>2117</v>
      </c>
      <c r="AH372" s="33">
        <v>2</v>
      </c>
      <c r="AI372" s="43">
        <v>46149.634027777778</v>
      </c>
      <c r="AJ372" s="33" t="s">
        <v>793</v>
      </c>
      <c r="AK372" s="42">
        <v>767988</v>
      </c>
      <c r="AL372" s="33" t="s">
        <v>2118</v>
      </c>
    </row>
    <row r="373" spans="1:38">
      <c r="A373" s="33">
        <v>5996095</v>
      </c>
      <c r="B373" s="33"/>
      <c r="C373" s="33" t="s">
        <v>789</v>
      </c>
      <c r="D373" s="33" t="s">
        <v>1343</v>
      </c>
      <c r="E373" s="33" t="s">
        <v>2119</v>
      </c>
      <c r="F373" s="43">
        <v>46149.458333333336</v>
      </c>
      <c r="G373" s="33" t="s">
        <v>792</v>
      </c>
      <c r="H373" s="33"/>
      <c r="I373" s="33" t="s">
        <v>793</v>
      </c>
      <c r="J373" s="33" t="s">
        <v>1312</v>
      </c>
      <c r="K373" s="33" t="s">
        <v>75</v>
      </c>
      <c r="L373" s="33" t="s">
        <v>1094</v>
      </c>
      <c r="M373" s="43">
        <v>46149.696689814817</v>
      </c>
      <c r="N373" s="33" t="s">
        <v>1345</v>
      </c>
      <c r="O373" s="33" t="s">
        <v>797</v>
      </c>
      <c r="P373" s="33" t="s">
        <v>799</v>
      </c>
      <c r="Q373" s="43">
        <v>46149.418055555558</v>
      </c>
      <c r="R373" s="43">
        <v>46149.438888888886</v>
      </c>
      <c r="S373" s="58">
        <v>2.0833333333333332E-2</v>
      </c>
      <c r="T373" s="33" t="s">
        <v>140</v>
      </c>
      <c r="U373" s="43">
        <v>46149.465277777781</v>
      </c>
      <c r="V373" s="58">
        <v>0.2326388888888889</v>
      </c>
      <c r="W373" s="33" t="s">
        <v>140</v>
      </c>
      <c r="X373" s="43">
        <v>46149.465277777781</v>
      </c>
      <c r="Y373" s="58">
        <v>0.2326388888888889</v>
      </c>
      <c r="Z373" s="33" t="s">
        <v>140</v>
      </c>
      <c r="AA373" s="43">
        <v>46149.666666666664</v>
      </c>
      <c r="AB373" s="33" t="s">
        <v>81</v>
      </c>
      <c r="AC373" s="33" t="s">
        <v>1314</v>
      </c>
      <c r="AD373" s="58">
        <v>0.28125</v>
      </c>
      <c r="AE373" s="58">
        <v>0.25763888888888886</v>
      </c>
      <c r="AF373" s="58">
        <v>0.28125</v>
      </c>
      <c r="AG373" s="33" t="s">
        <v>1346</v>
      </c>
      <c r="AH373" s="33">
        <v>2</v>
      </c>
      <c r="AI373" s="43">
        <v>46149.465277777781</v>
      </c>
      <c r="AJ373" s="33" t="s">
        <v>793</v>
      </c>
      <c r="AK373" s="42">
        <v>1018319.64</v>
      </c>
      <c r="AL373" s="33" t="s">
        <v>1347</v>
      </c>
    </row>
    <row r="374" spans="1:38">
      <c r="A374" s="33">
        <v>6004129</v>
      </c>
      <c r="B374" s="33"/>
      <c r="C374" s="33" t="s">
        <v>789</v>
      </c>
      <c r="D374" s="33" t="s">
        <v>1284</v>
      </c>
      <c r="E374" s="33" t="s">
        <v>2120</v>
      </c>
      <c r="F374" s="43">
        <v>46149.5</v>
      </c>
      <c r="G374" s="33" t="s">
        <v>792</v>
      </c>
      <c r="H374" s="33"/>
      <c r="I374" s="33" t="s">
        <v>793</v>
      </c>
      <c r="J374" s="33" t="s">
        <v>2121</v>
      </c>
      <c r="K374" s="33" t="s">
        <v>971</v>
      </c>
      <c r="L374" s="33" t="s">
        <v>917</v>
      </c>
      <c r="M374" s="43">
        <v>46149.851886574077</v>
      </c>
      <c r="N374" s="33" t="s">
        <v>1287</v>
      </c>
      <c r="O374" s="33" t="s">
        <v>868</v>
      </c>
      <c r="P374" s="33" t="s">
        <v>1963</v>
      </c>
      <c r="Q374" s="43">
        <v>46149.550694444442</v>
      </c>
      <c r="R374" s="43">
        <v>46149.634722222225</v>
      </c>
      <c r="S374" s="58">
        <v>8.4027777777777785E-2</v>
      </c>
      <c r="T374" s="33" t="s">
        <v>799</v>
      </c>
      <c r="U374" s="43">
        <v>46149.788194444445</v>
      </c>
      <c r="V374" s="58">
        <v>6.3194444444444442E-2</v>
      </c>
      <c r="W374" s="33"/>
      <c r="X374" s="33"/>
      <c r="Y374" s="33"/>
      <c r="Z374" s="33" t="s">
        <v>799</v>
      </c>
      <c r="AA374" s="43">
        <v>46150.958333333336</v>
      </c>
      <c r="AB374" s="33" t="s">
        <v>81</v>
      </c>
      <c r="AC374" s="33" t="s">
        <v>81</v>
      </c>
      <c r="AD374" s="58">
        <v>0.37013888888888891</v>
      </c>
      <c r="AE374" s="33"/>
      <c r="AF374" s="58">
        <v>0.37013888888888891</v>
      </c>
      <c r="AG374" s="33" t="s">
        <v>1288</v>
      </c>
      <c r="AH374" s="33">
        <v>2</v>
      </c>
      <c r="AI374" s="43">
        <v>46149.788194444445</v>
      </c>
      <c r="AJ374" s="33" t="s">
        <v>793</v>
      </c>
      <c r="AK374" s="42">
        <v>968107</v>
      </c>
      <c r="AL374" s="33" t="s">
        <v>1289</v>
      </c>
    </row>
    <row r="375" spans="1:38">
      <c r="A375" s="33">
        <v>5975450</v>
      </c>
      <c r="B375" s="33"/>
      <c r="C375" s="33" t="s">
        <v>789</v>
      </c>
      <c r="D375" s="33" t="s">
        <v>863</v>
      </c>
      <c r="E375" s="33" t="s">
        <v>2122</v>
      </c>
      <c r="F375" s="43">
        <v>46149.5</v>
      </c>
      <c r="G375" s="33" t="s">
        <v>792</v>
      </c>
      <c r="H375" s="33"/>
      <c r="I375" s="33" t="s">
        <v>793</v>
      </c>
      <c r="J375" s="33" t="s">
        <v>1034</v>
      </c>
      <c r="K375" s="33" t="s">
        <v>1012</v>
      </c>
      <c r="L375" s="33" t="s">
        <v>1189</v>
      </c>
      <c r="M375" s="43">
        <v>46149.762349537035</v>
      </c>
      <c r="N375" s="33" t="s">
        <v>867</v>
      </c>
      <c r="O375" s="33" t="s">
        <v>868</v>
      </c>
      <c r="P375" s="33" t="s">
        <v>799</v>
      </c>
      <c r="Q375" s="43">
        <v>46149.490277777775</v>
      </c>
      <c r="R375" s="43">
        <v>46149.549305555556</v>
      </c>
      <c r="S375" s="58">
        <v>5.9027777777777776E-2</v>
      </c>
      <c r="T375" s="33" t="s">
        <v>140</v>
      </c>
      <c r="U375" s="43">
        <v>46149.574305555558</v>
      </c>
      <c r="V375" s="58">
        <v>0.1875</v>
      </c>
      <c r="W375" s="33"/>
      <c r="X375" s="33"/>
      <c r="Y375" s="33"/>
      <c r="Z375" s="33" t="s">
        <v>140</v>
      </c>
      <c r="AA375" s="43">
        <v>46150.583333333336</v>
      </c>
      <c r="AB375" s="33" t="s">
        <v>81</v>
      </c>
      <c r="AC375" s="33" t="s">
        <v>81</v>
      </c>
      <c r="AD375" s="58">
        <v>0.2722222222222222</v>
      </c>
      <c r="AE375" s="33"/>
      <c r="AF375" s="58">
        <v>0.2722222222222222</v>
      </c>
      <c r="AG375" s="33" t="s">
        <v>869</v>
      </c>
      <c r="AH375" s="33">
        <v>2</v>
      </c>
      <c r="AI375" s="43">
        <v>46149.574305555558</v>
      </c>
      <c r="AJ375" s="33" t="s">
        <v>793</v>
      </c>
      <c r="AK375" s="42">
        <v>612494.68000000005</v>
      </c>
      <c r="AL375" s="33" t="s">
        <v>870</v>
      </c>
    </row>
    <row r="376" spans="1:38">
      <c r="A376" s="33">
        <v>6003684</v>
      </c>
      <c r="B376" s="33"/>
      <c r="C376" s="33" t="s">
        <v>789</v>
      </c>
      <c r="D376" s="33" t="s">
        <v>2123</v>
      </c>
      <c r="E376" s="33" t="s">
        <v>2124</v>
      </c>
      <c r="F376" s="43">
        <v>46149.833333333336</v>
      </c>
      <c r="G376" s="33" t="s">
        <v>227</v>
      </c>
      <c r="H376" s="33"/>
      <c r="I376" s="33" t="s">
        <v>73</v>
      </c>
      <c r="J376" s="33" t="s">
        <v>2125</v>
      </c>
      <c r="K376" s="33" t="s">
        <v>75</v>
      </c>
      <c r="L376" s="33" t="s">
        <v>1738</v>
      </c>
      <c r="M376" s="43">
        <v>46150.213194444441</v>
      </c>
      <c r="N376" s="33" t="s">
        <v>2126</v>
      </c>
      <c r="O376" s="33" t="s">
        <v>797</v>
      </c>
      <c r="P376" s="33" t="s">
        <v>79</v>
      </c>
      <c r="Q376" s="43">
        <v>46149.549305555556</v>
      </c>
      <c r="R376" s="43">
        <v>46149.617361111108</v>
      </c>
      <c r="S376" s="58">
        <v>6.805555555555555E-2</v>
      </c>
      <c r="T376" s="33" t="s">
        <v>2093</v>
      </c>
      <c r="U376" s="33"/>
      <c r="V376" s="33"/>
      <c r="W376" s="33" t="s">
        <v>1740</v>
      </c>
      <c r="X376" s="43">
        <v>46150.1875</v>
      </c>
      <c r="Y376" s="58">
        <v>2.5000000000000001E-2</v>
      </c>
      <c r="Z376" s="33" t="s">
        <v>2093</v>
      </c>
      <c r="AA376" s="43">
        <v>46157.25</v>
      </c>
      <c r="AB376" s="33" t="s">
        <v>309</v>
      </c>
      <c r="AC376" s="33" t="s">
        <v>2127</v>
      </c>
      <c r="AD376" s="58">
        <v>0.67291666666666672</v>
      </c>
      <c r="AE376" s="33"/>
      <c r="AF376" s="58">
        <v>0.67291666666666672</v>
      </c>
      <c r="AG376" s="33" t="s">
        <v>2053</v>
      </c>
      <c r="AH376" s="33">
        <v>2</v>
      </c>
      <c r="AI376" s="43">
        <v>46150.279166666667</v>
      </c>
      <c r="AJ376" s="33" t="s">
        <v>73</v>
      </c>
      <c r="AK376" s="42">
        <v>312357.08</v>
      </c>
      <c r="AL376" s="33" t="s">
        <v>2128</v>
      </c>
    </row>
    <row r="377" spans="1:38">
      <c r="A377" s="33">
        <v>6013839</v>
      </c>
      <c r="B377" s="33"/>
      <c r="C377" s="33" t="s">
        <v>789</v>
      </c>
      <c r="D377" s="33" t="s">
        <v>1801</v>
      </c>
      <c r="E377" s="33" t="s">
        <v>2129</v>
      </c>
      <c r="F377" s="43">
        <v>46149.540972222225</v>
      </c>
      <c r="G377" s="33" t="s">
        <v>227</v>
      </c>
      <c r="H377" s="33"/>
      <c r="I377" s="33" t="s">
        <v>73</v>
      </c>
      <c r="J377" s="33" t="s">
        <v>2130</v>
      </c>
      <c r="K377" s="33" t="s">
        <v>75</v>
      </c>
      <c r="L377" s="33" t="s">
        <v>1928</v>
      </c>
      <c r="M377" s="43">
        <v>46149.642002314817</v>
      </c>
      <c r="N377" s="33" t="s">
        <v>1804</v>
      </c>
      <c r="O377" s="33" t="s">
        <v>797</v>
      </c>
      <c r="P377" s="33" t="s">
        <v>140</v>
      </c>
      <c r="Q377" s="43">
        <v>46149.545138888891</v>
      </c>
      <c r="R377" s="43">
        <v>46149.560416666667</v>
      </c>
      <c r="S377" s="58">
        <v>1.5277777777777777E-2</v>
      </c>
      <c r="T377" s="33" t="s">
        <v>2131</v>
      </c>
      <c r="U377" s="33"/>
      <c r="V377" s="33"/>
      <c r="W377" s="33" t="s">
        <v>1740</v>
      </c>
      <c r="X377" s="43">
        <v>46149.59097222222</v>
      </c>
      <c r="Y377" s="58">
        <v>4.8611111111111112E-2</v>
      </c>
      <c r="Z377" s="33" t="s">
        <v>2131</v>
      </c>
      <c r="AA377" s="43">
        <v>46156.208333333336</v>
      </c>
      <c r="AB377" s="33" t="s">
        <v>2132</v>
      </c>
      <c r="AC377" s="33" t="s">
        <v>2133</v>
      </c>
      <c r="AD377" s="58">
        <v>9.5138888888888884E-2</v>
      </c>
      <c r="AE377" s="33"/>
      <c r="AF377" s="58">
        <v>9.5138888888888884E-2</v>
      </c>
      <c r="AG377" s="33" t="s">
        <v>1806</v>
      </c>
      <c r="AH377" s="33">
        <v>2</v>
      </c>
      <c r="AI377" s="43">
        <v>46150.088194444441</v>
      </c>
      <c r="AJ377" s="33" t="s">
        <v>73</v>
      </c>
      <c r="AK377" s="42">
        <v>363128.01</v>
      </c>
      <c r="AL377" s="33" t="s">
        <v>1807</v>
      </c>
    </row>
    <row r="378" spans="1:38">
      <c r="A378" s="33">
        <v>5975446</v>
      </c>
      <c r="B378" s="33"/>
      <c r="C378" s="33" t="s">
        <v>789</v>
      </c>
      <c r="D378" s="33" t="s">
        <v>1920</v>
      </c>
      <c r="E378" s="33" t="s">
        <v>2134</v>
      </c>
      <c r="F378" s="43">
        <v>46149.541666666664</v>
      </c>
      <c r="G378" s="33" t="s">
        <v>792</v>
      </c>
      <c r="H378" s="33"/>
      <c r="I378" s="33" t="s">
        <v>793</v>
      </c>
      <c r="J378" s="33" t="s">
        <v>1034</v>
      </c>
      <c r="K378" s="33" t="s">
        <v>75</v>
      </c>
      <c r="L378" s="33" t="s">
        <v>1691</v>
      </c>
      <c r="M378" s="43">
        <v>46149.674571759257</v>
      </c>
      <c r="N378" s="33" t="s">
        <v>1922</v>
      </c>
      <c r="O378" s="33" t="s">
        <v>797</v>
      </c>
      <c r="P378" s="33" t="s">
        <v>799</v>
      </c>
      <c r="Q378" s="33"/>
      <c r="R378" s="33"/>
      <c r="S378" s="33"/>
      <c r="T378" s="33" t="s">
        <v>140</v>
      </c>
      <c r="U378" s="43">
        <v>46149.592361111114</v>
      </c>
      <c r="V378" s="58">
        <v>8.1944444444444445E-2</v>
      </c>
      <c r="W378" s="33" t="s">
        <v>140</v>
      </c>
      <c r="X378" s="43">
        <v>46149.592361111114</v>
      </c>
      <c r="Y378" s="58">
        <v>8.1944444444444445E-2</v>
      </c>
      <c r="Z378" s="33" t="s">
        <v>140</v>
      </c>
      <c r="AA378" s="43">
        <v>46149.583333333336</v>
      </c>
      <c r="AB378" s="33" t="s">
        <v>81</v>
      </c>
      <c r="AC378" s="33" t="s">
        <v>1037</v>
      </c>
      <c r="AD378" s="58">
        <v>0.11805555555555555</v>
      </c>
      <c r="AE378" s="33"/>
      <c r="AF378" s="58">
        <v>0.11805555555555555</v>
      </c>
      <c r="AG378" s="33" t="s">
        <v>1923</v>
      </c>
      <c r="AH378" s="33">
        <v>1</v>
      </c>
      <c r="AI378" s="43">
        <v>46149.592361111114</v>
      </c>
      <c r="AJ378" s="33" t="s">
        <v>793</v>
      </c>
      <c r="AK378" s="42">
        <v>612494.68000000005</v>
      </c>
      <c r="AL378" s="33" t="s">
        <v>1924</v>
      </c>
    </row>
    <row r="379" spans="1:38">
      <c r="A379" s="33">
        <v>5973979</v>
      </c>
      <c r="B379" s="33"/>
      <c r="C379" s="33" t="s">
        <v>789</v>
      </c>
      <c r="D379" s="33" t="s">
        <v>1466</v>
      </c>
      <c r="E379" s="33" t="s">
        <v>2135</v>
      </c>
      <c r="F379" s="43">
        <v>46149.625</v>
      </c>
      <c r="G379" s="33" t="s">
        <v>792</v>
      </c>
      <c r="H379" s="33"/>
      <c r="I379" s="33" t="s">
        <v>793</v>
      </c>
      <c r="J379" s="33" t="s">
        <v>1049</v>
      </c>
      <c r="K379" s="33" t="s">
        <v>75</v>
      </c>
      <c r="L379" s="33" t="s">
        <v>2136</v>
      </c>
      <c r="M379" s="43">
        <v>46149.861979166664</v>
      </c>
      <c r="N379" s="33" t="s">
        <v>1468</v>
      </c>
      <c r="O379" s="33" t="s">
        <v>868</v>
      </c>
      <c r="P379" s="33" t="s">
        <v>799</v>
      </c>
      <c r="Q379" s="43">
        <v>46149.573611111111</v>
      </c>
      <c r="R379" s="43">
        <v>46149.62222222222</v>
      </c>
      <c r="S379" s="58">
        <v>4.8611111111111112E-2</v>
      </c>
      <c r="T379" s="33" t="s">
        <v>140</v>
      </c>
      <c r="U379" s="43">
        <v>46149.652777777781</v>
      </c>
      <c r="V379" s="58">
        <v>0.20902777777777778</v>
      </c>
      <c r="W379" s="33"/>
      <c r="X379" s="33"/>
      <c r="Y379" s="33"/>
      <c r="Z379" s="33" t="s">
        <v>140</v>
      </c>
      <c r="AA379" s="43">
        <v>46150.583333333336</v>
      </c>
      <c r="AB379" s="33" t="s">
        <v>81</v>
      </c>
      <c r="AC379" s="33" t="s">
        <v>81</v>
      </c>
      <c r="AD379" s="58">
        <v>0.29166666666666669</v>
      </c>
      <c r="AE379" s="33"/>
      <c r="AF379" s="58">
        <v>0.29166666666666669</v>
      </c>
      <c r="AG379" s="33" t="s">
        <v>1469</v>
      </c>
      <c r="AH379" s="33">
        <v>2</v>
      </c>
      <c r="AI379" s="43">
        <v>46149.652777777781</v>
      </c>
      <c r="AJ379" s="33" t="s">
        <v>793</v>
      </c>
      <c r="AK379" s="42">
        <v>629736.5</v>
      </c>
      <c r="AL379" s="33" t="s">
        <v>1470</v>
      </c>
    </row>
    <row r="380" spans="1:38">
      <c r="A380" s="33">
        <v>5980319</v>
      </c>
      <c r="B380" s="33"/>
      <c r="C380" s="33" t="s">
        <v>789</v>
      </c>
      <c r="D380" s="33" t="s">
        <v>1032</v>
      </c>
      <c r="E380" s="33" t="s">
        <v>2137</v>
      </c>
      <c r="F380" s="43">
        <v>46149.583333333336</v>
      </c>
      <c r="G380" s="33" t="s">
        <v>792</v>
      </c>
      <c r="H380" s="33"/>
      <c r="I380" s="33" t="s">
        <v>793</v>
      </c>
      <c r="J380" s="33" t="s">
        <v>1312</v>
      </c>
      <c r="K380" s="33" t="s">
        <v>75</v>
      </c>
      <c r="L380" s="33" t="s">
        <v>492</v>
      </c>
      <c r="M380" s="43">
        <v>46149.639664351853</v>
      </c>
      <c r="N380" s="33" t="s">
        <v>1036</v>
      </c>
      <c r="O380" s="33" t="s">
        <v>797</v>
      </c>
      <c r="P380" s="33" t="s">
        <v>799</v>
      </c>
      <c r="Q380" s="43">
        <v>46149.570138888892</v>
      </c>
      <c r="R380" s="43">
        <v>46149.57916666667</v>
      </c>
      <c r="S380" s="58">
        <v>9.0277777777777769E-3</v>
      </c>
      <c r="T380" s="33" t="s">
        <v>140</v>
      </c>
      <c r="U380" s="43">
        <v>46149.603472222225</v>
      </c>
      <c r="V380" s="58">
        <v>3.5416666666666666E-2</v>
      </c>
      <c r="W380" s="33" t="s">
        <v>140</v>
      </c>
      <c r="X380" s="43">
        <v>46149.603472222225</v>
      </c>
      <c r="Y380" s="58">
        <v>3.5416666666666666E-2</v>
      </c>
      <c r="Z380" s="33" t="s">
        <v>140</v>
      </c>
      <c r="AA380" s="43">
        <v>46149.833333333336</v>
      </c>
      <c r="AB380" s="33" t="s">
        <v>81</v>
      </c>
      <c r="AC380" s="33" t="s">
        <v>1314</v>
      </c>
      <c r="AD380" s="58">
        <v>6.8750000000000006E-2</v>
      </c>
      <c r="AE380" s="58">
        <v>6.0416666666666667E-2</v>
      </c>
      <c r="AF380" s="58">
        <v>6.8750000000000006E-2</v>
      </c>
      <c r="AG380" s="33" t="s">
        <v>1038</v>
      </c>
      <c r="AH380" s="33">
        <v>2</v>
      </c>
      <c r="AI380" s="43">
        <v>46149.603472222225</v>
      </c>
      <c r="AJ380" s="33" t="s">
        <v>793</v>
      </c>
      <c r="AK380" s="42">
        <v>612494.68000000005</v>
      </c>
      <c r="AL380" s="33" t="s">
        <v>1039</v>
      </c>
    </row>
    <row r="381" spans="1:38">
      <c r="A381" s="33">
        <v>5980147</v>
      </c>
      <c r="B381" s="33"/>
      <c r="C381" s="33" t="s">
        <v>789</v>
      </c>
      <c r="D381" s="33" t="s">
        <v>1047</v>
      </c>
      <c r="E381" s="33" t="s">
        <v>2138</v>
      </c>
      <c r="F381" s="43">
        <v>46149.625</v>
      </c>
      <c r="G381" s="33" t="s">
        <v>792</v>
      </c>
      <c r="H381" s="33"/>
      <c r="I381" s="33" t="s">
        <v>793</v>
      </c>
      <c r="J381" s="33" t="s">
        <v>1312</v>
      </c>
      <c r="K381" s="33" t="s">
        <v>75</v>
      </c>
      <c r="L381" s="33" t="s">
        <v>2139</v>
      </c>
      <c r="M381" s="43">
        <v>46149.596875000003</v>
      </c>
      <c r="N381" s="33" t="s">
        <v>1051</v>
      </c>
      <c r="O381" s="33" t="s">
        <v>797</v>
      </c>
      <c r="P381" s="33" t="s">
        <v>799</v>
      </c>
      <c r="Q381" s="43">
        <v>46149.572222222225</v>
      </c>
      <c r="R381" s="43">
        <v>46149.577777777777</v>
      </c>
      <c r="S381" s="58">
        <v>5.5555555555555558E-3</v>
      </c>
      <c r="T381" s="33" t="s">
        <v>140</v>
      </c>
      <c r="U381" s="33"/>
      <c r="V381" s="33"/>
      <c r="W381" s="33"/>
      <c r="X381" s="33"/>
      <c r="Y381" s="33"/>
      <c r="Z381" s="33" t="s">
        <v>140</v>
      </c>
      <c r="AA381" s="43">
        <v>46149.833333333336</v>
      </c>
      <c r="AB381" s="33" t="s">
        <v>951</v>
      </c>
      <c r="AC381" s="33" t="s">
        <v>1314</v>
      </c>
      <c r="AD381" s="58">
        <v>0.20416666666666666</v>
      </c>
      <c r="AE381" s="33"/>
      <c r="AF381" s="58">
        <v>0.20416666666666666</v>
      </c>
      <c r="AG381" s="33" t="s">
        <v>1205</v>
      </c>
      <c r="AH381" s="33">
        <v>1</v>
      </c>
      <c r="AI381" s="43">
        <v>46149.606249999997</v>
      </c>
      <c r="AJ381" s="33" t="s">
        <v>793</v>
      </c>
      <c r="AK381" s="42">
        <v>577282.18000000005</v>
      </c>
      <c r="AL381" s="33" t="s">
        <v>1055</v>
      </c>
    </row>
    <row r="382" spans="1:38">
      <c r="A382" s="33" t="s">
        <v>2140</v>
      </c>
      <c r="B382" s="33"/>
      <c r="C382" s="33" t="s">
        <v>789</v>
      </c>
      <c r="D382" s="33" t="s">
        <v>677</v>
      </c>
      <c r="E382" s="33" t="s">
        <v>2141</v>
      </c>
      <c r="F382" s="43">
        <v>46149.708333333336</v>
      </c>
      <c r="G382" s="33" t="s">
        <v>171</v>
      </c>
      <c r="H382" s="33"/>
      <c r="I382" s="33" t="s">
        <v>793</v>
      </c>
      <c r="J382" s="33" t="s">
        <v>958</v>
      </c>
      <c r="K382" s="33" t="s">
        <v>1831</v>
      </c>
      <c r="L382" s="33" t="s">
        <v>1765</v>
      </c>
      <c r="M382" s="43">
        <v>46150.356747685182</v>
      </c>
      <c r="N382" s="33" t="s">
        <v>681</v>
      </c>
      <c r="O382" s="33" t="s">
        <v>868</v>
      </c>
      <c r="P382" s="33" t="s">
        <v>861</v>
      </c>
      <c r="Q382" s="33"/>
      <c r="R382" s="33"/>
      <c r="S382" s="33"/>
      <c r="T382" s="33" t="s">
        <v>308</v>
      </c>
      <c r="U382" s="43">
        <v>46149.853472222225</v>
      </c>
      <c r="V382" s="58">
        <v>0.50277777777777777</v>
      </c>
      <c r="W382" s="33"/>
      <c r="X382" s="33"/>
      <c r="Y382" s="33"/>
      <c r="Z382" s="33" t="s">
        <v>308</v>
      </c>
      <c r="AA382" s="43">
        <v>46156</v>
      </c>
      <c r="AB382" s="33" t="s">
        <v>81</v>
      </c>
      <c r="AC382" s="33" t="s">
        <v>81</v>
      </c>
      <c r="AD382" s="58">
        <v>0.69236111111111109</v>
      </c>
      <c r="AE382" s="33"/>
      <c r="AF382" s="58">
        <v>0.69236111111111109</v>
      </c>
      <c r="AG382" s="33" t="s">
        <v>1233</v>
      </c>
      <c r="AH382" s="33">
        <v>1</v>
      </c>
      <c r="AI382" s="43">
        <v>46149.853472222225</v>
      </c>
      <c r="AJ382" s="33" t="s">
        <v>793</v>
      </c>
      <c r="AK382" s="42">
        <v>651336</v>
      </c>
      <c r="AL382" s="33" t="s">
        <v>684</v>
      </c>
    </row>
    <row r="383" spans="1:38">
      <c r="A383" s="33" t="s">
        <v>2142</v>
      </c>
      <c r="B383" s="33"/>
      <c r="C383" s="33" t="s">
        <v>789</v>
      </c>
      <c r="D383" s="33" t="s">
        <v>599</v>
      </c>
      <c r="E383" s="33" t="s">
        <v>2143</v>
      </c>
      <c r="F383" s="43">
        <v>46149.708333333336</v>
      </c>
      <c r="G383" s="33" t="s">
        <v>171</v>
      </c>
      <c r="H383" s="33"/>
      <c r="I383" s="33" t="s">
        <v>793</v>
      </c>
      <c r="J383" s="33" t="s">
        <v>958</v>
      </c>
      <c r="K383" s="33" t="s">
        <v>820</v>
      </c>
      <c r="L383" s="33" t="s">
        <v>2144</v>
      </c>
      <c r="M383" s="43">
        <v>46150.308935185189</v>
      </c>
      <c r="N383" s="33" t="s">
        <v>603</v>
      </c>
      <c r="O383" s="33" t="s">
        <v>868</v>
      </c>
      <c r="P383" s="33" t="s">
        <v>861</v>
      </c>
      <c r="Q383" s="33"/>
      <c r="R383" s="33"/>
      <c r="S383" s="33"/>
      <c r="T383" s="33" t="s">
        <v>308</v>
      </c>
      <c r="U383" s="43">
        <v>46149.886111111111</v>
      </c>
      <c r="V383" s="58">
        <v>0.42222222222222222</v>
      </c>
      <c r="W383" s="33"/>
      <c r="X383" s="33"/>
      <c r="Y383" s="33"/>
      <c r="Z383" s="33" t="s">
        <v>308</v>
      </c>
      <c r="AA383" s="43">
        <v>46156</v>
      </c>
      <c r="AB383" s="33" t="s">
        <v>81</v>
      </c>
      <c r="AC383" s="33" t="s">
        <v>81</v>
      </c>
      <c r="AD383" s="58">
        <v>0.54305555555555551</v>
      </c>
      <c r="AE383" s="33"/>
      <c r="AF383" s="58">
        <v>0.54305555555555551</v>
      </c>
      <c r="AG383" s="33" t="s">
        <v>969</v>
      </c>
      <c r="AH383" s="33">
        <v>1</v>
      </c>
      <c r="AI383" s="43">
        <v>46149.886111111111</v>
      </c>
      <c r="AJ383" s="33" t="s">
        <v>793</v>
      </c>
      <c r="AK383" s="42">
        <v>600840</v>
      </c>
      <c r="AL383" s="33" t="s">
        <v>609</v>
      </c>
    </row>
    <row r="384" spans="1:38">
      <c r="A384" s="33" t="s">
        <v>2145</v>
      </c>
      <c r="B384" s="33"/>
      <c r="C384" s="33" t="s">
        <v>789</v>
      </c>
      <c r="D384" s="33" t="s">
        <v>938</v>
      </c>
      <c r="E384" s="33" t="s">
        <v>2146</v>
      </c>
      <c r="F384" s="43">
        <v>46149.625</v>
      </c>
      <c r="G384" s="33" t="s">
        <v>792</v>
      </c>
      <c r="H384" s="33"/>
      <c r="I384" s="33" t="s">
        <v>793</v>
      </c>
      <c r="J384" s="33" t="s">
        <v>2049</v>
      </c>
      <c r="K384" s="33" t="s">
        <v>75</v>
      </c>
      <c r="L384" s="33" t="s">
        <v>2147</v>
      </c>
      <c r="M384" s="43">
        <v>46150.01525462963</v>
      </c>
      <c r="N384" s="33" t="s">
        <v>940</v>
      </c>
      <c r="O384" s="33" t="s">
        <v>797</v>
      </c>
      <c r="P384" s="33" t="s">
        <v>1963</v>
      </c>
      <c r="Q384" s="43">
        <v>46149.697222222225</v>
      </c>
      <c r="R384" s="43">
        <v>46149.762499999997</v>
      </c>
      <c r="S384" s="58">
        <v>6.5277777777777782E-2</v>
      </c>
      <c r="T384" s="33" t="s">
        <v>799</v>
      </c>
      <c r="U384" s="43">
        <v>46149.910416666666</v>
      </c>
      <c r="V384" s="58">
        <v>0.10277777777777777</v>
      </c>
      <c r="W384" s="33" t="s">
        <v>799</v>
      </c>
      <c r="X384" s="43">
        <v>46149.910416666666</v>
      </c>
      <c r="Y384" s="58">
        <v>0.10277777777777777</v>
      </c>
      <c r="Z384" s="33" t="s">
        <v>799</v>
      </c>
      <c r="AA384" s="43">
        <v>46150.958333333336</v>
      </c>
      <c r="AB384" s="33" t="s">
        <v>81</v>
      </c>
      <c r="AC384" s="33" t="s">
        <v>2076</v>
      </c>
      <c r="AD384" s="58">
        <v>0.42499999999999999</v>
      </c>
      <c r="AE384" s="58">
        <v>0.25277777777777777</v>
      </c>
      <c r="AF384" s="58">
        <v>0.42499999999999999</v>
      </c>
      <c r="AG384" s="33" t="s">
        <v>942</v>
      </c>
      <c r="AH384" s="33">
        <v>2</v>
      </c>
      <c r="AI384" s="43">
        <v>46149.910416666666</v>
      </c>
      <c r="AJ384" s="33" t="s">
        <v>793</v>
      </c>
      <c r="AK384" s="42">
        <v>1666018.43</v>
      </c>
      <c r="AL384" s="33" t="s">
        <v>943</v>
      </c>
    </row>
    <row r="385" spans="1:38">
      <c r="A385" s="33" t="s">
        <v>2148</v>
      </c>
      <c r="B385" s="33"/>
      <c r="C385" s="33" t="s">
        <v>789</v>
      </c>
      <c r="D385" s="33" t="s">
        <v>956</v>
      </c>
      <c r="E385" s="33" t="s">
        <v>2149</v>
      </c>
      <c r="F385" s="43">
        <v>46149.75</v>
      </c>
      <c r="G385" s="33" t="s">
        <v>171</v>
      </c>
      <c r="H385" s="33"/>
      <c r="I385" s="33" t="s">
        <v>793</v>
      </c>
      <c r="J385" s="33" t="s">
        <v>958</v>
      </c>
      <c r="K385" s="33" t="s">
        <v>75</v>
      </c>
      <c r="L385" s="33" t="s">
        <v>2150</v>
      </c>
      <c r="M385" s="43">
        <v>46149.916388888887</v>
      </c>
      <c r="N385" s="33" t="s">
        <v>174</v>
      </c>
      <c r="O385" s="33" t="s">
        <v>797</v>
      </c>
      <c r="P385" s="33" t="s">
        <v>861</v>
      </c>
      <c r="Q385" s="33"/>
      <c r="R385" s="33"/>
      <c r="S385" s="33"/>
      <c r="T385" s="33" t="s">
        <v>308</v>
      </c>
      <c r="U385" s="43">
        <v>46149.886805555558</v>
      </c>
      <c r="V385" s="58">
        <v>2.7777777777777776E-2</v>
      </c>
      <c r="W385" s="33" t="s">
        <v>308</v>
      </c>
      <c r="X385" s="43">
        <v>46149.886805555558</v>
      </c>
      <c r="Y385" s="58">
        <v>2.7777777777777776E-2</v>
      </c>
      <c r="Z385" s="33" t="s">
        <v>308</v>
      </c>
      <c r="AA385" s="43">
        <v>46156</v>
      </c>
      <c r="AB385" s="33" t="s">
        <v>1052</v>
      </c>
      <c r="AC385" s="33" t="s">
        <v>1404</v>
      </c>
      <c r="AD385" s="58">
        <v>0.1701388888888889</v>
      </c>
      <c r="AE385" s="33"/>
      <c r="AF385" s="58">
        <v>0.1701388888888889</v>
      </c>
      <c r="AG385" s="33" t="s">
        <v>961</v>
      </c>
      <c r="AH385" s="33">
        <v>1</v>
      </c>
      <c r="AI385" s="43">
        <v>46149.886805555558</v>
      </c>
      <c r="AJ385" s="33" t="s">
        <v>793</v>
      </c>
      <c r="AK385" s="42">
        <v>693504</v>
      </c>
      <c r="AL385" s="33" t="s">
        <v>962</v>
      </c>
    </row>
    <row r="386" spans="1:38">
      <c r="A386" s="33">
        <v>6006049</v>
      </c>
      <c r="B386" s="33"/>
      <c r="C386" s="33" t="s">
        <v>789</v>
      </c>
      <c r="D386" s="33" t="s">
        <v>1856</v>
      </c>
      <c r="E386" s="33" t="s">
        <v>2151</v>
      </c>
      <c r="F386" s="43">
        <v>46149.583333333336</v>
      </c>
      <c r="G386" s="33" t="s">
        <v>792</v>
      </c>
      <c r="H386" s="33"/>
      <c r="I386" s="33" t="s">
        <v>793</v>
      </c>
      <c r="J386" s="33" t="s">
        <v>1392</v>
      </c>
      <c r="K386" s="33" t="s">
        <v>75</v>
      </c>
      <c r="L386" s="33" t="s">
        <v>806</v>
      </c>
      <c r="M386" s="43">
        <v>46149.965266203704</v>
      </c>
      <c r="N386" s="33" t="s">
        <v>1860</v>
      </c>
      <c r="O386" s="33" t="s">
        <v>797</v>
      </c>
      <c r="P386" s="33" t="s">
        <v>1963</v>
      </c>
      <c r="Q386" s="33"/>
      <c r="R386" s="33"/>
      <c r="S386" s="33"/>
      <c r="T386" s="33" t="s">
        <v>799</v>
      </c>
      <c r="U386" s="43">
        <v>46149.634722222225</v>
      </c>
      <c r="V386" s="58">
        <v>0.32916666666666666</v>
      </c>
      <c r="W386" s="33" t="s">
        <v>799</v>
      </c>
      <c r="X386" s="43">
        <v>46149.634722222225</v>
      </c>
      <c r="Y386" s="58">
        <v>0.32916666666666666</v>
      </c>
      <c r="Z386" s="33" t="s">
        <v>799</v>
      </c>
      <c r="AA386" s="43">
        <v>46150.958333333336</v>
      </c>
      <c r="AB386" s="33" t="s">
        <v>81</v>
      </c>
      <c r="AC386" s="33" t="s">
        <v>1395</v>
      </c>
      <c r="AD386" s="58">
        <v>0.37569444444444444</v>
      </c>
      <c r="AE386" s="33"/>
      <c r="AF386" s="58">
        <v>0.37569444444444444</v>
      </c>
      <c r="AG386" s="33" t="s">
        <v>1861</v>
      </c>
      <c r="AH386" s="33">
        <v>1</v>
      </c>
      <c r="AI386" s="43">
        <v>46149.634722222225</v>
      </c>
      <c r="AJ386" s="33" t="s">
        <v>793</v>
      </c>
      <c r="AK386" s="42">
        <v>1087895.3999999999</v>
      </c>
      <c r="AL386" s="33" t="s">
        <v>1862</v>
      </c>
    </row>
    <row r="387" spans="1:38">
      <c r="A387" s="33" t="s">
        <v>2152</v>
      </c>
      <c r="B387" s="33"/>
      <c r="C387" s="33" t="s">
        <v>789</v>
      </c>
      <c r="D387" s="33" t="s">
        <v>877</v>
      </c>
      <c r="E387" s="33" t="s">
        <v>2153</v>
      </c>
      <c r="F387" s="43">
        <v>46149.625</v>
      </c>
      <c r="G387" s="33" t="s">
        <v>792</v>
      </c>
      <c r="H387" s="33"/>
      <c r="I387" s="33" t="s">
        <v>793</v>
      </c>
      <c r="J387" s="33" t="s">
        <v>2049</v>
      </c>
      <c r="K387" s="33" t="s">
        <v>2154</v>
      </c>
      <c r="L387" s="33" t="s">
        <v>998</v>
      </c>
      <c r="M387" s="43">
        <v>46149.961712962962</v>
      </c>
      <c r="N387" s="33" t="s">
        <v>881</v>
      </c>
      <c r="O387" s="33" t="s">
        <v>797</v>
      </c>
      <c r="P387" s="33" t="s">
        <v>1963</v>
      </c>
      <c r="Q387" s="43">
        <v>46149.59652777778</v>
      </c>
      <c r="R387" s="43">
        <v>46149.678472222222</v>
      </c>
      <c r="S387" s="58">
        <v>8.1944444444444445E-2</v>
      </c>
      <c r="T387" s="33" t="s">
        <v>799</v>
      </c>
      <c r="U387" s="43">
        <v>46149.907638888886</v>
      </c>
      <c r="V387" s="58">
        <v>5.4166666666666669E-2</v>
      </c>
      <c r="W387" s="33" t="s">
        <v>799</v>
      </c>
      <c r="X387" s="43">
        <v>46149.907638888886</v>
      </c>
      <c r="Y387" s="58">
        <v>5.4166666666666669E-2</v>
      </c>
      <c r="Z387" s="33" t="s">
        <v>799</v>
      </c>
      <c r="AA387" s="43">
        <v>46150.958333333336</v>
      </c>
      <c r="AB387" s="33" t="s">
        <v>81</v>
      </c>
      <c r="AC387" s="33" t="s">
        <v>2076</v>
      </c>
      <c r="AD387" s="58">
        <v>0.37083333333333335</v>
      </c>
      <c r="AE387" s="58">
        <v>0.28263888888888888</v>
      </c>
      <c r="AF387" s="58">
        <v>0.37083333333333335</v>
      </c>
      <c r="AG387" s="33" t="s">
        <v>883</v>
      </c>
      <c r="AH387" s="33">
        <v>2</v>
      </c>
      <c r="AI387" s="43">
        <v>46149.907638888886</v>
      </c>
      <c r="AJ387" s="33" t="s">
        <v>793</v>
      </c>
      <c r="AK387" s="42">
        <v>1749376.47</v>
      </c>
      <c r="AL387" s="33" t="s">
        <v>884</v>
      </c>
    </row>
    <row r="388" spans="1:38">
      <c r="A388" s="33">
        <v>6005981</v>
      </c>
      <c r="B388" s="33"/>
      <c r="C388" s="33" t="s">
        <v>789</v>
      </c>
      <c r="D388" s="33" t="s">
        <v>2155</v>
      </c>
      <c r="E388" s="33" t="s">
        <v>2156</v>
      </c>
      <c r="F388" s="43">
        <v>46149.604166666664</v>
      </c>
      <c r="G388" s="33" t="s">
        <v>792</v>
      </c>
      <c r="H388" s="33"/>
      <c r="I388" s="33" t="s">
        <v>793</v>
      </c>
      <c r="J388" s="33" t="s">
        <v>1392</v>
      </c>
      <c r="K388" s="33" t="s">
        <v>75</v>
      </c>
      <c r="L388" s="33" t="s">
        <v>795</v>
      </c>
      <c r="M388" s="43">
        <v>46150.01253472222</v>
      </c>
      <c r="N388" s="33" t="s">
        <v>2157</v>
      </c>
      <c r="O388" s="33" t="s">
        <v>797</v>
      </c>
      <c r="P388" s="33" t="s">
        <v>1963</v>
      </c>
      <c r="Q388" s="43">
        <v>46149.711805555555</v>
      </c>
      <c r="R388" s="43">
        <v>46149.713194444441</v>
      </c>
      <c r="S388" s="58">
        <v>1.3888888888888889E-3</v>
      </c>
      <c r="T388" s="33" t="s">
        <v>799</v>
      </c>
      <c r="U388" s="43">
        <v>46149.928472222222</v>
      </c>
      <c r="V388" s="58">
        <v>8.5416666666666669E-2</v>
      </c>
      <c r="W388" s="33" t="s">
        <v>799</v>
      </c>
      <c r="X388" s="43">
        <v>46149.928472222222</v>
      </c>
      <c r="Y388" s="58">
        <v>8.5416666666666669E-2</v>
      </c>
      <c r="Z388" s="33" t="s">
        <v>799</v>
      </c>
      <c r="AA388" s="43">
        <v>46150.958333333336</v>
      </c>
      <c r="AB388" s="33" t="s">
        <v>81</v>
      </c>
      <c r="AC388" s="33" t="s">
        <v>1395</v>
      </c>
      <c r="AD388" s="58">
        <v>0.4236111111111111</v>
      </c>
      <c r="AE388" s="58">
        <v>0.29930555555555555</v>
      </c>
      <c r="AF388" s="58">
        <v>0.4236111111111111</v>
      </c>
      <c r="AG388" s="33" t="s">
        <v>2158</v>
      </c>
      <c r="AH388" s="33">
        <v>2</v>
      </c>
      <c r="AI388" s="43">
        <v>46149.928472222222</v>
      </c>
      <c r="AJ388" s="33" t="s">
        <v>793</v>
      </c>
      <c r="AK388" s="42">
        <v>1247458.98</v>
      </c>
      <c r="AL388" s="33" t="s">
        <v>2159</v>
      </c>
    </row>
    <row r="389" spans="1:38">
      <c r="A389" s="33" t="s">
        <v>2160</v>
      </c>
      <c r="B389" s="33"/>
      <c r="C389" s="33" t="s">
        <v>789</v>
      </c>
      <c r="D389" s="33" t="s">
        <v>804</v>
      </c>
      <c r="E389" s="33" t="s">
        <v>2161</v>
      </c>
      <c r="F389" s="43">
        <v>46149.791666666664</v>
      </c>
      <c r="G389" s="33" t="s">
        <v>792</v>
      </c>
      <c r="H389" s="33"/>
      <c r="I389" s="33" t="s">
        <v>793</v>
      </c>
      <c r="J389" s="33" t="s">
        <v>1111</v>
      </c>
      <c r="K389" s="33" t="s">
        <v>1855</v>
      </c>
      <c r="L389" s="33" t="s">
        <v>2162</v>
      </c>
      <c r="M389" s="43">
        <v>46150.026504629626</v>
      </c>
      <c r="N389" s="33" t="s">
        <v>796</v>
      </c>
      <c r="O389" s="33" t="s">
        <v>797</v>
      </c>
      <c r="P389" s="33" t="s">
        <v>799</v>
      </c>
      <c r="Q389" s="33"/>
      <c r="R389" s="33"/>
      <c r="S389" s="33"/>
      <c r="T389" s="33" t="s">
        <v>140</v>
      </c>
      <c r="U389" s="43">
        <v>46149.768055555556</v>
      </c>
      <c r="V389" s="58">
        <v>0.25277777777777777</v>
      </c>
      <c r="W389" s="33"/>
      <c r="X389" s="33"/>
      <c r="Y389" s="33"/>
      <c r="Z389" s="33" t="s">
        <v>140</v>
      </c>
      <c r="AA389" s="43">
        <v>46150.625</v>
      </c>
      <c r="AB389" s="33" t="s">
        <v>1138</v>
      </c>
      <c r="AC389" s="33" t="s">
        <v>1314</v>
      </c>
      <c r="AD389" s="58">
        <v>0.25694444444444442</v>
      </c>
      <c r="AE389" s="33"/>
      <c r="AF389" s="58">
        <v>0.25694444444444442</v>
      </c>
      <c r="AG389" s="33" t="s">
        <v>2084</v>
      </c>
      <c r="AH389" s="33">
        <v>1</v>
      </c>
      <c r="AI389" s="43">
        <v>46149.768055555556</v>
      </c>
      <c r="AJ389" s="33" t="s">
        <v>793</v>
      </c>
      <c r="AK389" s="42">
        <v>1216860.1000000001</v>
      </c>
      <c r="AL389" s="33" t="s">
        <v>808</v>
      </c>
    </row>
    <row r="390" spans="1:38">
      <c r="A390" s="33" t="s">
        <v>2163</v>
      </c>
      <c r="B390" s="33"/>
      <c r="C390" s="33" t="s">
        <v>789</v>
      </c>
      <c r="D390" s="33" t="s">
        <v>1967</v>
      </c>
      <c r="E390" s="33" t="s">
        <v>2164</v>
      </c>
      <c r="F390" s="43">
        <v>46149.625</v>
      </c>
      <c r="G390" s="33" t="s">
        <v>792</v>
      </c>
      <c r="H390" s="33"/>
      <c r="I390" s="33" t="s">
        <v>793</v>
      </c>
      <c r="J390" s="33" t="s">
        <v>2049</v>
      </c>
      <c r="K390" s="33" t="s">
        <v>75</v>
      </c>
      <c r="L390" s="33" t="s">
        <v>1105</v>
      </c>
      <c r="M390" s="43">
        <v>46149.916655092595</v>
      </c>
      <c r="N390" s="33" t="s">
        <v>1969</v>
      </c>
      <c r="O390" s="33" t="s">
        <v>797</v>
      </c>
      <c r="P390" s="33" t="s">
        <v>1963</v>
      </c>
      <c r="Q390" s="43">
        <v>46149.591666666667</v>
      </c>
      <c r="R390" s="43">
        <v>46149.674305555556</v>
      </c>
      <c r="S390" s="58">
        <v>8.2638888888888887E-2</v>
      </c>
      <c r="T390" s="33" t="s">
        <v>799</v>
      </c>
      <c r="U390" s="43">
        <v>46149.865277777775</v>
      </c>
      <c r="V390" s="58">
        <v>4.9305555555555554E-2</v>
      </c>
      <c r="W390" s="33" t="s">
        <v>799</v>
      </c>
      <c r="X390" s="43">
        <v>46149.865277777775</v>
      </c>
      <c r="Y390" s="58">
        <v>4.9305555555555554E-2</v>
      </c>
      <c r="Z390" s="33" t="s">
        <v>799</v>
      </c>
      <c r="AA390" s="43">
        <v>46150.958333333336</v>
      </c>
      <c r="AB390" s="33" t="s">
        <v>81</v>
      </c>
      <c r="AC390" s="33" t="s">
        <v>2076</v>
      </c>
      <c r="AD390" s="58">
        <v>0.32361111111111113</v>
      </c>
      <c r="AE390" s="58">
        <v>0.24166666666666667</v>
      </c>
      <c r="AF390" s="58">
        <v>0.32361111111111113</v>
      </c>
      <c r="AG390" s="33" t="s">
        <v>2165</v>
      </c>
      <c r="AH390" s="33">
        <v>2</v>
      </c>
      <c r="AI390" s="43">
        <v>46149.865277777775</v>
      </c>
      <c r="AJ390" s="33" t="s">
        <v>793</v>
      </c>
      <c r="AK390" s="42">
        <v>1175585.8799999999</v>
      </c>
      <c r="AL390" s="33" t="s">
        <v>1971</v>
      </c>
    </row>
    <row r="391" spans="1:38">
      <c r="A391" s="33">
        <v>6003496</v>
      </c>
      <c r="B391" s="33"/>
      <c r="C391" s="33" t="s">
        <v>789</v>
      </c>
      <c r="D391" s="33" t="s">
        <v>1103</v>
      </c>
      <c r="E391" s="33" t="s">
        <v>2166</v>
      </c>
      <c r="F391" s="43">
        <v>46149.583333333336</v>
      </c>
      <c r="G391" s="33" t="s">
        <v>792</v>
      </c>
      <c r="H391" s="33"/>
      <c r="I391" s="33" t="s">
        <v>793</v>
      </c>
      <c r="J391" s="33" t="s">
        <v>2049</v>
      </c>
      <c r="K391" s="33" t="s">
        <v>75</v>
      </c>
      <c r="L391" s="33" t="s">
        <v>812</v>
      </c>
      <c r="M391" s="43">
        <v>46149.792754629627</v>
      </c>
      <c r="N391" s="33" t="s">
        <v>1106</v>
      </c>
      <c r="O391" s="33" t="s">
        <v>797</v>
      </c>
      <c r="P391" s="33" t="s">
        <v>1963</v>
      </c>
      <c r="Q391" s="33"/>
      <c r="R391" s="33"/>
      <c r="S391" s="33"/>
      <c r="T391" s="33" t="s">
        <v>799</v>
      </c>
      <c r="U391" s="43">
        <v>46149.775000000001</v>
      </c>
      <c r="V391" s="58">
        <v>1.7361111111111112E-2</v>
      </c>
      <c r="W391" s="33" t="s">
        <v>799</v>
      </c>
      <c r="X391" s="43">
        <v>46149.775000000001</v>
      </c>
      <c r="Y391" s="58">
        <v>1.7361111111111112E-2</v>
      </c>
      <c r="Z391" s="33" t="s">
        <v>799</v>
      </c>
      <c r="AA391" s="43">
        <v>46149.958333333336</v>
      </c>
      <c r="AB391" s="33" t="s">
        <v>81</v>
      </c>
      <c r="AC391" s="33" t="s">
        <v>2076</v>
      </c>
      <c r="AD391" s="58">
        <v>0.16041666666666668</v>
      </c>
      <c r="AE391" s="33"/>
      <c r="AF391" s="58">
        <v>0.16041666666666668</v>
      </c>
      <c r="AG391" s="33" t="s">
        <v>1107</v>
      </c>
      <c r="AH391" s="33">
        <v>1</v>
      </c>
      <c r="AI391" s="43">
        <v>46149.775000000001</v>
      </c>
      <c r="AJ391" s="33" t="s">
        <v>793</v>
      </c>
      <c r="AK391" s="42">
        <v>466139</v>
      </c>
      <c r="AL391" s="33" t="s">
        <v>1108</v>
      </c>
    </row>
    <row r="392" spans="1:38">
      <c r="A392" s="33">
        <v>6010795</v>
      </c>
      <c r="B392" s="33"/>
      <c r="C392" s="33" t="s">
        <v>789</v>
      </c>
      <c r="D392" s="33" t="s">
        <v>1732</v>
      </c>
      <c r="E392" s="33" t="s">
        <v>2167</v>
      </c>
      <c r="F392" s="43">
        <v>46149.666666666664</v>
      </c>
      <c r="G392" s="33" t="s">
        <v>227</v>
      </c>
      <c r="H392" s="33"/>
      <c r="I392" s="33" t="s">
        <v>73</v>
      </c>
      <c r="J392" s="33" t="s">
        <v>2168</v>
      </c>
      <c r="K392" s="33" t="s">
        <v>75</v>
      </c>
      <c r="L392" s="33" t="s">
        <v>2169</v>
      </c>
      <c r="M392" s="43">
        <v>46150.300393518519</v>
      </c>
      <c r="N392" s="33" t="s">
        <v>529</v>
      </c>
      <c r="O392" s="33" t="s">
        <v>797</v>
      </c>
      <c r="P392" s="33" t="s">
        <v>79</v>
      </c>
      <c r="Q392" s="33"/>
      <c r="R392" s="33"/>
      <c r="S392" s="33"/>
      <c r="T392" s="33" t="s">
        <v>372</v>
      </c>
      <c r="U392" s="43">
        <v>46149.753472222219</v>
      </c>
      <c r="V392" s="58">
        <v>0.54722222222222228</v>
      </c>
      <c r="W392" s="33" t="s">
        <v>372</v>
      </c>
      <c r="X392" s="43">
        <v>46149.753472222219</v>
      </c>
      <c r="Y392" s="58">
        <v>0.54722222222222228</v>
      </c>
      <c r="Z392" s="33" t="s">
        <v>372</v>
      </c>
      <c r="AA392" s="43">
        <v>46149.958333333336</v>
      </c>
      <c r="AB392" s="33" t="s">
        <v>81</v>
      </c>
      <c r="AC392" s="33" t="s">
        <v>2170</v>
      </c>
      <c r="AD392" s="58">
        <v>0.65694444444444444</v>
      </c>
      <c r="AE392" s="58">
        <v>0.6479166666666667</v>
      </c>
      <c r="AF392" s="58">
        <v>0.65694444444444444</v>
      </c>
      <c r="AG392" s="33" t="s">
        <v>1742</v>
      </c>
      <c r="AH392" s="33">
        <v>2</v>
      </c>
      <c r="AI392" s="43">
        <v>46149.753472222219</v>
      </c>
      <c r="AJ392" s="33" t="s">
        <v>73</v>
      </c>
      <c r="AK392" s="42">
        <v>162075.54999999999</v>
      </c>
      <c r="AL392" s="33" t="s">
        <v>1735</v>
      </c>
    </row>
    <row r="393" spans="1:38">
      <c r="A393" s="33">
        <v>6004972</v>
      </c>
      <c r="B393" s="33"/>
      <c r="C393" s="33" t="s">
        <v>789</v>
      </c>
      <c r="D393" s="33" t="s">
        <v>1032</v>
      </c>
      <c r="E393" s="33" t="s">
        <v>2171</v>
      </c>
      <c r="F393" s="43">
        <v>46149.708333333336</v>
      </c>
      <c r="G393" s="33" t="s">
        <v>792</v>
      </c>
      <c r="H393" s="33"/>
      <c r="I393" s="33" t="s">
        <v>793</v>
      </c>
      <c r="J393" s="33" t="s">
        <v>1312</v>
      </c>
      <c r="K393" s="33" t="s">
        <v>75</v>
      </c>
      <c r="L393" s="33" t="s">
        <v>1148</v>
      </c>
      <c r="M393" s="43">
        <v>46149.814074074071</v>
      </c>
      <c r="N393" s="33" t="s">
        <v>1036</v>
      </c>
      <c r="O393" s="33" t="s">
        <v>93</v>
      </c>
      <c r="P393" s="33" t="s">
        <v>799</v>
      </c>
      <c r="Q393" s="43">
        <v>46149.673611111109</v>
      </c>
      <c r="R393" s="43">
        <v>46149.763888888891</v>
      </c>
      <c r="S393" s="58">
        <v>9.0277777777777776E-2</v>
      </c>
      <c r="T393" s="33" t="s">
        <v>140</v>
      </c>
      <c r="U393" s="43">
        <v>46149.809027777781</v>
      </c>
      <c r="V393" s="33"/>
      <c r="W393" s="33"/>
      <c r="X393" s="33"/>
      <c r="Y393" s="33"/>
      <c r="Z393" s="33" t="s">
        <v>140</v>
      </c>
      <c r="AA393" s="43">
        <v>46149.916666666664</v>
      </c>
      <c r="AB393" s="33" t="s">
        <v>81</v>
      </c>
      <c r="AC393" s="33" t="s">
        <v>1314</v>
      </c>
      <c r="AD393" s="58">
        <v>0.17083333333333334</v>
      </c>
      <c r="AE393" s="33"/>
      <c r="AF393" s="58">
        <v>0.17083333333333334</v>
      </c>
      <c r="AG393" s="33" t="s">
        <v>1279</v>
      </c>
      <c r="AH393" s="33">
        <v>2</v>
      </c>
      <c r="AI393" s="43">
        <v>46149.809027777781</v>
      </c>
      <c r="AJ393" s="33" t="s">
        <v>793</v>
      </c>
      <c r="AK393" s="42">
        <v>1210154.3999999999</v>
      </c>
      <c r="AL393" s="33" t="s">
        <v>1039</v>
      </c>
    </row>
    <row r="394" spans="1:38">
      <c r="A394" s="33">
        <v>5980348</v>
      </c>
      <c r="B394" s="33"/>
      <c r="C394" s="33" t="s">
        <v>789</v>
      </c>
      <c r="D394" s="33" t="s">
        <v>1366</v>
      </c>
      <c r="E394" s="33" t="s">
        <v>2172</v>
      </c>
      <c r="F394" s="43">
        <v>46149.666666666664</v>
      </c>
      <c r="G394" s="33" t="s">
        <v>792</v>
      </c>
      <c r="H394" s="33"/>
      <c r="I394" s="33" t="s">
        <v>793</v>
      </c>
      <c r="J394" s="33" t="s">
        <v>1049</v>
      </c>
      <c r="K394" s="33" t="s">
        <v>75</v>
      </c>
      <c r="L394" s="33" t="s">
        <v>1148</v>
      </c>
      <c r="M394" s="43">
        <v>46149.687314814815</v>
      </c>
      <c r="N394" s="33" t="s">
        <v>796</v>
      </c>
      <c r="O394" s="33" t="s">
        <v>797</v>
      </c>
      <c r="P394" s="33" t="s">
        <v>799</v>
      </c>
      <c r="Q394" s="33"/>
      <c r="R394" s="33"/>
      <c r="S394" s="33"/>
      <c r="T394" s="33" t="s">
        <v>140</v>
      </c>
      <c r="U394" s="33"/>
      <c r="V394" s="33"/>
      <c r="W394" s="33" t="s">
        <v>140</v>
      </c>
      <c r="X394" s="33"/>
      <c r="Y394" s="33"/>
      <c r="Z394" s="33" t="s">
        <v>140</v>
      </c>
      <c r="AA394" s="43">
        <v>46150.666666666664</v>
      </c>
      <c r="AB394" s="33" t="s">
        <v>81</v>
      </c>
      <c r="AC394" s="33" t="s">
        <v>1053</v>
      </c>
      <c r="AD394" s="58">
        <v>3.6111111111111108E-2</v>
      </c>
      <c r="AE394" s="33"/>
      <c r="AF394" s="58">
        <v>3.6111111111111108E-2</v>
      </c>
      <c r="AG394" s="33" t="s">
        <v>1369</v>
      </c>
      <c r="AH394" s="33">
        <v>0</v>
      </c>
      <c r="AI394" s="43">
        <v>46151.354166666664</v>
      </c>
      <c r="AJ394" s="33" t="s">
        <v>793</v>
      </c>
      <c r="AK394" s="42">
        <v>612494.68000000005</v>
      </c>
      <c r="AL394" s="33" t="s">
        <v>1370</v>
      </c>
    </row>
    <row r="395" spans="1:38">
      <c r="A395" s="33">
        <v>6004146</v>
      </c>
      <c r="B395" s="33"/>
      <c r="C395" s="33" t="s">
        <v>789</v>
      </c>
      <c r="D395" s="33" t="s">
        <v>1689</v>
      </c>
      <c r="E395" s="33" t="s">
        <v>2173</v>
      </c>
      <c r="F395" s="43">
        <v>46149.75</v>
      </c>
      <c r="G395" s="33" t="s">
        <v>792</v>
      </c>
      <c r="H395" s="33"/>
      <c r="I395" s="33" t="s">
        <v>793</v>
      </c>
      <c r="J395" s="33" t="s">
        <v>1312</v>
      </c>
      <c r="K395" s="33" t="s">
        <v>75</v>
      </c>
      <c r="L395" s="33" t="s">
        <v>1184</v>
      </c>
      <c r="M395" s="43">
        <v>46149.912152777775</v>
      </c>
      <c r="N395" s="33" t="s">
        <v>1692</v>
      </c>
      <c r="O395" s="33" t="s">
        <v>797</v>
      </c>
      <c r="P395" s="33" t="s">
        <v>799</v>
      </c>
      <c r="Q395" s="43">
        <v>46149.656944444447</v>
      </c>
      <c r="R395" s="43">
        <v>46149.746527777781</v>
      </c>
      <c r="S395" s="58">
        <v>8.9583333333333334E-2</v>
      </c>
      <c r="T395" s="33" t="s">
        <v>140</v>
      </c>
      <c r="U395" s="43">
        <v>46149.793749999997</v>
      </c>
      <c r="V395" s="58">
        <v>0.12222222222222222</v>
      </c>
      <c r="W395" s="33" t="s">
        <v>140</v>
      </c>
      <c r="X395" s="43">
        <v>46149.793749999997</v>
      </c>
      <c r="Y395" s="58">
        <v>0.12222222222222222</v>
      </c>
      <c r="Z395" s="33" t="s">
        <v>140</v>
      </c>
      <c r="AA395" s="43">
        <v>46150.75</v>
      </c>
      <c r="AB395" s="33" t="s">
        <v>81</v>
      </c>
      <c r="AC395" s="33" t="s">
        <v>1314</v>
      </c>
      <c r="AD395" s="58">
        <v>0.26180555555555557</v>
      </c>
      <c r="AE395" s="58">
        <v>0.16527777777777777</v>
      </c>
      <c r="AF395" s="58">
        <v>0.26180555555555557</v>
      </c>
      <c r="AG395" s="33" t="s">
        <v>1693</v>
      </c>
      <c r="AH395" s="33">
        <v>2</v>
      </c>
      <c r="AI395" s="43">
        <v>46149.793749999997</v>
      </c>
      <c r="AJ395" s="33" t="s">
        <v>793</v>
      </c>
      <c r="AK395" s="42">
        <v>855386.4</v>
      </c>
      <c r="AL395" s="33" t="s">
        <v>1694</v>
      </c>
    </row>
    <row r="396" spans="1:38">
      <c r="A396" s="33">
        <v>6006030</v>
      </c>
      <c r="B396" s="33"/>
      <c r="C396" s="33" t="s">
        <v>789</v>
      </c>
      <c r="D396" s="33" t="s">
        <v>931</v>
      </c>
      <c r="E396" s="33" t="s">
        <v>2174</v>
      </c>
      <c r="F396" s="43">
        <v>46149.708333333336</v>
      </c>
      <c r="G396" s="33" t="s">
        <v>792</v>
      </c>
      <c r="H396" s="33"/>
      <c r="I396" s="33" t="s">
        <v>793</v>
      </c>
      <c r="J396" s="33" t="s">
        <v>2049</v>
      </c>
      <c r="K396" s="33" t="s">
        <v>873</v>
      </c>
      <c r="L396" s="33" t="s">
        <v>795</v>
      </c>
      <c r="M396" s="43">
        <v>46149.962685185186</v>
      </c>
      <c r="N396" s="33" t="s">
        <v>933</v>
      </c>
      <c r="O396" s="33" t="s">
        <v>797</v>
      </c>
      <c r="P396" s="33" t="s">
        <v>1963</v>
      </c>
      <c r="Q396" s="43">
        <v>46149.682638888888</v>
      </c>
      <c r="R396" s="43">
        <v>46149.743750000001</v>
      </c>
      <c r="S396" s="58">
        <v>6.1111111111111109E-2</v>
      </c>
      <c r="T396" s="33" t="s">
        <v>799</v>
      </c>
      <c r="U396" s="43">
        <v>46149.906944444447</v>
      </c>
      <c r="V396" s="58">
        <v>5.5555555555555552E-2</v>
      </c>
      <c r="W396" s="33" t="s">
        <v>799</v>
      </c>
      <c r="X396" s="43">
        <v>46149.906944444447</v>
      </c>
      <c r="Y396" s="58">
        <v>5.5555555555555552E-2</v>
      </c>
      <c r="Z396" s="33" t="s">
        <v>799</v>
      </c>
      <c r="AA396" s="43">
        <v>46150.916666666664</v>
      </c>
      <c r="AB396" s="33" t="s">
        <v>81</v>
      </c>
      <c r="AC396" s="33" t="s">
        <v>2076</v>
      </c>
      <c r="AD396" s="58">
        <v>0.28055555555555556</v>
      </c>
      <c r="AE396" s="58">
        <v>0.21875</v>
      </c>
      <c r="AF396" s="58">
        <v>0.28055555555555556</v>
      </c>
      <c r="AG396" s="33" t="s">
        <v>935</v>
      </c>
      <c r="AH396" s="33">
        <v>2</v>
      </c>
      <c r="AI396" s="43">
        <v>46149.906944444447</v>
      </c>
      <c r="AJ396" s="33" t="s">
        <v>793</v>
      </c>
      <c r="AK396" s="42">
        <v>602905.02</v>
      </c>
      <c r="AL396" s="33" t="s">
        <v>936</v>
      </c>
    </row>
    <row r="397" spans="1:38">
      <c r="A397" s="33">
        <v>6004119</v>
      </c>
      <c r="B397" s="33"/>
      <c r="C397" s="33" t="s">
        <v>789</v>
      </c>
      <c r="D397" s="33" t="s">
        <v>809</v>
      </c>
      <c r="E397" s="33" t="s">
        <v>2175</v>
      </c>
      <c r="F397" s="43">
        <v>46149.708333333336</v>
      </c>
      <c r="G397" s="33" t="s">
        <v>792</v>
      </c>
      <c r="H397" s="33"/>
      <c r="I397" s="33" t="s">
        <v>793</v>
      </c>
      <c r="J397" s="33" t="s">
        <v>2049</v>
      </c>
      <c r="K397" s="33" t="s">
        <v>75</v>
      </c>
      <c r="L397" s="33" t="s">
        <v>812</v>
      </c>
      <c r="M397" s="43">
        <v>46149.917604166665</v>
      </c>
      <c r="N397" s="33" t="s">
        <v>813</v>
      </c>
      <c r="O397" s="33" t="s">
        <v>797</v>
      </c>
      <c r="P397" s="33" t="s">
        <v>1963</v>
      </c>
      <c r="Q397" s="43">
        <v>46149.684027777781</v>
      </c>
      <c r="R397" s="43">
        <v>46149.763194444444</v>
      </c>
      <c r="S397" s="58">
        <v>7.9166666666666663E-2</v>
      </c>
      <c r="T397" s="33" t="s">
        <v>799</v>
      </c>
      <c r="U397" s="43">
        <v>46149.886111111111</v>
      </c>
      <c r="V397" s="58">
        <v>2.9861111111111113E-2</v>
      </c>
      <c r="W397" s="33" t="s">
        <v>799</v>
      </c>
      <c r="X397" s="43">
        <v>46149.886111111111</v>
      </c>
      <c r="Y397" s="58">
        <v>2.9861111111111113E-2</v>
      </c>
      <c r="Z397" s="33" t="s">
        <v>799</v>
      </c>
      <c r="AA397" s="43">
        <v>46149.958333333336</v>
      </c>
      <c r="AB397" s="33" t="s">
        <v>81</v>
      </c>
      <c r="AC397" s="33" t="s">
        <v>2076</v>
      </c>
      <c r="AD397" s="58">
        <v>0.2326388888888889</v>
      </c>
      <c r="AE397" s="58">
        <v>0.15347222222222223</v>
      </c>
      <c r="AF397" s="58">
        <v>0.2326388888888889</v>
      </c>
      <c r="AG397" s="33" t="s">
        <v>815</v>
      </c>
      <c r="AH397" s="33">
        <v>2</v>
      </c>
      <c r="AI397" s="43">
        <v>46149.886111111111</v>
      </c>
      <c r="AJ397" s="33" t="s">
        <v>793</v>
      </c>
      <c r="AK397" s="42">
        <v>557324.4</v>
      </c>
      <c r="AL397" s="33" t="s">
        <v>816</v>
      </c>
    </row>
    <row r="398" spans="1:38">
      <c r="A398" s="33" t="s">
        <v>2176</v>
      </c>
      <c r="B398" s="33"/>
      <c r="C398" s="33" t="s">
        <v>789</v>
      </c>
      <c r="D398" s="33" t="s">
        <v>2177</v>
      </c>
      <c r="E398" s="33" t="s">
        <v>2178</v>
      </c>
      <c r="F398" s="43">
        <v>46149.688194444447</v>
      </c>
      <c r="G398" s="33" t="s">
        <v>216</v>
      </c>
      <c r="H398" s="33"/>
      <c r="I398" s="33" t="s">
        <v>73</v>
      </c>
      <c r="J398" s="33" t="s">
        <v>2179</v>
      </c>
      <c r="K398" s="33" t="s">
        <v>75</v>
      </c>
      <c r="L398" s="33" t="s">
        <v>2180</v>
      </c>
      <c r="M398" s="43">
        <v>46150.961111111108</v>
      </c>
      <c r="N398" s="33" t="s">
        <v>2181</v>
      </c>
      <c r="O398" s="33" t="s">
        <v>797</v>
      </c>
      <c r="P398" s="33" t="s">
        <v>140</v>
      </c>
      <c r="Q398" s="43">
        <v>46149.69027777778</v>
      </c>
      <c r="R398" s="43">
        <v>46149.702777777777</v>
      </c>
      <c r="S398" s="58">
        <v>1.2500000000000001E-2</v>
      </c>
      <c r="T398" s="33" t="s">
        <v>350</v>
      </c>
      <c r="U398" s="33"/>
      <c r="V398" s="33"/>
      <c r="W398" s="33"/>
      <c r="X398" s="33"/>
      <c r="Y398" s="33"/>
      <c r="Z398" s="33" t="s">
        <v>350</v>
      </c>
      <c r="AA398" s="43">
        <v>46154.333333333336</v>
      </c>
      <c r="AB398" s="33" t="s">
        <v>2182</v>
      </c>
      <c r="AC398" s="33" t="s">
        <v>2183</v>
      </c>
      <c r="AD398" s="44">
        <v>1.9694444444444446</v>
      </c>
      <c r="AE398" s="33"/>
      <c r="AF398" s="44">
        <v>1.9694444444444446</v>
      </c>
      <c r="AG398" s="33"/>
      <c r="AH398" s="33">
        <v>1</v>
      </c>
      <c r="AI398" s="43">
        <v>46151.163194444445</v>
      </c>
      <c r="AJ398" s="33" t="s">
        <v>73</v>
      </c>
      <c r="AK398" s="42">
        <v>828275.19999999995</v>
      </c>
      <c r="AL398" s="33" t="s">
        <v>2184</v>
      </c>
    </row>
    <row r="399" spans="1:38">
      <c r="A399" s="33">
        <v>6001500</v>
      </c>
      <c r="B399" s="33"/>
      <c r="C399" s="33" t="s">
        <v>789</v>
      </c>
      <c r="D399" s="33" t="s">
        <v>1261</v>
      </c>
      <c r="E399" s="33" t="s">
        <v>2185</v>
      </c>
      <c r="F399" s="43">
        <v>46149.833333333336</v>
      </c>
      <c r="G399" s="33" t="s">
        <v>792</v>
      </c>
      <c r="H399" s="33"/>
      <c r="I399" s="33" t="s">
        <v>793</v>
      </c>
      <c r="J399" s="33" t="s">
        <v>1781</v>
      </c>
      <c r="K399" s="33" t="s">
        <v>75</v>
      </c>
      <c r="L399" s="33" t="s">
        <v>1094</v>
      </c>
      <c r="M399" s="43">
        <v>46149.916493055556</v>
      </c>
      <c r="N399" s="33" t="s">
        <v>1265</v>
      </c>
      <c r="O399" s="33" t="s">
        <v>797</v>
      </c>
      <c r="P399" s="33" t="s">
        <v>799</v>
      </c>
      <c r="Q399" s="43">
        <v>46149.759722222225</v>
      </c>
      <c r="R399" s="43">
        <v>46149.785416666666</v>
      </c>
      <c r="S399" s="58">
        <v>2.5694444444444443E-2</v>
      </c>
      <c r="T399" s="33" t="s">
        <v>140</v>
      </c>
      <c r="U399" s="43">
        <v>46149.828472222223</v>
      </c>
      <c r="V399" s="58">
        <v>8.819444444444445E-2</v>
      </c>
      <c r="W399" s="33" t="s">
        <v>140</v>
      </c>
      <c r="X399" s="43">
        <v>46149.828472222223</v>
      </c>
      <c r="Y399" s="58">
        <v>8.819444444444445E-2</v>
      </c>
      <c r="Z399" s="33" t="s">
        <v>140</v>
      </c>
      <c r="AA399" s="43">
        <v>46149.875</v>
      </c>
      <c r="AB399" s="33" t="s">
        <v>81</v>
      </c>
      <c r="AC399" s="33" t="s">
        <v>1314</v>
      </c>
      <c r="AD399" s="58">
        <v>0.21388888888888888</v>
      </c>
      <c r="AE399" s="58">
        <v>0.13055555555555556</v>
      </c>
      <c r="AF399" s="58">
        <v>0.21388888888888888</v>
      </c>
      <c r="AG399" s="33" t="s">
        <v>1267</v>
      </c>
      <c r="AH399" s="33">
        <v>2</v>
      </c>
      <c r="AI399" s="43">
        <v>46149.828472222223</v>
      </c>
      <c r="AJ399" s="33" t="s">
        <v>793</v>
      </c>
      <c r="AK399" s="42">
        <v>1018319.64</v>
      </c>
      <c r="AL399" s="33" t="s">
        <v>1268</v>
      </c>
    </row>
    <row r="400" spans="1:38">
      <c r="A400" s="33">
        <v>6003598</v>
      </c>
      <c r="B400" s="33"/>
      <c r="C400" s="33" t="s">
        <v>789</v>
      </c>
      <c r="D400" s="33" t="s">
        <v>2186</v>
      </c>
      <c r="E400" s="33" t="s">
        <v>2187</v>
      </c>
      <c r="F400" s="43">
        <v>46150.583333333336</v>
      </c>
      <c r="G400" s="33" t="s">
        <v>89</v>
      </c>
      <c r="H400" s="33"/>
      <c r="I400" s="33" t="s">
        <v>73</v>
      </c>
      <c r="J400" s="33" t="s">
        <v>2188</v>
      </c>
      <c r="K400" s="33" t="s">
        <v>75</v>
      </c>
      <c r="L400" s="33"/>
      <c r="M400" s="43">
        <v>46154.667824074073</v>
      </c>
      <c r="N400" s="33" t="s">
        <v>2189</v>
      </c>
      <c r="O400" s="33" t="s">
        <v>797</v>
      </c>
      <c r="P400" s="33" t="s">
        <v>79</v>
      </c>
      <c r="Q400" s="33"/>
      <c r="R400" s="33"/>
      <c r="S400" s="33"/>
      <c r="T400" s="33" t="s">
        <v>2190</v>
      </c>
      <c r="U400" s="43">
        <v>46153.913888888892</v>
      </c>
      <c r="V400" s="58">
        <v>0.75486111111111109</v>
      </c>
      <c r="W400" s="33" t="s">
        <v>2190</v>
      </c>
      <c r="X400" s="43">
        <v>46153.913888888892</v>
      </c>
      <c r="Y400" s="58">
        <v>0.75486111111111109</v>
      </c>
      <c r="Z400" s="33" t="s">
        <v>2190</v>
      </c>
      <c r="AA400" s="43">
        <v>46154.333333333336</v>
      </c>
      <c r="AB400" s="33" t="s">
        <v>81</v>
      </c>
      <c r="AC400" s="33" t="s">
        <v>2191</v>
      </c>
      <c r="AD400" s="44">
        <v>4.3118055555555559</v>
      </c>
      <c r="AE400" s="33"/>
      <c r="AF400" s="44">
        <v>4.3118055555555559</v>
      </c>
      <c r="AG400" s="33" t="s">
        <v>2192</v>
      </c>
      <c r="AH400" s="33">
        <v>1</v>
      </c>
      <c r="AI400" s="43">
        <v>46153.913888888892</v>
      </c>
      <c r="AJ400" s="33" t="s">
        <v>73</v>
      </c>
      <c r="AK400" s="42">
        <v>171632.25</v>
      </c>
      <c r="AL400" s="33" t="s">
        <v>2193</v>
      </c>
    </row>
    <row r="401" spans="1:38">
      <c r="A401" s="33">
        <v>6001771</v>
      </c>
      <c r="B401" s="33"/>
      <c r="C401" s="33" t="s">
        <v>789</v>
      </c>
      <c r="D401" s="33" t="s">
        <v>1163</v>
      </c>
      <c r="E401" s="33" t="s">
        <v>2194</v>
      </c>
      <c r="F401" s="43">
        <v>46149.708333333336</v>
      </c>
      <c r="G401" s="33" t="s">
        <v>792</v>
      </c>
      <c r="H401" s="33"/>
      <c r="I401" s="33" t="s">
        <v>793</v>
      </c>
      <c r="J401" s="33" t="s">
        <v>1392</v>
      </c>
      <c r="K401" s="33" t="s">
        <v>380</v>
      </c>
      <c r="L401" s="33" t="s">
        <v>966</v>
      </c>
      <c r="M401" s="43">
        <v>46150.130659722221</v>
      </c>
      <c r="N401" s="33" t="s">
        <v>1167</v>
      </c>
      <c r="O401" s="33" t="s">
        <v>797</v>
      </c>
      <c r="P401" s="33" t="s">
        <v>1963</v>
      </c>
      <c r="Q401" s="43">
        <v>46149.724305555559</v>
      </c>
      <c r="R401" s="43">
        <v>46149.738194444442</v>
      </c>
      <c r="S401" s="58">
        <v>1.3888888888888888E-2</v>
      </c>
      <c r="T401" s="33" t="s">
        <v>799</v>
      </c>
      <c r="U401" s="43">
        <v>46149.870138888888</v>
      </c>
      <c r="V401" s="58">
        <v>0.12152777777777778</v>
      </c>
      <c r="W401" s="33"/>
      <c r="X401" s="33"/>
      <c r="Y401" s="33"/>
      <c r="Z401" s="33" t="s">
        <v>799</v>
      </c>
      <c r="AA401" s="43">
        <v>46150.958333333336</v>
      </c>
      <c r="AB401" s="33" t="s">
        <v>1850</v>
      </c>
      <c r="AC401" s="33" t="s">
        <v>1395</v>
      </c>
      <c r="AD401" s="58">
        <v>0.40833333333333333</v>
      </c>
      <c r="AE401" s="33"/>
      <c r="AF401" s="58">
        <v>0.40833333333333333</v>
      </c>
      <c r="AG401" s="33" t="s">
        <v>1171</v>
      </c>
      <c r="AH401" s="33">
        <v>2</v>
      </c>
      <c r="AI401" s="43">
        <v>46149.870138888888</v>
      </c>
      <c r="AJ401" s="33" t="s">
        <v>793</v>
      </c>
      <c r="AK401" s="42">
        <v>988569.66</v>
      </c>
      <c r="AL401" s="33" t="s">
        <v>1172</v>
      </c>
    </row>
    <row r="402" spans="1:38">
      <c r="A402" s="33">
        <v>6013092</v>
      </c>
      <c r="B402" s="33"/>
      <c r="C402" s="33" t="s">
        <v>789</v>
      </c>
      <c r="D402" s="33" t="s">
        <v>2195</v>
      </c>
      <c r="E402" s="33" t="s">
        <v>2196</v>
      </c>
      <c r="F402" s="43">
        <v>46149.75</v>
      </c>
      <c r="G402" s="33" t="s">
        <v>2197</v>
      </c>
      <c r="H402" s="33"/>
      <c r="I402" s="33" t="s">
        <v>73</v>
      </c>
      <c r="J402" s="33" t="s">
        <v>2198</v>
      </c>
      <c r="K402" s="33" t="s">
        <v>2199</v>
      </c>
      <c r="L402" s="33" t="s">
        <v>2200</v>
      </c>
      <c r="M402" s="43">
        <v>46150.526898148149</v>
      </c>
      <c r="N402" s="33" t="s">
        <v>2201</v>
      </c>
      <c r="O402" s="33" t="s">
        <v>868</v>
      </c>
      <c r="P402" s="33" t="s">
        <v>140</v>
      </c>
      <c r="Q402" s="33"/>
      <c r="R402" s="33"/>
      <c r="S402" s="33"/>
      <c r="T402" s="33" t="s">
        <v>2202</v>
      </c>
      <c r="U402" s="43">
        <v>46150.379861111112</v>
      </c>
      <c r="V402" s="58">
        <v>0.14652777777777778</v>
      </c>
      <c r="W402" s="33"/>
      <c r="X402" s="33"/>
      <c r="Y402" s="33"/>
      <c r="Z402" s="33" t="s">
        <v>2202</v>
      </c>
      <c r="AA402" s="43">
        <v>46150.416666666664</v>
      </c>
      <c r="AB402" s="33" t="s">
        <v>81</v>
      </c>
      <c r="AC402" s="33" t="s">
        <v>81</v>
      </c>
      <c r="AD402" s="58">
        <v>0.80625000000000002</v>
      </c>
      <c r="AE402" s="33"/>
      <c r="AF402" s="58">
        <v>0.80625000000000002</v>
      </c>
      <c r="AG402" s="33"/>
      <c r="AH402" s="33">
        <v>1</v>
      </c>
      <c r="AI402" s="43">
        <v>46150.401388888888</v>
      </c>
      <c r="AJ402" s="33" t="s">
        <v>73</v>
      </c>
      <c r="AK402" s="42">
        <v>181909.97</v>
      </c>
      <c r="AL402" s="33" t="s">
        <v>2203</v>
      </c>
    </row>
    <row r="403" spans="1:38">
      <c r="A403" s="33">
        <v>5996487</v>
      </c>
      <c r="B403" s="33"/>
      <c r="C403" s="33" t="s">
        <v>789</v>
      </c>
      <c r="D403" s="33" t="s">
        <v>1980</v>
      </c>
      <c r="E403" s="33" t="s">
        <v>2204</v>
      </c>
      <c r="F403" s="43">
        <v>46149.75</v>
      </c>
      <c r="G403" s="33" t="s">
        <v>792</v>
      </c>
      <c r="H403" s="33"/>
      <c r="I403" s="33" t="s">
        <v>793</v>
      </c>
      <c r="J403" s="33" t="s">
        <v>1781</v>
      </c>
      <c r="K403" s="33" t="s">
        <v>273</v>
      </c>
      <c r="L403" s="33" t="s">
        <v>2205</v>
      </c>
      <c r="M403" s="43">
        <v>46150.06753472222</v>
      </c>
      <c r="N403" s="33" t="s">
        <v>1982</v>
      </c>
      <c r="O403" s="33" t="s">
        <v>797</v>
      </c>
      <c r="P403" s="33" t="s">
        <v>799</v>
      </c>
      <c r="Q403" s="43">
        <v>46149.713194444441</v>
      </c>
      <c r="R403" s="43">
        <v>46149.763194444444</v>
      </c>
      <c r="S403" s="58">
        <v>0.05</v>
      </c>
      <c r="T403" s="33" t="s">
        <v>140</v>
      </c>
      <c r="U403" s="43">
        <v>46149.814583333333</v>
      </c>
      <c r="V403" s="58">
        <v>2.7777777777777779E-3</v>
      </c>
      <c r="W403" s="33"/>
      <c r="X403" s="33"/>
      <c r="Y403" s="33"/>
      <c r="Z403" s="33" t="s">
        <v>140</v>
      </c>
      <c r="AA403" s="43">
        <v>46149.875</v>
      </c>
      <c r="AB403" s="33" t="s">
        <v>1700</v>
      </c>
      <c r="AC403" s="33" t="s">
        <v>1314</v>
      </c>
      <c r="AD403" s="58">
        <v>0.35902777777777778</v>
      </c>
      <c r="AE403" s="33"/>
      <c r="AF403" s="58">
        <v>0.35902777777777778</v>
      </c>
      <c r="AG403" s="33" t="s">
        <v>1983</v>
      </c>
      <c r="AH403" s="33">
        <v>2</v>
      </c>
      <c r="AI403" s="43">
        <v>46149.814583333333</v>
      </c>
      <c r="AJ403" s="33" t="s">
        <v>793</v>
      </c>
      <c r="AK403" s="42">
        <v>770338.96</v>
      </c>
      <c r="AL403" s="33" t="s">
        <v>1984</v>
      </c>
    </row>
    <row r="404" spans="1:38">
      <c r="A404" s="33">
        <v>6004007</v>
      </c>
      <c r="B404" s="33"/>
      <c r="C404" s="33" t="s">
        <v>789</v>
      </c>
      <c r="D404" s="33" t="s">
        <v>1343</v>
      </c>
      <c r="E404" s="33" t="s">
        <v>2206</v>
      </c>
      <c r="F404" s="43">
        <v>46149.833333333336</v>
      </c>
      <c r="G404" s="33" t="s">
        <v>792</v>
      </c>
      <c r="H404" s="33"/>
      <c r="I404" s="33" t="s">
        <v>793</v>
      </c>
      <c r="J404" s="33" t="s">
        <v>1781</v>
      </c>
      <c r="K404" s="33" t="s">
        <v>75</v>
      </c>
      <c r="L404" s="33" t="s">
        <v>2207</v>
      </c>
      <c r="M404" s="43">
        <v>46150.154872685183</v>
      </c>
      <c r="N404" s="33" t="s">
        <v>1345</v>
      </c>
      <c r="O404" s="33" t="s">
        <v>797</v>
      </c>
      <c r="P404" s="33" t="s">
        <v>799</v>
      </c>
      <c r="Q404" s="33"/>
      <c r="R404" s="33"/>
      <c r="S404" s="33"/>
      <c r="T404" s="33" t="s">
        <v>140</v>
      </c>
      <c r="U404" s="43">
        <v>46149.714583333334</v>
      </c>
      <c r="V404" s="58">
        <v>1.9444444444444445E-2</v>
      </c>
      <c r="W404" s="33"/>
      <c r="X404" s="33"/>
      <c r="Y404" s="33"/>
      <c r="Z404" s="33" t="s">
        <v>140</v>
      </c>
      <c r="AA404" s="43">
        <v>46149.875</v>
      </c>
      <c r="AB404" s="33" t="s">
        <v>2083</v>
      </c>
      <c r="AC404" s="33" t="s">
        <v>1314</v>
      </c>
      <c r="AD404" s="58">
        <v>0.43958333333333333</v>
      </c>
      <c r="AE404" s="33"/>
      <c r="AF404" s="58">
        <v>0.43958333333333333</v>
      </c>
      <c r="AG404" s="33" t="s">
        <v>1346</v>
      </c>
      <c r="AH404" s="33">
        <v>1</v>
      </c>
      <c r="AI404" s="43">
        <v>46149.714583333334</v>
      </c>
      <c r="AJ404" s="33" t="s">
        <v>793</v>
      </c>
      <c r="AK404" s="42">
        <v>734876.8</v>
      </c>
      <c r="AL404" s="33" t="s">
        <v>1347</v>
      </c>
    </row>
    <row r="405" spans="1:38">
      <c r="A405" s="33">
        <v>6006633</v>
      </c>
      <c r="B405" s="33"/>
      <c r="C405" s="33" t="s">
        <v>789</v>
      </c>
      <c r="D405" s="33" t="s">
        <v>2208</v>
      </c>
      <c r="E405" s="33" t="s">
        <v>2209</v>
      </c>
      <c r="F405" s="43">
        <v>46149.75</v>
      </c>
      <c r="G405" s="33" t="s">
        <v>72</v>
      </c>
      <c r="H405" s="33"/>
      <c r="I405" s="33" t="s">
        <v>73</v>
      </c>
      <c r="J405" s="33" t="s">
        <v>2210</v>
      </c>
      <c r="K405" s="33" t="s">
        <v>75</v>
      </c>
      <c r="L405" s="33" t="s">
        <v>2211</v>
      </c>
      <c r="M405" s="43">
        <v>46150.384201388886</v>
      </c>
      <c r="N405" s="33" t="s">
        <v>2212</v>
      </c>
      <c r="O405" s="33" t="s">
        <v>797</v>
      </c>
      <c r="P405" s="33" t="s">
        <v>140</v>
      </c>
      <c r="Q405" s="43">
        <v>46149.814583333333</v>
      </c>
      <c r="R405" s="43">
        <v>46150.200694444444</v>
      </c>
      <c r="S405" s="58">
        <v>0.38611111111111113</v>
      </c>
      <c r="T405" s="33" t="s">
        <v>327</v>
      </c>
      <c r="U405" s="43">
        <v>46150.205555555556</v>
      </c>
      <c r="V405" s="58">
        <v>0.14097222222222222</v>
      </c>
      <c r="W405" s="33" t="s">
        <v>327</v>
      </c>
      <c r="X405" s="43">
        <v>46150.205555555556</v>
      </c>
      <c r="Y405" s="58">
        <v>0.17916666666666667</v>
      </c>
      <c r="Z405" s="33" t="s">
        <v>327</v>
      </c>
      <c r="AA405" s="43">
        <v>46150.25</v>
      </c>
      <c r="AB405" s="33" t="s">
        <v>81</v>
      </c>
      <c r="AC405" s="33" t="s">
        <v>2213</v>
      </c>
      <c r="AD405" s="58">
        <v>0.62847222222222221</v>
      </c>
      <c r="AE405" s="58">
        <v>0.16805555555555557</v>
      </c>
      <c r="AF405" s="58">
        <v>0.62847222222222221</v>
      </c>
      <c r="AG405" s="33"/>
      <c r="AH405" s="33">
        <v>2</v>
      </c>
      <c r="AI405" s="43">
        <v>46150.205555555556</v>
      </c>
      <c r="AJ405" s="33" t="s">
        <v>73</v>
      </c>
      <c r="AK405" s="42">
        <v>134682.48000000001</v>
      </c>
      <c r="AL405" s="33" t="s">
        <v>2214</v>
      </c>
    </row>
    <row r="406" spans="1:38">
      <c r="A406" s="33">
        <v>6001752</v>
      </c>
      <c r="B406" s="33"/>
      <c r="C406" s="33" t="s">
        <v>789</v>
      </c>
      <c r="D406" s="33" t="s">
        <v>1074</v>
      </c>
      <c r="E406" s="33" t="s">
        <v>2215</v>
      </c>
      <c r="F406" s="43">
        <v>46149.75</v>
      </c>
      <c r="G406" s="33" t="s">
        <v>792</v>
      </c>
      <c r="H406" s="33"/>
      <c r="I406" s="33" t="s">
        <v>793</v>
      </c>
      <c r="J406" s="33" t="s">
        <v>2049</v>
      </c>
      <c r="K406" s="33" t="s">
        <v>75</v>
      </c>
      <c r="L406" s="33" t="s">
        <v>1778</v>
      </c>
      <c r="M406" s="43">
        <v>46150.017627314817</v>
      </c>
      <c r="N406" s="33" t="s">
        <v>1078</v>
      </c>
      <c r="O406" s="33" t="s">
        <v>797</v>
      </c>
      <c r="P406" s="33" t="s">
        <v>1963</v>
      </c>
      <c r="Q406" s="43">
        <v>46149.763194444444</v>
      </c>
      <c r="R406" s="43">
        <v>46149.837500000001</v>
      </c>
      <c r="S406" s="58">
        <v>7.4305555555555555E-2</v>
      </c>
      <c r="T406" s="33" t="s">
        <v>799</v>
      </c>
      <c r="U406" s="43">
        <v>46149.992361111108</v>
      </c>
      <c r="V406" s="58">
        <v>2.5000000000000001E-2</v>
      </c>
      <c r="W406" s="33" t="s">
        <v>799</v>
      </c>
      <c r="X406" s="43">
        <v>46149.992361111108</v>
      </c>
      <c r="Y406" s="58">
        <v>2.5000000000000001E-2</v>
      </c>
      <c r="Z406" s="33" t="s">
        <v>799</v>
      </c>
      <c r="AA406" s="43">
        <v>46150.958333333336</v>
      </c>
      <c r="AB406" s="33" t="s">
        <v>81</v>
      </c>
      <c r="AC406" s="33" t="s">
        <v>2076</v>
      </c>
      <c r="AD406" s="58">
        <v>0.29236111111111113</v>
      </c>
      <c r="AE406" s="58">
        <v>0.17986111111111111</v>
      </c>
      <c r="AF406" s="58">
        <v>0.29236111111111113</v>
      </c>
      <c r="AG406" s="33" t="s">
        <v>1080</v>
      </c>
      <c r="AH406" s="33">
        <v>2</v>
      </c>
      <c r="AI406" s="43">
        <v>46149.992361111108</v>
      </c>
      <c r="AJ406" s="33" t="s">
        <v>793</v>
      </c>
      <c r="AK406" s="42">
        <v>490004.37</v>
      </c>
      <c r="AL406" s="33" t="s">
        <v>1081</v>
      </c>
    </row>
    <row r="407" spans="1:38">
      <c r="A407" s="33">
        <v>6006664</v>
      </c>
      <c r="B407" s="33"/>
      <c r="C407" s="33" t="s">
        <v>789</v>
      </c>
      <c r="D407" s="33" t="s">
        <v>1708</v>
      </c>
      <c r="E407" s="33" t="s">
        <v>2216</v>
      </c>
      <c r="F407" s="43">
        <v>46149.75</v>
      </c>
      <c r="G407" s="33" t="s">
        <v>792</v>
      </c>
      <c r="H407" s="33"/>
      <c r="I407" s="33" t="s">
        <v>793</v>
      </c>
      <c r="J407" s="33" t="s">
        <v>958</v>
      </c>
      <c r="K407" s="33" t="s">
        <v>75</v>
      </c>
      <c r="L407" s="33" t="s">
        <v>974</v>
      </c>
      <c r="M407" s="43">
        <v>46150.324212962965</v>
      </c>
      <c r="N407" s="33" t="s">
        <v>1710</v>
      </c>
      <c r="O407" s="33" t="s">
        <v>175</v>
      </c>
      <c r="P407" s="33" t="s">
        <v>1963</v>
      </c>
      <c r="Q407" s="43">
        <v>46149.801388888889</v>
      </c>
      <c r="R407" s="43">
        <v>46149.85833333333</v>
      </c>
      <c r="S407" s="58">
        <v>5.6944444444444443E-2</v>
      </c>
      <c r="T407" s="33" t="s">
        <v>140</v>
      </c>
      <c r="U407" s="43">
        <v>46149.959027777775</v>
      </c>
      <c r="V407" s="58">
        <v>0.32708333333333334</v>
      </c>
      <c r="W407" s="33"/>
      <c r="X407" s="33"/>
      <c r="Y407" s="33"/>
      <c r="Z407" s="33" t="s">
        <v>140</v>
      </c>
      <c r="AA407" s="43">
        <v>46151.916666666664</v>
      </c>
      <c r="AB407" s="33" t="s">
        <v>1138</v>
      </c>
      <c r="AC407" s="33" t="s">
        <v>1404</v>
      </c>
      <c r="AD407" s="58">
        <v>0.59791666666666665</v>
      </c>
      <c r="AE407" s="33"/>
      <c r="AF407" s="58">
        <v>0.59791666666666665</v>
      </c>
      <c r="AG407" s="33" t="s">
        <v>1711</v>
      </c>
      <c r="AH407" s="33">
        <v>2</v>
      </c>
      <c r="AI407" s="43">
        <v>46149.959027777775</v>
      </c>
      <c r="AJ407" s="33" t="s">
        <v>793</v>
      </c>
      <c r="AK407" s="42">
        <v>706985.76</v>
      </c>
      <c r="AL407" s="33" t="s">
        <v>1712</v>
      </c>
    </row>
    <row r="408" spans="1:38">
      <c r="A408" s="33" t="s">
        <v>2217</v>
      </c>
      <c r="B408" s="33"/>
      <c r="C408" s="33" t="s">
        <v>789</v>
      </c>
      <c r="D408" s="33" t="s">
        <v>1762</v>
      </c>
      <c r="E408" s="33" t="s">
        <v>2218</v>
      </c>
      <c r="F408" s="43">
        <v>46149.765972222223</v>
      </c>
      <c r="G408" s="33" t="s">
        <v>1246</v>
      </c>
      <c r="H408" s="33"/>
      <c r="I408" s="33" t="s">
        <v>73</v>
      </c>
      <c r="J408" s="33" t="s">
        <v>1293</v>
      </c>
      <c r="K408" s="33" t="s">
        <v>75</v>
      </c>
      <c r="L408" s="33" t="s">
        <v>2219</v>
      </c>
      <c r="M408" s="43">
        <v>46149.854039351849</v>
      </c>
      <c r="N408" s="33" t="s">
        <v>1295</v>
      </c>
      <c r="O408" s="33" t="s">
        <v>797</v>
      </c>
      <c r="P408" s="33" t="s">
        <v>140</v>
      </c>
      <c r="Q408" s="33"/>
      <c r="R408" s="33"/>
      <c r="S408" s="33"/>
      <c r="T408" s="33" t="s">
        <v>1296</v>
      </c>
      <c r="U408" s="43">
        <v>46149.829861111109</v>
      </c>
      <c r="V408" s="58">
        <v>2.6388888888888889E-2</v>
      </c>
      <c r="W408" s="33" t="s">
        <v>1296</v>
      </c>
      <c r="X408" s="43">
        <v>46149.829861111109</v>
      </c>
      <c r="Y408" s="58">
        <v>2.6388888888888889E-2</v>
      </c>
      <c r="Z408" s="33" t="s">
        <v>1296</v>
      </c>
      <c r="AA408" s="43">
        <v>46156.875694444447</v>
      </c>
      <c r="AB408" s="33" t="s">
        <v>81</v>
      </c>
      <c r="AC408" s="33" t="s">
        <v>1297</v>
      </c>
      <c r="AD408" s="58">
        <v>8.819444444444445E-2</v>
      </c>
      <c r="AE408" s="33"/>
      <c r="AF408" s="58">
        <v>8.819444444444445E-2</v>
      </c>
      <c r="AG408" s="33"/>
      <c r="AH408" s="33">
        <v>1</v>
      </c>
      <c r="AI408" s="43">
        <v>46149.829861111109</v>
      </c>
      <c r="AJ408" s="33" t="s">
        <v>73</v>
      </c>
      <c r="AK408" s="42">
        <v>128398.31</v>
      </c>
      <c r="AL408" s="33" t="s">
        <v>1960</v>
      </c>
    </row>
    <row r="409" spans="1:38">
      <c r="A409" s="33" t="s">
        <v>2220</v>
      </c>
      <c r="B409" s="33"/>
      <c r="C409" s="33" t="s">
        <v>789</v>
      </c>
      <c r="D409" s="33" t="s">
        <v>2221</v>
      </c>
      <c r="E409" s="33" t="s">
        <v>2222</v>
      </c>
      <c r="F409" s="43">
        <v>46149.78402777778</v>
      </c>
      <c r="G409" s="33" t="s">
        <v>216</v>
      </c>
      <c r="H409" s="33"/>
      <c r="I409" s="33" t="s">
        <v>73</v>
      </c>
      <c r="J409" s="33" t="s">
        <v>2223</v>
      </c>
      <c r="K409" s="33" t="s">
        <v>865</v>
      </c>
      <c r="L409" s="33" t="s">
        <v>2224</v>
      </c>
      <c r="M409" s="43">
        <v>46150.830439814818</v>
      </c>
      <c r="N409" s="33" t="s">
        <v>2225</v>
      </c>
      <c r="O409" s="33" t="s">
        <v>797</v>
      </c>
      <c r="P409" s="33" t="s">
        <v>140</v>
      </c>
      <c r="Q409" s="43">
        <v>46149.785416666666</v>
      </c>
      <c r="R409" s="43">
        <v>46149.863194444442</v>
      </c>
      <c r="S409" s="58">
        <v>7.7777777777777779E-2</v>
      </c>
      <c r="T409" s="33" t="s">
        <v>350</v>
      </c>
      <c r="U409" s="33"/>
      <c r="V409" s="33"/>
      <c r="W409" s="33"/>
      <c r="X409" s="33"/>
      <c r="Y409" s="33"/>
      <c r="Z409" s="33" t="s">
        <v>350</v>
      </c>
      <c r="AA409" s="43">
        <v>46153.333333333336</v>
      </c>
      <c r="AB409" s="33" t="s">
        <v>81</v>
      </c>
      <c r="AC409" s="33" t="s">
        <v>81</v>
      </c>
      <c r="AD409" s="44">
        <v>1</v>
      </c>
      <c r="AE409" s="33"/>
      <c r="AF409" s="58">
        <v>0.99861111111111112</v>
      </c>
      <c r="AG409" s="33" t="s">
        <v>2226</v>
      </c>
      <c r="AH409" s="33">
        <v>4</v>
      </c>
      <c r="AI409" s="43">
        <v>46150.831250000003</v>
      </c>
      <c r="AJ409" s="33" t="s">
        <v>73</v>
      </c>
      <c r="AK409" s="42">
        <v>1851200.03</v>
      </c>
      <c r="AL409" s="33" t="s">
        <v>2227</v>
      </c>
    </row>
    <row r="410" spans="1:38">
      <c r="A410" s="33">
        <v>6013983</v>
      </c>
      <c r="B410" s="33"/>
      <c r="C410" s="33" t="s">
        <v>789</v>
      </c>
      <c r="D410" s="33" t="s">
        <v>1925</v>
      </c>
      <c r="E410" s="33" t="s">
        <v>2228</v>
      </c>
      <c r="F410" s="43">
        <v>46149.833333333336</v>
      </c>
      <c r="G410" s="33" t="s">
        <v>227</v>
      </c>
      <c r="H410" s="33"/>
      <c r="I410" s="33" t="s">
        <v>73</v>
      </c>
      <c r="J410" s="33" t="s">
        <v>1667</v>
      </c>
      <c r="K410" s="33" t="s">
        <v>75</v>
      </c>
      <c r="L410" s="33" t="s">
        <v>2229</v>
      </c>
      <c r="M410" s="43">
        <v>46150.50644675926</v>
      </c>
      <c r="N410" s="33" t="s">
        <v>529</v>
      </c>
      <c r="O410" s="33" t="s">
        <v>797</v>
      </c>
      <c r="P410" s="33" t="s">
        <v>140</v>
      </c>
      <c r="Q410" s="43">
        <v>46149.813888888886</v>
      </c>
      <c r="R410" s="43">
        <v>46149.832638888889</v>
      </c>
      <c r="S410" s="58">
        <v>1.8749999999999999E-2</v>
      </c>
      <c r="T410" s="33" t="s">
        <v>984</v>
      </c>
      <c r="U410" s="33"/>
      <c r="V410" s="33"/>
      <c r="W410" s="33" t="s">
        <v>950</v>
      </c>
      <c r="X410" s="43">
        <v>46150.365972222222</v>
      </c>
      <c r="Y410" s="58">
        <v>0.22916666666666666</v>
      </c>
      <c r="Z410" s="33" t="s">
        <v>984</v>
      </c>
      <c r="AA410" s="43">
        <v>46153.25</v>
      </c>
      <c r="AB410" s="33" t="s">
        <v>2230</v>
      </c>
      <c r="AC410" s="33" t="s">
        <v>1669</v>
      </c>
      <c r="AD410" s="58">
        <v>0.78541666666666665</v>
      </c>
      <c r="AE410" s="33"/>
      <c r="AF410" s="58">
        <v>0.78541666666666665</v>
      </c>
      <c r="AG410" s="33" t="s">
        <v>2231</v>
      </c>
      <c r="AH410" s="33">
        <v>2</v>
      </c>
      <c r="AI410" s="43">
        <v>46150.621527777781</v>
      </c>
      <c r="AJ410" s="33" t="s">
        <v>73</v>
      </c>
      <c r="AK410" s="42">
        <v>521827.78</v>
      </c>
      <c r="AL410" s="33" t="s">
        <v>1932</v>
      </c>
    </row>
    <row r="411" spans="1:38">
      <c r="A411" s="33">
        <v>6004979</v>
      </c>
      <c r="B411" s="33"/>
      <c r="C411" s="33" t="s">
        <v>789</v>
      </c>
      <c r="D411" s="33" t="s">
        <v>1779</v>
      </c>
      <c r="E411" s="33" t="s">
        <v>2232</v>
      </c>
      <c r="F411" s="43">
        <v>46149.833333333336</v>
      </c>
      <c r="G411" s="33" t="s">
        <v>792</v>
      </c>
      <c r="H411" s="33"/>
      <c r="I411" s="33" t="s">
        <v>793</v>
      </c>
      <c r="J411" s="33" t="s">
        <v>1382</v>
      </c>
      <c r="K411" s="33" t="s">
        <v>75</v>
      </c>
      <c r="L411" s="33" t="s">
        <v>1148</v>
      </c>
      <c r="M411" s="43">
        <v>46149.925694444442</v>
      </c>
      <c r="N411" s="33" t="s">
        <v>796</v>
      </c>
      <c r="O411" s="33" t="s">
        <v>797</v>
      </c>
      <c r="P411" s="33" t="s">
        <v>799</v>
      </c>
      <c r="Q411" s="43">
        <v>46149.879861111112</v>
      </c>
      <c r="R411" s="43">
        <v>46149.884027777778</v>
      </c>
      <c r="S411" s="58">
        <v>4.1666666666666666E-3</v>
      </c>
      <c r="T411" s="33" t="s">
        <v>140</v>
      </c>
      <c r="U411" s="43">
        <v>46149.910416666666</v>
      </c>
      <c r="V411" s="58">
        <v>1.7361111111111112E-2</v>
      </c>
      <c r="W411" s="33" t="s">
        <v>140</v>
      </c>
      <c r="X411" s="43">
        <v>46149.910416666666</v>
      </c>
      <c r="Y411" s="58">
        <v>1.7361111111111112E-2</v>
      </c>
      <c r="Z411" s="33" t="s">
        <v>140</v>
      </c>
      <c r="AA411" s="43">
        <v>46150.875</v>
      </c>
      <c r="AB411" s="33" t="s">
        <v>81</v>
      </c>
      <c r="AC411" s="33" t="s">
        <v>1383</v>
      </c>
      <c r="AD411" s="58">
        <v>4.8611111111111112E-2</v>
      </c>
      <c r="AE411" s="58">
        <v>4.2361111111111113E-2</v>
      </c>
      <c r="AF411" s="58">
        <v>4.8611111111111112E-2</v>
      </c>
      <c r="AG411" s="33" t="s">
        <v>1782</v>
      </c>
      <c r="AH411" s="33">
        <v>2</v>
      </c>
      <c r="AI411" s="43">
        <v>46149.910416666666</v>
      </c>
      <c r="AJ411" s="33" t="s">
        <v>793</v>
      </c>
      <c r="AK411" s="42">
        <v>1210154.3999999999</v>
      </c>
      <c r="AL411" s="33" t="s">
        <v>1783</v>
      </c>
    </row>
    <row r="412" spans="1:38">
      <c r="A412" s="33">
        <v>6013982</v>
      </c>
      <c r="B412" s="33"/>
      <c r="C412" s="33" t="s">
        <v>789</v>
      </c>
      <c r="D412" s="33" t="s">
        <v>2233</v>
      </c>
      <c r="E412" s="33" t="s">
        <v>2234</v>
      </c>
      <c r="F412" s="43">
        <v>46149.854166666664</v>
      </c>
      <c r="G412" s="33" t="s">
        <v>227</v>
      </c>
      <c r="H412" s="33"/>
      <c r="I412" s="33" t="s">
        <v>73</v>
      </c>
      <c r="J412" s="33" t="s">
        <v>1667</v>
      </c>
      <c r="K412" s="33"/>
      <c r="L412" s="33"/>
      <c r="M412" s="33"/>
      <c r="N412" s="33"/>
      <c r="O412" s="33" t="s">
        <v>797</v>
      </c>
      <c r="P412" s="33" t="s">
        <v>140</v>
      </c>
      <c r="Q412" s="33"/>
      <c r="R412" s="33"/>
      <c r="S412" s="33"/>
      <c r="T412" s="33" t="s">
        <v>984</v>
      </c>
      <c r="U412" s="33"/>
      <c r="V412" s="33"/>
      <c r="W412" s="33"/>
      <c r="X412" s="33"/>
      <c r="Y412" s="33"/>
      <c r="Z412" s="33" t="s">
        <v>984</v>
      </c>
      <c r="AA412" s="43">
        <v>46153.25</v>
      </c>
      <c r="AB412" s="33" t="s">
        <v>81</v>
      </c>
      <c r="AC412" s="33" t="s">
        <v>81</v>
      </c>
      <c r="AD412" s="58">
        <v>8.3333333333333329E-2</v>
      </c>
      <c r="AE412" s="33"/>
      <c r="AF412" s="58">
        <v>8.3333333333333329E-2</v>
      </c>
      <c r="AG412" s="33" t="s">
        <v>2235</v>
      </c>
      <c r="AH412" s="33">
        <v>1</v>
      </c>
      <c r="AI412" s="33"/>
      <c r="AJ412" s="33" t="s">
        <v>73</v>
      </c>
      <c r="AK412" s="42">
        <v>689223.61</v>
      </c>
      <c r="AL412" s="33" t="s">
        <v>2236</v>
      </c>
    </row>
    <row r="413" spans="1:38">
      <c r="A413" s="33">
        <v>6006861</v>
      </c>
      <c r="B413" s="33"/>
      <c r="C413" s="33" t="s">
        <v>789</v>
      </c>
      <c r="D413" s="33" t="s">
        <v>2237</v>
      </c>
      <c r="E413" s="33" t="s">
        <v>2238</v>
      </c>
      <c r="F413" s="43">
        <v>46149.854166666664</v>
      </c>
      <c r="G413" s="33" t="s">
        <v>792</v>
      </c>
      <c r="H413" s="33"/>
      <c r="I413" s="33" t="s">
        <v>793</v>
      </c>
      <c r="J413" s="33" t="s">
        <v>1398</v>
      </c>
      <c r="K413" s="33" t="s">
        <v>75</v>
      </c>
      <c r="L413" s="33" t="s">
        <v>806</v>
      </c>
      <c r="M413" s="43">
        <v>46150.383726851855</v>
      </c>
      <c r="N413" s="33" t="s">
        <v>2239</v>
      </c>
      <c r="O413" s="33" t="s">
        <v>797</v>
      </c>
      <c r="P413" s="33" t="s">
        <v>1963</v>
      </c>
      <c r="Q413" s="43">
        <v>46149.85</v>
      </c>
      <c r="R413" s="43">
        <v>46149.86041666667</v>
      </c>
      <c r="S413" s="58">
        <v>1.0416666666666666E-2</v>
      </c>
      <c r="T413" s="33" t="s">
        <v>140</v>
      </c>
      <c r="U413" s="43">
        <v>46149.980555555558</v>
      </c>
      <c r="V413" s="58">
        <v>0.37916666666666665</v>
      </c>
      <c r="W413" s="33"/>
      <c r="X413" s="33"/>
      <c r="Y413" s="33"/>
      <c r="Z413" s="33" t="s">
        <v>140</v>
      </c>
      <c r="AA413" s="43">
        <v>46151.333333333336</v>
      </c>
      <c r="AB413" s="33" t="s">
        <v>951</v>
      </c>
      <c r="AC413" s="33" t="s">
        <v>1400</v>
      </c>
      <c r="AD413" s="58">
        <v>0.53402777777777777</v>
      </c>
      <c r="AE413" s="33"/>
      <c r="AF413" s="58">
        <v>0.53402777777777777</v>
      </c>
      <c r="AG413" s="33" t="s">
        <v>2240</v>
      </c>
      <c r="AH413" s="33">
        <v>2</v>
      </c>
      <c r="AI413" s="43">
        <v>46149.980555555558</v>
      </c>
      <c r="AJ413" s="33" t="s">
        <v>793</v>
      </c>
      <c r="AK413" s="42">
        <v>615167.52</v>
      </c>
      <c r="AL413" s="33" t="s">
        <v>2241</v>
      </c>
    </row>
    <row r="414" spans="1:38">
      <c r="A414" s="33">
        <v>6006810</v>
      </c>
      <c r="B414" s="33"/>
      <c r="C414" s="33" t="s">
        <v>789</v>
      </c>
      <c r="D414" s="33" t="s">
        <v>2242</v>
      </c>
      <c r="E414" s="33" t="s">
        <v>2243</v>
      </c>
      <c r="F414" s="43">
        <v>46149.854166666664</v>
      </c>
      <c r="G414" s="33" t="s">
        <v>792</v>
      </c>
      <c r="H414" s="33"/>
      <c r="I414" s="33" t="s">
        <v>793</v>
      </c>
      <c r="J414" s="33" t="s">
        <v>1398</v>
      </c>
      <c r="K414" s="33" t="s">
        <v>75</v>
      </c>
      <c r="L414" s="33" t="s">
        <v>1231</v>
      </c>
      <c r="M414" s="43">
        <v>46150.014641203707</v>
      </c>
      <c r="N414" s="33" t="s">
        <v>2244</v>
      </c>
      <c r="O414" s="33" t="s">
        <v>797</v>
      </c>
      <c r="P414" s="33" t="s">
        <v>1963</v>
      </c>
      <c r="Q414" s="43">
        <v>46149.85</v>
      </c>
      <c r="R414" s="43">
        <v>46149.857638888891</v>
      </c>
      <c r="S414" s="58">
        <v>7.6388888888888886E-3</v>
      </c>
      <c r="T414" s="33" t="s">
        <v>140</v>
      </c>
      <c r="U414" s="43">
        <v>46149.96875</v>
      </c>
      <c r="V414" s="58">
        <v>1.3888888888888889E-3</v>
      </c>
      <c r="W414" s="33"/>
      <c r="X414" s="33"/>
      <c r="Y414" s="33"/>
      <c r="Z414" s="33" t="s">
        <v>140</v>
      </c>
      <c r="AA414" s="43">
        <v>46151.333333333336</v>
      </c>
      <c r="AB414" s="33" t="s">
        <v>1052</v>
      </c>
      <c r="AC414" s="33" t="s">
        <v>1400</v>
      </c>
      <c r="AD414" s="58">
        <v>0.16388888888888889</v>
      </c>
      <c r="AE414" s="33"/>
      <c r="AF414" s="58">
        <v>0.16388888888888889</v>
      </c>
      <c r="AG414" s="33" t="s">
        <v>2245</v>
      </c>
      <c r="AH414" s="33">
        <v>2</v>
      </c>
      <c r="AI414" s="43">
        <v>46149.96875</v>
      </c>
      <c r="AJ414" s="33" t="s">
        <v>793</v>
      </c>
      <c r="AK414" s="42">
        <v>670417.5</v>
      </c>
      <c r="AL414" s="33" t="s">
        <v>2246</v>
      </c>
    </row>
    <row r="415" spans="1:38">
      <c r="A415" s="33">
        <v>6015058</v>
      </c>
      <c r="B415" s="33"/>
      <c r="C415" s="33" t="s">
        <v>789</v>
      </c>
      <c r="D415" s="33" t="s">
        <v>1186</v>
      </c>
      <c r="E415" s="33" t="s">
        <v>2247</v>
      </c>
      <c r="F415" s="43">
        <v>46149.916666666664</v>
      </c>
      <c r="G415" s="33" t="s">
        <v>227</v>
      </c>
      <c r="H415" s="33"/>
      <c r="I415" s="33" t="s">
        <v>772</v>
      </c>
      <c r="J415" s="33" t="s">
        <v>773</v>
      </c>
      <c r="K415" s="33" t="s">
        <v>75</v>
      </c>
      <c r="L415" s="33" t="s">
        <v>1627</v>
      </c>
      <c r="M415" s="43">
        <v>46150.686655092592</v>
      </c>
      <c r="N415" s="33" t="s">
        <v>1190</v>
      </c>
      <c r="O415" s="33" t="s">
        <v>2248</v>
      </c>
      <c r="P415" s="33" t="s">
        <v>79</v>
      </c>
      <c r="Q415" s="43">
        <v>46149.853472222225</v>
      </c>
      <c r="R415" s="43">
        <v>46149.890277777777</v>
      </c>
      <c r="S415" s="58">
        <v>3.6805555555555557E-2</v>
      </c>
      <c r="T415" s="33" t="s">
        <v>308</v>
      </c>
      <c r="U415" s="43">
        <v>46150.661805555559</v>
      </c>
      <c r="V415" s="58">
        <v>2.2916666666666665E-2</v>
      </c>
      <c r="W415" s="33" t="s">
        <v>308</v>
      </c>
      <c r="X415" s="43">
        <v>46150.661805555559</v>
      </c>
      <c r="Y415" s="58">
        <v>2.2916666666666665E-2</v>
      </c>
      <c r="Z415" s="33" t="s">
        <v>308</v>
      </c>
      <c r="AA415" s="43">
        <v>46156</v>
      </c>
      <c r="AB415" s="33" t="s">
        <v>81</v>
      </c>
      <c r="AC415" s="33" t="s">
        <v>775</v>
      </c>
      <c r="AD415" s="58">
        <v>0.82708333333333328</v>
      </c>
      <c r="AE415" s="58">
        <v>0.7416666666666667</v>
      </c>
      <c r="AF415" s="58">
        <v>0.82708333333333328</v>
      </c>
      <c r="AG415" s="33" t="s">
        <v>2249</v>
      </c>
      <c r="AH415" s="33">
        <v>2</v>
      </c>
      <c r="AI415" s="43">
        <v>46150.661805555559</v>
      </c>
      <c r="AJ415" s="33" t="s">
        <v>73</v>
      </c>
      <c r="AK415" s="42">
        <v>537470.25</v>
      </c>
      <c r="AL415" s="33" t="s">
        <v>1193</v>
      </c>
    </row>
    <row r="416" spans="1:38">
      <c r="A416" s="33">
        <v>6006810</v>
      </c>
      <c r="B416" s="33"/>
      <c r="C416" s="33" t="s">
        <v>789</v>
      </c>
      <c r="D416" s="33" t="s">
        <v>2242</v>
      </c>
      <c r="E416" s="33" t="s">
        <v>2250</v>
      </c>
      <c r="F416" s="43">
        <v>46149.854166666664</v>
      </c>
      <c r="G416" s="33" t="s">
        <v>792</v>
      </c>
      <c r="H416" s="33"/>
      <c r="I416" s="33" t="s">
        <v>793</v>
      </c>
      <c r="J416" s="33" t="s">
        <v>1398</v>
      </c>
      <c r="K416" s="33" t="s">
        <v>75</v>
      </c>
      <c r="L416" s="33" t="s">
        <v>1236</v>
      </c>
      <c r="M416" s="43">
        <v>46150.019016203703</v>
      </c>
      <c r="N416" s="33" t="s">
        <v>2244</v>
      </c>
      <c r="O416" s="33" t="s">
        <v>797</v>
      </c>
      <c r="P416" s="33" t="s">
        <v>1963</v>
      </c>
      <c r="Q416" s="33"/>
      <c r="R416" s="33"/>
      <c r="S416" s="33"/>
      <c r="T416" s="33" t="s">
        <v>140</v>
      </c>
      <c r="U416" s="43">
        <v>46150.015972222223</v>
      </c>
      <c r="V416" s="58">
        <v>3.472222222222222E-3</v>
      </c>
      <c r="W416" s="33"/>
      <c r="X416" s="33"/>
      <c r="Y416" s="33"/>
      <c r="Z416" s="33" t="s">
        <v>140</v>
      </c>
      <c r="AA416" s="43">
        <v>46151.333333333336</v>
      </c>
      <c r="AB416" s="33" t="s">
        <v>81</v>
      </c>
      <c r="AC416" s="33" t="s">
        <v>81</v>
      </c>
      <c r="AD416" s="58">
        <v>4.1666666666666666E-3</v>
      </c>
      <c r="AE416" s="33"/>
      <c r="AF416" s="58">
        <v>4.1666666666666666E-3</v>
      </c>
      <c r="AG416" s="33" t="s">
        <v>2245</v>
      </c>
      <c r="AH416" s="33">
        <v>1</v>
      </c>
      <c r="AI416" s="43">
        <v>46150.015972222223</v>
      </c>
      <c r="AJ416" s="33" t="s">
        <v>793</v>
      </c>
      <c r="AK416" s="42">
        <v>670417.5</v>
      </c>
      <c r="AL416" s="33" t="s">
        <v>2246</v>
      </c>
    </row>
    <row r="417" spans="1:38">
      <c r="A417" s="33">
        <v>6015057</v>
      </c>
      <c r="B417" s="33"/>
      <c r="C417" s="33" t="s">
        <v>789</v>
      </c>
      <c r="D417" s="33" t="s">
        <v>1176</v>
      </c>
      <c r="E417" s="33" t="s">
        <v>2251</v>
      </c>
      <c r="F417" s="43">
        <v>46149.916666666664</v>
      </c>
      <c r="G417" s="33" t="s">
        <v>227</v>
      </c>
      <c r="H417" s="33"/>
      <c r="I417" s="33" t="s">
        <v>772</v>
      </c>
      <c r="J417" s="33" t="s">
        <v>773</v>
      </c>
      <c r="K417" s="33" t="s">
        <v>75</v>
      </c>
      <c r="L417" s="33" t="s">
        <v>1184</v>
      </c>
      <c r="M417" s="43">
        <v>46150.68472222222</v>
      </c>
      <c r="N417" s="33" t="s">
        <v>1179</v>
      </c>
      <c r="O417" s="33" t="s">
        <v>797</v>
      </c>
      <c r="P417" s="33" t="s">
        <v>79</v>
      </c>
      <c r="Q417" s="43">
        <v>46149.859722222223</v>
      </c>
      <c r="R417" s="43">
        <v>46149.909722222219</v>
      </c>
      <c r="S417" s="58">
        <v>0.05</v>
      </c>
      <c r="T417" s="33" t="s">
        <v>308</v>
      </c>
      <c r="U417" s="43">
        <v>46150.663194444445</v>
      </c>
      <c r="V417" s="58">
        <v>2.5000000000000001E-2</v>
      </c>
      <c r="W417" s="33" t="s">
        <v>308</v>
      </c>
      <c r="X417" s="43">
        <v>46150.663194444445</v>
      </c>
      <c r="Y417" s="58">
        <v>2.5000000000000001E-2</v>
      </c>
      <c r="Z417" s="33" t="s">
        <v>308</v>
      </c>
      <c r="AA417" s="43">
        <v>46156</v>
      </c>
      <c r="AB417" s="33" t="s">
        <v>81</v>
      </c>
      <c r="AC417" s="33" t="s">
        <v>775</v>
      </c>
      <c r="AD417" s="58">
        <v>0.82986111111111116</v>
      </c>
      <c r="AE417" s="58">
        <v>0.73888888888888893</v>
      </c>
      <c r="AF417" s="58">
        <v>0.82986111111111116</v>
      </c>
      <c r="AG417" s="33" t="s">
        <v>2252</v>
      </c>
      <c r="AH417" s="33">
        <v>2</v>
      </c>
      <c r="AI417" s="43">
        <v>46150.663194444445</v>
      </c>
      <c r="AJ417" s="33" t="s">
        <v>73</v>
      </c>
      <c r="AK417" s="42">
        <v>243347.64</v>
      </c>
      <c r="AL417" s="33" t="s">
        <v>1182</v>
      </c>
    </row>
    <row r="418" spans="1:38">
      <c r="A418" s="33">
        <v>6010796</v>
      </c>
      <c r="B418" s="33"/>
      <c r="C418" s="33" t="s">
        <v>789</v>
      </c>
      <c r="D418" s="33" t="s">
        <v>2253</v>
      </c>
      <c r="E418" s="33" t="s">
        <v>2254</v>
      </c>
      <c r="F418" s="43">
        <v>46149.875</v>
      </c>
      <c r="G418" s="33" t="s">
        <v>227</v>
      </c>
      <c r="H418" s="33"/>
      <c r="I418" s="33" t="s">
        <v>73</v>
      </c>
      <c r="J418" s="33" t="s">
        <v>1683</v>
      </c>
      <c r="K418" s="33" t="s">
        <v>75</v>
      </c>
      <c r="L418" s="33" t="s">
        <v>2255</v>
      </c>
      <c r="M418" s="43">
        <v>46150.649664351855</v>
      </c>
      <c r="N418" s="33" t="s">
        <v>2256</v>
      </c>
      <c r="O418" s="33" t="s">
        <v>797</v>
      </c>
      <c r="P418" s="33" t="s">
        <v>79</v>
      </c>
      <c r="Q418" s="33"/>
      <c r="R418" s="33"/>
      <c r="S418" s="33"/>
      <c r="T418" s="33" t="s">
        <v>372</v>
      </c>
      <c r="U418" s="43">
        <v>46149.984722222223</v>
      </c>
      <c r="V418" s="58">
        <v>0.66666666666666663</v>
      </c>
      <c r="W418" s="33" t="s">
        <v>372</v>
      </c>
      <c r="X418" s="43">
        <v>46149.984722222223</v>
      </c>
      <c r="Y418" s="58">
        <v>0.66666666666666663</v>
      </c>
      <c r="Z418" s="33" t="s">
        <v>372</v>
      </c>
      <c r="AA418" s="43">
        <v>46149.958333333336</v>
      </c>
      <c r="AB418" s="33" t="s">
        <v>81</v>
      </c>
      <c r="AC418" s="33" t="s">
        <v>2257</v>
      </c>
      <c r="AD418" s="58">
        <v>0.78472222222222221</v>
      </c>
      <c r="AE418" s="33"/>
      <c r="AF418" s="58">
        <v>0.78472222222222221</v>
      </c>
      <c r="AG418" s="33" t="s">
        <v>1685</v>
      </c>
      <c r="AH418" s="33">
        <v>2</v>
      </c>
      <c r="AI418" s="43">
        <v>46149.984722222223</v>
      </c>
      <c r="AJ418" s="33" t="s">
        <v>73</v>
      </c>
      <c r="AK418" s="42">
        <v>364071.61</v>
      </c>
      <c r="AL418" s="33" t="s">
        <v>2258</v>
      </c>
    </row>
    <row r="419" spans="1:38">
      <c r="A419" s="33">
        <v>6002520</v>
      </c>
      <c r="B419" s="33"/>
      <c r="C419" s="33" t="s">
        <v>789</v>
      </c>
      <c r="D419" s="33" t="s">
        <v>1371</v>
      </c>
      <c r="E419" s="33" t="s">
        <v>2259</v>
      </c>
      <c r="F419" s="43">
        <v>46149.958333333336</v>
      </c>
      <c r="G419" s="33" t="s">
        <v>792</v>
      </c>
      <c r="H419" s="33"/>
      <c r="I419" s="33" t="s">
        <v>793</v>
      </c>
      <c r="J419" s="33" t="s">
        <v>1398</v>
      </c>
      <c r="K419" s="33" t="s">
        <v>75</v>
      </c>
      <c r="L419" s="33" t="s">
        <v>1035</v>
      </c>
      <c r="M419" s="43">
        <v>46150.23673611111</v>
      </c>
      <c r="N419" s="33" t="s">
        <v>1374</v>
      </c>
      <c r="O419" s="33" t="s">
        <v>175</v>
      </c>
      <c r="P419" s="33" t="s">
        <v>1963</v>
      </c>
      <c r="Q419" s="43">
        <v>46149.94027777778</v>
      </c>
      <c r="R419" s="43">
        <v>46149.954861111109</v>
      </c>
      <c r="S419" s="58">
        <v>1.4583333333333334E-2</v>
      </c>
      <c r="T419" s="33" t="s">
        <v>140</v>
      </c>
      <c r="U419" s="43">
        <v>46150.117361111108</v>
      </c>
      <c r="V419" s="58">
        <v>1.3888888888888889E-3</v>
      </c>
      <c r="W419" s="33"/>
      <c r="X419" s="33"/>
      <c r="Y419" s="33"/>
      <c r="Z419" s="33" t="s">
        <v>140</v>
      </c>
      <c r="AA419" s="43">
        <v>46151.208333333336</v>
      </c>
      <c r="AB419" s="33" t="s">
        <v>1052</v>
      </c>
      <c r="AC419" s="33" t="s">
        <v>1400</v>
      </c>
      <c r="AD419" s="58">
        <v>0.35069444444444442</v>
      </c>
      <c r="AE419" s="33"/>
      <c r="AF419" s="58">
        <v>0.35069444444444442</v>
      </c>
      <c r="AG419" s="33" t="s">
        <v>1375</v>
      </c>
      <c r="AH419" s="33">
        <v>2</v>
      </c>
      <c r="AI419" s="43">
        <v>46150.117361111108</v>
      </c>
      <c r="AJ419" s="33" t="s">
        <v>793</v>
      </c>
      <c r="AK419" s="42">
        <v>982077.15</v>
      </c>
      <c r="AL419" s="33" t="s">
        <v>1376</v>
      </c>
    </row>
    <row r="420" spans="1:38">
      <c r="A420" s="33">
        <v>6006009</v>
      </c>
      <c r="B420" s="33"/>
      <c r="C420" s="33" t="s">
        <v>789</v>
      </c>
      <c r="D420" s="33" t="s">
        <v>827</v>
      </c>
      <c r="E420" s="33" t="s">
        <v>2260</v>
      </c>
      <c r="F420" s="43">
        <v>46149.958333333336</v>
      </c>
      <c r="G420" s="33" t="s">
        <v>792</v>
      </c>
      <c r="H420" s="33"/>
      <c r="I420" s="33" t="s">
        <v>793</v>
      </c>
      <c r="J420" s="33" t="s">
        <v>2261</v>
      </c>
      <c r="K420" s="33" t="s">
        <v>75</v>
      </c>
      <c r="L420" s="33" t="s">
        <v>1962</v>
      </c>
      <c r="M420" s="43">
        <v>46150.371550925927</v>
      </c>
      <c r="N420" s="33" t="s">
        <v>831</v>
      </c>
      <c r="O420" s="33" t="s">
        <v>797</v>
      </c>
      <c r="P420" s="33" t="s">
        <v>1963</v>
      </c>
      <c r="Q420" s="43">
        <v>46149.962500000001</v>
      </c>
      <c r="R420" s="43">
        <v>46150.027777777781</v>
      </c>
      <c r="S420" s="58">
        <v>6.5277777777777782E-2</v>
      </c>
      <c r="T420" s="33" t="s">
        <v>799</v>
      </c>
      <c r="U420" s="43">
        <v>46150.15</v>
      </c>
      <c r="V420" s="58">
        <v>0.1701388888888889</v>
      </c>
      <c r="W420" s="33" t="s">
        <v>799</v>
      </c>
      <c r="X420" s="43">
        <v>46150.15</v>
      </c>
      <c r="Y420" s="58">
        <v>0.22013888888888888</v>
      </c>
      <c r="Z420" s="33" t="s">
        <v>799</v>
      </c>
      <c r="AA420" s="43">
        <v>46151.208333333336</v>
      </c>
      <c r="AB420" s="33" t="s">
        <v>81</v>
      </c>
      <c r="AC420" s="33" t="s">
        <v>2262</v>
      </c>
      <c r="AD420" s="58">
        <v>0.50069444444444444</v>
      </c>
      <c r="AE420" s="58">
        <v>0.34444444444444444</v>
      </c>
      <c r="AF420" s="58">
        <v>0.50069444444444444</v>
      </c>
      <c r="AG420" s="33" t="s">
        <v>832</v>
      </c>
      <c r="AH420" s="33">
        <v>2</v>
      </c>
      <c r="AI420" s="43">
        <v>46150.15</v>
      </c>
      <c r="AJ420" s="33" t="s">
        <v>793</v>
      </c>
      <c r="AK420" s="42">
        <v>820091.1</v>
      </c>
      <c r="AL420" s="33" t="s">
        <v>833</v>
      </c>
    </row>
    <row r="421" spans="1:38">
      <c r="A421" s="33">
        <v>6005084</v>
      </c>
      <c r="B421" s="33"/>
      <c r="C421" s="33" t="s">
        <v>789</v>
      </c>
      <c r="D421" s="33" t="s">
        <v>1056</v>
      </c>
      <c r="E421" s="33" t="s">
        <v>2263</v>
      </c>
      <c r="F421" s="43">
        <v>46149.916666666664</v>
      </c>
      <c r="G421" s="33" t="s">
        <v>792</v>
      </c>
      <c r="H421" s="33"/>
      <c r="I421" s="33" t="s">
        <v>793</v>
      </c>
      <c r="J421" s="33" t="s">
        <v>2261</v>
      </c>
      <c r="K421" s="33" t="s">
        <v>1957</v>
      </c>
      <c r="L421" s="33" t="s">
        <v>2264</v>
      </c>
      <c r="M421" s="43">
        <v>46150.075694444444</v>
      </c>
      <c r="N421" s="33" t="s">
        <v>1060</v>
      </c>
      <c r="O421" s="33" t="s">
        <v>868</v>
      </c>
      <c r="P421" s="33" t="s">
        <v>1963</v>
      </c>
      <c r="Q421" s="43">
        <v>46149.914583333331</v>
      </c>
      <c r="R421" s="43">
        <v>46149.94027777778</v>
      </c>
      <c r="S421" s="58">
        <v>2.5694444444444443E-2</v>
      </c>
      <c r="T421" s="33" t="s">
        <v>799</v>
      </c>
      <c r="U421" s="43">
        <v>46150.057638888888</v>
      </c>
      <c r="V421" s="58">
        <v>1.8055555555555554E-2</v>
      </c>
      <c r="W421" s="33"/>
      <c r="X421" s="33"/>
      <c r="Y421" s="33"/>
      <c r="Z421" s="33" t="s">
        <v>799</v>
      </c>
      <c r="AA421" s="43">
        <v>46151.208333333336</v>
      </c>
      <c r="AB421" s="33" t="s">
        <v>81</v>
      </c>
      <c r="AC421" s="33" t="s">
        <v>81</v>
      </c>
      <c r="AD421" s="58">
        <v>0.19652777777777777</v>
      </c>
      <c r="AE421" s="33"/>
      <c r="AF421" s="58">
        <v>0.19652777777777777</v>
      </c>
      <c r="AG421" s="33" t="s">
        <v>1061</v>
      </c>
      <c r="AH421" s="33">
        <v>2</v>
      </c>
      <c r="AI421" s="43">
        <v>46150.057638888888</v>
      </c>
      <c r="AJ421" s="33" t="s">
        <v>793</v>
      </c>
      <c r="AK421" s="42">
        <v>1276295.8999999999</v>
      </c>
      <c r="AL421" s="33" t="s">
        <v>1062</v>
      </c>
    </row>
    <row r="422" spans="1:38">
      <c r="A422" s="33">
        <v>6004126</v>
      </c>
      <c r="B422" s="33"/>
      <c r="C422" s="33" t="s">
        <v>789</v>
      </c>
      <c r="D422" s="33" t="s">
        <v>1338</v>
      </c>
      <c r="E422" s="33" t="s">
        <v>2265</v>
      </c>
      <c r="F422" s="43">
        <v>46150.083333333336</v>
      </c>
      <c r="G422" s="33" t="s">
        <v>792</v>
      </c>
      <c r="H422" s="33"/>
      <c r="I422" s="33" t="s">
        <v>793</v>
      </c>
      <c r="J422" s="33" t="s">
        <v>2049</v>
      </c>
      <c r="K422" s="33" t="s">
        <v>75</v>
      </c>
      <c r="L422" s="33" t="s">
        <v>806</v>
      </c>
      <c r="M422" s="43">
        <v>46150.303761574076</v>
      </c>
      <c r="N422" s="33" t="s">
        <v>796</v>
      </c>
      <c r="O422" s="33" t="s">
        <v>797</v>
      </c>
      <c r="P422" s="33" t="s">
        <v>1963</v>
      </c>
      <c r="Q422" s="43">
        <v>46150.078472222223</v>
      </c>
      <c r="R422" s="43">
        <v>46150.120138888888</v>
      </c>
      <c r="S422" s="58">
        <v>4.1666666666666664E-2</v>
      </c>
      <c r="T422" s="33" t="s">
        <v>799</v>
      </c>
      <c r="U422" s="43">
        <v>46150.234027777777</v>
      </c>
      <c r="V422" s="58">
        <v>6.7361111111111108E-2</v>
      </c>
      <c r="W422" s="33" t="s">
        <v>799</v>
      </c>
      <c r="X422" s="43">
        <v>46150.234027777777</v>
      </c>
      <c r="Y422" s="58">
        <v>6.7361111111111108E-2</v>
      </c>
      <c r="Z422" s="33" t="s">
        <v>799</v>
      </c>
      <c r="AA422" s="43">
        <v>46151.333333333336</v>
      </c>
      <c r="AB422" s="33" t="s">
        <v>81</v>
      </c>
      <c r="AC422" s="33" t="s">
        <v>2076</v>
      </c>
      <c r="AD422" s="58">
        <v>0.42291666666666666</v>
      </c>
      <c r="AE422" s="58">
        <v>0.18333333333333332</v>
      </c>
      <c r="AF422" s="58">
        <v>0.42291666666666666</v>
      </c>
      <c r="AG422" s="33" t="s">
        <v>1341</v>
      </c>
      <c r="AH422" s="33">
        <v>2</v>
      </c>
      <c r="AI422" s="43">
        <v>46150.234027777777</v>
      </c>
      <c r="AJ422" s="33" t="s">
        <v>793</v>
      </c>
      <c r="AK422" s="42">
        <v>531829.57999999996</v>
      </c>
      <c r="AL422" s="33" t="s">
        <v>1342</v>
      </c>
    </row>
    <row r="423" spans="1:38">
      <c r="A423" s="33">
        <v>6006068</v>
      </c>
      <c r="B423" s="33"/>
      <c r="C423" s="33" t="s">
        <v>789</v>
      </c>
      <c r="D423" s="33" t="s">
        <v>849</v>
      </c>
      <c r="E423" s="33" t="s">
        <v>2266</v>
      </c>
      <c r="F423" s="43">
        <v>46150.083333333336</v>
      </c>
      <c r="G423" s="33" t="s">
        <v>792</v>
      </c>
      <c r="H423" s="33"/>
      <c r="I423" s="33" t="s">
        <v>793</v>
      </c>
      <c r="J423" s="33" t="s">
        <v>1392</v>
      </c>
      <c r="K423" s="33" t="s">
        <v>241</v>
      </c>
      <c r="L423" s="33" t="s">
        <v>2267</v>
      </c>
      <c r="M423" s="43">
        <v>46150.413865740738</v>
      </c>
      <c r="N423" s="33" t="s">
        <v>852</v>
      </c>
      <c r="O423" s="33" t="s">
        <v>2248</v>
      </c>
      <c r="P423" s="33" t="s">
        <v>1963</v>
      </c>
      <c r="Q423" s="43">
        <v>46150.057638888888</v>
      </c>
      <c r="R423" s="43">
        <v>46150.084722222222</v>
      </c>
      <c r="S423" s="58">
        <v>2.7083333333333334E-2</v>
      </c>
      <c r="T423" s="33" t="s">
        <v>799</v>
      </c>
      <c r="U423" s="43">
        <v>46150.22152777778</v>
      </c>
      <c r="V423" s="58">
        <v>0.1673611111111111</v>
      </c>
      <c r="W423" s="33"/>
      <c r="X423" s="33"/>
      <c r="Y423" s="33"/>
      <c r="Z423" s="33" t="s">
        <v>799</v>
      </c>
      <c r="AA423" s="43">
        <v>46151.333333333336</v>
      </c>
      <c r="AB423" s="33" t="s">
        <v>1532</v>
      </c>
      <c r="AC423" s="33" t="s">
        <v>1395</v>
      </c>
      <c r="AD423" s="58">
        <v>0.53125</v>
      </c>
      <c r="AE423" s="33"/>
      <c r="AF423" s="58">
        <v>0.53125</v>
      </c>
      <c r="AG423" s="33" t="s">
        <v>853</v>
      </c>
      <c r="AH423" s="33">
        <v>2</v>
      </c>
      <c r="AI423" s="43">
        <v>46150.22152777778</v>
      </c>
      <c r="AJ423" s="33" t="s">
        <v>793</v>
      </c>
      <c r="AK423" s="42">
        <v>734876.8</v>
      </c>
      <c r="AL423" s="33" t="s">
        <v>1209</v>
      </c>
    </row>
    <row r="424" spans="1:38">
      <c r="A424" s="33">
        <v>6006852</v>
      </c>
      <c r="B424" s="33"/>
      <c r="C424" s="33" t="s">
        <v>789</v>
      </c>
      <c r="D424" s="33" t="s">
        <v>1284</v>
      </c>
      <c r="E424" s="33" t="s">
        <v>2268</v>
      </c>
      <c r="F424" s="43">
        <v>46150.041666666664</v>
      </c>
      <c r="G424" s="33" t="s">
        <v>792</v>
      </c>
      <c r="H424" s="33"/>
      <c r="I424" s="33" t="s">
        <v>793</v>
      </c>
      <c r="J424" s="33" t="s">
        <v>2261</v>
      </c>
      <c r="K424" s="33" t="s">
        <v>75</v>
      </c>
      <c r="L424" s="33" t="s">
        <v>2269</v>
      </c>
      <c r="M424" s="43">
        <v>46150.325729166667</v>
      </c>
      <c r="N424" s="33" t="s">
        <v>1287</v>
      </c>
      <c r="O424" s="33" t="s">
        <v>797</v>
      </c>
      <c r="P424" s="33" t="s">
        <v>1963</v>
      </c>
      <c r="Q424" s="43">
        <v>46150.050694444442</v>
      </c>
      <c r="R424" s="43">
        <v>46150.084722222222</v>
      </c>
      <c r="S424" s="58">
        <v>3.4027777777777775E-2</v>
      </c>
      <c r="T424" s="33" t="s">
        <v>799</v>
      </c>
      <c r="U424" s="43">
        <v>46150.203472222223</v>
      </c>
      <c r="V424" s="58">
        <v>5.347222222222222E-2</v>
      </c>
      <c r="W424" s="33"/>
      <c r="X424" s="33"/>
      <c r="Y424" s="33"/>
      <c r="Z424" s="33" t="s">
        <v>799</v>
      </c>
      <c r="AA424" s="43">
        <v>46151.333333333336</v>
      </c>
      <c r="AB424" s="33" t="s">
        <v>81</v>
      </c>
      <c r="AC424" s="33" t="s">
        <v>2262</v>
      </c>
      <c r="AD424" s="58">
        <v>0.4375</v>
      </c>
      <c r="AE424" s="33"/>
      <c r="AF424" s="58">
        <v>0.4375</v>
      </c>
      <c r="AG424" s="33" t="s">
        <v>1288</v>
      </c>
      <c r="AH424" s="33">
        <v>2</v>
      </c>
      <c r="AI424" s="43">
        <v>46150.203472222223</v>
      </c>
      <c r="AJ424" s="33" t="s">
        <v>793</v>
      </c>
      <c r="AK424" s="42">
        <v>604029.92000000004</v>
      </c>
      <c r="AL424" s="33" t="s">
        <v>1289</v>
      </c>
    </row>
    <row r="425" spans="1:38">
      <c r="A425" s="33" t="s">
        <v>2270</v>
      </c>
      <c r="B425" s="33"/>
      <c r="C425" s="33" t="s">
        <v>789</v>
      </c>
      <c r="D425" s="33" t="s">
        <v>2271</v>
      </c>
      <c r="E425" s="33" t="s">
        <v>2272</v>
      </c>
      <c r="F425" s="43">
        <v>46149.893055555556</v>
      </c>
      <c r="G425" s="33" t="s">
        <v>216</v>
      </c>
      <c r="H425" s="33"/>
      <c r="I425" s="33" t="s">
        <v>73</v>
      </c>
      <c r="J425" s="33" t="s">
        <v>2273</v>
      </c>
      <c r="K425" s="33" t="s">
        <v>75</v>
      </c>
      <c r="L425" s="33" t="s">
        <v>218</v>
      </c>
      <c r="M425" s="43">
        <v>46153.26222222222</v>
      </c>
      <c r="N425" s="33" t="s">
        <v>482</v>
      </c>
      <c r="O425" s="33" t="s">
        <v>797</v>
      </c>
      <c r="P425" s="33" t="s">
        <v>140</v>
      </c>
      <c r="Q425" s="33"/>
      <c r="R425" s="33"/>
      <c r="S425" s="33"/>
      <c r="T425" s="33" t="s">
        <v>350</v>
      </c>
      <c r="U425" s="43">
        <v>46150.626388888886</v>
      </c>
      <c r="V425" s="44">
        <v>2.6340277777777779</v>
      </c>
      <c r="W425" s="33" t="s">
        <v>350</v>
      </c>
      <c r="X425" s="43">
        <v>46150.626388888886</v>
      </c>
      <c r="Y425" s="44">
        <v>2.6340277777777779</v>
      </c>
      <c r="Z425" s="33" t="s">
        <v>350</v>
      </c>
      <c r="AA425" s="43">
        <v>46153.333333333336</v>
      </c>
      <c r="AB425" s="33" t="s">
        <v>606</v>
      </c>
      <c r="AC425" s="33" t="s">
        <v>2274</v>
      </c>
      <c r="AD425" s="44">
        <v>3.3597222222222221</v>
      </c>
      <c r="AE425" s="33"/>
      <c r="AF425" s="44">
        <v>3.3597222222222221</v>
      </c>
      <c r="AG425" s="33" t="s">
        <v>2275</v>
      </c>
      <c r="AH425" s="33">
        <v>1</v>
      </c>
      <c r="AI425" s="43">
        <v>46150.626388888886</v>
      </c>
      <c r="AJ425" s="33" t="s">
        <v>73</v>
      </c>
      <c r="AK425" s="42">
        <v>925600</v>
      </c>
      <c r="AL425" s="33" t="s">
        <v>2276</v>
      </c>
    </row>
    <row r="426" spans="1:38">
      <c r="A426" s="33">
        <v>6003351</v>
      </c>
      <c r="B426" s="33"/>
      <c r="C426" s="33" t="s">
        <v>789</v>
      </c>
      <c r="D426" s="33" t="s">
        <v>1702</v>
      </c>
      <c r="E426" s="33" t="s">
        <v>2277</v>
      </c>
      <c r="F426" s="43">
        <v>46149.916666666664</v>
      </c>
      <c r="G426" s="33" t="s">
        <v>792</v>
      </c>
      <c r="H426" s="33"/>
      <c r="I426" s="33" t="s">
        <v>793</v>
      </c>
      <c r="J426" s="33" t="s">
        <v>1398</v>
      </c>
      <c r="K426" s="33" t="s">
        <v>2278</v>
      </c>
      <c r="L426" s="33" t="s">
        <v>2279</v>
      </c>
      <c r="M426" s="43">
        <v>46150.442418981482</v>
      </c>
      <c r="N426" s="33" t="s">
        <v>1705</v>
      </c>
      <c r="O426" s="33" t="s">
        <v>797</v>
      </c>
      <c r="P426" s="33" t="s">
        <v>1963</v>
      </c>
      <c r="Q426" s="43">
        <v>46149.90625</v>
      </c>
      <c r="R426" s="43">
        <v>46149.915277777778</v>
      </c>
      <c r="S426" s="58">
        <v>9.0277777777777769E-3</v>
      </c>
      <c r="T426" s="33" t="s">
        <v>140</v>
      </c>
      <c r="U426" s="43">
        <v>46150.040277777778</v>
      </c>
      <c r="V426" s="58">
        <v>0.27638888888888891</v>
      </c>
      <c r="W426" s="33"/>
      <c r="X426" s="33"/>
      <c r="Y426" s="33"/>
      <c r="Z426" s="33" t="s">
        <v>140</v>
      </c>
      <c r="AA426" s="43">
        <v>46151.333333333336</v>
      </c>
      <c r="AB426" s="33" t="s">
        <v>2280</v>
      </c>
      <c r="AC426" s="33" t="s">
        <v>1400</v>
      </c>
      <c r="AD426" s="58">
        <v>0.53472222222222221</v>
      </c>
      <c r="AE426" s="33"/>
      <c r="AF426" s="58">
        <v>0.53472222222222221</v>
      </c>
      <c r="AG426" s="33" t="s">
        <v>1706</v>
      </c>
      <c r="AH426" s="33">
        <v>2</v>
      </c>
      <c r="AI426" s="43">
        <v>46150.040277777778</v>
      </c>
      <c r="AJ426" s="33" t="s">
        <v>793</v>
      </c>
      <c r="AK426" s="42">
        <v>574967.51</v>
      </c>
      <c r="AL426" s="33" t="s">
        <v>1707</v>
      </c>
    </row>
    <row r="427" spans="1:38">
      <c r="A427" s="33">
        <v>6013835</v>
      </c>
      <c r="B427" s="33"/>
      <c r="C427" s="33" t="s">
        <v>789</v>
      </c>
      <c r="D427" s="33" t="s">
        <v>2281</v>
      </c>
      <c r="E427" s="33" t="s">
        <v>2282</v>
      </c>
      <c r="F427" s="43">
        <v>46149.915277777778</v>
      </c>
      <c r="G427" s="33" t="s">
        <v>216</v>
      </c>
      <c r="H427" s="33"/>
      <c r="I427" s="33" t="s">
        <v>73</v>
      </c>
      <c r="J427" s="33" t="s">
        <v>2283</v>
      </c>
      <c r="K427" s="33" t="s">
        <v>75</v>
      </c>
      <c r="L427" s="33" t="s">
        <v>2284</v>
      </c>
      <c r="M427" s="43">
        <v>46154.77988425926</v>
      </c>
      <c r="N427" s="33" t="s">
        <v>2285</v>
      </c>
      <c r="O427" s="33" t="s">
        <v>797</v>
      </c>
      <c r="P427" s="33" t="s">
        <v>79</v>
      </c>
      <c r="Q427" s="43">
        <v>46149.926388888889</v>
      </c>
      <c r="R427" s="43">
        <v>46150.136111111111</v>
      </c>
      <c r="S427" s="58">
        <v>0.20972222222222223</v>
      </c>
      <c r="T427" s="33" t="s">
        <v>2286</v>
      </c>
      <c r="U427" s="43">
        <v>46152.731249999997</v>
      </c>
      <c r="V427" s="44">
        <v>2.0513888888888889</v>
      </c>
      <c r="W427" s="33" t="s">
        <v>2286</v>
      </c>
      <c r="X427" s="43">
        <v>46152.731249999997</v>
      </c>
      <c r="Y427" s="44">
        <v>2.0513888888888889</v>
      </c>
      <c r="Z427" s="33" t="s">
        <v>2286</v>
      </c>
      <c r="AA427" s="43">
        <v>46153.25</v>
      </c>
      <c r="AB427" s="33" t="s">
        <v>81</v>
      </c>
      <c r="AC427" s="33" t="s">
        <v>2287</v>
      </c>
      <c r="AD427" s="44">
        <v>4.71875</v>
      </c>
      <c r="AE427" s="44">
        <v>4.6166666666666663</v>
      </c>
      <c r="AF427" s="44">
        <v>4.71875</v>
      </c>
      <c r="AG427" s="33" t="s">
        <v>2288</v>
      </c>
      <c r="AH427" s="33">
        <v>2</v>
      </c>
      <c r="AI427" s="43">
        <v>46152.731249999997</v>
      </c>
      <c r="AJ427" s="33" t="s">
        <v>73</v>
      </c>
      <c r="AK427" s="42">
        <v>226908.84</v>
      </c>
      <c r="AL427" s="33" t="s">
        <v>2289</v>
      </c>
    </row>
    <row r="428" spans="1:38">
      <c r="A428" s="33">
        <v>6010794</v>
      </c>
      <c r="B428" s="33"/>
      <c r="C428" s="33" t="s">
        <v>789</v>
      </c>
      <c r="D428" s="33" t="s">
        <v>2290</v>
      </c>
      <c r="E428" s="33" t="s">
        <v>2291</v>
      </c>
      <c r="F428" s="43">
        <v>46149.947916666664</v>
      </c>
      <c r="G428" s="33" t="s">
        <v>227</v>
      </c>
      <c r="H428" s="33"/>
      <c r="I428" s="33" t="s">
        <v>73</v>
      </c>
      <c r="J428" s="33" t="s">
        <v>335</v>
      </c>
      <c r="K428" s="33" t="s">
        <v>2292</v>
      </c>
      <c r="L428" s="33" t="s">
        <v>2293</v>
      </c>
      <c r="M428" s="43">
        <v>46150.324374999997</v>
      </c>
      <c r="N428" s="33" t="s">
        <v>1810</v>
      </c>
      <c r="O428" s="33" t="s">
        <v>175</v>
      </c>
      <c r="P428" s="33" t="s">
        <v>79</v>
      </c>
      <c r="Q428" s="33"/>
      <c r="R428" s="33"/>
      <c r="S428" s="33"/>
      <c r="T428" s="33" t="s">
        <v>297</v>
      </c>
      <c r="U428" s="43">
        <v>46149.977083333331</v>
      </c>
      <c r="V428" s="58">
        <v>9.0277777777777769E-3</v>
      </c>
      <c r="W428" s="33"/>
      <c r="X428" s="33"/>
      <c r="Y428" s="33"/>
      <c r="Z428" s="33" t="s">
        <v>297</v>
      </c>
      <c r="AA428" s="43">
        <v>46150.25</v>
      </c>
      <c r="AB428" s="33" t="s">
        <v>81</v>
      </c>
      <c r="AC428" s="33" t="s">
        <v>340</v>
      </c>
      <c r="AD428" s="58">
        <v>0.39513888888888887</v>
      </c>
      <c r="AE428" s="33"/>
      <c r="AF428" s="58">
        <v>0.39513888888888887</v>
      </c>
      <c r="AG428" s="33" t="s">
        <v>1951</v>
      </c>
      <c r="AH428" s="33">
        <v>2</v>
      </c>
      <c r="AI428" s="43">
        <v>46149.977083333331</v>
      </c>
      <c r="AJ428" s="33" t="s">
        <v>73</v>
      </c>
      <c r="AK428" s="42">
        <v>336900.97</v>
      </c>
      <c r="AL428" s="33" t="s">
        <v>2294</v>
      </c>
    </row>
    <row r="429" spans="1:38">
      <c r="A429" s="33">
        <v>6009856</v>
      </c>
      <c r="B429" s="33"/>
      <c r="C429" s="33" t="s">
        <v>789</v>
      </c>
      <c r="D429" s="33" t="s">
        <v>2295</v>
      </c>
      <c r="E429" s="33" t="s">
        <v>2296</v>
      </c>
      <c r="F429" s="43">
        <v>46149.75</v>
      </c>
      <c r="G429" s="33" t="s">
        <v>72</v>
      </c>
      <c r="H429" s="33"/>
      <c r="I429" s="33" t="s">
        <v>73</v>
      </c>
      <c r="J429" s="33" t="s">
        <v>2297</v>
      </c>
      <c r="K429" s="33" t="s">
        <v>75</v>
      </c>
      <c r="L429" s="33" t="s">
        <v>2298</v>
      </c>
      <c r="M429" s="43">
        <v>46150.428657407407</v>
      </c>
      <c r="N429" s="33" t="s">
        <v>2299</v>
      </c>
      <c r="O429" s="33" t="s">
        <v>797</v>
      </c>
      <c r="P429" s="33" t="s">
        <v>79</v>
      </c>
      <c r="Q429" s="33"/>
      <c r="R429" s="33"/>
      <c r="S429" s="33"/>
      <c r="T429" s="33" t="s">
        <v>2300</v>
      </c>
      <c r="U429" s="43">
        <v>46150.216666666667</v>
      </c>
      <c r="V429" s="58">
        <v>0.20902777777777778</v>
      </c>
      <c r="W429" s="33" t="s">
        <v>2300</v>
      </c>
      <c r="X429" s="43">
        <v>46150.216666666667</v>
      </c>
      <c r="Y429" s="58">
        <v>0.20902777777777778</v>
      </c>
      <c r="Z429" s="33" t="s">
        <v>2300</v>
      </c>
      <c r="AA429" s="43">
        <v>46150.164583333331</v>
      </c>
      <c r="AB429" s="33" t="s">
        <v>81</v>
      </c>
      <c r="AC429" s="33" t="s">
        <v>2301</v>
      </c>
      <c r="AD429" s="58">
        <v>0.45416666666666666</v>
      </c>
      <c r="AE429" s="33"/>
      <c r="AF429" s="58">
        <v>0.45416666666666666</v>
      </c>
      <c r="AG429" s="33"/>
      <c r="AH429" s="33">
        <v>1</v>
      </c>
      <c r="AI429" s="43">
        <v>46150.216666666667</v>
      </c>
      <c r="AJ429" s="33" t="s">
        <v>73</v>
      </c>
      <c r="AK429" s="42">
        <v>107366.39999999999</v>
      </c>
      <c r="AL429" s="33" t="s">
        <v>2302</v>
      </c>
    </row>
    <row r="430" spans="1:38">
      <c r="A430" s="33">
        <v>6000825</v>
      </c>
      <c r="B430" s="33"/>
      <c r="C430" s="33" t="s">
        <v>789</v>
      </c>
      <c r="D430" s="33" t="s">
        <v>2303</v>
      </c>
      <c r="E430" s="33" t="s">
        <v>2304</v>
      </c>
      <c r="F430" s="43">
        <v>46149.872916666667</v>
      </c>
      <c r="G430" s="33" t="s">
        <v>102</v>
      </c>
      <c r="H430" s="33"/>
      <c r="I430" s="33" t="s">
        <v>73</v>
      </c>
      <c r="J430" s="33" t="s">
        <v>2090</v>
      </c>
      <c r="K430" s="33" t="s">
        <v>75</v>
      </c>
      <c r="L430" s="33" t="s">
        <v>2305</v>
      </c>
      <c r="M430" s="43">
        <v>46150.847812499997</v>
      </c>
      <c r="N430" s="33" t="s">
        <v>2306</v>
      </c>
      <c r="O430" s="33" t="s">
        <v>93</v>
      </c>
      <c r="P430" s="33" t="s">
        <v>140</v>
      </c>
      <c r="Q430" s="43">
        <v>46149.974305555559</v>
      </c>
      <c r="R430" s="43">
        <v>46149.978472222225</v>
      </c>
      <c r="S430" s="58">
        <v>4.1666666666666666E-3</v>
      </c>
      <c r="T430" s="33" t="s">
        <v>2093</v>
      </c>
      <c r="U430" s="43">
        <v>46150.03125</v>
      </c>
      <c r="V430" s="58">
        <v>0.81597222222222221</v>
      </c>
      <c r="W430" s="33"/>
      <c r="X430" s="33"/>
      <c r="Y430" s="33"/>
      <c r="Z430" s="33" t="s">
        <v>2093</v>
      </c>
      <c r="AA430" s="43">
        <v>46150.25</v>
      </c>
      <c r="AB430" s="33" t="s">
        <v>81</v>
      </c>
      <c r="AC430" s="33" t="s">
        <v>81</v>
      </c>
      <c r="AD430" s="58">
        <v>0.87430555555555556</v>
      </c>
      <c r="AE430" s="33"/>
      <c r="AF430" s="58">
        <v>0.87430555555555556</v>
      </c>
      <c r="AG430" s="33"/>
      <c r="AH430" s="33">
        <v>2</v>
      </c>
      <c r="AI430" s="43">
        <v>46150.03125</v>
      </c>
      <c r="AJ430" s="33" t="s">
        <v>73</v>
      </c>
      <c r="AK430" s="42">
        <v>172146.65</v>
      </c>
      <c r="AL430" s="33" t="s">
        <v>2307</v>
      </c>
    </row>
    <row r="431" spans="1:38">
      <c r="A431" s="33" t="s">
        <v>2308</v>
      </c>
      <c r="B431" s="33"/>
      <c r="C431" s="33" t="s">
        <v>789</v>
      </c>
      <c r="D431" s="33" t="s">
        <v>2309</v>
      </c>
      <c r="E431" s="33" t="s">
        <v>2310</v>
      </c>
      <c r="F431" s="43">
        <v>46149.875</v>
      </c>
      <c r="G431" s="33" t="s">
        <v>1635</v>
      </c>
      <c r="H431" s="33"/>
      <c r="I431" s="33" t="s">
        <v>772</v>
      </c>
      <c r="J431" s="33" t="s">
        <v>2311</v>
      </c>
      <c r="K431" s="33" t="s">
        <v>2312</v>
      </c>
      <c r="L431" s="33" t="s">
        <v>1256</v>
      </c>
      <c r="M431" s="43">
        <v>46150.575138888889</v>
      </c>
      <c r="N431" s="33" t="s">
        <v>1637</v>
      </c>
      <c r="O431" s="33" t="s">
        <v>797</v>
      </c>
      <c r="P431" s="33" t="s">
        <v>140</v>
      </c>
      <c r="Q431" s="33"/>
      <c r="R431" s="33"/>
      <c r="S431" s="33"/>
      <c r="T431" s="33" t="s">
        <v>1258</v>
      </c>
      <c r="U431" s="43">
        <v>46150.380555555559</v>
      </c>
      <c r="V431" s="58">
        <v>0.19236111111111112</v>
      </c>
      <c r="W431" s="33" t="s">
        <v>1258</v>
      </c>
      <c r="X431" s="43">
        <v>46150.380555555559</v>
      </c>
      <c r="Y431" s="58">
        <v>0.19236111111111112</v>
      </c>
      <c r="Z431" s="33" t="s">
        <v>1258</v>
      </c>
      <c r="AA431" s="43">
        <v>46156</v>
      </c>
      <c r="AB431" s="33" t="s">
        <v>81</v>
      </c>
      <c r="AC431" s="33" t="s">
        <v>2313</v>
      </c>
      <c r="AD431" s="58">
        <v>0.59513888888888888</v>
      </c>
      <c r="AE431" s="58">
        <v>0.57847222222222228</v>
      </c>
      <c r="AF431" s="58">
        <v>0.59513888888888888</v>
      </c>
      <c r="AG431" s="33" t="s">
        <v>2314</v>
      </c>
      <c r="AH431" s="33">
        <v>2</v>
      </c>
      <c r="AI431" s="43">
        <v>46150.380555555559</v>
      </c>
      <c r="AJ431" s="33" t="s">
        <v>73</v>
      </c>
      <c r="AK431" s="42">
        <v>745980.21</v>
      </c>
      <c r="AL431" s="33" t="s">
        <v>2315</v>
      </c>
    </row>
    <row r="432" spans="1:38">
      <c r="A432" s="33" t="s">
        <v>2316</v>
      </c>
      <c r="B432" s="33"/>
      <c r="C432" s="33" t="s">
        <v>789</v>
      </c>
      <c r="D432" s="33" t="s">
        <v>377</v>
      </c>
      <c r="E432" s="33" t="s">
        <v>2317</v>
      </c>
      <c r="F432" s="43">
        <v>46149.713194444441</v>
      </c>
      <c r="G432" s="33" t="s">
        <v>216</v>
      </c>
      <c r="H432" s="58">
        <v>1.8749999999999999E-2</v>
      </c>
      <c r="I432" s="33" t="s">
        <v>73</v>
      </c>
      <c r="J432" s="33" t="s">
        <v>2223</v>
      </c>
      <c r="K432" s="33" t="s">
        <v>75</v>
      </c>
      <c r="L432" s="33" t="s">
        <v>2022</v>
      </c>
      <c r="M432" s="43">
        <v>46151.761817129627</v>
      </c>
      <c r="N432" s="33" t="s">
        <v>382</v>
      </c>
      <c r="O432" s="33" t="s">
        <v>797</v>
      </c>
      <c r="P432" s="33" t="s">
        <v>140</v>
      </c>
      <c r="Q432" s="33"/>
      <c r="R432" s="33"/>
      <c r="S432" s="33"/>
      <c r="T432" s="33" t="s">
        <v>222</v>
      </c>
      <c r="U432" s="43">
        <v>46151.761805555558</v>
      </c>
      <c r="V432" s="58">
        <v>0.61944444444444446</v>
      </c>
      <c r="W432" s="33" t="s">
        <v>350</v>
      </c>
      <c r="X432" s="43">
        <v>46150.918055555558</v>
      </c>
      <c r="Y432" s="44">
        <v>1.4631944444444445</v>
      </c>
      <c r="Z432" s="33" t="s">
        <v>222</v>
      </c>
      <c r="AA432" s="43">
        <v>46151.761805555558</v>
      </c>
      <c r="AB432" s="33" t="s">
        <v>606</v>
      </c>
      <c r="AC432" s="33" t="s">
        <v>2318</v>
      </c>
      <c r="AD432" s="44">
        <v>2.3923611111111112</v>
      </c>
      <c r="AE432" s="33"/>
      <c r="AF432" s="44">
        <v>2.3923611111111112</v>
      </c>
      <c r="AG432" s="33" t="s">
        <v>2319</v>
      </c>
      <c r="AH432" s="33">
        <v>1</v>
      </c>
      <c r="AI432" s="33"/>
      <c r="AJ432" s="33" t="s">
        <v>73</v>
      </c>
      <c r="AK432" s="42">
        <v>925600</v>
      </c>
      <c r="AL432" s="33" t="s">
        <v>386</v>
      </c>
    </row>
    <row r="433" spans="1:38">
      <c r="A433" s="33">
        <v>6015066</v>
      </c>
      <c r="B433" s="33"/>
      <c r="C433" s="33" t="s">
        <v>789</v>
      </c>
      <c r="D433" s="33" t="s">
        <v>2233</v>
      </c>
      <c r="E433" s="33" t="s">
        <v>2320</v>
      </c>
      <c r="F433" s="43">
        <v>46150.208333333336</v>
      </c>
      <c r="G433" s="33" t="s">
        <v>227</v>
      </c>
      <c r="H433" s="33"/>
      <c r="I433" s="33" t="s">
        <v>772</v>
      </c>
      <c r="J433" s="33" t="s">
        <v>2321</v>
      </c>
      <c r="K433" s="33" t="s">
        <v>75</v>
      </c>
      <c r="L433" s="33" t="s">
        <v>1928</v>
      </c>
      <c r="M433" s="43">
        <v>46150.334745370368</v>
      </c>
      <c r="N433" s="33" t="s">
        <v>1810</v>
      </c>
      <c r="O433" s="33" t="s">
        <v>797</v>
      </c>
      <c r="P433" s="33" t="s">
        <v>140</v>
      </c>
      <c r="Q433" s="43">
        <v>46150.146527777775</v>
      </c>
      <c r="R433" s="43">
        <v>46150.198611111111</v>
      </c>
      <c r="S433" s="58">
        <v>5.2083333333333336E-2</v>
      </c>
      <c r="T433" s="33" t="s">
        <v>2322</v>
      </c>
      <c r="U433" s="33"/>
      <c r="V433" s="33"/>
      <c r="W433" s="33" t="s">
        <v>1740</v>
      </c>
      <c r="X433" s="43">
        <v>46150.232638888891</v>
      </c>
      <c r="Y433" s="58">
        <v>0.10138888888888889</v>
      </c>
      <c r="Z433" s="33" t="s">
        <v>2322</v>
      </c>
      <c r="AA433" s="43">
        <v>46156</v>
      </c>
      <c r="AB433" s="33" t="s">
        <v>2323</v>
      </c>
      <c r="AC433" s="33" t="s">
        <v>2324</v>
      </c>
      <c r="AD433" s="58">
        <v>0.27500000000000002</v>
      </c>
      <c r="AE433" s="33"/>
      <c r="AF433" s="58">
        <v>0.27500000000000002</v>
      </c>
      <c r="AG433" s="33" t="s">
        <v>2325</v>
      </c>
      <c r="AH433" s="33">
        <v>2</v>
      </c>
      <c r="AI433" s="43">
        <v>46150.707638888889</v>
      </c>
      <c r="AJ433" s="33" t="s">
        <v>73</v>
      </c>
      <c r="AK433" s="42">
        <v>1164270.8799999999</v>
      </c>
      <c r="AL433" s="33" t="s">
        <v>2236</v>
      </c>
    </row>
    <row r="434" spans="1:38">
      <c r="A434" s="33">
        <v>5980682</v>
      </c>
      <c r="B434" s="33"/>
      <c r="C434" s="33" t="s">
        <v>789</v>
      </c>
      <c r="D434" s="33" t="s">
        <v>1366</v>
      </c>
      <c r="E434" s="33" t="s">
        <v>2326</v>
      </c>
      <c r="F434" s="43">
        <v>46150.041666666664</v>
      </c>
      <c r="G434" s="33" t="s">
        <v>792</v>
      </c>
      <c r="H434" s="33"/>
      <c r="I434" s="33" t="s">
        <v>793</v>
      </c>
      <c r="J434" s="33" t="s">
        <v>1147</v>
      </c>
      <c r="K434" s="33" t="s">
        <v>75</v>
      </c>
      <c r="L434" s="33" t="s">
        <v>1189</v>
      </c>
      <c r="M434" s="43">
        <v>46150.153958333336</v>
      </c>
      <c r="N434" s="33" t="s">
        <v>796</v>
      </c>
      <c r="O434" s="33" t="s">
        <v>797</v>
      </c>
      <c r="P434" s="33" t="s">
        <v>799</v>
      </c>
      <c r="Q434" s="43">
        <v>46150.036111111112</v>
      </c>
      <c r="R434" s="43">
        <v>46150.038194444445</v>
      </c>
      <c r="S434" s="58">
        <v>2.0833333333333333E-3</v>
      </c>
      <c r="T434" s="33" t="s">
        <v>140</v>
      </c>
      <c r="U434" s="43">
        <v>46150.067361111112</v>
      </c>
      <c r="V434" s="58">
        <v>8.611111111111111E-2</v>
      </c>
      <c r="W434" s="33" t="s">
        <v>140</v>
      </c>
      <c r="X434" s="43">
        <v>46150.067361111112</v>
      </c>
      <c r="Y434" s="58">
        <v>8.611111111111111E-2</v>
      </c>
      <c r="Z434" s="33" t="s">
        <v>140</v>
      </c>
      <c r="AA434" s="43">
        <v>46150.125</v>
      </c>
      <c r="AB434" s="33" t="s">
        <v>606</v>
      </c>
      <c r="AC434" s="33" t="s">
        <v>1149</v>
      </c>
      <c r="AD434" s="58">
        <v>0.11736111111111111</v>
      </c>
      <c r="AE434" s="58">
        <v>0.11527777777777778</v>
      </c>
      <c r="AF434" s="58">
        <v>0.11736111111111111</v>
      </c>
      <c r="AG434" s="33" t="s">
        <v>1369</v>
      </c>
      <c r="AH434" s="33">
        <v>2</v>
      </c>
      <c r="AI434" s="43">
        <v>46150.067361111112</v>
      </c>
      <c r="AJ434" s="33" t="s">
        <v>793</v>
      </c>
      <c r="AK434" s="42">
        <v>612494.68000000005</v>
      </c>
      <c r="AL434" s="33" t="s">
        <v>1370</v>
      </c>
    </row>
    <row r="435" spans="1:38">
      <c r="A435" s="33">
        <v>5981352</v>
      </c>
      <c r="B435" s="33"/>
      <c r="C435" s="33" t="s">
        <v>789</v>
      </c>
      <c r="D435" s="33" t="s">
        <v>1466</v>
      </c>
      <c r="E435" s="33" t="s">
        <v>2327</v>
      </c>
      <c r="F435" s="43">
        <v>46150.041666666664</v>
      </c>
      <c r="G435" s="33" t="s">
        <v>792</v>
      </c>
      <c r="H435" s="33"/>
      <c r="I435" s="33" t="s">
        <v>793</v>
      </c>
      <c r="J435" s="33" t="s">
        <v>1382</v>
      </c>
      <c r="K435" s="59" t="s">
        <v>1306</v>
      </c>
      <c r="L435" s="33" t="s">
        <v>1087</v>
      </c>
      <c r="M435" s="43">
        <v>46150.481736111113</v>
      </c>
      <c r="N435" s="33" t="s">
        <v>1468</v>
      </c>
      <c r="O435" s="33" t="s">
        <v>1419</v>
      </c>
      <c r="P435" s="33" t="s">
        <v>799</v>
      </c>
      <c r="Q435" s="43">
        <v>46150.038888888892</v>
      </c>
      <c r="R435" s="43">
        <v>46150.316666666666</v>
      </c>
      <c r="S435" s="58">
        <v>0.27777777777777779</v>
      </c>
      <c r="T435" s="33" t="s">
        <v>140</v>
      </c>
      <c r="U435" s="43">
        <v>46150.372916666667</v>
      </c>
      <c r="V435" s="58">
        <v>3.472222222222222E-3</v>
      </c>
      <c r="W435" s="33"/>
      <c r="X435" s="33"/>
      <c r="Y435" s="33"/>
      <c r="Z435" s="33" t="s">
        <v>140</v>
      </c>
      <c r="AA435" s="43">
        <v>46151.333333333336</v>
      </c>
      <c r="AB435" s="33" t="s">
        <v>81</v>
      </c>
      <c r="AC435" s="33" t="s">
        <v>1383</v>
      </c>
      <c r="AD435" s="58">
        <v>0.44861111111111113</v>
      </c>
      <c r="AE435" s="33"/>
      <c r="AF435" s="58">
        <v>0.44861111111111113</v>
      </c>
      <c r="AG435" s="33" t="s">
        <v>1469</v>
      </c>
      <c r="AH435" s="33">
        <v>2</v>
      </c>
      <c r="AI435" s="43">
        <v>46150.372916666667</v>
      </c>
      <c r="AJ435" s="33" t="s">
        <v>793</v>
      </c>
      <c r="AK435" s="42">
        <v>647012.69999999995</v>
      </c>
      <c r="AL435" s="33" t="s">
        <v>1470</v>
      </c>
    </row>
    <row r="436" spans="1:38">
      <c r="A436" s="33">
        <v>6006342</v>
      </c>
      <c r="B436" s="33"/>
      <c r="C436" s="33" t="s">
        <v>789</v>
      </c>
      <c r="D436" s="33" t="s">
        <v>863</v>
      </c>
      <c r="E436" s="33" t="s">
        <v>2328</v>
      </c>
      <c r="F436" s="43">
        <v>46150.25</v>
      </c>
      <c r="G436" s="33" t="s">
        <v>792</v>
      </c>
      <c r="H436" s="33"/>
      <c r="I436" s="33" t="s">
        <v>793</v>
      </c>
      <c r="J436" s="33" t="s">
        <v>1386</v>
      </c>
      <c r="K436" s="33" t="s">
        <v>916</v>
      </c>
      <c r="L436" s="33" t="s">
        <v>1423</v>
      </c>
      <c r="M436" s="43">
        <v>46150.481134259258</v>
      </c>
      <c r="N436" s="33" t="s">
        <v>867</v>
      </c>
      <c r="O436" s="33" t="s">
        <v>1419</v>
      </c>
      <c r="P436" s="33" t="s">
        <v>1963</v>
      </c>
      <c r="Q436" s="43">
        <v>46150.234027777777</v>
      </c>
      <c r="R436" s="43">
        <v>46150.258333333331</v>
      </c>
      <c r="S436" s="58">
        <v>2.4305555555555556E-2</v>
      </c>
      <c r="T436" s="33" t="s">
        <v>140</v>
      </c>
      <c r="U436" s="43">
        <v>46150.352083333331</v>
      </c>
      <c r="V436" s="58">
        <v>3.472222222222222E-3</v>
      </c>
      <c r="W436" s="33"/>
      <c r="X436" s="33"/>
      <c r="Y436" s="33"/>
      <c r="Z436" s="33" t="s">
        <v>140</v>
      </c>
      <c r="AA436" s="43">
        <v>46151.458333333336</v>
      </c>
      <c r="AB436" s="33" t="s">
        <v>81</v>
      </c>
      <c r="AC436" s="33" t="s">
        <v>1388</v>
      </c>
      <c r="AD436" s="58">
        <v>0.44305555555555554</v>
      </c>
      <c r="AE436" s="33"/>
      <c r="AF436" s="58">
        <v>0.44305555555555554</v>
      </c>
      <c r="AG436" s="33" t="s">
        <v>869</v>
      </c>
      <c r="AH436" s="33">
        <v>2</v>
      </c>
      <c r="AI436" s="43">
        <v>46150.352083333331</v>
      </c>
      <c r="AJ436" s="33" t="s">
        <v>793</v>
      </c>
      <c r="AK436" s="42">
        <v>706985.76</v>
      </c>
      <c r="AL436" s="33" t="s">
        <v>870</v>
      </c>
    </row>
    <row r="437" spans="1:38">
      <c r="A437" s="33">
        <v>6006878</v>
      </c>
      <c r="B437" s="33"/>
      <c r="C437" s="33" t="s">
        <v>789</v>
      </c>
      <c r="D437" s="33" t="s">
        <v>1407</v>
      </c>
      <c r="E437" s="33" t="s">
        <v>2329</v>
      </c>
      <c r="F437" s="43">
        <v>46150.25</v>
      </c>
      <c r="G437" s="33" t="s">
        <v>792</v>
      </c>
      <c r="H437" s="33"/>
      <c r="I437" s="33" t="s">
        <v>793</v>
      </c>
      <c r="J437" s="33" t="s">
        <v>2086</v>
      </c>
      <c r="K437" s="33" t="s">
        <v>75</v>
      </c>
      <c r="L437" s="33" t="s">
        <v>2330</v>
      </c>
      <c r="M437" s="43">
        <v>46150.501643518517</v>
      </c>
      <c r="N437" s="33" t="s">
        <v>1409</v>
      </c>
      <c r="O437" s="33" t="s">
        <v>797</v>
      </c>
      <c r="P437" s="33" t="s">
        <v>1963</v>
      </c>
      <c r="Q437" s="43">
        <v>46150.163888888892</v>
      </c>
      <c r="R437" s="43">
        <v>46150.189583333333</v>
      </c>
      <c r="S437" s="58">
        <v>2.5694444444444443E-2</v>
      </c>
      <c r="T437" s="33" t="s">
        <v>140</v>
      </c>
      <c r="U437" s="43">
        <v>46150.287499999999</v>
      </c>
      <c r="V437" s="58">
        <v>0.11041666666666666</v>
      </c>
      <c r="W437" s="33"/>
      <c r="X437" s="33"/>
      <c r="Y437" s="33"/>
      <c r="Z437" s="33" t="s">
        <v>140</v>
      </c>
      <c r="AA437" s="43">
        <v>46151.5</v>
      </c>
      <c r="AB437" s="33" t="s">
        <v>81</v>
      </c>
      <c r="AC437" s="33" t="s">
        <v>2331</v>
      </c>
      <c r="AD437" s="58">
        <v>0.45694444444444443</v>
      </c>
      <c r="AE437" s="33"/>
      <c r="AF437" s="58">
        <v>0.45694444444444443</v>
      </c>
      <c r="AG437" s="33" t="s">
        <v>1410</v>
      </c>
      <c r="AH437" s="33">
        <v>2</v>
      </c>
      <c r="AI437" s="43">
        <v>46150.287499999999</v>
      </c>
      <c r="AJ437" s="33" t="s">
        <v>793</v>
      </c>
      <c r="AK437" s="42">
        <v>670417.5</v>
      </c>
      <c r="AL437" s="33" t="s">
        <v>1411</v>
      </c>
    </row>
    <row r="438" spans="1:38">
      <c r="A438" s="33">
        <v>6005995</v>
      </c>
      <c r="B438" s="33"/>
      <c r="C438" s="33" t="s">
        <v>789</v>
      </c>
      <c r="D438" s="33" t="s">
        <v>1396</v>
      </c>
      <c r="E438" s="33" t="s">
        <v>2332</v>
      </c>
      <c r="F438" s="43">
        <v>46150.375</v>
      </c>
      <c r="G438" s="33" t="s">
        <v>792</v>
      </c>
      <c r="H438" s="33"/>
      <c r="I438" s="33" t="s">
        <v>793</v>
      </c>
      <c r="J438" s="33" t="s">
        <v>1398</v>
      </c>
      <c r="K438" s="33" t="s">
        <v>75</v>
      </c>
      <c r="L438" s="33" t="s">
        <v>1035</v>
      </c>
      <c r="M438" s="43">
        <v>46150.546446759261</v>
      </c>
      <c r="N438" s="33" t="s">
        <v>1399</v>
      </c>
      <c r="O438" s="33" t="s">
        <v>797</v>
      </c>
      <c r="P438" s="33" t="s">
        <v>1963</v>
      </c>
      <c r="Q438" s="43">
        <v>46150.356249999997</v>
      </c>
      <c r="R438" s="43">
        <v>46150.381249999999</v>
      </c>
      <c r="S438" s="58">
        <v>2.5000000000000001E-2</v>
      </c>
      <c r="T438" s="33" t="s">
        <v>140</v>
      </c>
      <c r="U438" s="43">
        <v>46150.495833333334</v>
      </c>
      <c r="V438" s="58">
        <v>4.9305555555555554E-2</v>
      </c>
      <c r="W438" s="33" t="s">
        <v>140</v>
      </c>
      <c r="X438" s="43">
        <v>46150.495833333334</v>
      </c>
      <c r="Y438" s="58">
        <v>4.9305555555555554E-2</v>
      </c>
      <c r="Z438" s="33" t="s">
        <v>140</v>
      </c>
      <c r="AA438" s="43">
        <v>46151.5</v>
      </c>
      <c r="AB438" s="33" t="s">
        <v>1052</v>
      </c>
      <c r="AC438" s="33" t="s">
        <v>1400</v>
      </c>
      <c r="AD438" s="58">
        <v>0.50069444444444444</v>
      </c>
      <c r="AE438" s="58">
        <v>0.16458333333333333</v>
      </c>
      <c r="AF438" s="58">
        <v>0.50069444444444444</v>
      </c>
      <c r="AG438" s="33" t="s">
        <v>1401</v>
      </c>
      <c r="AH438" s="33">
        <v>2</v>
      </c>
      <c r="AI438" s="43">
        <v>46150.495833333334</v>
      </c>
      <c r="AJ438" s="33" t="s">
        <v>793</v>
      </c>
      <c r="AK438" s="42">
        <v>734876.8</v>
      </c>
      <c r="AL438" s="33" t="s">
        <v>1402</v>
      </c>
    </row>
    <row r="439" spans="1:38">
      <c r="A439" s="33">
        <v>6002298</v>
      </c>
      <c r="B439" s="33"/>
      <c r="C439" s="33" t="s">
        <v>789</v>
      </c>
      <c r="D439" s="33" t="s">
        <v>2333</v>
      </c>
      <c r="E439" s="33" t="s">
        <v>2334</v>
      </c>
      <c r="F439" s="43">
        <v>46150.375</v>
      </c>
      <c r="G439" s="33" t="s">
        <v>792</v>
      </c>
      <c r="H439" s="33"/>
      <c r="I439" s="33" t="s">
        <v>793</v>
      </c>
      <c r="J439" s="33" t="s">
        <v>1398</v>
      </c>
      <c r="K439" s="33" t="s">
        <v>75</v>
      </c>
      <c r="L439" s="33" t="s">
        <v>1627</v>
      </c>
      <c r="M439" s="43">
        <v>46150.546863425923</v>
      </c>
      <c r="N439" s="33" t="s">
        <v>1387</v>
      </c>
      <c r="O439" s="33" t="s">
        <v>797</v>
      </c>
      <c r="P439" s="33" t="s">
        <v>1963</v>
      </c>
      <c r="Q439" s="43">
        <v>46150.335416666669</v>
      </c>
      <c r="R439" s="43">
        <v>46150.35833333333</v>
      </c>
      <c r="S439" s="58">
        <v>2.2916666666666665E-2</v>
      </c>
      <c r="T439" s="33" t="s">
        <v>140</v>
      </c>
      <c r="U439" s="43">
        <v>46150.496527777781</v>
      </c>
      <c r="V439" s="58">
        <v>4.9305555555555554E-2</v>
      </c>
      <c r="W439" s="33" t="s">
        <v>140</v>
      </c>
      <c r="X439" s="43">
        <v>46150.496527777781</v>
      </c>
      <c r="Y439" s="58">
        <v>4.9305555555555554E-2</v>
      </c>
      <c r="Z439" s="33" t="s">
        <v>140</v>
      </c>
      <c r="AA439" s="43">
        <v>46151.5</v>
      </c>
      <c r="AB439" s="33" t="s">
        <v>1052</v>
      </c>
      <c r="AC439" s="33" t="s">
        <v>1400</v>
      </c>
      <c r="AD439" s="58">
        <v>0.48680555555555555</v>
      </c>
      <c r="AE439" s="58">
        <v>0.18819444444444444</v>
      </c>
      <c r="AF439" s="58">
        <v>0.48680555555555555</v>
      </c>
      <c r="AG439" s="33" t="s">
        <v>2335</v>
      </c>
      <c r="AH439" s="33">
        <v>2</v>
      </c>
      <c r="AI439" s="43">
        <v>46150.496527777781</v>
      </c>
      <c r="AJ439" s="33" t="s">
        <v>793</v>
      </c>
      <c r="AK439" s="42">
        <v>706985.76</v>
      </c>
      <c r="AL439" s="33" t="s">
        <v>2336</v>
      </c>
    </row>
    <row r="440" spans="1:38">
      <c r="A440" s="33">
        <v>6006849</v>
      </c>
      <c r="B440" s="33"/>
      <c r="C440" s="33" t="s">
        <v>789</v>
      </c>
      <c r="D440" s="33" t="s">
        <v>790</v>
      </c>
      <c r="E440" s="33" t="s">
        <v>2337</v>
      </c>
      <c r="F440" s="43">
        <v>46150.375</v>
      </c>
      <c r="G440" s="33" t="s">
        <v>792</v>
      </c>
      <c r="H440" s="33"/>
      <c r="I440" s="33" t="s">
        <v>793</v>
      </c>
      <c r="J440" s="33" t="s">
        <v>1398</v>
      </c>
      <c r="K440" s="33" t="s">
        <v>75</v>
      </c>
      <c r="L440" s="33" t="s">
        <v>998</v>
      </c>
      <c r="M440" s="43">
        <v>46150.752187500002</v>
      </c>
      <c r="N440" s="33" t="s">
        <v>796</v>
      </c>
      <c r="O440" s="33" t="s">
        <v>797</v>
      </c>
      <c r="P440" s="33" t="s">
        <v>1963</v>
      </c>
      <c r="Q440" s="43">
        <v>46150.37222222222</v>
      </c>
      <c r="R440" s="43">
        <v>46150.385416666664</v>
      </c>
      <c r="S440" s="58">
        <v>1.3194444444444444E-2</v>
      </c>
      <c r="T440" s="33" t="s">
        <v>140</v>
      </c>
      <c r="U440" s="43">
        <v>46150.520833333336</v>
      </c>
      <c r="V440" s="58">
        <v>0.19097222222222221</v>
      </c>
      <c r="W440" s="33"/>
      <c r="X440" s="33"/>
      <c r="Y440" s="33"/>
      <c r="Z440" s="33" t="s">
        <v>140</v>
      </c>
      <c r="AA440" s="43">
        <v>46151.583333333336</v>
      </c>
      <c r="AB440" s="33" t="s">
        <v>606</v>
      </c>
      <c r="AC440" s="33" t="s">
        <v>1400</v>
      </c>
      <c r="AD440" s="58">
        <v>0.70138888888888884</v>
      </c>
      <c r="AE440" s="33"/>
      <c r="AF440" s="58">
        <v>0.70138888888888884</v>
      </c>
      <c r="AG440" s="33" t="s">
        <v>801</v>
      </c>
      <c r="AH440" s="33">
        <v>2</v>
      </c>
      <c r="AI440" s="43">
        <v>46150.520833333336</v>
      </c>
      <c r="AJ440" s="33" t="s">
        <v>793</v>
      </c>
      <c r="AK440" s="42">
        <v>670417.5</v>
      </c>
      <c r="AL440" s="33" t="s">
        <v>802</v>
      </c>
    </row>
    <row r="441" spans="1:38">
      <c r="A441" s="33">
        <v>6006000</v>
      </c>
      <c r="B441" s="33"/>
      <c r="C441" s="33" t="s">
        <v>789</v>
      </c>
      <c r="D441" s="33" t="s">
        <v>1448</v>
      </c>
      <c r="E441" s="33" t="s">
        <v>2338</v>
      </c>
      <c r="F441" s="43">
        <v>46150.125</v>
      </c>
      <c r="G441" s="33" t="s">
        <v>792</v>
      </c>
      <c r="H441" s="33"/>
      <c r="I441" s="33" t="s">
        <v>793</v>
      </c>
      <c r="J441" s="33" t="s">
        <v>1450</v>
      </c>
      <c r="K441" s="33" t="s">
        <v>75</v>
      </c>
      <c r="L441" s="33" t="s">
        <v>1475</v>
      </c>
      <c r="M441" s="43">
        <v>46150.372442129628</v>
      </c>
      <c r="N441" s="33" t="s">
        <v>1452</v>
      </c>
      <c r="O441" s="33" t="s">
        <v>797</v>
      </c>
      <c r="P441" s="33" t="s">
        <v>1453</v>
      </c>
      <c r="Q441" s="43">
        <v>46150.115277777775</v>
      </c>
      <c r="R441" s="43">
        <v>46150.145138888889</v>
      </c>
      <c r="S441" s="58">
        <v>2.9861111111111113E-2</v>
      </c>
      <c r="T441" s="33" t="s">
        <v>1454</v>
      </c>
      <c r="U441" s="43">
        <v>46150.234027777777</v>
      </c>
      <c r="V441" s="58">
        <v>0.13472222222222222</v>
      </c>
      <c r="W441" s="33" t="s">
        <v>1454</v>
      </c>
      <c r="X441" s="43">
        <v>46150.234027777777</v>
      </c>
      <c r="Y441" s="58">
        <v>0.13750000000000001</v>
      </c>
      <c r="Z441" s="33" t="s">
        <v>1454</v>
      </c>
      <c r="AA441" s="43">
        <v>46151.583333333336</v>
      </c>
      <c r="AB441" s="33" t="s">
        <v>81</v>
      </c>
      <c r="AC441" s="33" t="s">
        <v>1456</v>
      </c>
      <c r="AD441" s="58">
        <v>0.30625000000000002</v>
      </c>
      <c r="AE441" s="58">
        <v>0.13819444444444445</v>
      </c>
      <c r="AF441" s="58">
        <v>0.30625000000000002</v>
      </c>
      <c r="AG441" s="33" t="s">
        <v>1457</v>
      </c>
      <c r="AH441" s="33">
        <v>3</v>
      </c>
      <c r="AI441" s="43">
        <v>46150.234027777777</v>
      </c>
      <c r="AJ441" s="33" t="s">
        <v>793</v>
      </c>
      <c r="AK441" s="42">
        <v>1118421.73</v>
      </c>
      <c r="AL441" s="33" t="s">
        <v>1458</v>
      </c>
    </row>
    <row r="442" spans="1:38">
      <c r="A442" s="33">
        <v>6006868</v>
      </c>
      <c r="B442" s="33"/>
      <c r="C442" s="33" t="s">
        <v>789</v>
      </c>
      <c r="D442" s="33" t="s">
        <v>1605</v>
      </c>
      <c r="E442" s="33" t="s">
        <v>2339</v>
      </c>
      <c r="F442" s="43">
        <v>46150.208333333336</v>
      </c>
      <c r="G442" s="33" t="s">
        <v>792</v>
      </c>
      <c r="H442" s="33"/>
      <c r="I442" s="33" t="s">
        <v>793</v>
      </c>
      <c r="J442" s="33" t="s">
        <v>1450</v>
      </c>
      <c r="K442" s="33" t="s">
        <v>75</v>
      </c>
      <c r="L442" s="33" t="s">
        <v>2340</v>
      </c>
      <c r="M442" s="43">
        <v>46150.372546296298</v>
      </c>
      <c r="N442" s="33" t="s">
        <v>1608</v>
      </c>
      <c r="O442" s="33" t="s">
        <v>797</v>
      </c>
      <c r="P442" s="33" t="s">
        <v>1453</v>
      </c>
      <c r="Q442" s="43">
        <v>46150.204861111109</v>
      </c>
      <c r="R442" s="43">
        <v>46150.26458333333</v>
      </c>
      <c r="S442" s="58">
        <v>5.9722222222222225E-2</v>
      </c>
      <c r="T442" s="33" t="s">
        <v>1455</v>
      </c>
      <c r="U442" s="43">
        <v>46150.369444444441</v>
      </c>
      <c r="V442" s="58">
        <v>3.472222222222222E-3</v>
      </c>
      <c r="W442" s="33"/>
      <c r="X442" s="33"/>
      <c r="Y442" s="33"/>
      <c r="Z442" s="33" t="s">
        <v>1455</v>
      </c>
      <c r="AA442" s="43">
        <v>46150.369444444441</v>
      </c>
      <c r="AB442" s="33" t="s">
        <v>81</v>
      </c>
      <c r="AC442" s="33" t="s">
        <v>81</v>
      </c>
      <c r="AD442" s="58">
        <v>0.30208333333333331</v>
      </c>
      <c r="AE442" s="33"/>
      <c r="AF442" s="58">
        <v>0.30208333333333331</v>
      </c>
      <c r="AG442" s="33" t="s">
        <v>1610</v>
      </c>
      <c r="AH442" s="33">
        <v>3</v>
      </c>
      <c r="AI442" s="33"/>
      <c r="AJ442" s="33" t="s">
        <v>793</v>
      </c>
      <c r="AK442" s="42">
        <v>1209427.2</v>
      </c>
      <c r="AL442" s="33" t="s">
        <v>1611</v>
      </c>
    </row>
    <row r="443" spans="1:38">
      <c r="A443" s="33">
        <v>6007489</v>
      </c>
      <c r="B443" s="33"/>
      <c r="C443" s="33" t="s">
        <v>789</v>
      </c>
      <c r="D443" s="33" t="s">
        <v>1479</v>
      </c>
      <c r="E443" s="33" t="s">
        <v>2341</v>
      </c>
      <c r="F443" s="43">
        <v>46150.145833333336</v>
      </c>
      <c r="G443" s="33" t="s">
        <v>792</v>
      </c>
      <c r="H443" s="33"/>
      <c r="I443" s="33" t="s">
        <v>793</v>
      </c>
      <c r="J443" s="33" t="s">
        <v>1450</v>
      </c>
      <c r="K443" s="33" t="s">
        <v>1158</v>
      </c>
      <c r="L443" s="33" t="s">
        <v>2342</v>
      </c>
      <c r="M443" s="43">
        <v>46150.419953703706</v>
      </c>
      <c r="N443" s="33" t="s">
        <v>1483</v>
      </c>
      <c r="O443" s="33" t="s">
        <v>868</v>
      </c>
      <c r="P443" s="33" t="s">
        <v>1453</v>
      </c>
      <c r="Q443" s="43">
        <v>46150.12777777778</v>
      </c>
      <c r="R443" s="43">
        <v>46150.23333333333</v>
      </c>
      <c r="S443" s="58">
        <v>0.10555555555555556</v>
      </c>
      <c r="T443" s="33" t="s">
        <v>1454</v>
      </c>
      <c r="U443" s="43">
        <v>46150.273611111108</v>
      </c>
      <c r="V443" s="58">
        <v>0.14583333333333334</v>
      </c>
      <c r="W443" s="33"/>
      <c r="X443" s="33"/>
      <c r="Y443" s="33"/>
      <c r="Z443" s="33" t="s">
        <v>1454</v>
      </c>
      <c r="AA443" s="43">
        <v>46151.583333333336</v>
      </c>
      <c r="AB443" s="33" t="s">
        <v>81</v>
      </c>
      <c r="AC443" s="33" t="s">
        <v>81</v>
      </c>
      <c r="AD443" s="58">
        <v>0.34930555555555554</v>
      </c>
      <c r="AE443" s="33"/>
      <c r="AF443" s="58">
        <v>0.34930555555555554</v>
      </c>
      <c r="AG443" s="33" t="s">
        <v>1485</v>
      </c>
      <c r="AH443" s="33">
        <v>2</v>
      </c>
      <c r="AI443" s="43">
        <v>46150.273611111108</v>
      </c>
      <c r="AJ443" s="33" t="s">
        <v>793</v>
      </c>
      <c r="AK443" s="42">
        <v>1095166.22</v>
      </c>
      <c r="AL443" s="33" t="s">
        <v>1486</v>
      </c>
    </row>
    <row r="444" spans="1:38">
      <c r="A444" s="33">
        <v>6006024</v>
      </c>
      <c r="B444" s="33"/>
      <c r="C444" s="33" t="s">
        <v>789</v>
      </c>
      <c r="D444" s="33" t="s">
        <v>1439</v>
      </c>
      <c r="E444" s="33" t="s">
        <v>2343</v>
      </c>
      <c r="F444" s="43">
        <v>46150.375</v>
      </c>
      <c r="G444" s="33" t="s">
        <v>792</v>
      </c>
      <c r="H444" s="33"/>
      <c r="I444" s="33" t="s">
        <v>793</v>
      </c>
      <c r="J444" s="33" t="s">
        <v>2049</v>
      </c>
      <c r="K444" s="33" t="s">
        <v>1986</v>
      </c>
      <c r="L444" s="33" t="s">
        <v>2344</v>
      </c>
      <c r="M444" s="43">
        <v>46150.520173611112</v>
      </c>
      <c r="N444" s="33" t="s">
        <v>1441</v>
      </c>
      <c r="O444" s="33" t="s">
        <v>868</v>
      </c>
      <c r="P444" s="33" t="s">
        <v>1963</v>
      </c>
      <c r="Q444" s="43">
        <v>46150.343055555553</v>
      </c>
      <c r="R444" s="43">
        <v>46150.356249999997</v>
      </c>
      <c r="S444" s="58">
        <v>1.3194444444444444E-2</v>
      </c>
      <c r="T444" s="33" t="s">
        <v>799</v>
      </c>
      <c r="U444" s="43">
        <v>46150.499305555553</v>
      </c>
      <c r="V444" s="58">
        <v>2.0833333333333332E-2</v>
      </c>
      <c r="W444" s="33"/>
      <c r="X444" s="33"/>
      <c r="Y444" s="33"/>
      <c r="Z444" s="33" t="s">
        <v>799</v>
      </c>
      <c r="AA444" s="43">
        <v>46151.583333333336</v>
      </c>
      <c r="AB444" s="33" t="s">
        <v>81</v>
      </c>
      <c r="AC444" s="33" t="s">
        <v>81</v>
      </c>
      <c r="AD444" s="58">
        <v>0.46944444444444444</v>
      </c>
      <c r="AE444" s="33"/>
      <c r="AF444" s="58">
        <v>0.46944444444444444</v>
      </c>
      <c r="AG444" s="33" t="s">
        <v>1443</v>
      </c>
      <c r="AH444" s="33">
        <v>2</v>
      </c>
      <c r="AI444" s="43">
        <v>46150.499305555553</v>
      </c>
      <c r="AJ444" s="33" t="s">
        <v>793</v>
      </c>
      <c r="AK444" s="42">
        <v>602905.02</v>
      </c>
      <c r="AL444" s="33" t="s">
        <v>1444</v>
      </c>
    </row>
    <row r="445" spans="1:38">
      <c r="A445" s="33" t="s">
        <v>2345</v>
      </c>
      <c r="B445" s="33"/>
      <c r="C445" s="33" t="s">
        <v>789</v>
      </c>
      <c r="D445" s="33" t="s">
        <v>804</v>
      </c>
      <c r="E445" s="33" t="s">
        <v>2346</v>
      </c>
      <c r="F445" s="43">
        <v>46150.416666666664</v>
      </c>
      <c r="G445" s="33" t="s">
        <v>792</v>
      </c>
      <c r="H445" s="33"/>
      <c r="I445" s="33" t="s">
        <v>793</v>
      </c>
      <c r="J445" s="33" t="s">
        <v>2049</v>
      </c>
      <c r="K445" s="33" t="s">
        <v>75</v>
      </c>
      <c r="L445" s="33" t="s">
        <v>806</v>
      </c>
      <c r="M445" s="43">
        <v>46150.686550925922</v>
      </c>
      <c r="N445" s="33" t="s">
        <v>796</v>
      </c>
      <c r="O445" s="33" t="s">
        <v>797</v>
      </c>
      <c r="P445" s="33" t="s">
        <v>1963</v>
      </c>
      <c r="Q445" s="43">
        <v>46150.334722222222</v>
      </c>
      <c r="R445" s="43">
        <v>46150.354861111111</v>
      </c>
      <c r="S445" s="58">
        <v>2.013888888888889E-2</v>
      </c>
      <c r="T445" s="33" t="s">
        <v>799</v>
      </c>
      <c r="U445" s="43">
        <v>46150.654166666667</v>
      </c>
      <c r="V445" s="58">
        <v>3.0555555555555555E-2</v>
      </c>
      <c r="W445" s="33" t="s">
        <v>799</v>
      </c>
      <c r="X445" s="43">
        <v>46150.654166666667</v>
      </c>
      <c r="Y445" s="58">
        <v>3.0555555555555555E-2</v>
      </c>
      <c r="Z445" s="33" t="s">
        <v>799</v>
      </c>
      <c r="AA445" s="43">
        <v>46151.958333333336</v>
      </c>
      <c r="AB445" s="33" t="s">
        <v>81</v>
      </c>
      <c r="AC445" s="33" t="s">
        <v>2076</v>
      </c>
      <c r="AD445" s="58">
        <v>0.40069444444444446</v>
      </c>
      <c r="AE445" s="58">
        <v>0.33194444444444443</v>
      </c>
      <c r="AF445" s="58">
        <v>0.40069444444444446</v>
      </c>
      <c r="AG445" s="33" t="s">
        <v>1083</v>
      </c>
      <c r="AH445" s="33">
        <v>2</v>
      </c>
      <c r="AI445" s="43">
        <v>46150.654166666667</v>
      </c>
      <c r="AJ445" s="33" t="s">
        <v>793</v>
      </c>
      <c r="AK445" s="42">
        <v>1059307.9099999999</v>
      </c>
      <c r="AL445" s="33" t="s">
        <v>808</v>
      </c>
    </row>
    <row r="446" spans="1:38">
      <c r="A446" s="33" t="s">
        <v>2347</v>
      </c>
      <c r="B446" s="33"/>
      <c r="C446" s="33" t="s">
        <v>789</v>
      </c>
      <c r="D446" s="33" t="s">
        <v>931</v>
      </c>
      <c r="E446" s="33" t="s">
        <v>2348</v>
      </c>
      <c r="F446" s="43">
        <v>46150.458333333336</v>
      </c>
      <c r="G446" s="33" t="s">
        <v>792</v>
      </c>
      <c r="H446" s="33"/>
      <c r="I446" s="33" t="s">
        <v>793</v>
      </c>
      <c r="J446" s="33" t="s">
        <v>2049</v>
      </c>
      <c r="K446" s="33" t="s">
        <v>75</v>
      </c>
      <c r="L446" s="33" t="s">
        <v>972</v>
      </c>
      <c r="M446" s="43">
        <v>46150.651747685188</v>
      </c>
      <c r="N446" s="33" t="s">
        <v>933</v>
      </c>
      <c r="O446" s="33" t="s">
        <v>797</v>
      </c>
      <c r="P446" s="33" t="s">
        <v>1963</v>
      </c>
      <c r="Q446" s="43">
        <v>46150.383333333331</v>
      </c>
      <c r="R446" s="43">
        <v>46150.402083333334</v>
      </c>
      <c r="S446" s="58">
        <v>1.8749999999999999E-2</v>
      </c>
      <c r="T446" s="33" t="s">
        <v>799</v>
      </c>
      <c r="U446" s="43">
        <v>46150.633333333331</v>
      </c>
      <c r="V446" s="58">
        <v>1.8749999999999999E-2</v>
      </c>
      <c r="W446" s="33" t="s">
        <v>799</v>
      </c>
      <c r="X446" s="43">
        <v>46150.633333333331</v>
      </c>
      <c r="Y446" s="58">
        <v>1.8749999999999999E-2</v>
      </c>
      <c r="Z446" s="33" t="s">
        <v>799</v>
      </c>
      <c r="AA446" s="43">
        <v>46151.958333333336</v>
      </c>
      <c r="AB446" s="33" t="s">
        <v>81</v>
      </c>
      <c r="AC446" s="33" t="s">
        <v>2076</v>
      </c>
      <c r="AD446" s="58">
        <v>0.35138888888888886</v>
      </c>
      <c r="AE446" s="58">
        <v>0.25277777777777777</v>
      </c>
      <c r="AF446" s="58">
        <v>0.35138888888888886</v>
      </c>
      <c r="AG446" s="33" t="s">
        <v>1604</v>
      </c>
      <c r="AH446" s="33">
        <v>2</v>
      </c>
      <c r="AI446" s="43">
        <v>46150.633333333331</v>
      </c>
      <c r="AJ446" s="33" t="s">
        <v>793</v>
      </c>
      <c r="AK446" s="42">
        <v>2117208.1800000002</v>
      </c>
      <c r="AL446" s="33" t="s">
        <v>936</v>
      </c>
    </row>
    <row r="447" spans="1:38">
      <c r="A447" s="33">
        <v>6013839</v>
      </c>
      <c r="B447" s="33"/>
      <c r="C447" s="33" t="s">
        <v>789</v>
      </c>
      <c r="D447" s="33" t="s">
        <v>1801</v>
      </c>
      <c r="E447" s="33" t="s">
        <v>2349</v>
      </c>
      <c r="F447" s="43">
        <v>46150.208333333336</v>
      </c>
      <c r="G447" s="33" t="s">
        <v>227</v>
      </c>
      <c r="H447" s="33"/>
      <c r="I447" s="33" t="s">
        <v>73</v>
      </c>
      <c r="J447" s="33" t="s">
        <v>2350</v>
      </c>
      <c r="K447" s="33" t="s">
        <v>75</v>
      </c>
      <c r="L447" s="33" t="s">
        <v>2351</v>
      </c>
      <c r="M447" s="43">
        <v>46150.428298611114</v>
      </c>
      <c r="N447" s="33" t="s">
        <v>1804</v>
      </c>
      <c r="O447" s="33" t="s">
        <v>797</v>
      </c>
      <c r="P447" s="33" t="s">
        <v>140</v>
      </c>
      <c r="Q447" s="33"/>
      <c r="R447" s="33"/>
      <c r="S447" s="33"/>
      <c r="T447" s="33" t="s">
        <v>2131</v>
      </c>
      <c r="U447" s="33"/>
      <c r="V447" s="33"/>
      <c r="W447" s="33" t="s">
        <v>530</v>
      </c>
      <c r="X447" s="43">
        <v>46150.417361111111</v>
      </c>
      <c r="Y447" s="58">
        <v>1.1111111111111112E-2</v>
      </c>
      <c r="Z447" s="33" t="s">
        <v>2131</v>
      </c>
      <c r="AA447" s="43">
        <v>46156.208333333336</v>
      </c>
      <c r="AB447" s="33" t="s">
        <v>2352</v>
      </c>
      <c r="AC447" s="33" t="s">
        <v>2353</v>
      </c>
      <c r="AD447" s="58">
        <v>0.36458333333333331</v>
      </c>
      <c r="AE447" s="33"/>
      <c r="AF447" s="58">
        <v>0.36458333333333331</v>
      </c>
      <c r="AG447" s="33" t="s">
        <v>1806</v>
      </c>
      <c r="AH447" s="33">
        <v>2</v>
      </c>
      <c r="AI447" s="43">
        <v>46150.629166666666</v>
      </c>
      <c r="AJ447" s="33" t="s">
        <v>73</v>
      </c>
      <c r="AK447" s="42">
        <v>363125.03</v>
      </c>
      <c r="AL447" s="33" t="s">
        <v>1807</v>
      </c>
    </row>
    <row r="448" spans="1:38">
      <c r="A448" s="33">
        <v>6006090</v>
      </c>
      <c r="B448" s="33"/>
      <c r="C448" s="33" t="s">
        <v>789</v>
      </c>
      <c r="D448" s="33" t="s">
        <v>1074</v>
      </c>
      <c r="E448" s="33" t="s">
        <v>2354</v>
      </c>
      <c r="F448" s="43">
        <v>46150.25</v>
      </c>
      <c r="G448" s="33" t="s">
        <v>792</v>
      </c>
      <c r="H448" s="33"/>
      <c r="I448" s="33" t="s">
        <v>793</v>
      </c>
      <c r="J448" s="33" t="s">
        <v>2049</v>
      </c>
      <c r="K448" s="33" t="s">
        <v>75</v>
      </c>
      <c r="L448" s="33" t="s">
        <v>806</v>
      </c>
      <c r="M448" s="43">
        <v>46150.6484375</v>
      </c>
      <c r="N448" s="33" t="s">
        <v>1078</v>
      </c>
      <c r="O448" s="33" t="s">
        <v>797</v>
      </c>
      <c r="P448" s="33" t="s">
        <v>1963</v>
      </c>
      <c r="Q448" s="43">
        <v>46150.468055555553</v>
      </c>
      <c r="R448" s="43">
        <v>46150.492361111108</v>
      </c>
      <c r="S448" s="58">
        <v>2.4305555555555556E-2</v>
      </c>
      <c r="T448" s="33" t="s">
        <v>799</v>
      </c>
      <c r="U448" s="43">
        <v>46150.621527777781</v>
      </c>
      <c r="V448" s="58">
        <v>3.0555555555555555E-2</v>
      </c>
      <c r="W448" s="33" t="s">
        <v>799</v>
      </c>
      <c r="X448" s="43">
        <v>46150.621527777781</v>
      </c>
      <c r="Y448" s="58">
        <v>3.0555555555555555E-2</v>
      </c>
      <c r="Z448" s="33" t="s">
        <v>799</v>
      </c>
      <c r="AA448" s="43">
        <v>46150.958333333336</v>
      </c>
      <c r="AB448" s="33" t="s">
        <v>81</v>
      </c>
      <c r="AC448" s="33" t="s">
        <v>2076</v>
      </c>
      <c r="AD448" s="58">
        <v>0.54305555555555551</v>
      </c>
      <c r="AE448" s="58">
        <v>0.16041666666666668</v>
      </c>
      <c r="AF448" s="58">
        <v>0.54305555555555551</v>
      </c>
      <c r="AG448" s="33" t="s">
        <v>1080</v>
      </c>
      <c r="AH448" s="33">
        <v>2</v>
      </c>
      <c r="AI448" s="43">
        <v>46150.621527777781</v>
      </c>
      <c r="AJ448" s="33" t="s">
        <v>793</v>
      </c>
      <c r="AK448" s="42">
        <v>529237.57999999996</v>
      </c>
      <c r="AL448" s="33" t="s">
        <v>1081</v>
      </c>
    </row>
    <row r="449" spans="1:38">
      <c r="A449" s="33">
        <v>6006858</v>
      </c>
      <c r="B449" s="33"/>
      <c r="C449" s="33" t="s">
        <v>789</v>
      </c>
      <c r="D449" s="33" t="s">
        <v>809</v>
      </c>
      <c r="E449" s="33" t="s">
        <v>2355</v>
      </c>
      <c r="F449" s="43">
        <v>46150.25</v>
      </c>
      <c r="G449" s="33" t="s">
        <v>792</v>
      </c>
      <c r="H449" s="33"/>
      <c r="I449" s="33" t="s">
        <v>793</v>
      </c>
      <c r="J449" s="33" t="s">
        <v>2049</v>
      </c>
      <c r="K449" s="33" t="s">
        <v>2356</v>
      </c>
      <c r="L449" s="33" t="s">
        <v>2357</v>
      </c>
      <c r="M449" s="43">
        <v>46150.576273148145</v>
      </c>
      <c r="N449" s="33" t="s">
        <v>813</v>
      </c>
      <c r="O449" s="33" t="s">
        <v>797</v>
      </c>
      <c r="P449" s="33" t="s">
        <v>1963</v>
      </c>
      <c r="Q449" s="43">
        <v>46150.332638888889</v>
      </c>
      <c r="R449" s="43">
        <v>46150.35833333333</v>
      </c>
      <c r="S449" s="58">
        <v>2.5694444444444443E-2</v>
      </c>
      <c r="T449" s="33" t="s">
        <v>799</v>
      </c>
      <c r="U449" s="43">
        <v>46150.518055555556</v>
      </c>
      <c r="V449" s="58">
        <v>5.6944444444444443E-2</v>
      </c>
      <c r="W449" s="33"/>
      <c r="X449" s="33"/>
      <c r="Y449" s="33"/>
      <c r="Z449" s="33" t="s">
        <v>799</v>
      </c>
      <c r="AA449" s="43">
        <v>46150.625</v>
      </c>
      <c r="AB449" s="33" t="s">
        <v>81</v>
      </c>
      <c r="AC449" s="33" t="s">
        <v>81</v>
      </c>
      <c r="AD449" s="58">
        <v>0.46458333333333335</v>
      </c>
      <c r="AE449" s="33"/>
      <c r="AF449" s="58">
        <v>0.46458333333333335</v>
      </c>
      <c r="AG449" s="33" t="s">
        <v>815</v>
      </c>
      <c r="AH449" s="33">
        <v>2</v>
      </c>
      <c r="AI449" s="43">
        <v>46150.518055555556</v>
      </c>
      <c r="AJ449" s="33" t="s">
        <v>793</v>
      </c>
      <c r="AK449" s="42">
        <v>604029.92000000004</v>
      </c>
      <c r="AL449" s="33" t="s">
        <v>816</v>
      </c>
    </row>
    <row r="450" spans="1:38">
      <c r="A450" s="33">
        <v>6001168</v>
      </c>
      <c r="B450" s="33"/>
      <c r="C450" s="33" t="s">
        <v>789</v>
      </c>
      <c r="D450" s="33" t="s">
        <v>1032</v>
      </c>
      <c r="E450" s="33" t="s">
        <v>2358</v>
      </c>
      <c r="F450" s="43">
        <v>46150.208333333336</v>
      </c>
      <c r="G450" s="33" t="s">
        <v>792</v>
      </c>
      <c r="H450" s="33"/>
      <c r="I450" s="33" t="s">
        <v>793</v>
      </c>
      <c r="J450" s="33" t="s">
        <v>1147</v>
      </c>
      <c r="K450" s="33" t="s">
        <v>1158</v>
      </c>
      <c r="L450" s="33" t="s">
        <v>1627</v>
      </c>
      <c r="M450" s="43">
        <v>46150.302210648151</v>
      </c>
      <c r="N450" s="33" t="s">
        <v>1036</v>
      </c>
      <c r="O450" s="33" t="s">
        <v>797</v>
      </c>
      <c r="P450" s="33" t="s">
        <v>799</v>
      </c>
      <c r="Q450" s="43">
        <v>46150.173611111109</v>
      </c>
      <c r="R450" s="43">
        <v>46150.246527777781</v>
      </c>
      <c r="S450" s="58">
        <v>7.2916666666666671E-2</v>
      </c>
      <c r="T450" s="33" t="s">
        <v>140</v>
      </c>
      <c r="U450" s="43">
        <v>46150.274305555555</v>
      </c>
      <c r="V450" s="58">
        <v>2.7083333333333334E-2</v>
      </c>
      <c r="W450" s="33" t="s">
        <v>140</v>
      </c>
      <c r="X450" s="43">
        <v>46150.274305555555</v>
      </c>
      <c r="Y450" s="58">
        <v>2.7083333333333334E-2</v>
      </c>
      <c r="Z450" s="33" t="s">
        <v>140</v>
      </c>
      <c r="AA450" s="43">
        <v>46150.25</v>
      </c>
      <c r="AB450" s="33" t="s">
        <v>606</v>
      </c>
      <c r="AC450" s="33" t="s">
        <v>1149</v>
      </c>
      <c r="AD450" s="58">
        <v>0.12777777777777777</v>
      </c>
      <c r="AE450" s="58">
        <v>5.5555555555555552E-2</v>
      </c>
      <c r="AF450" s="58">
        <v>0.12777777777777777</v>
      </c>
      <c r="AG450" s="33" t="s">
        <v>1161</v>
      </c>
      <c r="AH450" s="33">
        <v>2</v>
      </c>
      <c r="AI450" s="43">
        <v>46150.274305555555</v>
      </c>
      <c r="AJ450" s="33" t="s">
        <v>793</v>
      </c>
      <c r="AK450" s="42">
        <v>745585.45</v>
      </c>
      <c r="AL450" s="33" t="s">
        <v>1039</v>
      </c>
    </row>
    <row r="451" spans="1:38">
      <c r="A451" s="33">
        <v>5981265</v>
      </c>
      <c r="B451" s="33"/>
      <c r="C451" s="33" t="s">
        <v>789</v>
      </c>
      <c r="D451" s="33" t="s">
        <v>1047</v>
      </c>
      <c r="E451" s="33" t="s">
        <v>2359</v>
      </c>
      <c r="F451" s="43">
        <v>46150.25</v>
      </c>
      <c r="G451" s="33" t="s">
        <v>792</v>
      </c>
      <c r="H451" s="33"/>
      <c r="I451" s="33" t="s">
        <v>793</v>
      </c>
      <c r="J451" s="33" t="s">
        <v>1147</v>
      </c>
      <c r="K451" s="33" t="s">
        <v>75</v>
      </c>
      <c r="L451" s="33" t="s">
        <v>2360</v>
      </c>
      <c r="M451" s="43">
        <v>46150.327835648146</v>
      </c>
      <c r="N451" s="33" t="s">
        <v>1051</v>
      </c>
      <c r="O451" s="33" t="s">
        <v>797</v>
      </c>
      <c r="P451" s="33" t="s">
        <v>799</v>
      </c>
      <c r="Q451" s="43">
        <v>46150.227777777778</v>
      </c>
      <c r="R451" s="43">
        <v>46150.243055555555</v>
      </c>
      <c r="S451" s="58">
        <v>1.5277777777777777E-2</v>
      </c>
      <c r="T451" s="33" t="s">
        <v>140</v>
      </c>
      <c r="U451" s="43">
        <v>46150.280555555553</v>
      </c>
      <c r="V451" s="58">
        <v>2.361111111111111E-2</v>
      </c>
      <c r="W451" s="33"/>
      <c r="X451" s="33"/>
      <c r="Y451" s="33"/>
      <c r="Z451" s="33" t="s">
        <v>140</v>
      </c>
      <c r="AA451" s="43">
        <v>46150.291666666664</v>
      </c>
      <c r="AB451" s="33" t="s">
        <v>2361</v>
      </c>
      <c r="AC451" s="33" t="s">
        <v>1149</v>
      </c>
      <c r="AD451" s="58">
        <v>9.7916666666666666E-2</v>
      </c>
      <c r="AE451" s="33"/>
      <c r="AF451" s="58">
        <v>9.7916666666666666E-2</v>
      </c>
      <c r="AG451" s="33" t="s">
        <v>1054</v>
      </c>
      <c r="AH451" s="33">
        <v>2</v>
      </c>
      <c r="AI451" s="43">
        <v>46150.280555555553</v>
      </c>
      <c r="AJ451" s="33" t="s">
        <v>793</v>
      </c>
      <c r="AK451" s="42">
        <v>529997.23</v>
      </c>
      <c r="AL451" s="33" t="s">
        <v>1055</v>
      </c>
    </row>
    <row r="452" spans="1:38">
      <c r="A452" s="33">
        <v>6006682</v>
      </c>
      <c r="B452" s="33"/>
      <c r="C452" s="33" t="s">
        <v>789</v>
      </c>
      <c r="D452" s="33" t="s">
        <v>1163</v>
      </c>
      <c r="E452" s="33" t="s">
        <v>2362</v>
      </c>
      <c r="F452" s="43">
        <v>46150.291666666664</v>
      </c>
      <c r="G452" s="33" t="s">
        <v>792</v>
      </c>
      <c r="H452" s="33"/>
      <c r="I452" s="33" t="s">
        <v>793</v>
      </c>
      <c r="J452" s="33" t="s">
        <v>2086</v>
      </c>
      <c r="K452" s="33" t="s">
        <v>1831</v>
      </c>
      <c r="L452" s="33" t="s">
        <v>2363</v>
      </c>
      <c r="M452" s="43">
        <v>46150.588437500002</v>
      </c>
      <c r="N452" s="33" t="s">
        <v>1167</v>
      </c>
      <c r="O452" s="33" t="s">
        <v>868</v>
      </c>
      <c r="P452" s="33" t="s">
        <v>1963</v>
      </c>
      <c r="Q452" s="43">
        <v>46150.275000000001</v>
      </c>
      <c r="R452" s="43">
        <v>46150.30972222222</v>
      </c>
      <c r="S452" s="58">
        <v>3.4722222222222224E-2</v>
      </c>
      <c r="T452" s="33" t="s">
        <v>140</v>
      </c>
      <c r="U452" s="43">
        <v>46150.457638888889</v>
      </c>
      <c r="V452" s="58">
        <v>0.13055555555555556</v>
      </c>
      <c r="W452" s="33"/>
      <c r="X452" s="33"/>
      <c r="Y452" s="33"/>
      <c r="Z452" s="33" t="s">
        <v>140</v>
      </c>
      <c r="AA452" s="43">
        <v>46150.5</v>
      </c>
      <c r="AB452" s="33" t="s">
        <v>81</v>
      </c>
      <c r="AC452" s="33" t="s">
        <v>81</v>
      </c>
      <c r="AD452" s="58">
        <v>0.33819444444444446</v>
      </c>
      <c r="AE452" s="33"/>
      <c r="AF452" s="58">
        <v>0.33819444444444446</v>
      </c>
      <c r="AG452" s="33" t="s">
        <v>1171</v>
      </c>
      <c r="AH452" s="33">
        <v>2</v>
      </c>
      <c r="AI452" s="43">
        <v>46150.457638888889</v>
      </c>
      <c r="AJ452" s="33" t="s">
        <v>793</v>
      </c>
      <c r="AK452" s="42">
        <v>620364.26</v>
      </c>
      <c r="AL452" s="33" t="s">
        <v>1172</v>
      </c>
    </row>
    <row r="453" spans="1:38">
      <c r="A453" s="33">
        <v>6006027</v>
      </c>
      <c r="B453" s="33"/>
      <c r="C453" s="33" t="s">
        <v>789</v>
      </c>
      <c r="D453" s="33" t="s">
        <v>914</v>
      </c>
      <c r="E453" s="33" t="s">
        <v>2364</v>
      </c>
      <c r="F453" s="43">
        <v>46150.25</v>
      </c>
      <c r="G453" s="33" t="s">
        <v>792</v>
      </c>
      <c r="H453" s="33"/>
      <c r="I453" s="33" t="s">
        <v>793</v>
      </c>
      <c r="J453" s="33" t="s">
        <v>2086</v>
      </c>
      <c r="K453" s="33" t="s">
        <v>305</v>
      </c>
      <c r="L453" s="33" t="s">
        <v>2365</v>
      </c>
      <c r="M453" s="43">
        <v>46150.502280092594</v>
      </c>
      <c r="N453" s="33" t="s">
        <v>918</v>
      </c>
      <c r="O453" s="33" t="s">
        <v>797</v>
      </c>
      <c r="P453" s="33" t="s">
        <v>1963</v>
      </c>
      <c r="Q453" s="43">
        <v>46150.231249999997</v>
      </c>
      <c r="R453" s="43">
        <v>46150.256249999999</v>
      </c>
      <c r="S453" s="58">
        <v>2.5000000000000001E-2</v>
      </c>
      <c r="T453" s="33" t="s">
        <v>140</v>
      </c>
      <c r="U453" s="43">
        <v>46150.352777777778</v>
      </c>
      <c r="V453" s="58">
        <v>0.13263888888888889</v>
      </c>
      <c r="W453" s="33"/>
      <c r="X453" s="33"/>
      <c r="Y453" s="33"/>
      <c r="Z453" s="33" t="s">
        <v>140</v>
      </c>
      <c r="AA453" s="43">
        <v>46150.5</v>
      </c>
      <c r="AB453" s="33" t="s">
        <v>81</v>
      </c>
      <c r="AC453" s="33" t="s">
        <v>2331</v>
      </c>
      <c r="AD453" s="58">
        <v>0.27013888888888887</v>
      </c>
      <c r="AE453" s="33"/>
      <c r="AF453" s="58">
        <v>0.27013888888888887</v>
      </c>
      <c r="AG453" s="33" t="s">
        <v>919</v>
      </c>
      <c r="AH453" s="33">
        <v>2</v>
      </c>
      <c r="AI453" s="43">
        <v>46150.352777777778</v>
      </c>
      <c r="AJ453" s="33" t="s">
        <v>793</v>
      </c>
      <c r="AK453" s="42">
        <v>734876.8</v>
      </c>
      <c r="AL453" s="33" t="s">
        <v>920</v>
      </c>
    </row>
    <row r="454" spans="1:38">
      <c r="A454" s="33" t="s">
        <v>2366</v>
      </c>
      <c r="B454" s="33"/>
      <c r="C454" s="33" t="s">
        <v>789</v>
      </c>
      <c r="D454" s="33" t="s">
        <v>2367</v>
      </c>
      <c r="E454" s="33" t="s">
        <v>2368</v>
      </c>
      <c r="F454" s="43">
        <v>46150.291666666664</v>
      </c>
      <c r="G454" s="33" t="s">
        <v>171</v>
      </c>
      <c r="H454" s="33"/>
      <c r="I454" s="33" t="s">
        <v>793</v>
      </c>
      <c r="J454" s="33" t="s">
        <v>958</v>
      </c>
      <c r="K454" s="33" t="s">
        <v>2369</v>
      </c>
      <c r="L454" s="33" t="s">
        <v>2370</v>
      </c>
      <c r="M454" s="43">
        <v>46150.541666666664</v>
      </c>
      <c r="N454" s="33" t="s">
        <v>2371</v>
      </c>
      <c r="O454" s="33" t="s">
        <v>797</v>
      </c>
      <c r="P454" s="33" t="s">
        <v>861</v>
      </c>
      <c r="Q454" s="33"/>
      <c r="R454" s="33"/>
      <c r="S454" s="33"/>
      <c r="T454" s="33" t="s">
        <v>308</v>
      </c>
      <c r="U454" s="43">
        <v>46150.34652777778</v>
      </c>
      <c r="V454" s="58">
        <v>0.12777777777777777</v>
      </c>
      <c r="W454" s="33"/>
      <c r="X454" s="33"/>
      <c r="Y454" s="33"/>
      <c r="Z454" s="33" t="s">
        <v>308</v>
      </c>
      <c r="AA454" s="43">
        <v>46159</v>
      </c>
      <c r="AB454" s="33" t="s">
        <v>2372</v>
      </c>
      <c r="AC454" s="33" t="s">
        <v>1404</v>
      </c>
      <c r="AD454" s="58">
        <v>0.31111111111111112</v>
      </c>
      <c r="AE454" s="33"/>
      <c r="AF454" s="58">
        <v>0.31111111111111112</v>
      </c>
      <c r="AG454" s="33" t="s">
        <v>2373</v>
      </c>
      <c r="AH454" s="33">
        <v>1</v>
      </c>
      <c r="AI454" s="43">
        <v>46150.34652777778</v>
      </c>
      <c r="AJ454" s="33" t="s">
        <v>793</v>
      </c>
      <c r="AK454" s="42">
        <v>637017.05000000005</v>
      </c>
      <c r="AL454" s="33" t="s">
        <v>2374</v>
      </c>
    </row>
    <row r="455" spans="1:38">
      <c r="A455" s="33">
        <v>6007570</v>
      </c>
      <c r="B455" s="33"/>
      <c r="C455" s="33" t="s">
        <v>789</v>
      </c>
      <c r="D455" s="33" t="s">
        <v>2375</v>
      </c>
      <c r="E455" s="33" t="s">
        <v>2376</v>
      </c>
      <c r="F455" s="43">
        <v>46150.770833333336</v>
      </c>
      <c r="G455" s="33" t="s">
        <v>408</v>
      </c>
      <c r="H455" s="33"/>
      <c r="I455" s="33" t="s">
        <v>73</v>
      </c>
      <c r="J455" s="33" t="s">
        <v>2377</v>
      </c>
      <c r="K455" s="33" t="s">
        <v>75</v>
      </c>
      <c r="L455" s="33" t="s">
        <v>2378</v>
      </c>
      <c r="M455" s="43">
        <v>46155.00744212963</v>
      </c>
      <c r="N455" s="33" t="s">
        <v>1019</v>
      </c>
      <c r="O455" s="33" t="s">
        <v>797</v>
      </c>
      <c r="P455" s="33" t="s">
        <v>79</v>
      </c>
      <c r="Q455" s="43">
        <v>46150.317361111112</v>
      </c>
      <c r="R455" s="43">
        <v>46150.457638888889</v>
      </c>
      <c r="S455" s="58">
        <v>0.14027777777777778</v>
      </c>
      <c r="T455" s="33" t="s">
        <v>494</v>
      </c>
      <c r="U455" s="43">
        <v>46152.662499999999</v>
      </c>
      <c r="V455" s="44">
        <v>2.3513888888888888</v>
      </c>
      <c r="W455" s="33" t="s">
        <v>494</v>
      </c>
      <c r="X455" s="43">
        <v>46152.662499999999</v>
      </c>
      <c r="Y455" s="44">
        <v>2.3513888888888888</v>
      </c>
      <c r="Z455" s="33" t="s">
        <v>494</v>
      </c>
      <c r="AA455" s="43">
        <v>46153.25</v>
      </c>
      <c r="AB455" s="33" t="s">
        <v>81</v>
      </c>
      <c r="AC455" s="33" t="s">
        <v>2379</v>
      </c>
      <c r="AD455" s="44">
        <v>4.7277777777777779</v>
      </c>
      <c r="AE455" s="44">
        <v>2.7875000000000001</v>
      </c>
      <c r="AF455" s="44">
        <v>4.7277777777777779</v>
      </c>
      <c r="AG455" s="33" t="s">
        <v>2380</v>
      </c>
      <c r="AH455" s="33">
        <v>5</v>
      </c>
      <c r="AI455" s="43">
        <v>46152.662499999999</v>
      </c>
      <c r="AJ455" s="33" t="s">
        <v>73</v>
      </c>
      <c r="AK455" s="42">
        <v>126742.94</v>
      </c>
      <c r="AL455" s="33" t="s">
        <v>2381</v>
      </c>
    </row>
    <row r="456" spans="1:38">
      <c r="A456" s="33">
        <v>6006649</v>
      </c>
      <c r="B456" s="33"/>
      <c r="C456" s="33" t="s">
        <v>789</v>
      </c>
      <c r="D456" s="33" t="s">
        <v>1412</v>
      </c>
      <c r="E456" s="33" t="s">
        <v>2382</v>
      </c>
      <c r="F456" s="43">
        <v>46150.458333333336</v>
      </c>
      <c r="G456" s="33" t="s">
        <v>792</v>
      </c>
      <c r="H456" s="33"/>
      <c r="I456" s="33" t="s">
        <v>793</v>
      </c>
      <c r="J456" s="33" t="s">
        <v>2086</v>
      </c>
      <c r="K456" s="33" t="s">
        <v>75</v>
      </c>
      <c r="L456" s="33" t="s">
        <v>1035</v>
      </c>
      <c r="M456" s="43">
        <v>46150.609490740739</v>
      </c>
      <c r="N456" s="33" t="s">
        <v>1414</v>
      </c>
      <c r="O456" s="33" t="s">
        <v>78</v>
      </c>
      <c r="P456" s="33" t="s">
        <v>1963</v>
      </c>
      <c r="Q456" s="43">
        <v>46150.425694444442</v>
      </c>
      <c r="R456" s="43">
        <v>46150.452777777777</v>
      </c>
      <c r="S456" s="58">
        <v>2.7083333333333334E-2</v>
      </c>
      <c r="T456" s="33" t="s">
        <v>140</v>
      </c>
      <c r="U456" s="43">
        <v>46150.570833333331</v>
      </c>
      <c r="V456" s="58">
        <v>6.9444444444444447E-4</v>
      </c>
      <c r="W456" s="33"/>
      <c r="X456" s="33"/>
      <c r="Y456" s="33"/>
      <c r="Z456" s="33" t="s">
        <v>140</v>
      </c>
      <c r="AA456" s="43">
        <v>46150.5</v>
      </c>
      <c r="AB456" s="33" t="s">
        <v>81</v>
      </c>
      <c r="AC456" s="33" t="s">
        <v>2331</v>
      </c>
      <c r="AD456" s="58">
        <v>0.30833333333333335</v>
      </c>
      <c r="AE456" s="33"/>
      <c r="AF456" s="58">
        <v>0.30833333333333335</v>
      </c>
      <c r="AG456" s="33" t="s">
        <v>1415</v>
      </c>
      <c r="AH456" s="33">
        <v>2</v>
      </c>
      <c r="AI456" s="43">
        <v>46150.570833333331</v>
      </c>
      <c r="AJ456" s="33" t="s">
        <v>793</v>
      </c>
      <c r="AK456" s="42">
        <v>706985.76</v>
      </c>
      <c r="AL456" s="33" t="s">
        <v>1416</v>
      </c>
    </row>
    <row r="457" spans="1:38">
      <c r="A457" s="33">
        <v>6006673</v>
      </c>
      <c r="B457" s="33"/>
      <c r="C457" s="33" t="s">
        <v>789</v>
      </c>
      <c r="D457" s="33" t="s">
        <v>1417</v>
      </c>
      <c r="E457" s="33" t="s">
        <v>2383</v>
      </c>
      <c r="F457" s="43">
        <v>46150.458333333336</v>
      </c>
      <c r="G457" s="33" t="s">
        <v>792</v>
      </c>
      <c r="H457" s="33"/>
      <c r="I457" s="33" t="s">
        <v>793</v>
      </c>
      <c r="J457" s="33" t="s">
        <v>2086</v>
      </c>
      <c r="K457" s="33" t="s">
        <v>75</v>
      </c>
      <c r="L457" s="33" t="s">
        <v>2150</v>
      </c>
      <c r="M457" s="43">
        <v>46150.598773148151</v>
      </c>
      <c r="N457" s="33" t="s">
        <v>1409</v>
      </c>
      <c r="O457" s="33" t="s">
        <v>175</v>
      </c>
      <c r="P457" s="33" t="s">
        <v>1963</v>
      </c>
      <c r="Q457" s="43">
        <v>46150.442361111112</v>
      </c>
      <c r="R457" s="43">
        <v>46150.462500000001</v>
      </c>
      <c r="S457" s="58">
        <v>2.013888888888889E-2</v>
      </c>
      <c r="T457" s="33" t="s">
        <v>140</v>
      </c>
      <c r="U457" s="43">
        <v>46150.582638888889</v>
      </c>
      <c r="V457" s="58">
        <v>2.0833333333333333E-3</v>
      </c>
      <c r="W457" s="33"/>
      <c r="X457" s="33"/>
      <c r="Y457" s="33"/>
      <c r="Z457" s="33" t="s">
        <v>140</v>
      </c>
      <c r="AA457" s="43">
        <v>46150.5</v>
      </c>
      <c r="AB457" s="33" t="s">
        <v>81</v>
      </c>
      <c r="AC457" s="33" t="s">
        <v>2331</v>
      </c>
      <c r="AD457" s="58">
        <v>0.3</v>
      </c>
      <c r="AE457" s="33"/>
      <c r="AF457" s="58">
        <v>0.3</v>
      </c>
      <c r="AG457" s="33" t="s">
        <v>1420</v>
      </c>
      <c r="AH457" s="33">
        <v>2</v>
      </c>
      <c r="AI457" s="43">
        <v>46150.582638888889</v>
      </c>
      <c r="AJ457" s="33" t="s">
        <v>793</v>
      </c>
      <c r="AK457" s="42">
        <v>855386.4</v>
      </c>
      <c r="AL457" s="33" t="s">
        <v>1421</v>
      </c>
    </row>
    <row r="458" spans="1:38">
      <c r="A458" s="33">
        <v>6006667</v>
      </c>
      <c r="B458" s="33"/>
      <c r="C458" s="33" t="s">
        <v>789</v>
      </c>
      <c r="D458" s="33" t="s">
        <v>2155</v>
      </c>
      <c r="E458" s="33" t="s">
        <v>2384</v>
      </c>
      <c r="F458" s="43">
        <v>46150.291666666664</v>
      </c>
      <c r="G458" s="33" t="s">
        <v>792</v>
      </c>
      <c r="H458" s="33"/>
      <c r="I458" s="33" t="s">
        <v>793</v>
      </c>
      <c r="J458" s="33" t="s">
        <v>2049</v>
      </c>
      <c r="K458" s="33" t="s">
        <v>1378</v>
      </c>
      <c r="L458" s="33" t="s">
        <v>2385</v>
      </c>
      <c r="M458" s="43">
        <v>46150.590324074074</v>
      </c>
      <c r="N458" s="33" t="s">
        <v>2157</v>
      </c>
      <c r="O458" s="33" t="s">
        <v>797</v>
      </c>
      <c r="P458" s="33" t="s">
        <v>1963</v>
      </c>
      <c r="Q458" s="43">
        <v>46150.317361111112</v>
      </c>
      <c r="R458" s="43">
        <v>46150.318749999999</v>
      </c>
      <c r="S458" s="58">
        <v>1.3888888888888889E-3</v>
      </c>
      <c r="T458" s="33" t="s">
        <v>799</v>
      </c>
      <c r="U458" s="43">
        <v>46150.511111111111</v>
      </c>
      <c r="V458" s="58">
        <v>6.7361111111111108E-2</v>
      </c>
      <c r="W458" s="33"/>
      <c r="X458" s="33"/>
      <c r="Y458" s="33"/>
      <c r="Z458" s="33" t="s">
        <v>799</v>
      </c>
      <c r="AA458" s="43">
        <v>46150.541666666664</v>
      </c>
      <c r="AB458" s="33" t="s">
        <v>1138</v>
      </c>
      <c r="AC458" s="33" t="s">
        <v>2076</v>
      </c>
      <c r="AD458" s="58">
        <v>0.2986111111111111</v>
      </c>
      <c r="AE458" s="33"/>
      <c r="AF458" s="58">
        <v>0.2986111111111111</v>
      </c>
      <c r="AG458" s="33" t="s">
        <v>2158</v>
      </c>
      <c r="AH458" s="33">
        <v>2</v>
      </c>
      <c r="AI458" s="43">
        <v>46150.511111111111</v>
      </c>
      <c r="AJ458" s="33" t="s">
        <v>793</v>
      </c>
      <c r="AK458" s="42">
        <v>706985.76</v>
      </c>
      <c r="AL458" s="33" t="s">
        <v>2159</v>
      </c>
    </row>
    <row r="459" spans="1:38">
      <c r="A459" s="33">
        <v>6006046</v>
      </c>
      <c r="B459" s="33"/>
      <c r="C459" s="33" t="s">
        <v>789</v>
      </c>
      <c r="D459" s="33" t="s">
        <v>2386</v>
      </c>
      <c r="E459" s="33" t="s">
        <v>2387</v>
      </c>
      <c r="F459" s="43">
        <v>46150.333333333336</v>
      </c>
      <c r="G459" s="33" t="s">
        <v>792</v>
      </c>
      <c r="H459" s="33"/>
      <c r="I459" s="33" t="s">
        <v>793</v>
      </c>
      <c r="J459" s="33" t="s">
        <v>1398</v>
      </c>
      <c r="K459" s="33" t="s">
        <v>75</v>
      </c>
      <c r="L459" s="33" t="s">
        <v>1112</v>
      </c>
      <c r="M459" s="43">
        <v>46150.544282407405</v>
      </c>
      <c r="N459" s="33" t="s">
        <v>2388</v>
      </c>
      <c r="O459" s="33" t="s">
        <v>797</v>
      </c>
      <c r="P459" s="33" t="s">
        <v>1963</v>
      </c>
      <c r="Q459" s="43">
        <v>46150.345833333333</v>
      </c>
      <c r="R459" s="43">
        <v>46150.394444444442</v>
      </c>
      <c r="S459" s="58">
        <v>4.8611111111111112E-2</v>
      </c>
      <c r="T459" s="33" t="s">
        <v>140</v>
      </c>
      <c r="U459" s="43">
        <v>46150.530555555553</v>
      </c>
      <c r="V459" s="58">
        <v>1.3194444444444444E-2</v>
      </c>
      <c r="W459" s="33" t="s">
        <v>140</v>
      </c>
      <c r="X459" s="43">
        <v>46150.530555555553</v>
      </c>
      <c r="Y459" s="58">
        <v>1.3194444444444444E-2</v>
      </c>
      <c r="Z459" s="33" t="s">
        <v>140</v>
      </c>
      <c r="AA459" s="43">
        <v>46150.541666666664</v>
      </c>
      <c r="AB459" s="33" t="s">
        <v>81</v>
      </c>
      <c r="AC459" s="33" t="s">
        <v>1400</v>
      </c>
      <c r="AD459" s="58">
        <v>0.25069444444444444</v>
      </c>
      <c r="AE459" s="58">
        <v>0.15138888888888888</v>
      </c>
      <c r="AF459" s="58">
        <v>0.25069444444444444</v>
      </c>
      <c r="AG459" s="33" t="s">
        <v>2389</v>
      </c>
      <c r="AH459" s="33">
        <v>2</v>
      </c>
      <c r="AI459" s="43">
        <v>46150.530555555553</v>
      </c>
      <c r="AJ459" s="33" t="s">
        <v>793</v>
      </c>
      <c r="AK459" s="42">
        <v>596634.30000000005</v>
      </c>
      <c r="AL459" s="33" t="s">
        <v>2390</v>
      </c>
    </row>
    <row r="460" spans="1:38">
      <c r="A460" s="33">
        <v>6006687</v>
      </c>
      <c r="B460" s="33"/>
      <c r="C460" s="33" t="s">
        <v>789</v>
      </c>
      <c r="D460" s="33" t="s">
        <v>1745</v>
      </c>
      <c r="E460" s="33" t="s">
        <v>2391</v>
      </c>
      <c r="F460" s="43">
        <v>46150.375</v>
      </c>
      <c r="G460" s="33" t="s">
        <v>792</v>
      </c>
      <c r="H460" s="33"/>
      <c r="I460" s="33" t="s">
        <v>793</v>
      </c>
      <c r="J460" s="33" t="s">
        <v>2086</v>
      </c>
      <c r="K460" s="33" t="s">
        <v>75</v>
      </c>
      <c r="L460" s="33" t="s">
        <v>1087</v>
      </c>
      <c r="M460" s="43">
        <v>46150.546574074076</v>
      </c>
      <c r="N460" s="33" t="s">
        <v>1748</v>
      </c>
      <c r="O460" s="33" t="s">
        <v>797</v>
      </c>
      <c r="P460" s="33" t="s">
        <v>1963</v>
      </c>
      <c r="Q460" s="43">
        <v>46150.390277777777</v>
      </c>
      <c r="R460" s="43">
        <v>46150.404166666667</v>
      </c>
      <c r="S460" s="58">
        <v>1.3888888888888888E-2</v>
      </c>
      <c r="T460" s="33" t="s">
        <v>140</v>
      </c>
      <c r="U460" s="43">
        <v>46150.532638888886</v>
      </c>
      <c r="V460" s="58">
        <v>1.3888888888888888E-2</v>
      </c>
      <c r="W460" s="33" t="s">
        <v>140</v>
      </c>
      <c r="X460" s="43">
        <v>46150.532638888886</v>
      </c>
      <c r="Y460" s="58">
        <v>1.3888888888888888E-2</v>
      </c>
      <c r="Z460" s="33" t="s">
        <v>140</v>
      </c>
      <c r="AA460" s="43">
        <v>46150.583333333336</v>
      </c>
      <c r="AB460" s="33" t="s">
        <v>81</v>
      </c>
      <c r="AC460" s="33" t="s">
        <v>2331</v>
      </c>
      <c r="AD460" s="58">
        <v>0.25208333333333333</v>
      </c>
      <c r="AE460" s="58">
        <v>0.1423611111111111</v>
      </c>
      <c r="AF460" s="58">
        <v>0.25208333333333333</v>
      </c>
      <c r="AG460" s="33" t="s">
        <v>1750</v>
      </c>
      <c r="AH460" s="33">
        <v>2</v>
      </c>
      <c r="AI460" s="43">
        <v>46150.532638888886</v>
      </c>
      <c r="AJ460" s="33" t="s">
        <v>793</v>
      </c>
      <c r="AK460" s="42">
        <v>890435.68</v>
      </c>
      <c r="AL460" s="33" t="s">
        <v>1751</v>
      </c>
    </row>
    <row r="461" spans="1:38">
      <c r="A461" s="33">
        <v>6006012</v>
      </c>
      <c r="B461" s="33"/>
      <c r="C461" s="33" t="s">
        <v>789</v>
      </c>
      <c r="D461" s="33" t="s">
        <v>817</v>
      </c>
      <c r="E461" s="33" t="s">
        <v>2392</v>
      </c>
      <c r="F461" s="43">
        <v>46150.416666666664</v>
      </c>
      <c r="G461" s="33" t="s">
        <v>792</v>
      </c>
      <c r="H461" s="33"/>
      <c r="I461" s="33" t="s">
        <v>793</v>
      </c>
      <c r="J461" s="33" t="s">
        <v>2086</v>
      </c>
      <c r="K461" s="33" t="s">
        <v>75</v>
      </c>
      <c r="L461" s="33" t="s">
        <v>1747</v>
      </c>
      <c r="M461" s="43">
        <v>46150.571631944447</v>
      </c>
      <c r="N461" s="33" t="s">
        <v>822</v>
      </c>
      <c r="O461" s="33" t="s">
        <v>797</v>
      </c>
      <c r="P461" s="33" t="s">
        <v>1963</v>
      </c>
      <c r="Q461" s="43">
        <v>46150.375</v>
      </c>
      <c r="R461" s="43">
        <v>46150.393750000003</v>
      </c>
      <c r="S461" s="58">
        <v>1.8749999999999999E-2</v>
      </c>
      <c r="T461" s="33" t="s">
        <v>140</v>
      </c>
      <c r="U461" s="43">
        <v>46150.531944444447</v>
      </c>
      <c r="V461" s="58">
        <v>3.9583333333333331E-2</v>
      </c>
      <c r="W461" s="33" t="s">
        <v>140</v>
      </c>
      <c r="X461" s="43">
        <v>46150.531944444447</v>
      </c>
      <c r="Y461" s="58">
        <v>3.9583333333333331E-2</v>
      </c>
      <c r="Z461" s="33" t="s">
        <v>140</v>
      </c>
      <c r="AA461" s="43">
        <v>46150.666666666664</v>
      </c>
      <c r="AB461" s="33" t="s">
        <v>81</v>
      </c>
      <c r="AC461" s="33" t="s">
        <v>2331</v>
      </c>
      <c r="AD461" s="58">
        <v>0.27638888888888891</v>
      </c>
      <c r="AE461" s="58">
        <v>0.17777777777777778</v>
      </c>
      <c r="AF461" s="58">
        <v>0.27638888888888891</v>
      </c>
      <c r="AG461" s="33" t="s">
        <v>825</v>
      </c>
      <c r="AH461" s="33">
        <v>2</v>
      </c>
      <c r="AI461" s="43">
        <v>46150.531944444447</v>
      </c>
      <c r="AJ461" s="33" t="s">
        <v>793</v>
      </c>
      <c r="AK461" s="42">
        <v>820091.1</v>
      </c>
      <c r="AL461" s="33" t="s">
        <v>826</v>
      </c>
    </row>
    <row r="462" spans="1:38">
      <c r="A462" s="33" t="s">
        <v>2393</v>
      </c>
      <c r="B462" s="33"/>
      <c r="C462" s="33" t="s">
        <v>789</v>
      </c>
      <c r="D462" s="33" t="s">
        <v>877</v>
      </c>
      <c r="E462" s="33" t="s">
        <v>2394</v>
      </c>
      <c r="F462" s="43">
        <v>46150.416666666664</v>
      </c>
      <c r="G462" s="33" t="s">
        <v>792</v>
      </c>
      <c r="H462" s="33"/>
      <c r="I462" s="33" t="s">
        <v>793</v>
      </c>
      <c r="J462" s="33" t="s">
        <v>2049</v>
      </c>
      <c r="K462" s="33" t="s">
        <v>75</v>
      </c>
      <c r="L462" s="33" t="s">
        <v>2395</v>
      </c>
      <c r="M462" s="43">
        <v>46150.651666666665</v>
      </c>
      <c r="N462" s="33" t="s">
        <v>881</v>
      </c>
      <c r="O462" s="33" t="s">
        <v>797</v>
      </c>
      <c r="P462" s="33" t="s">
        <v>1963</v>
      </c>
      <c r="Q462" s="43">
        <v>46150.384027777778</v>
      </c>
      <c r="R462" s="43">
        <v>46150.399305555555</v>
      </c>
      <c r="S462" s="58">
        <v>1.5277777777777777E-2</v>
      </c>
      <c r="T462" s="33" t="s">
        <v>799</v>
      </c>
      <c r="U462" s="43">
        <v>46150.637499999997</v>
      </c>
      <c r="V462" s="58">
        <v>1.4583333333333334E-2</v>
      </c>
      <c r="W462" s="33" t="s">
        <v>799</v>
      </c>
      <c r="X462" s="43">
        <v>46150.637499999997</v>
      </c>
      <c r="Y462" s="58">
        <v>1.4583333333333334E-2</v>
      </c>
      <c r="Z462" s="33" t="s">
        <v>799</v>
      </c>
      <c r="AA462" s="43">
        <v>46150.958333333336</v>
      </c>
      <c r="AB462" s="33" t="s">
        <v>81</v>
      </c>
      <c r="AC462" s="33" t="s">
        <v>2076</v>
      </c>
      <c r="AD462" s="58">
        <v>0.33680555555555558</v>
      </c>
      <c r="AE462" s="58">
        <v>0.25486111111111109</v>
      </c>
      <c r="AF462" s="58">
        <v>0.33680555555555558</v>
      </c>
      <c r="AG462" s="33" t="s">
        <v>2396</v>
      </c>
      <c r="AH462" s="33">
        <v>2</v>
      </c>
      <c r="AI462" s="43">
        <v>46150.637499999997</v>
      </c>
      <c r="AJ462" s="33" t="s">
        <v>793</v>
      </c>
      <c r="AK462" s="42">
        <v>1200675.55</v>
      </c>
      <c r="AL462" s="33" t="s">
        <v>943</v>
      </c>
    </row>
    <row r="463" spans="1:38">
      <c r="A463" s="33">
        <v>6006653</v>
      </c>
      <c r="B463" s="33"/>
      <c r="C463" s="33" t="s">
        <v>789</v>
      </c>
      <c r="D463" s="33" t="s">
        <v>1856</v>
      </c>
      <c r="E463" s="33" t="s">
        <v>2397</v>
      </c>
      <c r="F463" s="43">
        <v>46150.375</v>
      </c>
      <c r="G463" s="33" t="s">
        <v>792</v>
      </c>
      <c r="H463" s="33"/>
      <c r="I463" s="33" t="s">
        <v>793</v>
      </c>
      <c r="J463" s="33" t="s">
        <v>2261</v>
      </c>
      <c r="K463" s="33" t="s">
        <v>75</v>
      </c>
      <c r="L463" s="33" t="s">
        <v>2398</v>
      </c>
      <c r="M463" s="43">
        <v>46150.601979166669</v>
      </c>
      <c r="N463" s="33" t="s">
        <v>1860</v>
      </c>
      <c r="O463" s="33" t="s">
        <v>797</v>
      </c>
      <c r="P463" s="33" t="s">
        <v>1963</v>
      </c>
      <c r="Q463" s="43">
        <v>46150.319444444445</v>
      </c>
      <c r="R463" s="43">
        <v>46150.320138888892</v>
      </c>
      <c r="S463" s="58">
        <v>6.9444444444444447E-4</v>
      </c>
      <c r="T463" s="33" t="s">
        <v>799</v>
      </c>
      <c r="U463" s="43">
        <v>46150.508333333331</v>
      </c>
      <c r="V463" s="58">
        <v>3.4027777777777775E-2</v>
      </c>
      <c r="W463" s="33"/>
      <c r="X463" s="33"/>
      <c r="Y463" s="33"/>
      <c r="Z463" s="33" t="s">
        <v>799</v>
      </c>
      <c r="AA463" s="43">
        <v>46150.958333333336</v>
      </c>
      <c r="AB463" s="33" t="s">
        <v>1532</v>
      </c>
      <c r="AC463" s="33" t="s">
        <v>2262</v>
      </c>
      <c r="AD463" s="58">
        <v>0.30486111111111114</v>
      </c>
      <c r="AE463" s="33"/>
      <c r="AF463" s="58">
        <v>0.30486111111111114</v>
      </c>
      <c r="AG463" s="33" t="s">
        <v>1861</v>
      </c>
      <c r="AH463" s="33">
        <v>2</v>
      </c>
      <c r="AI463" s="43">
        <v>46150.508333333331</v>
      </c>
      <c r="AJ463" s="33" t="s">
        <v>793</v>
      </c>
      <c r="AK463" s="42">
        <v>706985.76</v>
      </c>
      <c r="AL463" s="33" t="s">
        <v>1978</v>
      </c>
    </row>
    <row r="464" spans="1:38">
      <c r="A464" s="33">
        <v>6006761</v>
      </c>
      <c r="B464" s="33"/>
      <c r="C464" s="33" t="s">
        <v>789</v>
      </c>
      <c r="D464" s="33" t="s">
        <v>2040</v>
      </c>
      <c r="E464" s="33" t="s">
        <v>2399</v>
      </c>
      <c r="F464" s="43">
        <v>46150.416666666664</v>
      </c>
      <c r="G464" s="33" t="s">
        <v>792</v>
      </c>
      <c r="H464" s="33"/>
      <c r="I464" s="33" t="s">
        <v>793</v>
      </c>
      <c r="J464" s="33" t="s">
        <v>2400</v>
      </c>
      <c r="K464" s="33" t="s">
        <v>873</v>
      </c>
      <c r="L464" s="33" t="s">
        <v>2401</v>
      </c>
      <c r="M464" s="43">
        <v>46150.58798611111</v>
      </c>
      <c r="N464" s="33" t="s">
        <v>796</v>
      </c>
      <c r="O464" s="33" t="s">
        <v>868</v>
      </c>
      <c r="P464" s="33" t="s">
        <v>1963</v>
      </c>
      <c r="Q464" s="43">
        <v>46150.40347222222</v>
      </c>
      <c r="R464" s="43">
        <v>46150.417361111111</v>
      </c>
      <c r="S464" s="58">
        <v>1.3888888888888888E-2</v>
      </c>
      <c r="T464" s="33" t="s">
        <v>799</v>
      </c>
      <c r="U464" s="43">
        <v>46150.563194444447</v>
      </c>
      <c r="V464" s="58">
        <v>2.4305555555555556E-2</v>
      </c>
      <c r="W464" s="33"/>
      <c r="X464" s="33"/>
      <c r="Y464" s="33"/>
      <c r="Z464" s="33" t="s">
        <v>799</v>
      </c>
      <c r="AA464" s="43">
        <v>46150.958333333336</v>
      </c>
      <c r="AB464" s="33" t="s">
        <v>81</v>
      </c>
      <c r="AC464" s="33" t="s">
        <v>81</v>
      </c>
      <c r="AD464" s="58">
        <v>0.27361111111111114</v>
      </c>
      <c r="AE464" s="33"/>
      <c r="AF464" s="58">
        <v>0.27361111111111114</v>
      </c>
      <c r="AG464" s="33" t="s">
        <v>2043</v>
      </c>
      <c r="AH464" s="33">
        <v>2</v>
      </c>
      <c r="AI464" s="43">
        <v>46150.563194444447</v>
      </c>
      <c r="AJ464" s="33" t="s">
        <v>793</v>
      </c>
      <c r="AK464" s="42">
        <v>1210154.3999999999</v>
      </c>
      <c r="AL464" s="33" t="s">
        <v>2044</v>
      </c>
    </row>
    <row r="465" spans="1:38">
      <c r="A465" s="33">
        <v>6011282</v>
      </c>
      <c r="B465" s="33"/>
      <c r="C465" s="33" t="s">
        <v>789</v>
      </c>
      <c r="D465" s="33" t="s">
        <v>2402</v>
      </c>
      <c r="E465" s="33" t="s">
        <v>2403</v>
      </c>
      <c r="F465" s="43">
        <v>46150.916666666664</v>
      </c>
      <c r="G465" s="33" t="s">
        <v>184</v>
      </c>
      <c r="H465" s="33"/>
      <c r="I465" s="33" t="s">
        <v>73</v>
      </c>
      <c r="J465" s="33" t="s">
        <v>2404</v>
      </c>
      <c r="K465" s="33" t="s">
        <v>75</v>
      </c>
      <c r="L465" s="33" t="s">
        <v>2405</v>
      </c>
      <c r="M465" s="43">
        <v>46154.410671296297</v>
      </c>
      <c r="N465" s="33" t="s">
        <v>2406</v>
      </c>
      <c r="O465" s="33" t="s">
        <v>797</v>
      </c>
      <c r="P465" s="33" t="s">
        <v>140</v>
      </c>
      <c r="Q465" s="43">
        <v>46150.818055555559</v>
      </c>
      <c r="R465" s="43">
        <v>46151.637499999997</v>
      </c>
      <c r="S465" s="58">
        <v>0.81944444444444442</v>
      </c>
      <c r="T465" s="33" t="s">
        <v>2407</v>
      </c>
      <c r="U465" s="43">
        <v>46153.57708333333</v>
      </c>
      <c r="V465" s="58">
        <v>0.83611111111111114</v>
      </c>
      <c r="W465" s="33" t="s">
        <v>2407</v>
      </c>
      <c r="X465" s="43">
        <v>46153.57708333333</v>
      </c>
      <c r="Y465" s="58">
        <v>0.83611111111111114</v>
      </c>
      <c r="Z465" s="33" t="s">
        <v>2407</v>
      </c>
      <c r="AA465" s="43">
        <v>46154.333333333336</v>
      </c>
      <c r="AB465" s="33" t="s">
        <v>81</v>
      </c>
      <c r="AC465" s="33" t="s">
        <v>2408</v>
      </c>
      <c r="AD465" s="44">
        <v>3.6131944444444444</v>
      </c>
      <c r="AE465" s="44">
        <v>2.7729166666666667</v>
      </c>
      <c r="AF465" s="44">
        <v>3.6131944444444444</v>
      </c>
      <c r="AG465" s="33"/>
      <c r="AH465" s="33">
        <v>2</v>
      </c>
      <c r="AI465" s="43">
        <v>46153.57708333333</v>
      </c>
      <c r="AJ465" s="33" t="s">
        <v>73</v>
      </c>
      <c r="AK465" s="42">
        <v>352135.65</v>
      </c>
      <c r="AL465" s="33" t="s">
        <v>2409</v>
      </c>
    </row>
    <row r="466" spans="1:38">
      <c r="A466" s="33">
        <v>6003688</v>
      </c>
      <c r="B466" s="33"/>
      <c r="C466" s="33" t="s">
        <v>789</v>
      </c>
      <c r="D466" s="33" t="s">
        <v>2028</v>
      </c>
      <c r="E466" s="33" t="s">
        <v>2410</v>
      </c>
      <c r="F466" s="43">
        <v>46150.833333333336</v>
      </c>
      <c r="G466" s="33" t="s">
        <v>227</v>
      </c>
      <c r="H466" s="33"/>
      <c r="I466" s="33" t="s">
        <v>73</v>
      </c>
      <c r="J466" s="33" t="s">
        <v>2411</v>
      </c>
      <c r="K466" s="33" t="s">
        <v>75</v>
      </c>
      <c r="L466" s="33" t="s">
        <v>2098</v>
      </c>
      <c r="M466" s="43">
        <v>46150.873472222222</v>
      </c>
      <c r="N466" s="33" t="s">
        <v>2031</v>
      </c>
      <c r="O466" s="33" t="s">
        <v>797</v>
      </c>
      <c r="P466" s="33" t="s">
        <v>79</v>
      </c>
      <c r="Q466" s="43">
        <v>46150.379166666666</v>
      </c>
      <c r="R466" s="43">
        <v>46150.462500000001</v>
      </c>
      <c r="S466" s="58">
        <v>8.3333333333333329E-2</v>
      </c>
      <c r="T466" s="33" t="s">
        <v>2412</v>
      </c>
      <c r="U466" s="33"/>
      <c r="V466" s="33"/>
      <c r="W466" s="33"/>
      <c r="X466" s="33"/>
      <c r="Y466" s="33"/>
      <c r="Z466" s="33" t="s">
        <v>2412</v>
      </c>
      <c r="AA466" s="43">
        <v>46154.25</v>
      </c>
      <c r="AB466" s="33" t="s">
        <v>2413</v>
      </c>
      <c r="AC466" s="33" t="s">
        <v>2414</v>
      </c>
      <c r="AD466" s="58">
        <v>0.52569444444444446</v>
      </c>
      <c r="AE466" s="33"/>
      <c r="AF466" s="58">
        <v>0.45763888888888887</v>
      </c>
      <c r="AG466" s="33" t="s">
        <v>1496</v>
      </c>
      <c r="AH466" s="33">
        <v>2</v>
      </c>
      <c r="AI466" s="43">
        <v>46151.23541666667</v>
      </c>
      <c r="AJ466" s="33" t="s">
        <v>73</v>
      </c>
      <c r="AK466" s="42">
        <v>147296.23000000001</v>
      </c>
      <c r="AL466" s="33" t="s">
        <v>2032</v>
      </c>
    </row>
    <row r="467" spans="1:38">
      <c r="A467" s="33" t="s">
        <v>2415</v>
      </c>
      <c r="B467" s="33"/>
      <c r="C467" s="33" t="s">
        <v>789</v>
      </c>
      <c r="D467" s="33" t="s">
        <v>2416</v>
      </c>
      <c r="E467" s="33" t="s">
        <v>2417</v>
      </c>
      <c r="F467" s="43">
        <v>46150.958333333336</v>
      </c>
      <c r="G467" s="33" t="s">
        <v>836</v>
      </c>
      <c r="H467" s="33"/>
      <c r="I467" s="33" t="s">
        <v>73</v>
      </c>
      <c r="J467" s="33" t="s">
        <v>837</v>
      </c>
      <c r="K467" s="33" t="s">
        <v>75</v>
      </c>
      <c r="L467" s="33" t="s">
        <v>2418</v>
      </c>
      <c r="M467" s="43">
        <v>46152.818368055552</v>
      </c>
      <c r="N467" s="33" t="s">
        <v>2419</v>
      </c>
      <c r="O467" s="33" t="s">
        <v>797</v>
      </c>
      <c r="P467" s="33" t="s">
        <v>79</v>
      </c>
      <c r="Q467" s="33"/>
      <c r="R467" s="33"/>
      <c r="S467" s="33"/>
      <c r="T467" s="33" t="s">
        <v>840</v>
      </c>
      <c r="U467" s="33"/>
      <c r="V467" s="33"/>
      <c r="W467" s="33" t="s">
        <v>900</v>
      </c>
      <c r="X467" s="43">
        <v>46152.673611111109</v>
      </c>
      <c r="Y467" s="58">
        <v>0.14305555555555555</v>
      </c>
      <c r="Z467" s="33" t="s">
        <v>840</v>
      </c>
      <c r="AA467" s="43">
        <v>46154.416666666664</v>
      </c>
      <c r="AB467" s="33" t="s">
        <v>81</v>
      </c>
      <c r="AC467" s="33" t="s">
        <v>901</v>
      </c>
      <c r="AD467" s="44">
        <v>2.463888888888889</v>
      </c>
      <c r="AE467" s="33"/>
      <c r="AF467" s="44">
        <v>2.463888888888889</v>
      </c>
      <c r="AG467" s="60">
        <v>727625</v>
      </c>
      <c r="AH467" s="33">
        <v>1</v>
      </c>
      <c r="AI467" s="43">
        <v>46152.815972222219</v>
      </c>
      <c r="AJ467" s="33" t="s">
        <v>73</v>
      </c>
      <c r="AK467" s="42">
        <v>221844.22</v>
      </c>
      <c r="AL467" s="33" t="s">
        <v>2420</v>
      </c>
    </row>
    <row r="468" spans="1:38">
      <c r="A468" s="33" t="s">
        <v>2421</v>
      </c>
      <c r="B468" s="33"/>
      <c r="C468" s="33" t="s">
        <v>789</v>
      </c>
      <c r="D468" s="33" t="s">
        <v>2422</v>
      </c>
      <c r="E468" s="33" t="s">
        <v>2423</v>
      </c>
      <c r="F468" s="43">
        <v>46150.583333333336</v>
      </c>
      <c r="G468" s="33" t="s">
        <v>171</v>
      </c>
      <c r="H468" s="33"/>
      <c r="I468" s="33" t="s">
        <v>73</v>
      </c>
      <c r="J468" s="33" t="s">
        <v>2424</v>
      </c>
      <c r="K468" s="33" t="s">
        <v>75</v>
      </c>
      <c r="L468" s="33" t="s">
        <v>2425</v>
      </c>
      <c r="M468" s="43">
        <v>46153.596319444441</v>
      </c>
      <c r="N468" s="33" t="s">
        <v>174</v>
      </c>
      <c r="O468" s="33" t="s">
        <v>797</v>
      </c>
      <c r="P468" s="33" t="s">
        <v>79</v>
      </c>
      <c r="Q468" s="43">
        <v>46150.645833333336</v>
      </c>
      <c r="R468" s="43">
        <v>46151.183333333334</v>
      </c>
      <c r="S468" s="58">
        <v>0.53749999999999998</v>
      </c>
      <c r="T468" s="33" t="s">
        <v>494</v>
      </c>
      <c r="U468" s="43">
        <v>46152.643750000003</v>
      </c>
      <c r="V468" s="58">
        <v>0.95277777777777772</v>
      </c>
      <c r="W468" s="33"/>
      <c r="X468" s="33"/>
      <c r="Y468" s="33"/>
      <c r="Z468" s="33" t="s">
        <v>494</v>
      </c>
      <c r="AA468" s="43">
        <v>46153.25</v>
      </c>
      <c r="AB468" s="33" t="s">
        <v>81</v>
      </c>
      <c r="AC468" s="33" t="s">
        <v>2426</v>
      </c>
      <c r="AD468" s="44">
        <v>3.0034722222222223</v>
      </c>
      <c r="AE468" s="33"/>
      <c r="AF468" s="44">
        <v>3.0034722222222223</v>
      </c>
      <c r="AG468" s="33" t="s">
        <v>2427</v>
      </c>
      <c r="AH468" s="33">
        <v>2</v>
      </c>
      <c r="AI468" s="43">
        <v>46152.643750000003</v>
      </c>
      <c r="AJ468" s="33" t="s">
        <v>73</v>
      </c>
      <c r="AK468" s="42">
        <v>339817.79</v>
      </c>
      <c r="AL468" s="33" t="s">
        <v>2428</v>
      </c>
    </row>
    <row r="469" spans="1:38">
      <c r="A469" s="33" t="s">
        <v>2429</v>
      </c>
      <c r="B469" s="33"/>
      <c r="C469" s="33" t="s">
        <v>789</v>
      </c>
      <c r="D469" s="33" t="s">
        <v>1657</v>
      </c>
      <c r="E469" s="33" t="s">
        <v>2430</v>
      </c>
      <c r="F469" s="43">
        <v>46150.833333333336</v>
      </c>
      <c r="G469" s="33" t="s">
        <v>227</v>
      </c>
      <c r="H469" s="33"/>
      <c r="I469" s="33" t="s">
        <v>73</v>
      </c>
      <c r="J469" s="33" t="s">
        <v>2431</v>
      </c>
      <c r="K469" s="33" t="s">
        <v>75</v>
      </c>
      <c r="L469" s="33" t="s">
        <v>2432</v>
      </c>
      <c r="M469" s="43">
        <v>46150.781689814816</v>
      </c>
      <c r="N469" s="33" t="s">
        <v>230</v>
      </c>
      <c r="O469" s="33" t="s">
        <v>797</v>
      </c>
      <c r="P469" s="33" t="s">
        <v>79</v>
      </c>
      <c r="Q469" s="43">
        <v>46150.711111111108</v>
      </c>
      <c r="R469" s="43">
        <v>46150.722222222219</v>
      </c>
      <c r="S469" s="58">
        <v>1.1111111111111112E-2</v>
      </c>
      <c r="T469" s="33" t="s">
        <v>726</v>
      </c>
      <c r="U469" s="33"/>
      <c r="V469" s="33"/>
      <c r="W469" s="33"/>
      <c r="X469" s="33"/>
      <c r="Y469" s="33"/>
      <c r="Z469" s="33" t="s">
        <v>726</v>
      </c>
      <c r="AA469" s="43">
        <v>46156.333333333336</v>
      </c>
      <c r="AB469" s="33" t="s">
        <v>2433</v>
      </c>
      <c r="AC469" s="33" t="s">
        <v>2434</v>
      </c>
      <c r="AD469" s="58">
        <v>0.27986111111111112</v>
      </c>
      <c r="AE469" s="33"/>
      <c r="AF469" s="58">
        <v>0.27986111111111112</v>
      </c>
      <c r="AG469" s="33" t="s">
        <v>1663</v>
      </c>
      <c r="AH469" s="33">
        <v>2</v>
      </c>
      <c r="AI469" s="43">
        <v>46151.379166666666</v>
      </c>
      <c r="AJ469" s="33" t="s">
        <v>73</v>
      </c>
      <c r="AK469" s="42">
        <v>125372.01</v>
      </c>
      <c r="AL469" s="33" t="s">
        <v>1664</v>
      </c>
    </row>
    <row r="470" spans="1:38">
      <c r="A470" s="33">
        <v>5981035</v>
      </c>
      <c r="B470" s="33"/>
      <c r="C470" s="33" t="s">
        <v>789</v>
      </c>
      <c r="D470" s="33" t="s">
        <v>1461</v>
      </c>
      <c r="E470" s="33" t="s">
        <v>2435</v>
      </c>
      <c r="F470" s="43">
        <v>46150.5</v>
      </c>
      <c r="G470" s="33" t="s">
        <v>792</v>
      </c>
      <c r="H470" s="33"/>
      <c r="I470" s="33" t="s">
        <v>793</v>
      </c>
      <c r="J470" s="33" t="s">
        <v>1049</v>
      </c>
      <c r="K470" s="33" t="s">
        <v>75</v>
      </c>
      <c r="L470" s="33" t="s">
        <v>1094</v>
      </c>
      <c r="M470" s="43">
        <v>46150.649004629631</v>
      </c>
      <c r="N470" s="33" t="s">
        <v>1463</v>
      </c>
      <c r="O470" s="33" t="s">
        <v>797</v>
      </c>
      <c r="P470" s="33" t="s">
        <v>799</v>
      </c>
      <c r="Q470" s="43">
        <v>46150.39166666667</v>
      </c>
      <c r="R470" s="43">
        <v>46150.544444444444</v>
      </c>
      <c r="S470" s="58">
        <v>0.15277777777777779</v>
      </c>
      <c r="T470" s="33" t="s">
        <v>140</v>
      </c>
      <c r="U470" s="43">
        <v>46150.575694444444</v>
      </c>
      <c r="V470" s="58">
        <v>7.7083333333333337E-2</v>
      </c>
      <c r="W470" s="33" t="s">
        <v>140</v>
      </c>
      <c r="X470" s="43">
        <v>46150.575694444444</v>
      </c>
      <c r="Y470" s="58">
        <v>7.7083333333333337E-2</v>
      </c>
      <c r="Z470" s="33" t="s">
        <v>140</v>
      </c>
      <c r="AA470" s="43">
        <v>46151.458333333336</v>
      </c>
      <c r="AB470" s="33" t="s">
        <v>81</v>
      </c>
      <c r="AC470" s="33" t="s">
        <v>1053</v>
      </c>
      <c r="AD470" s="58">
        <v>0.26666666666666666</v>
      </c>
      <c r="AE470" s="58">
        <v>0.1076388888888889</v>
      </c>
      <c r="AF470" s="58">
        <v>0.26666666666666666</v>
      </c>
      <c r="AG470" s="33" t="s">
        <v>1464</v>
      </c>
      <c r="AH470" s="33">
        <v>2</v>
      </c>
      <c r="AI470" s="43">
        <v>46150.575694444444</v>
      </c>
      <c r="AJ470" s="33" t="s">
        <v>793</v>
      </c>
      <c r="AK470" s="42">
        <v>571897.28</v>
      </c>
      <c r="AL470" s="33" t="s">
        <v>1465</v>
      </c>
    </row>
    <row r="471" spans="1:38">
      <c r="A471" s="33">
        <v>5984827</v>
      </c>
      <c r="B471" s="33"/>
      <c r="C471" s="33" t="s">
        <v>789</v>
      </c>
      <c r="D471" s="33" t="s">
        <v>1032</v>
      </c>
      <c r="E471" s="33" t="s">
        <v>2436</v>
      </c>
      <c r="F471" s="43">
        <v>46150.5</v>
      </c>
      <c r="G471" s="33" t="s">
        <v>792</v>
      </c>
      <c r="H471" s="33"/>
      <c r="I471" s="33" t="s">
        <v>793</v>
      </c>
      <c r="J471" s="33" t="s">
        <v>1312</v>
      </c>
      <c r="K471" s="33" t="s">
        <v>2278</v>
      </c>
      <c r="L471" s="33" t="s">
        <v>1159</v>
      </c>
      <c r="M471" s="43">
        <v>46150.591504629629</v>
      </c>
      <c r="N471" s="33" t="s">
        <v>1036</v>
      </c>
      <c r="O471" s="33" t="s">
        <v>2248</v>
      </c>
      <c r="P471" s="33" t="s">
        <v>799</v>
      </c>
      <c r="Q471" s="43">
        <v>46150.404166666667</v>
      </c>
      <c r="R471" s="43">
        <v>46150.525000000001</v>
      </c>
      <c r="S471" s="58">
        <v>0.12083333333333333</v>
      </c>
      <c r="T471" s="33" t="s">
        <v>140</v>
      </c>
      <c r="U471" s="43">
        <v>46150.549305555556</v>
      </c>
      <c r="V471" s="58">
        <v>4.1666666666666664E-2</v>
      </c>
      <c r="W471" s="33"/>
      <c r="X471" s="33"/>
      <c r="Y471" s="33"/>
      <c r="Z471" s="33" t="s">
        <v>140</v>
      </c>
      <c r="AA471" s="43">
        <v>46151.333333333336</v>
      </c>
      <c r="AB471" s="33" t="s">
        <v>81</v>
      </c>
      <c r="AC471" s="33" t="s">
        <v>81</v>
      </c>
      <c r="AD471" s="58">
        <v>0.18958333333333333</v>
      </c>
      <c r="AE471" s="33"/>
      <c r="AF471" s="58">
        <v>0.18958333333333333</v>
      </c>
      <c r="AG471" s="33" t="s">
        <v>1038</v>
      </c>
      <c r="AH471" s="33">
        <v>2</v>
      </c>
      <c r="AI471" s="43">
        <v>46150.549305555556</v>
      </c>
      <c r="AJ471" s="33" t="s">
        <v>793</v>
      </c>
      <c r="AK471" s="42">
        <v>1002510</v>
      </c>
      <c r="AL471" s="33" t="s">
        <v>1039</v>
      </c>
    </row>
    <row r="472" spans="1:38">
      <c r="A472" s="33">
        <v>5983122</v>
      </c>
      <c r="B472" s="33"/>
      <c r="C472" s="33" t="s">
        <v>789</v>
      </c>
      <c r="D472" s="33" t="s">
        <v>1366</v>
      </c>
      <c r="E472" s="33" t="s">
        <v>2437</v>
      </c>
      <c r="F472" s="43">
        <v>46150.458333333336</v>
      </c>
      <c r="G472" s="33" t="s">
        <v>792</v>
      </c>
      <c r="H472" s="33"/>
      <c r="I472" s="33" t="s">
        <v>793</v>
      </c>
      <c r="J472" s="33" t="s">
        <v>1049</v>
      </c>
      <c r="K472" s="33" t="s">
        <v>75</v>
      </c>
      <c r="L472" s="33" t="s">
        <v>1627</v>
      </c>
      <c r="M472" s="43">
        <v>46150.527662037035</v>
      </c>
      <c r="N472" s="33" t="s">
        <v>796</v>
      </c>
      <c r="O472" s="33" t="s">
        <v>797</v>
      </c>
      <c r="P472" s="33" t="s">
        <v>799</v>
      </c>
      <c r="Q472" s="43">
        <v>46150.427777777775</v>
      </c>
      <c r="R472" s="43">
        <v>46150.45416666667</v>
      </c>
      <c r="S472" s="58">
        <v>2.6388888888888889E-2</v>
      </c>
      <c r="T472" s="33" t="s">
        <v>140</v>
      </c>
      <c r="U472" s="43">
        <v>46150.491666666669</v>
      </c>
      <c r="V472" s="58">
        <v>3.5416666666666666E-2</v>
      </c>
      <c r="W472" s="33" t="s">
        <v>140</v>
      </c>
      <c r="X472" s="43">
        <v>46150.491666666669</v>
      </c>
      <c r="Y472" s="58">
        <v>3.5416666666666666E-2</v>
      </c>
      <c r="Z472" s="33" t="s">
        <v>140</v>
      </c>
      <c r="AA472" s="43">
        <v>46151.5</v>
      </c>
      <c r="AB472" s="33" t="s">
        <v>81</v>
      </c>
      <c r="AC472" s="33" t="s">
        <v>1053</v>
      </c>
      <c r="AD472" s="58">
        <v>0.10347222222222222</v>
      </c>
      <c r="AE472" s="58">
        <v>7.3611111111111113E-2</v>
      </c>
      <c r="AF472" s="58">
        <v>0.10347222222222222</v>
      </c>
      <c r="AG472" s="33" t="s">
        <v>1369</v>
      </c>
      <c r="AH472" s="33">
        <v>2</v>
      </c>
      <c r="AI472" s="43">
        <v>46150.491666666669</v>
      </c>
      <c r="AJ472" s="33" t="s">
        <v>793</v>
      </c>
      <c r="AK472" s="42">
        <v>1334186</v>
      </c>
      <c r="AL472" s="33" t="s">
        <v>1370</v>
      </c>
    </row>
    <row r="473" spans="1:38">
      <c r="A473" s="33">
        <v>6000957</v>
      </c>
      <c r="B473" s="33"/>
      <c r="C473" s="33" t="s">
        <v>789</v>
      </c>
      <c r="D473" s="33" t="s">
        <v>2438</v>
      </c>
      <c r="E473" s="33" t="s">
        <v>2439</v>
      </c>
      <c r="F473" s="43">
        <v>46150.432638888888</v>
      </c>
      <c r="G473" s="33" t="s">
        <v>260</v>
      </c>
      <c r="H473" s="33"/>
      <c r="I473" s="33" t="s">
        <v>73</v>
      </c>
      <c r="J473" s="33" t="s">
        <v>2411</v>
      </c>
      <c r="K473" s="33" t="s">
        <v>75</v>
      </c>
      <c r="L473" s="33" t="s">
        <v>2440</v>
      </c>
      <c r="M473" s="43">
        <v>46154.412453703706</v>
      </c>
      <c r="N473" s="33" t="s">
        <v>2441</v>
      </c>
      <c r="O473" s="33" t="s">
        <v>797</v>
      </c>
      <c r="P473" s="33" t="s">
        <v>79</v>
      </c>
      <c r="Q473" s="43">
        <v>46150.434027777781</v>
      </c>
      <c r="R473" s="43">
        <v>46150.464583333334</v>
      </c>
      <c r="S473" s="58">
        <v>3.0555555555555555E-2</v>
      </c>
      <c r="T473" s="33" t="s">
        <v>2412</v>
      </c>
      <c r="U473" s="43">
        <v>46154.295138888891</v>
      </c>
      <c r="V473" s="58">
        <v>0.11874999999999999</v>
      </c>
      <c r="W473" s="33" t="s">
        <v>2412</v>
      </c>
      <c r="X473" s="43">
        <v>46154.295138888891</v>
      </c>
      <c r="Y473" s="58">
        <v>0.11874999999999999</v>
      </c>
      <c r="Z473" s="33" t="s">
        <v>2412</v>
      </c>
      <c r="AA473" s="43">
        <v>46154.25</v>
      </c>
      <c r="AB473" s="33" t="s">
        <v>81</v>
      </c>
      <c r="AC473" s="33" t="s">
        <v>2414</v>
      </c>
      <c r="AD473" s="44">
        <v>3.9548611111111112</v>
      </c>
      <c r="AE473" s="44">
        <v>3.9201388888888888</v>
      </c>
      <c r="AF473" s="44">
        <v>3.9548611111111112</v>
      </c>
      <c r="AG473" s="33" t="s">
        <v>2442</v>
      </c>
      <c r="AH473" s="33">
        <v>2</v>
      </c>
      <c r="AI473" s="43">
        <v>46154.295138888891</v>
      </c>
      <c r="AJ473" s="33" t="s">
        <v>73</v>
      </c>
      <c r="AK473" s="42">
        <v>155905.35</v>
      </c>
      <c r="AL473" s="33" t="s">
        <v>2443</v>
      </c>
    </row>
    <row r="474" spans="1:38">
      <c r="A474" s="33">
        <v>5981346</v>
      </c>
      <c r="B474" s="33"/>
      <c r="C474" s="33" t="s">
        <v>789</v>
      </c>
      <c r="D474" s="33" t="s">
        <v>1261</v>
      </c>
      <c r="E474" s="33" t="s">
        <v>2444</v>
      </c>
      <c r="F474" s="43">
        <v>46150.458333333336</v>
      </c>
      <c r="G474" s="33" t="s">
        <v>792</v>
      </c>
      <c r="H474" s="33"/>
      <c r="I474" s="33" t="s">
        <v>793</v>
      </c>
      <c r="J474" s="33" t="s">
        <v>1312</v>
      </c>
      <c r="K474" s="33" t="s">
        <v>75</v>
      </c>
      <c r="L474" s="33" t="s">
        <v>1094</v>
      </c>
      <c r="M474" s="43">
        <v>46150.535995370374</v>
      </c>
      <c r="N474" s="33" t="s">
        <v>1265</v>
      </c>
      <c r="O474" s="33" t="s">
        <v>797</v>
      </c>
      <c r="P474" s="33" t="s">
        <v>799</v>
      </c>
      <c r="Q474" s="43">
        <v>46150.436111111114</v>
      </c>
      <c r="R474" s="43">
        <v>46150.492361111108</v>
      </c>
      <c r="S474" s="58">
        <v>5.6250000000000001E-2</v>
      </c>
      <c r="T474" s="33" t="s">
        <v>140</v>
      </c>
      <c r="U474" s="43">
        <v>46150.522916666669</v>
      </c>
      <c r="V474" s="58">
        <v>1.3194444444444444E-2</v>
      </c>
      <c r="W474" s="33" t="s">
        <v>140</v>
      </c>
      <c r="X474" s="43">
        <v>46150.522916666669</v>
      </c>
      <c r="Y474" s="58">
        <v>1.3194444444444444E-2</v>
      </c>
      <c r="Z474" s="33" t="s">
        <v>140</v>
      </c>
      <c r="AA474" s="43">
        <v>46151.583333333336</v>
      </c>
      <c r="AB474" s="33" t="s">
        <v>81</v>
      </c>
      <c r="AC474" s="33" t="s">
        <v>1314</v>
      </c>
      <c r="AD474" s="58">
        <v>0.1</v>
      </c>
      <c r="AE474" s="58">
        <v>4.3749999999999997E-2</v>
      </c>
      <c r="AF474" s="58">
        <v>0.1</v>
      </c>
      <c r="AG474" s="33" t="s">
        <v>1267</v>
      </c>
      <c r="AH474" s="33">
        <v>2</v>
      </c>
      <c r="AI474" s="43">
        <v>46150.522916666669</v>
      </c>
      <c r="AJ474" s="33" t="s">
        <v>793</v>
      </c>
      <c r="AK474" s="42">
        <v>612494.68000000005</v>
      </c>
      <c r="AL474" s="33" t="s">
        <v>1268</v>
      </c>
    </row>
    <row r="475" spans="1:38">
      <c r="A475" s="33">
        <v>6015014</v>
      </c>
      <c r="B475" s="33"/>
      <c r="C475" s="33" t="s">
        <v>789</v>
      </c>
      <c r="D475" s="33" t="s">
        <v>2445</v>
      </c>
      <c r="E475" s="33" t="s">
        <v>2446</v>
      </c>
      <c r="F475" s="43">
        <v>46150.435416666667</v>
      </c>
      <c r="G475" s="33" t="s">
        <v>216</v>
      </c>
      <c r="H475" s="33"/>
      <c r="I475" s="33" t="s">
        <v>73</v>
      </c>
      <c r="J475" s="33" t="s">
        <v>2447</v>
      </c>
      <c r="K475" s="33" t="s">
        <v>75</v>
      </c>
      <c r="L475" s="33" t="s">
        <v>2284</v>
      </c>
      <c r="M475" s="43">
        <v>46156.332268518519</v>
      </c>
      <c r="N475" s="33" t="s">
        <v>2448</v>
      </c>
      <c r="O475" s="33" t="s">
        <v>797</v>
      </c>
      <c r="P475" s="33" t="s">
        <v>79</v>
      </c>
      <c r="Q475" s="43">
        <v>46150.438194444447</v>
      </c>
      <c r="R475" s="43">
        <v>46150.554166666669</v>
      </c>
      <c r="S475" s="58">
        <v>0.11597222222222223</v>
      </c>
      <c r="T475" s="33" t="s">
        <v>2286</v>
      </c>
      <c r="U475" s="43">
        <v>46155.713888888888</v>
      </c>
      <c r="V475" s="58">
        <v>0.61875000000000002</v>
      </c>
      <c r="W475" s="33" t="s">
        <v>2286</v>
      </c>
      <c r="X475" s="43">
        <v>46155.713888888888</v>
      </c>
      <c r="Y475" s="58">
        <v>0.61875000000000002</v>
      </c>
      <c r="Z475" s="33" t="s">
        <v>2286</v>
      </c>
      <c r="AA475" s="43">
        <v>46156.25</v>
      </c>
      <c r="AB475" s="33" t="s">
        <v>81</v>
      </c>
      <c r="AC475" s="33" t="s">
        <v>2449</v>
      </c>
      <c r="AD475" s="44">
        <v>5.8826388888888888</v>
      </c>
      <c r="AE475" s="44">
        <v>4.6743055555555557</v>
      </c>
      <c r="AF475" s="44">
        <v>5.8826388888888888</v>
      </c>
      <c r="AG475" s="33"/>
      <c r="AH475" s="33">
        <v>3</v>
      </c>
      <c r="AI475" s="43">
        <v>46155.713888888888</v>
      </c>
      <c r="AJ475" s="33" t="s">
        <v>73</v>
      </c>
      <c r="AK475" s="42">
        <v>180819.41</v>
      </c>
      <c r="AL475" s="33" t="s">
        <v>2450</v>
      </c>
    </row>
    <row r="476" spans="1:38">
      <c r="A476" s="33">
        <v>5980948</v>
      </c>
      <c r="B476" s="33"/>
      <c r="C476" s="33" t="s">
        <v>789</v>
      </c>
      <c r="D476" s="33" t="s">
        <v>1779</v>
      </c>
      <c r="E476" s="33" t="s">
        <v>2451</v>
      </c>
      <c r="F476" s="43">
        <v>46150.541666666664</v>
      </c>
      <c r="G476" s="33" t="s">
        <v>792</v>
      </c>
      <c r="H476" s="33"/>
      <c r="I476" s="33" t="s">
        <v>793</v>
      </c>
      <c r="J476" s="33" t="s">
        <v>1049</v>
      </c>
      <c r="K476" s="33" t="s">
        <v>75</v>
      </c>
      <c r="L476" s="33" t="s">
        <v>1264</v>
      </c>
      <c r="M476" s="43">
        <v>46150.536111111112</v>
      </c>
      <c r="N476" s="33" t="s">
        <v>796</v>
      </c>
      <c r="O476" s="33" t="s">
        <v>797</v>
      </c>
      <c r="P476" s="33" t="s">
        <v>799</v>
      </c>
      <c r="Q476" s="43">
        <v>46150.45</v>
      </c>
      <c r="R476" s="43">
        <v>46150.509722222225</v>
      </c>
      <c r="S476" s="58">
        <v>5.9722222222222225E-2</v>
      </c>
      <c r="T476" s="33" t="s">
        <v>140</v>
      </c>
      <c r="U476" s="43">
        <v>46150.533333333333</v>
      </c>
      <c r="V476" s="58">
        <v>1.1111111111111112E-2</v>
      </c>
      <c r="W476" s="33" t="s">
        <v>140</v>
      </c>
      <c r="X476" s="43">
        <v>46150.533333333333</v>
      </c>
      <c r="Y476" s="58">
        <v>1.1111111111111112E-2</v>
      </c>
      <c r="Z476" s="33" t="s">
        <v>140</v>
      </c>
      <c r="AA476" s="43">
        <v>46151.5</v>
      </c>
      <c r="AB476" s="33" t="s">
        <v>81</v>
      </c>
      <c r="AC476" s="33" t="s">
        <v>1053</v>
      </c>
      <c r="AD476" s="58">
        <v>0.10069444444444445</v>
      </c>
      <c r="AE476" s="58">
        <v>3.125E-2</v>
      </c>
      <c r="AF476" s="58">
        <v>0.10069444444444445</v>
      </c>
      <c r="AG476" s="33" t="s">
        <v>1782</v>
      </c>
      <c r="AH476" s="33">
        <v>2</v>
      </c>
      <c r="AI476" s="43">
        <v>46150.533333333333</v>
      </c>
      <c r="AJ476" s="33" t="s">
        <v>793</v>
      </c>
      <c r="AK476" s="42">
        <v>497281.68</v>
      </c>
      <c r="AL476" s="33" t="s">
        <v>1783</v>
      </c>
    </row>
    <row r="477" spans="1:38">
      <c r="A477" s="33">
        <v>6003499</v>
      </c>
      <c r="B477" s="33"/>
      <c r="C477" s="33" t="s">
        <v>789</v>
      </c>
      <c r="D477" s="33" t="s">
        <v>1047</v>
      </c>
      <c r="E477" s="33" t="s">
        <v>2452</v>
      </c>
      <c r="F477" s="43">
        <v>46150.5</v>
      </c>
      <c r="G477" s="33" t="s">
        <v>792</v>
      </c>
      <c r="H477" s="33"/>
      <c r="I477" s="33" t="s">
        <v>793</v>
      </c>
      <c r="J477" s="33" t="s">
        <v>1049</v>
      </c>
      <c r="K477" s="33" t="s">
        <v>2154</v>
      </c>
      <c r="L477" s="33" t="s">
        <v>2453</v>
      </c>
      <c r="M477" s="43">
        <v>46150.527071759258</v>
      </c>
      <c r="N477" s="33" t="s">
        <v>1051</v>
      </c>
      <c r="O477" s="33" t="s">
        <v>797</v>
      </c>
      <c r="P477" s="33" t="s">
        <v>799</v>
      </c>
      <c r="Q477" s="43">
        <v>46150.443749999999</v>
      </c>
      <c r="R477" s="43">
        <v>46150.46875</v>
      </c>
      <c r="S477" s="58">
        <v>2.5000000000000001E-2</v>
      </c>
      <c r="T477" s="33" t="s">
        <v>140</v>
      </c>
      <c r="U477" s="43">
        <v>46150.503472222219</v>
      </c>
      <c r="V477" s="58">
        <v>2.8472222222222222E-2</v>
      </c>
      <c r="W477" s="33" t="s">
        <v>140</v>
      </c>
      <c r="X477" s="43">
        <v>46150.503472222219</v>
      </c>
      <c r="Y477" s="58">
        <v>2.8472222222222222E-2</v>
      </c>
      <c r="Z477" s="33" t="s">
        <v>140</v>
      </c>
      <c r="AA477" s="43">
        <v>46151.5</v>
      </c>
      <c r="AB477" s="33" t="s">
        <v>81</v>
      </c>
      <c r="AC477" s="33" t="s">
        <v>1053</v>
      </c>
      <c r="AD477" s="58">
        <v>8.7499999999999994E-2</v>
      </c>
      <c r="AE477" s="58">
        <v>6.25E-2</v>
      </c>
      <c r="AF477" s="58">
        <v>8.7499999999999994E-2</v>
      </c>
      <c r="AG477" s="33" t="s">
        <v>1205</v>
      </c>
      <c r="AH477" s="33">
        <v>2</v>
      </c>
      <c r="AI477" s="43">
        <v>46150.503472222219</v>
      </c>
      <c r="AJ477" s="33" t="s">
        <v>793</v>
      </c>
      <c r="AK477" s="42">
        <v>839833.92</v>
      </c>
      <c r="AL477" s="33" t="s">
        <v>1055</v>
      </c>
    </row>
    <row r="478" spans="1:38">
      <c r="A478" s="33" t="s">
        <v>2454</v>
      </c>
      <c r="B478" s="33"/>
      <c r="C478" s="33" t="s">
        <v>789</v>
      </c>
      <c r="D478" s="33" t="s">
        <v>2108</v>
      </c>
      <c r="E478" s="33" t="s">
        <v>2455</v>
      </c>
      <c r="F478" s="43">
        <v>46150.5</v>
      </c>
      <c r="G478" s="33" t="s">
        <v>171</v>
      </c>
      <c r="H478" s="33"/>
      <c r="I478" s="33" t="s">
        <v>793</v>
      </c>
      <c r="J478" s="33" t="s">
        <v>1630</v>
      </c>
      <c r="K478" s="33" t="s">
        <v>75</v>
      </c>
      <c r="L478" s="33" t="s">
        <v>1747</v>
      </c>
      <c r="M478" s="43">
        <v>46150.659791666665</v>
      </c>
      <c r="N478" s="33" t="s">
        <v>2110</v>
      </c>
      <c r="O478" s="33" t="s">
        <v>797</v>
      </c>
      <c r="P478" s="33" t="s">
        <v>861</v>
      </c>
      <c r="Q478" s="33"/>
      <c r="R478" s="33"/>
      <c r="S478" s="33"/>
      <c r="T478" s="33" t="s">
        <v>308</v>
      </c>
      <c r="U478" s="43">
        <v>46150.647222222222</v>
      </c>
      <c r="V478" s="58">
        <v>1.2500000000000001E-2</v>
      </c>
      <c r="W478" s="33" t="s">
        <v>308</v>
      </c>
      <c r="X478" s="43">
        <v>46150.647222222222</v>
      </c>
      <c r="Y478" s="58">
        <v>1.2500000000000001E-2</v>
      </c>
      <c r="Z478" s="33" t="s">
        <v>308</v>
      </c>
      <c r="AA478" s="43">
        <v>46159</v>
      </c>
      <c r="AB478" s="33" t="s">
        <v>81</v>
      </c>
      <c r="AC478" s="33" t="s">
        <v>1631</v>
      </c>
      <c r="AD478" s="58">
        <v>0.16041666666666668</v>
      </c>
      <c r="AE478" s="33"/>
      <c r="AF478" s="58">
        <v>0.16041666666666668</v>
      </c>
      <c r="AG478" s="33" t="s">
        <v>2111</v>
      </c>
      <c r="AH478" s="33">
        <v>1</v>
      </c>
      <c r="AI478" s="43">
        <v>46150.647222222222</v>
      </c>
      <c r="AJ478" s="33" t="s">
        <v>793</v>
      </c>
      <c r="AK478" s="42">
        <v>678099.43</v>
      </c>
      <c r="AL478" s="33" t="s">
        <v>2112</v>
      </c>
    </row>
    <row r="479" spans="1:38">
      <c r="A479" s="33" t="s">
        <v>2456</v>
      </c>
      <c r="B479" s="33"/>
      <c r="C479" s="33" t="s">
        <v>789</v>
      </c>
      <c r="D479" s="33" t="s">
        <v>2114</v>
      </c>
      <c r="E479" s="33" t="s">
        <v>2457</v>
      </c>
      <c r="F479" s="43">
        <v>46150.666666666664</v>
      </c>
      <c r="G479" s="33" t="s">
        <v>171</v>
      </c>
      <c r="H479" s="33"/>
      <c r="I479" s="33" t="s">
        <v>793</v>
      </c>
      <c r="J479" s="33" t="s">
        <v>1263</v>
      </c>
      <c r="K479" s="33" t="s">
        <v>75</v>
      </c>
      <c r="L479" s="33" t="s">
        <v>1264</v>
      </c>
      <c r="M479" s="43">
        <v>46150.765289351853</v>
      </c>
      <c r="N479" s="33" t="s">
        <v>2116</v>
      </c>
      <c r="O479" s="33" t="s">
        <v>797</v>
      </c>
      <c r="P479" s="33" t="s">
        <v>798</v>
      </c>
      <c r="Q479" s="43">
        <v>46150.638194444444</v>
      </c>
      <c r="R479" s="43">
        <v>46150.645138888889</v>
      </c>
      <c r="S479" s="58">
        <v>6.9444444444444441E-3</v>
      </c>
      <c r="T479" s="33" t="s">
        <v>308</v>
      </c>
      <c r="U479" s="43">
        <v>46150.758333333331</v>
      </c>
      <c r="V479" s="58">
        <v>7.6388888888888886E-3</v>
      </c>
      <c r="W479" s="33" t="s">
        <v>308</v>
      </c>
      <c r="X479" s="43">
        <v>46150.758333333331</v>
      </c>
      <c r="Y479" s="58">
        <v>7.6388888888888886E-3</v>
      </c>
      <c r="Z479" s="33" t="s">
        <v>308</v>
      </c>
      <c r="AA479" s="43">
        <v>46156</v>
      </c>
      <c r="AB479" s="33" t="s">
        <v>81</v>
      </c>
      <c r="AC479" s="33" t="s">
        <v>1266</v>
      </c>
      <c r="AD479" s="58">
        <v>0.12777777777777777</v>
      </c>
      <c r="AE479" s="33"/>
      <c r="AF479" s="58">
        <v>0.12777777777777777</v>
      </c>
      <c r="AG479" s="33" t="s">
        <v>2117</v>
      </c>
      <c r="AH479" s="33">
        <v>2</v>
      </c>
      <c r="AI479" s="43">
        <v>46150.758333333331</v>
      </c>
      <c r="AJ479" s="33" t="s">
        <v>793</v>
      </c>
      <c r="AK479" s="42">
        <v>730006</v>
      </c>
      <c r="AL479" s="33" t="s">
        <v>2118</v>
      </c>
    </row>
    <row r="480" spans="1:38">
      <c r="A480" s="33">
        <v>5982591</v>
      </c>
      <c r="B480" s="33"/>
      <c r="C480" s="33" t="s">
        <v>789</v>
      </c>
      <c r="D480" s="33" t="s">
        <v>2458</v>
      </c>
      <c r="E480" s="33" t="s">
        <v>2459</v>
      </c>
      <c r="F480" s="43">
        <v>46150.541666666664</v>
      </c>
      <c r="G480" s="33" t="s">
        <v>792</v>
      </c>
      <c r="H480" s="33"/>
      <c r="I480" s="33" t="s">
        <v>793</v>
      </c>
      <c r="J480" s="33" t="s">
        <v>1049</v>
      </c>
      <c r="K480" s="33" t="s">
        <v>2460</v>
      </c>
      <c r="L480" s="33" t="s">
        <v>2461</v>
      </c>
      <c r="M480" s="43">
        <v>46150.874074074076</v>
      </c>
      <c r="N480" s="33" t="s">
        <v>2462</v>
      </c>
      <c r="O480" s="33" t="s">
        <v>797</v>
      </c>
      <c r="P480" s="33" t="s">
        <v>799</v>
      </c>
      <c r="Q480" s="43">
        <v>46150.481249999997</v>
      </c>
      <c r="R480" s="43">
        <v>46150.581944444442</v>
      </c>
      <c r="S480" s="58">
        <v>0.10069444444444445</v>
      </c>
      <c r="T480" s="33" t="s">
        <v>140</v>
      </c>
      <c r="U480" s="43">
        <v>46150.609722222223</v>
      </c>
      <c r="V480" s="58">
        <v>0.26041666666666669</v>
      </c>
      <c r="W480" s="33"/>
      <c r="X480" s="33"/>
      <c r="Y480" s="33"/>
      <c r="Z480" s="33" t="s">
        <v>140</v>
      </c>
      <c r="AA480" s="43">
        <v>46151.5</v>
      </c>
      <c r="AB480" s="33" t="s">
        <v>81</v>
      </c>
      <c r="AC480" s="33" t="s">
        <v>1053</v>
      </c>
      <c r="AD480" s="58">
        <v>0.3888888888888889</v>
      </c>
      <c r="AE480" s="33"/>
      <c r="AF480" s="58">
        <v>0.32222222222222224</v>
      </c>
      <c r="AG480" s="33" t="s">
        <v>2463</v>
      </c>
      <c r="AH480" s="33">
        <v>2</v>
      </c>
      <c r="AI480" s="43">
        <v>46150.609722222223</v>
      </c>
      <c r="AJ480" s="33" t="s">
        <v>793</v>
      </c>
      <c r="AK480" s="42">
        <v>1334186</v>
      </c>
      <c r="AL480" s="33" t="s">
        <v>2464</v>
      </c>
    </row>
    <row r="481" spans="1:38">
      <c r="A481" s="33">
        <v>6002585</v>
      </c>
      <c r="B481" s="33"/>
      <c r="C481" s="33" t="s">
        <v>789</v>
      </c>
      <c r="D481" s="33" t="s">
        <v>1708</v>
      </c>
      <c r="E481" s="33" t="s">
        <v>2465</v>
      </c>
      <c r="F481" s="43">
        <v>46150.5</v>
      </c>
      <c r="G481" s="33" t="s">
        <v>792</v>
      </c>
      <c r="H481" s="33"/>
      <c r="I481" s="33" t="s">
        <v>793</v>
      </c>
      <c r="J481" s="33" t="s">
        <v>958</v>
      </c>
      <c r="K481" s="33" t="s">
        <v>2466</v>
      </c>
      <c r="L481" s="33" t="s">
        <v>2467</v>
      </c>
      <c r="M481" s="43">
        <v>46150.728078703702</v>
      </c>
      <c r="N481" s="33" t="s">
        <v>1710</v>
      </c>
      <c r="O481" s="33" t="s">
        <v>2248</v>
      </c>
      <c r="P481" s="33" t="s">
        <v>1963</v>
      </c>
      <c r="Q481" s="43">
        <v>46150.586805555555</v>
      </c>
      <c r="R481" s="43">
        <v>46150.630555555559</v>
      </c>
      <c r="S481" s="58">
        <v>4.3749999999999997E-2</v>
      </c>
      <c r="T481" s="33" t="s">
        <v>140</v>
      </c>
      <c r="U481" s="33"/>
      <c r="V481" s="33"/>
      <c r="W481" s="33"/>
      <c r="X481" s="33"/>
      <c r="Y481" s="33"/>
      <c r="Z481" s="33" t="s">
        <v>140</v>
      </c>
      <c r="AA481" s="43">
        <v>46151.708333333336</v>
      </c>
      <c r="AB481" s="33" t="s">
        <v>823</v>
      </c>
      <c r="AC481" s="33" t="s">
        <v>1404</v>
      </c>
      <c r="AD481" s="58">
        <v>0.26805555555555555</v>
      </c>
      <c r="AE481" s="33"/>
      <c r="AF481" s="58">
        <v>0.26805555555555555</v>
      </c>
      <c r="AG481" s="33" t="s">
        <v>1711</v>
      </c>
      <c r="AH481" s="33">
        <v>1</v>
      </c>
      <c r="AI481" s="43">
        <v>46150.731249999997</v>
      </c>
      <c r="AJ481" s="33" t="s">
        <v>793</v>
      </c>
      <c r="AK481" s="42">
        <v>809535.31</v>
      </c>
      <c r="AL481" s="33" t="s">
        <v>1712</v>
      </c>
    </row>
    <row r="482" spans="1:38">
      <c r="A482" s="33">
        <v>6006843</v>
      </c>
      <c r="B482" s="33"/>
      <c r="C482" s="33" t="s">
        <v>789</v>
      </c>
      <c r="D482" s="33" t="s">
        <v>1315</v>
      </c>
      <c r="E482" s="33" t="s">
        <v>2468</v>
      </c>
      <c r="F482" s="43">
        <v>46150.5</v>
      </c>
      <c r="G482" s="33" t="s">
        <v>792</v>
      </c>
      <c r="H482" s="33"/>
      <c r="I482" s="33" t="s">
        <v>793</v>
      </c>
      <c r="J482" s="33" t="s">
        <v>958</v>
      </c>
      <c r="K482" s="33" t="s">
        <v>75</v>
      </c>
      <c r="L482" s="33" t="s">
        <v>2012</v>
      </c>
      <c r="M482" s="43">
        <v>46150.618159722224</v>
      </c>
      <c r="N482" s="33" t="s">
        <v>1319</v>
      </c>
      <c r="O482" s="33" t="s">
        <v>797</v>
      </c>
      <c r="P482" s="33" t="s">
        <v>1963</v>
      </c>
      <c r="Q482" s="33"/>
      <c r="R482" s="33"/>
      <c r="S482" s="33"/>
      <c r="T482" s="33" t="s">
        <v>140</v>
      </c>
      <c r="U482" s="43">
        <v>46150.604861111111</v>
      </c>
      <c r="V482" s="58">
        <v>5.1388888888888887E-2</v>
      </c>
      <c r="W482" s="33" t="s">
        <v>140</v>
      </c>
      <c r="X482" s="43">
        <v>46150.604861111111</v>
      </c>
      <c r="Y482" s="58">
        <v>5.1388888888888887E-2</v>
      </c>
      <c r="Z482" s="33" t="s">
        <v>140</v>
      </c>
      <c r="AA482" s="43">
        <v>46151.708333333336</v>
      </c>
      <c r="AB482" s="33" t="s">
        <v>1052</v>
      </c>
      <c r="AC482" s="33" t="s">
        <v>1404</v>
      </c>
      <c r="AD482" s="58">
        <v>0.15902777777777777</v>
      </c>
      <c r="AE482" s="33"/>
      <c r="AF482" s="58">
        <v>0.15902777777777777</v>
      </c>
      <c r="AG482" s="33" t="s">
        <v>1322</v>
      </c>
      <c r="AH482" s="33">
        <v>1</v>
      </c>
      <c r="AI482" s="43">
        <v>46150.604861111111</v>
      </c>
      <c r="AJ482" s="33" t="s">
        <v>793</v>
      </c>
      <c r="AK482" s="42">
        <v>670417.5</v>
      </c>
      <c r="AL482" s="33" t="s">
        <v>1323</v>
      </c>
    </row>
    <row r="483" spans="1:38">
      <c r="A483" s="33">
        <v>6010997</v>
      </c>
      <c r="B483" s="33"/>
      <c r="C483" s="33" t="s">
        <v>789</v>
      </c>
      <c r="D483" s="33" t="s">
        <v>1736</v>
      </c>
      <c r="E483" s="33" t="s">
        <v>2469</v>
      </c>
      <c r="F483" s="43">
        <v>46150.833333333336</v>
      </c>
      <c r="G483" s="33" t="s">
        <v>227</v>
      </c>
      <c r="H483" s="33"/>
      <c r="I483" s="33" t="s">
        <v>73</v>
      </c>
      <c r="J483" s="33" t="s">
        <v>2297</v>
      </c>
      <c r="K483" s="33" t="s">
        <v>75</v>
      </c>
      <c r="L483" s="33" t="s">
        <v>2470</v>
      </c>
      <c r="M483" s="43">
        <v>46153.054016203707</v>
      </c>
      <c r="N483" s="33" t="s">
        <v>1739</v>
      </c>
      <c r="O483" s="33" t="s">
        <v>797</v>
      </c>
      <c r="P483" s="33" t="s">
        <v>79</v>
      </c>
      <c r="Q483" s="43">
        <v>46150.504166666666</v>
      </c>
      <c r="R483" s="43">
        <v>46150.577777777777</v>
      </c>
      <c r="S483" s="58">
        <v>7.3611111111111113E-2</v>
      </c>
      <c r="T483" s="33" t="s">
        <v>2300</v>
      </c>
      <c r="U483" s="33"/>
      <c r="V483" s="33"/>
      <c r="W483" s="33" t="s">
        <v>1740</v>
      </c>
      <c r="X483" s="43">
        <v>46153.048611111109</v>
      </c>
      <c r="Y483" s="58">
        <v>3.472222222222222E-3</v>
      </c>
      <c r="Z483" s="33" t="s">
        <v>2300</v>
      </c>
      <c r="AA483" s="43">
        <v>46157.333333333336</v>
      </c>
      <c r="AB483" s="33" t="s">
        <v>2471</v>
      </c>
      <c r="AC483" s="33" t="s">
        <v>2301</v>
      </c>
      <c r="AD483" s="44">
        <v>2.5465277777777779</v>
      </c>
      <c r="AE483" s="33"/>
      <c r="AF483" s="44">
        <v>2.5465277777777779</v>
      </c>
      <c r="AG483" s="33" t="s">
        <v>2472</v>
      </c>
      <c r="AH483" s="33">
        <v>3</v>
      </c>
      <c r="AI483" s="43">
        <v>46153.121527777781</v>
      </c>
      <c r="AJ483" s="33" t="s">
        <v>73</v>
      </c>
      <c r="AK483" s="42">
        <v>197507.07</v>
      </c>
      <c r="AL483" s="33" t="s">
        <v>1743</v>
      </c>
    </row>
    <row r="484" spans="1:38">
      <c r="A484" s="33" t="s">
        <v>2473</v>
      </c>
      <c r="B484" s="33"/>
      <c r="C484" s="33" t="s">
        <v>789</v>
      </c>
      <c r="D484" s="33" t="s">
        <v>956</v>
      </c>
      <c r="E484" s="33" t="s">
        <v>2474</v>
      </c>
      <c r="F484" s="43">
        <v>46150.791666666664</v>
      </c>
      <c r="G484" s="33" t="s">
        <v>171</v>
      </c>
      <c r="H484" s="33"/>
      <c r="I484" s="33" t="s">
        <v>793</v>
      </c>
      <c r="J484" s="33" t="s">
        <v>958</v>
      </c>
      <c r="K484" s="33" t="s">
        <v>1012</v>
      </c>
      <c r="L484" s="33" t="s">
        <v>2012</v>
      </c>
      <c r="M484" s="43">
        <v>46150.901180555556</v>
      </c>
      <c r="N484" s="33" t="s">
        <v>174</v>
      </c>
      <c r="O484" s="33" t="s">
        <v>797</v>
      </c>
      <c r="P484" s="33" t="s">
        <v>861</v>
      </c>
      <c r="Q484" s="33"/>
      <c r="R484" s="33"/>
      <c r="S484" s="33"/>
      <c r="T484" s="33" t="s">
        <v>308</v>
      </c>
      <c r="U484" s="43">
        <v>46150.888194444444</v>
      </c>
      <c r="V484" s="58">
        <v>1.1111111111111112E-2</v>
      </c>
      <c r="W484" s="33" t="s">
        <v>308</v>
      </c>
      <c r="X484" s="43">
        <v>46150.888194444444</v>
      </c>
      <c r="Y484" s="58">
        <v>1.1111111111111112E-2</v>
      </c>
      <c r="Z484" s="33" t="s">
        <v>308</v>
      </c>
      <c r="AA484" s="43">
        <v>46159</v>
      </c>
      <c r="AB484" s="33" t="s">
        <v>81</v>
      </c>
      <c r="AC484" s="33" t="s">
        <v>1404</v>
      </c>
      <c r="AD484" s="58">
        <v>0.11805555555555555</v>
      </c>
      <c r="AE484" s="33"/>
      <c r="AF484" s="58">
        <v>0.11805555555555555</v>
      </c>
      <c r="AG484" s="33" t="s">
        <v>961</v>
      </c>
      <c r="AH484" s="33">
        <v>1</v>
      </c>
      <c r="AI484" s="43">
        <v>46150.888194444444</v>
      </c>
      <c r="AJ484" s="33" t="s">
        <v>793</v>
      </c>
      <c r="AK484" s="42">
        <v>500317.18</v>
      </c>
      <c r="AL484" s="33" t="s">
        <v>962</v>
      </c>
    </row>
    <row r="485" spans="1:38">
      <c r="A485" s="33">
        <v>6013938</v>
      </c>
      <c r="B485" s="33"/>
      <c r="C485" s="33" t="s">
        <v>789</v>
      </c>
      <c r="D485" s="33" t="s">
        <v>1947</v>
      </c>
      <c r="E485" s="33" t="s">
        <v>2475</v>
      </c>
      <c r="F485" s="43">
        <v>46150.833333333336</v>
      </c>
      <c r="G485" s="33" t="s">
        <v>227</v>
      </c>
      <c r="H485" s="33"/>
      <c r="I485" s="33" t="s">
        <v>73</v>
      </c>
      <c r="J485" s="33" t="s">
        <v>2476</v>
      </c>
      <c r="K485" s="33" t="s">
        <v>75</v>
      </c>
      <c r="L485" s="33" t="s">
        <v>2477</v>
      </c>
      <c r="M485" s="43">
        <v>46151.269849537035</v>
      </c>
      <c r="N485" s="33" t="s">
        <v>1950</v>
      </c>
      <c r="O485" s="33" t="s">
        <v>797</v>
      </c>
      <c r="P485" s="33" t="s">
        <v>79</v>
      </c>
      <c r="Q485" s="43">
        <v>46150.649305555555</v>
      </c>
      <c r="R485" s="43">
        <v>46150.831944444442</v>
      </c>
      <c r="S485" s="58">
        <v>0.18263888888888888</v>
      </c>
      <c r="T485" s="33" t="s">
        <v>750</v>
      </c>
      <c r="U485" s="33"/>
      <c r="V485" s="33"/>
      <c r="W485" s="33"/>
      <c r="X485" s="33"/>
      <c r="Y485" s="33"/>
      <c r="Z485" s="33" t="s">
        <v>750</v>
      </c>
      <c r="AA485" s="43">
        <v>46154.208333333336</v>
      </c>
      <c r="AB485" s="33" t="s">
        <v>81</v>
      </c>
      <c r="AC485" s="33" t="s">
        <v>81</v>
      </c>
      <c r="AD485" s="58">
        <v>0.71597222222222223</v>
      </c>
      <c r="AE485" s="33"/>
      <c r="AF485" s="58">
        <v>0.71597222222222223</v>
      </c>
      <c r="AG485" s="33" t="s">
        <v>2478</v>
      </c>
      <c r="AH485" s="33">
        <v>2</v>
      </c>
      <c r="AI485" s="43">
        <v>46151.275694444441</v>
      </c>
      <c r="AJ485" s="33" t="s">
        <v>73</v>
      </c>
      <c r="AK485" s="42">
        <v>339450.85</v>
      </c>
      <c r="AL485" s="33" t="s">
        <v>1952</v>
      </c>
    </row>
    <row r="486" spans="1:38">
      <c r="A486" s="33">
        <v>6006161</v>
      </c>
      <c r="B486" s="33"/>
      <c r="C486" s="33" t="s">
        <v>789</v>
      </c>
      <c r="D486" s="33" t="s">
        <v>1673</v>
      </c>
      <c r="E486" s="33" t="s">
        <v>2479</v>
      </c>
      <c r="F486" s="43">
        <v>46150.541666666664</v>
      </c>
      <c r="G486" s="33" t="s">
        <v>792</v>
      </c>
      <c r="H486" s="33"/>
      <c r="I486" s="33" t="s">
        <v>793</v>
      </c>
      <c r="J486" s="33" t="s">
        <v>2049</v>
      </c>
      <c r="K486" s="33" t="s">
        <v>75</v>
      </c>
      <c r="L486" s="33" t="s">
        <v>1340</v>
      </c>
      <c r="M486" s="43">
        <v>46150.67596064815</v>
      </c>
      <c r="N486" s="33" t="s">
        <v>1677</v>
      </c>
      <c r="O486" s="33" t="s">
        <v>797</v>
      </c>
      <c r="P486" s="33" t="s">
        <v>1963</v>
      </c>
      <c r="Q486" s="43">
        <v>46150.529861111114</v>
      </c>
      <c r="R486" s="43">
        <v>46150.536805555559</v>
      </c>
      <c r="S486" s="58">
        <v>6.9444444444444441E-3</v>
      </c>
      <c r="T486" s="33" t="s">
        <v>799</v>
      </c>
      <c r="U486" s="43">
        <v>46150.65902777778</v>
      </c>
      <c r="V486" s="58">
        <v>1.5277777777777777E-2</v>
      </c>
      <c r="W486" s="33" t="s">
        <v>799</v>
      </c>
      <c r="X486" s="43">
        <v>46150.65902777778</v>
      </c>
      <c r="Y486" s="58">
        <v>1.5277777777777777E-2</v>
      </c>
      <c r="Z486" s="33" t="s">
        <v>799</v>
      </c>
      <c r="AA486" s="43">
        <v>46151.958333333336</v>
      </c>
      <c r="AB486" s="33" t="s">
        <v>81</v>
      </c>
      <c r="AC486" s="33" t="s">
        <v>2076</v>
      </c>
      <c r="AD486" s="58">
        <v>0.14652777777777778</v>
      </c>
      <c r="AE486" s="58">
        <v>0.13819444444444445</v>
      </c>
      <c r="AF486" s="58">
        <v>0.14652777777777778</v>
      </c>
      <c r="AG486" s="33" t="s">
        <v>2480</v>
      </c>
      <c r="AH486" s="33">
        <v>2</v>
      </c>
      <c r="AI486" s="43">
        <v>46150.65902777778</v>
      </c>
      <c r="AJ486" s="33" t="s">
        <v>793</v>
      </c>
      <c r="AK486" s="42">
        <v>471864.59</v>
      </c>
      <c r="AL486" s="33" t="s">
        <v>1680</v>
      </c>
    </row>
    <row r="487" spans="1:38">
      <c r="A487" s="33">
        <v>6004963</v>
      </c>
      <c r="B487" s="33"/>
      <c r="C487" s="33" t="s">
        <v>789</v>
      </c>
      <c r="D487" s="33" t="s">
        <v>863</v>
      </c>
      <c r="E487" s="33" t="s">
        <v>2481</v>
      </c>
      <c r="F487" s="43">
        <v>46150.666666666664</v>
      </c>
      <c r="G487" s="33" t="s">
        <v>792</v>
      </c>
      <c r="H487" s="33"/>
      <c r="I487" s="33" t="s">
        <v>793</v>
      </c>
      <c r="J487" s="33" t="s">
        <v>1312</v>
      </c>
      <c r="K487" s="33" t="s">
        <v>2482</v>
      </c>
      <c r="L487" s="33" t="s">
        <v>2483</v>
      </c>
      <c r="M487" s="43">
        <v>46150.871249999997</v>
      </c>
      <c r="N487" s="33" t="s">
        <v>867</v>
      </c>
      <c r="O487" s="33" t="s">
        <v>797</v>
      </c>
      <c r="P487" s="33" t="s">
        <v>799</v>
      </c>
      <c r="Q487" s="43">
        <v>46150.530555555553</v>
      </c>
      <c r="R487" s="43">
        <v>46150.586111111108</v>
      </c>
      <c r="S487" s="58">
        <v>5.5555555555555552E-2</v>
      </c>
      <c r="T487" s="33" t="s">
        <v>140</v>
      </c>
      <c r="U487" s="43">
        <v>46150.609027777777</v>
      </c>
      <c r="V487" s="58">
        <v>6.9444444444444441E-3</v>
      </c>
      <c r="W487" s="33"/>
      <c r="X487" s="33"/>
      <c r="Y487" s="33"/>
      <c r="Z487" s="33" t="s">
        <v>140</v>
      </c>
      <c r="AA487" s="43">
        <v>46151.625</v>
      </c>
      <c r="AB487" s="33" t="s">
        <v>81</v>
      </c>
      <c r="AC487" s="33" t="s">
        <v>1314</v>
      </c>
      <c r="AD487" s="58">
        <v>0.34166666666666667</v>
      </c>
      <c r="AE487" s="33"/>
      <c r="AF487" s="58">
        <v>0.27569444444444446</v>
      </c>
      <c r="AG487" s="33" t="s">
        <v>869</v>
      </c>
      <c r="AH487" s="33">
        <v>2</v>
      </c>
      <c r="AI487" s="43">
        <v>46150.609027777777</v>
      </c>
      <c r="AJ487" s="33" t="s">
        <v>793</v>
      </c>
      <c r="AK487" s="42">
        <v>889537.72</v>
      </c>
      <c r="AL487" s="33" t="s">
        <v>870</v>
      </c>
    </row>
    <row r="488" spans="1:38">
      <c r="A488" s="33">
        <v>5974211</v>
      </c>
      <c r="B488" s="33"/>
      <c r="C488" s="33" t="s">
        <v>789</v>
      </c>
      <c r="D488" s="33" t="s">
        <v>1975</v>
      </c>
      <c r="E488" s="33" t="s">
        <v>2484</v>
      </c>
      <c r="F488" s="43">
        <v>46150.541666666664</v>
      </c>
      <c r="G488" s="33" t="s">
        <v>792</v>
      </c>
      <c r="H488" s="33"/>
      <c r="I488" s="33" t="s">
        <v>793</v>
      </c>
      <c r="J488" s="33" t="s">
        <v>1312</v>
      </c>
      <c r="K488" s="33" t="s">
        <v>75</v>
      </c>
      <c r="L488" s="33" t="s">
        <v>1094</v>
      </c>
      <c r="M488" s="43">
        <v>46150.645879629628</v>
      </c>
      <c r="N488" s="33" t="s">
        <v>2485</v>
      </c>
      <c r="O488" s="33" t="s">
        <v>797</v>
      </c>
      <c r="P488" s="33" t="s">
        <v>799</v>
      </c>
      <c r="Q488" s="43">
        <v>46150.53125</v>
      </c>
      <c r="R488" s="43">
        <v>46150.556944444441</v>
      </c>
      <c r="S488" s="58">
        <v>2.5694444444444443E-2</v>
      </c>
      <c r="T488" s="33" t="s">
        <v>140</v>
      </c>
      <c r="U488" s="43">
        <v>46150.590277777781</v>
      </c>
      <c r="V488" s="58">
        <v>6.25E-2</v>
      </c>
      <c r="W488" s="33" t="s">
        <v>140</v>
      </c>
      <c r="X488" s="43">
        <v>46150.590277777781</v>
      </c>
      <c r="Y488" s="58">
        <v>6.25E-2</v>
      </c>
      <c r="Z488" s="33" t="s">
        <v>140</v>
      </c>
      <c r="AA488" s="43">
        <v>46151.583333333336</v>
      </c>
      <c r="AB488" s="33" t="s">
        <v>81</v>
      </c>
      <c r="AC488" s="33" t="s">
        <v>1314</v>
      </c>
      <c r="AD488" s="58">
        <v>0.12152777777777778</v>
      </c>
      <c r="AE488" s="58">
        <v>8.8888888888888892E-2</v>
      </c>
      <c r="AF488" s="58">
        <v>0.12152777777777778</v>
      </c>
      <c r="AG488" s="33" t="s">
        <v>1977</v>
      </c>
      <c r="AH488" s="33">
        <v>2</v>
      </c>
      <c r="AI488" s="43">
        <v>46150.590277777781</v>
      </c>
      <c r="AJ488" s="33" t="s">
        <v>793</v>
      </c>
      <c r="AK488" s="42">
        <v>851549.6</v>
      </c>
      <c r="AL488" s="33" t="s">
        <v>2486</v>
      </c>
    </row>
    <row r="489" spans="1:38">
      <c r="A489" s="33">
        <v>5974211</v>
      </c>
      <c r="B489" s="33"/>
      <c r="C489" s="33" t="s">
        <v>789</v>
      </c>
      <c r="D489" s="33" t="s">
        <v>1975</v>
      </c>
      <c r="E489" s="33" t="s">
        <v>2487</v>
      </c>
      <c r="F489" s="43">
        <v>46150.5</v>
      </c>
      <c r="G489" s="33" t="s">
        <v>792</v>
      </c>
      <c r="H489" s="33"/>
      <c r="I489" s="33" t="s">
        <v>793</v>
      </c>
      <c r="J489" s="33" t="s">
        <v>1312</v>
      </c>
      <c r="K489" s="33" t="s">
        <v>1378</v>
      </c>
      <c r="L489" s="33" t="s">
        <v>2488</v>
      </c>
      <c r="M489" s="43">
        <v>46150.856585648151</v>
      </c>
      <c r="N489" s="33" t="s">
        <v>2485</v>
      </c>
      <c r="O489" s="33" t="s">
        <v>797</v>
      </c>
      <c r="P489" s="33" t="s">
        <v>799</v>
      </c>
      <c r="Q489" s="33"/>
      <c r="R489" s="33"/>
      <c r="S489" s="33"/>
      <c r="T489" s="33" t="s">
        <v>140</v>
      </c>
      <c r="U489" s="43">
        <v>46150.656944444447</v>
      </c>
      <c r="V489" s="58">
        <v>0.19513888888888889</v>
      </c>
      <c r="W489" s="33"/>
      <c r="X489" s="33"/>
      <c r="Y489" s="33"/>
      <c r="Z489" s="33" t="s">
        <v>140</v>
      </c>
      <c r="AA489" s="43">
        <v>46151.583333333336</v>
      </c>
      <c r="AB489" s="33" t="s">
        <v>81</v>
      </c>
      <c r="AC489" s="33" t="s">
        <v>81</v>
      </c>
      <c r="AD489" s="58">
        <v>0.20347222222222222</v>
      </c>
      <c r="AE489" s="33"/>
      <c r="AF489" s="58">
        <v>0.1986111111111111</v>
      </c>
      <c r="AG489" s="33" t="s">
        <v>1977</v>
      </c>
      <c r="AH489" s="33">
        <v>1</v>
      </c>
      <c r="AI489" s="43">
        <v>46150.656944444447</v>
      </c>
      <c r="AJ489" s="33" t="s">
        <v>793</v>
      </c>
      <c r="AK489" s="42">
        <v>851549.6</v>
      </c>
      <c r="AL489" s="33" t="s">
        <v>1978</v>
      </c>
    </row>
    <row r="490" spans="1:38">
      <c r="A490" s="33">
        <v>5981364</v>
      </c>
      <c r="B490" s="33"/>
      <c r="C490" s="33" t="s">
        <v>789</v>
      </c>
      <c r="D490" s="33" t="s">
        <v>914</v>
      </c>
      <c r="E490" s="33" t="s">
        <v>2489</v>
      </c>
      <c r="F490" s="43">
        <v>46150.666666666664</v>
      </c>
      <c r="G490" s="33" t="s">
        <v>792</v>
      </c>
      <c r="H490" s="33"/>
      <c r="I490" s="33" t="s">
        <v>793</v>
      </c>
      <c r="J490" s="33" t="s">
        <v>1312</v>
      </c>
      <c r="K490" s="33" t="s">
        <v>75</v>
      </c>
      <c r="L490" s="33" t="s">
        <v>1148</v>
      </c>
      <c r="M490" s="43">
        <v>46150.6487037037</v>
      </c>
      <c r="N490" s="33" t="s">
        <v>918</v>
      </c>
      <c r="O490" s="33" t="s">
        <v>797</v>
      </c>
      <c r="P490" s="33" t="s">
        <v>799</v>
      </c>
      <c r="Q490" s="43">
        <v>46150.535416666666</v>
      </c>
      <c r="R490" s="43">
        <v>46150.575694444444</v>
      </c>
      <c r="S490" s="58">
        <v>4.027777777777778E-2</v>
      </c>
      <c r="T490" s="33" t="s">
        <v>140</v>
      </c>
      <c r="U490" s="43">
        <v>46150.604166666664</v>
      </c>
      <c r="V490" s="58">
        <v>4.9305555555555554E-2</v>
      </c>
      <c r="W490" s="33" t="s">
        <v>140</v>
      </c>
      <c r="X490" s="43">
        <v>46150.604166666664</v>
      </c>
      <c r="Y490" s="58">
        <v>4.9305555555555554E-2</v>
      </c>
      <c r="Z490" s="33" t="s">
        <v>140</v>
      </c>
      <c r="AA490" s="43">
        <v>46151.625</v>
      </c>
      <c r="AB490" s="33" t="s">
        <v>81</v>
      </c>
      <c r="AC490" s="33" t="s">
        <v>1314</v>
      </c>
      <c r="AD490" s="58">
        <v>0.11944444444444445</v>
      </c>
      <c r="AE490" s="58">
        <v>7.8472222222222221E-2</v>
      </c>
      <c r="AF490" s="58">
        <v>0.11944444444444445</v>
      </c>
      <c r="AG490" s="33" t="s">
        <v>919</v>
      </c>
      <c r="AH490" s="33">
        <v>2</v>
      </c>
      <c r="AI490" s="43">
        <v>46150.604166666664</v>
      </c>
      <c r="AJ490" s="33" t="s">
        <v>793</v>
      </c>
      <c r="AK490" s="42">
        <v>557108.28</v>
      </c>
      <c r="AL490" s="33" t="s">
        <v>920</v>
      </c>
    </row>
    <row r="491" spans="1:38">
      <c r="A491" s="33">
        <v>6015066</v>
      </c>
      <c r="B491" s="33"/>
      <c r="C491" s="33" t="s">
        <v>789</v>
      </c>
      <c r="D491" s="33" t="s">
        <v>2123</v>
      </c>
      <c r="E491" s="33" t="s">
        <v>2490</v>
      </c>
      <c r="F491" s="43">
        <v>46150.583333333336</v>
      </c>
      <c r="G491" s="33" t="s">
        <v>227</v>
      </c>
      <c r="H491" s="33"/>
      <c r="I491" s="33" t="s">
        <v>772</v>
      </c>
      <c r="J491" s="33" t="s">
        <v>2321</v>
      </c>
      <c r="K491" s="33" t="s">
        <v>75</v>
      </c>
      <c r="L491" s="33" t="s">
        <v>295</v>
      </c>
      <c r="M491" s="43">
        <v>46153.757592592592</v>
      </c>
      <c r="N491" s="33" t="s">
        <v>2126</v>
      </c>
      <c r="O491" s="33" t="s">
        <v>797</v>
      </c>
      <c r="P491" s="33" t="s">
        <v>140</v>
      </c>
      <c r="Q491" s="33"/>
      <c r="R491" s="33"/>
      <c r="S491" s="33"/>
      <c r="T491" s="33" t="s">
        <v>2322</v>
      </c>
      <c r="U491" s="43">
        <v>46153.345833333333</v>
      </c>
      <c r="V491" s="58">
        <v>0.41736111111111113</v>
      </c>
      <c r="W491" s="33" t="s">
        <v>2322</v>
      </c>
      <c r="X491" s="43">
        <v>46153.345833333333</v>
      </c>
      <c r="Y491" s="58">
        <v>0.41736111111111113</v>
      </c>
      <c r="Z491" s="33" t="s">
        <v>2322</v>
      </c>
      <c r="AA491" s="43">
        <v>46156</v>
      </c>
      <c r="AB491" s="33" t="s">
        <v>81</v>
      </c>
      <c r="AC491" s="33" t="s">
        <v>2324</v>
      </c>
      <c r="AD491" s="44">
        <v>3.2055555555555557</v>
      </c>
      <c r="AE491" s="58">
        <v>0.49305555555555558</v>
      </c>
      <c r="AF491" s="44">
        <v>3.2055555555555557</v>
      </c>
      <c r="AG491" s="33" t="s">
        <v>2325</v>
      </c>
      <c r="AH491" s="33">
        <v>4</v>
      </c>
      <c r="AI491" s="43">
        <v>46153.345833333333</v>
      </c>
      <c r="AJ491" s="33" t="s">
        <v>73</v>
      </c>
      <c r="AK491" s="42">
        <v>1164270.8999999999</v>
      </c>
      <c r="AL491" s="33" t="s">
        <v>2128</v>
      </c>
    </row>
    <row r="492" spans="1:38">
      <c r="A492" s="33">
        <v>6009934</v>
      </c>
      <c r="B492" s="33"/>
      <c r="C492" s="33" t="s">
        <v>789</v>
      </c>
      <c r="D492" s="33" t="s">
        <v>2491</v>
      </c>
      <c r="E492" s="33" t="s">
        <v>2492</v>
      </c>
      <c r="F492" s="43">
        <v>46150.583333333336</v>
      </c>
      <c r="G492" s="33" t="s">
        <v>1912</v>
      </c>
      <c r="H492" s="33"/>
      <c r="I492" s="33" t="s">
        <v>73</v>
      </c>
      <c r="J492" s="33" t="s">
        <v>2493</v>
      </c>
      <c r="K492" s="33" t="s">
        <v>75</v>
      </c>
      <c r="L492" s="33" t="s">
        <v>76</v>
      </c>
      <c r="M492" s="43">
        <v>46153.912974537037</v>
      </c>
      <c r="N492" s="33" t="s">
        <v>2494</v>
      </c>
      <c r="O492" s="33" t="s">
        <v>797</v>
      </c>
      <c r="P492" s="33" t="s">
        <v>1918</v>
      </c>
      <c r="Q492" s="43">
        <v>46150.646527777775</v>
      </c>
      <c r="R492" s="43">
        <v>46150.696527777778</v>
      </c>
      <c r="S492" s="58">
        <v>0.05</v>
      </c>
      <c r="T492" s="33" t="s">
        <v>80</v>
      </c>
      <c r="U492" s="43">
        <v>46152.85833333333</v>
      </c>
      <c r="V492" s="44">
        <v>1.054861111111111</v>
      </c>
      <c r="W492" s="33" t="s">
        <v>80</v>
      </c>
      <c r="X492" s="43">
        <v>46152.85833333333</v>
      </c>
      <c r="Y492" s="44">
        <v>1.054861111111111</v>
      </c>
      <c r="Z492" s="33" t="s">
        <v>80</v>
      </c>
      <c r="AA492" s="43">
        <v>46153.25</v>
      </c>
      <c r="AB492" s="33" t="s">
        <v>81</v>
      </c>
      <c r="AC492" s="33" t="s">
        <v>2495</v>
      </c>
      <c r="AD492" s="44">
        <v>3.3340277777777776</v>
      </c>
      <c r="AE492" s="44">
        <v>1.15625</v>
      </c>
      <c r="AF492" s="44">
        <v>3.3340277777777776</v>
      </c>
      <c r="AG492" s="33" t="s">
        <v>2496</v>
      </c>
      <c r="AH492" s="33">
        <v>7</v>
      </c>
      <c r="AI492" s="43">
        <v>46152.85833333333</v>
      </c>
      <c r="AJ492" s="33" t="s">
        <v>73</v>
      </c>
      <c r="AK492" s="42">
        <v>283584.95</v>
      </c>
      <c r="AL492" s="33" t="s">
        <v>2497</v>
      </c>
    </row>
    <row r="493" spans="1:38">
      <c r="A493" s="33">
        <v>6013091</v>
      </c>
      <c r="B493" s="33"/>
      <c r="C493" s="33" t="s">
        <v>789</v>
      </c>
      <c r="D493" s="33" t="s">
        <v>1349</v>
      </c>
      <c r="E493" s="33" t="s">
        <v>2498</v>
      </c>
      <c r="F493" s="43">
        <v>46150.565972222219</v>
      </c>
      <c r="G493" s="33" t="s">
        <v>114</v>
      </c>
      <c r="H493" s="33"/>
      <c r="I493" s="33" t="s">
        <v>73</v>
      </c>
      <c r="J493" s="33" t="s">
        <v>2499</v>
      </c>
      <c r="K493" s="33" t="s">
        <v>75</v>
      </c>
      <c r="L493" s="33" t="s">
        <v>2500</v>
      </c>
      <c r="M493" s="43">
        <v>46153.47552083333</v>
      </c>
      <c r="N493" s="33" t="s">
        <v>493</v>
      </c>
      <c r="O493" s="33" t="s">
        <v>797</v>
      </c>
      <c r="P493" s="33" t="s">
        <v>140</v>
      </c>
      <c r="Q493" s="43">
        <v>46151.361805555556</v>
      </c>
      <c r="R493" s="43">
        <v>46151.402777777781</v>
      </c>
      <c r="S493" s="58">
        <v>4.0972222222222222E-2</v>
      </c>
      <c r="T493" s="33" t="s">
        <v>2501</v>
      </c>
      <c r="U493" s="43">
        <v>46153.297222222223</v>
      </c>
      <c r="V493" s="58">
        <v>0.1763888888888889</v>
      </c>
      <c r="W493" s="33" t="s">
        <v>2501</v>
      </c>
      <c r="X493" s="43">
        <v>46153.297222222223</v>
      </c>
      <c r="Y493" s="58">
        <v>0.1763888888888889</v>
      </c>
      <c r="Z493" s="33" t="s">
        <v>2501</v>
      </c>
      <c r="AA493" s="43">
        <v>46154.416666666664</v>
      </c>
      <c r="AB493" s="33" t="s">
        <v>81</v>
      </c>
      <c r="AC493" s="33" t="s">
        <v>2502</v>
      </c>
      <c r="AD493" s="44">
        <v>2.1451388888888889</v>
      </c>
      <c r="AE493" s="44">
        <v>2.0638888888888891</v>
      </c>
      <c r="AF493" s="44">
        <v>2.1451388888888889</v>
      </c>
      <c r="AG493" s="33"/>
      <c r="AH493" s="33">
        <v>2</v>
      </c>
      <c r="AI493" s="43">
        <v>46153.297222222223</v>
      </c>
      <c r="AJ493" s="33" t="s">
        <v>73</v>
      </c>
      <c r="AK493" s="42">
        <v>236030.32</v>
      </c>
      <c r="AL493" s="33" t="s">
        <v>1355</v>
      </c>
    </row>
    <row r="494" spans="1:38">
      <c r="A494" s="33">
        <v>5984855</v>
      </c>
      <c r="B494" s="33"/>
      <c r="C494" s="33" t="s">
        <v>789</v>
      </c>
      <c r="D494" s="33" t="s">
        <v>1047</v>
      </c>
      <c r="E494" s="33" t="s">
        <v>2503</v>
      </c>
      <c r="F494" s="43">
        <v>46150.666666666664</v>
      </c>
      <c r="G494" s="33" t="s">
        <v>792</v>
      </c>
      <c r="H494" s="33"/>
      <c r="I494" s="33" t="s">
        <v>793</v>
      </c>
      <c r="J494" s="33" t="s">
        <v>1312</v>
      </c>
      <c r="K494" s="33" t="s">
        <v>75</v>
      </c>
      <c r="L494" s="33" t="s">
        <v>1691</v>
      </c>
      <c r="M494" s="43">
        <v>46150.686111111114</v>
      </c>
      <c r="N494" s="33" t="s">
        <v>1051</v>
      </c>
      <c r="O494" s="33" t="s">
        <v>797</v>
      </c>
      <c r="P494" s="33" t="s">
        <v>799</v>
      </c>
      <c r="Q494" s="43">
        <v>46150.581944444442</v>
      </c>
      <c r="R494" s="43">
        <v>46150.623611111114</v>
      </c>
      <c r="S494" s="58">
        <v>4.1666666666666664E-2</v>
      </c>
      <c r="T494" s="33" t="s">
        <v>140</v>
      </c>
      <c r="U494" s="43">
        <v>46150.65902777778</v>
      </c>
      <c r="V494" s="58">
        <v>2.7083333333333334E-2</v>
      </c>
      <c r="W494" s="33" t="s">
        <v>140</v>
      </c>
      <c r="X494" s="43">
        <v>46150.65902777778</v>
      </c>
      <c r="Y494" s="58">
        <v>2.7083333333333334E-2</v>
      </c>
      <c r="Z494" s="33" t="s">
        <v>140</v>
      </c>
      <c r="AA494" s="43">
        <v>46151.75</v>
      </c>
      <c r="AB494" s="33" t="s">
        <v>81</v>
      </c>
      <c r="AC494" s="33" t="s">
        <v>1314</v>
      </c>
      <c r="AD494" s="58">
        <v>0.10486111111111111</v>
      </c>
      <c r="AE494" s="58">
        <v>6.25E-2</v>
      </c>
      <c r="AF494" s="58">
        <v>0.10486111111111111</v>
      </c>
      <c r="AG494" s="33" t="s">
        <v>2504</v>
      </c>
      <c r="AH494" s="33">
        <v>2</v>
      </c>
      <c r="AI494" s="43">
        <v>46150.65902777778</v>
      </c>
      <c r="AJ494" s="33" t="s">
        <v>793</v>
      </c>
      <c r="AK494" s="42">
        <v>647012.69999999995</v>
      </c>
      <c r="AL494" s="33" t="s">
        <v>1055</v>
      </c>
    </row>
    <row r="495" spans="1:38">
      <c r="A495" s="33">
        <v>6013511</v>
      </c>
      <c r="B495" s="33"/>
      <c r="C495" s="33" t="s">
        <v>789</v>
      </c>
      <c r="D495" s="33" t="s">
        <v>2505</v>
      </c>
      <c r="E495" s="33" t="s">
        <v>2506</v>
      </c>
      <c r="F495" s="43">
        <v>46150.583333333336</v>
      </c>
      <c r="G495" s="33" t="s">
        <v>1912</v>
      </c>
      <c r="H495" s="33"/>
      <c r="I495" s="33" t="s">
        <v>73</v>
      </c>
      <c r="J495" s="33" t="s">
        <v>2507</v>
      </c>
      <c r="K495" s="33" t="s">
        <v>971</v>
      </c>
      <c r="L495" s="33" t="s">
        <v>2508</v>
      </c>
      <c r="M495" s="43">
        <v>46153.56046296296</v>
      </c>
      <c r="N495" s="33" t="s">
        <v>1608</v>
      </c>
      <c r="O495" s="33" t="s">
        <v>797</v>
      </c>
      <c r="P495" s="33" t="s">
        <v>1918</v>
      </c>
      <c r="Q495" s="43">
        <v>46150.605555555558</v>
      </c>
      <c r="R495" s="43">
        <v>46153.136805555558</v>
      </c>
      <c r="S495" s="44">
        <v>2.53125</v>
      </c>
      <c r="T495" s="33" t="s">
        <v>2509</v>
      </c>
      <c r="U495" s="43">
        <v>46153.293749999997</v>
      </c>
      <c r="V495" s="58">
        <v>0.2673611111111111</v>
      </c>
      <c r="W495" s="33" t="s">
        <v>2509</v>
      </c>
      <c r="X495" s="43">
        <v>46153.293749999997</v>
      </c>
      <c r="Y495" s="58">
        <v>0.2673611111111111</v>
      </c>
      <c r="Z495" s="33" t="s">
        <v>2509</v>
      </c>
      <c r="AA495" s="43">
        <v>46153.25</v>
      </c>
      <c r="AB495" s="33" t="s">
        <v>81</v>
      </c>
      <c r="AC495" s="33" t="s">
        <v>2510</v>
      </c>
      <c r="AD495" s="44">
        <v>2.9576388888888889</v>
      </c>
      <c r="AE495" s="58">
        <v>0.41458333333333336</v>
      </c>
      <c r="AF495" s="44">
        <v>2.9576388888888889</v>
      </c>
      <c r="AG495" s="33" t="s">
        <v>2511</v>
      </c>
      <c r="AH495" s="33">
        <v>3</v>
      </c>
      <c r="AI495" s="43">
        <v>46153.294444444444</v>
      </c>
      <c r="AJ495" s="33" t="s">
        <v>73</v>
      </c>
      <c r="AK495" s="42">
        <v>908420.17</v>
      </c>
      <c r="AL495" s="33" t="s">
        <v>2512</v>
      </c>
    </row>
    <row r="496" spans="1:38">
      <c r="A496" s="33">
        <v>6006052</v>
      </c>
      <c r="B496" s="33"/>
      <c r="C496" s="33" t="s">
        <v>789</v>
      </c>
      <c r="D496" s="33" t="s">
        <v>2513</v>
      </c>
      <c r="E496" s="33" t="s">
        <v>2514</v>
      </c>
      <c r="F496" s="43">
        <v>46150.625</v>
      </c>
      <c r="G496" s="33" t="s">
        <v>792</v>
      </c>
      <c r="H496" s="33"/>
      <c r="I496" s="33" t="s">
        <v>793</v>
      </c>
      <c r="J496" s="33" t="s">
        <v>2086</v>
      </c>
      <c r="K496" s="33" t="s">
        <v>75</v>
      </c>
      <c r="L496" s="33" t="s">
        <v>1035</v>
      </c>
      <c r="M496" s="43">
        <v>46150.800104166665</v>
      </c>
      <c r="N496" s="33" t="s">
        <v>2515</v>
      </c>
      <c r="O496" s="33" t="s">
        <v>797</v>
      </c>
      <c r="P496" s="33" t="s">
        <v>1963</v>
      </c>
      <c r="Q496" s="43">
        <v>46150.611111111109</v>
      </c>
      <c r="R496" s="43">
        <v>46150.643055555556</v>
      </c>
      <c r="S496" s="58">
        <v>3.1944444444444442E-2</v>
      </c>
      <c r="T496" s="33" t="s">
        <v>140</v>
      </c>
      <c r="U496" s="43">
        <v>46150.787499999999</v>
      </c>
      <c r="V496" s="58">
        <v>6.9444444444444447E-4</v>
      </c>
      <c r="W496" s="33"/>
      <c r="X496" s="33"/>
      <c r="Y496" s="33"/>
      <c r="Z496" s="33" t="s">
        <v>140</v>
      </c>
      <c r="AA496" s="43">
        <v>46150.875</v>
      </c>
      <c r="AB496" s="33" t="s">
        <v>81</v>
      </c>
      <c r="AC496" s="33" t="s">
        <v>2331</v>
      </c>
      <c r="AD496" s="58">
        <v>0.19513888888888889</v>
      </c>
      <c r="AE496" s="33"/>
      <c r="AF496" s="58">
        <v>0.19513888888888889</v>
      </c>
      <c r="AG496" s="33" t="s">
        <v>2516</v>
      </c>
      <c r="AH496" s="33">
        <v>2</v>
      </c>
      <c r="AI496" s="43">
        <v>46150.787499999999</v>
      </c>
      <c r="AJ496" s="33" t="s">
        <v>793</v>
      </c>
      <c r="AK496" s="42">
        <v>708172.2</v>
      </c>
      <c r="AL496" s="33" t="s">
        <v>1390</v>
      </c>
    </row>
    <row r="497" spans="1:38">
      <c r="A497" s="33">
        <v>6002514</v>
      </c>
      <c r="B497" s="33"/>
      <c r="C497" s="33" t="s">
        <v>789</v>
      </c>
      <c r="D497" s="33" t="s">
        <v>1338</v>
      </c>
      <c r="E497" s="33" t="s">
        <v>2517</v>
      </c>
      <c r="F497" s="43">
        <v>46150.625</v>
      </c>
      <c r="G497" s="33" t="s">
        <v>792</v>
      </c>
      <c r="H497" s="33"/>
      <c r="I497" s="33" t="s">
        <v>793</v>
      </c>
      <c r="J497" s="33" t="s">
        <v>2049</v>
      </c>
      <c r="K497" s="33" t="s">
        <v>453</v>
      </c>
      <c r="L497" s="33" t="s">
        <v>1340</v>
      </c>
      <c r="M497" s="43">
        <v>46150.766400462962</v>
      </c>
      <c r="N497" s="33" t="s">
        <v>796</v>
      </c>
      <c r="O497" s="33" t="s">
        <v>797</v>
      </c>
      <c r="P497" s="33" t="s">
        <v>1963</v>
      </c>
      <c r="Q497" s="43">
        <v>46150.622916666667</v>
      </c>
      <c r="R497" s="43">
        <v>46150.636805555558</v>
      </c>
      <c r="S497" s="58">
        <v>1.3888888888888888E-2</v>
      </c>
      <c r="T497" s="33" t="s">
        <v>799</v>
      </c>
      <c r="U497" s="43">
        <v>46150.755555555559</v>
      </c>
      <c r="V497" s="58">
        <v>1.1111111111111112E-2</v>
      </c>
      <c r="W497" s="33" t="s">
        <v>799</v>
      </c>
      <c r="X497" s="43">
        <v>46150.755555555559</v>
      </c>
      <c r="Y497" s="58">
        <v>1.1111111111111112E-2</v>
      </c>
      <c r="Z497" s="33" t="s">
        <v>799</v>
      </c>
      <c r="AA497" s="43">
        <v>46150.958333333336</v>
      </c>
      <c r="AB497" s="33" t="s">
        <v>81</v>
      </c>
      <c r="AC497" s="33" t="s">
        <v>2076</v>
      </c>
      <c r="AD497" s="58">
        <v>0.1451388888888889</v>
      </c>
      <c r="AE497" s="58">
        <v>0.12916666666666668</v>
      </c>
      <c r="AF497" s="58">
        <v>0.1451388888888889</v>
      </c>
      <c r="AG497" s="33" t="s">
        <v>1341</v>
      </c>
      <c r="AH497" s="33">
        <v>2</v>
      </c>
      <c r="AI497" s="43">
        <v>46150.755555555559</v>
      </c>
      <c r="AJ497" s="33" t="s">
        <v>793</v>
      </c>
      <c r="AK497" s="42">
        <v>848873.48</v>
      </c>
      <c r="AL497" s="33" t="s">
        <v>1342</v>
      </c>
    </row>
    <row r="498" spans="1:38">
      <c r="A498" s="33">
        <v>5980316</v>
      </c>
      <c r="B498" s="33"/>
      <c r="C498" s="33" t="s">
        <v>789</v>
      </c>
      <c r="D498" s="33" t="s">
        <v>1032</v>
      </c>
      <c r="E498" s="33" t="s">
        <v>2518</v>
      </c>
      <c r="F498" s="43">
        <v>46150.666666666664</v>
      </c>
      <c r="G498" s="33" t="s">
        <v>792</v>
      </c>
      <c r="H498" s="33"/>
      <c r="I498" s="33" t="s">
        <v>793</v>
      </c>
      <c r="J498" s="33" t="s">
        <v>1312</v>
      </c>
      <c r="K498" s="33" t="s">
        <v>1118</v>
      </c>
      <c r="L498" s="33" t="s">
        <v>2519</v>
      </c>
      <c r="M498" s="43">
        <v>46150.758680555555</v>
      </c>
      <c r="N498" s="33" t="s">
        <v>1036</v>
      </c>
      <c r="O498" s="33" t="s">
        <v>797</v>
      </c>
      <c r="P498" s="33" t="s">
        <v>799</v>
      </c>
      <c r="Q498" s="43">
        <v>46150.629861111112</v>
      </c>
      <c r="R498" s="43">
        <v>46150.668749999997</v>
      </c>
      <c r="S498" s="58">
        <v>3.888888888888889E-2</v>
      </c>
      <c r="T498" s="33" t="s">
        <v>140</v>
      </c>
      <c r="U498" s="43">
        <v>46150.694444444445</v>
      </c>
      <c r="V498" s="58">
        <v>4.1666666666666664E-2</v>
      </c>
      <c r="W498" s="33"/>
      <c r="X498" s="33"/>
      <c r="Y498" s="33"/>
      <c r="Z498" s="33" t="s">
        <v>140</v>
      </c>
      <c r="AA498" s="43">
        <v>46151.708333333336</v>
      </c>
      <c r="AB498" s="33" t="s">
        <v>2520</v>
      </c>
      <c r="AC498" s="33" t="s">
        <v>1314</v>
      </c>
      <c r="AD498" s="58">
        <v>0.13263888888888889</v>
      </c>
      <c r="AE498" s="33"/>
      <c r="AF498" s="58">
        <v>0.13263888888888889</v>
      </c>
      <c r="AG498" s="33" t="s">
        <v>1161</v>
      </c>
      <c r="AH498" s="33">
        <v>2</v>
      </c>
      <c r="AI498" s="43">
        <v>46150.694444444445</v>
      </c>
      <c r="AJ498" s="33" t="s">
        <v>793</v>
      </c>
      <c r="AK498" s="42">
        <v>612494.68000000005</v>
      </c>
      <c r="AL498" s="33" t="s">
        <v>1039</v>
      </c>
    </row>
    <row r="499" spans="1:38">
      <c r="A499" s="33">
        <v>6006167</v>
      </c>
      <c r="B499" s="33"/>
      <c r="C499" s="33" t="s">
        <v>789</v>
      </c>
      <c r="D499" s="33" t="s">
        <v>1103</v>
      </c>
      <c r="E499" s="33" t="s">
        <v>2521</v>
      </c>
      <c r="F499" s="43">
        <v>46150.666666666664</v>
      </c>
      <c r="G499" s="33" t="s">
        <v>792</v>
      </c>
      <c r="H499" s="33"/>
      <c r="I499" s="33" t="s">
        <v>793</v>
      </c>
      <c r="J499" s="33" t="s">
        <v>1392</v>
      </c>
      <c r="K499" s="33" t="s">
        <v>75</v>
      </c>
      <c r="L499" s="33" t="s">
        <v>812</v>
      </c>
      <c r="M499" s="43">
        <v>46150.813125000001</v>
      </c>
      <c r="N499" s="33" t="s">
        <v>1106</v>
      </c>
      <c r="O499" s="33" t="s">
        <v>797</v>
      </c>
      <c r="P499" s="33" t="s">
        <v>1963</v>
      </c>
      <c r="Q499" s="33"/>
      <c r="R499" s="33"/>
      <c r="S499" s="33"/>
      <c r="T499" s="33" t="s">
        <v>799</v>
      </c>
      <c r="U499" s="43">
        <v>46150.679166666669</v>
      </c>
      <c r="V499" s="58">
        <v>0.13333333333333333</v>
      </c>
      <c r="W499" s="33" t="s">
        <v>799</v>
      </c>
      <c r="X499" s="43">
        <v>46150.679166666669</v>
      </c>
      <c r="Y499" s="58">
        <v>0.13333333333333333</v>
      </c>
      <c r="Z499" s="33" t="s">
        <v>799</v>
      </c>
      <c r="AA499" s="43">
        <v>46151.958333333336</v>
      </c>
      <c r="AB499" s="33" t="s">
        <v>81</v>
      </c>
      <c r="AC499" s="33" t="s">
        <v>1395</v>
      </c>
      <c r="AD499" s="58">
        <v>0.1763888888888889</v>
      </c>
      <c r="AE499" s="33"/>
      <c r="AF499" s="58">
        <v>0.1763888888888889</v>
      </c>
      <c r="AG499" s="33" t="s">
        <v>1107</v>
      </c>
      <c r="AH499" s="33">
        <v>1</v>
      </c>
      <c r="AI499" s="43">
        <v>46150.679166666669</v>
      </c>
      <c r="AJ499" s="33" t="s">
        <v>793</v>
      </c>
      <c r="AK499" s="42">
        <v>734876.8</v>
      </c>
      <c r="AL499" s="33" t="s">
        <v>1108</v>
      </c>
    </row>
    <row r="500" spans="1:38">
      <c r="A500" s="33">
        <v>6006797</v>
      </c>
      <c r="B500" s="33"/>
      <c r="C500" s="33" t="s">
        <v>789</v>
      </c>
      <c r="D500" s="33" t="s">
        <v>849</v>
      </c>
      <c r="E500" s="33" t="s">
        <v>2522</v>
      </c>
      <c r="F500" s="43">
        <v>46150.638888888891</v>
      </c>
      <c r="G500" s="33" t="s">
        <v>792</v>
      </c>
      <c r="H500" s="33"/>
      <c r="I500" s="33" t="s">
        <v>793</v>
      </c>
      <c r="J500" s="33" t="s">
        <v>2049</v>
      </c>
      <c r="K500" s="33" t="s">
        <v>75</v>
      </c>
      <c r="L500" s="33" t="s">
        <v>2523</v>
      </c>
      <c r="M500" s="43">
        <v>46150.810983796298</v>
      </c>
      <c r="N500" s="33" t="s">
        <v>852</v>
      </c>
      <c r="O500" s="33" t="s">
        <v>797</v>
      </c>
      <c r="P500" s="33" t="s">
        <v>1963</v>
      </c>
      <c r="Q500" s="43">
        <v>46150.640277777777</v>
      </c>
      <c r="R500" s="43">
        <v>46150.64166666667</v>
      </c>
      <c r="S500" s="58">
        <v>1.3888888888888889E-3</v>
      </c>
      <c r="T500" s="33" t="s">
        <v>799</v>
      </c>
      <c r="U500" s="43">
        <v>46150.773611111108</v>
      </c>
      <c r="V500" s="58">
        <v>3.888888888888889E-2</v>
      </c>
      <c r="W500" s="33" t="s">
        <v>799</v>
      </c>
      <c r="X500" s="43">
        <v>46150.773611111108</v>
      </c>
      <c r="Y500" s="58">
        <v>3.888888888888889E-2</v>
      </c>
      <c r="Z500" s="33" t="s">
        <v>799</v>
      </c>
      <c r="AA500" s="43">
        <v>46151.958333333336</v>
      </c>
      <c r="AB500" s="33" t="s">
        <v>81</v>
      </c>
      <c r="AC500" s="33" t="s">
        <v>2076</v>
      </c>
      <c r="AD500" s="58">
        <v>0.17499999999999999</v>
      </c>
      <c r="AE500" s="58">
        <v>0.17083333333333334</v>
      </c>
      <c r="AF500" s="58">
        <v>0.17499999999999999</v>
      </c>
      <c r="AG500" s="33" t="s">
        <v>853</v>
      </c>
      <c r="AH500" s="33">
        <v>2</v>
      </c>
      <c r="AI500" s="43">
        <v>46150.773611111108</v>
      </c>
      <c r="AJ500" s="33" t="s">
        <v>793</v>
      </c>
      <c r="AK500" s="42">
        <v>572811.36</v>
      </c>
      <c r="AL500" s="33" t="s">
        <v>1209</v>
      </c>
    </row>
    <row r="501" spans="1:38">
      <c r="A501" s="33">
        <v>6006797</v>
      </c>
      <c r="B501" s="33"/>
      <c r="C501" s="33" t="s">
        <v>789</v>
      </c>
      <c r="D501" s="33" t="s">
        <v>849</v>
      </c>
      <c r="E501" s="33" t="s">
        <v>2524</v>
      </c>
      <c r="F501" s="43">
        <v>46150.645833333336</v>
      </c>
      <c r="G501" s="33" t="s">
        <v>792</v>
      </c>
      <c r="H501" s="33"/>
      <c r="I501" s="33" t="s">
        <v>793</v>
      </c>
      <c r="J501" s="33" t="s">
        <v>1392</v>
      </c>
      <c r="K501" s="33" t="s">
        <v>2525</v>
      </c>
      <c r="L501" s="33" t="s">
        <v>2526</v>
      </c>
      <c r="M501" s="43">
        <v>46150.8280787037</v>
      </c>
      <c r="N501" s="33" t="s">
        <v>852</v>
      </c>
      <c r="O501" s="33" t="s">
        <v>797</v>
      </c>
      <c r="P501" s="33" t="s">
        <v>1963</v>
      </c>
      <c r="Q501" s="33"/>
      <c r="R501" s="33"/>
      <c r="S501" s="33"/>
      <c r="T501" s="33" t="s">
        <v>799</v>
      </c>
      <c r="U501" s="43">
        <v>46150.814583333333</v>
      </c>
      <c r="V501" s="58">
        <v>1.1111111111111112E-2</v>
      </c>
      <c r="W501" s="33" t="s">
        <v>799</v>
      </c>
      <c r="X501" s="43">
        <v>46150.814583333333</v>
      </c>
      <c r="Y501" s="58">
        <v>1.1111111111111112E-2</v>
      </c>
      <c r="Z501" s="33" t="s">
        <v>799</v>
      </c>
      <c r="AA501" s="43">
        <v>46151.958333333336</v>
      </c>
      <c r="AB501" s="33" t="s">
        <v>81</v>
      </c>
      <c r="AC501" s="33" t="s">
        <v>1395</v>
      </c>
      <c r="AD501" s="58">
        <v>1.1111111111111112E-2</v>
      </c>
      <c r="AE501" s="33"/>
      <c r="AF501" s="58">
        <v>1.1111111111111112E-2</v>
      </c>
      <c r="AG501" s="33" t="s">
        <v>853</v>
      </c>
      <c r="AH501" s="33">
        <v>1</v>
      </c>
      <c r="AI501" s="43">
        <v>46150.814583333333</v>
      </c>
      <c r="AJ501" s="33" t="s">
        <v>793</v>
      </c>
      <c r="AK501" s="42">
        <v>572811.36</v>
      </c>
      <c r="AL501" s="33" t="s">
        <v>1209</v>
      </c>
    </row>
    <row r="502" spans="1:38">
      <c r="A502" s="33" t="s">
        <v>2527</v>
      </c>
      <c r="B502" s="33"/>
      <c r="C502" s="33" t="s">
        <v>789</v>
      </c>
      <c r="D502" s="33" t="s">
        <v>2528</v>
      </c>
      <c r="E502" s="33" t="s">
        <v>2529</v>
      </c>
      <c r="F502" s="43">
        <v>46150.666666666664</v>
      </c>
      <c r="G502" s="33" t="s">
        <v>171</v>
      </c>
      <c r="H502" s="33"/>
      <c r="I502" s="33" t="s">
        <v>793</v>
      </c>
      <c r="J502" s="33" t="s">
        <v>958</v>
      </c>
      <c r="K502" s="33" t="s">
        <v>75</v>
      </c>
      <c r="L502" s="33" t="s">
        <v>1035</v>
      </c>
      <c r="M502" s="43">
        <v>46150.803715277776</v>
      </c>
      <c r="N502" s="33" t="s">
        <v>174</v>
      </c>
      <c r="O502" s="33" t="s">
        <v>797</v>
      </c>
      <c r="P502" s="33" t="s">
        <v>861</v>
      </c>
      <c r="Q502" s="33"/>
      <c r="R502" s="33"/>
      <c r="S502" s="33"/>
      <c r="T502" s="33" t="s">
        <v>308</v>
      </c>
      <c r="U502" s="43">
        <v>46150.786111111112</v>
      </c>
      <c r="V502" s="58">
        <v>1.7361111111111112E-2</v>
      </c>
      <c r="W502" s="33" t="s">
        <v>308</v>
      </c>
      <c r="X502" s="43">
        <v>46150.786111111112</v>
      </c>
      <c r="Y502" s="58">
        <v>1.7361111111111112E-2</v>
      </c>
      <c r="Z502" s="33" t="s">
        <v>308</v>
      </c>
      <c r="AA502" s="43">
        <v>46159</v>
      </c>
      <c r="AB502" s="33" t="s">
        <v>81</v>
      </c>
      <c r="AC502" s="33" t="s">
        <v>1404</v>
      </c>
      <c r="AD502" s="58">
        <v>0.15208333333333332</v>
      </c>
      <c r="AE502" s="33"/>
      <c r="AF502" s="58">
        <v>0.15208333333333332</v>
      </c>
      <c r="AG502" s="33" t="s">
        <v>2530</v>
      </c>
      <c r="AH502" s="33">
        <v>1</v>
      </c>
      <c r="AI502" s="43">
        <v>46150.786111111112</v>
      </c>
      <c r="AJ502" s="33" t="s">
        <v>793</v>
      </c>
      <c r="AK502" s="42">
        <v>1366192.24</v>
      </c>
      <c r="AL502" s="33" t="s">
        <v>2531</v>
      </c>
    </row>
    <row r="503" spans="1:38">
      <c r="A503" s="33" t="s">
        <v>2532</v>
      </c>
      <c r="B503" s="33"/>
      <c r="C503" s="33" t="s">
        <v>789</v>
      </c>
      <c r="D503" s="33" t="s">
        <v>2533</v>
      </c>
      <c r="E503" s="33" t="s">
        <v>2534</v>
      </c>
      <c r="F503" s="43">
        <v>46150.654861111114</v>
      </c>
      <c r="G503" s="33" t="s">
        <v>216</v>
      </c>
      <c r="H503" s="33"/>
      <c r="I503" s="33" t="s">
        <v>73</v>
      </c>
      <c r="J503" s="33" t="s">
        <v>346</v>
      </c>
      <c r="K503" s="33" t="s">
        <v>1561</v>
      </c>
      <c r="L503" s="33" t="s">
        <v>2535</v>
      </c>
      <c r="M503" s="43">
        <v>46153.385069444441</v>
      </c>
      <c r="N503" s="33" t="s">
        <v>493</v>
      </c>
      <c r="O503" s="33" t="s">
        <v>797</v>
      </c>
      <c r="P503" s="33" t="s">
        <v>140</v>
      </c>
      <c r="Q503" s="33"/>
      <c r="R503" s="33"/>
      <c r="S503" s="33"/>
      <c r="T503" s="33" t="s">
        <v>350</v>
      </c>
      <c r="U503" s="33"/>
      <c r="V503" s="33"/>
      <c r="W503" s="33"/>
      <c r="X503" s="33"/>
      <c r="Y503" s="33"/>
      <c r="Z503" s="33" t="s">
        <v>350</v>
      </c>
      <c r="AA503" s="43">
        <v>46153.333333333336</v>
      </c>
      <c r="AB503" s="33" t="s">
        <v>2536</v>
      </c>
      <c r="AC503" s="33" t="s">
        <v>352</v>
      </c>
      <c r="AD503" s="44">
        <v>2.7256944444444446</v>
      </c>
      <c r="AE503" s="33"/>
      <c r="AF503" s="44">
        <v>2.7256944444444446</v>
      </c>
      <c r="AG503" s="33"/>
      <c r="AH503" s="33">
        <v>1</v>
      </c>
      <c r="AI503" s="43">
        <v>46153.386805555558</v>
      </c>
      <c r="AJ503" s="33" t="s">
        <v>73</v>
      </c>
      <c r="AK503" s="42">
        <v>617376.63</v>
      </c>
      <c r="AL503" s="33" t="s">
        <v>2537</v>
      </c>
    </row>
    <row r="504" spans="1:38">
      <c r="A504" s="33">
        <v>6013942</v>
      </c>
      <c r="B504" s="33"/>
      <c r="C504" s="33" t="s">
        <v>789</v>
      </c>
      <c r="D504" s="33" t="s">
        <v>1808</v>
      </c>
      <c r="E504" s="33" t="s">
        <v>2538</v>
      </c>
      <c r="F504" s="43">
        <v>46150.833333333336</v>
      </c>
      <c r="G504" s="33" t="s">
        <v>227</v>
      </c>
      <c r="H504" s="33"/>
      <c r="I504" s="33" t="s">
        <v>73</v>
      </c>
      <c r="J504" s="33" t="s">
        <v>2297</v>
      </c>
      <c r="K504" s="33" t="s">
        <v>75</v>
      </c>
      <c r="L504" s="33" t="s">
        <v>1949</v>
      </c>
      <c r="M504" s="43">
        <v>46151.264062499999</v>
      </c>
      <c r="N504" s="33" t="s">
        <v>1810</v>
      </c>
      <c r="O504" s="33" t="s">
        <v>797</v>
      </c>
      <c r="P504" s="33" t="s">
        <v>79</v>
      </c>
      <c r="Q504" s="43">
        <v>46150.670138888891</v>
      </c>
      <c r="R504" s="43">
        <v>46150.728472222225</v>
      </c>
      <c r="S504" s="58">
        <v>5.8333333333333334E-2</v>
      </c>
      <c r="T504" s="33" t="s">
        <v>2300</v>
      </c>
      <c r="U504" s="33"/>
      <c r="V504" s="33"/>
      <c r="W504" s="33"/>
      <c r="X504" s="33"/>
      <c r="Y504" s="33"/>
      <c r="Z504" s="33" t="s">
        <v>2300</v>
      </c>
      <c r="AA504" s="43">
        <v>46156.333333333336</v>
      </c>
      <c r="AB504" s="33" t="s">
        <v>81</v>
      </c>
      <c r="AC504" s="33" t="s">
        <v>81</v>
      </c>
      <c r="AD504" s="58">
        <v>0.59375</v>
      </c>
      <c r="AE504" s="33"/>
      <c r="AF504" s="58">
        <v>0.59375</v>
      </c>
      <c r="AG504" s="33" t="s">
        <v>2539</v>
      </c>
      <c r="AH504" s="33">
        <v>2</v>
      </c>
      <c r="AI504" s="43">
        <v>46151.279166666667</v>
      </c>
      <c r="AJ504" s="33" t="s">
        <v>73</v>
      </c>
      <c r="AK504" s="42">
        <v>447121.21</v>
      </c>
      <c r="AL504" s="33" t="s">
        <v>1812</v>
      </c>
    </row>
    <row r="505" spans="1:38">
      <c r="A505" s="33" t="s">
        <v>2540</v>
      </c>
      <c r="B505" s="33"/>
      <c r="C505" s="33" t="s">
        <v>789</v>
      </c>
      <c r="D505" s="33" t="s">
        <v>1967</v>
      </c>
      <c r="E505" s="33" t="s">
        <v>2541</v>
      </c>
      <c r="F505" s="43">
        <v>46150.708333333336</v>
      </c>
      <c r="G505" s="33" t="s">
        <v>792</v>
      </c>
      <c r="H505" s="33"/>
      <c r="I505" s="33" t="s">
        <v>793</v>
      </c>
      <c r="J505" s="33" t="s">
        <v>2049</v>
      </c>
      <c r="K505" s="33" t="s">
        <v>75</v>
      </c>
      <c r="L505" s="33" t="s">
        <v>2047</v>
      </c>
      <c r="M505" s="43">
        <v>46150.836516203701</v>
      </c>
      <c r="N505" s="33" t="s">
        <v>1969</v>
      </c>
      <c r="O505" s="33" t="s">
        <v>797</v>
      </c>
      <c r="P505" s="33" t="s">
        <v>1963</v>
      </c>
      <c r="Q505" s="33"/>
      <c r="R505" s="33"/>
      <c r="S505" s="33"/>
      <c r="T505" s="33" t="s">
        <v>799</v>
      </c>
      <c r="U505" s="43">
        <v>46150.826388888891</v>
      </c>
      <c r="V505" s="58">
        <v>9.7222222222222224E-3</v>
      </c>
      <c r="W505" s="33" t="s">
        <v>799</v>
      </c>
      <c r="X505" s="43">
        <v>46150.826388888891</v>
      </c>
      <c r="Y505" s="58">
        <v>9.7222222222222224E-3</v>
      </c>
      <c r="Z505" s="33" t="s">
        <v>799</v>
      </c>
      <c r="AA505" s="43">
        <v>46151.958333333336</v>
      </c>
      <c r="AB505" s="33" t="s">
        <v>81</v>
      </c>
      <c r="AC505" s="33" t="s">
        <v>2076</v>
      </c>
      <c r="AD505" s="58">
        <v>0.12916666666666668</v>
      </c>
      <c r="AE505" s="33"/>
      <c r="AF505" s="58">
        <v>0.12916666666666668</v>
      </c>
      <c r="AG505" s="33" t="s">
        <v>1970</v>
      </c>
      <c r="AH505" s="33">
        <v>1</v>
      </c>
      <c r="AI505" s="43">
        <v>46150.826388888891</v>
      </c>
      <c r="AJ505" s="33" t="s">
        <v>793</v>
      </c>
      <c r="AK505" s="42">
        <v>2367941.2200000002</v>
      </c>
      <c r="AL505" s="33" t="s">
        <v>1971</v>
      </c>
    </row>
    <row r="506" spans="1:38">
      <c r="A506" s="33">
        <v>6003422</v>
      </c>
      <c r="B506" s="33"/>
      <c r="C506" s="33" t="s">
        <v>789</v>
      </c>
      <c r="D506" s="33" t="s">
        <v>1901</v>
      </c>
      <c r="E506" s="33" t="s">
        <v>2542</v>
      </c>
      <c r="F506" s="43">
        <v>46150.666666666664</v>
      </c>
      <c r="G506" s="33" t="s">
        <v>792</v>
      </c>
      <c r="H506" s="33"/>
      <c r="I506" s="33" t="s">
        <v>793</v>
      </c>
      <c r="J506" s="33" t="s">
        <v>2261</v>
      </c>
      <c r="K506" s="33" t="s">
        <v>75</v>
      </c>
      <c r="L506" s="33" t="s">
        <v>1283</v>
      </c>
      <c r="M506" s="43">
        <v>46150.902129629627</v>
      </c>
      <c r="N506" s="33" t="s">
        <v>796</v>
      </c>
      <c r="O506" s="33" t="s">
        <v>797</v>
      </c>
      <c r="P506" s="33" t="s">
        <v>1963</v>
      </c>
      <c r="Q506" s="43">
        <v>46150.705555555556</v>
      </c>
      <c r="R506" s="43">
        <v>46150.750694444447</v>
      </c>
      <c r="S506" s="58">
        <v>4.5138888888888888E-2</v>
      </c>
      <c r="T506" s="33" t="s">
        <v>799</v>
      </c>
      <c r="U506" s="43">
        <v>46150.890277777777</v>
      </c>
      <c r="V506" s="58">
        <v>1.1111111111111112E-2</v>
      </c>
      <c r="W506" s="33"/>
      <c r="X506" s="33"/>
      <c r="Y506" s="33"/>
      <c r="Z506" s="33" t="s">
        <v>799</v>
      </c>
      <c r="AA506" s="43">
        <v>46151.958333333336</v>
      </c>
      <c r="AB506" s="33" t="s">
        <v>81</v>
      </c>
      <c r="AC506" s="33" t="s">
        <v>81</v>
      </c>
      <c r="AD506" s="58">
        <v>0.21527777777777779</v>
      </c>
      <c r="AE506" s="33"/>
      <c r="AF506" s="58">
        <v>0.21249999999999999</v>
      </c>
      <c r="AG506" s="33" t="s">
        <v>1906</v>
      </c>
      <c r="AH506" s="33">
        <v>2</v>
      </c>
      <c r="AI506" s="43">
        <v>46150.890277777777</v>
      </c>
      <c r="AJ506" s="33" t="s">
        <v>793</v>
      </c>
      <c r="AK506" s="42">
        <v>806007.41</v>
      </c>
      <c r="AL506" s="33" t="s">
        <v>1907</v>
      </c>
    </row>
    <row r="507" spans="1:38">
      <c r="A507" s="33">
        <v>6002360</v>
      </c>
      <c r="B507" s="33"/>
      <c r="C507" s="33" t="s">
        <v>789</v>
      </c>
      <c r="D507" s="33" t="s">
        <v>1994</v>
      </c>
      <c r="E507" s="33" t="s">
        <v>2543</v>
      </c>
      <c r="F507" s="43">
        <v>46150.708333333336</v>
      </c>
      <c r="G507" s="33" t="s">
        <v>792</v>
      </c>
      <c r="H507" s="33"/>
      <c r="I507" s="33" t="s">
        <v>793</v>
      </c>
      <c r="J507" s="33" t="s">
        <v>2049</v>
      </c>
      <c r="K507" s="33" t="s">
        <v>75</v>
      </c>
      <c r="L507" s="33" t="s">
        <v>806</v>
      </c>
      <c r="M507" s="43">
        <v>46150.882650462961</v>
      </c>
      <c r="N507" s="33" t="s">
        <v>1996</v>
      </c>
      <c r="O507" s="33" t="s">
        <v>797</v>
      </c>
      <c r="P507" s="33" t="s">
        <v>1963</v>
      </c>
      <c r="Q507" s="43">
        <v>46150.706250000003</v>
      </c>
      <c r="R507" s="43">
        <v>46150.740277777775</v>
      </c>
      <c r="S507" s="58">
        <v>3.4027777777777775E-2</v>
      </c>
      <c r="T507" s="33" t="s">
        <v>799</v>
      </c>
      <c r="U507" s="43">
        <v>46150.876388888886</v>
      </c>
      <c r="V507" s="58">
        <v>6.2500000000000003E-3</v>
      </c>
      <c r="W507" s="33" t="s">
        <v>799</v>
      </c>
      <c r="X507" s="43">
        <v>46150.876388888886</v>
      </c>
      <c r="Y507" s="58">
        <v>6.2500000000000003E-3</v>
      </c>
      <c r="Z507" s="33" t="s">
        <v>799</v>
      </c>
      <c r="AA507" s="43">
        <v>46151.958333333336</v>
      </c>
      <c r="AB507" s="33" t="s">
        <v>81</v>
      </c>
      <c r="AC507" s="33" t="s">
        <v>2076</v>
      </c>
      <c r="AD507" s="58">
        <v>0.19583333333333333</v>
      </c>
      <c r="AE507" s="58">
        <v>0.1423611111111111</v>
      </c>
      <c r="AF507" s="58">
        <v>0.19583333333333333</v>
      </c>
      <c r="AG507" s="33" t="s">
        <v>1998</v>
      </c>
      <c r="AH507" s="33">
        <v>2</v>
      </c>
      <c r="AI507" s="43">
        <v>46150.876388888886</v>
      </c>
      <c r="AJ507" s="33" t="s">
        <v>793</v>
      </c>
      <c r="AK507" s="42">
        <v>572811.36</v>
      </c>
      <c r="AL507" s="33" t="s">
        <v>1999</v>
      </c>
    </row>
    <row r="508" spans="1:38">
      <c r="A508" s="33">
        <v>6013222</v>
      </c>
      <c r="B508" s="33"/>
      <c r="C508" s="33" t="s">
        <v>789</v>
      </c>
      <c r="D508" s="33" t="s">
        <v>2057</v>
      </c>
      <c r="E508" s="33" t="s">
        <v>2544</v>
      </c>
      <c r="F508" s="43">
        <v>46150.708333333336</v>
      </c>
      <c r="G508" s="33" t="s">
        <v>227</v>
      </c>
      <c r="H508" s="33"/>
      <c r="I508" s="33" t="s">
        <v>73</v>
      </c>
      <c r="J508" s="33" t="s">
        <v>2545</v>
      </c>
      <c r="K508" s="33" t="s">
        <v>75</v>
      </c>
      <c r="L508" s="33" t="s">
        <v>1738</v>
      </c>
      <c r="M508" s="43">
        <v>46150.78628472222</v>
      </c>
      <c r="N508" s="33" t="s">
        <v>2061</v>
      </c>
      <c r="O508" s="33" t="s">
        <v>797</v>
      </c>
      <c r="P508" s="33" t="s">
        <v>140</v>
      </c>
      <c r="Q508" s="43">
        <v>46150.706250000003</v>
      </c>
      <c r="R508" s="43">
        <v>46150.724305555559</v>
      </c>
      <c r="S508" s="58">
        <v>1.8055555555555554E-2</v>
      </c>
      <c r="T508" s="33" t="s">
        <v>286</v>
      </c>
      <c r="U508" s="33"/>
      <c r="V508" s="33"/>
      <c r="W508" s="33" t="s">
        <v>1740</v>
      </c>
      <c r="X508" s="43">
        <v>46150.770833333336</v>
      </c>
      <c r="Y508" s="58">
        <v>1.3194444444444444E-2</v>
      </c>
      <c r="Z508" s="33" t="s">
        <v>286</v>
      </c>
      <c r="AA508" s="43">
        <v>46161.25</v>
      </c>
      <c r="AB508" s="33" t="s">
        <v>1805</v>
      </c>
      <c r="AC508" s="33" t="s">
        <v>2546</v>
      </c>
      <c r="AD508" s="58">
        <v>7.7777777777777779E-2</v>
      </c>
      <c r="AE508" s="33"/>
      <c r="AF508" s="58">
        <v>7.7777777777777779E-2</v>
      </c>
      <c r="AG508" s="33" t="s">
        <v>1192</v>
      </c>
      <c r="AH508" s="33">
        <v>2</v>
      </c>
      <c r="AI508" s="43">
        <v>46151.113194444442</v>
      </c>
      <c r="AJ508" s="33" t="s">
        <v>73</v>
      </c>
      <c r="AK508" s="42">
        <v>764568.01</v>
      </c>
      <c r="AL508" s="33" t="s">
        <v>2063</v>
      </c>
    </row>
    <row r="509" spans="1:38">
      <c r="A509" s="33">
        <v>6010792</v>
      </c>
      <c r="B509" s="33"/>
      <c r="C509" s="33" t="s">
        <v>789</v>
      </c>
      <c r="D509" s="33" t="s">
        <v>2547</v>
      </c>
      <c r="E509" s="33" t="s">
        <v>2548</v>
      </c>
      <c r="F509" s="43">
        <v>46150.75</v>
      </c>
      <c r="G509" s="33" t="s">
        <v>72</v>
      </c>
      <c r="H509" s="33"/>
      <c r="I509" s="33" t="s">
        <v>73</v>
      </c>
      <c r="J509" s="33" t="s">
        <v>714</v>
      </c>
      <c r="K509" s="33" t="s">
        <v>75</v>
      </c>
      <c r="L509" s="33" t="s">
        <v>1361</v>
      </c>
      <c r="M509" s="43">
        <v>46153.441168981481</v>
      </c>
      <c r="N509" s="33" t="s">
        <v>2549</v>
      </c>
      <c r="O509" s="33" t="s">
        <v>797</v>
      </c>
      <c r="P509" s="33" t="s">
        <v>79</v>
      </c>
      <c r="Q509" s="43">
        <v>46150.745138888888</v>
      </c>
      <c r="R509" s="43">
        <v>46150.786805555559</v>
      </c>
      <c r="S509" s="58">
        <v>4.1666666666666664E-2</v>
      </c>
      <c r="T509" s="33" t="s">
        <v>717</v>
      </c>
      <c r="U509" s="43">
        <v>46152.652777777781</v>
      </c>
      <c r="V509" s="58">
        <v>0.78125</v>
      </c>
      <c r="W509" s="33"/>
      <c r="X509" s="33"/>
      <c r="Y509" s="33"/>
      <c r="Z509" s="33" t="s">
        <v>717</v>
      </c>
      <c r="AA509" s="43">
        <v>46153.25</v>
      </c>
      <c r="AB509" s="33" t="s">
        <v>81</v>
      </c>
      <c r="AC509" s="33" t="s">
        <v>719</v>
      </c>
      <c r="AD509" s="44">
        <v>2.6833333333333331</v>
      </c>
      <c r="AE509" s="33"/>
      <c r="AF509" s="44">
        <v>2.6833333333333331</v>
      </c>
      <c r="AG509" s="33" t="s">
        <v>2550</v>
      </c>
      <c r="AH509" s="33">
        <v>2</v>
      </c>
      <c r="AI509" s="43">
        <v>46152.652777777781</v>
      </c>
      <c r="AJ509" s="33" t="s">
        <v>73</v>
      </c>
      <c r="AK509" s="42">
        <v>273208.69</v>
      </c>
      <c r="AL509" s="33" t="s">
        <v>2551</v>
      </c>
    </row>
    <row r="510" spans="1:38">
      <c r="A510" s="33" t="s">
        <v>2552</v>
      </c>
      <c r="B510" s="33"/>
      <c r="C510" s="33" t="s">
        <v>789</v>
      </c>
      <c r="D510" s="33" t="s">
        <v>2553</v>
      </c>
      <c r="E510" s="33" t="s">
        <v>2554</v>
      </c>
      <c r="F510" s="43">
        <v>46150.958333333336</v>
      </c>
      <c r="G510" s="33" t="s">
        <v>836</v>
      </c>
      <c r="H510" s="33"/>
      <c r="I510" s="33" t="s">
        <v>73</v>
      </c>
      <c r="J510" s="33" t="s">
        <v>2555</v>
      </c>
      <c r="K510" s="33" t="s">
        <v>75</v>
      </c>
      <c r="L510" s="33" t="s">
        <v>2556</v>
      </c>
      <c r="M510" s="43">
        <v>46153.096342592595</v>
      </c>
      <c r="N510" s="33" t="s">
        <v>839</v>
      </c>
      <c r="O510" s="33" t="s">
        <v>797</v>
      </c>
      <c r="P510" s="33" t="s">
        <v>79</v>
      </c>
      <c r="Q510" s="43">
        <v>46150.813194444447</v>
      </c>
      <c r="R510" s="43">
        <v>46150.9</v>
      </c>
      <c r="S510" s="58">
        <v>8.6805555555555552E-2</v>
      </c>
      <c r="T510" s="33" t="s">
        <v>900</v>
      </c>
      <c r="U510" s="33"/>
      <c r="V510" s="33"/>
      <c r="W510" s="33"/>
      <c r="X510" s="33"/>
      <c r="Y510" s="33"/>
      <c r="Z510" s="33" t="s">
        <v>900</v>
      </c>
      <c r="AA510" s="43">
        <v>46156.375</v>
      </c>
      <c r="AB510" s="33" t="s">
        <v>81</v>
      </c>
      <c r="AC510" s="33" t="s">
        <v>81</v>
      </c>
      <c r="AD510" s="44">
        <v>2.3243055555555556</v>
      </c>
      <c r="AE510" s="33"/>
      <c r="AF510" s="44">
        <v>2.3243055555555556</v>
      </c>
      <c r="AG510" s="33" t="s">
        <v>2557</v>
      </c>
      <c r="AH510" s="33">
        <v>2</v>
      </c>
      <c r="AI510" s="43">
        <v>46153.092361111114</v>
      </c>
      <c r="AJ510" s="33" t="s">
        <v>73</v>
      </c>
      <c r="AK510" s="42">
        <v>189104.57</v>
      </c>
      <c r="AL510" s="33" t="s">
        <v>2558</v>
      </c>
    </row>
    <row r="511" spans="1:38">
      <c r="A511" s="33">
        <v>6006676</v>
      </c>
      <c r="B511" s="33"/>
      <c r="C511" s="33" t="s">
        <v>789</v>
      </c>
      <c r="D511" s="33" t="s">
        <v>809</v>
      </c>
      <c r="E511" s="33" t="s">
        <v>2559</v>
      </c>
      <c r="F511" s="43">
        <v>46150.833333333336</v>
      </c>
      <c r="G511" s="33" t="s">
        <v>792</v>
      </c>
      <c r="H511" s="33"/>
      <c r="I511" s="33" t="s">
        <v>793</v>
      </c>
      <c r="J511" s="33" t="s">
        <v>2049</v>
      </c>
      <c r="K511" s="33" t="s">
        <v>75</v>
      </c>
      <c r="L511" s="33" t="s">
        <v>998</v>
      </c>
      <c r="M511" s="43">
        <v>46151.011076388888</v>
      </c>
      <c r="N511" s="33" t="s">
        <v>813</v>
      </c>
      <c r="O511" s="33" t="s">
        <v>797</v>
      </c>
      <c r="P511" s="33" t="s">
        <v>1963</v>
      </c>
      <c r="Q511" s="43">
        <v>46150.830555555556</v>
      </c>
      <c r="R511" s="43">
        <v>46150.886805555558</v>
      </c>
      <c r="S511" s="58">
        <v>5.6250000000000001E-2</v>
      </c>
      <c r="T511" s="33" t="s">
        <v>799</v>
      </c>
      <c r="U511" s="43">
        <v>46151.004861111112</v>
      </c>
      <c r="V511" s="58">
        <v>6.9444444444444441E-3</v>
      </c>
      <c r="W511" s="33"/>
      <c r="X511" s="33"/>
      <c r="Y511" s="33"/>
      <c r="Z511" s="33" t="s">
        <v>799</v>
      </c>
      <c r="AA511" s="43">
        <v>46151.333333333336</v>
      </c>
      <c r="AB511" s="33" t="s">
        <v>81</v>
      </c>
      <c r="AC511" s="33" t="s">
        <v>2076</v>
      </c>
      <c r="AD511" s="58">
        <v>0.23541666666666666</v>
      </c>
      <c r="AE511" s="33"/>
      <c r="AF511" s="58">
        <v>0.23055555555555557</v>
      </c>
      <c r="AG511" s="33" t="s">
        <v>815</v>
      </c>
      <c r="AH511" s="33">
        <v>2</v>
      </c>
      <c r="AI511" s="43">
        <v>46151.004861111112</v>
      </c>
      <c r="AJ511" s="33" t="s">
        <v>793</v>
      </c>
      <c r="AK511" s="42">
        <v>604029.92000000004</v>
      </c>
      <c r="AL511" s="33" t="s">
        <v>816</v>
      </c>
    </row>
    <row r="512" spans="1:38">
      <c r="A512" s="33">
        <v>5984815</v>
      </c>
      <c r="B512" s="33"/>
      <c r="C512" s="33" t="s">
        <v>789</v>
      </c>
      <c r="D512" s="33" t="s">
        <v>1032</v>
      </c>
      <c r="E512" s="33" t="s">
        <v>2560</v>
      </c>
      <c r="F512" s="43">
        <v>46150.833333333336</v>
      </c>
      <c r="G512" s="33" t="s">
        <v>792</v>
      </c>
      <c r="H512" s="33"/>
      <c r="I512" s="33" t="s">
        <v>793</v>
      </c>
      <c r="J512" s="33" t="s">
        <v>1312</v>
      </c>
      <c r="K512" s="33" t="s">
        <v>1118</v>
      </c>
      <c r="L512" s="33" t="s">
        <v>1281</v>
      </c>
      <c r="M512" s="43">
        <v>46150.849305555559</v>
      </c>
      <c r="N512" s="33" t="s">
        <v>1036</v>
      </c>
      <c r="O512" s="33" t="s">
        <v>797</v>
      </c>
      <c r="P512" s="33" t="s">
        <v>799</v>
      </c>
      <c r="Q512" s="43">
        <v>46150.788194444445</v>
      </c>
      <c r="R512" s="43">
        <v>46150.813888888886</v>
      </c>
      <c r="S512" s="58">
        <v>2.5694444444444443E-2</v>
      </c>
      <c r="T512" s="33" t="s">
        <v>140</v>
      </c>
      <c r="U512" s="43">
        <v>46150.84097222222</v>
      </c>
      <c r="V512" s="58">
        <v>5.5555555555555558E-3</v>
      </c>
      <c r="W512" s="33" t="s">
        <v>140</v>
      </c>
      <c r="X512" s="43">
        <v>46150.84097222222</v>
      </c>
      <c r="Y512" s="58">
        <v>5.5555555555555558E-3</v>
      </c>
      <c r="Z512" s="33" t="s">
        <v>140</v>
      </c>
      <c r="AA512" s="43">
        <v>46150.875</v>
      </c>
      <c r="AB512" s="33" t="s">
        <v>81</v>
      </c>
      <c r="AC512" s="33" t="s">
        <v>1314</v>
      </c>
      <c r="AD512" s="58">
        <v>5.1388888888888887E-2</v>
      </c>
      <c r="AE512" s="58">
        <v>3.5416666666666666E-2</v>
      </c>
      <c r="AF512" s="58">
        <v>5.1388888888888887E-2</v>
      </c>
      <c r="AG512" s="33" t="s">
        <v>1038</v>
      </c>
      <c r="AH512" s="33">
        <v>2</v>
      </c>
      <c r="AI512" s="43">
        <v>46150.84097222222</v>
      </c>
      <c r="AJ512" s="33" t="s">
        <v>793</v>
      </c>
      <c r="AK512" s="42">
        <v>1002510</v>
      </c>
      <c r="AL512" s="33" t="s">
        <v>1039</v>
      </c>
    </row>
    <row r="513" spans="1:38">
      <c r="A513" s="33">
        <v>6010777</v>
      </c>
      <c r="B513" s="33"/>
      <c r="C513" s="33" t="s">
        <v>789</v>
      </c>
      <c r="D513" s="33" t="s">
        <v>2561</v>
      </c>
      <c r="E513" s="33" t="s">
        <v>2562</v>
      </c>
      <c r="F513" s="43">
        <v>46150.79791666667</v>
      </c>
      <c r="G513" s="33" t="s">
        <v>72</v>
      </c>
      <c r="H513" s="33"/>
      <c r="I513" s="33" t="s">
        <v>73</v>
      </c>
      <c r="J513" s="33" t="s">
        <v>481</v>
      </c>
      <c r="K513" s="33" t="s">
        <v>1561</v>
      </c>
      <c r="L513" s="33" t="s">
        <v>2563</v>
      </c>
      <c r="M513" s="43">
        <v>46154.692152777781</v>
      </c>
      <c r="N513" s="33" t="s">
        <v>2564</v>
      </c>
      <c r="O513" s="33" t="s">
        <v>231</v>
      </c>
      <c r="P513" s="33" t="s">
        <v>79</v>
      </c>
      <c r="Q513" s="33"/>
      <c r="R513" s="33"/>
      <c r="S513" s="33"/>
      <c r="T513" s="33" t="s">
        <v>484</v>
      </c>
      <c r="U513" s="43">
        <v>46154.561805555553</v>
      </c>
      <c r="V513" s="58">
        <v>0.12986111111111112</v>
      </c>
      <c r="W513" s="33"/>
      <c r="X513" s="33"/>
      <c r="Y513" s="33"/>
      <c r="Z513" s="33" t="s">
        <v>484</v>
      </c>
      <c r="AA513" s="43">
        <v>46155.25</v>
      </c>
      <c r="AB513" s="33" t="s">
        <v>81</v>
      </c>
      <c r="AC513" s="33" t="s">
        <v>81</v>
      </c>
      <c r="AD513" s="44">
        <v>3.8736111111111109</v>
      </c>
      <c r="AE513" s="33"/>
      <c r="AF513" s="44">
        <v>3.8736111111111109</v>
      </c>
      <c r="AG513" s="33"/>
      <c r="AH513" s="33">
        <v>1</v>
      </c>
      <c r="AI513" s="43">
        <v>46154.561805555553</v>
      </c>
      <c r="AJ513" s="33" t="s">
        <v>73</v>
      </c>
      <c r="AK513" s="42">
        <v>64664.75</v>
      </c>
      <c r="AL513" s="33" t="s">
        <v>2565</v>
      </c>
    </row>
    <row r="514" spans="1:38">
      <c r="A514" s="33">
        <v>6003435</v>
      </c>
      <c r="B514" s="33"/>
      <c r="C514" s="33" t="s">
        <v>789</v>
      </c>
      <c r="D514" s="33" t="s">
        <v>2155</v>
      </c>
      <c r="E514" s="33" t="s">
        <v>2566</v>
      </c>
      <c r="F514" s="43">
        <v>46150.8125</v>
      </c>
      <c r="G514" s="33" t="s">
        <v>792</v>
      </c>
      <c r="H514" s="33"/>
      <c r="I514" s="33" t="s">
        <v>793</v>
      </c>
      <c r="J514" s="33" t="s">
        <v>2049</v>
      </c>
      <c r="K514" s="33" t="s">
        <v>75</v>
      </c>
      <c r="L514" s="33" t="s">
        <v>1962</v>
      </c>
      <c r="M514" s="43">
        <v>46150.972743055558</v>
      </c>
      <c r="N514" s="33" t="s">
        <v>2157</v>
      </c>
      <c r="O514" s="33" t="s">
        <v>797</v>
      </c>
      <c r="P514" s="33" t="s">
        <v>1963</v>
      </c>
      <c r="Q514" s="43">
        <v>46150.807638888888</v>
      </c>
      <c r="R514" s="43">
        <v>46150.818749999999</v>
      </c>
      <c r="S514" s="58">
        <v>1.1111111111111112E-2</v>
      </c>
      <c r="T514" s="33" t="s">
        <v>799</v>
      </c>
      <c r="U514" s="43">
        <v>46150.963888888888</v>
      </c>
      <c r="V514" s="58">
        <v>1.1111111111111112E-2</v>
      </c>
      <c r="W514" s="33" t="s">
        <v>799</v>
      </c>
      <c r="X514" s="43">
        <v>46150.963888888888</v>
      </c>
      <c r="Y514" s="58">
        <v>1.1111111111111112E-2</v>
      </c>
      <c r="Z514" s="33" t="s">
        <v>799</v>
      </c>
      <c r="AA514" s="43">
        <v>46150.958333333336</v>
      </c>
      <c r="AB514" s="33" t="s">
        <v>81</v>
      </c>
      <c r="AC514" s="33" t="s">
        <v>2076</v>
      </c>
      <c r="AD514" s="58">
        <v>0.16944444444444445</v>
      </c>
      <c r="AE514" s="58">
        <v>0.15347222222222223</v>
      </c>
      <c r="AF514" s="58">
        <v>0.16944444444444445</v>
      </c>
      <c r="AG514" s="33" t="s">
        <v>2158</v>
      </c>
      <c r="AH514" s="33">
        <v>2</v>
      </c>
      <c r="AI514" s="43">
        <v>46150.963888888888</v>
      </c>
      <c r="AJ514" s="33" t="s">
        <v>793</v>
      </c>
      <c r="AK514" s="42">
        <v>529237.57999999996</v>
      </c>
      <c r="AL514" s="33" t="s">
        <v>2159</v>
      </c>
    </row>
    <row r="515" spans="1:38">
      <c r="A515" s="33" t="s">
        <v>2567</v>
      </c>
      <c r="B515" s="33"/>
      <c r="C515" s="33" t="s">
        <v>789</v>
      </c>
      <c r="D515" s="33" t="s">
        <v>2568</v>
      </c>
      <c r="E515" s="33" t="s">
        <v>2569</v>
      </c>
      <c r="F515" s="43">
        <v>46150.853472222225</v>
      </c>
      <c r="G515" s="33" t="s">
        <v>216</v>
      </c>
      <c r="H515" s="33"/>
      <c r="I515" s="33" t="s">
        <v>73</v>
      </c>
      <c r="J515" s="33" t="s">
        <v>2570</v>
      </c>
      <c r="K515" s="33" t="s">
        <v>75</v>
      </c>
      <c r="L515" s="33" t="s">
        <v>2571</v>
      </c>
      <c r="M515" s="43">
        <v>46152.016192129631</v>
      </c>
      <c r="N515" s="33" t="s">
        <v>2572</v>
      </c>
      <c r="O515" s="33" t="s">
        <v>797</v>
      </c>
      <c r="P515" s="33" t="s">
        <v>140</v>
      </c>
      <c r="Q515" s="43">
        <v>46150.859722222223</v>
      </c>
      <c r="R515" s="43">
        <v>46150.915277777778</v>
      </c>
      <c r="S515" s="58">
        <v>5.5555555555555552E-2</v>
      </c>
      <c r="T515" s="33" t="s">
        <v>1541</v>
      </c>
      <c r="U515" s="43">
        <v>46151.602777777778</v>
      </c>
      <c r="V515" s="58">
        <v>0.41597222222222224</v>
      </c>
      <c r="W515" s="33" t="s">
        <v>1541</v>
      </c>
      <c r="X515" s="43">
        <v>46151.602777777778</v>
      </c>
      <c r="Y515" s="58">
        <v>0.41597222222222224</v>
      </c>
      <c r="Z515" s="33" t="s">
        <v>1541</v>
      </c>
      <c r="AA515" s="43">
        <v>46151.602777777778</v>
      </c>
      <c r="AB515" s="33" t="s">
        <v>1052</v>
      </c>
      <c r="AC515" s="33" t="s">
        <v>2573</v>
      </c>
      <c r="AD515" s="44">
        <v>1.1597222222222223</v>
      </c>
      <c r="AE515" s="33"/>
      <c r="AF515" s="44">
        <v>1.1597222222222223</v>
      </c>
      <c r="AG515" s="33" t="s">
        <v>2574</v>
      </c>
      <c r="AH515" s="33">
        <v>4</v>
      </c>
      <c r="AI515" s="43">
        <v>46151.602777777778</v>
      </c>
      <c r="AJ515" s="33" t="s">
        <v>73</v>
      </c>
      <c r="AK515" s="42">
        <v>925600</v>
      </c>
      <c r="AL515" s="33" t="s">
        <v>2575</v>
      </c>
    </row>
    <row r="516" spans="1:38">
      <c r="A516" s="33">
        <v>5984812</v>
      </c>
      <c r="B516" s="33"/>
      <c r="C516" s="33" t="s">
        <v>789</v>
      </c>
      <c r="D516" s="33" t="s">
        <v>1032</v>
      </c>
      <c r="E516" s="33" t="s">
        <v>2576</v>
      </c>
      <c r="F516" s="43">
        <v>46150.958333333336</v>
      </c>
      <c r="G516" s="33" t="s">
        <v>792</v>
      </c>
      <c r="H516" s="33"/>
      <c r="I516" s="33" t="s">
        <v>793</v>
      </c>
      <c r="J516" s="33" t="s">
        <v>1312</v>
      </c>
      <c r="K516" s="33" t="s">
        <v>75</v>
      </c>
      <c r="L516" s="33" t="s">
        <v>1460</v>
      </c>
      <c r="M516" s="43">
        <v>46150.995347222219</v>
      </c>
      <c r="N516" s="33" t="s">
        <v>1036</v>
      </c>
      <c r="O516" s="33" t="s">
        <v>797</v>
      </c>
      <c r="P516" s="33" t="s">
        <v>799</v>
      </c>
      <c r="Q516" s="33"/>
      <c r="R516" s="33"/>
      <c r="S516" s="33"/>
      <c r="T516" s="33" t="s">
        <v>140</v>
      </c>
      <c r="U516" s="43">
        <v>46150.890277777777</v>
      </c>
      <c r="V516" s="58">
        <v>1.3194444444444444E-2</v>
      </c>
      <c r="W516" s="33"/>
      <c r="X516" s="33"/>
      <c r="Y516" s="33"/>
      <c r="Z516" s="33" t="s">
        <v>140</v>
      </c>
      <c r="AA516" s="43">
        <v>46151</v>
      </c>
      <c r="AB516" s="33" t="s">
        <v>1138</v>
      </c>
      <c r="AC516" s="33" t="s">
        <v>1314</v>
      </c>
      <c r="AD516" s="58">
        <v>0.10625</v>
      </c>
      <c r="AE516" s="33"/>
      <c r="AF516" s="58">
        <v>1.8055555555555554E-2</v>
      </c>
      <c r="AG516" s="33" t="s">
        <v>1279</v>
      </c>
      <c r="AH516" s="33">
        <v>1</v>
      </c>
      <c r="AI516" s="43">
        <v>46150.890277777777</v>
      </c>
      <c r="AJ516" s="33" t="s">
        <v>793</v>
      </c>
      <c r="AK516" s="42">
        <v>1002510</v>
      </c>
      <c r="AL516" s="33" t="s">
        <v>1039</v>
      </c>
    </row>
    <row r="517" spans="1:38">
      <c r="A517" s="33" t="s">
        <v>2577</v>
      </c>
      <c r="B517" s="33"/>
      <c r="C517" s="33" t="s">
        <v>789</v>
      </c>
      <c r="D517" s="33" t="s">
        <v>2578</v>
      </c>
      <c r="E517" s="33" t="s">
        <v>2579</v>
      </c>
      <c r="F517" s="43">
        <v>46150.870138888888</v>
      </c>
      <c r="G517" s="33" t="s">
        <v>216</v>
      </c>
      <c r="H517" s="33"/>
      <c r="I517" s="33" t="s">
        <v>73</v>
      </c>
      <c r="J517" s="33" t="s">
        <v>346</v>
      </c>
      <c r="K517" s="33" t="s">
        <v>75</v>
      </c>
      <c r="L517" s="33" t="s">
        <v>2580</v>
      </c>
      <c r="M517" s="43">
        <v>46153.567291666666</v>
      </c>
      <c r="N517" s="33" t="s">
        <v>2581</v>
      </c>
      <c r="O517" s="33" t="s">
        <v>797</v>
      </c>
      <c r="P517" s="33" t="s">
        <v>140</v>
      </c>
      <c r="Q517" s="43">
        <v>46150.876388888886</v>
      </c>
      <c r="R517" s="43">
        <v>46151.191666666666</v>
      </c>
      <c r="S517" s="58">
        <v>0.31527777777777777</v>
      </c>
      <c r="T517" s="33" t="s">
        <v>222</v>
      </c>
      <c r="U517" s="43">
        <v>46153.566666666666</v>
      </c>
      <c r="V517" s="58">
        <v>2.0833333333333333E-3</v>
      </c>
      <c r="W517" s="33" t="s">
        <v>350</v>
      </c>
      <c r="X517" s="43">
        <v>46151.90347222222</v>
      </c>
      <c r="Y517" s="44">
        <v>1.6652777777777779</v>
      </c>
      <c r="Z517" s="33" t="s">
        <v>222</v>
      </c>
      <c r="AA517" s="43">
        <v>46153.566666666666</v>
      </c>
      <c r="AB517" s="33" t="s">
        <v>606</v>
      </c>
      <c r="AC517" s="33" t="s">
        <v>352</v>
      </c>
      <c r="AD517" s="44">
        <v>2.6937500000000001</v>
      </c>
      <c r="AE517" s="44">
        <v>2.3756944444444446</v>
      </c>
      <c r="AF517" s="44">
        <v>2.6937500000000001</v>
      </c>
      <c r="AG517" s="33" t="s">
        <v>2582</v>
      </c>
      <c r="AH517" s="33">
        <v>2</v>
      </c>
      <c r="AI517" s="33"/>
      <c r="AJ517" s="33" t="s">
        <v>73</v>
      </c>
      <c r="AK517" s="42">
        <v>744778.26</v>
      </c>
      <c r="AL517" s="33" t="s">
        <v>2583</v>
      </c>
    </row>
    <row r="518" spans="1:38">
      <c r="A518" s="33" t="s">
        <v>2584</v>
      </c>
      <c r="B518" s="33"/>
      <c r="C518" s="33" t="s">
        <v>789</v>
      </c>
      <c r="D518" s="33" t="s">
        <v>1762</v>
      </c>
      <c r="E518" s="33" t="s">
        <v>2585</v>
      </c>
      <c r="F518" s="43">
        <v>46150.870138888888</v>
      </c>
      <c r="G518" s="33" t="s">
        <v>1246</v>
      </c>
      <c r="H518" s="33"/>
      <c r="I518" s="33" t="s">
        <v>73</v>
      </c>
      <c r="J518" s="33" t="s">
        <v>1293</v>
      </c>
      <c r="K518" s="33" t="s">
        <v>75</v>
      </c>
      <c r="L518" s="33" t="s">
        <v>2586</v>
      </c>
      <c r="M518" s="43">
        <v>46150.914849537039</v>
      </c>
      <c r="N518" s="33" t="s">
        <v>1295</v>
      </c>
      <c r="O518" s="33" t="s">
        <v>797</v>
      </c>
      <c r="P518" s="33" t="s">
        <v>140</v>
      </c>
      <c r="Q518" s="43">
        <v>46150.873611111114</v>
      </c>
      <c r="R518" s="43">
        <v>46150.893055555556</v>
      </c>
      <c r="S518" s="58">
        <v>1.9444444444444445E-2</v>
      </c>
      <c r="T518" s="33" t="s">
        <v>1296</v>
      </c>
      <c r="U518" s="43">
        <v>46150.910416666666</v>
      </c>
      <c r="V518" s="58">
        <v>4.8611111111111112E-3</v>
      </c>
      <c r="W518" s="33" t="s">
        <v>1296</v>
      </c>
      <c r="X518" s="43">
        <v>46150.910416666666</v>
      </c>
      <c r="Y518" s="58">
        <v>4.8611111111111112E-3</v>
      </c>
      <c r="Z518" s="33" t="s">
        <v>1296</v>
      </c>
      <c r="AA518" s="43">
        <v>46163.395833333336</v>
      </c>
      <c r="AB518" s="33" t="s">
        <v>81</v>
      </c>
      <c r="AC518" s="33" t="s">
        <v>1297</v>
      </c>
      <c r="AD518" s="58">
        <v>4.0972222222222222E-2</v>
      </c>
      <c r="AE518" s="58">
        <v>2.1527777777777778E-2</v>
      </c>
      <c r="AF518" s="58">
        <v>4.0972222222222222E-2</v>
      </c>
      <c r="AG518" s="33"/>
      <c r="AH518" s="33">
        <v>2</v>
      </c>
      <c r="AI518" s="43">
        <v>46150.910416666666</v>
      </c>
      <c r="AJ518" s="33" t="s">
        <v>73</v>
      </c>
      <c r="AK518" s="42">
        <v>504597.19</v>
      </c>
      <c r="AL518" s="33" t="s">
        <v>1960</v>
      </c>
    </row>
    <row r="519" spans="1:38">
      <c r="A519" s="33" t="s">
        <v>2587</v>
      </c>
      <c r="B519" s="33"/>
      <c r="C519" s="33" t="s">
        <v>789</v>
      </c>
      <c r="D519" s="33" t="s">
        <v>2588</v>
      </c>
      <c r="E519" s="33" t="s">
        <v>2589</v>
      </c>
      <c r="F519" s="43">
        <v>46150.875</v>
      </c>
      <c r="G519" s="33" t="s">
        <v>216</v>
      </c>
      <c r="H519" s="33"/>
      <c r="I519" s="33" t="s">
        <v>73</v>
      </c>
      <c r="J519" s="33" t="s">
        <v>346</v>
      </c>
      <c r="K519" s="33" t="s">
        <v>75</v>
      </c>
      <c r="L519" s="33" t="s">
        <v>1555</v>
      </c>
      <c r="M519" s="43">
        <v>46152.300787037035</v>
      </c>
      <c r="N519" s="33" t="s">
        <v>2590</v>
      </c>
      <c r="O519" s="33" t="s">
        <v>797</v>
      </c>
      <c r="P519" s="33" t="s">
        <v>140</v>
      </c>
      <c r="Q519" s="43">
        <v>46150.980555555558</v>
      </c>
      <c r="R519" s="43">
        <v>46151.191666666666</v>
      </c>
      <c r="S519" s="58">
        <v>0.21111111111111111</v>
      </c>
      <c r="T519" s="33" t="s">
        <v>350</v>
      </c>
      <c r="U519" s="33"/>
      <c r="V519" s="33"/>
      <c r="W519" s="33" t="s">
        <v>2591</v>
      </c>
      <c r="X519" s="43">
        <v>46151.90347222222</v>
      </c>
      <c r="Y519" s="58">
        <v>0.3972222222222222</v>
      </c>
      <c r="Z519" s="33" t="s">
        <v>350</v>
      </c>
      <c r="AA519" s="43">
        <v>46153.333333333336</v>
      </c>
      <c r="AB519" s="33" t="s">
        <v>1052</v>
      </c>
      <c r="AC519" s="33" t="s">
        <v>352</v>
      </c>
      <c r="AD519" s="44">
        <v>1.4097222222222223</v>
      </c>
      <c r="AE519" s="33"/>
      <c r="AF519" s="44">
        <v>1.4097222222222223</v>
      </c>
      <c r="AG519" s="33" t="s">
        <v>2592</v>
      </c>
      <c r="AH519" s="33">
        <v>4</v>
      </c>
      <c r="AI519" s="43">
        <v>46152.302083333336</v>
      </c>
      <c r="AJ519" s="33" t="s">
        <v>73</v>
      </c>
      <c r="AK519" s="42">
        <v>934856.03</v>
      </c>
      <c r="AL519" s="33" t="s">
        <v>2593</v>
      </c>
    </row>
    <row r="520" spans="1:38">
      <c r="A520" s="33">
        <v>6006660</v>
      </c>
      <c r="B520" s="33"/>
      <c r="C520" s="33" t="s">
        <v>789</v>
      </c>
      <c r="D520" s="33" t="s">
        <v>2594</v>
      </c>
      <c r="E520" s="33" t="s">
        <v>2595</v>
      </c>
      <c r="F520" s="43">
        <v>46150.895833333336</v>
      </c>
      <c r="G520" s="33" t="s">
        <v>792</v>
      </c>
      <c r="H520" s="33"/>
      <c r="I520" s="33" t="s">
        <v>793</v>
      </c>
      <c r="J520" s="33" t="s">
        <v>2049</v>
      </c>
      <c r="K520" s="33" t="s">
        <v>1855</v>
      </c>
      <c r="L520" s="33" t="s">
        <v>1283</v>
      </c>
      <c r="M520" s="43">
        <v>46151.015046296299</v>
      </c>
      <c r="N520" s="33" t="s">
        <v>2596</v>
      </c>
      <c r="O520" s="33" t="s">
        <v>797</v>
      </c>
      <c r="P520" s="33" t="s">
        <v>1963</v>
      </c>
      <c r="Q520" s="33"/>
      <c r="R520" s="33"/>
      <c r="S520" s="33"/>
      <c r="T520" s="33" t="s">
        <v>799</v>
      </c>
      <c r="U520" s="43">
        <v>46151.00277777778</v>
      </c>
      <c r="V520" s="58">
        <v>1.2500000000000001E-2</v>
      </c>
      <c r="W520" s="33" t="s">
        <v>799</v>
      </c>
      <c r="X520" s="43">
        <v>46151.00277777778</v>
      </c>
      <c r="Y520" s="58">
        <v>1.2500000000000001E-2</v>
      </c>
      <c r="Z520" s="33" t="s">
        <v>799</v>
      </c>
      <c r="AA520" s="43">
        <v>46151.958333333336</v>
      </c>
      <c r="AB520" s="33" t="s">
        <v>81</v>
      </c>
      <c r="AC520" s="33" t="s">
        <v>2076</v>
      </c>
      <c r="AD520" s="58">
        <v>0.13472222222222222</v>
      </c>
      <c r="AE520" s="33"/>
      <c r="AF520" s="58">
        <v>0.13472222222222222</v>
      </c>
      <c r="AG520" s="33" t="s">
        <v>2597</v>
      </c>
      <c r="AH520" s="33">
        <v>1</v>
      </c>
      <c r="AI520" s="43">
        <v>46151.00277777778</v>
      </c>
      <c r="AJ520" s="33" t="s">
        <v>793</v>
      </c>
      <c r="AK520" s="42">
        <v>706985.76</v>
      </c>
      <c r="AL520" s="33" t="s">
        <v>2598</v>
      </c>
    </row>
    <row r="521" spans="1:38">
      <c r="A521" s="33">
        <v>5984861</v>
      </c>
      <c r="B521" s="33"/>
      <c r="C521" s="33" t="s">
        <v>789</v>
      </c>
      <c r="D521" s="33" t="s">
        <v>2599</v>
      </c>
      <c r="E521" s="33" t="s">
        <v>2600</v>
      </c>
      <c r="F521" s="43">
        <v>46150.958333333336</v>
      </c>
      <c r="G521" s="33" t="s">
        <v>792</v>
      </c>
      <c r="H521" s="33"/>
      <c r="I521" s="33" t="s">
        <v>793</v>
      </c>
      <c r="J521" s="33" t="s">
        <v>1382</v>
      </c>
      <c r="K521" s="33" t="s">
        <v>75</v>
      </c>
      <c r="L521" s="33" t="s">
        <v>2012</v>
      </c>
      <c r="M521" s="43">
        <v>46151.212233796294</v>
      </c>
      <c r="N521" s="33" t="s">
        <v>2601</v>
      </c>
      <c r="O521" s="33" t="s">
        <v>797</v>
      </c>
      <c r="P521" s="33" t="s">
        <v>799</v>
      </c>
      <c r="Q521" s="33"/>
      <c r="R521" s="33"/>
      <c r="S521" s="33"/>
      <c r="T521" s="33" t="s">
        <v>140</v>
      </c>
      <c r="U521" s="43">
        <v>46150.902083333334</v>
      </c>
      <c r="V521" s="58">
        <v>0.31111111111111112</v>
      </c>
      <c r="W521" s="33" t="s">
        <v>140</v>
      </c>
      <c r="X521" s="43">
        <v>46150.902083333334</v>
      </c>
      <c r="Y521" s="58">
        <v>0.31111111111111112</v>
      </c>
      <c r="Z521" s="33" t="s">
        <v>140</v>
      </c>
      <c r="AA521" s="43">
        <v>46151.958333333336</v>
      </c>
      <c r="AB521" s="33" t="s">
        <v>81</v>
      </c>
      <c r="AC521" s="33" t="s">
        <v>1383</v>
      </c>
      <c r="AD521" s="58">
        <v>0.31458333333333333</v>
      </c>
      <c r="AE521" s="33"/>
      <c r="AF521" s="58">
        <v>0.31458333333333333</v>
      </c>
      <c r="AG521" s="33" t="s">
        <v>2602</v>
      </c>
      <c r="AH521" s="33">
        <v>1</v>
      </c>
      <c r="AI521" s="43">
        <v>46150.902083333334</v>
      </c>
      <c r="AJ521" s="33" t="s">
        <v>793</v>
      </c>
      <c r="AK521" s="42">
        <v>647012.69999999995</v>
      </c>
      <c r="AL521" s="33" t="s">
        <v>2603</v>
      </c>
    </row>
    <row r="522" spans="1:38">
      <c r="A522" s="33">
        <v>6004045</v>
      </c>
      <c r="B522" s="33"/>
      <c r="C522" s="33" t="s">
        <v>789</v>
      </c>
      <c r="D522" s="33" t="s">
        <v>1047</v>
      </c>
      <c r="E522" s="33" t="s">
        <v>2604</v>
      </c>
      <c r="F522" s="43">
        <v>46150.916666666664</v>
      </c>
      <c r="G522" s="33" t="s">
        <v>792</v>
      </c>
      <c r="H522" s="33"/>
      <c r="I522" s="33" t="s">
        <v>793</v>
      </c>
      <c r="J522" s="33" t="s">
        <v>1382</v>
      </c>
      <c r="K522" s="33" t="s">
        <v>75</v>
      </c>
      <c r="L522" s="33" t="s">
        <v>1189</v>
      </c>
      <c r="M522" s="43">
        <v>46150.952743055554</v>
      </c>
      <c r="N522" s="33" t="s">
        <v>1051</v>
      </c>
      <c r="O522" s="33" t="s">
        <v>797</v>
      </c>
      <c r="P522" s="33" t="s">
        <v>799</v>
      </c>
      <c r="Q522" s="33"/>
      <c r="R522" s="33"/>
      <c r="S522" s="33"/>
      <c r="T522" s="33" t="s">
        <v>140</v>
      </c>
      <c r="U522" s="43">
        <v>46150.904861111114</v>
      </c>
      <c r="V522" s="58">
        <v>0.18263888888888888</v>
      </c>
      <c r="W522" s="33" t="s">
        <v>140</v>
      </c>
      <c r="X522" s="43">
        <v>46150.904861111114</v>
      </c>
      <c r="Y522" s="58">
        <v>0.18263888888888888</v>
      </c>
      <c r="Z522" s="33" t="s">
        <v>140</v>
      </c>
      <c r="AA522" s="43">
        <v>46151.916666666664</v>
      </c>
      <c r="AB522" s="33" t="s">
        <v>81</v>
      </c>
      <c r="AC522" s="33" t="s">
        <v>1383</v>
      </c>
      <c r="AD522" s="58">
        <v>0.18958333333333333</v>
      </c>
      <c r="AE522" s="33"/>
      <c r="AF522" s="58">
        <v>0.18958333333333333</v>
      </c>
      <c r="AG522" s="33" t="s">
        <v>1205</v>
      </c>
      <c r="AH522" s="33">
        <v>1</v>
      </c>
      <c r="AI522" s="43">
        <v>46150.904861111114</v>
      </c>
      <c r="AJ522" s="33" t="s">
        <v>793</v>
      </c>
      <c r="AK522" s="42">
        <v>1120482.24</v>
      </c>
      <c r="AL522" s="33" t="s">
        <v>1055</v>
      </c>
    </row>
    <row r="523" spans="1:38">
      <c r="A523" s="33">
        <v>5984852</v>
      </c>
      <c r="B523" s="33"/>
      <c r="C523" s="33" t="s">
        <v>789</v>
      </c>
      <c r="D523" s="33" t="s">
        <v>2458</v>
      </c>
      <c r="E523" s="33" t="s">
        <v>2605</v>
      </c>
      <c r="F523" s="43">
        <v>46150.916666666664</v>
      </c>
      <c r="G523" s="33" t="s">
        <v>792</v>
      </c>
      <c r="H523" s="33"/>
      <c r="I523" s="33" t="s">
        <v>793</v>
      </c>
      <c r="J523" s="33" t="s">
        <v>1382</v>
      </c>
      <c r="K523" s="33" t="s">
        <v>453</v>
      </c>
      <c r="L523" s="33" t="s">
        <v>2150</v>
      </c>
      <c r="M523" s="43">
        <v>46150.992210648146</v>
      </c>
      <c r="N523" s="33" t="s">
        <v>2462</v>
      </c>
      <c r="O523" s="33" t="s">
        <v>797</v>
      </c>
      <c r="P523" s="33" t="s">
        <v>799</v>
      </c>
      <c r="Q523" s="43">
        <v>46150.908333333333</v>
      </c>
      <c r="R523" s="43">
        <v>46150.963888888888</v>
      </c>
      <c r="S523" s="58">
        <v>5.5555555555555552E-2</v>
      </c>
      <c r="T523" s="33" t="s">
        <v>140</v>
      </c>
      <c r="U523" s="43">
        <v>46150.984722222223</v>
      </c>
      <c r="V523" s="58">
        <v>5.5555555555555558E-3</v>
      </c>
      <c r="W523" s="33" t="s">
        <v>140</v>
      </c>
      <c r="X523" s="43">
        <v>46150.984722222223</v>
      </c>
      <c r="Y523" s="58">
        <v>5.5555555555555558E-3</v>
      </c>
      <c r="Z523" s="33" t="s">
        <v>140</v>
      </c>
      <c r="AA523" s="43">
        <v>46151.958333333336</v>
      </c>
      <c r="AB523" s="33" t="s">
        <v>81</v>
      </c>
      <c r="AC523" s="33" t="s">
        <v>1383</v>
      </c>
      <c r="AD523" s="58">
        <v>9.5138888888888884E-2</v>
      </c>
      <c r="AE523" s="58">
        <v>2.8472222222222222E-2</v>
      </c>
      <c r="AF523" s="58">
        <v>9.5138888888888884E-2</v>
      </c>
      <c r="AG523" s="33" t="s">
        <v>2463</v>
      </c>
      <c r="AH523" s="33">
        <v>2</v>
      </c>
      <c r="AI523" s="43">
        <v>46150.984722222223</v>
      </c>
      <c r="AJ523" s="33" t="s">
        <v>793</v>
      </c>
      <c r="AK523" s="42">
        <v>647012.69999999995</v>
      </c>
      <c r="AL523" s="33" t="s">
        <v>2464</v>
      </c>
    </row>
    <row r="524" spans="1:38">
      <c r="A524" s="33">
        <v>5984824</v>
      </c>
      <c r="B524" s="33"/>
      <c r="C524" s="33" t="s">
        <v>789</v>
      </c>
      <c r="D524" s="33" t="s">
        <v>1745</v>
      </c>
      <c r="E524" s="33" t="s">
        <v>2606</v>
      </c>
      <c r="F524" s="43">
        <v>46150.958333333336</v>
      </c>
      <c r="G524" s="33" t="s">
        <v>792</v>
      </c>
      <c r="H524" s="33"/>
      <c r="I524" s="33" t="s">
        <v>793</v>
      </c>
      <c r="J524" s="33" t="s">
        <v>1147</v>
      </c>
      <c r="K524" s="33" t="s">
        <v>1378</v>
      </c>
      <c r="L524" s="33" t="s">
        <v>1231</v>
      </c>
      <c r="M524" s="43">
        <v>46150.986215277779</v>
      </c>
      <c r="N524" s="33" t="s">
        <v>1748</v>
      </c>
      <c r="O524" s="33" t="s">
        <v>797</v>
      </c>
      <c r="P524" s="33" t="s">
        <v>799</v>
      </c>
      <c r="Q524" s="43">
        <v>46150.911111111112</v>
      </c>
      <c r="R524" s="43">
        <v>46150.956944444442</v>
      </c>
      <c r="S524" s="58">
        <v>4.583333333333333E-2</v>
      </c>
      <c r="T524" s="33" t="s">
        <v>140</v>
      </c>
      <c r="U524" s="43">
        <v>46150.98333333333</v>
      </c>
      <c r="V524" s="58">
        <v>9.0277777777777769E-3</v>
      </c>
      <c r="W524" s="33"/>
      <c r="X524" s="33"/>
      <c r="Y524" s="33"/>
      <c r="Z524" s="33" t="s">
        <v>140</v>
      </c>
      <c r="AA524" s="43">
        <v>46151.083333333336</v>
      </c>
      <c r="AB524" s="33" t="s">
        <v>81</v>
      </c>
      <c r="AC524" s="33" t="s">
        <v>81</v>
      </c>
      <c r="AD524" s="58">
        <v>8.611111111111111E-2</v>
      </c>
      <c r="AE524" s="33"/>
      <c r="AF524" s="58">
        <v>8.611111111111111E-2</v>
      </c>
      <c r="AG524" s="33" t="s">
        <v>1750</v>
      </c>
      <c r="AH524" s="33">
        <v>2</v>
      </c>
      <c r="AI524" s="43">
        <v>46150.98333333333</v>
      </c>
      <c r="AJ524" s="33" t="s">
        <v>793</v>
      </c>
      <c r="AK524" s="42">
        <v>1002510</v>
      </c>
      <c r="AL524" s="33" t="s">
        <v>1751</v>
      </c>
    </row>
    <row r="525" spans="1:38">
      <c r="A525" s="33">
        <v>5980343</v>
      </c>
      <c r="B525" s="33"/>
      <c r="C525" s="33" t="s">
        <v>789</v>
      </c>
      <c r="D525" s="33" t="s">
        <v>1261</v>
      </c>
      <c r="E525" s="33" t="s">
        <v>2607</v>
      </c>
      <c r="F525" s="43">
        <v>46150.916666666664</v>
      </c>
      <c r="G525" s="33" t="s">
        <v>792</v>
      </c>
      <c r="H525" s="33"/>
      <c r="I525" s="33" t="s">
        <v>793</v>
      </c>
      <c r="J525" s="33" t="s">
        <v>1382</v>
      </c>
      <c r="K525" s="33" t="s">
        <v>75</v>
      </c>
      <c r="L525" s="33" t="s">
        <v>2608</v>
      </c>
      <c r="M525" s="43">
        <v>46151.168113425927</v>
      </c>
      <c r="N525" s="33" t="s">
        <v>1265</v>
      </c>
      <c r="O525" s="33" t="s">
        <v>797</v>
      </c>
      <c r="P525" s="33" t="s">
        <v>799</v>
      </c>
      <c r="Q525" s="33"/>
      <c r="R525" s="33"/>
      <c r="S525" s="33"/>
      <c r="T525" s="33" t="s">
        <v>140</v>
      </c>
      <c r="U525" s="43">
        <v>46150.915972222225</v>
      </c>
      <c r="V525" s="58">
        <v>0.24374999999999999</v>
      </c>
      <c r="W525" s="33"/>
      <c r="X525" s="33"/>
      <c r="Y525" s="33"/>
      <c r="Z525" s="33" t="s">
        <v>140</v>
      </c>
      <c r="AA525" s="43">
        <v>46151.958333333336</v>
      </c>
      <c r="AB525" s="33" t="s">
        <v>606</v>
      </c>
      <c r="AC525" s="33" t="s">
        <v>1383</v>
      </c>
      <c r="AD525" s="58">
        <v>0.24930555555555556</v>
      </c>
      <c r="AE525" s="33"/>
      <c r="AF525" s="58">
        <v>0.24930555555555556</v>
      </c>
      <c r="AG525" s="33" t="s">
        <v>1267</v>
      </c>
      <c r="AH525" s="33">
        <v>1</v>
      </c>
      <c r="AI525" s="43">
        <v>46150.915972222225</v>
      </c>
      <c r="AJ525" s="33" t="s">
        <v>793</v>
      </c>
      <c r="AK525" s="42">
        <v>612494.68000000005</v>
      </c>
      <c r="AL525" s="33" t="s">
        <v>1268</v>
      </c>
    </row>
    <row r="526" spans="1:38">
      <c r="A526" s="33" t="s">
        <v>2609</v>
      </c>
      <c r="B526" s="33"/>
      <c r="C526" s="33" t="s">
        <v>789</v>
      </c>
      <c r="D526" s="33" t="s">
        <v>677</v>
      </c>
      <c r="E526" s="33" t="s">
        <v>2610</v>
      </c>
      <c r="F526" s="43">
        <v>46150.958333333336</v>
      </c>
      <c r="G526" s="33" t="s">
        <v>171</v>
      </c>
      <c r="H526" s="33"/>
      <c r="I526" s="33" t="s">
        <v>793</v>
      </c>
      <c r="J526" s="33" t="s">
        <v>958</v>
      </c>
      <c r="K526" s="33" t="s">
        <v>75</v>
      </c>
      <c r="L526" s="33" t="s">
        <v>2150</v>
      </c>
      <c r="M526" s="43">
        <v>46150.976076388892</v>
      </c>
      <c r="N526" s="33" t="s">
        <v>681</v>
      </c>
      <c r="O526" s="33" t="s">
        <v>797</v>
      </c>
      <c r="P526" s="33" t="s">
        <v>861</v>
      </c>
      <c r="Q526" s="33"/>
      <c r="R526" s="33"/>
      <c r="S526" s="33"/>
      <c r="T526" s="33" t="s">
        <v>308</v>
      </c>
      <c r="U526" s="43">
        <v>46150.961805555555</v>
      </c>
      <c r="V526" s="58">
        <v>1.3888888888888888E-2</v>
      </c>
      <c r="W526" s="33" t="s">
        <v>308</v>
      </c>
      <c r="X526" s="43">
        <v>46150.961805555555</v>
      </c>
      <c r="Y526" s="58">
        <v>1.3888888888888888E-2</v>
      </c>
      <c r="Z526" s="33" t="s">
        <v>308</v>
      </c>
      <c r="AA526" s="43">
        <v>46156</v>
      </c>
      <c r="AB526" s="33" t="s">
        <v>81</v>
      </c>
      <c r="AC526" s="33" t="s">
        <v>1404</v>
      </c>
      <c r="AD526" s="58">
        <v>5.1388888888888887E-2</v>
      </c>
      <c r="AE526" s="33"/>
      <c r="AF526" s="58">
        <v>5.1388888888888887E-2</v>
      </c>
      <c r="AG526" s="33" t="s">
        <v>1233</v>
      </c>
      <c r="AH526" s="33">
        <v>1</v>
      </c>
      <c r="AI526" s="43">
        <v>46150.961805555555</v>
      </c>
      <c r="AJ526" s="33" t="s">
        <v>793</v>
      </c>
      <c r="AK526" s="42">
        <v>771388</v>
      </c>
      <c r="AL526" s="33" t="s">
        <v>684</v>
      </c>
    </row>
    <row r="527" spans="1:38">
      <c r="A527" s="33">
        <v>6013222</v>
      </c>
      <c r="B527" s="33"/>
      <c r="C527" s="33" t="s">
        <v>789</v>
      </c>
      <c r="D527" s="33" t="s">
        <v>1732</v>
      </c>
      <c r="E527" s="33" t="s">
        <v>2611</v>
      </c>
      <c r="F527" s="43">
        <v>46151.166666666664</v>
      </c>
      <c r="G527" s="33" t="s">
        <v>227</v>
      </c>
      <c r="H527" s="33"/>
      <c r="I527" s="33" t="s">
        <v>73</v>
      </c>
      <c r="J527" s="33" t="s">
        <v>2545</v>
      </c>
      <c r="K527" s="33" t="s">
        <v>75</v>
      </c>
      <c r="L527" s="33" t="s">
        <v>2612</v>
      </c>
      <c r="M527" s="43">
        <v>46151.509189814817</v>
      </c>
      <c r="N527" s="33" t="s">
        <v>529</v>
      </c>
      <c r="O527" s="33" t="s">
        <v>797</v>
      </c>
      <c r="P527" s="33" t="s">
        <v>140</v>
      </c>
      <c r="Q527" s="33"/>
      <c r="R527" s="33"/>
      <c r="S527" s="33"/>
      <c r="T527" s="33" t="s">
        <v>286</v>
      </c>
      <c r="U527" s="33"/>
      <c r="V527" s="33"/>
      <c r="W527" s="33" t="s">
        <v>950</v>
      </c>
      <c r="X527" s="43">
        <v>46151.473611111112</v>
      </c>
      <c r="Y527" s="58">
        <v>3.4722222222222224E-2</v>
      </c>
      <c r="Z527" s="33" t="s">
        <v>286</v>
      </c>
      <c r="AA527" s="43">
        <v>46161.25</v>
      </c>
      <c r="AB527" s="33" t="s">
        <v>2613</v>
      </c>
      <c r="AC527" s="33" t="s">
        <v>2546</v>
      </c>
      <c r="AD527" s="58">
        <v>0.57152777777777775</v>
      </c>
      <c r="AE527" s="33"/>
      <c r="AF527" s="58">
        <v>0.57152777777777775</v>
      </c>
      <c r="AG527" s="33" t="s">
        <v>1192</v>
      </c>
      <c r="AH527" s="33">
        <v>2</v>
      </c>
      <c r="AI527" s="43">
        <v>46151.523611111108</v>
      </c>
      <c r="AJ527" s="33" t="s">
        <v>73</v>
      </c>
      <c r="AK527" s="42">
        <v>764568.03</v>
      </c>
      <c r="AL527" s="33" t="s">
        <v>1735</v>
      </c>
    </row>
    <row r="528" spans="1:38">
      <c r="A528" s="33">
        <v>6006022</v>
      </c>
      <c r="B528" s="33"/>
      <c r="C528" s="33" t="s">
        <v>789</v>
      </c>
      <c r="D528" s="33" t="s">
        <v>1074</v>
      </c>
      <c r="E528" s="33" t="s">
        <v>2614</v>
      </c>
      <c r="F528" s="43">
        <v>46150.958333333336</v>
      </c>
      <c r="G528" s="33" t="s">
        <v>792</v>
      </c>
      <c r="H528" s="33"/>
      <c r="I528" s="33" t="s">
        <v>793</v>
      </c>
      <c r="J528" s="33" t="s">
        <v>2049</v>
      </c>
      <c r="K528" s="33" t="s">
        <v>75</v>
      </c>
      <c r="L528" s="33" t="s">
        <v>1778</v>
      </c>
      <c r="M528" s="43">
        <v>46151.319027777776</v>
      </c>
      <c r="N528" s="33" t="s">
        <v>1078</v>
      </c>
      <c r="O528" s="33" t="s">
        <v>797</v>
      </c>
      <c r="P528" s="33" t="s">
        <v>1963</v>
      </c>
      <c r="Q528" s="43">
        <v>46150.936111111114</v>
      </c>
      <c r="R528" s="43">
        <v>46150.970833333333</v>
      </c>
      <c r="S528" s="58">
        <v>3.4722222222222224E-2</v>
      </c>
      <c r="T528" s="33" t="s">
        <v>799</v>
      </c>
      <c r="U528" s="43">
        <v>46151.311111111114</v>
      </c>
      <c r="V528" s="58">
        <v>9.0277777777777769E-3</v>
      </c>
      <c r="W528" s="33" t="s">
        <v>799</v>
      </c>
      <c r="X528" s="43">
        <v>46151.311111111114</v>
      </c>
      <c r="Y528" s="58">
        <v>9.0277777777777769E-3</v>
      </c>
      <c r="Z528" s="33" t="s">
        <v>799</v>
      </c>
      <c r="AA528" s="43">
        <v>46152.333333333336</v>
      </c>
      <c r="AB528" s="33" t="s">
        <v>81</v>
      </c>
      <c r="AC528" s="33" t="s">
        <v>2076</v>
      </c>
      <c r="AD528" s="58">
        <v>0.38541666666666669</v>
      </c>
      <c r="AE528" s="58">
        <v>0.34930555555555554</v>
      </c>
      <c r="AF528" s="58">
        <v>0.38541666666666669</v>
      </c>
      <c r="AG528" s="33" t="s">
        <v>1080</v>
      </c>
      <c r="AH528" s="33">
        <v>2</v>
      </c>
      <c r="AI528" s="43">
        <v>46151.311111111114</v>
      </c>
      <c r="AJ528" s="33" t="s">
        <v>793</v>
      </c>
      <c r="AK528" s="42">
        <v>734876.8</v>
      </c>
      <c r="AL528" s="33" t="s">
        <v>1081</v>
      </c>
    </row>
    <row r="529" spans="1:38">
      <c r="A529" s="33" t="s">
        <v>2615</v>
      </c>
      <c r="B529" s="33"/>
      <c r="C529" s="33" t="s">
        <v>789</v>
      </c>
      <c r="D529" s="33" t="s">
        <v>2616</v>
      </c>
      <c r="E529" s="33" t="s">
        <v>2617</v>
      </c>
      <c r="F529" s="43">
        <v>46150.958333333336</v>
      </c>
      <c r="G529" s="33" t="s">
        <v>216</v>
      </c>
      <c r="H529" s="33"/>
      <c r="I529" s="33" t="s">
        <v>73</v>
      </c>
      <c r="J529" s="33" t="s">
        <v>346</v>
      </c>
      <c r="K529" s="33" t="s">
        <v>75</v>
      </c>
      <c r="L529" s="33" t="s">
        <v>2618</v>
      </c>
      <c r="M529" s="43">
        <v>46153.719050925924</v>
      </c>
      <c r="N529" s="33" t="s">
        <v>2619</v>
      </c>
      <c r="O529" s="33" t="s">
        <v>797</v>
      </c>
      <c r="P529" s="33" t="s">
        <v>140</v>
      </c>
      <c r="Q529" s="33"/>
      <c r="R529" s="33"/>
      <c r="S529" s="33"/>
      <c r="T529" s="33" t="s">
        <v>350</v>
      </c>
      <c r="U529" s="33"/>
      <c r="V529" s="33"/>
      <c r="W529" s="33" t="s">
        <v>2591</v>
      </c>
      <c r="X529" s="43">
        <v>46153.505555555559</v>
      </c>
      <c r="Y529" s="58">
        <v>0.21458333333333332</v>
      </c>
      <c r="Z529" s="33" t="s">
        <v>350</v>
      </c>
      <c r="AA529" s="43">
        <v>46153.333333333336</v>
      </c>
      <c r="AB529" s="33" t="s">
        <v>1052</v>
      </c>
      <c r="AC529" s="33" t="s">
        <v>352</v>
      </c>
      <c r="AD529" s="44">
        <v>2.7805555555555554</v>
      </c>
      <c r="AE529" s="33"/>
      <c r="AF529" s="44">
        <v>2.7805555555555554</v>
      </c>
      <c r="AG529" s="33" t="s">
        <v>2620</v>
      </c>
      <c r="AH529" s="33">
        <v>3</v>
      </c>
      <c r="AI529" s="43">
        <v>46153.720138888886</v>
      </c>
      <c r="AJ529" s="33" t="s">
        <v>73</v>
      </c>
      <c r="AK529" s="42">
        <v>925600.03</v>
      </c>
      <c r="AL529" s="33" t="s">
        <v>2621</v>
      </c>
    </row>
    <row r="530" spans="1:38">
      <c r="A530" s="33" t="s">
        <v>2622</v>
      </c>
      <c r="B530" s="33"/>
      <c r="C530" s="33" t="s">
        <v>789</v>
      </c>
      <c r="D530" s="33" t="s">
        <v>2623</v>
      </c>
      <c r="E530" s="33" t="s">
        <v>2624</v>
      </c>
      <c r="F530" s="43">
        <v>46150.958333333336</v>
      </c>
      <c r="G530" s="33" t="s">
        <v>216</v>
      </c>
      <c r="H530" s="33"/>
      <c r="I530" s="33" t="s">
        <v>73</v>
      </c>
      <c r="J530" s="33" t="s">
        <v>346</v>
      </c>
      <c r="K530" s="33" t="s">
        <v>75</v>
      </c>
      <c r="L530" s="33" t="s">
        <v>218</v>
      </c>
      <c r="M530" s="43">
        <v>46152.884965277779</v>
      </c>
      <c r="N530" s="33" t="s">
        <v>2625</v>
      </c>
      <c r="O530" s="33" t="s">
        <v>797</v>
      </c>
      <c r="P530" s="33" t="s">
        <v>140</v>
      </c>
      <c r="Q530" s="33"/>
      <c r="R530" s="33"/>
      <c r="S530" s="33"/>
      <c r="T530" s="33" t="s">
        <v>350</v>
      </c>
      <c r="U530" s="43">
        <v>46152.879166666666</v>
      </c>
      <c r="V530" s="58">
        <v>5.5555555555555558E-3</v>
      </c>
      <c r="W530" s="33" t="s">
        <v>350</v>
      </c>
      <c r="X530" s="43">
        <v>46152.879166666666</v>
      </c>
      <c r="Y530" s="58">
        <v>5.5555555555555558E-3</v>
      </c>
      <c r="Z530" s="33" t="s">
        <v>350</v>
      </c>
      <c r="AA530" s="43">
        <v>46154.333333333336</v>
      </c>
      <c r="AB530" s="33" t="s">
        <v>2626</v>
      </c>
      <c r="AC530" s="33" t="s">
        <v>352</v>
      </c>
      <c r="AD530" s="44">
        <v>1.9409722222222223</v>
      </c>
      <c r="AE530" s="33"/>
      <c r="AF530" s="44">
        <v>1.9409722222222223</v>
      </c>
      <c r="AG530" s="33"/>
      <c r="AH530" s="33">
        <v>1</v>
      </c>
      <c r="AI530" s="43">
        <v>46152.879166666666</v>
      </c>
      <c r="AJ530" s="33" t="s">
        <v>73</v>
      </c>
      <c r="AK530" s="42">
        <v>688568.58</v>
      </c>
      <c r="AL530" s="33" t="s">
        <v>2627</v>
      </c>
    </row>
    <row r="531" spans="1:38">
      <c r="A531" s="33" t="s">
        <v>2628</v>
      </c>
      <c r="B531" s="33"/>
      <c r="C531" s="33" t="s">
        <v>789</v>
      </c>
      <c r="D531" s="33" t="s">
        <v>599</v>
      </c>
      <c r="E531" s="33" t="s">
        <v>2629</v>
      </c>
      <c r="F531" s="43">
        <v>46150.958333333336</v>
      </c>
      <c r="G531" s="33" t="s">
        <v>171</v>
      </c>
      <c r="H531" s="33"/>
      <c r="I531" s="33" t="s">
        <v>793</v>
      </c>
      <c r="J531" s="33" t="s">
        <v>1263</v>
      </c>
      <c r="K531" s="33" t="s">
        <v>75</v>
      </c>
      <c r="L531" s="33" t="s">
        <v>2150</v>
      </c>
      <c r="M531" s="43">
        <v>46150.975706018522</v>
      </c>
      <c r="N531" s="33" t="s">
        <v>603</v>
      </c>
      <c r="O531" s="33" t="s">
        <v>797</v>
      </c>
      <c r="P531" s="33" t="s">
        <v>798</v>
      </c>
      <c r="Q531" s="33"/>
      <c r="R531" s="33"/>
      <c r="S531" s="33"/>
      <c r="T531" s="33" t="s">
        <v>308</v>
      </c>
      <c r="U531" s="43">
        <v>46150.970138888886</v>
      </c>
      <c r="V531" s="58">
        <v>5.5555555555555558E-3</v>
      </c>
      <c r="W531" s="33" t="s">
        <v>308</v>
      </c>
      <c r="X531" s="43">
        <v>46150.970138888886</v>
      </c>
      <c r="Y531" s="58">
        <v>5.5555555555555558E-3</v>
      </c>
      <c r="Z531" s="33" t="s">
        <v>308</v>
      </c>
      <c r="AA531" s="43">
        <v>46156</v>
      </c>
      <c r="AB531" s="33" t="s">
        <v>81</v>
      </c>
      <c r="AC531" s="33" t="s">
        <v>1266</v>
      </c>
      <c r="AD531" s="58">
        <v>1.8055555555555554E-2</v>
      </c>
      <c r="AE531" s="33"/>
      <c r="AF531" s="58">
        <v>1.8055555555555554E-2</v>
      </c>
      <c r="AG531" s="33" t="s">
        <v>969</v>
      </c>
      <c r="AH531" s="33">
        <v>1</v>
      </c>
      <c r="AI531" s="43">
        <v>46150.970138888886</v>
      </c>
      <c r="AJ531" s="33" t="s">
        <v>793</v>
      </c>
      <c r="AK531" s="42">
        <v>655572</v>
      </c>
      <c r="AL531" s="33" t="s">
        <v>609</v>
      </c>
    </row>
    <row r="532" spans="1:38">
      <c r="A532" s="33">
        <v>6003688</v>
      </c>
      <c r="B532" s="33"/>
      <c r="C532" s="33" t="s">
        <v>789</v>
      </c>
      <c r="D532" s="33" t="s">
        <v>2630</v>
      </c>
      <c r="E532" s="33" t="s">
        <v>2631</v>
      </c>
      <c r="F532" s="43">
        <v>46150.989583333336</v>
      </c>
      <c r="G532" s="33" t="s">
        <v>227</v>
      </c>
      <c r="H532" s="33"/>
      <c r="I532" s="33" t="s">
        <v>73</v>
      </c>
      <c r="J532" s="33" t="s">
        <v>2632</v>
      </c>
      <c r="K532" s="33" t="s">
        <v>75</v>
      </c>
      <c r="L532" s="33" t="s">
        <v>2633</v>
      </c>
      <c r="M532" s="43">
        <v>46151.384675925925</v>
      </c>
      <c r="N532" s="33" t="s">
        <v>2634</v>
      </c>
      <c r="O532" s="33" t="s">
        <v>797</v>
      </c>
      <c r="P532" s="33" t="s">
        <v>79</v>
      </c>
      <c r="Q532" s="33"/>
      <c r="R532" s="33"/>
      <c r="S532" s="33"/>
      <c r="T532" s="33" t="s">
        <v>2412</v>
      </c>
      <c r="U532" s="33"/>
      <c r="V532" s="33"/>
      <c r="W532" s="33"/>
      <c r="X532" s="33"/>
      <c r="Y532" s="33"/>
      <c r="Z532" s="33" t="s">
        <v>2412</v>
      </c>
      <c r="AA532" s="43">
        <v>46154.25</v>
      </c>
      <c r="AB532" s="33" t="s">
        <v>1180</v>
      </c>
      <c r="AC532" s="33" t="s">
        <v>2635</v>
      </c>
      <c r="AD532" s="58">
        <v>0.4236111111111111</v>
      </c>
      <c r="AE532" s="33"/>
      <c r="AF532" s="58">
        <v>0.4236111111111111</v>
      </c>
      <c r="AG532" s="33" t="s">
        <v>2636</v>
      </c>
      <c r="AH532" s="33">
        <v>2</v>
      </c>
      <c r="AI532" s="43">
        <v>46151.422222222223</v>
      </c>
      <c r="AJ532" s="33" t="s">
        <v>73</v>
      </c>
      <c r="AK532" s="42">
        <v>147296.25</v>
      </c>
      <c r="AL532" s="33" t="s">
        <v>2637</v>
      </c>
    </row>
    <row r="533" spans="1:38">
      <c r="A533" s="33" t="s">
        <v>2638</v>
      </c>
      <c r="B533" s="33"/>
      <c r="C533" s="33" t="s">
        <v>789</v>
      </c>
      <c r="D533" s="33" t="s">
        <v>2639</v>
      </c>
      <c r="E533" s="33" t="s">
        <v>2640</v>
      </c>
      <c r="F533" s="43">
        <v>46151.208333333336</v>
      </c>
      <c r="G533" s="33" t="s">
        <v>553</v>
      </c>
      <c r="H533" s="33"/>
      <c r="I533" s="33" t="s">
        <v>73</v>
      </c>
      <c r="J533" s="33" t="s">
        <v>2641</v>
      </c>
      <c r="K533" s="33" t="s">
        <v>75</v>
      </c>
      <c r="L533" s="33" t="s">
        <v>2642</v>
      </c>
      <c r="M533" s="43">
        <v>46153.64565972222</v>
      </c>
      <c r="N533" s="33" t="s">
        <v>2643</v>
      </c>
      <c r="O533" s="33" t="s">
        <v>797</v>
      </c>
      <c r="P533" s="33" t="s">
        <v>308</v>
      </c>
      <c r="Q533" s="43">
        <v>46151.000694444447</v>
      </c>
      <c r="R533" s="43">
        <v>46151.056250000001</v>
      </c>
      <c r="S533" s="58">
        <v>5.5555555555555552E-2</v>
      </c>
      <c r="T533" s="33" t="s">
        <v>2644</v>
      </c>
      <c r="U533" s="43">
        <v>46153.515972222223</v>
      </c>
      <c r="V533" s="58">
        <v>0.11527777777777778</v>
      </c>
      <c r="W533" s="33" t="s">
        <v>2644</v>
      </c>
      <c r="X533" s="43">
        <v>46153.515972222223</v>
      </c>
      <c r="Y533" s="58">
        <v>0.12986111111111112</v>
      </c>
      <c r="Z533" s="33" t="s">
        <v>2644</v>
      </c>
      <c r="AA533" s="43">
        <v>46153.333333333336</v>
      </c>
      <c r="AB533" s="33" t="s">
        <v>606</v>
      </c>
      <c r="AC533" s="33" t="s">
        <v>2645</v>
      </c>
      <c r="AD533" s="44">
        <v>2.6451388888888889</v>
      </c>
      <c r="AE533" s="58">
        <v>0.16875000000000001</v>
      </c>
      <c r="AF533" s="44">
        <v>2.6451388888888889</v>
      </c>
      <c r="AG533" s="33" t="s">
        <v>2646</v>
      </c>
      <c r="AH533" s="33">
        <v>4</v>
      </c>
      <c r="AI533" s="43">
        <v>46153.515972222223</v>
      </c>
      <c r="AJ533" s="33" t="s">
        <v>73</v>
      </c>
      <c r="AK533" s="42">
        <v>893085.46</v>
      </c>
      <c r="AL533" s="33" t="s">
        <v>2647</v>
      </c>
    </row>
    <row r="534" spans="1:38">
      <c r="A534" s="33">
        <v>6013833</v>
      </c>
      <c r="B534" s="33"/>
      <c r="C534" s="33" t="s">
        <v>789</v>
      </c>
      <c r="D534" s="33" t="s">
        <v>2648</v>
      </c>
      <c r="E534" s="33" t="s">
        <v>2649</v>
      </c>
      <c r="F534" s="43">
        <v>46151.370833333334</v>
      </c>
      <c r="G534" s="33" t="s">
        <v>216</v>
      </c>
      <c r="H534" s="33"/>
      <c r="I534" s="33" t="s">
        <v>73</v>
      </c>
      <c r="J534" s="33" t="s">
        <v>2650</v>
      </c>
      <c r="K534" s="33" t="s">
        <v>75</v>
      </c>
      <c r="L534" s="33" t="s">
        <v>2284</v>
      </c>
      <c r="M534" s="43">
        <v>46154.451180555552</v>
      </c>
      <c r="N534" s="33" t="s">
        <v>2651</v>
      </c>
      <c r="O534" s="33" t="s">
        <v>797</v>
      </c>
      <c r="P534" s="33" t="s">
        <v>79</v>
      </c>
      <c r="Q534" s="33"/>
      <c r="R534" s="33"/>
      <c r="S534" s="33"/>
      <c r="T534" s="33" t="s">
        <v>2286</v>
      </c>
      <c r="U534" s="43">
        <v>46153.106944444444</v>
      </c>
      <c r="V534" s="44">
        <v>1.3402777777777777</v>
      </c>
      <c r="W534" s="33" t="s">
        <v>2286</v>
      </c>
      <c r="X534" s="43">
        <v>46153.106944444444</v>
      </c>
      <c r="Y534" s="44">
        <v>1.3458333333333334</v>
      </c>
      <c r="Z534" s="33" t="s">
        <v>2286</v>
      </c>
      <c r="AA534" s="43">
        <v>46154.25</v>
      </c>
      <c r="AB534" s="33" t="s">
        <v>81</v>
      </c>
      <c r="AC534" s="33" t="s">
        <v>2652</v>
      </c>
      <c r="AD534" s="44">
        <v>3.3868055555555556</v>
      </c>
      <c r="AE534" s="33"/>
      <c r="AF534" s="44">
        <v>3.3868055555555556</v>
      </c>
      <c r="AG534" s="33" t="s">
        <v>2653</v>
      </c>
      <c r="AH534" s="33">
        <v>1</v>
      </c>
      <c r="AI534" s="43">
        <v>46153.106944444444</v>
      </c>
      <c r="AJ534" s="33" t="s">
        <v>73</v>
      </c>
      <c r="AK534" s="42">
        <v>179529.03</v>
      </c>
      <c r="AL534" s="33" t="s">
        <v>2654</v>
      </c>
    </row>
    <row r="535" spans="1:38">
      <c r="A535" s="33">
        <v>5981361</v>
      </c>
      <c r="B535" s="33"/>
      <c r="C535" s="33" t="s">
        <v>789</v>
      </c>
      <c r="D535" s="33" t="s">
        <v>1047</v>
      </c>
      <c r="E535" s="33" t="s">
        <v>2655</v>
      </c>
      <c r="F535" s="43">
        <v>46151.166666666664</v>
      </c>
      <c r="G535" s="33" t="s">
        <v>792</v>
      </c>
      <c r="H535" s="33"/>
      <c r="I535" s="33" t="s">
        <v>793</v>
      </c>
      <c r="J535" s="33" t="s">
        <v>1147</v>
      </c>
      <c r="K535" s="33" t="s">
        <v>75</v>
      </c>
      <c r="L535" s="33" t="s">
        <v>2656</v>
      </c>
      <c r="M535" s="43">
        <v>46151.201493055552</v>
      </c>
      <c r="N535" s="33" t="s">
        <v>1051</v>
      </c>
      <c r="O535" s="33" t="s">
        <v>797</v>
      </c>
      <c r="P535" s="33" t="s">
        <v>799</v>
      </c>
      <c r="Q535" s="43">
        <v>46151.143750000003</v>
      </c>
      <c r="R535" s="43">
        <v>46151.182638888888</v>
      </c>
      <c r="S535" s="58">
        <v>3.888888888888889E-2</v>
      </c>
      <c r="T535" s="33" t="s">
        <v>140</v>
      </c>
      <c r="U535" s="33"/>
      <c r="V535" s="33"/>
      <c r="W535" s="33"/>
      <c r="X535" s="33"/>
      <c r="Y535" s="33"/>
      <c r="Z535" s="33" t="s">
        <v>140</v>
      </c>
      <c r="AA535" s="43">
        <v>46151.208333333336</v>
      </c>
      <c r="AB535" s="33" t="s">
        <v>1138</v>
      </c>
      <c r="AC535" s="33" t="s">
        <v>1149</v>
      </c>
      <c r="AD535" s="58">
        <v>7.2222222222222215E-2</v>
      </c>
      <c r="AE535" s="33"/>
      <c r="AF535" s="58">
        <v>7.2222222222222215E-2</v>
      </c>
      <c r="AG535" s="33" t="s">
        <v>2504</v>
      </c>
      <c r="AH535" s="33">
        <v>1</v>
      </c>
      <c r="AI535" s="43">
        <v>46151.20208333333</v>
      </c>
      <c r="AJ535" s="33" t="s">
        <v>793</v>
      </c>
      <c r="AK535" s="42">
        <v>557108.28</v>
      </c>
      <c r="AL535" s="33" t="s">
        <v>1055</v>
      </c>
    </row>
    <row r="536" spans="1:38">
      <c r="A536" s="33">
        <v>6003599</v>
      </c>
      <c r="B536" s="33"/>
      <c r="C536" s="33" t="s">
        <v>789</v>
      </c>
      <c r="D536" s="33" t="s">
        <v>2657</v>
      </c>
      <c r="E536" s="33" t="s">
        <v>2658</v>
      </c>
      <c r="F536" s="43">
        <v>46151.333333333336</v>
      </c>
      <c r="G536" s="33" t="s">
        <v>102</v>
      </c>
      <c r="H536" s="33"/>
      <c r="I536" s="33" t="s">
        <v>73</v>
      </c>
      <c r="J536" s="33" t="s">
        <v>2659</v>
      </c>
      <c r="K536" s="33" t="s">
        <v>75</v>
      </c>
      <c r="L536" s="33"/>
      <c r="M536" s="43">
        <v>46155.820347222223</v>
      </c>
      <c r="N536" s="33" t="s">
        <v>2660</v>
      </c>
      <c r="O536" s="33" t="s">
        <v>797</v>
      </c>
      <c r="P536" s="33" t="s">
        <v>79</v>
      </c>
      <c r="Q536" s="43">
        <v>46151.230555555558</v>
      </c>
      <c r="R536" s="43">
        <v>46151.419444444444</v>
      </c>
      <c r="S536" s="58">
        <v>0.18888888888888888</v>
      </c>
      <c r="T536" s="33" t="s">
        <v>2190</v>
      </c>
      <c r="U536" s="43">
        <v>46155.021527777775</v>
      </c>
      <c r="V536" s="58">
        <v>0.85416666666666663</v>
      </c>
      <c r="W536" s="33" t="s">
        <v>2190</v>
      </c>
      <c r="X536" s="43">
        <v>46155.021527777775</v>
      </c>
      <c r="Y536" s="58">
        <v>0.85416666666666663</v>
      </c>
      <c r="Z536" s="33" t="s">
        <v>2190</v>
      </c>
      <c r="AA536" s="43">
        <v>46155.291666666664</v>
      </c>
      <c r="AB536" s="33" t="s">
        <v>81</v>
      </c>
      <c r="AC536" s="33" t="s">
        <v>2661</v>
      </c>
      <c r="AD536" s="44">
        <v>4.6479166666666663</v>
      </c>
      <c r="AE536" s="44">
        <v>4.4006944444444445</v>
      </c>
      <c r="AF536" s="44">
        <v>4.6479166666666663</v>
      </c>
      <c r="AG536" s="33" t="s">
        <v>2662</v>
      </c>
      <c r="AH536" s="33">
        <v>2</v>
      </c>
      <c r="AI536" s="43">
        <v>46155.021527777775</v>
      </c>
      <c r="AJ536" s="33" t="s">
        <v>73</v>
      </c>
      <c r="AK536" s="42">
        <v>171632.25</v>
      </c>
      <c r="AL536" s="33" t="s">
        <v>2663</v>
      </c>
    </row>
    <row r="537" spans="1:38">
      <c r="A537" s="33">
        <v>5983814</v>
      </c>
      <c r="B537" s="33"/>
      <c r="C537" s="33" t="s">
        <v>789</v>
      </c>
      <c r="D537" s="33" t="s">
        <v>1032</v>
      </c>
      <c r="E537" s="33" t="s">
        <v>2664</v>
      </c>
      <c r="F537" s="43">
        <v>46151.333333333336</v>
      </c>
      <c r="G537" s="33" t="s">
        <v>792</v>
      </c>
      <c r="H537" s="33"/>
      <c r="I537" s="33" t="s">
        <v>793</v>
      </c>
      <c r="J537" s="33" t="s">
        <v>1147</v>
      </c>
      <c r="K537" s="33" t="s">
        <v>1012</v>
      </c>
      <c r="L537" s="33" t="s">
        <v>1094</v>
      </c>
      <c r="M537" s="43">
        <v>46151.349594907406</v>
      </c>
      <c r="N537" s="33" t="s">
        <v>1036</v>
      </c>
      <c r="O537" s="33" t="s">
        <v>797</v>
      </c>
      <c r="P537" s="33" t="s">
        <v>799</v>
      </c>
      <c r="Q537" s="43">
        <v>46151.286111111112</v>
      </c>
      <c r="R537" s="43">
        <v>46151.316666666666</v>
      </c>
      <c r="S537" s="58">
        <v>3.0555555555555555E-2</v>
      </c>
      <c r="T537" s="33" t="s">
        <v>140</v>
      </c>
      <c r="U537" s="43">
        <v>46151.34097222222</v>
      </c>
      <c r="V537" s="58">
        <v>8.3333333333333332E-3</v>
      </c>
      <c r="W537" s="33" t="s">
        <v>140</v>
      </c>
      <c r="X537" s="43">
        <v>46151.34097222222</v>
      </c>
      <c r="Y537" s="58">
        <v>8.3333333333333332E-3</v>
      </c>
      <c r="Z537" s="33" t="s">
        <v>140</v>
      </c>
      <c r="AA537" s="43">
        <v>46151.375</v>
      </c>
      <c r="AB537" s="33" t="s">
        <v>606</v>
      </c>
      <c r="AC537" s="33" t="s">
        <v>1149</v>
      </c>
      <c r="AD537" s="58">
        <v>8.4722222222222227E-2</v>
      </c>
      <c r="AE537" s="58">
        <v>3.2638888888888891E-2</v>
      </c>
      <c r="AF537" s="58">
        <v>8.4722222222222227E-2</v>
      </c>
      <c r="AG537" s="33" t="s">
        <v>1038</v>
      </c>
      <c r="AH537" s="33">
        <v>2</v>
      </c>
      <c r="AI537" s="43">
        <v>46151.34097222222</v>
      </c>
      <c r="AJ537" s="33" t="s">
        <v>793</v>
      </c>
      <c r="AK537" s="42">
        <v>612494.68000000005</v>
      </c>
      <c r="AL537" s="33" t="s">
        <v>1039</v>
      </c>
    </row>
    <row r="538" spans="1:38">
      <c r="A538" s="33">
        <v>5984849</v>
      </c>
      <c r="B538" s="33"/>
      <c r="C538" s="33" t="s">
        <v>789</v>
      </c>
      <c r="D538" s="33" t="s">
        <v>1047</v>
      </c>
      <c r="E538" s="33" t="s">
        <v>2665</v>
      </c>
      <c r="F538" s="43">
        <v>46151.333333333336</v>
      </c>
      <c r="G538" s="33" t="s">
        <v>792</v>
      </c>
      <c r="H538" s="33"/>
      <c r="I538" s="33" t="s">
        <v>793</v>
      </c>
      <c r="J538" s="33" t="s">
        <v>1147</v>
      </c>
      <c r="K538" s="33" t="s">
        <v>75</v>
      </c>
      <c r="L538" s="33" t="s">
        <v>1204</v>
      </c>
      <c r="M538" s="43">
        <v>46151.328206018516</v>
      </c>
      <c r="N538" s="33" t="s">
        <v>1051</v>
      </c>
      <c r="O538" s="33" t="s">
        <v>797</v>
      </c>
      <c r="P538" s="33" t="s">
        <v>799</v>
      </c>
      <c r="Q538" s="43">
        <v>46151.268055555556</v>
      </c>
      <c r="R538" s="43">
        <v>46151.304861111108</v>
      </c>
      <c r="S538" s="58">
        <v>3.6805555555555557E-2</v>
      </c>
      <c r="T538" s="33" t="s">
        <v>140</v>
      </c>
      <c r="U538" s="33"/>
      <c r="V538" s="33"/>
      <c r="W538" s="33"/>
      <c r="X538" s="33"/>
      <c r="Y538" s="33"/>
      <c r="Z538" s="33" t="s">
        <v>140</v>
      </c>
      <c r="AA538" s="43">
        <v>46151.375</v>
      </c>
      <c r="AB538" s="33" t="s">
        <v>1138</v>
      </c>
      <c r="AC538" s="33" t="s">
        <v>1149</v>
      </c>
      <c r="AD538" s="58">
        <v>8.2638888888888887E-2</v>
      </c>
      <c r="AE538" s="33"/>
      <c r="AF538" s="58">
        <v>8.2638888888888887E-2</v>
      </c>
      <c r="AG538" s="33" t="s">
        <v>1205</v>
      </c>
      <c r="AH538" s="33">
        <v>1</v>
      </c>
      <c r="AI538" s="43">
        <v>46151.32916666667</v>
      </c>
      <c r="AJ538" s="33" t="s">
        <v>793</v>
      </c>
      <c r="AK538" s="42">
        <v>647012.69999999995</v>
      </c>
      <c r="AL538" s="33" t="s">
        <v>1055</v>
      </c>
    </row>
    <row r="539" spans="1:38">
      <c r="A539" s="33">
        <v>5984858</v>
      </c>
      <c r="B539" s="33"/>
      <c r="C539" s="33" t="s">
        <v>789</v>
      </c>
      <c r="D539" s="33" t="s">
        <v>2458</v>
      </c>
      <c r="E539" s="33" t="s">
        <v>2666</v>
      </c>
      <c r="F539" s="43">
        <v>46151.375</v>
      </c>
      <c r="G539" s="33" t="s">
        <v>792</v>
      </c>
      <c r="H539" s="33"/>
      <c r="I539" s="33" t="s">
        <v>793</v>
      </c>
      <c r="J539" s="33" t="s">
        <v>1147</v>
      </c>
      <c r="K539" s="33" t="s">
        <v>75</v>
      </c>
      <c r="L539" s="33" t="s">
        <v>1094</v>
      </c>
      <c r="M539" s="43">
        <v>46151.464282407411</v>
      </c>
      <c r="N539" s="33" t="s">
        <v>2462</v>
      </c>
      <c r="O539" s="33" t="s">
        <v>797</v>
      </c>
      <c r="P539" s="33" t="s">
        <v>799</v>
      </c>
      <c r="Q539" s="43">
        <v>46151.352777777778</v>
      </c>
      <c r="R539" s="43">
        <v>46151.436111111114</v>
      </c>
      <c r="S539" s="58">
        <v>8.3333333333333329E-2</v>
      </c>
      <c r="T539" s="33" t="s">
        <v>140</v>
      </c>
      <c r="U539" s="43">
        <v>46151.436111111114</v>
      </c>
      <c r="V539" s="58">
        <v>2.7777777777777776E-2</v>
      </c>
      <c r="W539" s="33" t="s">
        <v>140</v>
      </c>
      <c r="X539" s="43">
        <v>46151.436111111114</v>
      </c>
      <c r="Y539" s="58">
        <v>2.7777777777777776E-2</v>
      </c>
      <c r="Z539" s="33" t="s">
        <v>140</v>
      </c>
      <c r="AA539" s="43">
        <v>46151.416666666664</v>
      </c>
      <c r="AB539" s="33" t="s">
        <v>81</v>
      </c>
      <c r="AC539" s="33" t="s">
        <v>1149</v>
      </c>
      <c r="AD539" s="58">
        <v>0.11458333333333333</v>
      </c>
      <c r="AE539" s="58">
        <v>2.8472222222222222E-2</v>
      </c>
      <c r="AF539" s="58">
        <v>0.11458333333333333</v>
      </c>
      <c r="AG539" s="33" t="s">
        <v>2463</v>
      </c>
      <c r="AH539" s="33">
        <v>2</v>
      </c>
      <c r="AI539" s="43">
        <v>46151.436111111114</v>
      </c>
      <c r="AJ539" s="33" t="s">
        <v>793</v>
      </c>
      <c r="AK539" s="42">
        <v>647012.69999999995</v>
      </c>
      <c r="AL539" s="33" t="s">
        <v>2464</v>
      </c>
    </row>
    <row r="540" spans="1:38">
      <c r="A540" s="33">
        <v>6005807</v>
      </c>
      <c r="B540" s="33"/>
      <c r="C540" s="33" t="s">
        <v>789</v>
      </c>
      <c r="D540" s="33" t="s">
        <v>2667</v>
      </c>
      <c r="E540" s="33" t="s">
        <v>2668</v>
      </c>
      <c r="F540" s="43">
        <v>46152.875</v>
      </c>
      <c r="G540" s="33" t="s">
        <v>227</v>
      </c>
      <c r="H540" s="33"/>
      <c r="I540" s="33" t="s">
        <v>73</v>
      </c>
      <c r="J540" s="33" t="s">
        <v>1927</v>
      </c>
      <c r="K540" s="33" t="s">
        <v>75</v>
      </c>
      <c r="L540" s="33" t="s">
        <v>2669</v>
      </c>
      <c r="M540" s="43">
        <v>46152.96670138889</v>
      </c>
      <c r="N540" s="33" t="s">
        <v>1810</v>
      </c>
      <c r="O540" s="33" t="s">
        <v>797</v>
      </c>
      <c r="P540" s="33" t="s">
        <v>79</v>
      </c>
      <c r="Q540" s="33"/>
      <c r="R540" s="33"/>
      <c r="S540" s="33"/>
      <c r="T540" s="33" t="s">
        <v>750</v>
      </c>
      <c r="U540" s="43">
        <v>46152.939583333333</v>
      </c>
      <c r="V540" s="58">
        <v>2.5694444444444443E-2</v>
      </c>
      <c r="W540" s="33" t="s">
        <v>750</v>
      </c>
      <c r="X540" s="43">
        <v>46152.939583333333</v>
      </c>
      <c r="Y540" s="58">
        <v>2.5694444444444443E-2</v>
      </c>
      <c r="Z540" s="33" t="s">
        <v>750</v>
      </c>
      <c r="AA540" s="43">
        <v>46152.958333333336</v>
      </c>
      <c r="AB540" s="33" t="s">
        <v>81</v>
      </c>
      <c r="AC540" s="33" t="s">
        <v>1930</v>
      </c>
      <c r="AD540" s="44">
        <v>1.554861111111111</v>
      </c>
      <c r="AE540" s="58">
        <v>4.8611111111111112E-2</v>
      </c>
      <c r="AF540" s="44">
        <v>1.554861111111111</v>
      </c>
      <c r="AG540" s="33" t="s">
        <v>1931</v>
      </c>
      <c r="AH540" s="33">
        <v>2</v>
      </c>
      <c r="AI540" s="43">
        <v>46152.939583333333</v>
      </c>
      <c r="AJ540" s="33" t="s">
        <v>73</v>
      </c>
      <c r="AK540" s="42">
        <v>131667.01</v>
      </c>
      <c r="AL540" s="33" t="s">
        <v>2670</v>
      </c>
    </row>
    <row r="541" spans="1:38">
      <c r="A541" s="33">
        <v>6015015</v>
      </c>
      <c r="B541" s="33"/>
      <c r="C541" s="33" t="s">
        <v>789</v>
      </c>
      <c r="D541" s="33" t="s">
        <v>2671</v>
      </c>
      <c r="E541" s="33" t="s">
        <v>2672</v>
      </c>
      <c r="F541" s="43">
        <v>46151.479166666664</v>
      </c>
      <c r="G541" s="33" t="s">
        <v>227</v>
      </c>
      <c r="H541" s="33"/>
      <c r="I541" s="33" t="s">
        <v>73</v>
      </c>
      <c r="J541" s="33" t="s">
        <v>2673</v>
      </c>
      <c r="K541" s="33" t="s">
        <v>75</v>
      </c>
      <c r="L541" s="33" t="s">
        <v>2674</v>
      </c>
      <c r="M541" s="43">
        <v>46152.85864583333</v>
      </c>
      <c r="N541" s="33" t="s">
        <v>2675</v>
      </c>
      <c r="O541" s="33" t="s">
        <v>797</v>
      </c>
      <c r="P541" s="33" t="s">
        <v>79</v>
      </c>
      <c r="Q541" s="33"/>
      <c r="R541" s="33"/>
      <c r="S541" s="33"/>
      <c r="T541" s="33" t="s">
        <v>726</v>
      </c>
      <c r="U541" s="33"/>
      <c r="V541" s="33"/>
      <c r="W541" s="33"/>
      <c r="X541" s="33"/>
      <c r="Y541" s="33"/>
      <c r="Z541" s="33" t="s">
        <v>2676</v>
      </c>
      <c r="AA541" s="43">
        <v>46156.333333333336</v>
      </c>
      <c r="AB541" s="33" t="s">
        <v>2677</v>
      </c>
      <c r="AC541" s="33" t="s">
        <v>2678</v>
      </c>
      <c r="AD541" s="44">
        <v>1.3909722222222223</v>
      </c>
      <c r="AE541" s="33"/>
      <c r="AF541" s="44">
        <v>1.3909722222222223</v>
      </c>
      <c r="AG541" s="33" t="s">
        <v>2679</v>
      </c>
      <c r="AH541" s="33">
        <v>3</v>
      </c>
      <c r="AI541" s="43">
        <v>46153.199305555558</v>
      </c>
      <c r="AJ541" s="33" t="s">
        <v>73</v>
      </c>
      <c r="AK541" s="42">
        <v>177074.75</v>
      </c>
      <c r="AL541" s="33" t="s">
        <v>2680</v>
      </c>
    </row>
    <row r="542" spans="1:38">
      <c r="A542" s="33">
        <v>6014902</v>
      </c>
      <c r="B542" s="33"/>
      <c r="C542" s="33" t="s">
        <v>789</v>
      </c>
      <c r="D542" s="33" t="s">
        <v>302</v>
      </c>
      <c r="E542" s="33" t="s">
        <v>2681</v>
      </c>
      <c r="F542" s="43">
        <v>46151.583333333336</v>
      </c>
      <c r="G542" s="33" t="s">
        <v>227</v>
      </c>
      <c r="H542" s="33"/>
      <c r="I542" s="33" t="s">
        <v>73</v>
      </c>
      <c r="J542" s="33" t="s">
        <v>2297</v>
      </c>
      <c r="K542" s="33" t="s">
        <v>75</v>
      </c>
      <c r="L542" s="33" t="s">
        <v>1928</v>
      </c>
      <c r="M542" s="43">
        <v>46151.884351851855</v>
      </c>
      <c r="N542" s="33" t="s">
        <v>307</v>
      </c>
      <c r="O542" s="33" t="s">
        <v>797</v>
      </c>
      <c r="P542" s="33" t="s">
        <v>79</v>
      </c>
      <c r="Q542" s="43">
        <v>46151.472222222219</v>
      </c>
      <c r="R542" s="43">
        <v>46151.479166666664</v>
      </c>
      <c r="S542" s="58">
        <v>6.9444444444444441E-3</v>
      </c>
      <c r="T542" s="33" t="s">
        <v>2300</v>
      </c>
      <c r="U542" s="33"/>
      <c r="V542" s="33"/>
      <c r="W542" s="33" t="s">
        <v>1740</v>
      </c>
      <c r="X542" s="43">
        <v>46151.870138888888</v>
      </c>
      <c r="Y542" s="58">
        <v>1.1111111111111112E-2</v>
      </c>
      <c r="Z542" s="33" t="s">
        <v>2300</v>
      </c>
      <c r="AA542" s="43">
        <v>46157.333333333336</v>
      </c>
      <c r="AB542" s="33" t="s">
        <v>2471</v>
      </c>
      <c r="AC542" s="33" t="s">
        <v>2301</v>
      </c>
      <c r="AD542" s="58">
        <v>0.40486111111111112</v>
      </c>
      <c r="AE542" s="33"/>
      <c r="AF542" s="58">
        <v>0.40486111111111112</v>
      </c>
      <c r="AG542" s="33" t="s">
        <v>2682</v>
      </c>
      <c r="AH542" s="33">
        <v>2</v>
      </c>
      <c r="AI542" s="43">
        <v>46151.9375</v>
      </c>
      <c r="AJ542" s="33" t="s">
        <v>73</v>
      </c>
      <c r="AK542" s="42">
        <v>365010.37</v>
      </c>
      <c r="AL542" s="33" t="s">
        <v>312</v>
      </c>
    </row>
    <row r="543" spans="1:38">
      <c r="A543" s="33" t="s">
        <v>2176</v>
      </c>
      <c r="B543" s="33"/>
      <c r="C543" s="33" t="s">
        <v>789</v>
      </c>
      <c r="D543" s="33" t="s">
        <v>1552</v>
      </c>
      <c r="E543" s="33" t="s">
        <v>2683</v>
      </c>
      <c r="F543" s="43">
        <v>46151.497916666667</v>
      </c>
      <c r="G543" s="33" t="s">
        <v>216</v>
      </c>
      <c r="H543" s="33"/>
      <c r="I543" s="33" t="s">
        <v>73</v>
      </c>
      <c r="J543" s="33" t="s">
        <v>2684</v>
      </c>
      <c r="K543" s="33" t="s">
        <v>75</v>
      </c>
      <c r="L543" s="33" t="s">
        <v>1747</v>
      </c>
      <c r="M543" s="43">
        <v>46153.648912037039</v>
      </c>
      <c r="N543" s="33" t="s">
        <v>219</v>
      </c>
      <c r="O543" s="33" t="s">
        <v>797</v>
      </c>
      <c r="P543" s="33" t="s">
        <v>2685</v>
      </c>
      <c r="Q543" s="43">
        <v>46151.520833333336</v>
      </c>
      <c r="R543" s="43">
        <v>46151.522222222222</v>
      </c>
      <c r="S543" s="58">
        <v>1.3888888888888889E-3</v>
      </c>
      <c r="T543" s="33" t="s">
        <v>140</v>
      </c>
      <c r="U543" s="43">
        <v>46153.201388888891</v>
      </c>
      <c r="V543" s="58">
        <v>0.44791666666666669</v>
      </c>
      <c r="W543" s="33" t="s">
        <v>140</v>
      </c>
      <c r="X543" s="43">
        <v>46153.201388888891</v>
      </c>
      <c r="Y543" s="58">
        <v>0.44791666666666669</v>
      </c>
      <c r="Z543" s="33" t="s">
        <v>140</v>
      </c>
      <c r="AA543" s="43">
        <v>46151.976388888892</v>
      </c>
      <c r="AB543" s="33" t="s">
        <v>81</v>
      </c>
      <c r="AC543" s="33" t="s">
        <v>2686</v>
      </c>
      <c r="AD543" s="44">
        <v>2.129861111111111</v>
      </c>
      <c r="AE543" s="44">
        <v>2.1263888888888891</v>
      </c>
      <c r="AF543" s="44">
        <v>2.129861111111111</v>
      </c>
      <c r="AG543" s="33"/>
      <c r="AH543" s="33">
        <v>2</v>
      </c>
      <c r="AI543" s="43">
        <v>46153.201388888891</v>
      </c>
      <c r="AJ543" s="33" t="s">
        <v>73</v>
      </c>
      <c r="AK543" s="42">
        <v>828275.19999999995</v>
      </c>
      <c r="AL543" s="33" t="s">
        <v>2687</v>
      </c>
    </row>
    <row r="544" spans="1:38">
      <c r="A544" s="33">
        <v>6013982</v>
      </c>
      <c r="B544" s="33"/>
      <c r="C544" s="33" t="s">
        <v>789</v>
      </c>
      <c r="D544" s="33" t="s">
        <v>1186</v>
      </c>
      <c r="E544" s="33" t="s">
        <v>2688</v>
      </c>
      <c r="F544" s="43">
        <v>46151.583333333336</v>
      </c>
      <c r="G544" s="33" t="s">
        <v>227</v>
      </c>
      <c r="H544" s="33"/>
      <c r="I544" s="33" t="s">
        <v>73</v>
      </c>
      <c r="J544" s="33" t="s">
        <v>1667</v>
      </c>
      <c r="K544" s="33" t="s">
        <v>75</v>
      </c>
      <c r="L544" s="33" t="s">
        <v>880</v>
      </c>
      <c r="M544" s="43">
        <v>46153.267002314817</v>
      </c>
      <c r="N544" s="33" t="s">
        <v>1190</v>
      </c>
      <c r="O544" s="33" t="s">
        <v>797</v>
      </c>
      <c r="P544" s="33" t="s">
        <v>140</v>
      </c>
      <c r="Q544" s="33"/>
      <c r="R544" s="33"/>
      <c r="S544" s="33"/>
      <c r="T544" s="33" t="s">
        <v>984</v>
      </c>
      <c r="U544" s="43">
        <v>46153.133333333331</v>
      </c>
      <c r="V544" s="58">
        <v>0.13194444444444445</v>
      </c>
      <c r="W544" s="33" t="s">
        <v>984</v>
      </c>
      <c r="X544" s="43">
        <v>46153.133333333331</v>
      </c>
      <c r="Y544" s="58">
        <v>0.13194444444444445</v>
      </c>
      <c r="Z544" s="33" t="s">
        <v>984</v>
      </c>
      <c r="AA544" s="43">
        <v>46153.25</v>
      </c>
      <c r="AB544" s="33" t="s">
        <v>81</v>
      </c>
      <c r="AC544" s="33" t="s">
        <v>1669</v>
      </c>
      <c r="AD544" s="44">
        <v>1.7180555555555554</v>
      </c>
      <c r="AE544" s="58">
        <v>0.22500000000000001</v>
      </c>
      <c r="AF544" s="44">
        <v>1.7180555555555554</v>
      </c>
      <c r="AG544" s="33" t="s">
        <v>2235</v>
      </c>
      <c r="AH544" s="33">
        <v>4</v>
      </c>
      <c r="AI544" s="43">
        <v>46153.133333333331</v>
      </c>
      <c r="AJ544" s="33" t="s">
        <v>73</v>
      </c>
      <c r="AK544" s="42">
        <v>689223.63</v>
      </c>
      <c r="AL544" s="33" t="s">
        <v>1193</v>
      </c>
    </row>
    <row r="545" spans="1:38">
      <c r="A545" s="33">
        <v>6013984</v>
      </c>
      <c r="B545" s="33"/>
      <c r="C545" s="33" t="s">
        <v>789</v>
      </c>
      <c r="D545" s="33" t="s">
        <v>2689</v>
      </c>
      <c r="E545" s="33" t="s">
        <v>2690</v>
      </c>
      <c r="F545" s="43">
        <v>46153.375</v>
      </c>
      <c r="G545" s="33" t="s">
        <v>408</v>
      </c>
      <c r="H545" s="33"/>
      <c r="I545" s="33" t="s">
        <v>73</v>
      </c>
      <c r="J545" s="33" t="s">
        <v>1667</v>
      </c>
      <c r="K545" s="33" t="s">
        <v>75</v>
      </c>
      <c r="L545" s="33" t="s">
        <v>880</v>
      </c>
      <c r="M545" s="43">
        <v>46155.567118055558</v>
      </c>
      <c r="N545" s="33" t="s">
        <v>2691</v>
      </c>
      <c r="O545" s="33" t="s">
        <v>797</v>
      </c>
      <c r="P545" s="33" t="s">
        <v>140</v>
      </c>
      <c r="Q545" s="33"/>
      <c r="R545" s="33"/>
      <c r="S545" s="33"/>
      <c r="T545" s="33" t="s">
        <v>984</v>
      </c>
      <c r="U545" s="43">
        <v>46154.896527777775</v>
      </c>
      <c r="V545" s="58">
        <v>0.67083333333333328</v>
      </c>
      <c r="W545" s="33" t="s">
        <v>984</v>
      </c>
      <c r="X545" s="43">
        <v>46154.896527777775</v>
      </c>
      <c r="Y545" s="58">
        <v>0.67083333333333328</v>
      </c>
      <c r="Z545" s="33" t="s">
        <v>984</v>
      </c>
      <c r="AA545" s="43">
        <v>46155.25</v>
      </c>
      <c r="AB545" s="33" t="s">
        <v>81</v>
      </c>
      <c r="AC545" s="33" t="s">
        <v>1669</v>
      </c>
      <c r="AD545" s="44">
        <v>4.0020833333333332</v>
      </c>
      <c r="AE545" s="58">
        <v>0.82708333333333328</v>
      </c>
      <c r="AF545" s="44">
        <v>4.0020833333333332</v>
      </c>
      <c r="AG545" s="33" t="s">
        <v>2692</v>
      </c>
      <c r="AH545" s="33">
        <v>4</v>
      </c>
      <c r="AI545" s="43">
        <v>46154.896527777775</v>
      </c>
      <c r="AJ545" s="33" t="s">
        <v>73</v>
      </c>
      <c r="AK545" s="42">
        <v>885830.5</v>
      </c>
      <c r="AL545" s="33" t="s">
        <v>2693</v>
      </c>
    </row>
    <row r="546" spans="1:38">
      <c r="A546" s="33">
        <v>6013983</v>
      </c>
      <c r="B546" s="33"/>
      <c r="C546" s="33" t="s">
        <v>789</v>
      </c>
      <c r="D546" s="33" t="s">
        <v>2694</v>
      </c>
      <c r="E546" s="33" t="s">
        <v>2695</v>
      </c>
      <c r="F546" s="43">
        <v>46152.833333333336</v>
      </c>
      <c r="G546" s="33" t="s">
        <v>227</v>
      </c>
      <c r="H546" s="33"/>
      <c r="I546" s="33" t="s">
        <v>73</v>
      </c>
      <c r="J546" s="33" t="s">
        <v>1667</v>
      </c>
      <c r="K546" s="33" t="s">
        <v>75</v>
      </c>
      <c r="L546" s="33" t="s">
        <v>880</v>
      </c>
      <c r="M546" s="43">
        <v>46153.646203703705</v>
      </c>
      <c r="N546" s="33" t="s">
        <v>529</v>
      </c>
      <c r="O546" s="33" t="s">
        <v>797</v>
      </c>
      <c r="P546" s="33" t="s">
        <v>140</v>
      </c>
      <c r="Q546" s="33"/>
      <c r="R546" s="33"/>
      <c r="S546" s="33"/>
      <c r="T546" s="33" t="s">
        <v>984</v>
      </c>
      <c r="U546" s="43">
        <v>46152.965277777781</v>
      </c>
      <c r="V546" s="58">
        <v>0.67500000000000004</v>
      </c>
      <c r="W546" s="33" t="s">
        <v>984</v>
      </c>
      <c r="X546" s="43">
        <v>46152.965277777781</v>
      </c>
      <c r="Y546" s="58">
        <v>0.68125000000000002</v>
      </c>
      <c r="Z546" s="33" t="s">
        <v>984</v>
      </c>
      <c r="AA546" s="43">
        <v>46153.25</v>
      </c>
      <c r="AB546" s="33" t="s">
        <v>81</v>
      </c>
      <c r="AC546" s="33" t="s">
        <v>1669</v>
      </c>
      <c r="AD546" s="44">
        <v>1.8805555555555555</v>
      </c>
      <c r="AE546" s="58">
        <v>0.72083333333333333</v>
      </c>
      <c r="AF546" s="44">
        <v>1.8805555555555555</v>
      </c>
      <c r="AG546" s="33" t="s">
        <v>2231</v>
      </c>
      <c r="AH546" s="33">
        <v>3</v>
      </c>
      <c r="AI546" s="43">
        <v>46152.965277777781</v>
      </c>
      <c r="AJ546" s="33" t="s">
        <v>73</v>
      </c>
      <c r="AK546" s="42">
        <v>521827.78</v>
      </c>
      <c r="AL546" s="33" t="s">
        <v>2696</v>
      </c>
    </row>
    <row r="547" spans="1:38">
      <c r="A547" s="33"/>
      <c r="B547" s="33"/>
      <c r="C547" s="33" t="s">
        <v>789</v>
      </c>
      <c r="D547" s="33" t="s">
        <v>2697</v>
      </c>
      <c r="E547" s="33" t="s">
        <v>2698</v>
      </c>
      <c r="F547" s="43">
        <v>46152.495833333334</v>
      </c>
      <c r="G547" s="33" t="s">
        <v>216</v>
      </c>
      <c r="H547" s="33"/>
      <c r="I547" s="33" t="s">
        <v>2699</v>
      </c>
      <c r="J547" s="33" t="s">
        <v>2700</v>
      </c>
      <c r="K547" s="33" t="s">
        <v>75</v>
      </c>
      <c r="L547" s="33" t="s">
        <v>1112</v>
      </c>
      <c r="M547" s="43">
        <v>46153.381076388891</v>
      </c>
      <c r="N547" s="33" t="s">
        <v>219</v>
      </c>
      <c r="O547" s="33" t="s">
        <v>175</v>
      </c>
      <c r="P547" s="33" t="s">
        <v>222</v>
      </c>
      <c r="Q547" s="33"/>
      <c r="R547" s="33"/>
      <c r="S547" s="33"/>
      <c r="T547" s="33" t="s">
        <v>140</v>
      </c>
      <c r="U547" s="43">
        <v>46153.363888888889</v>
      </c>
      <c r="V547" s="58">
        <v>5.5555555555555558E-3</v>
      </c>
      <c r="W547" s="33"/>
      <c r="X547" s="33"/>
      <c r="Y547" s="33"/>
      <c r="Z547" s="33" t="s">
        <v>140</v>
      </c>
      <c r="AA547" s="43">
        <v>46153.083333333336</v>
      </c>
      <c r="AB547" s="33" t="s">
        <v>81</v>
      </c>
      <c r="AC547" s="33" t="s">
        <v>2701</v>
      </c>
      <c r="AD547" s="58">
        <v>0.88263888888888886</v>
      </c>
      <c r="AE547" s="33"/>
      <c r="AF547" s="58">
        <v>0.88263888888888886</v>
      </c>
      <c r="AG547" s="33"/>
      <c r="AH547" s="33">
        <v>1</v>
      </c>
      <c r="AI547" s="43">
        <v>46153.363888888889</v>
      </c>
      <c r="AJ547" s="33" t="s">
        <v>73</v>
      </c>
      <c r="AK547" s="42">
        <v>200461.41</v>
      </c>
      <c r="AL547" s="33" t="s">
        <v>2026</v>
      </c>
    </row>
    <row r="548" spans="1:38">
      <c r="A548" s="33">
        <v>6003568</v>
      </c>
      <c r="B548" s="33"/>
      <c r="C548" s="33" t="s">
        <v>789</v>
      </c>
      <c r="D548" s="33" t="s">
        <v>1343</v>
      </c>
      <c r="E548" s="33" t="s">
        <v>2702</v>
      </c>
      <c r="F548" s="43">
        <v>46153.208333333336</v>
      </c>
      <c r="G548" s="33" t="s">
        <v>792</v>
      </c>
      <c r="H548" s="33"/>
      <c r="I548" s="33" t="s">
        <v>793</v>
      </c>
      <c r="J548" s="33" t="s">
        <v>1382</v>
      </c>
      <c r="K548" s="33" t="s">
        <v>1118</v>
      </c>
      <c r="L548" s="33" t="s">
        <v>1592</v>
      </c>
      <c r="M548" s="43">
        <v>46153.290277777778</v>
      </c>
      <c r="N548" s="33" t="s">
        <v>1345</v>
      </c>
      <c r="O548" s="33" t="s">
        <v>797</v>
      </c>
      <c r="P548" s="33" t="s">
        <v>799</v>
      </c>
      <c r="Q548" s="43">
        <v>46153.222916666666</v>
      </c>
      <c r="R548" s="43">
        <v>46153.236111111109</v>
      </c>
      <c r="S548" s="58">
        <v>1.3194444444444444E-2</v>
      </c>
      <c r="T548" s="33" t="s">
        <v>140</v>
      </c>
      <c r="U548" s="43">
        <v>46153.277777777781</v>
      </c>
      <c r="V548" s="58">
        <v>1.0416666666666666E-2</v>
      </c>
      <c r="W548" s="33" t="s">
        <v>140</v>
      </c>
      <c r="X548" s="43">
        <v>46153.277777777781</v>
      </c>
      <c r="Y548" s="58">
        <v>1.0416666666666666E-2</v>
      </c>
      <c r="Z548" s="33" t="s">
        <v>140</v>
      </c>
      <c r="AA548" s="43">
        <v>46153.291666666664</v>
      </c>
      <c r="AB548" s="33" t="s">
        <v>81</v>
      </c>
      <c r="AC548" s="33" t="s">
        <v>1383</v>
      </c>
      <c r="AD548" s="58">
        <v>0.57986111111111116</v>
      </c>
      <c r="AE548" s="58">
        <v>5.347222222222222E-2</v>
      </c>
      <c r="AF548" s="58">
        <v>0.57986111111111116</v>
      </c>
      <c r="AG548" s="33" t="s">
        <v>1346</v>
      </c>
      <c r="AH548" s="33">
        <v>2</v>
      </c>
      <c r="AI548" s="43">
        <v>46153.277777777781</v>
      </c>
      <c r="AJ548" s="33" t="s">
        <v>793</v>
      </c>
      <c r="AK548" s="42">
        <v>686274.84</v>
      </c>
      <c r="AL548" s="33" t="s">
        <v>1347</v>
      </c>
    </row>
    <row r="549" spans="1:38">
      <c r="A549" s="33">
        <v>6006804</v>
      </c>
      <c r="B549" s="33"/>
      <c r="C549" s="33" t="s">
        <v>789</v>
      </c>
      <c r="D549" s="33" t="s">
        <v>1056</v>
      </c>
      <c r="E549" s="33" t="s">
        <v>2703</v>
      </c>
      <c r="F549" s="43">
        <v>46153.208333333336</v>
      </c>
      <c r="G549" s="33" t="s">
        <v>792</v>
      </c>
      <c r="H549" s="33"/>
      <c r="I549" s="33" t="s">
        <v>793</v>
      </c>
      <c r="J549" s="33" t="s">
        <v>2049</v>
      </c>
      <c r="K549" s="33" t="s">
        <v>75</v>
      </c>
      <c r="L549" s="33" t="s">
        <v>1778</v>
      </c>
      <c r="M549" s="43">
        <v>46153.403634259259</v>
      </c>
      <c r="N549" s="33" t="s">
        <v>1060</v>
      </c>
      <c r="O549" s="33" t="s">
        <v>797</v>
      </c>
      <c r="P549" s="33" t="s">
        <v>1963</v>
      </c>
      <c r="Q549" s="43">
        <v>46153.254861111112</v>
      </c>
      <c r="R549" s="43">
        <v>46153.271527777775</v>
      </c>
      <c r="S549" s="58">
        <v>1.6666666666666666E-2</v>
      </c>
      <c r="T549" s="33" t="s">
        <v>799</v>
      </c>
      <c r="U549" s="43">
        <v>46153.387499999997</v>
      </c>
      <c r="V549" s="58">
        <v>1.7361111111111112E-2</v>
      </c>
      <c r="W549" s="33" t="s">
        <v>799</v>
      </c>
      <c r="X549" s="43">
        <v>46153.387499999997</v>
      </c>
      <c r="Y549" s="58">
        <v>1.7361111111111112E-2</v>
      </c>
      <c r="Z549" s="33" t="s">
        <v>799</v>
      </c>
      <c r="AA549" s="43">
        <v>46154.416666666664</v>
      </c>
      <c r="AB549" s="33" t="s">
        <v>81</v>
      </c>
      <c r="AC549" s="33" t="s">
        <v>2076</v>
      </c>
      <c r="AD549" s="58">
        <v>0.69652777777777775</v>
      </c>
      <c r="AE549" s="58">
        <v>0.13402777777777777</v>
      </c>
      <c r="AF549" s="58">
        <v>0.69652777777777775</v>
      </c>
      <c r="AG549" s="33" t="s">
        <v>1061</v>
      </c>
      <c r="AH549" s="33">
        <v>2</v>
      </c>
      <c r="AI549" s="43">
        <v>46153.387499999997</v>
      </c>
      <c r="AJ549" s="33" t="s">
        <v>793</v>
      </c>
      <c r="AK549" s="42">
        <v>574218.18000000005</v>
      </c>
      <c r="AL549" s="33" t="s">
        <v>1062</v>
      </c>
    </row>
    <row r="550" spans="1:38">
      <c r="A550" s="33" t="s">
        <v>2704</v>
      </c>
      <c r="B550" s="33"/>
      <c r="C550" s="33" t="s">
        <v>789</v>
      </c>
      <c r="D550" s="33" t="s">
        <v>804</v>
      </c>
      <c r="E550" s="33" t="s">
        <v>2705</v>
      </c>
      <c r="F550" s="43">
        <v>46153.25</v>
      </c>
      <c r="G550" s="33" t="s">
        <v>792</v>
      </c>
      <c r="H550" s="33"/>
      <c r="I550" s="33" t="s">
        <v>793</v>
      </c>
      <c r="J550" s="33" t="s">
        <v>2049</v>
      </c>
      <c r="K550" s="33" t="s">
        <v>75</v>
      </c>
      <c r="L550" s="33" t="s">
        <v>1001</v>
      </c>
      <c r="M550" s="43">
        <v>46153.626493055555</v>
      </c>
      <c r="N550" s="33" t="s">
        <v>796</v>
      </c>
      <c r="O550" s="33" t="s">
        <v>797</v>
      </c>
      <c r="P550" s="33" t="s">
        <v>1963</v>
      </c>
      <c r="Q550" s="43">
        <v>46153.303472222222</v>
      </c>
      <c r="R550" s="43">
        <v>46153.309027777781</v>
      </c>
      <c r="S550" s="58">
        <v>5.5555555555555558E-3</v>
      </c>
      <c r="T550" s="33" t="s">
        <v>799</v>
      </c>
      <c r="U550" s="43">
        <v>46153.550694444442</v>
      </c>
      <c r="V550" s="58">
        <v>7.9861111111111105E-2</v>
      </c>
      <c r="W550" s="33" t="s">
        <v>799</v>
      </c>
      <c r="X550" s="43">
        <v>46153.550694444442</v>
      </c>
      <c r="Y550" s="58">
        <v>7.9861111111111105E-2</v>
      </c>
      <c r="Z550" s="33" t="s">
        <v>799</v>
      </c>
      <c r="AA550" s="43">
        <v>46154.541666666664</v>
      </c>
      <c r="AB550" s="33" t="s">
        <v>81</v>
      </c>
      <c r="AC550" s="33" t="s">
        <v>2076</v>
      </c>
      <c r="AD550" s="58">
        <v>0.32916666666666666</v>
      </c>
      <c r="AE550" s="58">
        <v>0.32083333333333336</v>
      </c>
      <c r="AF550" s="58">
        <v>0.32916666666666666</v>
      </c>
      <c r="AG550" s="33" t="s">
        <v>2084</v>
      </c>
      <c r="AH550" s="33">
        <v>2</v>
      </c>
      <c r="AI550" s="43">
        <v>46153.550694444442</v>
      </c>
      <c r="AJ550" s="33" t="s">
        <v>793</v>
      </c>
      <c r="AK550" s="42">
        <v>1361165.52</v>
      </c>
      <c r="AL550" s="33" t="s">
        <v>808</v>
      </c>
    </row>
    <row r="551" spans="1:38">
      <c r="A551" s="33" t="s">
        <v>2706</v>
      </c>
      <c r="B551" s="33"/>
      <c r="C551" s="33" t="s">
        <v>789</v>
      </c>
      <c r="D551" s="33" t="s">
        <v>2108</v>
      </c>
      <c r="E551" s="33" t="s">
        <v>2707</v>
      </c>
      <c r="F551" s="43">
        <v>46153.25</v>
      </c>
      <c r="G551" s="33" t="s">
        <v>171</v>
      </c>
      <c r="H551" s="33"/>
      <c r="I551" s="33" t="s">
        <v>793</v>
      </c>
      <c r="J551" s="33" t="s">
        <v>1630</v>
      </c>
      <c r="K551" s="33" t="s">
        <v>1012</v>
      </c>
      <c r="L551" s="33" t="s">
        <v>1159</v>
      </c>
      <c r="M551" s="43">
        <v>46153.482731481483</v>
      </c>
      <c r="N551" s="33" t="s">
        <v>2110</v>
      </c>
      <c r="O551" s="33" t="s">
        <v>868</v>
      </c>
      <c r="P551" s="33" t="s">
        <v>861</v>
      </c>
      <c r="Q551" s="33"/>
      <c r="R551" s="33"/>
      <c r="S551" s="33"/>
      <c r="T551" s="33" t="s">
        <v>308</v>
      </c>
      <c r="U551" s="43">
        <v>46153.399305555555</v>
      </c>
      <c r="V551" s="58">
        <v>8.3333333333333329E-2</v>
      </c>
      <c r="W551" s="33"/>
      <c r="X551" s="33"/>
      <c r="Y551" s="33"/>
      <c r="Z551" s="33" t="s">
        <v>308</v>
      </c>
      <c r="AA551" s="43">
        <v>46159</v>
      </c>
      <c r="AB551" s="33" t="s">
        <v>81</v>
      </c>
      <c r="AC551" s="33" t="s">
        <v>81</v>
      </c>
      <c r="AD551" s="58">
        <v>0.23333333333333334</v>
      </c>
      <c r="AE551" s="33"/>
      <c r="AF551" s="58">
        <v>0.23333333333333334</v>
      </c>
      <c r="AG551" s="33" t="s">
        <v>2111</v>
      </c>
      <c r="AH551" s="33">
        <v>1</v>
      </c>
      <c r="AI551" s="43">
        <v>46153.399305555555</v>
      </c>
      <c r="AJ551" s="33" t="s">
        <v>793</v>
      </c>
      <c r="AK551" s="42">
        <v>808242.24</v>
      </c>
      <c r="AL551" s="33" t="s">
        <v>2112</v>
      </c>
    </row>
    <row r="552" spans="1:38">
      <c r="A552" s="33" t="s">
        <v>2708</v>
      </c>
      <c r="B552" s="33"/>
      <c r="C552" s="33" t="s">
        <v>789</v>
      </c>
      <c r="D552" s="33" t="s">
        <v>2114</v>
      </c>
      <c r="E552" s="33" t="s">
        <v>2709</v>
      </c>
      <c r="F552" s="43">
        <v>46153.708333333336</v>
      </c>
      <c r="G552" s="33" t="s">
        <v>171</v>
      </c>
      <c r="H552" s="33"/>
      <c r="I552" s="33" t="s">
        <v>793</v>
      </c>
      <c r="J552" s="33" t="s">
        <v>2710</v>
      </c>
      <c r="K552" s="33" t="s">
        <v>75</v>
      </c>
      <c r="L552" s="33" t="s">
        <v>1236</v>
      </c>
      <c r="M552" s="43">
        <v>46153.894120370373</v>
      </c>
      <c r="N552" s="33" t="s">
        <v>2116</v>
      </c>
      <c r="O552" s="33" t="s">
        <v>797</v>
      </c>
      <c r="P552" s="33" t="s">
        <v>798</v>
      </c>
      <c r="Q552" s="33"/>
      <c r="R552" s="33"/>
      <c r="S552" s="33"/>
      <c r="T552" s="33" t="s">
        <v>308</v>
      </c>
      <c r="U552" s="43">
        <v>46153.850694444445</v>
      </c>
      <c r="V552" s="58">
        <v>4.3749999999999997E-2</v>
      </c>
      <c r="W552" s="33" t="s">
        <v>308</v>
      </c>
      <c r="X552" s="43">
        <v>46153.850694444445</v>
      </c>
      <c r="Y552" s="58">
        <v>4.3749999999999997E-2</v>
      </c>
      <c r="Z552" s="33" t="s">
        <v>308</v>
      </c>
      <c r="AA552" s="43">
        <v>46156</v>
      </c>
      <c r="AB552" s="33" t="s">
        <v>1052</v>
      </c>
      <c r="AC552" s="33" t="s">
        <v>2711</v>
      </c>
      <c r="AD552" s="58">
        <v>0.14305555555555555</v>
      </c>
      <c r="AE552" s="33"/>
      <c r="AF552" s="58">
        <v>0.14305555555555555</v>
      </c>
      <c r="AG552" s="33" t="s">
        <v>2117</v>
      </c>
      <c r="AH552" s="33">
        <v>1</v>
      </c>
      <c r="AI552" s="43">
        <v>46153.850694444445</v>
      </c>
      <c r="AJ552" s="33" t="s">
        <v>793</v>
      </c>
      <c r="AK552" s="42">
        <v>624534</v>
      </c>
      <c r="AL552" s="33" t="s">
        <v>2118</v>
      </c>
    </row>
    <row r="553" spans="1:38">
      <c r="A553" s="33" t="s">
        <v>2712</v>
      </c>
      <c r="B553" s="33"/>
      <c r="C553" s="33" t="s">
        <v>789</v>
      </c>
      <c r="D553" s="33" t="s">
        <v>2713</v>
      </c>
      <c r="E553" s="33" t="s">
        <v>2714</v>
      </c>
      <c r="F553" s="43">
        <v>46153.208333333336</v>
      </c>
      <c r="G553" s="33" t="s">
        <v>171</v>
      </c>
      <c r="H553" s="33"/>
      <c r="I553" s="33" t="s">
        <v>793</v>
      </c>
      <c r="J553" s="33" t="s">
        <v>958</v>
      </c>
      <c r="K553" s="33" t="s">
        <v>75</v>
      </c>
      <c r="L553" s="33" t="s">
        <v>1236</v>
      </c>
      <c r="M553" s="43">
        <v>46153.552777777775</v>
      </c>
      <c r="N553" s="33" t="s">
        <v>2715</v>
      </c>
      <c r="O553" s="33" t="s">
        <v>797</v>
      </c>
      <c r="P553" s="33" t="s">
        <v>861</v>
      </c>
      <c r="Q553" s="43">
        <v>46153.248611111114</v>
      </c>
      <c r="R553" s="43">
        <v>46153.365972222222</v>
      </c>
      <c r="S553" s="58">
        <v>0.11736111111111111</v>
      </c>
      <c r="T553" s="33" t="s">
        <v>308</v>
      </c>
      <c r="U553" s="43">
        <v>46153.525694444441</v>
      </c>
      <c r="V553" s="58">
        <v>2.9861111111111113E-2</v>
      </c>
      <c r="W553" s="33" t="s">
        <v>308</v>
      </c>
      <c r="X553" s="43">
        <v>46153.525694444441</v>
      </c>
      <c r="Y553" s="58">
        <v>2.9861111111111113E-2</v>
      </c>
      <c r="Z553" s="33" t="s">
        <v>308</v>
      </c>
      <c r="AA553" s="43">
        <v>46159</v>
      </c>
      <c r="AB553" s="33" t="s">
        <v>1052</v>
      </c>
      <c r="AC553" s="33" t="s">
        <v>1404</v>
      </c>
      <c r="AD553" s="58">
        <v>0.30694444444444446</v>
      </c>
      <c r="AE553" s="33"/>
      <c r="AF553" s="58">
        <v>0.30694444444444446</v>
      </c>
      <c r="AG553" s="33" t="s">
        <v>2716</v>
      </c>
      <c r="AH553" s="33">
        <v>2</v>
      </c>
      <c r="AI553" s="43">
        <v>46153.525694444441</v>
      </c>
      <c r="AJ553" s="33" t="s">
        <v>793</v>
      </c>
      <c r="AK553" s="42">
        <v>730325.44</v>
      </c>
      <c r="AL553" s="33" t="s">
        <v>2717</v>
      </c>
    </row>
    <row r="554" spans="1:38">
      <c r="A554" s="33" t="s">
        <v>2718</v>
      </c>
      <c r="B554" s="33"/>
      <c r="C554" s="33" t="s">
        <v>789</v>
      </c>
      <c r="D554" s="33" t="s">
        <v>2367</v>
      </c>
      <c r="E554" s="33" t="s">
        <v>2719</v>
      </c>
      <c r="F554" s="43">
        <v>46153.208333333336</v>
      </c>
      <c r="G554" s="33" t="s">
        <v>171</v>
      </c>
      <c r="H554" s="33"/>
      <c r="I554" s="33" t="s">
        <v>793</v>
      </c>
      <c r="J554" s="33" t="s">
        <v>958</v>
      </c>
      <c r="K554" s="33" t="s">
        <v>75</v>
      </c>
      <c r="L554" s="33" t="s">
        <v>1035</v>
      </c>
      <c r="M554" s="43">
        <v>46153.553541666668</v>
      </c>
      <c r="N554" s="33" t="s">
        <v>2371</v>
      </c>
      <c r="O554" s="33" t="s">
        <v>797</v>
      </c>
      <c r="P554" s="33" t="s">
        <v>861</v>
      </c>
      <c r="Q554" s="43">
        <v>46153.249305555553</v>
      </c>
      <c r="R554" s="43">
        <v>46153.364583333336</v>
      </c>
      <c r="S554" s="58">
        <v>0.11527777777777778</v>
      </c>
      <c r="T554" s="33" t="s">
        <v>308</v>
      </c>
      <c r="U554" s="43">
        <v>46153.522916666669</v>
      </c>
      <c r="V554" s="58">
        <v>3.0555555555555555E-2</v>
      </c>
      <c r="W554" s="33" t="s">
        <v>308</v>
      </c>
      <c r="X554" s="43">
        <v>46153.522916666669</v>
      </c>
      <c r="Y554" s="58">
        <v>3.0555555555555555E-2</v>
      </c>
      <c r="Z554" s="33" t="s">
        <v>308</v>
      </c>
      <c r="AA554" s="43">
        <v>46159</v>
      </c>
      <c r="AB554" s="33" t="s">
        <v>1052</v>
      </c>
      <c r="AC554" s="33" t="s">
        <v>1404</v>
      </c>
      <c r="AD554" s="58">
        <v>0.30486111111111114</v>
      </c>
      <c r="AE554" s="33"/>
      <c r="AF554" s="58">
        <v>0.30486111111111114</v>
      </c>
      <c r="AG554" s="33" t="s">
        <v>2373</v>
      </c>
      <c r="AH554" s="33">
        <v>2</v>
      </c>
      <c r="AI554" s="43">
        <v>46153.522916666669</v>
      </c>
      <c r="AJ554" s="33" t="s">
        <v>793</v>
      </c>
      <c r="AK554" s="42">
        <v>301879.56</v>
      </c>
      <c r="AL554" s="33" t="s">
        <v>2374</v>
      </c>
    </row>
    <row r="555" spans="1:38">
      <c r="A555" s="33">
        <v>6000609</v>
      </c>
      <c r="B555" s="33"/>
      <c r="C555" s="33" t="s">
        <v>789</v>
      </c>
      <c r="D555" s="33" t="s">
        <v>914</v>
      </c>
      <c r="E555" s="33" t="s">
        <v>2720</v>
      </c>
      <c r="F555" s="43">
        <v>46153.25</v>
      </c>
      <c r="G555" s="33" t="s">
        <v>792</v>
      </c>
      <c r="H555" s="33"/>
      <c r="I555" s="33" t="s">
        <v>793</v>
      </c>
      <c r="J555" s="33" t="s">
        <v>2721</v>
      </c>
      <c r="K555" s="33" t="s">
        <v>1118</v>
      </c>
      <c r="L555" s="33" t="s">
        <v>1035</v>
      </c>
      <c r="M555" s="43">
        <v>46153.282997685186</v>
      </c>
      <c r="N555" s="33" t="s">
        <v>918</v>
      </c>
      <c r="O555" s="33" t="s">
        <v>797</v>
      </c>
      <c r="P555" s="33" t="s">
        <v>799</v>
      </c>
      <c r="Q555" s="43">
        <v>46153.223611111112</v>
      </c>
      <c r="R555" s="43">
        <v>46153.239583333336</v>
      </c>
      <c r="S555" s="58">
        <v>1.5972222222222221E-2</v>
      </c>
      <c r="T555" s="33" t="s">
        <v>140</v>
      </c>
      <c r="U555" s="43">
        <v>46153.268055555556</v>
      </c>
      <c r="V555" s="58">
        <v>1.5277777777777777E-2</v>
      </c>
      <c r="W555" s="33" t="s">
        <v>140</v>
      </c>
      <c r="X555" s="43">
        <v>46153.268055555556</v>
      </c>
      <c r="Y555" s="58">
        <v>1.5277777777777777E-2</v>
      </c>
      <c r="Z555" s="33" t="s">
        <v>140</v>
      </c>
      <c r="AA555" s="43">
        <v>46153.333333333336</v>
      </c>
      <c r="AB555" s="33" t="s">
        <v>81</v>
      </c>
      <c r="AC555" s="33" t="s">
        <v>2722</v>
      </c>
      <c r="AD555" s="58">
        <v>6.25E-2</v>
      </c>
      <c r="AE555" s="58">
        <v>4.3055555555555555E-2</v>
      </c>
      <c r="AF555" s="58">
        <v>6.25E-2</v>
      </c>
      <c r="AG555" s="33" t="s">
        <v>919</v>
      </c>
      <c r="AH555" s="33">
        <v>2</v>
      </c>
      <c r="AI555" s="43">
        <v>46153.268055555556</v>
      </c>
      <c r="AJ555" s="33" t="s">
        <v>793</v>
      </c>
      <c r="AK555" s="42">
        <v>1120482.24</v>
      </c>
      <c r="AL555" s="33" t="s">
        <v>920</v>
      </c>
    </row>
    <row r="556" spans="1:38">
      <c r="A556" s="33">
        <v>6001862</v>
      </c>
      <c r="B556" s="33"/>
      <c r="C556" s="33" t="s">
        <v>789</v>
      </c>
      <c r="D556" s="33" t="s">
        <v>1032</v>
      </c>
      <c r="E556" s="33" t="s">
        <v>2723</v>
      </c>
      <c r="F556" s="43">
        <v>46153.25</v>
      </c>
      <c r="G556" s="33" t="s">
        <v>792</v>
      </c>
      <c r="H556" s="33"/>
      <c r="I556" s="33" t="s">
        <v>793</v>
      </c>
      <c r="J556" s="33" t="s">
        <v>2721</v>
      </c>
      <c r="K556" s="33" t="s">
        <v>75</v>
      </c>
      <c r="L556" s="33" t="s">
        <v>1112</v>
      </c>
      <c r="M556" s="43">
        <v>46153.243761574071</v>
      </c>
      <c r="N556" s="33" t="s">
        <v>1036</v>
      </c>
      <c r="O556" s="33" t="s">
        <v>797</v>
      </c>
      <c r="P556" s="33" t="s">
        <v>799</v>
      </c>
      <c r="Q556" s="43">
        <v>46153.2</v>
      </c>
      <c r="R556" s="43">
        <v>46153.215277777781</v>
      </c>
      <c r="S556" s="58">
        <v>1.5277777777777777E-2</v>
      </c>
      <c r="T556" s="33" t="s">
        <v>140</v>
      </c>
      <c r="U556" s="43">
        <v>46153.239583333336</v>
      </c>
      <c r="V556" s="58">
        <v>3.472222222222222E-3</v>
      </c>
      <c r="W556" s="33"/>
      <c r="X556" s="33"/>
      <c r="Y556" s="33"/>
      <c r="Z556" s="33" t="s">
        <v>140</v>
      </c>
      <c r="AA556" s="43">
        <v>46153.333333333336</v>
      </c>
      <c r="AB556" s="33" t="s">
        <v>81</v>
      </c>
      <c r="AC556" s="33" t="s">
        <v>2722</v>
      </c>
      <c r="AD556" s="58">
        <v>4.6527777777777779E-2</v>
      </c>
      <c r="AE556" s="33"/>
      <c r="AF556" s="58">
        <v>4.6527777777777779E-2</v>
      </c>
      <c r="AG556" s="33" t="s">
        <v>1038</v>
      </c>
      <c r="AH556" s="33">
        <v>2</v>
      </c>
      <c r="AI556" s="43">
        <v>46153.239583333336</v>
      </c>
      <c r="AJ556" s="33" t="s">
        <v>793</v>
      </c>
      <c r="AK556" s="42">
        <v>1034423.39</v>
      </c>
      <c r="AL556" s="33" t="s">
        <v>1039</v>
      </c>
    </row>
    <row r="557" spans="1:38">
      <c r="A557" s="33">
        <v>6006037</v>
      </c>
      <c r="B557" s="33"/>
      <c r="C557" s="33" t="s">
        <v>789</v>
      </c>
      <c r="D557" s="33" t="s">
        <v>817</v>
      </c>
      <c r="E557" s="33" t="s">
        <v>2724</v>
      </c>
      <c r="F557" s="43">
        <v>46153.208333333336</v>
      </c>
      <c r="G557" s="33" t="s">
        <v>792</v>
      </c>
      <c r="H557" s="33"/>
      <c r="I557" s="33" t="s">
        <v>793</v>
      </c>
      <c r="J557" s="33" t="s">
        <v>2049</v>
      </c>
      <c r="K557" s="33" t="s">
        <v>75</v>
      </c>
      <c r="L557" s="33" t="s">
        <v>1965</v>
      </c>
      <c r="M557" s="43">
        <v>46153.354525462964</v>
      </c>
      <c r="N557" s="33" t="s">
        <v>822</v>
      </c>
      <c r="O557" s="33" t="s">
        <v>797</v>
      </c>
      <c r="P557" s="33" t="s">
        <v>1963</v>
      </c>
      <c r="Q557" s="43">
        <v>46153.184027777781</v>
      </c>
      <c r="R557" s="43">
        <v>46153.195833333331</v>
      </c>
      <c r="S557" s="58">
        <v>1.1805555555555555E-2</v>
      </c>
      <c r="T557" s="33" t="s">
        <v>799</v>
      </c>
      <c r="U557" s="43">
        <v>46153.331250000003</v>
      </c>
      <c r="V557" s="58">
        <v>2.7083333333333334E-2</v>
      </c>
      <c r="W557" s="33" t="s">
        <v>799</v>
      </c>
      <c r="X557" s="43">
        <v>46153.331250000003</v>
      </c>
      <c r="Y557" s="58">
        <v>2.7083333333333334E-2</v>
      </c>
      <c r="Z557" s="33" t="s">
        <v>799</v>
      </c>
      <c r="AA557" s="43">
        <v>46153.416666666664</v>
      </c>
      <c r="AB557" s="33" t="s">
        <v>81</v>
      </c>
      <c r="AC557" s="33" t="s">
        <v>2076</v>
      </c>
      <c r="AD557" s="58">
        <v>0.17499999999999999</v>
      </c>
      <c r="AE557" s="58">
        <v>0.15833333333333333</v>
      </c>
      <c r="AF557" s="58">
        <v>0.17499999999999999</v>
      </c>
      <c r="AG557" s="33" t="s">
        <v>825</v>
      </c>
      <c r="AH557" s="33">
        <v>2</v>
      </c>
      <c r="AI557" s="43">
        <v>46153.331250000003</v>
      </c>
      <c r="AJ557" s="33" t="s">
        <v>793</v>
      </c>
      <c r="AK557" s="42">
        <v>602905.02</v>
      </c>
      <c r="AL557" s="33" t="s">
        <v>826</v>
      </c>
    </row>
    <row r="558" spans="1:38">
      <c r="A558" s="33">
        <v>6003202</v>
      </c>
      <c r="B558" s="33"/>
      <c r="C558" s="33" t="s">
        <v>789</v>
      </c>
      <c r="D558" s="33" t="s">
        <v>1047</v>
      </c>
      <c r="E558" s="33" t="s">
        <v>2725</v>
      </c>
      <c r="F558" s="43">
        <v>46153.201388888891</v>
      </c>
      <c r="G558" s="33" t="s">
        <v>792</v>
      </c>
      <c r="H558" s="33"/>
      <c r="I558" s="33" t="s">
        <v>793</v>
      </c>
      <c r="J558" s="33" t="s">
        <v>2721</v>
      </c>
      <c r="K558" s="33" t="s">
        <v>104</v>
      </c>
      <c r="L558" s="33" t="s">
        <v>2726</v>
      </c>
      <c r="M558" s="43">
        <v>46153.237071759257</v>
      </c>
      <c r="N558" s="33" t="s">
        <v>1051</v>
      </c>
      <c r="O558" s="33" t="s">
        <v>797</v>
      </c>
      <c r="P558" s="33" t="s">
        <v>799</v>
      </c>
      <c r="Q558" s="43">
        <v>46153.203472222223</v>
      </c>
      <c r="R558" s="43">
        <v>46153.216666666667</v>
      </c>
      <c r="S558" s="58">
        <v>1.3194444444444444E-2</v>
      </c>
      <c r="T558" s="33" t="s">
        <v>140</v>
      </c>
      <c r="U558" s="33"/>
      <c r="V558" s="33"/>
      <c r="W558" s="33"/>
      <c r="X558" s="33"/>
      <c r="Y558" s="33"/>
      <c r="Z558" s="33" t="s">
        <v>140</v>
      </c>
      <c r="AA558" s="43">
        <v>46153.291666666664</v>
      </c>
      <c r="AB558" s="33" t="s">
        <v>1138</v>
      </c>
      <c r="AC558" s="33" t="s">
        <v>2722</v>
      </c>
      <c r="AD558" s="58">
        <v>5.486111111111111E-2</v>
      </c>
      <c r="AE558" s="33"/>
      <c r="AF558" s="58">
        <v>5.486111111111111E-2</v>
      </c>
      <c r="AG558" s="33" t="s">
        <v>2504</v>
      </c>
      <c r="AH558" s="33">
        <v>1</v>
      </c>
      <c r="AI558" s="43">
        <v>46153.238888888889</v>
      </c>
      <c r="AJ558" s="33" t="s">
        <v>793</v>
      </c>
      <c r="AK558" s="42">
        <v>1120482.24</v>
      </c>
      <c r="AL558" s="33" t="s">
        <v>1055</v>
      </c>
    </row>
    <row r="559" spans="1:38">
      <c r="A559" s="33">
        <v>6006421</v>
      </c>
      <c r="B559" s="33"/>
      <c r="C559" s="33" t="s">
        <v>789</v>
      </c>
      <c r="D559" s="33" t="s">
        <v>1074</v>
      </c>
      <c r="E559" s="33" t="s">
        <v>2727</v>
      </c>
      <c r="F559" s="43">
        <v>46153.3125</v>
      </c>
      <c r="G559" s="33" t="s">
        <v>792</v>
      </c>
      <c r="H559" s="33"/>
      <c r="I559" s="33" t="s">
        <v>793</v>
      </c>
      <c r="J559" s="33" t="s">
        <v>2049</v>
      </c>
      <c r="K559" s="33" t="s">
        <v>75</v>
      </c>
      <c r="L559" s="33" t="s">
        <v>857</v>
      </c>
      <c r="M559" s="43">
        <v>46153.429456018515</v>
      </c>
      <c r="N559" s="33" t="s">
        <v>1078</v>
      </c>
      <c r="O559" s="33" t="s">
        <v>175</v>
      </c>
      <c r="P559" s="33" t="s">
        <v>1963</v>
      </c>
      <c r="Q559" s="33"/>
      <c r="R559" s="33"/>
      <c r="S559" s="33"/>
      <c r="T559" s="33" t="s">
        <v>799</v>
      </c>
      <c r="U559" s="43">
        <v>46153.427777777775</v>
      </c>
      <c r="V559" s="58">
        <v>6.9444444444444447E-4</v>
      </c>
      <c r="W559" s="33" t="s">
        <v>799</v>
      </c>
      <c r="X559" s="43">
        <v>46153.427777777775</v>
      </c>
      <c r="Y559" s="58">
        <v>6.9444444444444447E-4</v>
      </c>
      <c r="Z559" s="33" t="s">
        <v>799</v>
      </c>
      <c r="AA559" s="43">
        <v>46153.541666666664</v>
      </c>
      <c r="AB559" s="33" t="s">
        <v>81</v>
      </c>
      <c r="AC559" s="33" t="s">
        <v>2076</v>
      </c>
      <c r="AD559" s="58">
        <v>0.11944444444444445</v>
      </c>
      <c r="AE559" s="33"/>
      <c r="AF559" s="58">
        <v>0.11944444444444445</v>
      </c>
      <c r="AG559" s="33" t="s">
        <v>1080</v>
      </c>
      <c r="AH559" s="33">
        <v>1</v>
      </c>
      <c r="AI559" s="43">
        <v>46153.427777777775</v>
      </c>
      <c r="AJ559" s="33" t="s">
        <v>793</v>
      </c>
      <c r="AK559" s="42">
        <v>755652.2</v>
      </c>
      <c r="AL559" s="33" t="s">
        <v>1081</v>
      </c>
    </row>
    <row r="560" spans="1:38">
      <c r="A560" s="33">
        <v>6006426</v>
      </c>
      <c r="B560" s="33"/>
      <c r="C560" s="33" t="s">
        <v>789</v>
      </c>
      <c r="D560" s="33" t="s">
        <v>809</v>
      </c>
      <c r="E560" s="33" t="s">
        <v>2728</v>
      </c>
      <c r="F560" s="43">
        <v>46153.3125</v>
      </c>
      <c r="G560" s="33" t="s">
        <v>792</v>
      </c>
      <c r="H560" s="33"/>
      <c r="I560" s="33" t="s">
        <v>793</v>
      </c>
      <c r="J560" s="33" t="s">
        <v>2049</v>
      </c>
      <c r="K560" s="59" t="s">
        <v>1306</v>
      </c>
      <c r="L560" s="33" t="s">
        <v>972</v>
      </c>
      <c r="M560" s="43">
        <v>46153.380266203705</v>
      </c>
      <c r="N560" s="33" t="s">
        <v>813</v>
      </c>
      <c r="O560" s="33" t="s">
        <v>175</v>
      </c>
      <c r="P560" s="33" t="s">
        <v>1963</v>
      </c>
      <c r="Q560" s="33"/>
      <c r="R560" s="33"/>
      <c r="S560" s="33"/>
      <c r="T560" s="33" t="s">
        <v>799</v>
      </c>
      <c r="U560" s="43">
        <v>46153.37222222222</v>
      </c>
      <c r="V560" s="33"/>
      <c r="W560" s="33"/>
      <c r="X560" s="33"/>
      <c r="Y560" s="33"/>
      <c r="Z560" s="33" t="s">
        <v>799</v>
      </c>
      <c r="AA560" s="43">
        <v>46153.541666666664</v>
      </c>
      <c r="AB560" s="33" t="s">
        <v>81</v>
      </c>
      <c r="AC560" s="33" t="s">
        <v>2076</v>
      </c>
      <c r="AD560" s="58">
        <v>7.1527777777777773E-2</v>
      </c>
      <c r="AE560" s="33"/>
      <c r="AF560" s="58">
        <v>7.1527777777777773E-2</v>
      </c>
      <c r="AG560" s="33" t="s">
        <v>815</v>
      </c>
      <c r="AH560" s="33">
        <v>1</v>
      </c>
      <c r="AI560" s="43">
        <v>46153.37222222222</v>
      </c>
      <c r="AJ560" s="33" t="s">
        <v>793</v>
      </c>
      <c r="AK560" s="42">
        <v>744650.59</v>
      </c>
      <c r="AL560" s="33" t="s">
        <v>816</v>
      </c>
    </row>
    <row r="561" spans="1:38">
      <c r="A561" s="33">
        <v>6006643</v>
      </c>
      <c r="B561" s="33"/>
      <c r="C561" s="33" t="s">
        <v>789</v>
      </c>
      <c r="D561" s="33" t="s">
        <v>1032</v>
      </c>
      <c r="E561" s="33" t="s">
        <v>2729</v>
      </c>
      <c r="F561" s="43">
        <v>46153.375</v>
      </c>
      <c r="G561" s="33" t="s">
        <v>792</v>
      </c>
      <c r="H561" s="33"/>
      <c r="I561" s="33" t="s">
        <v>793</v>
      </c>
      <c r="J561" s="33" t="s">
        <v>1382</v>
      </c>
      <c r="K561" s="33" t="s">
        <v>75</v>
      </c>
      <c r="L561" s="33" t="s">
        <v>1867</v>
      </c>
      <c r="M561" s="43">
        <v>46153.482974537037</v>
      </c>
      <c r="N561" s="33" t="s">
        <v>1036</v>
      </c>
      <c r="O561" s="33" t="s">
        <v>797</v>
      </c>
      <c r="P561" s="33" t="s">
        <v>799</v>
      </c>
      <c r="Q561" s="43">
        <v>46153.375</v>
      </c>
      <c r="R561" s="43">
        <v>46153.444444444445</v>
      </c>
      <c r="S561" s="58">
        <v>6.9444444444444448E-2</v>
      </c>
      <c r="T561" s="33" t="s">
        <v>140</v>
      </c>
      <c r="U561" s="43">
        <v>46153.470138888886</v>
      </c>
      <c r="V561" s="58">
        <v>1.1111111111111112E-2</v>
      </c>
      <c r="W561" s="33" t="s">
        <v>140</v>
      </c>
      <c r="X561" s="43">
        <v>46153.470138888886</v>
      </c>
      <c r="Y561" s="58">
        <v>1.1111111111111112E-2</v>
      </c>
      <c r="Z561" s="33" t="s">
        <v>140</v>
      </c>
      <c r="AA561" s="43">
        <v>46153.458333333336</v>
      </c>
      <c r="AB561" s="33" t="s">
        <v>81</v>
      </c>
      <c r="AC561" s="33" t="s">
        <v>1383</v>
      </c>
      <c r="AD561" s="58">
        <v>0.12013888888888889</v>
      </c>
      <c r="AE561" s="58">
        <v>3.8194444444444448E-2</v>
      </c>
      <c r="AF561" s="58">
        <v>0.12013888888888889</v>
      </c>
      <c r="AG561" s="33" t="s">
        <v>1038</v>
      </c>
      <c r="AH561" s="33">
        <v>2</v>
      </c>
      <c r="AI561" s="43">
        <v>46153.470138888886</v>
      </c>
      <c r="AJ561" s="33" t="s">
        <v>793</v>
      </c>
      <c r="AK561" s="42">
        <v>706985.76</v>
      </c>
      <c r="AL561" s="33" t="s">
        <v>1039</v>
      </c>
    </row>
    <row r="562" spans="1:38">
      <c r="A562" s="33">
        <v>6006932</v>
      </c>
      <c r="B562" s="33"/>
      <c r="C562" s="33" t="s">
        <v>789</v>
      </c>
      <c r="D562" s="33" t="s">
        <v>1407</v>
      </c>
      <c r="E562" s="33" t="s">
        <v>2730</v>
      </c>
      <c r="F562" s="43">
        <v>46153.416666666664</v>
      </c>
      <c r="G562" s="33" t="s">
        <v>792</v>
      </c>
      <c r="H562" s="33"/>
      <c r="I562" s="33" t="s">
        <v>793</v>
      </c>
      <c r="J562" s="33" t="s">
        <v>1086</v>
      </c>
      <c r="K562" s="33" t="s">
        <v>1077</v>
      </c>
      <c r="L562" s="33" t="s">
        <v>1035</v>
      </c>
      <c r="M562" s="43">
        <v>46153.59747685185</v>
      </c>
      <c r="N562" s="33" t="s">
        <v>1409</v>
      </c>
      <c r="O562" s="33" t="s">
        <v>797</v>
      </c>
      <c r="P562" s="33" t="s">
        <v>798</v>
      </c>
      <c r="Q562" s="43">
        <v>46153.40347222222</v>
      </c>
      <c r="R562" s="43">
        <v>46153.474305555559</v>
      </c>
      <c r="S562" s="58">
        <v>7.0833333333333331E-2</v>
      </c>
      <c r="T562" s="33" t="s">
        <v>140</v>
      </c>
      <c r="U562" s="43">
        <v>46153.583333333336</v>
      </c>
      <c r="V562" s="58">
        <v>1.3194444444444444E-2</v>
      </c>
      <c r="W562" s="33" t="s">
        <v>140</v>
      </c>
      <c r="X562" s="43">
        <v>46153.583333333336</v>
      </c>
      <c r="Y562" s="58">
        <v>1.3194444444444444E-2</v>
      </c>
      <c r="Z562" s="33" t="s">
        <v>140</v>
      </c>
      <c r="AA562" s="43">
        <v>46153.583333333336</v>
      </c>
      <c r="AB562" s="33" t="s">
        <v>81</v>
      </c>
      <c r="AC562" s="33" t="s">
        <v>1089</v>
      </c>
      <c r="AD562" s="58">
        <v>0.20277777777777778</v>
      </c>
      <c r="AE562" s="58">
        <v>0.12291666666666666</v>
      </c>
      <c r="AF562" s="58">
        <v>0.20277777777777778</v>
      </c>
      <c r="AG562" s="33" t="s">
        <v>1410</v>
      </c>
      <c r="AH562" s="33">
        <v>2</v>
      </c>
      <c r="AI562" s="43">
        <v>46153.583333333336</v>
      </c>
      <c r="AJ562" s="33" t="s">
        <v>793</v>
      </c>
      <c r="AK562" s="42">
        <v>670417.5</v>
      </c>
      <c r="AL562" s="33" t="s">
        <v>1411</v>
      </c>
    </row>
    <row r="563" spans="1:38">
      <c r="A563" s="33">
        <v>6006767</v>
      </c>
      <c r="B563" s="33"/>
      <c r="C563" s="33" t="s">
        <v>789</v>
      </c>
      <c r="D563" s="33" t="s">
        <v>2731</v>
      </c>
      <c r="E563" s="33" t="s">
        <v>2732</v>
      </c>
      <c r="F563" s="43">
        <v>46153.416666666664</v>
      </c>
      <c r="G563" s="33" t="s">
        <v>792</v>
      </c>
      <c r="H563" s="33"/>
      <c r="I563" s="33" t="s">
        <v>793</v>
      </c>
      <c r="J563" s="33" t="s">
        <v>1086</v>
      </c>
      <c r="K563" s="33" t="s">
        <v>75</v>
      </c>
      <c r="L563" s="33" t="s">
        <v>2733</v>
      </c>
      <c r="M563" s="43">
        <v>46153.830636574072</v>
      </c>
      <c r="N563" s="33" t="s">
        <v>2515</v>
      </c>
      <c r="O563" s="33" t="s">
        <v>797</v>
      </c>
      <c r="P563" s="33" t="s">
        <v>798</v>
      </c>
      <c r="Q563" s="43">
        <v>46153.413888888892</v>
      </c>
      <c r="R563" s="43">
        <v>46153.45208333333</v>
      </c>
      <c r="S563" s="58">
        <v>3.8194444444444448E-2</v>
      </c>
      <c r="T563" s="33" t="s">
        <v>140</v>
      </c>
      <c r="U563" s="43">
        <v>46153.575694444444</v>
      </c>
      <c r="V563" s="58">
        <v>0.22638888888888889</v>
      </c>
      <c r="W563" s="33"/>
      <c r="X563" s="33"/>
      <c r="Y563" s="33"/>
      <c r="Z563" s="33" t="s">
        <v>140</v>
      </c>
      <c r="AA563" s="43">
        <v>46153.583333333336</v>
      </c>
      <c r="AB563" s="33" t="s">
        <v>2734</v>
      </c>
      <c r="AC563" s="33" t="s">
        <v>1089</v>
      </c>
      <c r="AD563" s="58">
        <v>0.42777777777777776</v>
      </c>
      <c r="AE563" s="33"/>
      <c r="AF563" s="58">
        <v>0.42777777777777776</v>
      </c>
      <c r="AG563" s="33" t="s">
        <v>2735</v>
      </c>
      <c r="AH563" s="33">
        <v>2</v>
      </c>
      <c r="AI563" s="43">
        <v>46153.575694444444</v>
      </c>
      <c r="AJ563" s="33" t="s">
        <v>793</v>
      </c>
      <c r="AK563" s="42">
        <v>820091.1</v>
      </c>
      <c r="AL563" s="33" t="s">
        <v>2736</v>
      </c>
    </row>
    <row r="564" spans="1:38">
      <c r="A564" s="33">
        <v>6006924</v>
      </c>
      <c r="B564" s="33"/>
      <c r="C564" s="33" t="s">
        <v>789</v>
      </c>
      <c r="D564" s="33" t="s">
        <v>2737</v>
      </c>
      <c r="E564" s="33" t="s">
        <v>2738</v>
      </c>
      <c r="F564" s="43">
        <v>46153.416666666664</v>
      </c>
      <c r="G564" s="33" t="s">
        <v>792</v>
      </c>
      <c r="H564" s="33"/>
      <c r="I564" s="33" t="s">
        <v>793</v>
      </c>
      <c r="J564" s="33" t="s">
        <v>1086</v>
      </c>
      <c r="K564" s="33" t="s">
        <v>1530</v>
      </c>
      <c r="L564" s="33" t="s">
        <v>2012</v>
      </c>
      <c r="M564" s="43">
        <v>46153.612696759257</v>
      </c>
      <c r="N564" s="33" t="s">
        <v>2739</v>
      </c>
      <c r="O564" s="33" t="s">
        <v>797</v>
      </c>
      <c r="P564" s="33" t="s">
        <v>798</v>
      </c>
      <c r="Q564" s="43">
        <v>46153.450694444444</v>
      </c>
      <c r="R564" s="43">
        <v>46153.486111111109</v>
      </c>
      <c r="S564" s="58">
        <v>3.5416666666666666E-2</v>
      </c>
      <c r="T564" s="33" t="s">
        <v>140</v>
      </c>
      <c r="U564" s="43">
        <v>46153.598611111112</v>
      </c>
      <c r="V564" s="58">
        <v>1.9444444444444445E-2</v>
      </c>
      <c r="W564" s="33" t="s">
        <v>140</v>
      </c>
      <c r="X564" s="43">
        <v>46153.598611111112</v>
      </c>
      <c r="Y564" s="58">
        <v>1.9444444444444445E-2</v>
      </c>
      <c r="Z564" s="33" t="s">
        <v>140</v>
      </c>
      <c r="AA564" s="43">
        <v>46153.583333333336</v>
      </c>
      <c r="AB564" s="33" t="s">
        <v>81</v>
      </c>
      <c r="AC564" s="33" t="s">
        <v>1089</v>
      </c>
      <c r="AD564" s="58">
        <v>0.17083333333333334</v>
      </c>
      <c r="AE564" s="58">
        <v>0.13125000000000001</v>
      </c>
      <c r="AF564" s="58">
        <v>0.17083333333333334</v>
      </c>
      <c r="AG564" s="33" t="s">
        <v>2740</v>
      </c>
      <c r="AH564" s="33">
        <v>2</v>
      </c>
      <c r="AI564" s="43">
        <v>46153.598611111112</v>
      </c>
      <c r="AJ564" s="33" t="s">
        <v>793</v>
      </c>
      <c r="AK564" s="42">
        <v>670417.5</v>
      </c>
      <c r="AL564" s="33" t="s">
        <v>2741</v>
      </c>
    </row>
    <row r="565" spans="1:38">
      <c r="A565" s="33">
        <v>6006131</v>
      </c>
      <c r="B565" s="33"/>
      <c r="C565" s="33" t="s">
        <v>789</v>
      </c>
      <c r="D565" s="33" t="s">
        <v>1396</v>
      </c>
      <c r="E565" s="33" t="s">
        <v>2742</v>
      </c>
      <c r="F565" s="43">
        <v>46153.416666666664</v>
      </c>
      <c r="G565" s="33" t="s">
        <v>792</v>
      </c>
      <c r="H565" s="33"/>
      <c r="I565" s="33" t="s">
        <v>793</v>
      </c>
      <c r="J565" s="33" t="s">
        <v>1086</v>
      </c>
      <c r="K565" s="33" t="s">
        <v>75</v>
      </c>
      <c r="L565" s="33" t="s">
        <v>1112</v>
      </c>
      <c r="M565" s="43">
        <v>46153.544085648151</v>
      </c>
      <c r="N565" s="33" t="s">
        <v>1399</v>
      </c>
      <c r="O565" s="33" t="s">
        <v>797</v>
      </c>
      <c r="P565" s="33" t="s">
        <v>798</v>
      </c>
      <c r="Q565" s="43">
        <v>46153.4</v>
      </c>
      <c r="R565" s="43">
        <v>46153.409722222219</v>
      </c>
      <c r="S565" s="58">
        <v>9.7222222222222224E-3</v>
      </c>
      <c r="T565" s="33" t="s">
        <v>140</v>
      </c>
      <c r="U565" s="43">
        <v>46153.543055555558</v>
      </c>
      <c r="V565" s="58">
        <v>2.7777777777777779E-3</v>
      </c>
      <c r="W565" s="33" t="s">
        <v>140</v>
      </c>
      <c r="X565" s="43">
        <v>46153.543055555558</v>
      </c>
      <c r="Y565" s="58">
        <v>2.7777777777777779E-3</v>
      </c>
      <c r="Z565" s="33" t="s">
        <v>140</v>
      </c>
      <c r="AA565" s="43">
        <v>46153.583333333336</v>
      </c>
      <c r="AB565" s="33" t="s">
        <v>81</v>
      </c>
      <c r="AC565" s="33" t="s">
        <v>1089</v>
      </c>
      <c r="AD565" s="58">
        <v>0.14861111111111111</v>
      </c>
      <c r="AE565" s="58">
        <v>0.13402777777777777</v>
      </c>
      <c r="AF565" s="58">
        <v>0.14861111111111111</v>
      </c>
      <c r="AG565" s="33" t="s">
        <v>1401</v>
      </c>
      <c r="AH565" s="33">
        <v>2</v>
      </c>
      <c r="AI565" s="43">
        <v>46153.543055555558</v>
      </c>
      <c r="AJ565" s="33" t="s">
        <v>793</v>
      </c>
      <c r="AK565" s="42">
        <v>696306.68</v>
      </c>
      <c r="AL565" s="33" t="s">
        <v>1402</v>
      </c>
    </row>
    <row r="566" spans="1:38">
      <c r="A566" s="33">
        <v>6006928</v>
      </c>
      <c r="B566" s="33"/>
      <c r="C566" s="33" t="s">
        <v>789</v>
      </c>
      <c r="D566" s="33" t="s">
        <v>1412</v>
      </c>
      <c r="E566" s="33" t="s">
        <v>2743</v>
      </c>
      <c r="F566" s="43">
        <v>46153.416666666664</v>
      </c>
      <c r="G566" s="33" t="s">
        <v>792</v>
      </c>
      <c r="H566" s="33"/>
      <c r="I566" s="33" t="s">
        <v>793</v>
      </c>
      <c r="J566" s="33" t="s">
        <v>1086</v>
      </c>
      <c r="K566" s="33" t="s">
        <v>75</v>
      </c>
      <c r="L566" s="33" t="s">
        <v>2080</v>
      </c>
      <c r="M566" s="43">
        <v>46153.652233796296</v>
      </c>
      <c r="N566" s="33" t="s">
        <v>1414</v>
      </c>
      <c r="O566" s="33" t="s">
        <v>797</v>
      </c>
      <c r="P566" s="33" t="s">
        <v>798</v>
      </c>
      <c r="Q566" s="43">
        <v>46153.398611111108</v>
      </c>
      <c r="R566" s="43">
        <v>46153.441666666666</v>
      </c>
      <c r="S566" s="58">
        <v>4.3055555555555555E-2</v>
      </c>
      <c r="T566" s="33" t="s">
        <v>140</v>
      </c>
      <c r="U566" s="43">
        <v>46153.569444444445</v>
      </c>
      <c r="V566" s="58">
        <v>8.4027777777777785E-2</v>
      </c>
      <c r="W566" s="33" t="s">
        <v>140</v>
      </c>
      <c r="X566" s="43">
        <v>46153.569444444445</v>
      </c>
      <c r="Y566" s="58">
        <v>8.4027777777777785E-2</v>
      </c>
      <c r="Z566" s="33" t="s">
        <v>140</v>
      </c>
      <c r="AA566" s="43">
        <v>46153.583333333336</v>
      </c>
      <c r="AB566" s="33" t="s">
        <v>81</v>
      </c>
      <c r="AC566" s="33" t="s">
        <v>1089</v>
      </c>
      <c r="AD566" s="58">
        <v>0.25486111111111109</v>
      </c>
      <c r="AE566" s="58">
        <v>0.21041666666666667</v>
      </c>
      <c r="AF566" s="58">
        <v>0.25486111111111109</v>
      </c>
      <c r="AG566" s="33" t="s">
        <v>1415</v>
      </c>
      <c r="AH566" s="33">
        <v>2</v>
      </c>
      <c r="AI566" s="43">
        <v>46153.569444444445</v>
      </c>
      <c r="AJ566" s="33" t="s">
        <v>793</v>
      </c>
      <c r="AK566" s="42">
        <v>670417.5</v>
      </c>
      <c r="AL566" s="33" t="s">
        <v>1416</v>
      </c>
    </row>
    <row r="567" spans="1:38">
      <c r="A567" s="33" t="s">
        <v>2744</v>
      </c>
      <c r="B567" s="33"/>
      <c r="C567" s="33" t="s">
        <v>789</v>
      </c>
      <c r="D567" s="33" t="s">
        <v>2745</v>
      </c>
      <c r="E567" s="33" t="s">
        <v>2746</v>
      </c>
      <c r="F567" s="43">
        <v>46153.5</v>
      </c>
      <c r="G567" s="33" t="s">
        <v>1246</v>
      </c>
      <c r="H567" s="33"/>
      <c r="I567" s="33" t="s">
        <v>73</v>
      </c>
      <c r="J567" s="33" t="s">
        <v>1247</v>
      </c>
      <c r="K567" s="33" t="s">
        <v>75</v>
      </c>
      <c r="L567" s="33" t="s">
        <v>2747</v>
      </c>
      <c r="M567" s="43">
        <v>46153.939351851855</v>
      </c>
      <c r="N567" s="33" t="s">
        <v>2748</v>
      </c>
      <c r="O567" s="33" t="s">
        <v>2749</v>
      </c>
      <c r="P567" s="33" t="s">
        <v>79</v>
      </c>
      <c r="Q567" s="43">
        <v>46153.423611111109</v>
      </c>
      <c r="R567" s="43">
        <v>46153.686111111114</v>
      </c>
      <c r="S567" s="58">
        <v>0.26250000000000001</v>
      </c>
      <c r="T567" s="33" t="s">
        <v>1250</v>
      </c>
      <c r="U567" s="43">
        <v>46153.773611111108</v>
      </c>
      <c r="V567" s="33"/>
      <c r="W567" s="33"/>
      <c r="X567" s="33"/>
      <c r="Y567" s="33"/>
      <c r="Z567" s="33" t="s">
        <v>1250</v>
      </c>
      <c r="AA567" s="43">
        <v>46157.416666666664</v>
      </c>
      <c r="AB567" s="33" t="s">
        <v>81</v>
      </c>
      <c r="AC567" s="33" t="s">
        <v>81</v>
      </c>
      <c r="AD567" s="58">
        <v>0.52986111111111112</v>
      </c>
      <c r="AE567" s="33"/>
      <c r="AF567" s="58">
        <v>0.52986111111111112</v>
      </c>
      <c r="AG567" s="33"/>
      <c r="AH567" s="33">
        <v>2</v>
      </c>
      <c r="AI567" s="43">
        <v>46153.775000000001</v>
      </c>
      <c r="AJ567" s="33" t="s">
        <v>73</v>
      </c>
      <c r="AK567" s="42">
        <v>94341.2</v>
      </c>
      <c r="AL567" s="33" t="s">
        <v>2750</v>
      </c>
    </row>
    <row r="568" spans="1:38">
      <c r="A568" s="33">
        <v>5994555</v>
      </c>
      <c r="B568" s="33"/>
      <c r="C568" s="33" t="s">
        <v>789</v>
      </c>
      <c r="D568" s="33" t="s">
        <v>2751</v>
      </c>
      <c r="E568" s="33" t="s">
        <v>2752</v>
      </c>
      <c r="F568" s="43">
        <v>46153.415972222225</v>
      </c>
      <c r="G568" s="33" t="s">
        <v>114</v>
      </c>
      <c r="H568" s="33"/>
      <c r="I568" s="33" t="s">
        <v>73</v>
      </c>
      <c r="J568" s="33" t="s">
        <v>2753</v>
      </c>
      <c r="K568" s="33" t="s">
        <v>959</v>
      </c>
      <c r="L568" s="33" t="s">
        <v>1874</v>
      </c>
      <c r="M568" s="43">
        <v>46157.625358796293</v>
      </c>
      <c r="N568" s="33" t="s">
        <v>2754</v>
      </c>
      <c r="O568" s="33" t="s">
        <v>868</v>
      </c>
      <c r="P568" s="33" t="s">
        <v>79</v>
      </c>
      <c r="Q568" s="43">
        <v>46153.418749999997</v>
      </c>
      <c r="R568" s="43">
        <v>46153.462500000001</v>
      </c>
      <c r="S568" s="58">
        <v>4.3749999999999997E-2</v>
      </c>
      <c r="T568" s="33" t="s">
        <v>107</v>
      </c>
      <c r="U568" s="43">
        <v>46156.929166666669</v>
      </c>
      <c r="V568" s="58">
        <v>0.6958333333333333</v>
      </c>
      <c r="W568" s="33"/>
      <c r="X568" s="33"/>
      <c r="Y568" s="33"/>
      <c r="Z568" s="33" t="s">
        <v>107</v>
      </c>
      <c r="AA568" s="43">
        <v>46157.25</v>
      </c>
      <c r="AB568" s="33" t="s">
        <v>81</v>
      </c>
      <c r="AC568" s="33" t="s">
        <v>81</v>
      </c>
      <c r="AD568" s="44">
        <v>4.1881944444444441</v>
      </c>
      <c r="AE568" s="33"/>
      <c r="AF568" s="44">
        <v>4.1881944444444441</v>
      </c>
      <c r="AG568" s="33" t="s">
        <v>2755</v>
      </c>
      <c r="AH568" s="33">
        <v>2</v>
      </c>
      <c r="AI568" s="43">
        <v>46156.929166666669</v>
      </c>
      <c r="AJ568" s="33" t="s">
        <v>73</v>
      </c>
      <c r="AK568" s="42">
        <v>199333.86</v>
      </c>
      <c r="AL568" s="33" t="s">
        <v>2756</v>
      </c>
    </row>
    <row r="569" spans="1:38">
      <c r="A569" s="33">
        <v>6003161</v>
      </c>
      <c r="B569" s="33"/>
      <c r="C569" s="33" t="s">
        <v>789</v>
      </c>
      <c r="D569" s="33" t="s">
        <v>1047</v>
      </c>
      <c r="E569" s="33" t="s">
        <v>2757</v>
      </c>
      <c r="F569" s="43">
        <v>46153.458333333336</v>
      </c>
      <c r="G569" s="33" t="s">
        <v>792</v>
      </c>
      <c r="H569" s="33"/>
      <c r="I569" s="33" t="s">
        <v>793</v>
      </c>
      <c r="J569" s="33" t="s">
        <v>1312</v>
      </c>
      <c r="K569" s="33" t="s">
        <v>75</v>
      </c>
      <c r="L569" s="33" t="s">
        <v>1087</v>
      </c>
      <c r="M569" s="43">
        <v>46153.500949074078</v>
      </c>
      <c r="N569" s="33" t="s">
        <v>1051</v>
      </c>
      <c r="O569" s="33" t="s">
        <v>797</v>
      </c>
      <c r="P569" s="33" t="s">
        <v>799</v>
      </c>
      <c r="Q569" s="43">
        <v>46153.421527777777</v>
      </c>
      <c r="R569" s="43">
        <v>46153.457638888889</v>
      </c>
      <c r="S569" s="58">
        <v>3.6111111111111108E-2</v>
      </c>
      <c r="T569" s="33" t="s">
        <v>140</v>
      </c>
      <c r="U569" s="43">
        <v>46153.495833333334</v>
      </c>
      <c r="V569" s="58">
        <v>8.3333333333333332E-3</v>
      </c>
      <c r="W569" s="33" t="s">
        <v>140</v>
      </c>
      <c r="X569" s="43">
        <v>46153.495833333334</v>
      </c>
      <c r="Y569" s="58">
        <v>8.3333333333333332E-3</v>
      </c>
      <c r="Z569" s="33" t="s">
        <v>140</v>
      </c>
      <c r="AA569" s="43">
        <v>46154.5</v>
      </c>
      <c r="AB569" s="33" t="s">
        <v>81</v>
      </c>
      <c r="AC569" s="33" t="s">
        <v>1314</v>
      </c>
      <c r="AD569" s="58">
        <v>8.2638888888888887E-2</v>
      </c>
      <c r="AE569" s="58">
        <v>4.3749999999999997E-2</v>
      </c>
      <c r="AF569" s="58">
        <v>8.2638888888888887E-2</v>
      </c>
      <c r="AG569" s="33" t="s">
        <v>1205</v>
      </c>
      <c r="AH569" s="33">
        <v>2</v>
      </c>
      <c r="AI569" s="43">
        <v>46153.495833333334</v>
      </c>
      <c r="AJ569" s="33" t="s">
        <v>793</v>
      </c>
      <c r="AK569" s="42">
        <v>988863.58</v>
      </c>
      <c r="AL569" s="33" t="s">
        <v>1055</v>
      </c>
    </row>
    <row r="570" spans="1:38">
      <c r="A570" s="33">
        <v>6006886</v>
      </c>
      <c r="B570" s="33"/>
      <c r="C570" s="33" t="s">
        <v>789</v>
      </c>
      <c r="D570" s="33" t="s">
        <v>1315</v>
      </c>
      <c r="E570" s="33" t="s">
        <v>2758</v>
      </c>
      <c r="F570" s="43">
        <v>46153.458333333336</v>
      </c>
      <c r="G570" s="33" t="s">
        <v>792</v>
      </c>
      <c r="H570" s="33"/>
      <c r="I570" s="33" t="s">
        <v>793</v>
      </c>
      <c r="J570" s="33" t="s">
        <v>1086</v>
      </c>
      <c r="K570" s="33" t="s">
        <v>75</v>
      </c>
      <c r="L570" s="33" t="s">
        <v>1592</v>
      </c>
      <c r="M570" s="43">
        <v>46153.734016203707</v>
      </c>
      <c r="N570" s="33" t="s">
        <v>1319</v>
      </c>
      <c r="O570" s="33" t="s">
        <v>797</v>
      </c>
      <c r="P570" s="33" t="s">
        <v>798</v>
      </c>
      <c r="Q570" s="43">
        <v>46153.55</v>
      </c>
      <c r="R570" s="43">
        <v>46153.588888888888</v>
      </c>
      <c r="S570" s="58">
        <v>3.888888888888889E-2</v>
      </c>
      <c r="T570" s="33" t="s">
        <v>140</v>
      </c>
      <c r="U570" s="43">
        <v>46153.713888888888</v>
      </c>
      <c r="V570" s="58">
        <v>2.013888888888889E-2</v>
      </c>
      <c r="W570" s="33" t="s">
        <v>140</v>
      </c>
      <c r="X570" s="43">
        <v>46153.713888888888</v>
      </c>
      <c r="Y570" s="58">
        <v>2.013888888888889E-2</v>
      </c>
      <c r="Z570" s="33" t="s">
        <v>140</v>
      </c>
      <c r="AA570" s="43">
        <v>46153.833333333336</v>
      </c>
      <c r="AB570" s="33" t="s">
        <v>81</v>
      </c>
      <c r="AC570" s="33" t="s">
        <v>1089</v>
      </c>
      <c r="AD570" s="58">
        <v>0.30694444444444446</v>
      </c>
      <c r="AE570" s="58">
        <v>0.14444444444444443</v>
      </c>
      <c r="AF570" s="58">
        <v>0.30694444444444446</v>
      </c>
      <c r="AG570" s="33" t="s">
        <v>1322</v>
      </c>
      <c r="AH570" s="33">
        <v>2</v>
      </c>
      <c r="AI570" s="43">
        <v>46153.713888888888</v>
      </c>
      <c r="AJ570" s="33" t="s">
        <v>793</v>
      </c>
      <c r="AK570" s="42">
        <v>670417.5</v>
      </c>
      <c r="AL570" s="33" t="s">
        <v>1323</v>
      </c>
    </row>
    <row r="571" spans="1:38">
      <c r="A571" s="33">
        <v>6006889</v>
      </c>
      <c r="B571" s="33"/>
      <c r="C571" s="33" t="s">
        <v>789</v>
      </c>
      <c r="D571" s="33" t="s">
        <v>1417</v>
      </c>
      <c r="E571" s="33" t="s">
        <v>2759</v>
      </c>
      <c r="F571" s="43">
        <v>46153.416666666664</v>
      </c>
      <c r="G571" s="33" t="s">
        <v>792</v>
      </c>
      <c r="H571" s="33"/>
      <c r="I571" s="33" t="s">
        <v>793</v>
      </c>
      <c r="J571" s="33" t="s">
        <v>2760</v>
      </c>
      <c r="K571" s="33" t="s">
        <v>75</v>
      </c>
      <c r="L571" s="33" t="s">
        <v>1035</v>
      </c>
      <c r="M571" s="43">
        <v>46153.597511574073</v>
      </c>
      <c r="N571" s="33" t="s">
        <v>1409</v>
      </c>
      <c r="O571" s="33" t="s">
        <v>175</v>
      </c>
      <c r="P571" s="33" t="s">
        <v>798</v>
      </c>
      <c r="Q571" s="43">
        <v>46153.430555555555</v>
      </c>
      <c r="R571" s="43">
        <v>46153.457638888889</v>
      </c>
      <c r="S571" s="58">
        <v>2.7083333333333334E-2</v>
      </c>
      <c r="T571" s="33" t="s">
        <v>140</v>
      </c>
      <c r="U571" s="43">
        <v>46153.572916666664</v>
      </c>
      <c r="V571" s="58">
        <v>1.3888888888888889E-3</v>
      </c>
      <c r="W571" s="33"/>
      <c r="X571" s="33"/>
      <c r="Y571" s="33"/>
      <c r="Z571" s="33" t="s">
        <v>140</v>
      </c>
      <c r="AA571" s="43">
        <v>46154.583333333336</v>
      </c>
      <c r="AB571" s="33" t="s">
        <v>81</v>
      </c>
      <c r="AC571" s="33" t="s">
        <v>2761</v>
      </c>
      <c r="AD571" s="58">
        <v>0.16666666666666666</v>
      </c>
      <c r="AE571" s="33"/>
      <c r="AF571" s="58">
        <v>0.16666666666666666</v>
      </c>
      <c r="AG571" s="33" t="s">
        <v>1420</v>
      </c>
      <c r="AH571" s="33">
        <v>2</v>
      </c>
      <c r="AI571" s="43">
        <v>46153.572916666664</v>
      </c>
      <c r="AJ571" s="33" t="s">
        <v>793</v>
      </c>
      <c r="AK571" s="42">
        <v>670417.5</v>
      </c>
      <c r="AL571" s="33" t="s">
        <v>1421</v>
      </c>
    </row>
    <row r="572" spans="1:38">
      <c r="A572" s="33">
        <v>6006794</v>
      </c>
      <c r="B572" s="33"/>
      <c r="C572" s="33" t="s">
        <v>789</v>
      </c>
      <c r="D572" s="33" t="s">
        <v>2513</v>
      </c>
      <c r="E572" s="33" t="s">
        <v>2762</v>
      </c>
      <c r="F572" s="43">
        <v>46153.458333333336</v>
      </c>
      <c r="G572" s="33" t="s">
        <v>792</v>
      </c>
      <c r="H572" s="33"/>
      <c r="I572" s="33" t="s">
        <v>793</v>
      </c>
      <c r="J572" s="33" t="s">
        <v>1086</v>
      </c>
      <c r="K572" s="33" t="s">
        <v>75</v>
      </c>
      <c r="L572" s="33" t="s">
        <v>2012</v>
      </c>
      <c r="M572" s="43">
        <v>46153.683796296296</v>
      </c>
      <c r="N572" s="33" t="s">
        <v>2515</v>
      </c>
      <c r="O572" s="33" t="s">
        <v>797</v>
      </c>
      <c r="P572" s="33" t="s">
        <v>798</v>
      </c>
      <c r="Q572" s="43">
        <v>46153.457638888889</v>
      </c>
      <c r="R572" s="43">
        <v>46153.505555555559</v>
      </c>
      <c r="S572" s="58">
        <v>4.791666666666667E-2</v>
      </c>
      <c r="T572" s="33" t="s">
        <v>140</v>
      </c>
      <c r="U572" s="43">
        <v>46153.620138888888</v>
      </c>
      <c r="V572" s="58">
        <v>6.3194444444444442E-2</v>
      </c>
      <c r="W572" s="33" t="s">
        <v>140</v>
      </c>
      <c r="X572" s="43">
        <v>46153.620138888888</v>
      </c>
      <c r="Y572" s="58">
        <v>6.3194444444444442E-2</v>
      </c>
      <c r="Z572" s="33" t="s">
        <v>140</v>
      </c>
      <c r="AA572" s="43">
        <v>46153.666666666664</v>
      </c>
      <c r="AB572" s="33" t="s">
        <v>81</v>
      </c>
      <c r="AC572" s="33" t="s">
        <v>1089</v>
      </c>
      <c r="AD572" s="58">
        <v>0.25416666666666665</v>
      </c>
      <c r="AE572" s="58">
        <v>0.17777777777777778</v>
      </c>
      <c r="AF572" s="58">
        <v>0.25416666666666665</v>
      </c>
      <c r="AG572" s="33" t="s">
        <v>2516</v>
      </c>
      <c r="AH572" s="33">
        <v>2</v>
      </c>
      <c r="AI572" s="43">
        <v>46153.620138888888</v>
      </c>
      <c r="AJ572" s="33" t="s">
        <v>793</v>
      </c>
      <c r="AK572" s="42">
        <v>916956.62</v>
      </c>
      <c r="AL572" s="33" t="s">
        <v>1390</v>
      </c>
    </row>
    <row r="573" spans="1:38">
      <c r="A573" s="33">
        <v>6006670</v>
      </c>
      <c r="B573" s="33"/>
      <c r="C573" s="33" t="s">
        <v>789</v>
      </c>
      <c r="D573" s="33" t="s">
        <v>2763</v>
      </c>
      <c r="E573" s="33" t="s">
        <v>2764</v>
      </c>
      <c r="F573" s="43">
        <v>46153.458333333336</v>
      </c>
      <c r="G573" s="33" t="s">
        <v>792</v>
      </c>
      <c r="H573" s="33"/>
      <c r="I573" s="33" t="s">
        <v>793</v>
      </c>
      <c r="J573" s="33" t="s">
        <v>2765</v>
      </c>
      <c r="K573" s="33" t="s">
        <v>75</v>
      </c>
      <c r="L573" s="33" t="s">
        <v>1184</v>
      </c>
      <c r="M573" s="43">
        <v>46153.629074074073</v>
      </c>
      <c r="N573" s="33" t="s">
        <v>1399</v>
      </c>
      <c r="O573" s="33" t="s">
        <v>797</v>
      </c>
      <c r="P573" s="33" t="s">
        <v>798</v>
      </c>
      <c r="Q573" s="43">
        <v>46153.446527777778</v>
      </c>
      <c r="R573" s="43">
        <v>46153.500694444447</v>
      </c>
      <c r="S573" s="58">
        <v>5.4166666666666669E-2</v>
      </c>
      <c r="T573" s="33" t="s">
        <v>140</v>
      </c>
      <c r="U573" s="43">
        <v>46153.60833333333</v>
      </c>
      <c r="V573" s="58">
        <v>2.2916666666666665E-2</v>
      </c>
      <c r="W573" s="33" t="s">
        <v>140</v>
      </c>
      <c r="X573" s="43">
        <v>46153.60833333333</v>
      </c>
      <c r="Y573" s="58">
        <v>2.2916666666666665E-2</v>
      </c>
      <c r="Z573" s="33" t="s">
        <v>140</v>
      </c>
      <c r="AA573" s="43">
        <v>46153.666666666664</v>
      </c>
      <c r="AB573" s="33" t="s">
        <v>81</v>
      </c>
      <c r="AC573" s="33" t="s">
        <v>2766</v>
      </c>
      <c r="AD573" s="58">
        <v>0.1875</v>
      </c>
      <c r="AE573" s="58">
        <v>0.12986111111111112</v>
      </c>
      <c r="AF573" s="58">
        <v>0.1875</v>
      </c>
      <c r="AG573" s="33" t="s">
        <v>2767</v>
      </c>
      <c r="AH573" s="33">
        <v>2</v>
      </c>
      <c r="AI573" s="43">
        <v>46153.60833333333</v>
      </c>
      <c r="AJ573" s="33" t="s">
        <v>793</v>
      </c>
      <c r="AK573" s="42">
        <v>706985.76</v>
      </c>
      <c r="AL573" s="33" t="s">
        <v>2768</v>
      </c>
    </row>
    <row r="574" spans="1:38">
      <c r="A574" s="33">
        <v>6000606</v>
      </c>
      <c r="B574" s="33"/>
      <c r="C574" s="33" t="s">
        <v>789</v>
      </c>
      <c r="D574" s="33" t="s">
        <v>1343</v>
      </c>
      <c r="E574" s="33" t="s">
        <v>2769</v>
      </c>
      <c r="F574" s="43">
        <v>46153.458333333336</v>
      </c>
      <c r="G574" s="33" t="s">
        <v>792</v>
      </c>
      <c r="H574" s="33"/>
      <c r="I574" s="33" t="s">
        <v>793</v>
      </c>
      <c r="J574" s="33" t="s">
        <v>1111</v>
      </c>
      <c r="K574" s="33" t="s">
        <v>959</v>
      </c>
      <c r="L574" s="33" t="s">
        <v>2461</v>
      </c>
      <c r="M574" s="43">
        <v>46153.6953587963</v>
      </c>
      <c r="N574" s="33" t="s">
        <v>1345</v>
      </c>
      <c r="O574" s="33" t="s">
        <v>175</v>
      </c>
      <c r="P574" s="33" t="s">
        <v>799</v>
      </c>
      <c r="Q574" s="43">
        <v>46153.458333333336</v>
      </c>
      <c r="R574" s="43">
        <v>46153.524305555555</v>
      </c>
      <c r="S574" s="58">
        <v>6.5972222222222224E-2</v>
      </c>
      <c r="T574" s="33" t="s">
        <v>140</v>
      </c>
      <c r="U574" s="43">
        <v>46153.551388888889</v>
      </c>
      <c r="V574" s="58">
        <v>0.1388888888888889</v>
      </c>
      <c r="W574" s="33"/>
      <c r="X574" s="33"/>
      <c r="Y574" s="33"/>
      <c r="Z574" s="33" t="s">
        <v>140</v>
      </c>
      <c r="AA574" s="43">
        <v>46153.5</v>
      </c>
      <c r="AB574" s="33" t="s">
        <v>1138</v>
      </c>
      <c r="AC574" s="33" t="s">
        <v>1314</v>
      </c>
      <c r="AD574" s="58">
        <v>0.23680555555555555</v>
      </c>
      <c r="AE574" s="33"/>
      <c r="AF574" s="58">
        <v>0.23680555555555555</v>
      </c>
      <c r="AG574" s="33" t="s">
        <v>1346</v>
      </c>
      <c r="AH574" s="33">
        <v>2</v>
      </c>
      <c r="AI574" s="43">
        <v>46153.551388888889</v>
      </c>
      <c r="AJ574" s="33" t="s">
        <v>793</v>
      </c>
      <c r="AK574" s="42">
        <v>1120482.24</v>
      </c>
      <c r="AL574" s="33" t="s">
        <v>1347</v>
      </c>
    </row>
    <row r="575" spans="1:38">
      <c r="A575" s="33" t="s">
        <v>2770</v>
      </c>
      <c r="B575" s="33"/>
      <c r="C575" s="33" t="s">
        <v>789</v>
      </c>
      <c r="D575" s="33" t="s">
        <v>677</v>
      </c>
      <c r="E575" s="33" t="s">
        <v>2771</v>
      </c>
      <c r="F575" s="43">
        <v>46153.708333333336</v>
      </c>
      <c r="G575" s="33" t="s">
        <v>171</v>
      </c>
      <c r="H575" s="33"/>
      <c r="I575" s="33" t="s">
        <v>793</v>
      </c>
      <c r="J575" s="33" t="s">
        <v>958</v>
      </c>
      <c r="K575" s="33" t="s">
        <v>865</v>
      </c>
      <c r="L575" s="33" t="s">
        <v>2772</v>
      </c>
      <c r="M575" s="43">
        <v>46154.360625000001</v>
      </c>
      <c r="N575" s="33" t="s">
        <v>681</v>
      </c>
      <c r="O575" s="33" t="s">
        <v>797</v>
      </c>
      <c r="P575" s="33" t="s">
        <v>861</v>
      </c>
      <c r="Q575" s="33"/>
      <c r="R575" s="33"/>
      <c r="S575" s="33"/>
      <c r="T575" s="33" t="s">
        <v>308</v>
      </c>
      <c r="U575" s="43">
        <v>46153.902777777781</v>
      </c>
      <c r="V575" s="58">
        <v>0.44166666666666665</v>
      </c>
      <c r="W575" s="33"/>
      <c r="X575" s="33"/>
      <c r="Y575" s="33"/>
      <c r="Z575" s="33" t="s">
        <v>308</v>
      </c>
      <c r="AA575" s="43">
        <v>46159</v>
      </c>
      <c r="AB575" s="33" t="s">
        <v>1169</v>
      </c>
      <c r="AC575" s="33" t="s">
        <v>1404</v>
      </c>
      <c r="AD575" s="58">
        <v>0.63124999999999998</v>
      </c>
      <c r="AE575" s="33"/>
      <c r="AF575" s="58">
        <v>0.63124999999999998</v>
      </c>
      <c r="AG575" s="33" t="s">
        <v>1233</v>
      </c>
      <c r="AH575" s="33">
        <v>1</v>
      </c>
      <c r="AI575" s="43">
        <v>46153.902777777781</v>
      </c>
      <c r="AJ575" s="33" t="s">
        <v>793</v>
      </c>
      <c r="AK575" s="42">
        <v>947187.6</v>
      </c>
      <c r="AL575" s="33" t="s">
        <v>684</v>
      </c>
    </row>
    <row r="576" spans="1:38">
      <c r="A576" s="33" t="s">
        <v>2773</v>
      </c>
      <c r="B576" s="33"/>
      <c r="C576" s="33" t="s">
        <v>789</v>
      </c>
      <c r="D576" s="33" t="s">
        <v>599</v>
      </c>
      <c r="E576" s="33" t="s">
        <v>2774</v>
      </c>
      <c r="F576" s="43">
        <v>46153.708333333336</v>
      </c>
      <c r="G576" s="33" t="s">
        <v>171</v>
      </c>
      <c r="H576" s="33"/>
      <c r="I576" s="33" t="s">
        <v>793</v>
      </c>
      <c r="J576" s="33" t="s">
        <v>958</v>
      </c>
      <c r="K576" s="33" t="s">
        <v>75</v>
      </c>
      <c r="L576" s="33" t="s">
        <v>2775</v>
      </c>
      <c r="M576" s="43">
        <v>46154.470833333333</v>
      </c>
      <c r="N576" s="33" t="s">
        <v>603</v>
      </c>
      <c r="O576" s="33" t="s">
        <v>797</v>
      </c>
      <c r="P576" s="33" t="s">
        <v>861</v>
      </c>
      <c r="Q576" s="33"/>
      <c r="R576" s="33"/>
      <c r="S576" s="33"/>
      <c r="T576" s="33" t="s">
        <v>308</v>
      </c>
      <c r="U576" s="43">
        <v>46153.868750000001</v>
      </c>
      <c r="V576" s="58">
        <v>0.58472222222222225</v>
      </c>
      <c r="W576" s="33"/>
      <c r="X576" s="33"/>
      <c r="Y576" s="33"/>
      <c r="Z576" s="33" t="s">
        <v>308</v>
      </c>
      <c r="AA576" s="43">
        <v>46159</v>
      </c>
      <c r="AB576" s="33" t="s">
        <v>1525</v>
      </c>
      <c r="AC576" s="33" t="s">
        <v>1404</v>
      </c>
      <c r="AD576" s="58">
        <v>0.7368055555555556</v>
      </c>
      <c r="AE576" s="33"/>
      <c r="AF576" s="58">
        <v>0.7368055555555556</v>
      </c>
      <c r="AG576" s="33" t="s">
        <v>969</v>
      </c>
      <c r="AH576" s="33">
        <v>1</v>
      </c>
      <c r="AI576" s="43">
        <v>46153.868750000001</v>
      </c>
      <c r="AJ576" s="33" t="s">
        <v>793</v>
      </c>
      <c r="AK576" s="42">
        <v>453118.45</v>
      </c>
      <c r="AL576" s="33" t="s">
        <v>609</v>
      </c>
    </row>
    <row r="577" spans="1:38">
      <c r="A577" s="33" t="s">
        <v>2776</v>
      </c>
      <c r="B577" s="33"/>
      <c r="C577" s="33" t="s">
        <v>789</v>
      </c>
      <c r="D577" s="33" t="s">
        <v>956</v>
      </c>
      <c r="E577" s="33" t="s">
        <v>2777</v>
      </c>
      <c r="F577" s="43">
        <v>46153.666666666664</v>
      </c>
      <c r="G577" s="33" t="s">
        <v>171</v>
      </c>
      <c r="H577" s="33"/>
      <c r="I577" s="33" t="s">
        <v>793</v>
      </c>
      <c r="J577" s="33" t="s">
        <v>958</v>
      </c>
      <c r="K577" s="33" t="s">
        <v>75</v>
      </c>
      <c r="L577" s="33" t="s">
        <v>1627</v>
      </c>
      <c r="M577" s="43">
        <v>46153.873900462961</v>
      </c>
      <c r="N577" s="33" t="s">
        <v>174</v>
      </c>
      <c r="O577" s="33" t="s">
        <v>797</v>
      </c>
      <c r="P577" s="33" t="s">
        <v>861</v>
      </c>
      <c r="Q577" s="33"/>
      <c r="R577" s="33"/>
      <c r="S577" s="33"/>
      <c r="T577" s="33" t="s">
        <v>308</v>
      </c>
      <c r="U577" s="43">
        <v>46153.793055555558</v>
      </c>
      <c r="V577" s="58">
        <v>8.1250000000000003E-2</v>
      </c>
      <c r="W577" s="33" t="s">
        <v>308</v>
      </c>
      <c r="X577" s="43">
        <v>46153.793055555558</v>
      </c>
      <c r="Y577" s="58">
        <v>8.1250000000000003E-2</v>
      </c>
      <c r="Z577" s="33" t="s">
        <v>308</v>
      </c>
      <c r="AA577" s="43">
        <v>46159</v>
      </c>
      <c r="AB577" s="33" t="s">
        <v>1052</v>
      </c>
      <c r="AC577" s="33" t="s">
        <v>1404</v>
      </c>
      <c r="AD577" s="58">
        <v>0.2076388888888889</v>
      </c>
      <c r="AE577" s="33"/>
      <c r="AF577" s="58">
        <v>0.2076388888888889</v>
      </c>
      <c r="AG577" s="33" t="s">
        <v>1896</v>
      </c>
      <c r="AH577" s="33">
        <v>1</v>
      </c>
      <c r="AI577" s="43">
        <v>46153.793055555558</v>
      </c>
      <c r="AJ577" s="33" t="s">
        <v>793</v>
      </c>
      <c r="AK577" s="42">
        <v>1249067.1599999999</v>
      </c>
      <c r="AL577" s="33" t="s">
        <v>962</v>
      </c>
    </row>
    <row r="578" spans="1:38">
      <c r="A578" s="33" t="s">
        <v>2778</v>
      </c>
      <c r="B578" s="33"/>
      <c r="C578" s="33" t="s">
        <v>789</v>
      </c>
      <c r="D578" s="33" t="s">
        <v>804</v>
      </c>
      <c r="E578" s="33" t="s">
        <v>2779</v>
      </c>
      <c r="F578" s="43">
        <v>46153.791666666664</v>
      </c>
      <c r="G578" s="33" t="s">
        <v>792</v>
      </c>
      <c r="H578" s="33"/>
      <c r="I578" s="33" t="s">
        <v>793</v>
      </c>
      <c r="J578" s="33" t="s">
        <v>856</v>
      </c>
      <c r="K578" s="33" t="s">
        <v>75</v>
      </c>
      <c r="L578" s="33" t="s">
        <v>974</v>
      </c>
      <c r="M578" s="43">
        <v>46154.766793981478</v>
      </c>
      <c r="N578" s="33" t="s">
        <v>796</v>
      </c>
      <c r="O578" s="33" t="s">
        <v>797</v>
      </c>
      <c r="P578" s="33" t="s">
        <v>798</v>
      </c>
      <c r="Q578" s="43">
        <v>46154.386805555558</v>
      </c>
      <c r="R578" s="43">
        <v>46154.442361111112</v>
      </c>
      <c r="S578" s="58">
        <v>5.5555555555555552E-2</v>
      </c>
      <c r="T578" s="33" t="s">
        <v>799</v>
      </c>
      <c r="U578" s="33"/>
      <c r="V578" s="33"/>
      <c r="W578" s="33" t="s">
        <v>799</v>
      </c>
      <c r="X578" s="33"/>
      <c r="Y578" s="33"/>
      <c r="Z578" s="33" t="s">
        <v>799</v>
      </c>
      <c r="AA578" s="43">
        <v>46153.958333333336</v>
      </c>
      <c r="AB578" s="33" t="s">
        <v>81</v>
      </c>
      <c r="AC578" s="33" t="s">
        <v>858</v>
      </c>
      <c r="AD578" s="44">
        <v>1.1152777777777778</v>
      </c>
      <c r="AE578" s="58">
        <v>0.32430555555555557</v>
      </c>
      <c r="AF578" s="44">
        <v>1.1152777777777778</v>
      </c>
      <c r="AG578" s="33" t="s">
        <v>2084</v>
      </c>
      <c r="AH578" s="33">
        <v>1</v>
      </c>
      <c r="AI578" s="43">
        <v>46154.665277777778</v>
      </c>
      <c r="AJ578" s="33" t="s">
        <v>793</v>
      </c>
      <c r="AK578" s="42">
        <v>1229145.5900000001</v>
      </c>
      <c r="AL578" s="33" t="s">
        <v>808</v>
      </c>
    </row>
    <row r="579" spans="1:38">
      <c r="A579" s="33" t="s">
        <v>2780</v>
      </c>
      <c r="B579" s="33"/>
      <c r="C579" s="33" t="s">
        <v>789</v>
      </c>
      <c r="D579" s="33" t="s">
        <v>1330</v>
      </c>
      <c r="E579" s="33" t="s">
        <v>2781</v>
      </c>
      <c r="F579" s="43">
        <v>46153.463194444441</v>
      </c>
      <c r="G579" s="33" t="s">
        <v>114</v>
      </c>
      <c r="H579" s="33"/>
      <c r="I579" s="33" t="s">
        <v>73</v>
      </c>
      <c r="J579" s="33" t="s">
        <v>2782</v>
      </c>
      <c r="K579" s="33" t="s">
        <v>75</v>
      </c>
      <c r="L579" s="33" t="s">
        <v>2783</v>
      </c>
      <c r="M579" s="43">
        <v>46153.589456018519</v>
      </c>
      <c r="N579" s="33" t="s">
        <v>1334</v>
      </c>
      <c r="O579" s="33" t="s">
        <v>797</v>
      </c>
      <c r="P579" s="33" t="s">
        <v>140</v>
      </c>
      <c r="Q579" s="33"/>
      <c r="R579" s="33"/>
      <c r="S579" s="33"/>
      <c r="T579" s="33" t="s">
        <v>2784</v>
      </c>
      <c r="U579" s="33"/>
      <c r="V579" s="33"/>
      <c r="W579" s="33"/>
      <c r="X579" s="33"/>
      <c r="Y579" s="33"/>
      <c r="Z579" s="33" t="s">
        <v>2784</v>
      </c>
      <c r="AA579" s="43">
        <v>46154.416666666664</v>
      </c>
      <c r="AB579" s="33" t="s">
        <v>81</v>
      </c>
      <c r="AC579" s="33" t="s">
        <v>2785</v>
      </c>
      <c r="AD579" s="58">
        <v>0.12222222222222222</v>
      </c>
      <c r="AE579" s="33"/>
      <c r="AF579" s="58">
        <v>0.12222222222222222</v>
      </c>
      <c r="AG579" s="33"/>
      <c r="AH579" s="33">
        <v>0</v>
      </c>
      <c r="AI579" s="43">
        <v>46153.756944444445</v>
      </c>
      <c r="AJ579" s="33" t="s">
        <v>73</v>
      </c>
      <c r="AK579" s="42">
        <v>108170</v>
      </c>
      <c r="AL579" s="33" t="s">
        <v>1337</v>
      </c>
    </row>
    <row r="580" spans="1:38">
      <c r="A580" s="33">
        <v>6000591</v>
      </c>
      <c r="B580" s="33"/>
      <c r="C580" s="33" t="s">
        <v>789</v>
      </c>
      <c r="D580" s="33" t="s">
        <v>914</v>
      </c>
      <c r="E580" s="33" t="s">
        <v>2786</v>
      </c>
      <c r="F580" s="43">
        <v>46153.5625</v>
      </c>
      <c r="G580" s="33" t="s">
        <v>792</v>
      </c>
      <c r="H580" s="33"/>
      <c r="I580" s="33" t="s">
        <v>793</v>
      </c>
      <c r="J580" s="33" t="s">
        <v>1312</v>
      </c>
      <c r="K580" s="33" t="s">
        <v>75</v>
      </c>
      <c r="L580" s="33" t="s">
        <v>1035</v>
      </c>
      <c r="M580" s="43">
        <v>46153.931354166663</v>
      </c>
      <c r="N580" s="33" t="s">
        <v>918</v>
      </c>
      <c r="O580" s="33" t="s">
        <v>797</v>
      </c>
      <c r="P580" s="33" t="s">
        <v>799</v>
      </c>
      <c r="Q580" s="43">
        <v>46153.481249999997</v>
      </c>
      <c r="R580" s="43">
        <v>46153.693055555559</v>
      </c>
      <c r="S580" s="58">
        <v>0.21180555555555555</v>
      </c>
      <c r="T580" s="33" t="s">
        <v>140</v>
      </c>
      <c r="U580" s="43">
        <v>46153.722222222219</v>
      </c>
      <c r="V580" s="58">
        <v>0.20902777777777778</v>
      </c>
      <c r="W580" s="33" t="s">
        <v>140</v>
      </c>
      <c r="X580" s="43">
        <v>46153.722222222219</v>
      </c>
      <c r="Y580" s="58">
        <v>0.20902777777777778</v>
      </c>
      <c r="Z580" s="33" t="s">
        <v>140</v>
      </c>
      <c r="AA580" s="43">
        <v>46154.5</v>
      </c>
      <c r="AB580" s="33" t="s">
        <v>81</v>
      </c>
      <c r="AC580" s="33" t="s">
        <v>1314</v>
      </c>
      <c r="AD580" s="58">
        <v>0.45277777777777778</v>
      </c>
      <c r="AE580" s="58">
        <v>0.23749999999999999</v>
      </c>
      <c r="AF580" s="58">
        <v>0.45277777777777778</v>
      </c>
      <c r="AG580" s="33" t="s">
        <v>919</v>
      </c>
      <c r="AH580" s="33">
        <v>2</v>
      </c>
      <c r="AI580" s="43">
        <v>46153.722222222219</v>
      </c>
      <c r="AJ580" s="33" t="s">
        <v>793</v>
      </c>
      <c r="AK580" s="42">
        <v>1120482.24</v>
      </c>
      <c r="AL580" s="33" t="s">
        <v>920</v>
      </c>
    </row>
    <row r="581" spans="1:38">
      <c r="A581" s="33">
        <v>6014931</v>
      </c>
      <c r="B581" s="33"/>
      <c r="C581" s="33" t="s">
        <v>789</v>
      </c>
      <c r="D581" s="33" t="s">
        <v>2787</v>
      </c>
      <c r="E581" s="33" t="s">
        <v>2788</v>
      </c>
      <c r="F581" s="43">
        <v>46153.479166666664</v>
      </c>
      <c r="G581" s="33" t="s">
        <v>440</v>
      </c>
      <c r="H581" s="33"/>
      <c r="I581" s="33" t="s">
        <v>73</v>
      </c>
      <c r="J581" s="33" t="s">
        <v>2789</v>
      </c>
      <c r="K581" s="33" t="s">
        <v>75</v>
      </c>
      <c r="L581" s="33" t="s">
        <v>2790</v>
      </c>
      <c r="M581" s="43">
        <v>46155.334317129629</v>
      </c>
      <c r="N581" s="33" t="s">
        <v>443</v>
      </c>
      <c r="O581" s="33" t="s">
        <v>220</v>
      </c>
      <c r="P581" s="33" t="s">
        <v>79</v>
      </c>
      <c r="Q581" s="43">
        <v>46153.62222222222</v>
      </c>
      <c r="R581" s="43">
        <v>46153.629861111112</v>
      </c>
      <c r="S581" s="58">
        <v>7.6388888888888886E-3</v>
      </c>
      <c r="T581" s="33" t="s">
        <v>2791</v>
      </c>
      <c r="U581" s="43">
        <v>46155.301388888889</v>
      </c>
      <c r="V581" s="58">
        <v>4.8611111111111112E-3</v>
      </c>
      <c r="W581" s="33"/>
      <c r="X581" s="33"/>
      <c r="Y581" s="33"/>
      <c r="Z581" s="33" t="s">
        <v>2791</v>
      </c>
      <c r="AA581" s="43">
        <v>46156.333333333336</v>
      </c>
      <c r="AB581" s="33" t="s">
        <v>81</v>
      </c>
      <c r="AC581" s="33" t="s">
        <v>2792</v>
      </c>
      <c r="AD581" s="44">
        <v>1.7208333333333334</v>
      </c>
      <c r="AE581" s="33"/>
      <c r="AF581" s="44">
        <v>1.7208333333333334</v>
      </c>
      <c r="AG581" s="33" t="s">
        <v>2793</v>
      </c>
      <c r="AH581" s="33">
        <v>3</v>
      </c>
      <c r="AI581" s="43">
        <v>46155.301388888889</v>
      </c>
      <c r="AJ581" s="33" t="s">
        <v>73</v>
      </c>
      <c r="AK581" s="42">
        <v>125371.81</v>
      </c>
      <c r="AL581" s="33" t="s">
        <v>2794</v>
      </c>
    </row>
    <row r="582" spans="1:38">
      <c r="A582" s="33">
        <v>6006006</v>
      </c>
      <c r="B582" s="33"/>
      <c r="C582" s="33" t="s">
        <v>789</v>
      </c>
      <c r="D582" s="33" t="s">
        <v>2155</v>
      </c>
      <c r="E582" s="33" t="s">
        <v>2795</v>
      </c>
      <c r="F582" s="43">
        <v>46153.5</v>
      </c>
      <c r="G582" s="33" t="s">
        <v>792</v>
      </c>
      <c r="H582" s="33"/>
      <c r="I582" s="33" t="s">
        <v>793</v>
      </c>
      <c r="J582" s="33" t="s">
        <v>811</v>
      </c>
      <c r="K582" s="33" t="s">
        <v>75</v>
      </c>
      <c r="L582" s="33" t="s">
        <v>795</v>
      </c>
      <c r="M582" s="43">
        <v>46153.661585648151</v>
      </c>
      <c r="N582" s="33" t="s">
        <v>2157</v>
      </c>
      <c r="O582" s="33" t="s">
        <v>797</v>
      </c>
      <c r="P582" s="33" t="s">
        <v>798</v>
      </c>
      <c r="Q582" s="33"/>
      <c r="R582" s="33"/>
      <c r="S582" s="33"/>
      <c r="T582" s="33" t="s">
        <v>799</v>
      </c>
      <c r="U582" s="43">
        <v>46153.63958333333</v>
      </c>
      <c r="V582" s="58">
        <v>2.2916666666666665E-2</v>
      </c>
      <c r="W582" s="33" t="s">
        <v>799</v>
      </c>
      <c r="X582" s="43">
        <v>46153.63958333333</v>
      </c>
      <c r="Y582" s="58">
        <v>2.2916666666666665E-2</v>
      </c>
      <c r="Z582" s="33" t="s">
        <v>799</v>
      </c>
      <c r="AA582" s="43">
        <v>46153.75</v>
      </c>
      <c r="AB582" s="33" t="s">
        <v>81</v>
      </c>
      <c r="AC582" s="33" t="s">
        <v>814</v>
      </c>
      <c r="AD582" s="58">
        <v>0.16388888888888889</v>
      </c>
      <c r="AE582" s="33"/>
      <c r="AF582" s="58">
        <v>0.16388888888888889</v>
      </c>
      <c r="AG582" s="33" t="s">
        <v>2158</v>
      </c>
      <c r="AH582" s="33">
        <v>1</v>
      </c>
      <c r="AI582" s="43">
        <v>46153.63958333333</v>
      </c>
      <c r="AJ582" s="33" t="s">
        <v>793</v>
      </c>
      <c r="AK582" s="42">
        <v>734876.8</v>
      </c>
      <c r="AL582" s="33" t="s">
        <v>2159</v>
      </c>
    </row>
    <row r="583" spans="1:38">
      <c r="A583" s="33">
        <v>6009735</v>
      </c>
      <c r="B583" s="33"/>
      <c r="C583" s="33" t="s">
        <v>789</v>
      </c>
      <c r="D583" s="33" t="s">
        <v>1092</v>
      </c>
      <c r="E583" s="33" t="s">
        <v>2796</v>
      </c>
      <c r="F583" s="43">
        <v>46153.541666666664</v>
      </c>
      <c r="G583" s="33" t="s">
        <v>792</v>
      </c>
      <c r="H583" s="33"/>
      <c r="I583" s="33" t="s">
        <v>793</v>
      </c>
      <c r="J583" s="33" t="s">
        <v>2049</v>
      </c>
      <c r="K583" s="33" t="s">
        <v>75</v>
      </c>
      <c r="L583" s="33" t="s">
        <v>2797</v>
      </c>
      <c r="M583" s="43">
        <v>46153.751886574071</v>
      </c>
      <c r="N583" s="33" t="s">
        <v>1095</v>
      </c>
      <c r="O583" s="33" t="s">
        <v>797</v>
      </c>
      <c r="P583" s="33" t="s">
        <v>1963</v>
      </c>
      <c r="Q583" s="43">
        <v>46153.529861111114</v>
      </c>
      <c r="R583" s="43">
        <v>46153.599999999999</v>
      </c>
      <c r="S583" s="58">
        <v>7.013888888888889E-2</v>
      </c>
      <c r="T583" s="33" t="s">
        <v>799</v>
      </c>
      <c r="U583" s="43">
        <v>46153.740277777775</v>
      </c>
      <c r="V583" s="58">
        <v>1.3194444444444444E-2</v>
      </c>
      <c r="W583" s="33" t="s">
        <v>799</v>
      </c>
      <c r="X583" s="43">
        <v>46153.740277777775</v>
      </c>
      <c r="Y583" s="58">
        <v>1.3194444444444444E-2</v>
      </c>
      <c r="Z583" s="33" t="s">
        <v>799</v>
      </c>
      <c r="AA583" s="43">
        <v>46153.75</v>
      </c>
      <c r="AB583" s="33" t="s">
        <v>81</v>
      </c>
      <c r="AC583" s="33" t="s">
        <v>2076</v>
      </c>
      <c r="AD583" s="58">
        <v>0.24444444444444444</v>
      </c>
      <c r="AE583" s="58">
        <v>0.15208333333333332</v>
      </c>
      <c r="AF583" s="58">
        <v>0.24444444444444444</v>
      </c>
      <c r="AG583" s="33" t="s">
        <v>1097</v>
      </c>
      <c r="AH583" s="33">
        <v>2</v>
      </c>
      <c r="AI583" s="43">
        <v>46153.740277777775</v>
      </c>
      <c r="AJ583" s="33" t="s">
        <v>793</v>
      </c>
      <c r="AK583" s="42">
        <v>1210154.3999999999</v>
      </c>
      <c r="AL583" s="33" t="s">
        <v>1098</v>
      </c>
    </row>
    <row r="584" spans="1:38">
      <c r="A584" s="33">
        <v>6006883</v>
      </c>
      <c r="B584" s="33"/>
      <c r="C584" s="33" t="s">
        <v>789</v>
      </c>
      <c r="D584" s="33" t="s">
        <v>1745</v>
      </c>
      <c r="E584" s="33" t="s">
        <v>2798</v>
      </c>
      <c r="F584" s="43">
        <v>46153.458333333336</v>
      </c>
      <c r="G584" s="33" t="s">
        <v>792</v>
      </c>
      <c r="H584" s="33"/>
      <c r="I584" s="33" t="s">
        <v>793</v>
      </c>
      <c r="J584" s="33" t="s">
        <v>811</v>
      </c>
      <c r="K584" s="33" t="s">
        <v>2292</v>
      </c>
      <c r="L584" s="33" t="s">
        <v>806</v>
      </c>
      <c r="M584" s="43">
        <v>46153.655763888892</v>
      </c>
      <c r="N584" s="33" t="s">
        <v>1748</v>
      </c>
      <c r="O584" s="33" t="s">
        <v>797</v>
      </c>
      <c r="P584" s="33" t="s">
        <v>798</v>
      </c>
      <c r="Q584" s="33"/>
      <c r="R584" s="33"/>
      <c r="S584" s="33"/>
      <c r="T584" s="33" t="s">
        <v>799</v>
      </c>
      <c r="U584" s="43">
        <v>46153.65347222222</v>
      </c>
      <c r="V584" s="58">
        <v>2.7777777777777779E-3</v>
      </c>
      <c r="W584" s="33" t="s">
        <v>799</v>
      </c>
      <c r="X584" s="43">
        <v>46153.65347222222</v>
      </c>
      <c r="Y584" s="58">
        <v>2.7777777777777779E-3</v>
      </c>
      <c r="Z584" s="33" t="s">
        <v>799</v>
      </c>
      <c r="AA584" s="43">
        <v>46153.75</v>
      </c>
      <c r="AB584" s="33" t="s">
        <v>81</v>
      </c>
      <c r="AC584" s="33" t="s">
        <v>814</v>
      </c>
      <c r="AD584" s="58">
        <v>0.14444444444444443</v>
      </c>
      <c r="AE584" s="33"/>
      <c r="AF584" s="58">
        <v>0.14444444444444443</v>
      </c>
      <c r="AG584" s="33" t="s">
        <v>1750</v>
      </c>
      <c r="AH584" s="33">
        <v>1</v>
      </c>
      <c r="AI584" s="43">
        <v>46153.65347222222</v>
      </c>
      <c r="AJ584" s="33" t="s">
        <v>793</v>
      </c>
      <c r="AK584" s="42">
        <v>670417.5</v>
      </c>
      <c r="AL584" s="33" t="s">
        <v>1751</v>
      </c>
    </row>
    <row r="585" spans="1:38">
      <c r="A585" s="33">
        <v>6007961</v>
      </c>
      <c r="B585" s="33"/>
      <c r="C585" s="33" t="s">
        <v>789</v>
      </c>
      <c r="D585" s="33" t="s">
        <v>1084</v>
      </c>
      <c r="E585" s="33" t="s">
        <v>2799</v>
      </c>
      <c r="F585" s="43">
        <v>46153.541666666664</v>
      </c>
      <c r="G585" s="33" t="s">
        <v>792</v>
      </c>
      <c r="H585" s="33"/>
      <c r="I585" s="33" t="s">
        <v>793</v>
      </c>
      <c r="J585" s="33" t="s">
        <v>911</v>
      </c>
      <c r="K585" s="33" t="s">
        <v>2800</v>
      </c>
      <c r="L585" s="33" t="s">
        <v>1778</v>
      </c>
      <c r="M585" s="43">
        <v>46153.703761574077</v>
      </c>
      <c r="N585" s="33" t="s">
        <v>1088</v>
      </c>
      <c r="O585" s="33" t="s">
        <v>797</v>
      </c>
      <c r="P585" s="33" t="s">
        <v>1963</v>
      </c>
      <c r="Q585" s="43">
        <v>46153.529166666667</v>
      </c>
      <c r="R585" s="43">
        <v>46153.576388888891</v>
      </c>
      <c r="S585" s="58">
        <v>4.7222222222222221E-2</v>
      </c>
      <c r="T585" s="33" t="s">
        <v>799</v>
      </c>
      <c r="U585" s="43">
        <v>46153.693055555559</v>
      </c>
      <c r="V585" s="58">
        <v>1.1111111111111112E-2</v>
      </c>
      <c r="W585" s="33" t="s">
        <v>799</v>
      </c>
      <c r="X585" s="43">
        <v>46153.693055555559</v>
      </c>
      <c r="Y585" s="58">
        <v>1.1111111111111112E-2</v>
      </c>
      <c r="Z585" s="33" t="s">
        <v>799</v>
      </c>
      <c r="AA585" s="43">
        <v>46155.75</v>
      </c>
      <c r="AB585" s="33" t="s">
        <v>81</v>
      </c>
      <c r="AC585" s="33" t="s">
        <v>934</v>
      </c>
      <c r="AD585" s="58">
        <v>0.18819444444444444</v>
      </c>
      <c r="AE585" s="58">
        <v>0.12708333333333333</v>
      </c>
      <c r="AF585" s="58">
        <v>0.18819444444444444</v>
      </c>
      <c r="AG585" s="33" t="s">
        <v>1090</v>
      </c>
      <c r="AH585" s="33">
        <v>2</v>
      </c>
      <c r="AI585" s="43">
        <v>46153.693055555559</v>
      </c>
      <c r="AJ585" s="33" t="s">
        <v>793</v>
      </c>
      <c r="AK585" s="42">
        <v>1120482.24</v>
      </c>
      <c r="AL585" s="33" t="s">
        <v>1091</v>
      </c>
    </row>
    <row r="586" spans="1:38">
      <c r="A586" s="33">
        <v>6006086</v>
      </c>
      <c r="B586" s="33"/>
      <c r="C586" s="33" t="s">
        <v>789</v>
      </c>
      <c r="D586" s="33" t="s">
        <v>827</v>
      </c>
      <c r="E586" s="33" t="s">
        <v>2801</v>
      </c>
      <c r="F586" s="43">
        <v>46153.5</v>
      </c>
      <c r="G586" s="33" t="s">
        <v>792</v>
      </c>
      <c r="H586" s="33"/>
      <c r="I586" s="33" t="s">
        <v>793</v>
      </c>
      <c r="J586" s="33" t="s">
        <v>856</v>
      </c>
      <c r="K586" s="33" t="s">
        <v>75</v>
      </c>
      <c r="L586" s="33" t="s">
        <v>851</v>
      </c>
      <c r="M586" s="43">
        <v>46153.656793981485</v>
      </c>
      <c r="N586" s="33" t="s">
        <v>831</v>
      </c>
      <c r="O586" s="33" t="s">
        <v>797</v>
      </c>
      <c r="P586" s="33" t="s">
        <v>798</v>
      </c>
      <c r="Q586" s="33"/>
      <c r="R586" s="33"/>
      <c r="S586" s="33"/>
      <c r="T586" s="33" t="s">
        <v>799</v>
      </c>
      <c r="U586" s="43">
        <v>46153.635416666664</v>
      </c>
      <c r="V586" s="58">
        <v>2.2916666666666665E-2</v>
      </c>
      <c r="W586" s="33" t="s">
        <v>799</v>
      </c>
      <c r="X586" s="43">
        <v>46153.635416666664</v>
      </c>
      <c r="Y586" s="58">
        <v>2.2916666666666665E-2</v>
      </c>
      <c r="Z586" s="33" t="s">
        <v>799</v>
      </c>
      <c r="AA586" s="43">
        <v>46154.75</v>
      </c>
      <c r="AB586" s="33" t="s">
        <v>81</v>
      </c>
      <c r="AC586" s="33" t="s">
        <v>858</v>
      </c>
      <c r="AD586" s="58">
        <v>0.14166666666666666</v>
      </c>
      <c r="AE586" s="33"/>
      <c r="AF586" s="58">
        <v>0.14166666666666666</v>
      </c>
      <c r="AG586" s="33" t="s">
        <v>832</v>
      </c>
      <c r="AH586" s="33">
        <v>1</v>
      </c>
      <c r="AI586" s="43">
        <v>46153.635416666664</v>
      </c>
      <c r="AJ586" s="33" t="s">
        <v>793</v>
      </c>
      <c r="AK586" s="42">
        <v>554490.36</v>
      </c>
      <c r="AL586" s="33" t="s">
        <v>833</v>
      </c>
    </row>
    <row r="587" spans="1:38">
      <c r="A587" s="33">
        <v>6006942</v>
      </c>
      <c r="B587" s="33"/>
      <c r="C587" s="33" t="s">
        <v>789</v>
      </c>
      <c r="D587" s="33" t="s">
        <v>1702</v>
      </c>
      <c r="E587" s="33" t="s">
        <v>2802</v>
      </c>
      <c r="F587" s="43">
        <v>46153.583333333336</v>
      </c>
      <c r="G587" s="33" t="s">
        <v>792</v>
      </c>
      <c r="H587" s="33"/>
      <c r="I587" s="33" t="s">
        <v>793</v>
      </c>
      <c r="J587" s="33" t="s">
        <v>2760</v>
      </c>
      <c r="K587" s="33" t="s">
        <v>2803</v>
      </c>
      <c r="L587" s="33" t="s">
        <v>2804</v>
      </c>
      <c r="M587" s="43">
        <v>46153.661666666667</v>
      </c>
      <c r="N587" s="33" t="s">
        <v>1705</v>
      </c>
      <c r="O587" s="33" t="s">
        <v>175</v>
      </c>
      <c r="P587" s="33" t="s">
        <v>798</v>
      </c>
      <c r="Q587" s="43">
        <v>46153.536805555559</v>
      </c>
      <c r="R587" s="43">
        <v>46153.57708333333</v>
      </c>
      <c r="S587" s="58">
        <v>4.027777777777778E-2</v>
      </c>
      <c r="T587" s="33" t="s">
        <v>140</v>
      </c>
      <c r="U587" s="33"/>
      <c r="V587" s="33"/>
      <c r="W587" s="33"/>
      <c r="X587" s="33"/>
      <c r="Y587" s="33"/>
      <c r="Z587" s="33" t="s">
        <v>140</v>
      </c>
      <c r="AA587" s="43">
        <v>46154.75</v>
      </c>
      <c r="AB587" s="33" t="s">
        <v>1446</v>
      </c>
      <c r="AC587" s="33" t="s">
        <v>2761</v>
      </c>
      <c r="AD587" s="58">
        <v>0.2076388888888889</v>
      </c>
      <c r="AE587" s="33"/>
      <c r="AF587" s="58">
        <v>0.2076388888888889</v>
      </c>
      <c r="AG587" s="33" t="s">
        <v>1706</v>
      </c>
      <c r="AH587" s="33">
        <v>1</v>
      </c>
      <c r="AI587" s="43">
        <v>46153.663888888892</v>
      </c>
      <c r="AJ587" s="33" t="s">
        <v>793</v>
      </c>
      <c r="AK587" s="42">
        <v>840313.26</v>
      </c>
      <c r="AL587" s="33" t="s">
        <v>1707</v>
      </c>
    </row>
    <row r="588" spans="1:38">
      <c r="A588" s="33">
        <v>6013937</v>
      </c>
      <c r="B588" s="33"/>
      <c r="C588" s="33" t="s">
        <v>789</v>
      </c>
      <c r="D588" s="33" t="s">
        <v>1681</v>
      </c>
      <c r="E588" s="33" t="s">
        <v>2805</v>
      </c>
      <c r="F588" s="43">
        <v>46153.708333333336</v>
      </c>
      <c r="G588" s="33" t="s">
        <v>227</v>
      </c>
      <c r="H588" s="33"/>
      <c r="I588" s="33" t="s">
        <v>73</v>
      </c>
      <c r="J588" s="33" t="s">
        <v>746</v>
      </c>
      <c r="K588" s="33" t="s">
        <v>75</v>
      </c>
      <c r="L588" s="33" t="s">
        <v>2806</v>
      </c>
      <c r="M588" s="43">
        <v>46154.362395833334</v>
      </c>
      <c r="N588" s="33" t="s">
        <v>230</v>
      </c>
      <c r="O588" s="33" t="s">
        <v>797</v>
      </c>
      <c r="P588" s="33" t="s">
        <v>79</v>
      </c>
      <c r="Q588" s="43">
        <v>46153.564583333333</v>
      </c>
      <c r="R588" s="43">
        <v>46153.566666666666</v>
      </c>
      <c r="S588" s="58">
        <v>2.0833333333333333E-3</v>
      </c>
      <c r="T588" s="33" t="s">
        <v>750</v>
      </c>
      <c r="U588" s="43">
        <v>46153.904861111114</v>
      </c>
      <c r="V588" s="58">
        <v>0.46180555555555558</v>
      </c>
      <c r="W588" s="33" t="s">
        <v>750</v>
      </c>
      <c r="X588" s="43">
        <v>46153.904861111114</v>
      </c>
      <c r="Y588" s="58">
        <v>0.46180555555555558</v>
      </c>
      <c r="Z588" s="33" t="s">
        <v>750</v>
      </c>
      <c r="AA588" s="43">
        <v>46154.208333333336</v>
      </c>
      <c r="AB588" s="33" t="s">
        <v>81</v>
      </c>
      <c r="AC588" s="33" t="s">
        <v>752</v>
      </c>
      <c r="AD588" s="58">
        <v>0.83125000000000004</v>
      </c>
      <c r="AE588" s="58">
        <v>0.79513888888888884</v>
      </c>
      <c r="AF588" s="58">
        <v>0.83125000000000004</v>
      </c>
      <c r="AG588" s="33" t="s">
        <v>1185</v>
      </c>
      <c r="AH588" s="33">
        <v>2</v>
      </c>
      <c r="AI588" s="43">
        <v>46153.904861111114</v>
      </c>
      <c r="AJ588" s="33" t="s">
        <v>73</v>
      </c>
      <c r="AK588" s="42">
        <v>453695.97</v>
      </c>
      <c r="AL588" s="33" t="s">
        <v>1686</v>
      </c>
    </row>
    <row r="589" spans="1:38">
      <c r="A589" s="33">
        <v>6008132</v>
      </c>
      <c r="B589" s="33"/>
      <c r="C589" s="33" t="s">
        <v>789</v>
      </c>
      <c r="D589" s="33" t="s">
        <v>1424</v>
      </c>
      <c r="E589" s="33" t="s">
        <v>2807</v>
      </c>
      <c r="F589" s="43">
        <v>46153.541666666664</v>
      </c>
      <c r="G589" s="33" t="s">
        <v>792</v>
      </c>
      <c r="H589" s="33"/>
      <c r="I589" s="33" t="s">
        <v>793</v>
      </c>
      <c r="J589" s="33" t="s">
        <v>2049</v>
      </c>
      <c r="K589" s="33" t="s">
        <v>75</v>
      </c>
      <c r="L589" s="33" t="s">
        <v>795</v>
      </c>
      <c r="M589" s="43">
        <v>46153.783379629633</v>
      </c>
      <c r="N589" s="33" t="s">
        <v>1426</v>
      </c>
      <c r="O589" s="33" t="s">
        <v>797</v>
      </c>
      <c r="P589" s="33" t="s">
        <v>1963</v>
      </c>
      <c r="Q589" s="43">
        <v>46153.573611111111</v>
      </c>
      <c r="R589" s="43">
        <v>46153.634027777778</v>
      </c>
      <c r="S589" s="58">
        <v>6.0416666666666667E-2</v>
      </c>
      <c r="T589" s="33" t="s">
        <v>799</v>
      </c>
      <c r="U589" s="43">
        <v>46153.772916666669</v>
      </c>
      <c r="V589" s="58">
        <v>1.0416666666666666E-2</v>
      </c>
      <c r="W589" s="33" t="s">
        <v>799</v>
      </c>
      <c r="X589" s="43">
        <v>46153.772916666669</v>
      </c>
      <c r="Y589" s="58">
        <v>1.0416666666666666E-2</v>
      </c>
      <c r="Z589" s="33" t="s">
        <v>799</v>
      </c>
      <c r="AA589" s="43">
        <v>46154.75</v>
      </c>
      <c r="AB589" s="33" t="s">
        <v>81</v>
      </c>
      <c r="AC589" s="33" t="s">
        <v>2076</v>
      </c>
      <c r="AD589" s="58">
        <v>0.25347222222222221</v>
      </c>
      <c r="AE589" s="58">
        <v>0.14930555555555555</v>
      </c>
      <c r="AF589" s="58">
        <v>0.25347222222222221</v>
      </c>
      <c r="AG589" s="33" t="s">
        <v>1427</v>
      </c>
      <c r="AH589" s="33">
        <v>2</v>
      </c>
      <c r="AI589" s="43">
        <v>46153.772916666669</v>
      </c>
      <c r="AJ589" s="33" t="s">
        <v>793</v>
      </c>
      <c r="AK589" s="42">
        <v>1120482.24</v>
      </c>
      <c r="AL589" s="33" t="s">
        <v>1428</v>
      </c>
    </row>
    <row r="590" spans="1:38">
      <c r="A590" s="33" t="s">
        <v>2808</v>
      </c>
      <c r="B590" s="33"/>
      <c r="C590" s="33" t="s">
        <v>789</v>
      </c>
      <c r="D590" s="33" t="s">
        <v>938</v>
      </c>
      <c r="E590" s="33" t="s">
        <v>2809</v>
      </c>
      <c r="F590" s="43">
        <v>46153.625</v>
      </c>
      <c r="G590" s="33" t="s">
        <v>792</v>
      </c>
      <c r="H590" s="33"/>
      <c r="I590" s="33" t="s">
        <v>793</v>
      </c>
      <c r="J590" s="33" t="s">
        <v>2049</v>
      </c>
      <c r="K590" s="33" t="s">
        <v>75</v>
      </c>
      <c r="L590" s="33" t="s">
        <v>857</v>
      </c>
      <c r="M590" s="43">
        <v>46153.811192129629</v>
      </c>
      <c r="N590" s="33" t="s">
        <v>940</v>
      </c>
      <c r="O590" s="33" t="s">
        <v>175</v>
      </c>
      <c r="P590" s="33" t="s">
        <v>1963</v>
      </c>
      <c r="Q590" s="43">
        <v>46153.607638888891</v>
      </c>
      <c r="R590" s="43">
        <v>46153.613194444442</v>
      </c>
      <c r="S590" s="58">
        <v>5.5555555555555558E-3</v>
      </c>
      <c r="T590" s="33" t="s">
        <v>799</v>
      </c>
      <c r="U590" s="43">
        <v>46153.79583333333</v>
      </c>
      <c r="V590" s="58">
        <v>1.3888888888888889E-3</v>
      </c>
      <c r="W590" s="33"/>
      <c r="X590" s="33"/>
      <c r="Y590" s="33"/>
      <c r="Z590" s="33" t="s">
        <v>799</v>
      </c>
      <c r="AA590" s="43">
        <v>46154.791666666664</v>
      </c>
      <c r="AB590" s="33" t="s">
        <v>81</v>
      </c>
      <c r="AC590" s="33" t="s">
        <v>2076</v>
      </c>
      <c r="AD590" s="58">
        <v>0.20277777777777778</v>
      </c>
      <c r="AE590" s="33"/>
      <c r="AF590" s="58">
        <v>0.20277777777777778</v>
      </c>
      <c r="AG590" s="33" t="s">
        <v>942</v>
      </c>
      <c r="AH590" s="33">
        <v>2</v>
      </c>
      <c r="AI590" s="43">
        <v>46153.79583333333</v>
      </c>
      <c r="AJ590" s="33" t="s">
        <v>793</v>
      </c>
      <c r="AK590" s="42">
        <v>1843641.59</v>
      </c>
      <c r="AL590" s="33" t="s">
        <v>884</v>
      </c>
    </row>
    <row r="591" spans="1:38">
      <c r="A591" s="33" t="s">
        <v>2810</v>
      </c>
      <c r="B591" s="33"/>
      <c r="C591" s="33" t="s">
        <v>789</v>
      </c>
      <c r="D591" s="33" t="s">
        <v>877</v>
      </c>
      <c r="E591" s="33" t="s">
        <v>2811</v>
      </c>
      <c r="F591" s="43">
        <v>46153.625</v>
      </c>
      <c r="G591" s="33" t="s">
        <v>792</v>
      </c>
      <c r="H591" s="33"/>
      <c r="I591" s="33" t="s">
        <v>793</v>
      </c>
      <c r="J591" s="33" t="s">
        <v>2049</v>
      </c>
      <c r="K591" s="33" t="s">
        <v>75</v>
      </c>
      <c r="L591" s="33" t="s">
        <v>795</v>
      </c>
      <c r="M591" s="43">
        <v>46153.784814814811</v>
      </c>
      <c r="N591" s="33" t="s">
        <v>881</v>
      </c>
      <c r="O591" s="33" t="s">
        <v>797</v>
      </c>
      <c r="P591" s="33" t="s">
        <v>1963</v>
      </c>
      <c r="Q591" s="43">
        <v>46153.534722222219</v>
      </c>
      <c r="R591" s="43">
        <v>46153.537499999999</v>
      </c>
      <c r="S591" s="58">
        <v>2.7777777777777779E-3</v>
      </c>
      <c r="T591" s="33" t="s">
        <v>799</v>
      </c>
      <c r="U591" s="43">
        <v>46153.779166666667</v>
      </c>
      <c r="V591" s="58">
        <v>5.5555555555555558E-3</v>
      </c>
      <c r="W591" s="33" t="s">
        <v>799</v>
      </c>
      <c r="X591" s="43">
        <v>46153.779166666667</v>
      </c>
      <c r="Y591" s="58">
        <v>5.5555555555555558E-3</v>
      </c>
      <c r="Z591" s="33" t="s">
        <v>799</v>
      </c>
      <c r="AA591" s="43">
        <v>46154.791666666664</v>
      </c>
      <c r="AB591" s="33" t="s">
        <v>81</v>
      </c>
      <c r="AC591" s="33" t="s">
        <v>2076</v>
      </c>
      <c r="AD591" s="58">
        <v>0.25416666666666665</v>
      </c>
      <c r="AE591" s="58">
        <v>0.24722222222222223</v>
      </c>
      <c r="AF591" s="58">
        <v>0.25416666666666665</v>
      </c>
      <c r="AG591" s="33" t="s">
        <v>883</v>
      </c>
      <c r="AH591" s="33">
        <v>2</v>
      </c>
      <c r="AI591" s="43">
        <v>46153.779166666667</v>
      </c>
      <c r="AJ591" s="33" t="s">
        <v>793</v>
      </c>
      <c r="AK591" s="42">
        <v>1177123.2</v>
      </c>
      <c r="AL591" s="33" t="s">
        <v>943</v>
      </c>
    </row>
    <row r="592" spans="1:38">
      <c r="A592" s="33" t="s">
        <v>2812</v>
      </c>
      <c r="B592" s="33"/>
      <c r="C592" s="33" t="s">
        <v>789</v>
      </c>
      <c r="D592" s="33" t="s">
        <v>925</v>
      </c>
      <c r="E592" s="33" t="s">
        <v>2813</v>
      </c>
      <c r="F592" s="43">
        <v>46153.625</v>
      </c>
      <c r="G592" s="33" t="s">
        <v>792</v>
      </c>
      <c r="H592" s="33"/>
      <c r="I592" s="33" t="s">
        <v>793</v>
      </c>
      <c r="J592" s="33" t="s">
        <v>2049</v>
      </c>
      <c r="K592" s="33" t="s">
        <v>75</v>
      </c>
      <c r="L592" s="33" t="s">
        <v>888</v>
      </c>
      <c r="M592" s="43">
        <v>46153.873032407406</v>
      </c>
      <c r="N592" s="33" t="s">
        <v>927</v>
      </c>
      <c r="O592" s="33" t="s">
        <v>797</v>
      </c>
      <c r="P592" s="33" t="s">
        <v>1963</v>
      </c>
      <c r="Q592" s="43">
        <v>46153.60833333333</v>
      </c>
      <c r="R592" s="43">
        <v>46153.618055555555</v>
      </c>
      <c r="S592" s="58">
        <v>9.7222222222222224E-3</v>
      </c>
      <c r="T592" s="33" t="s">
        <v>799</v>
      </c>
      <c r="U592" s="43">
        <v>46153.788194444445</v>
      </c>
      <c r="V592" s="58">
        <v>8.5416666666666669E-2</v>
      </c>
      <c r="W592" s="33" t="s">
        <v>799</v>
      </c>
      <c r="X592" s="43">
        <v>46153.788194444445</v>
      </c>
      <c r="Y592" s="58">
        <v>8.5416666666666669E-2</v>
      </c>
      <c r="Z592" s="33" t="s">
        <v>799</v>
      </c>
      <c r="AA592" s="43">
        <v>46154.791666666664</v>
      </c>
      <c r="AB592" s="33" t="s">
        <v>81</v>
      </c>
      <c r="AC592" s="33" t="s">
        <v>2076</v>
      </c>
      <c r="AD592" s="58">
        <v>0.2638888888888889</v>
      </c>
      <c r="AE592" s="58">
        <v>0.25486111111111109</v>
      </c>
      <c r="AF592" s="58">
        <v>0.2638888888888889</v>
      </c>
      <c r="AG592" s="33" t="s">
        <v>928</v>
      </c>
      <c r="AH592" s="33">
        <v>2</v>
      </c>
      <c r="AI592" s="43">
        <v>46153.788194444445</v>
      </c>
      <c r="AJ592" s="33" t="s">
        <v>793</v>
      </c>
      <c r="AK592" s="42">
        <v>1855359.04</v>
      </c>
      <c r="AL592" s="33" t="s">
        <v>929</v>
      </c>
    </row>
    <row r="593" spans="1:38">
      <c r="A593" s="33">
        <v>6004171</v>
      </c>
      <c r="B593" s="33"/>
      <c r="C593" s="33" t="s">
        <v>789</v>
      </c>
      <c r="D593" s="33" t="s">
        <v>1032</v>
      </c>
      <c r="E593" s="33" t="s">
        <v>2814</v>
      </c>
      <c r="F593" s="43">
        <v>46153.541666666664</v>
      </c>
      <c r="G593" s="33" t="s">
        <v>792</v>
      </c>
      <c r="H593" s="33"/>
      <c r="I593" s="33" t="s">
        <v>793</v>
      </c>
      <c r="J593" s="33" t="s">
        <v>1312</v>
      </c>
      <c r="K593" s="33" t="s">
        <v>2815</v>
      </c>
      <c r="L593" s="33" t="s">
        <v>1264</v>
      </c>
      <c r="M593" s="43">
        <v>46153.694444444445</v>
      </c>
      <c r="N593" s="33" t="s">
        <v>1036</v>
      </c>
      <c r="O593" s="33" t="s">
        <v>797</v>
      </c>
      <c r="P593" s="33" t="s">
        <v>799</v>
      </c>
      <c r="Q593" s="43">
        <v>46153.538194444445</v>
      </c>
      <c r="R593" s="43">
        <v>46153.664583333331</v>
      </c>
      <c r="S593" s="58">
        <v>0.12638888888888888</v>
      </c>
      <c r="T593" s="33" t="s">
        <v>140</v>
      </c>
      <c r="U593" s="43">
        <v>46153.688888888886</v>
      </c>
      <c r="V593" s="58">
        <v>6.9444444444444441E-3</v>
      </c>
      <c r="W593" s="33" t="s">
        <v>140</v>
      </c>
      <c r="X593" s="43">
        <v>46153.688888888886</v>
      </c>
      <c r="Y593" s="58">
        <v>6.9444444444444441E-3</v>
      </c>
      <c r="Z593" s="33" t="s">
        <v>140</v>
      </c>
      <c r="AA593" s="43">
        <v>46154.583333333336</v>
      </c>
      <c r="AB593" s="33" t="s">
        <v>81</v>
      </c>
      <c r="AC593" s="33" t="s">
        <v>1314</v>
      </c>
      <c r="AD593" s="58">
        <v>0.16319444444444445</v>
      </c>
      <c r="AE593" s="58">
        <v>2.9166666666666667E-2</v>
      </c>
      <c r="AF593" s="58">
        <v>0.16319444444444445</v>
      </c>
      <c r="AG593" s="33" t="s">
        <v>2816</v>
      </c>
      <c r="AH593" s="33">
        <v>2</v>
      </c>
      <c r="AI593" s="43">
        <v>46153.688888888886</v>
      </c>
      <c r="AJ593" s="33" t="s">
        <v>793</v>
      </c>
      <c r="AK593" s="42">
        <v>1117733.22</v>
      </c>
      <c r="AL593" s="33" t="s">
        <v>1039</v>
      </c>
    </row>
    <row r="594" spans="1:38">
      <c r="A594" s="33">
        <v>6013230</v>
      </c>
      <c r="B594" s="33"/>
      <c r="C594" s="33" t="s">
        <v>789</v>
      </c>
      <c r="D594" s="33" t="s">
        <v>2817</v>
      </c>
      <c r="E594" s="33" t="s">
        <v>2818</v>
      </c>
      <c r="F594" s="43">
        <v>46153.53402777778</v>
      </c>
      <c r="G594" s="33" t="s">
        <v>216</v>
      </c>
      <c r="H594" s="33"/>
      <c r="I594" s="33" t="s">
        <v>73</v>
      </c>
      <c r="J594" s="33" t="s">
        <v>2819</v>
      </c>
      <c r="K594" s="33" t="s">
        <v>75</v>
      </c>
      <c r="L594" s="33" t="s">
        <v>1555</v>
      </c>
      <c r="M594" s="43">
        <v>46154.743761574071</v>
      </c>
      <c r="N594" s="33" t="s">
        <v>219</v>
      </c>
      <c r="O594" s="33" t="s">
        <v>797</v>
      </c>
      <c r="P594" s="33" t="s">
        <v>140</v>
      </c>
      <c r="Q594" s="43">
        <v>46153.564583333333</v>
      </c>
      <c r="R594" s="43">
        <v>46153.572916666664</v>
      </c>
      <c r="S594" s="58">
        <v>8.3333333333333332E-3</v>
      </c>
      <c r="T594" s="33" t="s">
        <v>403</v>
      </c>
      <c r="U594" s="33"/>
      <c r="V594" s="33"/>
      <c r="W594" s="33" t="s">
        <v>1541</v>
      </c>
      <c r="X594" s="43">
        <v>46154.686805555553</v>
      </c>
      <c r="Y594" s="58">
        <v>5.9027777777777776E-2</v>
      </c>
      <c r="Z594" s="33" t="s">
        <v>403</v>
      </c>
      <c r="AA594" s="43">
        <v>46155.333333333336</v>
      </c>
      <c r="AB594" s="33" t="s">
        <v>81</v>
      </c>
      <c r="AC594" s="33" t="s">
        <v>2820</v>
      </c>
      <c r="AD594" s="44">
        <v>1.2048611111111112</v>
      </c>
      <c r="AE594" s="33"/>
      <c r="AF594" s="44">
        <v>1.2048611111111112</v>
      </c>
      <c r="AG594" s="33"/>
      <c r="AH594" s="33">
        <v>2</v>
      </c>
      <c r="AI594" s="43">
        <v>46154.743750000001</v>
      </c>
      <c r="AJ594" s="33" t="s">
        <v>73</v>
      </c>
      <c r="AK594" s="42">
        <v>719586</v>
      </c>
      <c r="AL594" s="33" t="s">
        <v>2821</v>
      </c>
    </row>
    <row r="595" spans="1:38">
      <c r="A595" s="33">
        <v>6006049</v>
      </c>
      <c r="B595" s="33"/>
      <c r="C595" s="33" t="s">
        <v>789</v>
      </c>
      <c r="D595" s="33" t="s">
        <v>1047</v>
      </c>
      <c r="E595" s="33" t="s">
        <v>2822</v>
      </c>
      <c r="F595" s="43">
        <v>46153.583333333336</v>
      </c>
      <c r="G595" s="33" t="s">
        <v>792</v>
      </c>
      <c r="H595" s="33"/>
      <c r="I595" s="33" t="s">
        <v>793</v>
      </c>
      <c r="J595" s="33" t="s">
        <v>1312</v>
      </c>
      <c r="K595" s="33" t="s">
        <v>1589</v>
      </c>
      <c r="L595" s="33" t="s">
        <v>1050</v>
      </c>
      <c r="M595" s="43">
        <v>46153.709224537037</v>
      </c>
      <c r="N595" s="33" t="s">
        <v>1051</v>
      </c>
      <c r="O595" s="33" t="s">
        <v>797</v>
      </c>
      <c r="P595" s="33" t="s">
        <v>799</v>
      </c>
      <c r="Q595" s="43">
        <v>46153.547222222223</v>
      </c>
      <c r="R595" s="43">
        <v>46153.686805555553</v>
      </c>
      <c r="S595" s="58">
        <v>0.13958333333333334</v>
      </c>
      <c r="T595" s="33" t="s">
        <v>140</v>
      </c>
      <c r="U595" s="33"/>
      <c r="V595" s="33"/>
      <c r="W595" s="33"/>
      <c r="X595" s="33"/>
      <c r="Y595" s="33"/>
      <c r="Z595" s="33" t="s">
        <v>140</v>
      </c>
      <c r="AA595" s="43">
        <v>46154.583333333336</v>
      </c>
      <c r="AB595" s="33" t="s">
        <v>1052</v>
      </c>
      <c r="AC595" s="33" t="s">
        <v>1314</v>
      </c>
      <c r="AD595" s="58">
        <v>0.18194444444444444</v>
      </c>
      <c r="AE595" s="33"/>
      <c r="AF595" s="58">
        <v>0.18194444444444444</v>
      </c>
      <c r="AG595" s="33" t="s">
        <v>2504</v>
      </c>
      <c r="AH595" s="33">
        <v>1</v>
      </c>
      <c r="AI595" s="43">
        <v>46153.713194444441</v>
      </c>
      <c r="AJ595" s="33" t="s">
        <v>793</v>
      </c>
      <c r="AK595" s="42">
        <v>1087895.3999999999</v>
      </c>
      <c r="AL595" s="33" t="s">
        <v>1055</v>
      </c>
    </row>
    <row r="596" spans="1:38">
      <c r="A596" s="33">
        <v>6006018</v>
      </c>
      <c r="B596" s="33"/>
      <c r="C596" s="33" t="s">
        <v>789</v>
      </c>
      <c r="D596" s="33" t="s">
        <v>1366</v>
      </c>
      <c r="E596" s="33" t="s">
        <v>2823</v>
      </c>
      <c r="F596" s="43">
        <v>46153.583333333336</v>
      </c>
      <c r="G596" s="33" t="s">
        <v>792</v>
      </c>
      <c r="H596" s="33"/>
      <c r="I596" s="33" t="s">
        <v>793</v>
      </c>
      <c r="J596" s="33" t="s">
        <v>2049</v>
      </c>
      <c r="K596" s="33" t="s">
        <v>75</v>
      </c>
      <c r="L596" s="33" t="s">
        <v>795</v>
      </c>
      <c r="M596" s="43">
        <v>46153.720625000002</v>
      </c>
      <c r="N596" s="33" t="s">
        <v>796</v>
      </c>
      <c r="O596" s="33" t="s">
        <v>797</v>
      </c>
      <c r="P596" s="33" t="s">
        <v>1963</v>
      </c>
      <c r="Q596" s="43">
        <v>46153.565972222219</v>
      </c>
      <c r="R596" s="43">
        <v>46153.594444444447</v>
      </c>
      <c r="S596" s="58">
        <v>2.8472222222222222E-2</v>
      </c>
      <c r="T596" s="33" t="s">
        <v>799</v>
      </c>
      <c r="U596" s="43">
        <v>46153.71875</v>
      </c>
      <c r="V596" s="58">
        <v>2.0833333333333333E-3</v>
      </c>
      <c r="W596" s="33" t="s">
        <v>799</v>
      </c>
      <c r="X596" s="43">
        <v>46153.71875</v>
      </c>
      <c r="Y596" s="58">
        <v>2.0833333333333333E-3</v>
      </c>
      <c r="Z596" s="33" t="s">
        <v>799</v>
      </c>
      <c r="AA596" s="43">
        <v>46154.916666666664</v>
      </c>
      <c r="AB596" s="33" t="s">
        <v>81</v>
      </c>
      <c r="AC596" s="33" t="s">
        <v>2076</v>
      </c>
      <c r="AD596" s="58">
        <v>0.15347222222222223</v>
      </c>
      <c r="AE596" s="58">
        <v>0.12569444444444444</v>
      </c>
      <c r="AF596" s="58">
        <v>0.15347222222222223</v>
      </c>
      <c r="AG596" s="33" t="s">
        <v>1369</v>
      </c>
      <c r="AH596" s="33">
        <v>2</v>
      </c>
      <c r="AI596" s="43">
        <v>46153.71875</v>
      </c>
      <c r="AJ596" s="33" t="s">
        <v>793</v>
      </c>
      <c r="AK596" s="42">
        <v>602905.02</v>
      </c>
      <c r="AL596" s="33" t="s">
        <v>1370</v>
      </c>
    </row>
    <row r="597" spans="1:38">
      <c r="A597" s="33" t="s">
        <v>2824</v>
      </c>
      <c r="B597" s="33"/>
      <c r="C597" s="33" t="s">
        <v>789</v>
      </c>
      <c r="D597" s="33" t="s">
        <v>2825</v>
      </c>
      <c r="E597" s="33" t="s">
        <v>2826</v>
      </c>
      <c r="F597" s="43">
        <v>46153.625</v>
      </c>
      <c r="G597" s="33" t="s">
        <v>171</v>
      </c>
      <c r="H597" s="33"/>
      <c r="I597" s="33" t="s">
        <v>73</v>
      </c>
      <c r="J597" s="33" t="s">
        <v>2827</v>
      </c>
      <c r="K597" s="33" t="s">
        <v>358</v>
      </c>
      <c r="L597" s="33" t="s">
        <v>2828</v>
      </c>
      <c r="M597" s="43">
        <v>46155.633472222224</v>
      </c>
      <c r="N597" s="33" t="s">
        <v>2299</v>
      </c>
      <c r="O597" s="33" t="s">
        <v>797</v>
      </c>
      <c r="P597" s="33" t="s">
        <v>79</v>
      </c>
      <c r="Q597" s="43">
        <v>46153.771527777775</v>
      </c>
      <c r="R597" s="43">
        <v>46154.138888888891</v>
      </c>
      <c r="S597" s="58">
        <v>0.36736111111111114</v>
      </c>
      <c r="T597" s="33" t="s">
        <v>2300</v>
      </c>
      <c r="U597" s="33"/>
      <c r="V597" s="33"/>
      <c r="W597" s="33"/>
      <c r="X597" s="33"/>
      <c r="Y597" s="33"/>
      <c r="Z597" s="33" t="s">
        <v>2300</v>
      </c>
      <c r="AA597" s="43">
        <v>46157.291666666664</v>
      </c>
      <c r="AB597" s="33" t="s">
        <v>2829</v>
      </c>
      <c r="AC597" s="33" t="s">
        <v>2830</v>
      </c>
      <c r="AD597" s="44">
        <v>1.98125</v>
      </c>
      <c r="AE597" s="33"/>
      <c r="AF597" s="44">
        <v>1.98125</v>
      </c>
      <c r="AG597" s="33" t="s">
        <v>2831</v>
      </c>
      <c r="AH597" s="33">
        <v>2</v>
      </c>
      <c r="AI597" s="43">
        <v>46155.634722222225</v>
      </c>
      <c r="AJ597" s="33" t="s">
        <v>73</v>
      </c>
      <c r="AK597" s="42">
        <v>240146.29</v>
      </c>
      <c r="AL597" s="33" t="s">
        <v>2832</v>
      </c>
    </row>
    <row r="598" spans="1:38">
      <c r="A598" s="33">
        <v>6004910</v>
      </c>
      <c r="B598" s="33"/>
      <c r="C598" s="33" t="s">
        <v>789</v>
      </c>
      <c r="D598" s="33" t="s">
        <v>1838</v>
      </c>
      <c r="E598" s="33" t="s">
        <v>2833</v>
      </c>
      <c r="F598" s="43">
        <v>46153.625</v>
      </c>
      <c r="G598" s="33" t="s">
        <v>792</v>
      </c>
      <c r="H598" s="33"/>
      <c r="I598" s="33" t="s">
        <v>793</v>
      </c>
      <c r="J598" s="33" t="s">
        <v>1312</v>
      </c>
      <c r="K598" s="33" t="s">
        <v>75</v>
      </c>
      <c r="L598" s="33" t="s">
        <v>1523</v>
      </c>
      <c r="M598" s="43">
        <v>46153.781990740739</v>
      </c>
      <c r="N598" s="33" t="s">
        <v>1840</v>
      </c>
      <c r="O598" s="33" t="s">
        <v>797</v>
      </c>
      <c r="P598" s="33" t="s">
        <v>799</v>
      </c>
      <c r="Q598" s="43">
        <v>46153.617361111108</v>
      </c>
      <c r="R598" s="43">
        <v>46153.70208333333</v>
      </c>
      <c r="S598" s="58">
        <v>8.4722222222222227E-2</v>
      </c>
      <c r="T598" s="33" t="s">
        <v>140</v>
      </c>
      <c r="U598" s="43">
        <v>46153.732638888891</v>
      </c>
      <c r="V598" s="58">
        <v>5.0694444444444445E-2</v>
      </c>
      <c r="W598" s="33" t="s">
        <v>140</v>
      </c>
      <c r="X598" s="43">
        <v>46153.732638888891</v>
      </c>
      <c r="Y598" s="58">
        <v>5.0694444444444445E-2</v>
      </c>
      <c r="Z598" s="33" t="s">
        <v>140</v>
      </c>
      <c r="AA598" s="43">
        <v>46153.666666666664</v>
      </c>
      <c r="AB598" s="33" t="s">
        <v>81</v>
      </c>
      <c r="AC598" s="33" t="s">
        <v>1314</v>
      </c>
      <c r="AD598" s="58">
        <v>0.17152777777777778</v>
      </c>
      <c r="AE598" s="58">
        <v>7.9861111111111105E-2</v>
      </c>
      <c r="AF598" s="58">
        <v>0.17152777777777778</v>
      </c>
      <c r="AG598" s="33" t="s">
        <v>1841</v>
      </c>
      <c r="AH598" s="33">
        <v>2</v>
      </c>
      <c r="AI598" s="43">
        <v>46153.732638888891</v>
      </c>
      <c r="AJ598" s="33" t="s">
        <v>793</v>
      </c>
      <c r="AK598" s="42">
        <v>855386.4</v>
      </c>
      <c r="AL598" s="33" t="s">
        <v>1842</v>
      </c>
    </row>
    <row r="599" spans="1:38">
      <c r="A599" s="33">
        <v>6006034</v>
      </c>
      <c r="B599" s="33"/>
      <c r="C599" s="33" t="s">
        <v>789</v>
      </c>
      <c r="D599" s="33" t="s">
        <v>1163</v>
      </c>
      <c r="E599" s="33" t="s">
        <v>2834</v>
      </c>
      <c r="F599" s="43">
        <v>46153.625</v>
      </c>
      <c r="G599" s="33" t="s">
        <v>792</v>
      </c>
      <c r="H599" s="33"/>
      <c r="I599" s="33" t="s">
        <v>793</v>
      </c>
      <c r="J599" s="33" t="s">
        <v>811</v>
      </c>
      <c r="K599" s="59" t="s">
        <v>1306</v>
      </c>
      <c r="L599" s="33" t="s">
        <v>2835</v>
      </c>
      <c r="M599" s="43">
        <v>46154.104722222219</v>
      </c>
      <c r="N599" s="33" t="s">
        <v>1167</v>
      </c>
      <c r="O599" s="33" t="s">
        <v>797</v>
      </c>
      <c r="P599" s="33" t="s">
        <v>798</v>
      </c>
      <c r="Q599" s="43">
        <v>46153.623611111114</v>
      </c>
      <c r="R599" s="43">
        <v>46153.634027777778</v>
      </c>
      <c r="S599" s="58">
        <v>1.0416666666666666E-2</v>
      </c>
      <c r="T599" s="33" t="s">
        <v>799</v>
      </c>
      <c r="U599" s="43">
        <v>46153.758333333331</v>
      </c>
      <c r="V599" s="58">
        <v>0.33819444444444446</v>
      </c>
      <c r="W599" s="33"/>
      <c r="X599" s="33"/>
      <c r="Y599" s="33"/>
      <c r="Z599" s="33" t="s">
        <v>799</v>
      </c>
      <c r="AA599" s="43">
        <v>46154.75</v>
      </c>
      <c r="AB599" s="33" t="s">
        <v>606</v>
      </c>
      <c r="AC599" s="33" t="s">
        <v>814</v>
      </c>
      <c r="AD599" s="58">
        <v>0.48055555555555557</v>
      </c>
      <c r="AE599" s="33"/>
      <c r="AF599" s="58">
        <v>0.48055555555555557</v>
      </c>
      <c r="AG599" s="33" t="s">
        <v>1171</v>
      </c>
      <c r="AH599" s="33">
        <v>2</v>
      </c>
      <c r="AI599" s="43">
        <v>46153.758333333331</v>
      </c>
      <c r="AJ599" s="33" t="s">
        <v>793</v>
      </c>
      <c r="AK599" s="42">
        <v>602905.02</v>
      </c>
      <c r="AL599" s="33" t="s">
        <v>1172</v>
      </c>
    </row>
    <row r="600" spans="1:38">
      <c r="A600" s="33">
        <v>6013549</v>
      </c>
      <c r="B600" s="33"/>
      <c r="C600" s="33" t="s">
        <v>789</v>
      </c>
      <c r="D600" s="33" t="s">
        <v>2836</v>
      </c>
      <c r="E600" s="33" t="s">
        <v>2837</v>
      </c>
      <c r="F600" s="43">
        <v>46153.638888888891</v>
      </c>
      <c r="G600" s="33" t="s">
        <v>216</v>
      </c>
      <c r="H600" s="33"/>
      <c r="I600" s="33" t="s">
        <v>73</v>
      </c>
      <c r="J600" s="33" t="s">
        <v>2819</v>
      </c>
      <c r="K600" s="33" t="s">
        <v>75</v>
      </c>
      <c r="L600" s="33" t="s">
        <v>2571</v>
      </c>
      <c r="M600" s="43">
        <v>46155.648506944446</v>
      </c>
      <c r="N600" s="33" t="s">
        <v>2838</v>
      </c>
      <c r="O600" s="33" t="s">
        <v>797</v>
      </c>
      <c r="P600" s="33" t="s">
        <v>140</v>
      </c>
      <c r="Q600" s="43">
        <v>46153.651388888888</v>
      </c>
      <c r="R600" s="43">
        <v>46153.886805555558</v>
      </c>
      <c r="S600" s="58">
        <v>0.23541666666666666</v>
      </c>
      <c r="T600" s="33" t="s">
        <v>403</v>
      </c>
      <c r="U600" s="33"/>
      <c r="V600" s="33"/>
      <c r="W600" s="33" t="s">
        <v>1541</v>
      </c>
      <c r="X600" s="43">
        <v>46155.638888888891</v>
      </c>
      <c r="Y600" s="58">
        <v>1.0416666666666666E-2</v>
      </c>
      <c r="Z600" s="33" t="s">
        <v>403</v>
      </c>
      <c r="AA600" s="43">
        <v>46157.333333333336</v>
      </c>
      <c r="AB600" s="33" t="s">
        <v>81</v>
      </c>
      <c r="AC600" s="33" t="s">
        <v>2820</v>
      </c>
      <c r="AD600" s="44">
        <v>2.0069444444444446</v>
      </c>
      <c r="AE600" s="33"/>
      <c r="AF600" s="44">
        <v>2.0069444444444446</v>
      </c>
      <c r="AG600" s="33"/>
      <c r="AH600" s="33">
        <v>5</v>
      </c>
      <c r="AI600" s="43">
        <v>46155.680555555555</v>
      </c>
      <c r="AJ600" s="33" t="s">
        <v>73</v>
      </c>
      <c r="AK600" s="42">
        <v>961169.51</v>
      </c>
      <c r="AL600" s="33" t="s">
        <v>2839</v>
      </c>
    </row>
    <row r="601" spans="1:38">
      <c r="A601" s="33">
        <v>6015112</v>
      </c>
      <c r="B601" s="33"/>
      <c r="C601" s="33" t="s">
        <v>789</v>
      </c>
      <c r="D601" s="33" t="s">
        <v>225</v>
      </c>
      <c r="E601" s="33" t="s">
        <v>2840</v>
      </c>
      <c r="F601" s="43">
        <v>46153.75</v>
      </c>
      <c r="G601" s="33" t="s">
        <v>227</v>
      </c>
      <c r="H601" s="33"/>
      <c r="I601" s="33" t="s">
        <v>73</v>
      </c>
      <c r="J601" s="33" t="s">
        <v>1489</v>
      </c>
      <c r="K601" s="33"/>
      <c r="L601" s="33"/>
      <c r="M601" s="33"/>
      <c r="N601" s="33"/>
      <c r="O601" s="33" t="s">
        <v>797</v>
      </c>
      <c r="P601" s="33" t="s">
        <v>79</v>
      </c>
      <c r="Q601" s="33"/>
      <c r="R601" s="33"/>
      <c r="S601" s="33"/>
      <c r="T601" s="33" t="s">
        <v>1493</v>
      </c>
      <c r="U601" s="33"/>
      <c r="V601" s="33"/>
      <c r="W601" s="33"/>
      <c r="X601" s="33"/>
      <c r="Y601" s="33"/>
      <c r="Z601" s="33" t="s">
        <v>1493</v>
      </c>
      <c r="AA601" s="43">
        <v>46155.791666666664</v>
      </c>
      <c r="AB601" s="33" t="s">
        <v>81</v>
      </c>
      <c r="AC601" s="33" t="s">
        <v>81</v>
      </c>
      <c r="AD601" s="58">
        <v>1.0416666666666666E-2</v>
      </c>
      <c r="AE601" s="33"/>
      <c r="AF601" s="58">
        <v>1.0416666666666666E-2</v>
      </c>
      <c r="AG601" s="33" t="s">
        <v>1742</v>
      </c>
      <c r="AH601" s="33">
        <v>1</v>
      </c>
      <c r="AI601" s="33"/>
      <c r="AJ601" s="33" t="s">
        <v>73</v>
      </c>
      <c r="AK601" s="42">
        <v>299689.89</v>
      </c>
      <c r="AL601" s="33" t="s">
        <v>236</v>
      </c>
    </row>
    <row r="602" spans="1:38">
      <c r="A602" s="33">
        <v>6012706</v>
      </c>
      <c r="B602" s="33"/>
      <c r="C602" s="33" t="s">
        <v>789</v>
      </c>
      <c r="D602" s="33" t="s">
        <v>498</v>
      </c>
      <c r="E602" s="33" t="s">
        <v>2841</v>
      </c>
      <c r="F602" s="43">
        <v>46153.664583333331</v>
      </c>
      <c r="G602" s="33" t="s">
        <v>420</v>
      </c>
      <c r="H602" s="33"/>
      <c r="I602" s="33" t="s">
        <v>73</v>
      </c>
      <c r="J602" s="33" t="s">
        <v>2842</v>
      </c>
      <c r="K602" s="33" t="s">
        <v>1277</v>
      </c>
      <c r="L602" s="33" t="s">
        <v>2843</v>
      </c>
      <c r="M602" s="43">
        <v>46155.484131944446</v>
      </c>
      <c r="N602" s="33" t="s">
        <v>502</v>
      </c>
      <c r="O602" s="33" t="s">
        <v>797</v>
      </c>
      <c r="P602" s="33" t="s">
        <v>79</v>
      </c>
      <c r="Q602" s="33"/>
      <c r="R602" s="33"/>
      <c r="S602" s="33"/>
      <c r="T602" s="33" t="s">
        <v>2844</v>
      </c>
      <c r="U602" s="33"/>
      <c r="V602" s="33"/>
      <c r="W602" s="33"/>
      <c r="X602" s="33"/>
      <c r="Y602" s="33"/>
      <c r="Z602" s="33" t="s">
        <v>2844</v>
      </c>
      <c r="AA602" s="43">
        <v>46156.25</v>
      </c>
      <c r="AB602" s="33" t="s">
        <v>2845</v>
      </c>
      <c r="AC602" s="33" t="s">
        <v>2846</v>
      </c>
      <c r="AD602" s="44">
        <v>2.7437499999999999</v>
      </c>
      <c r="AE602" s="33"/>
      <c r="AF602" s="44">
        <v>2.7437499999999999</v>
      </c>
      <c r="AG602" s="33" t="s">
        <v>506</v>
      </c>
      <c r="AH602" s="33">
        <v>0</v>
      </c>
      <c r="AI602" s="43">
        <v>46155.742361111108</v>
      </c>
      <c r="AJ602" s="33" t="s">
        <v>73</v>
      </c>
      <c r="AK602" s="42">
        <v>107242.65</v>
      </c>
      <c r="AL602" s="33" t="s">
        <v>507</v>
      </c>
    </row>
    <row r="603" spans="1:38">
      <c r="A603" s="33" t="s">
        <v>2847</v>
      </c>
      <c r="B603" s="33"/>
      <c r="C603" s="33" t="s">
        <v>789</v>
      </c>
      <c r="D603" s="33" t="s">
        <v>1967</v>
      </c>
      <c r="E603" s="33" t="s">
        <v>2848</v>
      </c>
      <c r="F603" s="43">
        <v>46153.708333333336</v>
      </c>
      <c r="G603" s="33" t="s">
        <v>792</v>
      </c>
      <c r="H603" s="33"/>
      <c r="I603" s="33" t="s">
        <v>793</v>
      </c>
      <c r="J603" s="33" t="s">
        <v>856</v>
      </c>
      <c r="K603" s="33" t="s">
        <v>75</v>
      </c>
      <c r="L603" s="33" t="s">
        <v>806</v>
      </c>
      <c r="M603" s="43">
        <v>46153.923611111109</v>
      </c>
      <c r="N603" s="33" t="s">
        <v>1969</v>
      </c>
      <c r="O603" s="33" t="s">
        <v>797</v>
      </c>
      <c r="P603" s="33" t="s">
        <v>798</v>
      </c>
      <c r="Q603" s="43">
        <v>46153.722916666666</v>
      </c>
      <c r="R603" s="43">
        <v>46153.768750000003</v>
      </c>
      <c r="S603" s="58">
        <v>4.583333333333333E-2</v>
      </c>
      <c r="T603" s="33" t="s">
        <v>799</v>
      </c>
      <c r="U603" s="43">
        <v>46153.896527777775</v>
      </c>
      <c r="V603" s="58">
        <v>2.7083333333333334E-2</v>
      </c>
      <c r="W603" s="33" t="s">
        <v>799</v>
      </c>
      <c r="X603" s="43">
        <v>46153.896527777775</v>
      </c>
      <c r="Y603" s="58">
        <v>2.7083333333333334E-2</v>
      </c>
      <c r="Z603" s="33" t="s">
        <v>799</v>
      </c>
      <c r="AA603" s="43">
        <v>46154.958333333336</v>
      </c>
      <c r="AB603" s="33" t="s">
        <v>81</v>
      </c>
      <c r="AC603" s="33" t="s">
        <v>858</v>
      </c>
      <c r="AD603" s="58">
        <v>0.23472222222222222</v>
      </c>
      <c r="AE603" s="58">
        <v>0.15486111111111112</v>
      </c>
      <c r="AF603" s="58">
        <v>0.23472222222222222</v>
      </c>
      <c r="AG603" s="33" t="s">
        <v>1970</v>
      </c>
      <c r="AH603" s="33">
        <v>2</v>
      </c>
      <c r="AI603" s="43">
        <v>46153.896527777775</v>
      </c>
      <c r="AJ603" s="33" t="s">
        <v>793</v>
      </c>
      <c r="AK603" s="42">
        <v>2240964.4700000002</v>
      </c>
      <c r="AL603" s="33" t="s">
        <v>1971</v>
      </c>
    </row>
    <row r="604" spans="1:38">
      <c r="A604" s="33">
        <v>6006761</v>
      </c>
      <c r="B604" s="33"/>
      <c r="C604" s="33" t="s">
        <v>789</v>
      </c>
      <c r="D604" s="33" t="s">
        <v>1779</v>
      </c>
      <c r="E604" s="33" t="s">
        <v>2849</v>
      </c>
      <c r="F604" s="43">
        <v>46153.708333333336</v>
      </c>
      <c r="G604" s="33" t="s">
        <v>792</v>
      </c>
      <c r="H604" s="33"/>
      <c r="I604" s="33" t="s">
        <v>793</v>
      </c>
      <c r="J604" s="33" t="s">
        <v>1312</v>
      </c>
      <c r="K604" s="33" t="s">
        <v>75</v>
      </c>
      <c r="L604" s="33" t="s">
        <v>1184</v>
      </c>
      <c r="M604" s="43">
        <v>46153.893750000003</v>
      </c>
      <c r="N604" s="33" t="s">
        <v>796</v>
      </c>
      <c r="O604" s="33" t="s">
        <v>797</v>
      </c>
      <c r="P604" s="33" t="s">
        <v>799</v>
      </c>
      <c r="Q604" s="43">
        <v>46153.701388888891</v>
      </c>
      <c r="R604" s="43">
        <v>46153.868055555555</v>
      </c>
      <c r="S604" s="58">
        <v>0.16666666666666666</v>
      </c>
      <c r="T604" s="33" t="s">
        <v>140</v>
      </c>
      <c r="U604" s="43">
        <v>46153.892361111109</v>
      </c>
      <c r="V604" s="58">
        <v>1.3194444444444444E-2</v>
      </c>
      <c r="W604" s="33" t="s">
        <v>140</v>
      </c>
      <c r="X604" s="43">
        <v>46153.892361111109</v>
      </c>
      <c r="Y604" s="58">
        <v>1.3194444444444444E-2</v>
      </c>
      <c r="Z604" s="33" t="s">
        <v>140</v>
      </c>
      <c r="AA604" s="43">
        <v>46153.875</v>
      </c>
      <c r="AB604" s="33" t="s">
        <v>81</v>
      </c>
      <c r="AC604" s="33" t="s">
        <v>1314</v>
      </c>
      <c r="AD604" s="58">
        <v>0.22083333333333333</v>
      </c>
      <c r="AE604" s="58">
        <v>2.5694444444444443E-2</v>
      </c>
      <c r="AF604" s="58">
        <v>0.22083333333333333</v>
      </c>
      <c r="AG604" s="33" t="s">
        <v>1782</v>
      </c>
      <c r="AH604" s="33">
        <v>2</v>
      </c>
      <c r="AI604" s="43">
        <v>46153.892361111109</v>
      </c>
      <c r="AJ604" s="33" t="s">
        <v>793</v>
      </c>
      <c r="AK604" s="42">
        <v>1210154.3999999999</v>
      </c>
      <c r="AL604" s="33" t="s">
        <v>1783</v>
      </c>
    </row>
    <row r="605" spans="1:38">
      <c r="A605" s="33">
        <v>6007486</v>
      </c>
      <c r="B605" s="33"/>
      <c r="C605" s="33" t="s">
        <v>789</v>
      </c>
      <c r="D605" s="33" t="s">
        <v>1435</v>
      </c>
      <c r="E605" s="33" t="s">
        <v>2850</v>
      </c>
      <c r="F605" s="43">
        <v>46153.708333333336</v>
      </c>
      <c r="G605" s="33" t="s">
        <v>792</v>
      </c>
      <c r="H605" s="33"/>
      <c r="I605" s="33" t="s">
        <v>793</v>
      </c>
      <c r="J605" s="33" t="s">
        <v>2049</v>
      </c>
      <c r="K605" s="33" t="s">
        <v>75</v>
      </c>
      <c r="L605" s="33" t="s">
        <v>2851</v>
      </c>
      <c r="M605" s="43">
        <v>46153.894606481481</v>
      </c>
      <c r="N605" s="33" t="s">
        <v>1095</v>
      </c>
      <c r="O605" s="33" t="s">
        <v>797</v>
      </c>
      <c r="P605" s="33" t="s">
        <v>1963</v>
      </c>
      <c r="Q605" s="43">
        <v>46153.698611111111</v>
      </c>
      <c r="R605" s="43">
        <v>46153.726388888892</v>
      </c>
      <c r="S605" s="58">
        <v>2.7777777777777776E-2</v>
      </c>
      <c r="T605" s="33" t="s">
        <v>799</v>
      </c>
      <c r="U605" s="43">
        <v>46153.879861111112</v>
      </c>
      <c r="V605" s="58">
        <v>1.4583333333333334E-2</v>
      </c>
      <c r="W605" s="33" t="s">
        <v>799</v>
      </c>
      <c r="X605" s="43">
        <v>46153.879861111112</v>
      </c>
      <c r="Y605" s="58">
        <v>1.4583333333333334E-2</v>
      </c>
      <c r="Z605" s="33" t="s">
        <v>799</v>
      </c>
      <c r="AA605" s="43">
        <v>46154.916666666664</v>
      </c>
      <c r="AB605" s="33" t="s">
        <v>81</v>
      </c>
      <c r="AC605" s="33" t="s">
        <v>2076</v>
      </c>
      <c r="AD605" s="58">
        <v>0.20555555555555555</v>
      </c>
      <c r="AE605" s="58">
        <v>0.16805555555555557</v>
      </c>
      <c r="AF605" s="58">
        <v>0.20555555555555555</v>
      </c>
      <c r="AG605" s="33" t="s">
        <v>1437</v>
      </c>
      <c r="AH605" s="33">
        <v>2</v>
      </c>
      <c r="AI605" s="43">
        <v>46153.879861111112</v>
      </c>
      <c r="AJ605" s="33" t="s">
        <v>793</v>
      </c>
      <c r="AK605" s="42">
        <v>670417.5</v>
      </c>
      <c r="AL605" s="33" t="s">
        <v>1438</v>
      </c>
    </row>
    <row r="606" spans="1:38">
      <c r="A606" s="33">
        <v>6007448</v>
      </c>
      <c r="B606" s="33"/>
      <c r="C606" s="33" t="s">
        <v>789</v>
      </c>
      <c r="D606" s="33" t="s">
        <v>2852</v>
      </c>
      <c r="E606" s="33" t="s">
        <v>2853</v>
      </c>
      <c r="F606" s="43">
        <v>46153.708333333336</v>
      </c>
      <c r="G606" s="33" t="s">
        <v>792</v>
      </c>
      <c r="H606" s="33"/>
      <c r="I606" s="33" t="s">
        <v>793</v>
      </c>
      <c r="J606" s="33" t="s">
        <v>2049</v>
      </c>
      <c r="K606" s="59" t="s">
        <v>1306</v>
      </c>
      <c r="L606" s="33" t="s">
        <v>2854</v>
      </c>
      <c r="M606" s="43">
        <v>46154.500601851854</v>
      </c>
      <c r="N606" s="33" t="s">
        <v>796</v>
      </c>
      <c r="O606" s="33" t="s">
        <v>797</v>
      </c>
      <c r="P606" s="33" t="s">
        <v>1963</v>
      </c>
      <c r="Q606" s="33"/>
      <c r="R606" s="33"/>
      <c r="S606" s="33"/>
      <c r="T606" s="33" t="s">
        <v>799</v>
      </c>
      <c r="U606" s="33"/>
      <c r="V606" s="33"/>
      <c r="W606" s="33"/>
      <c r="X606" s="33"/>
      <c r="Y606" s="33"/>
      <c r="Z606" s="33" t="s">
        <v>799</v>
      </c>
      <c r="AA606" s="43">
        <v>46154.958333333336</v>
      </c>
      <c r="AB606" s="33" t="s">
        <v>1138</v>
      </c>
      <c r="AC606" s="33" t="s">
        <v>2076</v>
      </c>
      <c r="AD606" s="58">
        <v>0.80069444444444449</v>
      </c>
      <c r="AE606" s="33"/>
      <c r="AF606" s="58">
        <v>0.80069444444444449</v>
      </c>
      <c r="AG606" s="33" t="s">
        <v>2855</v>
      </c>
      <c r="AH606" s="33">
        <v>0</v>
      </c>
      <c r="AI606" s="43">
        <v>46154.500694444447</v>
      </c>
      <c r="AJ606" s="33" t="s">
        <v>793</v>
      </c>
      <c r="AK606" s="42">
        <v>1584860.8</v>
      </c>
      <c r="AL606" s="33" t="s">
        <v>2856</v>
      </c>
    </row>
    <row r="607" spans="1:38">
      <c r="A607" s="33">
        <v>6006003</v>
      </c>
      <c r="B607" s="33"/>
      <c r="C607" s="33" t="s">
        <v>789</v>
      </c>
      <c r="D607" s="33" t="s">
        <v>809</v>
      </c>
      <c r="E607" s="33" t="s">
        <v>2857</v>
      </c>
      <c r="F607" s="43">
        <v>46153.75</v>
      </c>
      <c r="G607" s="33" t="s">
        <v>792</v>
      </c>
      <c r="H607" s="33"/>
      <c r="I607" s="33" t="s">
        <v>793</v>
      </c>
      <c r="J607" s="33" t="s">
        <v>856</v>
      </c>
      <c r="K607" s="33" t="s">
        <v>75</v>
      </c>
      <c r="L607" s="33" t="s">
        <v>795</v>
      </c>
      <c r="M607" s="43">
        <v>46153.893611111111</v>
      </c>
      <c r="N607" s="33" t="s">
        <v>813</v>
      </c>
      <c r="O607" s="33" t="s">
        <v>797</v>
      </c>
      <c r="P607" s="33" t="s">
        <v>798</v>
      </c>
      <c r="Q607" s="43">
        <v>46153.749305555553</v>
      </c>
      <c r="R607" s="43">
        <v>46153.775000000001</v>
      </c>
      <c r="S607" s="58">
        <v>2.5694444444444443E-2</v>
      </c>
      <c r="T607" s="33" t="s">
        <v>799</v>
      </c>
      <c r="U607" s="43">
        <v>46153.876388888886</v>
      </c>
      <c r="V607" s="58">
        <v>1.7361111111111112E-2</v>
      </c>
      <c r="W607" s="33" t="s">
        <v>799</v>
      </c>
      <c r="X607" s="43">
        <v>46153.876388888886</v>
      </c>
      <c r="Y607" s="58">
        <v>1.7361111111111112E-2</v>
      </c>
      <c r="Z607" s="33" t="s">
        <v>799</v>
      </c>
      <c r="AA607" s="43">
        <v>46154.958333333336</v>
      </c>
      <c r="AB607" s="33" t="s">
        <v>81</v>
      </c>
      <c r="AC607" s="33" t="s">
        <v>858</v>
      </c>
      <c r="AD607" s="58">
        <v>0.19236111111111112</v>
      </c>
      <c r="AE607" s="58">
        <v>0.11805555555555555</v>
      </c>
      <c r="AF607" s="58">
        <v>0.19236111111111112</v>
      </c>
      <c r="AG607" s="33" t="s">
        <v>815</v>
      </c>
      <c r="AH607" s="33">
        <v>2</v>
      </c>
      <c r="AI607" s="43">
        <v>46153.876388888886</v>
      </c>
      <c r="AJ607" s="33" t="s">
        <v>793</v>
      </c>
      <c r="AK607" s="42">
        <v>734876.8</v>
      </c>
      <c r="AL607" s="33" t="s">
        <v>816</v>
      </c>
    </row>
    <row r="608" spans="1:38">
      <c r="A608" s="33">
        <v>6008167</v>
      </c>
      <c r="B608" s="33"/>
      <c r="C608" s="33" t="s">
        <v>789</v>
      </c>
      <c r="D608" s="33" t="s">
        <v>1056</v>
      </c>
      <c r="E608" s="33" t="s">
        <v>2858</v>
      </c>
      <c r="F608" s="43">
        <v>46153.791666666664</v>
      </c>
      <c r="G608" s="33" t="s">
        <v>792</v>
      </c>
      <c r="H608" s="33"/>
      <c r="I608" s="33" t="s">
        <v>793</v>
      </c>
      <c r="J608" s="33" t="s">
        <v>2859</v>
      </c>
      <c r="K608" s="33" t="s">
        <v>453</v>
      </c>
      <c r="L608" s="33" t="s">
        <v>2523</v>
      </c>
      <c r="M608" s="43">
        <v>46154.062905092593</v>
      </c>
      <c r="N608" s="33" t="s">
        <v>1060</v>
      </c>
      <c r="O608" s="33" t="s">
        <v>797</v>
      </c>
      <c r="P608" s="33" t="s">
        <v>1963</v>
      </c>
      <c r="Q608" s="43">
        <v>46153.830555555556</v>
      </c>
      <c r="R608" s="43">
        <v>46153.862500000003</v>
      </c>
      <c r="S608" s="58">
        <v>3.1944444444444442E-2</v>
      </c>
      <c r="T608" s="33" t="s">
        <v>799</v>
      </c>
      <c r="U608" s="43">
        <v>46153.984722222223</v>
      </c>
      <c r="V608" s="58">
        <v>7.9166666666666663E-2</v>
      </c>
      <c r="W608" s="33" t="s">
        <v>799</v>
      </c>
      <c r="X608" s="43">
        <v>46153.984722222223</v>
      </c>
      <c r="Y608" s="58">
        <v>7.9166666666666663E-2</v>
      </c>
      <c r="Z608" s="33" t="s">
        <v>799</v>
      </c>
      <c r="AA608" s="43">
        <v>46154.958333333336</v>
      </c>
      <c r="AB608" s="33" t="s">
        <v>81</v>
      </c>
      <c r="AC608" s="33" t="s">
        <v>2262</v>
      </c>
      <c r="AD608" s="58">
        <v>0.36180555555555555</v>
      </c>
      <c r="AE608" s="58">
        <v>0.2</v>
      </c>
      <c r="AF608" s="58">
        <v>0.36180555555555555</v>
      </c>
      <c r="AG608" s="33" t="s">
        <v>1061</v>
      </c>
      <c r="AH608" s="33">
        <v>2</v>
      </c>
      <c r="AI608" s="43">
        <v>46153.984722222223</v>
      </c>
      <c r="AJ608" s="33" t="s">
        <v>793</v>
      </c>
      <c r="AK608" s="42">
        <v>602905.02</v>
      </c>
      <c r="AL608" s="33" t="s">
        <v>1062</v>
      </c>
    </row>
    <row r="609" spans="1:38">
      <c r="A609" s="33">
        <v>6006450</v>
      </c>
      <c r="B609" s="33"/>
      <c r="C609" s="33" t="s">
        <v>789</v>
      </c>
      <c r="D609" s="33" t="s">
        <v>1074</v>
      </c>
      <c r="E609" s="33" t="s">
        <v>2860</v>
      </c>
      <c r="F609" s="43">
        <v>46153.875</v>
      </c>
      <c r="G609" s="33" t="s">
        <v>792</v>
      </c>
      <c r="H609" s="33"/>
      <c r="I609" s="33" t="s">
        <v>793</v>
      </c>
      <c r="J609" s="33" t="s">
        <v>811</v>
      </c>
      <c r="K609" s="33" t="s">
        <v>2861</v>
      </c>
      <c r="L609" s="33" t="s">
        <v>2862</v>
      </c>
      <c r="M609" s="43">
        <v>46154.378761574073</v>
      </c>
      <c r="N609" s="33" t="s">
        <v>1078</v>
      </c>
      <c r="O609" s="33" t="s">
        <v>797</v>
      </c>
      <c r="P609" s="33" t="s">
        <v>798</v>
      </c>
      <c r="Q609" s="43">
        <v>46153.886111111111</v>
      </c>
      <c r="R609" s="43">
        <v>46153.959722222222</v>
      </c>
      <c r="S609" s="58">
        <v>7.3611111111111113E-2</v>
      </c>
      <c r="T609" s="33" t="s">
        <v>799</v>
      </c>
      <c r="U609" s="43">
        <v>46154.21875</v>
      </c>
      <c r="V609" s="58">
        <v>0.1451388888888889</v>
      </c>
      <c r="W609" s="33"/>
      <c r="X609" s="33"/>
      <c r="Y609" s="33"/>
      <c r="Z609" s="33" t="s">
        <v>799</v>
      </c>
      <c r="AA609" s="43">
        <v>46154.208333333336</v>
      </c>
      <c r="AB609" s="33" t="s">
        <v>823</v>
      </c>
      <c r="AC609" s="33" t="s">
        <v>814</v>
      </c>
      <c r="AD609" s="58">
        <v>0.67777777777777781</v>
      </c>
      <c r="AE609" s="33"/>
      <c r="AF609" s="58">
        <v>0.67777777777777781</v>
      </c>
      <c r="AG609" s="33" t="s">
        <v>1080</v>
      </c>
      <c r="AH609" s="33">
        <v>2</v>
      </c>
      <c r="AI609" s="43">
        <v>46154.21875</v>
      </c>
      <c r="AJ609" s="33" t="s">
        <v>793</v>
      </c>
      <c r="AK609" s="42">
        <v>641944.84</v>
      </c>
      <c r="AL609" s="33" t="s">
        <v>1081</v>
      </c>
    </row>
    <row r="610" spans="1:38">
      <c r="A610" s="33">
        <v>6008185</v>
      </c>
      <c r="B610" s="33"/>
      <c r="C610" s="33" t="s">
        <v>789</v>
      </c>
      <c r="D610" s="33" t="s">
        <v>817</v>
      </c>
      <c r="E610" s="33" t="s">
        <v>2863</v>
      </c>
      <c r="F610" s="43">
        <v>46153.791666666664</v>
      </c>
      <c r="G610" s="33" t="s">
        <v>792</v>
      </c>
      <c r="H610" s="33"/>
      <c r="I610" s="33" t="s">
        <v>793</v>
      </c>
      <c r="J610" s="33" t="s">
        <v>2859</v>
      </c>
      <c r="K610" s="33" t="s">
        <v>75</v>
      </c>
      <c r="L610" s="33" t="s">
        <v>1001</v>
      </c>
      <c r="M610" s="43">
        <v>46154.08390046296</v>
      </c>
      <c r="N610" s="33" t="s">
        <v>822</v>
      </c>
      <c r="O610" s="33" t="s">
        <v>797</v>
      </c>
      <c r="P610" s="33" t="s">
        <v>1963</v>
      </c>
      <c r="Q610" s="43">
        <v>46153.821527777778</v>
      </c>
      <c r="R610" s="43">
        <v>46153.89166666667</v>
      </c>
      <c r="S610" s="58">
        <v>7.013888888888889E-2</v>
      </c>
      <c r="T610" s="33" t="s">
        <v>799</v>
      </c>
      <c r="U610" s="43">
        <v>46154.025000000001</v>
      </c>
      <c r="V610" s="58">
        <v>5.8333333333333334E-2</v>
      </c>
      <c r="W610" s="33" t="s">
        <v>799</v>
      </c>
      <c r="X610" s="43">
        <v>46154.025000000001</v>
      </c>
      <c r="Y610" s="58">
        <v>5.8333333333333334E-2</v>
      </c>
      <c r="Z610" s="33" t="s">
        <v>799</v>
      </c>
      <c r="AA610" s="43">
        <v>46154.958333333336</v>
      </c>
      <c r="AB610" s="33" t="s">
        <v>81</v>
      </c>
      <c r="AC610" s="33" t="s">
        <v>2262</v>
      </c>
      <c r="AD610" s="58">
        <v>0.36458333333333331</v>
      </c>
      <c r="AE610" s="58">
        <v>0.19166666666666668</v>
      </c>
      <c r="AF610" s="58">
        <v>0.36458333333333331</v>
      </c>
      <c r="AG610" s="33" t="s">
        <v>825</v>
      </c>
      <c r="AH610" s="33">
        <v>2</v>
      </c>
      <c r="AI610" s="43">
        <v>46154.025000000001</v>
      </c>
      <c r="AJ610" s="33" t="s">
        <v>793</v>
      </c>
      <c r="AK610" s="42">
        <v>602905.02</v>
      </c>
      <c r="AL610" s="33" t="s">
        <v>826</v>
      </c>
    </row>
    <row r="611" spans="1:38">
      <c r="A611" s="33">
        <v>6001778</v>
      </c>
      <c r="B611" s="33"/>
      <c r="C611" s="33" t="s">
        <v>789</v>
      </c>
      <c r="D611" s="33" t="s">
        <v>1689</v>
      </c>
      <c r="E611" s="33" t="s">
        <v>2864</v>
      </c>
      <c r="F611" s="43">
        <v>46153.791666666664</v>
      </c>
      <c r="G611" s="33" t="s">
        <v>792</v>
      </c>
      <c r="H611" s="33"/>
      <c r="I611" s="33" t="s">
        <v>793</v>
      </c>
      <c r="J611" s="33" t="s">
        <v>1382</v>
      </c>
      <c r="K611" s="33" t="s">
        <v>75</v>
      </c>
      <c r="L611" s="33" t="s">
        <v>1035</v>
      </c>
      <c r="M611" s="43">
        <v>46154.062708333331</v>
      </c>
      <c r="N611" s="33" t="s">
        <v>1692</v>
      </c>
      <c r="O611" s="33" t="s">
        <v>797</v>
      </c>
      <c r="P611" s="33" t="s">
        <v>799</v>
      </c>
      <c r="Q611" s="43">
        <v>46153.745138888888</v>
      </c>
      <c r="R611" s="43">
        <v>46153.863888888889</v>
      </c>
      <c r="S611" s="58">
        <v>0.11874999999999999</v>
      </c>
      <c r="T611" s="33" t="s">
        <v>140</v>
      </c>
      <c r="U611" s="43">
        <v>46153.888888888891</v>
      </c>
      <c r="V611" s="58">
        <v>0.34861111111111109</v>
      </c>
      <c r="W611" s="33" t="s">
        <v>140</v>
      </c>
      <c r="X611" s="43">
        <v>46153.888888888891</v>
      </c>
      <c r="Y611" s="58">
        <v>0.34861111111111109</v>
      </c>
      <c r="Z611" s="33" t="s">
        <v>140</v>
      </c>
      <c r="AA611" s="43">
        <v>46154.833333333336</v>
      </c>
      <c r="AB611" s="33" t="s">
        <v>81</v>
      </c>
      <c r="AC611" s="33" t="s">
        <v>1383</v>
      </c>
      <c r="AD611" s="58">
        <v>0.49305555555555558</v>
      </c>
      <c r="AE611" s="58">
        <v>0.19791666666666666</v>
      </c>
      <c r="AF611" s="58">
        <v>0.49305555555555558</v>
      </c>
      <c r="AG611" s="33" t="s">
        <v>1693</v>
      </c>
      <c r="AH611" s="33">
        <v>2</v>
      </c>
      <c r="AI611" s="43">
        <v>46153.888888888891</v>
      </c>
      <c r="AJ611" s="33" t="s">
        <v>793</v>
      </c>
      <c r="AK611" s="42">
        <v>415959.5</v>
      </c>
      <c r="AL611" s="33" t="s">
        <v>1694</v>
      </c>
    </row>
    <row r="612" spans="1:38">
      <c r="A612" s="33" t="s">
        <v>2865</v>
      </c>
      <c r="B612" s="33"/>
      <c r="C612" s="33" t="s">
        <v>789</v>
      </c>
      <c r="D612" s="33" t="s">
        <v>1762</v>
      </c>
      <c r="E612" s="33" t="s">
        <v>2866</v>
      </c>
      <c r="F612" s="43">
        <v>46153.743750000001</v>
      </c>
      <c r="G612" s="33" t="s">
        <v>1246</v>
      </c>
      <c r="H612" s="33"/>
      <c r="I612" s="33" t="s">
        <v>73</v>
      </c>
      <c r="J612" s="33" t="s">
        <v>1293</v>
      </c>
      <c r="K612" s="33" t="s">
        <v>75</v>
      </c>
      <c r="L612" s="33" t="s">
        <v>2867</v>
      </c>
      <c r="M612" s="43">
        <v>46154.357291666667</v>
      </c>
      <c r="N612" s="33" t="s">
        <v>1295</v>
      </c>
      <c r="O612" s="33" t="s">
        <v>231</v>
      </c>
      <c r="P612" s="33" t="s">
        <v>140</v>
      </c>
      <c r="Q612" s="43">
        <v>46153.749305555553</v>
      </c>
      <c r="R612" s="43">
        <v>46153.758333333331</v>
      </c>
      <c r="S612" s="58">
        <v>9.0277777777777769E-3</v>
      </c>
      <c r="T612" s="33" t="s">
        <v>1296</v>
      </c>
      <c r="U612" s="43">
        <v>46153.777777777781</v>
      </c>
      <c r="V612" s="58">
        <v>0.57916666666666672</v>
      </c>
      <c r="W612" s="33"/>
      <c r="X612" s="33"/>
      <c r="Y612" s="33"/>
      <c r="Z612" s="33" t="s">
        <v>1296</v>
      </c>
      <c r="AA612" s="43">
        <v>46157.333333333336</v>
      </c>
      <c r="AB612" s="33" t="s">
        <v>81</v>
      </c>
      <c r="AC612" s="33" t="s">
        <v>81</v>
      </c>
      <c r="AD612" s="58">
        <v>0.60972222222222228</v>
      </c>
      <c r="AE612" s="33"/>
      <c r="AF612" s="58">
        <v>0.60972222222222228</v>
      </c>
      <c r="AG612" s="33"/>
      <c r="AH612" s="33">
        <v>2</v>
      </c>
      <c r="AI612" s="43">
        <v>46153.777777777781</v>
      </c>
      <c r="AJ612" s="33" t="s">
        <v>73</v>
      </c>
      <c r="AK612" s="42">
        <v>29427.8</v>
      </c>
      <c r="AL612" s="33" t="s">
        <v>1960</v>
      </c>
    </row>
    <row r="613" spans="1:38">
      <c r="A613" s="33">
        <v>6002988</v>
      </c>
      <c r="B613" s="33"/>
      <c r="C613" s="33" t="s">
        <v>789</v>
      </c>
      <c r="D613" s="33" t="s">
        <v>1745</v>
      </c>
      <c r="E613" s="33" t="s">
        <v>2868</v>
      </c>
      <c r="F613" s="43">
        <v>46153.75</v>
      </c>
      <c r="G613" s="33" t="s">
        <v>792</v>
      </c>
      <c r="H613" s="33"/>
      <c r="I613" s="33" t="s">
        <v>793</v>
      </c>
      <c r="J613" s="33" t="s">
        <v>1049</v>
      </c>
      <c r="K613" s="33" t="s">
        <v>75</v>
      </c>
      <c r="L613" s="33" t="s">
        <v>1087</v>
      </c>
      <c r="M613" s="43">
        <v>46153.871504629627</v>
      </c>
      <c r="N613" s="33" t="s">
        <v>1748</v>
      </c>
      <c r="O613" s="33" t="s">
        <v>797</v>
      </c>
      <c r="P613" s="33" t="s">
        <v>799</v>
      </c>
      <c r="Q613" s="43">
        <v>46153.751388888886</v>
      </c>
      <c r="R613" s="43">
        <v>46153.831250000003</v>
      </c>
      <c r="S613" s="58">
        <v>7.9861111111111105E-2</v>
      </c>
      <c r="T613" s="33" t="s">
        <v>140</v>
      </c>
      <c r="U613" s="43">
        <v>46153.857638888891</v>
      </c>
      <c r="V613" s="58">
        <v>1.4583333333333334E-2</v>
      </c>
      <c r="W613" s="33" t="s">
        <v>140</v>
      </c>
      <c r="X613" s="43">
        <v>46153.857638888891</v>
      </c>
      <c r="Y613" s="58">
        <v>1.4583333333333334E-2</v>
      </c>
      <c r="Z613" s="33" t="s">
        <v>140</v>
      </c>
      <c r="AA613" s="43">
        <v>46154.833333333336</v>
      </c>
      <c r="AB613" s="33" t="s">
        <v>81</v>
      </c>
      <c r="AC613" s="33" t="s">
        <v>1053</v>
      </c>
      <c r="AD613" s="58">
        <v>0.12638888888888888</v>
      </c>
      <c r="AE613" s="58">
        <v>3.9583333333333331E-2</v>
      </c>
      <c r="AF613" s="58">
        <v>0.12638888888888888</v>
      </c>
      <c r="AG613" s="33" t="s">
        <v>1750</v>
      </c>
      <c r="AH613" s="33">
        <v>2</v>
      </c>
      <c r="AI613" s="43">
        <v>46153.857638888891</v>
      </c>
      <c r="AJ613" s="33" t="s">
        <v>793</v>
      </c>
      <c r="AK613" s="42">
        <v>628894.23</v>
      </c>
      <c r="AL613" s="33" t="s">
        <v>1751</v>
      </c>
    </row>
    <row r="614" spans="1:38">
      <c r="A614" s="33">
        <v>6006660</v>
      </c>
      <c r="B614" s="33"/>
      <c r="C614" s="33" t="s">
        <v>789</v>
      </c>
      <c r="D614" s="33" t="s">
        <v>1366</v>
      </c>
      <c r="E614" s="33" t="s">
        <v>2869</v>
      </c>
      <c r="F614" s="43">
        <v>46153.791666666664</v>
      </c>
      <c r="G614" s="33" t="s">
        <v>792</v>
      </c>
      <c r="H614" s="33"/>
      <c r="I614" s="33" t="s">
        <v>793</v>
      </c>
      <c r="J614" s="33" t="s">
        <v>1049</v>
      </c>
      <c r="K614" s="33" t="s">
        <v>75</v>
      </c>
      <c r="L614" s="33" t="s">
        <v>1189</v>
      </c>
      <c r="M614" s="43">
        <v>46153.903865740744</v>
      </c>
      <c r="N614" s="33" t="s">
        <v>796</v>
      </c>
      <c r="O614" s="33" t="s">
        <v>797</v>
      </c>
      <c r="P614" s="33" t="s">
        <v>799</v>
      </c>
      <c r="Q614" s="43">
        <v>46153.746527777781</v>
      </c>
      <c r="R614" s="43">
        <v>46153.838888888888</v>
      </c>
      <c r="S614" s="58">
        <v>9.2361111111111116E-2</v>
      </c>
      <c r="T614" s="33" t="s">
        <v>140</v>
      </c>
      <c r="U614" s="43">
        <v>46153.870833333334</v>
      </c>
      <c r="V614" s="58">
        <v>3.4027777777777775E-2</v>
      </c>
      <c r="W614" s="33" t="s">
        <v>140</v>
      </c>
      <c r="X614" s="43">
        <v>46153.870833333334</v>
      </c>
      <c r="Y614" s="58">
        <v>3.4027777777777775E-2</v>
      </c>
      <c r="Z614" s="33" t="s">
        <v>140</v>
      </c>
      <c r="AA614" s="43">
        <v>46154.875</v>
      </c>
      <c r="AB614" s="33" t="s">
        <v>81</v>
      </c>
      <c r="AC614" s="33" t="s">
        <v>1053</v>
      </c>
      <c r="AD614" s="58">
        <v>0.15833333333333333</v>
      </c>
      <c r="AE614" s="58">
        <v>6.458333333333334E-2</v>
      </c>
      <c r="AF614" s="58">
        <v>0.15833333333333333</v>
      </c>
      <c r="AG614" s="33" t="s">
        <v>1369</v>
      </c>
      <c r="AH614" s="33">
        <v>2</v>
      </c>
      <c r="AI614" s="43">
        <v>46153.870833333334</v>
      </c>
      <c r="AJ614" s="33" t="s">
        <v>793</v>
      </c>
      <c r="AK614" s="42">
        <v>706985.76</v>
      </c>
      <c r="AL614" s="33" t="s">
        <v>1370</v>
      </c>
    </row>
    <row r="615" spans="1:38">
      <c r="A615" s="33">
        <v>6004039</v>
      </c>
      <c r="B615" s="33"/>
      <c r="C615" s="33" t="s">
        <v>789</v>
      </c>
      <c r="D615" s="33" t="s">
        <v>1461</v>
      </c>
      <c r="E615" s="33" t="s">
        <v>2870</v>
      </c>
      <c r="F615" s="43">
        <v>46153.708333333336</v>
      </c>
      <c r="G615" s="33" t="s">
        <v>792</v>
      </c>
      <c r="H615" s="33"/>
      <c r="I615" s="33" t="s">
        <v>793</v>
      </c>
      <c r="J615" s="33" t="s">
        <v>1049</v>
      </c>
      <c r="K615" s="33" t="s">
        <v>75</v>
      </c>
      <c r="L615" s="33" t="s">
        <v>1184</v>
      </c>
      <c r="M615" s="43">
        <v>46153.784490740742</v>
      </c>
      <c r="N615" s="33" t="s">
        <v>1463</v>
      </c>
      <c r="O615" s="33" t="s">
        <v>797</v>
      </c>
      <c r="P615" s="33" t="s">
        <v>799</v>
      </c>
      <c r="Q615" s="33"/>
      <c r="R615" s="33"/>
      <c r="S615" s="33"/>
      <c r="T615" s="33" t="s">
        <v>140</v>
      </c>
      <c r="U615" s="43">
        <v>46153.770138888889</v>
      </c>
      <c r="V615" s="58">
        <v>1.3888888888888888E-2</v>
      </c>
      <c r="W615" s="33" t="s">
        <v>140</v>
      </c>
      <c r="X615" s="43">
        <v>46153.770138888889</v>
      </c>
      <c r="Y615" s="58">
        <v>1.3888888888888888E-2</v>
      </c>
      <c r="Z615" s="33" t="s">
        <v>140</v>
      </c>
      <c r="AA615" s="43">
        <v>46154.833333333336</v>
      </c>
      <c r="AB615" s="33" t="s">
        <v>81</v>
      </c>
      <c r="AC615" s="33" t="s">
        <v>1053</v>
      </c>
      <c r="AD615" s="58">
        <v>3.3333333333333333E-2</v>
      </c>
      <c r="AE615" s="33"/>
      <c r="AF615" s="58">
        <v>3.3333333333333333E-2</v>
      </c>
      <c r="AG615" s="33" t="s">
        <v>1464</v>
      </c>
      <c r="AH615" s="33">
        <v>1</v>
      </c>
      <c r="AI615" s="43">
        <v>46153.770138888889</v>
      </c>
      <c r="AJ615" s="33" t="s">
        <v>793</v>
      </c>
      <c r="AK615" s="42">
        <v>1120482.24</v>
      </c>
      <c r="AL615" s="33" t="s">
        <v>1465</v>
      </c>
    </row>
    <row r="616" spans="1:38">
      <c r="A616" s="33">
        <v>6013213</v>
      </c>
      <c r="B616" s="33"/>
      <c r="C616" s="33" t="s">
        <v>789</v>
      </c>
      <c r="D616" s="33" t="s">
        <v>2871</v>
      </c>
      <c r="E616" s="33" t="s">
        <v>2872</v>
      </c>
      <c r="F616" s="43">
        <v>46153.774305555555</v>
      </c>
      <c r="G616" s="33" t="s">
        <v>114</v>
      </c>
      <c r="H616" s="33"/>
      <c r="I616" s="33" t="s">
        <v>73</v>
      </c>
      <c r="J616" s="33" t="s">
        <v>2873</v>
      </c>
      <c r="K616" s="33" t="s">
        <v>75</v>
      </c>
      <c r="L616" s="33"/>
      <c r="M616" s="43">
        <v>46154.988252314812</v>
      </c>
      <c r="N616" s="33" t="s">
        <v>2660</v>
      </c>
      <c r="O616" s="33" t="s">
        <v>797</v>
      </c>
      <c r="P616" s="33" t="s">
        <v>140</v>
      </c>
      <c r="Q616" s="43">
        <v>46153.884027777778</v>
      </c>
      <c r="R616" s="43">
        <v>46153.906944444447</v>
      </c>
      <c r="S616" s="58">
        <v>2.2916666666666665E-2</v>
      </c>
      <c r="T616" s="33" t="s">
        <v>2874</v>
      </c>
      <c r="U616" s="43">
        <v>46154.981249999997</v>
      </c>
      <c r="V616" s="58">
        <v>9.0277777777777769E-3</v>
      </c>
      <c r="W616" s="33" t="s">
        <v>2874</v>
      </c>
      <c r="X616" s="43">
        <v>46154.981249999997</v>
      </c>
      <c r="Y616" s="58">
        <v>9.0277777777777769E-3</v>
      </c>
      <c r="Z616" s="33" t="s">
        <v>2874</v>
      </c>
      <c r="AA616" s="43">
        <v>46155.25</v>
      </c>
      <c r="AB616" s="33" t="s">
        <v>1138</v>
      </c>
      <c r="AC616" s="33" t="s">
        <v>2875</v>
      </c>
      <c r="AD616" s="44">
        <v>1.2097222222222221</v>
      </c>
      <c r="AE616" s="44">
        <v>1.0131944444444445</v>
      </c>
      <c r="AF616" s="44">
        <v>1.2097222222222221</v>
      </c>
      <c r="AG616" s="33"/>
      <c r="AH616" s="33">
        <v>2</v>
      </c>
      <c r="AI616" s="43">
        <v>46154.981249999997</v>
      </c>
      <c r="AJ616" s="33" t="s">
        <v>73</v>
      </c>
      <c r="AK616" s="42">
        <v>319572.12</v>
      </c>
      <c r="AL616" s="33" t="s">
        <v>2876</v>
      </c>
    </row>
    <row r="617" spans="1:38">
      <c r="A617" s="33">
        <v>6013094</v>
      </c>
      <c r="B617" s="33"/>
      <c r="C617" s="33" t="s">
        <v>789</v>
      </c>
      <c r="D617" s="33" t="s">
        <v>2877</v>
      </c>
      <c r="E617" s="33" t="s">
        <v>2878</v>
      </c>
      <c r="F617" s="43">
        <v>46153.791666666664</v>
      </c>
      <c r="G617" s="33" t="s">
        <v>1912</v>
      </c>
      <c r="H617" s="33"/>
      <c r="I617" s="33" t="s">
        <v>73</v>
      </c>
      <c r="J617" s="33" t="s">
        <v>2507</v>
      </c>
      <c r="K617" s="33" t="s">
        <v>971</v>
      </c>
      <c r="L617" s="33" t="s">
        <v>2879</v>
      </c>
      <c r="M617" s="43">
        <v>46154.743796296294</v>
      </c>
      <c r="N617" s="33" t="s">
        <v>2880</v>
      </c>
      <c r="O617" s="33" t="s">
        <v>1917</v>
      </c>
      <c r="P617" s="33" t="s">
        <v>1918</v>
      </c>
      <c r="Q617" s="43">
        <v>46154.063194444447</v>
      </c>
      <c r="R617" s="43">
        <v>46154.063194444447</v>
      </c>
      <c r="S617" s="33"/>
      <c r="T617" s="33" t="s">
        <v>2509</v>
      </c>
      <c r="U617" s="43">
        <v>46154.445833333331</v>
      </c>
      <c r="V617" s="58">
        <v>0.28819444444444442</v>
      </c>
      <c r="W617" s="33"/>
      <c r="X617" s="33"/>
      <c r="Y617" s="33"/>
      <c r="Z617" s="33" t="s">
        <v>2509</v>
      </c>
      <c r="AA617" s="43">
        <v>46154.25</v>
      </c>
      <c r="AB617" s="33" t="s">
        <v>823</v>
      </c>
      <c r="AC617" s="33" t="s">
        <v>2510</v>
      </c>
      <c r="AD617" s="58">
        <v>0.95</v>
      </c>
      <c r="AE617" s="33"/>
      <c r="AF617" s="58">
        <v>0.95</v>
      </c>
      <c r="AG617" s="33" t="s">
        <v>2881</v>
      </c>
      <c r="AH617" s="33">
        <v>4</v>
      </c>
      <c r="AI617" s="43">
        <v>46154.445833333331</v>
      </c>
      <c r="AJ617" s="33" t="s">
        <v>73</v>
      </c>
      <c r="AK617" s="42">
        <v>1091215.1200000001</v>
      </c>
      <c r="AL617" s="33" t="s">
        <v>2882</v>
      </c>
    </row>
    <row r="618" spans="1:38">
      <c r="A618" s="33">
        <v>6002605</v>
      </c>
      <c r="B618" s="33"/>
      <c r="C618" s="33" t="s">
        <v>789</v>
      </c>
      <c r="D618" s="33" t="s">
        <v>1047</v>
      </c>
      <c r="E618" s="33" t="s">
        <v>2883</v>
      </c>
      <c r="F618" s="43">
        <v>46153.916666666664</v>
      </c>
      <c r="G618" s="33" t="s">
        <v>792</v>
      </c>
      <c r="H618" s="33"/>
      <c r="I618" s="33" t="s">
        <v>793</v>
      </c>
      <c r="J618" s="33" t="s">
        <v>1147</v>
      </c>
      <c r="K618" s="33" t="s">
        <v>75</v>
      </c>
      <c r="L618" s="33" t="s">
        <v>2884</v>
      </c>
      <c r="M618" s="43">
        <v>46154.128229166665</v>
      </c>
      <c r="N618" s="33" t="s">
        <v>1051</v>
      </c>
      <c r="O618" s="33" t="s">
        <v>1828</v>
      </c>
      <c r="P618" s="33" t="s">
        <v>799</v>
      </c>
      <c r="Q618" s="43">
        <v>46153.814583333333</v>
      </c>
      <c r="R618" s="43">
        <v>46153.826388888891</v>
      </c>
      <c r="S618" s="58">
        <v>1.1805555555555555E-2</v>
      </c>
      <c r="T618" s="33" t="s">
        <v>140</v>
      </c>
      <c r="U618" s="43">
        <v>46154.115972222222</v>
      </c>
      <c r="V618" s="58">
        <v>1.1805555555555555E-2</v>
      </c>
      <c r="W618" s="33"/>
      <c r="X618" s="33"/>
      <c r="Y618" s="33"/>
      <c r="Z618" s="33" t="s">
        <v>140</v>
      </c>
      <c r="AA618" s="43">
        <v>46154.333333333336</v>
      </c>
      <c r="AB618" s="33" t="s">
        <v>81</v>
      </c>
      <c r="AC618" s="33" t="s">
        <v>81</v>
      </c>
      <c r="AD618" s="58">
        <v>0.32361111111111113</v>
      </c>
      <c r="AE618" s="33"/>
      <c r="AF618" s="58">
        <v>0.32361111111111113</v>
      </c>
      <c r="AG618" s="33" t="s">
        <v>1205</v>
      </c>
      <c r="AH618" s="33">
        <v>2</v>
      </c>
      <c r="AI618" s="43">
        <v>46154.115972222222</v>
      </c>
      <c r="AJ618" s="33" t="s">
        <v>793</v>
      </c>
      <c r="AK618" s="42">
        <v>577459.17000000004</v>
      </c>
      <c r="AL618" s="33" t="s">
        <v>1055</v>
      </c>
    </row>
    <row r="619" spans="1:38">
      <c r="A619" s="33">
        <v>6013938</v>
      </c>
      <c r="B619" s="33"/>
      <c r="C619" s="33" t="s">
        <v>789</v>
      </c>
      <c r="D619" s="33" t="s">
        <v>2667</v>
      </c>
      <c r="E619" s="33" t="s">
        <v>2885</v>
      </c>
      <c r="F619" s="43">
        <v>46154.125</v>
      </c>
      <c r="G619" s="33" t="s">
        <v>227</v>
      </c>
      <c r="H619" s="33"/>
      <c r="I619" s="33" t="s">
        <v>73</v>
      </c>
      <c r="J619" s="33" t="s">
        <v>1927</v>
      </c>
      <c r="K619" s="33" t="s">
        <v>453</v>
      </c>
      <c r="L619" s="33" t="s">
        <v>2886</v>
      </c>
      <c r="M619" s="43">
        <v>46154.322812500002</v>
      </c>
      <c r="N619" s="33" t="s">
        <v>1810</v>
      </c>
      <c r="O619" s="33" t="s">
        <v>797</v>
      </c>
      <c r="P619" s="33" t="s">
        <v>79</v>
      </c>
      <c r="Q619" s="33"/>
      <c r="R619" s="33"/>
      <c r="S619" s="33"/>
      <c r="T619" s="33" t="s">
        <v>750</v>
      </c>
      <c r="U619" s="43">
        <v>46154.179861111108</v>
      </c>
      <c r="V619" s="58">
        <v>0.14305555555555555</v>
      </c>
      <c r="W619" s="33" t="s">
        <v>750</v>
      </c>
      <c r="X619" s="43">
        <v>46154.179861111108</v>
      </c>
      <c r="Y619" s="58">
        <v>0.14305555555555555</v>
      </c>
      <c r="Z619" s="33" t="s">
        <v>750</v>
      </c>
      <c r="AA619" s="43">
        <v>46154.208333333336</v>
      </c>
      <c r="AB619" s="33" t="s">
        <v>81</v>
      </c>
      <c r="AC619" s="33" t="s">
        <v>1930</v>
      </c>
      <c r="AD619" s="58">
        <v>0.48819444444444443</v>
      </c>
      <c r="AE619" s="58">
        <v>0.16597222222222222</v>
      </c>
      <c r="AF619" s="58">
        <v>0.48819444444444443</v>
      </c>
      <c r="AG619" s="33" t="s">
        <v>2478</v>
      </c>
      <c r="AH619" s="33">
        <v>2</v>
      </c>
      <c r="AI619" s="43">
        <v>46154.179861111108</v>
      </c>
      <c r="AJ619" s="33" t="s">
        <v>73</v>
      </c>
      <c r="AK619" s="42">
        <v>339450.85</v>
      </c>
      <c r="AL619" s="33" t="s">
        <v>2670</v>
      </c>
    </row>
    <row r="620" spans="1:38">
      <c r="A620" s="33">
        <v>6006164</v>
      </c>
      <c r="B620" s="33"/>
      <c r="C620" s="33" t="s">
        <v>789</v>
      </c>
      <c r="D620" s="33" t="s">
        <v>1338</v>
      </c>
      <c r="E620" s="33" t="s">
        <v>2887</v>
      </c>
      <c r="F620" s="43">
        <v>46153.833333333336</v>
      </c>
      <c r="G620" s="33" t="s">
        <v>792</v>
      </c>
      <c r="H620" s="58">
        <v>4.2361111111111113E-2</v>
      </c>
      <c r="I620" s="33" t="s">
        <v>793</v>
      </c>
      <c r="J620" s="33" t="s">
        <v>2859</v>
      </c>
      <c r="K620" s="33" t="s">
        <v>75</v>
      </c>
      <c r="L620" s="33" t="s">
        <v>806</v>
      </c>
      <c r="M620" s="43">
        <v>46154.173958333333</v>
      </c>
      <c r="N620" s="33" t="s">
        <v>796</v>
      </c>
      <c r="O620" s="33" t="s">
        <v>797</v>
      </c>
      <c r="P620" s="33" t="s">
        <v>1963</v>
      </c>
      <c r="Q620" s="43">
        <v>46153.875</v>
      </c>
      <c r="R620" s="43">
        <v>46153.924305555556</v>
      </c>
      <c r="S620" s="58">
        <v>4.9305555555555554E-2</v>
      </c>
      <c r="T620" s="33" t="s">
        <v>799</v>
      </c>
      <c r="U620" s="43">
        <v>46154.081250000003</v>
      </c>
      <c r="V620" s="58">
        <v>9.5138888888888884E-2</v>
      </c>
      <c r="W620" s="33" t="s">
        <v>799</v>
      </c>
      <c r="X620" s="43">
        <v>46154.081250000003</v>
      </c>
      <c r="Y620" s="58">
        <v>9.5138888888888884E-2</v>
      </c>
      <c r="Z620" s="33" t="s">
        <v>799</v>
      </c>
      <c r="AA620" s="43">
        <v>46154.958333333336</v>
      </c>
      <c r="AB620" s="33" t="s">
        <v>81</v>
      </c>
      <c r="AC620" s="33" t="s">
        <v>2262</v>
      </c>
      <c r="AD620" s="58">
        <v>0.34791666666666665</v>
      </c>
      <c r="AE620" s="58">
        <v>0.24930555555555556</v>
      </c>
      <c r="AF620" s="58">
        <v>0.34791666666666665</v>
      </c>
      <c r="AG620" s="33" t="s">
        <v>1341</v>
      </c>
      <c r="AH620" s="33">
        <v>2</v>
      </c>
      <c r="AI620" s="43">
        <v>46154.081250000003</v>
      </c>
      <c r="AJ620" s="33" t="s">
        <v>793</v>
      </c>
      <c r="AK620" s="42">
        <v>602905.02</v>
      </c>
      <c r="AL620" s="33" t="s">
        <v>1342</v>
      </c>
    </row>
    <row r="621" spans="1:38">
      <c r="A621" s="33">
        <v>6008005</v>
      </c>
      <c r="B621" s="33"/>
      <c r="C621" s="33" t="s">
        <v>789</v>
      </c>
      <c r="D621" s="33" t="s">
        <v>2888</v>
      </c>
      <c r="E621" s="33" t="s">
        <v>2889</v>
      </c>
      <c r="F621" s="43">
        <v>46153.854166666664</v>
      </c>
      <c r="G621" s="33" t="s">
        <v>792</v>
      </c>
      <c r="H621" s="33"/>
      <c r="I621" s="33" t="s">
        <v>793</v>
      </c>
      <c r="J621" s="33" t="s">
        <v>1398</v>
      </c>
      <c r="K621" s="33" t="s">
        <v>2890</v>
      </c>
      <c r="L621" s="33" t="s">
        <v>2891</v>
      </c>
      <c r="M621" s="43">
        <v>46154.433935185189</v>
      </c>
      <c r="N621" s="33" t="s">
        <v>2892</v>
      </c>
      <c r="O621" s="33" t="s">
        <v>175</v>
      </c>
      <c r="P621" s="33" t="s">
        <v>1963</v>
      </c>
      <c r="Q621" s="43">
        <v>46153.854861111111</v>
      </c>
      <c r="R621" s="43">
        <v>46153.921527777777</v>
      </c>
      <c r="S621" s="58">
        <v>6.6666666666666666E-2</v>
      </c>
      <c r="T621" s="33" t="s">
        <v>140</v>
      </c>
      <c r="U621" s="43">
        <v>46154.04583333333</v>
      </c>
      <c r="V621" s="58">
        <v>0.3215277777777778</v>
      </c>
      <c r="W621" s="33"/>
      <c r="X621" s="33"/>
      <c r="Y621" s="33"/>
      <c r="Z621" s="33" t="s">
        <v>140</v>
      </c>
      <c r="AA621" s="43">
        <v>46155.208333333336</v>
      </c>
      <c r="AB621" s="33" t="s">
        <v>1096</v>
      </c>
      <c r="AC621" s="33" t="s">
        <v>1400</v>
      </c>
      <c r="AD621" s="58">
        <v>0.60347222222222219</v>
      </c>
      <c r="AE621" s="33"/>
      <c r="AF621" s="58">
        <v>0.60347222222222219</v>
      </c>
      <c r="AG621" s="33" t="s">
        <v>2893</v>
      </c>
      <c r="AH621" s="33">
        <v>2</v>
      </c>
      <c r="AI621" s="43">
        <v>46154.04583333333</v>
      </c>
      <c r="AJ621" s="33" t="s">
        <v>793</v>
      </c>
      <c r="AK621" s="42">
        <v>571126.99</v>
      </c>
      <c r="AL621" s="33" t="s">
        <v>2894</v>
      </c>
    </row>
    <row r="622" spans="1:38">
      <c r="A622" s="33">
        <v>6007944</v>
      </c>
      <c r="B622" s="33"/>
      <c r="C622" s="33" t="s">
        <v>789</v>
      </c>
      <c r="D622" s="33" t="s">
        <v>827</v>
      </c>
      <c r="E622" s="33" t="s">
        <v>2895</v>
      </c>
      <c r="F622" s="43">
        <v>46154.125</v>
      </c>
      <c r="G622" s="33" t="s">
        <v>792</v>
      </c>
      <c r="H622" s="33"/>
      <c r="I622" s="33" t="s">
        <v>793</v>
      </c>
      <c r="J622" s="33" t="s">
        <v>2049</v>
      </c>
      <c r="K622" s="33" t="s">
        <v>75</v>
      </c>
      <c r="L622" s="33" t="s">
        <v>806</v>
      </c>
      <c r="M622" s="43">
        <v>46154.413599537038</v>
      </c>
      <c r="N622" s="33" t="s">
        <v>831</v>
      </c>
      <c r="O622" s="33" t="s">
        <v>797</v>
      </c>
      <c r="P622" s="33" t="s">
        <v>1963</v>
      </c>
      <c r="Q622" s="33"/>
      <c r="R622" s="33"/>
      <c r="S622" s="33"/>
      <c r="T622" s="33" t="s">
        <v>799</v>
      </c>
      <c r="U622" s="33"/>
      <c r="V622" s="33"/>
      <c r="W622" s="33" t="s">
        <v>799</v>
      </c>
      <c r="X622" s="33"/>
      <c r="Y622" s="33"/>
      <c r="Z622" s="33" t="s">
        <v>799</v>
      </c>
      <c r="AA622" s="43">
        <v>46155.333333333336</v>
      </c>
      <c r="AB622" s="33" t="s">
        <v>81</v>
      </c>
      <c r="AC622" s="33" t="s">
        <v>2076</v>
      </c>
      <c r="AD622" s="58">
        <v>0.57777777777777772</v>
      </c>
      <c r="AE622" s="33"/>
      <c r="AF622" s="58">
        <v>0.57777777777777772</v>
      </c>
      <c r="AG622" s="33" t="s">
        <v>832</v>
      </c>
      <c r="AH622" s="33">
        <v>0</v>
      </c>
      <c r="AI622" s="43">
        <v>46154.406944444447</v>
      </c>
      <c r="AJ622" s="33" t="s">
        <v>793</v>
      </c>
      <c r="AK622" s="42">
        <v>776403.34</v>
      </c>
      <c r="AL622" s="33" t="s">
        <v>833</v>
      </c>
    </row>
    <row r="623" spans="1:38">
      <c r="A623" s="33">
        <v>6020771</v>
      </c>
      <c r="B623" s="33"/>
      <c r="C623" s="33" t="s">
        <v>789</v>
      </c>
      <c r="D623" s="33" t="s">
        <v>2896</v>
      </c>
      <c r="E623" s="33" t="s">
        <v>2897</v>
      </c>
      <c r="F623" s="43">
        <v>46153.833333333336</v>
      </c>
      <c r="G623" s="33" t="s">
        <v>227</v>
      </c>
      <c r="H623" s="33"/>
      <c r="I623" s="33" t="s">
        <v>772</v>
      </c>
      <c r="J623" s="33" t="s">
        <v>773</v>
      </c>
      <c r="K623" s="33" t="s">
        <v>75</v>
      </c>
      <c r="L623" s="33" t="s">
        <v>1189</v>
      </c>
      <c r="M623" s="43">
        <v>46154.483877314815</v>
      </c>
      <c r="N623" s="33" t="s">
        <v>2898</v>
      </c>
      <c r="O623" s="33" t="s">
        <v>797</v>
      </c>
      <c r="P623" s="33" t="s">
        <v>79</v>
      </c>
      <c r="Q623" s="43">
        <v>46153.837500000001</v>
      </c>
      <c r="R623" s="43">
        <v>46153.880555555559</v>
      </c>
      <c r="S623" s="58">
        <v>4.3055555555555555E-2</v>
      </c>
      <c r="T623" s="33" t="s">
        <v>308</v>
      </c>
      <c r="U623" s="43">
        <v>46154.45</v>
      </c>
      <c r="V623" s="58">
        <v>3.4722222222222224E-2</v>
      </c>
      <c r="W623" s="33" t="s">
        <v>308</v>
      </c>
      <c r="X623" s="43">
        <v>46154.45</v>
      </c>
      <c r="Y623" s="58">
        <v>3.4722222222222224E-2</v>
      </c>
      <c r="Z623" s="33" t="s">
        <v>308</v>
      </c>
      <c r="AA623" s="43">
        <v>46159.416666666664</v>
      </c>
      <c r="AB623" s="33" t="s">
        <v>81</v>
      </c>
      <c r="AC623" s="33" t="s">
        <v>775</v>
      </c>
      <c r="AD623" s="58">
        <v>0.64444444444444449</v>
      </c>
      <c r="AE623" s="58">
        <v>0.60347222222222219</v>
      </c>
      <c r="AF623" s="58">
        <v>0.64444444444444449</v>
      </c>
      <c r="AG623" s="33" t="s">
        <v>953</v>
      </c>
      <c r="AH623" s="33">
        <v>2</v>
      </c>
      <c r="AI623" s="43">
        <v>46154.45</v>
      </c>
      <c r="AJ623" s="33" t="s">
        <v>73</v>
      </c>
      <c r="AK623" s="42">
        <v>349095.16</v>
      </c>
      <c r="AL623" s="33" t="s">
        <v>2899</v>
      </c>
    </row>
    <row r="624" spans="1:38">
      <c r="A624" s="33">
        <v>6006022</v>
      </c>
      <c r="B624" s="33"/>
      <c r="C624" s="33" t="s">
        <v>789</v>
      </c>
      <c r="D624" s="33" t="s">
        <v>1156</v>
      </c>
      <c r="E624" s="33" t="s">
        <v>2900</v>
      </c>
      <c r="F624" s="43">
        <v>46153.916666666664</v>
      </c>
      <c r="G624" s="33" t="s">
        <v>792</v>
      </c>
      <c r="H624" s="33"/>
      <c r="I624" s="33" t="s">
        <v>793</v>
      </c>
      <c r="J624" s="33" t="s">
        <v>1034</v>
      </c>
      <c r="K624" s="33" t="s">
        <v>75</v>
      </c>
      <c r="L624" s="33" t="s">
        <v>1184</v>
      </c>
      <c r="M624" s="43">
        <v>46154.123599537037</v>
      </c>
      <c r="N624" s="33" t="s">
        <v>1160</v>
      </c>
      <c r="O624" s="33" t="s">
        <v>175</v>
      </c>
      <c r="P624" s="33" t="s">
        <v>799</v>
      </c>
      <c r="Q624" s="43">
        <v>46153.844444444447</v>
      </c>
      <c r="R624" s="43">
        <v>46154.067361111112</v>
      </c>
      <c r="S624" s="58">
        <v>0.22291666666666668</v>
      </c>
      <c r="T624" s="33" t="s">
        <v>140</v>
      </c>
      <c r="U624" s="43">
        <v>46154.109027777777</v>
      </c>
      <c r="V624" s="58">
        <v>4.1666666666666666E-3</v>
      </c>
      <c r="W624" s="33"/>
      <c r="X624" s="33"/>
      <c r="Y624" s="33"/>
      <c r="Z624" s="33" t="s">
        <v>140</v>
      </c>
      <c r="AA624" s="43">
        <v>46153.958333333336</v>
      </c>
      <c r="AB624" s="33" t="s">
        <v>81</v>
      </c>
      <c r="AC624" s="33" t="s">
        <v>1037</v>
      </c>
      <c r="AD624" s="58">
        <v>0.27847222222222223</v>
      </c>
      <c r="AE624" s="33"/>
      <c r="AF624" s="58">
        <v>0.27847222222222223</v>
      </c>
      <c r="AG624" s="33" t="s">
        <v>1357</v>
      </c>
      <c r="AH624" s="33">
        <v>2</v>
      </c>
      <c r="AI624" s="43">
        <v>46154.109027777777</v>
      </c>
      <c r="AJ624" s="33" t="s">
        <v>793</v>
      </c>
      <c r="AK624" s="42">
        <v>734876.8</v>
      </c>
      <c r="AL624" s="33" t="s">
        <v>1162</v>
      </c>
    </row>
    <row r="625" spans="1:38">
      <c r="A625" s="33">
        <v>6009337</v>
      </c>
      <c r="B625" s="33"/>
      <c r="C625" s="33" t="s">
        <v>789</v>
      </c>
      <c r="D625" s="33" t="s">
        <v>1439</v>
      </c>
      <c r="E625" s="33" t="s">
        <v>2901</v>
      </c>
      <c r="F625" s="43">
        <v>46154.208333333336</v>
      </c>
      <c r="G625" s="33" t="s">
        <v>792</v>
      </c>
      <c r="H625" s="33"/>
      <c r="I625" s="33" t="s">
        <v>793</v>
      </c>
      <c r="J625" s="33" t="s">
        <v>1398</v>
      </c>
      <c r="K625" s="33" t="s">
        <v>75</v>
      </c>
      <c r="L625" s="33" t="s">
        <v>492</v>
      </c>
      <c r="M625" s="43">
        <v>46154.412893518522</v>
      </c>
      <c r="N625" s="33" t="s">
        <v>1441</v>
      </c>
      <c r="O625" s="33" t="s">
        <v>797</v>
      </c>
      <c r="P625" s="33" t="s">
        <v>1963</v>
      </c>
      <c r="Q625" s="43">
        <v>46154.207638888889</v>
      </c>
      <c r="R625" s="43">
        <v>46154.240972222222</v>
      </c>
      <c r="S625" s="58">
        <v>3.3333333333333333E-2</v>
      </c>
      <c r="T625" s="33" t="s">
        <v>140</v>
      </c>
      <c r="U625" s="43">
        <v>46154.361111111109</v>
      </c>
      <c r="V625" s="58">
        <v>5.347222222222222E-2</v>
      </c>
      <c r="W625" s="33" t="s">
        <v>140</v>
      </c>
      <c r="X625" s="43">
        <v>46154.361111111109</v>
      </c>
      <c r="Y625" s="58">
        <v>5.347222222222222E-2</v>
      </c>
      <c r="Z625" s="33" t="s">
        <v>140</v>
      </c>
      <c r="AA625" s="43">
        <v>46155.416666666664</v>
      </c>
      <c r="AB625" s="33" t="s">
        <v>1052</v>
      </c>
      <c r="AC625" s="33" t="s">
        <v>1400</v>
      </c>
      <c r="AD625" s="58">
        <v>0.4909722222222222</v>
      </c>
      <c r="AE625" s="58">
        <v>0.17222222222222222</v>
      </c>
      <c r="AF625" s="58">
        <v>0.4909722222222222</v>
      </c>
      <c r="AG625" s="33" t="s">
        <v>1443</v>
      </c>
      <c r="AH625" s="33">
        <v>2</v>
      </c>
      <c r="AI625" s="43">
        <v>46154.361111111109</v>
      </c>
      <c r="AJ625" s="33" t="s">
        <v>793</v>
      </c>
      <c r="AK625" s="42">
        <v>1018319.64</v>
      </c>
      <c r="AL625" s="33" t="s">
        <v>1444</v>
      </c>
    </row>
    <row r="626" spans="1:38">
      <c r="A626" s="33">
        <v>6008161</v>
      </c>
      <c r="B626" s="33"/>
      <c r="C626" s="33" t="s">
        <v>789</v>
      </c>
      <c r="D626" s="33" t="s">
        <v>1745</v>
      </c>
      <c r="E626" s="33" t="s">
        <v>2902</v>
      </c>
      <c r="F626" s="43">
        <v>46154.333333333336</v>
      </c>
      <c r="G626" s="33" t="s">
        <v>792</v>
      </c>
      <c r="H626" s="33"/>
      <c r="I626" s="33" t="s">
        <v>793</v>
      </c>
      <c r="J626" s="33" t="s">
        <v>1398</v>
      </c>
      <c r="K626" s="33" t="s">
        <v>75</v>
      </c>
      <c r="L626" s="33" t="s">
        <v>1627</v>
      </c>
      <c r="M626" s="43">
        <v>46154.483275462961</v>
      </c>
      <c r="N626" s="33" t="s">
        <v>1748</v>
      </c>
      <c r="O626" s="33" t="s">
        <v>797</v>
      </c>
      <c r="P626" s="33" t="s">
        <v>1963</v>
      </c>
      <c r="Q626" s="33"/>
      <c r="R626" s="33"/>
      <c r="S626" s="33"/>
      <c r="T626" s="33" t="s">
        <v>140</v>
      </c>
      <c r="U626" s="33"/>
      <c r="V626" s="33"/>
      <c r="W626" s="33" t="s">
        <v>140</v>
      </c>
      <c r="X626" s="33"/>
      <c r="Y626" s="33"/>
      <c r="Z626" s="33" t="s">
        <v>140</v>
      </c>
      <c r="AA626" s="43">
        <v>46155.541666666664</v>
      </c>
      <c r="AB626" s="33" t="s">
        <v>81</v>
      </c>
      <c r="AC626" s="33" t="s">
        <v>1400</v>
      </c>
      <c r="AD626" s="58">
        <v>0.61041666666666672</v>
      </c>
      <c r="AE626" s="33"/>
      <c r="AF626" s="58">
        <v>0.61041666666666672</v>
      </c>
      <c r="AG626" s="33" t="s">
        <v>1750</v>
      </c>
      <c r="AH626" s="33">
        <v>0</v>
      </c>
      <c r="AI626" s="43">
        <v>46154.473611111112</v>
      </c>
      <c r="AJ626" s="33" t="s">
        <v>793</v>
      </c>
      <c r="AK626" s="42">
        <v>665288.84</v>
      </c>
      <c r="AL626" s="33" t="s">
        <v>1751</v>
      </c>
    </row>
    <row r="627" spans="1:38">
      <c r="A627" s="33">
        <v>6007359</v>
      </c>
      <c r="B627" s="33"/>
      <c r="C627" s="33" t="s">
        <v>789</v>
      </c>
      <c r="D627" s="33" t="s">
        <v>1163</v>
      </c>
      <c r="E627" s="33" t="s">
        <v>2903</v>
      </c>
      <c r="F627" s="43">
        <v>46154.333333333336</v>
      </c>
      <c r="G627" s="33" t="s">
        <v>792</v>
      </c>
      <c r="H627" s="33"/>
      <c r="I627" s="33" t="s">
        <v>793</v>
      </c>
      <c r="J627" s="33" t="s">
        <v>2049</v>
      </c>
      <c r="K627" s="33" t="s">
        <v>75</v>
      </c>
      <c r="L627" s="33" t="s">
        <v>2904</v>
      </c>
      <c r="M627" s="43">
        <v>46154.712488425925</v>
      </c>
      <c r="N627" s="33" t="s">
        <v>1167</v>
      </c>
      <c r="O627" s="33" t="s">
        <v>797</v>
      </c>
      <c r="P627" s="33" t="s">
        <v>1963</v>
      </c>
      <c r="Q627" s="43">
        <v>46154.404861111114</v>
      </c>
      <c r="R627" s="43">
        <v>46154.453472222223</v>
      </c>
      <c r="S627" s="58">
        <v>4.8611111111111112E-2</v>
      </c>
      <c r="T627" s="33" t="s">
        <v>799</v>
      </c>
      <c r="U627" s="43">
        <v>46154.634027777778</v>
      </c>
      <c r="V627" s="58">
        <v>6.25E-2</v>
      </c>
      <c r="W627" s="33"/>
      <c r="X627" s="33"/>
      <c r="Y627" s="33"/>
      <c r="Z627" s="33" t="s">
        <v>799</v>
      </c>
      <c r="AA627" s="43">
        <v>46155.541666666664</v>
      </c>
      <c r="AB627" s="33" t="s">
        <v>81</v>
      </c>
      <c r="AC627" s="33" t="s">
        <v>2076</v>
      </c>
      <c r="AD627" s="58">
        <v>0.59791666666666665</v>
      </c>
      <c r="AE627" s="33"/>
      <c r="AF627" s="58">
        <v>0.59791666666666665</v>
      </c>
      <c r="AG627" s="33" t="s">
        <v>1171</v>
      </c>
      <c r="AH627" s="33">
        <v>2</v>
      </c>
      <c r="AI627" s="43">
        <v>46154.634027777778</v>
      </c>
      <c r="AJ627" s="33" t="s">
        <v>793</v>
      </c>
      <c r="AK627" s="42">
        <v>458504.93</v>
      </c>
      <c r="AL627" s="33" t="s">
        <v>1172</v>
      </c>
    </row>
    <row r="628" spans="1:38">
      <c r="A628" s="33">
        <v>6009165</v>
      </c>
      <c r="B628" s="33"/>
      <c r="C628" s="33" t="s">
        <v>789</v>
      </c>
      <c r="D628" s="33" t="s">
        <v>817</v>
      </c>
      <c r="E628" s="33" t="s">
        <v>2905</v>
      </c>
      <c r="F628" s="43">
        <v>46154.333333333336</v>
      </c>
      <c r="G628" s="33" t="s">
        <v>792</v>
      </c>
      <c r="H628" s="33"/>
      <c r="I628" s="33" t="s">
        <v>793</v>
      </c>
      <c r="J628" s="33" t="s">
        <v>2049</v>
      </c>
      <c r="K628" s="33" t="s">
        <v>75</v>
      </c>
      <c r="L628" s="33" t="s">
        <v>2078</v>
      </c>
      <c r="M628" s="43">
        <v>46154.669189814813</v>
      </c>
      <c r="N628" s="33" t="s">
        <v>822</v>
      </c>
      <c r="O628" s="33" t="s">
        <v>797</v>
      </c>
      <c r="P628" s="33" t="s">
        <v>1963</v>
      </c>
      <c r="Q628" s="43">
        <v>46154.402777777781</v>
      </c>
      <c r="R628" s="43">
        <v>46154.438194444447</v>
      </c>
      <c r="S628" s="58">
        <v>3.5416666666666666E-2</v>
      </c>
      <c r="T628" s="33" t="s">
        <v>799</v>
      </c>
      <c r="U628" s="43">
        <v>46154.588194444441</v>
      </c>
      <c r="V628" s="58">
        <v>8.3333333333333329E-2</v>
      </c>
      <c r="W628" s="33" t="s">
        <v>799</v>
      </c>
      <c r="X628" s="43">
        <v>46154.588194444441</v>
      </c>
      <c r="Y628" s="58">
        <v>8.3333333333333329E-2</v>
      </c>
      <c r="Z628" s="33" t="s">
        <v>799</v>
      </c>
      <c r="AA628" s="43">
        <v>46155.541666666664</v>
      </c>
      <c r="AB628" s="33" t="s">
        <v>81</v>
      </c>
      <c r="AC628" s="33" t="s">
        <v>2076</v>
      </c>
      <c r="AD628" s="58">
        <v>0.5444444444444444</v>
      </c>
      <c r="AE628" s="58">
        <v>0.23194444444444445</v>
      </c>
      <c r="AF628" s="58">
        <v>0.5444444444444444</v>
      </c>
      <c r="AG628" s="33" t="s">
        <v>825</v>
      </c>
      <c r="AH628" s="33">
        <v>2</v>
      </c>
      <c r="AI628" s="43">
        <v>46154.588194444441</v>
      </c>
      <c r="AJ628" s="33" t="s">
        <v>793</v>
      </c>
      <c r="AK628" s="42">
        <v>1004479.2</v>
      </c>
      <c r="AL628" s="33" t="s">
        <v>826</v>
      </c>
    </row>
    <row r="629" spans="1:38">
      <c r="A629" s="33">
        <v>6008158</v>
      </c>
      <c r="B629" s="33"/>
      <c r="C629" s="33" t="s">
        <v>789</v>
      </c>
      <c r="D629" s="33" t="s">
        <v>1056</v>
      </c>
      <c r="E629" s="33" t="s">
        <v>2906</v>
      </c>
      <c r="F629" s="43">
        <v>46154.333333333336</v>
      </c>
      <c r="G629" s="33" t="s">
        <v>792</v>
      </c>
      <c r="H629" s="33"/>
      <c r="I629" s="33" t="s">
        <v>793</v>
      </c>
      <c r="J629" s="33" t="s">
        <v>1392</v>
      </c>
      <c r="K629" s="33" t="s">
        <v>75</v>
      </c>
      <c r="L629" s="33" t="s">
        <v>1778</v>
      </c>
      <c r="M629" s="43">
        <v>46154.63449074074</v>
      </c>
      <c r="N629" s="33" t="s">
        <v>1060</v>
      </c>
      <c r="O629" s="33" t="s">
        <v>797</v>
      </c>
      <c r="P629" s="33" t="s">
        <v>1963</v>
      </c>
      <c r="Q629" s="43">
        <v>46154.402777777781</v>
      </c>
      <c r="R629" s="43">
        <v>46154.438888888886</v>
      </c>
      <c r="S629" s="58">
        <v>3.6111111111111108E-2</v>
      </c>
      <c r="T629" s="33" t="s">
        <v>799</v>
      </c>
      <c r="U629" s="33"/>
      <c r="V629" s="33"/>
      <c r="W629" s="33" t="s">
        <v>799</v>
      </c>
      <c r="X629" s="33"/>
      <c r="Y629" s="33"/>
      <c r="Z629" s="33" t="s">
        <v>799</v>
      </c>
      <c r="AA629" s="43">
        <v>46155.541666666664</v>
      </c>
      <c r="AB629" s="33" t="s">
        <v>81</v>
      </c>
      <c r="AC629" s="33" t="s">
        <v>1395</v>
      </c>
      <c r="AD629" s="58">
        <v>0.57847222222222228</v>
      </c>
      <c r="AE629" s="58">
        <v>0.2013888888888889</v>
      </c>
      <c r="AF629" s="58">
        <v>0.57847222222222228</v>
      </c>
      <c r="AG629" s="33" t="s">
        <v>1061</v>
      </c>
      <c r="AH629" s="33">
        <v>1</v>
      </c>
      <c r="AI629" s="43">
        <v>46154.624305555553</v>
      </c>
      <c r="AJ629" s="33" t="s">
        <v>793</v>
      </c>
      <c r="AK629" s="42">
        <v>906380.28</v>
      </c>
      <c r="AL629" s="33" t="s">
        <v>1062</v>
      </c>
    </row>
    <row r="630" spans="1:38">
      <c r="A630" s="33">
        <v>6008081</v>
      </c>
      <c r="B630" s="33"/>
      <c r="C630" s="33" t="s">
        <v>789</v>
      </c>
      <c r="D630" s="33" t="s">
        <v>2907</v>
      </c>
      <c r="E630" s="33" t="s">
        <v>2908</v>
      </c>
      <c r="F630" s="43">
        <v>46153.833333333336</v>
      </c>
      <c r="G630" s="33" t="s">
        <v>792</v>
      </c>
      <c r="H630" s="33"/>
      <c r="I630" s="33" t="s">
        <v>793</v>
      </c>
      <c r="J630" s="33" t="s">
        <v>2086</v>
      </c>
      <c r="K630" s="33" t="s">
        <v>75</v>
      </c>
      <c r="L630" s="33" t="s">
        <v>1094</v>
      </c>
      <c r="M630" s="43">
        <v>46154.075578703705</v>
      </c>
      <c r="N630" s="33" t="s">
        <v>2909</v>
      </c>
      <c r="O630" s="33" t="s">
        <v>797</v>
      </c>
      <c r="P630" s="33" t="s">
        <v>1963</v>
      </c>
      <c r="Q630" s="43">
        <v>46153.892361111109</v>
      </c>
      <c r="R630" s="43">
        <v>46153.902777777781</v>
      </c>
      <c r="S630" s="58">
        <v>1.0416666666666666E-2</v>
      </c>
      <c r="T630" s="33" t="s">
        <v>140</v>
      </c>
      <c r="U630" s="43">
        <v>46154.066666666666</v>
      </c>
      <c r="V630" s="58">
        <v>1.1111111111111112E-2</v>
      </c>
      <c r="W630" s="33" t="s">
        <v>140</v>
      </c>
      <c r="X630" s="43">
        <v>46154.066666666666</v>
      </c>
      <c r="Y630" s="58">
        <v>1.1111111111111112E-2</v>
      </c>
      <c r="Z630" s="33" t="s">
        <v>140</v>
      </c>
      <c r="AA630" s="43">
        <v>46155.583333333336</v>
      </c>
      <c r="AB630" s="33" t="s">
        <v>81</v>
      </c>
      <c r="AC630" s="33" t="s">
        <v>2331</v>
      </c>
      <c r="AD630" s="58">
        <v>0.18958333333333333</v>
      </c>
      <c r="AE630" s="58">
        <v>0.17222222222222222</v>
      </c>
      <c r="AF630" s="58">
        <v>0.18958333333333333</v>
      </c>
      <c r="AG630" s="33" t="s">
        <v>2910</v>
      </c>
      <c r="AH630" s="33">
        <v>2</v>
      </c>
      <c r="AI630" s="43">
        <v>46154.066666666666</v>
      </c>
      <c r="AJ630" s="33" t="s">
        <v>793</v>
      </c>
      <c r="AK630" s="42">
        <v>1107486.57</v>
      </c>
      <c r="AL630" s="33" t="s">
        <v>2911</v>
      </c>
    </row>
    <row r="631" spans="1:38">
      <c r="A631" s="33">
        <v>6008257</v>
      </c>
      <c r="B631" s="33"/>
      <c r="C631" s="33" t="s">
        <v>789</v>
      </c>
      <c r="D631" s="33" t="s">
        <v>1784</v>
      </c>
      <c r="E631" s="33" t="s">
        <v>2912</v>
      </c>
      <c r="F631" s="43">
        <v>46154</v>
      </c>
      <c r="G631" s="33" t="s">
        <v>792</v>
      </c>
      <c r="H631" s="33"/>
      <c r="I631" s="33" t="s">
        <v>793</v>
      </c>
      <c r="J631" s="33" t="s">
        <v>1398</v>
      </c>
      <c r="K631" s="33" t="s">
        <v>75</v>
      </c>
      <c r="L631" s="33" t="s">
        <v>1231</v>
      </c>
      <c r="M631" s="43">
        <v>46154.215104166666</v>
      </c>
      <c r="N631" s="33" t="s">
        <v>796</v>
      </c>
      <c r="O631" s="33" t="s">
        <v>797</v>
      </c>
      <c r="P631" s="33" t="s">
        <v>1963</v>
      </c>
      <c r="Q631" s="43">
        <v>46154.020138888889</v>
      </c>
      <c r="R631" s="43">
        <v>46154.038194444445</v>
      </c>
      <c r="S631" s="58">
        <v>1.8055555555555554E-2</v>
      </c>
      <c r="T631" s="33" t="s">
        <v>140</v>
      </c>
      <c r="U631" s="43">
        <v>46154.183333333334</v>
      </c>
      <c r="V631" s="58">
        <v>3.2638888888888891E-2</v>
      </c>
      <c r="W631" s="33" t="s">
        <v>140</v>
      </c>
      <c r="X631" s="43">
        <v>46154.183333333334</v>
      </c>
      <c r="Y631" s="58">
        <v>3.2638888888888891E-2</v>
      </c>
      <c r="Z631" s="33" t="s">
        <v>140</v>
      </c>
      <c r="AA631" s="43">
        <v>46155.583333333336</v>
      </c>
      <c r="AB631" s="33" t="s">
        <v>1052</v>
      </c>
      <c r="AC631" s="33" t="s">
        <v>1400</v>
      </c>
      <c r="AD631" s="58">
        <v>0.32708333333333334</v>
      </c>
      <c r="AE631" s="58">
        <v>0.1763888888888889</v>
      </c>
      <c r="AF631" s="58">
        <v>0.32708333333333334</v>
      </c>
      <c r="AG631" s="33" t="s">
        <v>1788</v>
      </c>
      <c r="AH631" s="33">
        <v>2</v>
      </c>
      <c r="AI631" s="43">
        <v>46154.183333333334</v>
      </c>
      <c r="AJ631" s="33" t="s">
        <v>793</v>
      </c>
      <c r="AK631" s="42">
        <v>1542151.56</v>
      </c>
      <c r="AL631" s="33" t="s">
        <v>1789</v>
      </c>
    </row>
    <row r="632" spans="1:38">
      <c r="A632" s="33">
        <v>6006653</v>
      </c>
      <c r="B632" s="33"/>
      <c r="C632" s="33" t="s">
        <v>789</v>
      </c>
      <c r="D632" s="33" t="s">
        <v>1150</v>
      </c>
      <c r="E632" s="33" t="s">
        <v>2913</v>
      </c>
      <c r="F632" s="43">
        <v>46153.916666666664</v>
      </c>
      <c r="G632" s="33" t="s">
        <v>792</v>
      </c>
      <c r="H632" s="33"/>
      <c r="I632" s="33" t="s">
        <v>793</v>
      </c>
      <c r="J632" s="33" t="s">
        <v>1147</v>
      </c>
      <c r="K632" s="33" t="s">
        <v>75</v>
      </c>
      <c r="L632" s="33" t="s">
        <v>1035</v>
      </c>
      <c r="M632" s="43">
        <v>46154.098333333335</v>
      </c>
      <c r="N632" s="33" t="s">
        <v>1152</v>
      </c>
      <c r="O632" s="33" t="s">
        <v>797</v>
      </c>
      <c r="P632" s="33" t="s">
        <v>799</v>
      </c>
      <c r="Q632" s="43">
        <v>46153.873611111114</v>
      </c>
      <c r="R632" s="43">
        <v>46154.054166666669</v>
      </c>
      <c r="S632" s="58">
        <v>0.18055555555555555</v>
      </c>
      <c r="T632" s="33" t="s">
        <v>140</v>
      </c>
      <c r="U632" s="43">
        <v>46154.078472222223</v>
      </c>
      <c r="V632" s="58">
        <v>1.9444444444444445E-2</v>
      </c>
      <c r="W632" s="33" t="s">
        <v>140</v>
      </c>
      <c r="X632" s="43">
        <v>46154.078472222223</v>
      </c>
      <c r="Y632" s="58">
        <v>1.9444444444444445E-2</v>
      </c>
      <c r="Z632" s="33" t="s">
        <v>140</v>
      </c>
      <c r="AA632" s="43">
        <v>46153.958333333336</v>
      </c>
      <c r="AB632" s="33" t="s">
        <v>81</v>
      </c>
      <c r="AC632" s="33" t="s">
        <v>1149</v>
      </c>
      <c r="AD632" s="58">
        <v>0.23541666666666666</v>
      </c>
      <c r="AE632" s="58">
        <v>4.3749999999999997E-2</v>
      </c>
      <c r="AF632" s="58">
        <v>0.23541666666666666</v>
      </c>
      <c r="AG632" s="33" t="s">
        <v>1154</v>
      </c>
      <c r="AH632" s="33">
        <v>2</v>
      </c>
      <c r="AI632" s="43">
        <v>46154.078472222223</v>
      </c>
      <c r="AJ632" s="33" t="s">
        <v>793</v>
      </c>
      <c r="AK632" s="42">
        <v>706985.76</v>
      </c>
      <c r="AL632" s="33" t="s">
        <v>1155</v>
      </c>
    </row>
    <row r="633" spans="1:38">
      <c r="A633" s="33">
        <v>6000958</v>
      </c>
      <c r="B633" s="33"/>
      <c r="C633" s="33" t="s">
        <v>789</v>
      </c>
      <c r="D633" s="33" t="s">
        <v>2914</v>
      </c>
      <c r="E633" s="33" t="s">
        <v>2915</v>
      </c>
      <c r="F633" s="43">
        <v>46153.904166666667</v>
      </c>
      <c r="G633" s="33" t="s">
        <v>260</v>
      </c>
      <c r="H633" s="33"/>
      <c r="I633" s="33" t="s">
        <v>73</v>
      </c>
      <c r="J633" s="33" t="s">
        <v>2411</v>
      </c>
      <c r="K633" s="33" t="s">
        <v>75</v>
      </c>
      <c r="L633" s="33" t="s">
        <v>2440</v>
      </c>
      <c r="M633" s="43">
        <v>46155.229560185187</v>
      </c>
      <c r="N633" s="33" t="s">
        <v>2916</v>
      </c>
      <c r="O633" s="33" t="s">
        <v>456</v>
      </c>
      <c r="P633" s="33" t="s">
        <v>79</v>
      </c>
      <c r="Q633" s="43">
        <v>46153.929166666669</v>
      </c>
      <c r="R633" s="43">
        <v>46154.240277777775</v>
      </c>
      <c r="S633" s="58">
        <v>0.31111111111111112</v>
      </c>
      <c r="T633" s="33" t="s">
        <v>2412</v>
      </c>
      <c r="U633" s="43">
        <v>46154.654861111114</v>
      </c>
      <c r="V633" s="58">
        <v>4.0972222222222222E-2</v>
      </c>
      <c r="W633" s="33"/>
      <c r="X633" s="33"/>
      <c r="Y633" s="33"/>
      <c r="Z633" s="33" t="s">
        <v>2412</v>
      </c>
      <c r="AA633" s="43">
        <v>46155.25</v>
      </c>
      <c r="AB633" s="33" t="s">
        <v>81</v>
      </c>
      <c r="AC633" s="33" t="s">
        <v>2414</v>
      </c>
      <c r="AD633" s="44">
        <v>1.3041666666666667</v>
      </c>
      <c r="AE633" s="33"/>
      <c r="AF633" s="44">
        <v>1.3041666666666667</v>
      </c>
      <c r="AG633" s="33" t="s">
        <v>2917</v>
      </c>
      <c r="AH633" s="33">
        <v>3</v>
      </c>
      <c r="AI633" s="43">
        <v>46154.656944444447</v>
      </c>
      <c r="AJ633" s="33" t="s">
        <v>73</v>
      </c>
      <c r="AK633" s="42">
        <v>141777.60999999999</v>
      </c>
      <c r="AL633" s="33" t="s">
        <v>2918</v>
      </c>
    </row>
    <row r="634" spans="1:38">
      <c r="A634" s="33">
        <v>6006790</v>
      </c>
      <c r="B634" s="33"/>
      <c r="C634" s="33" t="s">
        <v>789</v>
      </c>
      <c r="D634" s="33" t="s">
        <v>2919</v>
      </c>
      <c r="E634" s="33" t="s">
        <v>2920</v>
      </c>
      <c r="F634" s="43">
        <v>46154.041666666664</v>
      </c>
      <c r="G634" s="33" t="s">
        <v>792</v>
      </c>
      <c r="H634" s="33"/>
      <c r="I634" s="33" t="s">
        <v>793</v>
      </c>
      <c r="J634" s="33" t="s">
        <v>1698</v>
      </c>
      <c r="K634" s="33" t="s">
        <v>2921</v>
      </c>
      <c r="L634" s="33" t="s">
        <v>2922</v>
      </c>
      <c r="M634" s="43">
        <v>46154.634629629632</v>
      </c>
      <c r="N634" s="33" t="s">
        <v>2923</v>
      </c>
      <c r="O634" s="33" t="s">
        <v>797</v>
      </c>
      <c r="P634" s="33" t="s">
        <v>798</v>
      </c>
      <c r="Q634" s="43">
        <v>46154.058333333334</v>
      </c>
      <c r="R634" s="43">
        <v>46154.09097222222</v>
      </c>
      <c r="S634" s="58">
        <v>3.2638888888888891E-2</v>
      </c>
      <c r="T634" s="33" t="s">
        <v>799</v>
      </c>
      <c r="U634" s="43">
        <v>46154.491666666669</v>
      </c>
      <c r="V634" s="58">
        <v>0.15138888888888888</v>
      </c>
      <c r="W634" s="33" t="s">
        <v>799</v>
      </c>
      <c r="X634" s="43">
        <v>46154.491666666669</v>
      </c>
      <c r="Y634" s="58">
        <v>0.15138888888888888</v>
      </c>
      <c r="Z634" s="33" t="s">
        <v>799</v>
      </c>
      <c r="AA634" s="43">
        <v>46155.208333333336</v>
      </c>
      <c r="AB634" s="33" t="s">
        <v>81</v>
      </c>
      <c r="AC634" s="33" t="s">
        <v>1505</v>
      </c>
      <c r="AD634" s="58">
        <v>0.70138888888888884</v>
      </c>
      <c r="AE634" s="58">
        <v>0.54861111111111116</v>
      </c>
      <c r="AF634" s="58">
        <v>0.70138888888888884</v>
      </c>
      <c r="AG634" s="33" t="s">
        <v>2924</v>
      </c>
      <c r="AH634" s="33">
        <v>2</v>
      </c>
      <c r="AI634" s="43">
        <v>46154.491666666669</v>
      </c>
      <c r="AJ634" s="33" t="s">
        <v>793</v>
      </c>
      <c r="AK634" s="42">
        <v>602818.19999999995</v>
      </c>
      <c r="AL634" s="33" t="s">
        <v>2925</v>
      </c>
    </row>
    <row r="635" spans="1:38">
      <c r="A635" s="33">
        <v>6013940</v>
      </c>
      <c r="B635" s="33"/>
      <c r="C635" s="33" t="s">
        <v>789</v>
      </c>
      <c r="D635" s="33" t="s">
        <v>2926</v>
      </c>
      <c r="E635" s="33" t="s">
        <v>2927</v>
      </c>
      <c r="F635" s="43">
        <v>46153.852083333331</v>
      </c>
      <c r="G635" s="33" t="s">
        <v>836</v>
      </c>
      <c r="H635" s="33"/>
      <c r="I635" s="33" t="s">
        <v>73</v>
      </c>
      <c r="J635" s="33" t="s">
        <v>2928</v>
      </c>
      <c r="K635" s="33" t="s">
        <v>75</v>
      </c>
      <c r="L635" s="33" t="s">
        <v>2929</v>
      </c>
      <c r="M635" s="43">
        <v>46154.16815972222</v>
      </c>
      <c r="N635" s="33" t="s">
        <v>2930</v>
      </c>
      <c r="O635" s="33" t="s">
        <v>797</v>
      </c>
      <c r="P635" s="33" t="s">
        <v>79</v>
      </c>
      <c r="Q635" s="33"/>
      <c r="R635" s="33"/>
      <c r="S635" s="33"/>
      <c r="T635" s="33" t="s">
        <v>765</v>
      </c>
      <c r="U635" s="33"/>
      <c r="V635" s="33"/>
      <c r="W635" s="33"/>
      <c r="X635" s="33"/>
      <c r="Y635" s="33"/>
      <c r="Z635" s="33" t="s">
        <v>765</v>
      </c>
      <c r="AA635" s="43">
        <v>46155.25</v>
      </c>
      <c r="AB635" s="33" t="s">
        <v>2931</v>
      </c>
      <c r="AC635" s="33" t="s">
        <v>2932</v>
      </c>
      <c r="AD635" s="58">
        <v>0.22222222222222221</v>
      </c>
      <c r="AE635" s="33"/>
      <c r="AF635" s="58">
        <v>0.22222222222222221</v>
      </c>
      <c r="AG635" s="33" t="s">
        <v>2933</v>
      </c>
      <c r="AH635" s="33">
        <v>0</v>
      </c>
      <c r="AI635" s="43">
        <v>46154.737500000003</v>
      </c>
      <c r="AJ635" s="33" t="s">
        <v>73</v>
      </c>
      <c r="AK635" s="42">
        <v>235011.69</v>
      </c>
      <c r="AL635" s="33" t="s">
        <v>2934</v>
      </c>
    </row>
    <row r="636" spans="1:38">
      <c r="A636" s="33">
        <v>6013095</v>
      </c>
      <c r="B636" s="33"/>
      <c r="C636" s="33" t="s">
        <v>789</v>
      </c>
      <c r="D636" s="33" t="s">
        <v>2935</v>
      </c>
      <c r="E636" s="33" t="s">
        <v>2936</v>
      </c>
      <c r="F636" s="43">
        <v>46153.958333333336</v>
      </c>
      <c r="G636" s="33" t="s">
        <v>227</v>
      </c>
      <c r="H636" s="33"/>
      <c r="I636" s="33" t="s">
        <v>73</v>
      </c>
      <c r="J636" s="33" t="s">
        <v>1659</v>
      </c>
      <c r="K636" s="33"/>
      <c r="L636" s="33"/>
      <c r="M636" s="33"/>
      <c r="N636" s="33"/>
      <c r="O636" s="33" t="s">
        <v>797</v>
      </c>
      <c r="P636" s="33" t="s">
        <v>79</v>
      </c>
      <c r="Q636" s="43">
        <v>46149.64166666667</v>
      </c>
      <c r="R636" s="43">
        <v>46149.64166666667</v>
      </c>
      <c r="S636" s="33"/>
      <c r="T636" s="33" t="s">
        <v>1660</v>
      </c>
      <c r="U636" s="43">
        <v>46154.25</v>
      </c>
      <c r="V636" s="58">
        <v>0.22916666666666666</v>
      </c>
      <c r="W636" s="33"/>
      <c r="X636" s="33"/>
      <c r="Y636" s="33"/>
      <c r="Z636" s="33" t="s">
        <v>1660</v>
      </c>
      <c r="AA636" s="43">
        <v>46154.25</v>
      </c>
      <c r="AB636" s="33" t="s">
        <v>81</v>
      </c>
      <c r="AC636" s="33" t="s">
        <v>81</v>
      </c>
      <c r="AD636" s="44">
        <v>1.4666666666666666</v>
      </c>
      <c r="AE636" s="33"/>
      <c r="AF636" s="44">
        <v>1.4666666666666666</v>
      </c>
      <c r="AG636" s="33"/>
      <c r="AH636" s="33">
        <v>2</v>
      </c>
      <c r="AI636" s="33"/>
      <c r="AJ636" s="33" t="s">
        <v>83</v>
      </c>
      <c r="AK636" s="42">
        <v>76432</v>
      </c>
      <c r="AL636" s="33" t="s">
        <v>2937</v>
      </c>
    </row>
    <row r="637" spans="1:38">
      <c r="A637" s="33">
        <v>6008065</v>
      </c>
      <c r="B637" s="33"/>
      <c r="C637" s="33" t="s">
        <v>789</v>
      </c>
      <c r="D637" s="33" t="s">
        <v>863</v>
      </c>
      <c r="E637" s="33" t="s">
        <v>2938</v>
      </c>
      <c r="F637" s="43">
        <v>46154.166666666664</v>
      </c>
      <c r="G637" s="33" t="s">
        <v>792</v>
      </c>
      <c r="H637" s="33"/>
      <c r="I637" s="33" t="s">
        <v>793</v>
      </c>
      <c r="J637" s="33" t="s">
        <v>2086</v>
      </c>
      <c r="K637" s="33" t="s">
        <v>2278</v>
      </c>
      <c r="L637" s="33" t="s">
        <v>492</v>
      </c>
      <c r="M637" s="43">
        <v>46154.698587962965</v>
      </c>
      <c r="N637" s="33" t="s">
        <v>867</v>
      </c>
      <c r="O637" s="33" t="s">
        <v>868</v>
      </c>
      <c r="P637" s="33" t="s">
        <v>1963</v>
      </c>
      <c r="Q637" s="43">
        <v>46154.201388888891</v>
      </c>
      <c r="R637" s="43">
        <v>46154.239583333336</v>
      </c>
      <c r="S637" s="58">
        <v>3.8194444444444448E-2</v>
      </c>
      <c r="T637" s="33" t="s">
        <v>140</v>
      </c>
      <c r="U637" s="43">
        <v>46154.368750000001</v>
      </c>
      <c r="V637" s="58">
        <v>0.32916666666666666</v>
      </c>
      <c r="W637" s="33"/>
      <c r="X637" s="33"/>
      <c r="Y637" s="33"/>
      <c r="Z637" s="33" t="s">
        <v>140</v>
      </c>
      <c r="AA637" s="43">
        <v>46154.375</v>
      </c>
      <c r="AB637" s="33" t="s">
        <v>81</v>
      </c>
      <c r="AC637" s="33" t="s">
        <v>81</v>
      </c>
      <c r="AD637" s="58">
        <v>0.62430555555555556</v>
      </c>
      <c r="AE637" s="33"/>
      <c r="AF637" s="58">
        <v>0.62430555555555556</v>
      </c>
      <c r="AG637" s="33" t="s">
        <v>869</v>
      </c>
      <c r="AH637" s="33">
        <v>2</v>
      </c>
      <c r="AI637" s="43">
        <v>46154.368750000001</v>
      </c>
      <c r="AJ637" s="33" t="s">
        <v>793</v>
      </c>
      <c r="AK637" s="42">
        <v>1294902.1200000001</v>
      </c>
      <c r="AL637" s="33" t="s">
        <v>870</v>
      </c>
    </row>
    <row r="638" spans="1:38">
      <c r="A638" s="33">
        <v>6008260</v>
      </c>
      <c r="B638" s="33"/>
      <c r="C638" s="33" t="s">
        <v>789</v>
      </c>
      <c r="D638" s="33" t="s">
        <v>1084</v>
      </c>
      <c r="E638" s="33" t="s">
        <v>2939</v>
      </c>
      <c r="F638" s="43">
        <v>46154.25</v>
      </c>
      <c r="G638" s="33" t="s">
        <v>792</v>
      </c>
      <c r="H638" s="33"/>
      <c r="I638" s="33" t="s">
        <v>793</v>
      </c>
      <c r="J638" s="33" t="s">
        <v>2049</v>
      </c>
      <c r="K638" s="33" t="s">
        <v>75</v>
      </c>
      <c r="L638" s="33" t="s">
        <v>806</v>
      </c>
      <c r="M638" s="43">
        <v>46154.48238425926</v>
      </c>
      <c r="N638" s="33" t="s">
        <v>1088</v>
      </c>
      <c r="O638" s="33" t="s">
        <v>797</v>
      </c>
      <c r="P638" s="33" t="s">
        <v>1963</v>
      </c>
      <c r="Q638" s="43">
        <v>46154.275000000001</v>
      </c>
      <c r="R638" s="43">
        <v>46154.293055555558</v>
      </c>
      <c r="S638" s="58">
        <v>1.8055555555555554E-2</v>
      </c>
      <c r="T638" s="33" t="s">
        <v>799</v>
      </c>
      <c r="U638" s="43">
        <v>46154.459722222222</v>
      </c>
      <c r="V638" s="58">
        <v>2.361111111111111E-2</v>
      </c>
      <c r="W638" s="33" t="s">
        <v>799</v>
      </c>
      <c r="X638" s="43">
        <v>46154.459722222222</v>
      </c>
      <c r="Y638" s="58">
        <v>2.361111111111111E-2</v>
      </c>
      <c r="Z638" s="33" t="s">
        <v>799</v>
      </c>
      <c r="AA638" s="43">
        <v>46154.458333333336</v>
      </c>
      <c r="AB638" s="33" t="s">
        <v>81</v>
      </c>
      <c r="AC638" s="33" t="s">
        <v>2076</v>
      </c>
      <c r="AD638" s="58">
        <v>0.51388888888888884</v>
      </c>
      <c r="AE638" s="58">
        <v>0.18888888888888888</v>
      </c>
      <c r="AF638" s="58">
        <v>0.51388888888888884</v>
      </c>
      <c r="AG638" s="33" t="s">
        <v>1090</v>
      </c>
      <c r="AH638" s="33">
        <v>2</v>
      </c>
      <c r="AI638" s="43">
        <v>46154.459722222222</v>
      </c>
      <c r="AJ638" s="33" t="s">
        <v>793</v>
      </c>
      <c r="AK638" s="42">
        <v>651840.25</v>
      </c>
      <c r="AL638" s="33" t="s">
        <v>1091</v>
      </c>
    </row>
    <row r="639" spans="1:38">
      <c r="A639" s="33">
        <v>6008182</v>
      </c>
      <c r="B639" s="33"/>
      <c r="C639" s="33" t="s">
        <v>789</v>
      </c>
      <c r="D639" s="33" t="s">
        <v>1593</v>
      </c>
      <c r="E639" s="33" t="s">
        <v>2940</v>
      </c>
      <c r="F639" s="43">
        <v>46154.375</v>
      </c>
      <c r="G639" s="33" t="s">
        <v>792</v>
      </c>
      <c r="H639" s="33"/>
      <c r="I639" s="33" t="s">
        <v>793</v>
      </c>
      <c r="J639" s="33" t="s">
        <v>2859</v>
      </c>
      <c r="K639" s="59" t="s">
        <v>1306</v>
      </c>
      <c r="L639" s="33" t="s">
        <v>2941</v>
      </c>
      <c r="M639" s="43">
        <v>46154.790138888886</v>
      </c>
      <c r="N639" s="33" t="s">
        <v>1596</v>
      </c>
      <c r="O639" s="33" t="s">
        <v>797</v>
      </c>
      <c r="P639" s="33" t="s">
        <v>1963</v>
      </c>
      <c r="Q639" s="43">
        <v>46154.417361111111</v>
      </c>
      <c r="R639" s="43">
        <v>46154.490972222222</v>
      </c>
      <c r="S639" s="58">
        <v>7.3611111111111113E-2</v>
      </c>
      <c r="T639" s="33" t="s">
        <v>799</v>
      </c>
      <c r="U639" s="43">
        <v>46154.634722222225</v>
      </c>
      <c r="V639" s="58">
        <v>0.12708333333333333</v>
      </c>
      <c r="W639" s="33"/>
      <c r="X639" s="33"/>
      <c r="Y639" s="33"/>
      <c r="Z639" s="33" t="s">
        <v>799</v>
      </c>
      <c r="AA639" s="43">
        <v>46154.583333333336</v>
      </c>
      <c r="AB639" s="33" t="s">
        <v>2942</v>
      </c>
      <c r="AC639" s="33" t="s">
        <v>2262</v>
      </c>
      <c r="AD639" s="58">
        <v>0.78541666666666665</v>
      </c>
      <c r="AE639" s="33"/>
      <c r="AF639" s="58">
        <v>0.78541666666666665</v>
      </c>
      <c r="AG639" s="33" t="s">
        <v>1597</v>
      </c>
      <c r="AH639" s="33">
        <v>2</v>
      </c>
      <c r="AI639" s="43">
        <v>46154.634722222225</v>
      </c>
      <c r="AJ639" s="33" t="s">
        <v>793</v>
      </c>
      <c r="AK639" s="42">
        <v>1584860.8</v>
      </c>
      <c r="AL639" s="33" t="s">
        <v>1598</v>
      </c>
    </row>
    <row r="640" spans="1:38">
      <c r="A640" s="33">
        <v>6007442</v>
      </c>
      <c r="B640" s="33"/>
      <c r="C640" s="33" t="s">
        <v>789</v>
      </c>
      <c r="D640" s="33" t="s">
        <v>914</v>
      </c>
      <c r="E640" s="33" t="s">
        <v>2943</v>
      </c>
      <c r="F640" s="43">
        <v>46154.166666666664</v>
      </c>
      <c r="G640" s="33" t="s">
        <v>792</v>
      </c>
      <c r="H640" s="33"/>
      <c r="I640" s="33" t="s">
        <v>793</v>
      </c>
      <c r="J640" s="33" t="s">
        <v>2086</v>
      </c>
      <c r="K640" s="33" t="s">
        <v>2292</v>
      </c>
      <c r="L640" s="33" t="s">
        <v>1264</v>
      </c>
      <c r="M640" s="43">
        <v>46154.522303240738</v>
      </c>
      <c r="N640" s="33" t="s">
        <v>918</v>
      </c>
      <c r="O640" s="33" t="s">
        <v>868</v>
      </c>
      <c r="P640" s="33" t="s">
        <v>1963</v>
      </c>
      <c r="Q640" s="43">
        <v>46154.201388888891</v>
      </c>
      <c r="R640" s="43">
        <v>46154.236111111109</v>
      </c>
      <c r="S640" s="58">
        <v>3.4722222222222224E-2</v>
      </c>
      <c r="T640" s="33" t="s">
        <v>140</v>
      </c>
      <c r="U640" s="43">
        <v>46154.361805555556</v>
      </c>
      <c r="V640" s="58">
        <v>0.16041666666666668</v>
      </c>
      <c r="W640" s="33"/>
      <c r="X640" s="33"/>
      <c r="Y640" s="33"/>
      <c r="Z640" s="33" t="s">
        <v>140</v>
      </c>
      <c r="AA640" s="43">
        <v>46154.583333333336</v>
      </c>
      <c r="AB640" s="33" t="s">
        <v>81</v>
      </c>
      <c r="AC640" s="33" t="s">
        <v>81</v>
      </c>
      <c r="AD640" s="58">
        <v>0.54861111111111116</v>
      </c>
      <c r="AE640" s="33"/>
      <c r="AF640" s="58">
        <v>0.54861111111111116</v>
      </c>
      <c r="AG640" s="33" t="s">
        <v>919</v>
      </c>
      <c r="AH640" s="33">
        <v>2</v>
      </c>
      <c r="AI640" s="43">
        <v>46154.361805555556</v>
      </c>
      <c r="AJ640" s="33" t="s">
        <v>793</v>
      </c>
      <c r="AK640" s="42">
        <v>664882.74</v>
      </c>
      <c r="AL640" s="33" t="s">
        <v>920</v>
      </c>
    </row>
    <row r="641" spans="1:38">
      <c r="A641" s="33">
        <v>6003142</v>
      </c>
      <c r="B641" s="33"/>
      <c r="C641" s="33" t="s">
        <v>789</v>
      </c>
      <c r="D641" s="33" t="s">
        <v>1047</v>
      </c>
      <c r="E641" s="33" t="s">
        <v>2944</v>
      </c>
      <c r="F641" s="43">
        <v>46154.208333333336</v>
      </c>
      <c r="G641" s="33" t="s">
        <v>792</v>
      </c>
      <c r="H641" s="33"/>
      <c r="I641" s="33" t="s">
        <v>793</v>
      </c>
      <c r="J641" s="33" t="s">
        <v>2721</v>
      </c>
      <c r="K641" s="33" t="s">
        <v>75</v>
      </c>
      <c r="L641" s="33" t="s">
        <v>2080</v>
      </c>
      <c r="M641" s="43">
        <v>46154.297060185185</v>
      </c>
      <c r="N641" s="33" t="s">
        <v>1051</v>
      </c>
      <c r="O641" s="33" t="s">
        <v>797</v>
      </c>
      <c r="P641" s="33" t="s">
        <v>799</v>
      </c>
      <c r="Q641" s="43">
        <v>46154.175694444442</v>
      </c>
      <c r="R641" s="43">
        <v>46154.204861111109</v>
      </c>
      <c r="S641" s="58">
        <v>2.9166666666666667E-2</v>
      </c>
      <c r="T641" s="33" t="s">
        <v>140</v>
      </c>
      <c r="U641" s="43">
        <v>46154.245833333334</v>
      </c>
      <c r="V641" s="58">
        <v>7.5694444444444439E-2</v>
      </c>
      <c r="W641" s="33" t="s">
        <v>140</v>
      </c>
      <c r="X641" s="43">
        <v>46154.245833333334</v>
      </c>
      <c r="Y641" s="58">
        <v>7.5694444444444439E-2</v>
      </c>
      <c r="Z641" s="33" t="s">
        <v>140</v>
      </c>
      <c r="AA641" s="43">
        <v>46154.333333333336</v>
      </c>
      <c r="AB641" s="33" t="s">
        <v>81</v>
      </c>
      <c r="AC641" s="33" t="s">
        <v>2722</v>
      </c>
      <c r="AD641" s="58">
        <v>0.14791666666666667</v>
      </c>
      <c r="AE641" s="58">
        <v>9.166666666666666E-2</v>
      </c>
      <c r="AF641" s="58">
        <v>0.14791666666666667</v>
      </c>
      <c r="AG641" s="33" t="s">
        <v>2504</v>
      </c>
      <c r="AH641" s="33">
        <v>2</v>
      </c>
      <c r="AI641" s="43">
        <v>46154.245833333334</v>
      </c>
      <c r="AJ641" s="33" t="s">
        <v>793</v>
      </c>
      <c r="AK641" s="42">
        <v>1120482.24</v>
      </c>
      <c r="AL641" s="33" t="s">
        <v>1055</v>
      </c>
    </row>
    <row r="642" spans="1:38">
      <c r="A642" s="33">
        <v>6001868</v>
      </c>
      <c r="B642" s="33"/>
      <c r="C642" s="33" t="s">
        <v>789</v>
      </c>
      <c r="D642" s="33" t="s">
        <v>1032</v>
      </c>
      <c r="E642" s="33" t="s">
        <v>2945</v>
      </c>
      <c r="F642" s="43">
        <v>46154.25</v>
      </c>
      <c r="G642" s="33" t="s">
        <v>792</v>
      </c>
      <c r="H642" s="33"/>
      <c r="I642" s="33" t="s">
        <v>793</v>
      </c>
      <c r="J642" s="33" t="s">
        <v>2721</v>
      </c>
      <c r="K642" s="33" t="s">
        <v>75</v>
      </c>
      <c r="L642" s="33" t="s">
        <v>857</v>
      </c>
      <c r="M642" s="43">
        <v>46154.322812500002</v>
      </c>
      <c r="N642" s="33" t="s">
        <v>1036</v>
      </c>
      <c r="O642" s="33" t="s">
        <v>175</v>
      </c>
      <c r="P642" s="33" t="s">
        <v>799</v>
      </c>
      <c r="Q642" s="43">
        <v>46154.205555555556</v>
      </c>
      <c r="R642" s="43">
        <v>46154.23541666667</v>
      </c>
      <c r="S642" s="58">
        <v>2.9861111111111113E-2</v>
      </c>
      <c r="T642" s="33" t="s">
        <v>140</v>
      </c>
      <c r="U642" s="43">
        <v>46154.259722222225</v>
      </c>
      <c r="V642" s="58">
        <v>3.1944444444444442E-2</v>
      </c>
      <c r="W642" s="33"/>
      <c r="X642" s="33"/>
      <c r="Y642" s="33"/>
      <c r="Z642" s="33" t="s">
        <v>140</v>
      </c>
      <c r="AA642" s="43">
        <v>46154.333333333336</v>
      </c>
      <c r="AB642" s="33" t="s">
        <v>1180</v>
      </c>
      <c r="AC642" s="33" t="s">
        <v>2722</v>
      </c>
      <c r="AD642" s="58">
        <v>0.11805555555555555</v>
      </c>
      <c r="AE642" s="33"/>
      <c r="AF642" s="58">
        <v>0.11805555555555555</v>
      </c>
      <c r="AG642" s="33" t="s">
        <v>1038</v>
      </c>
      <c r="AH642" s="33">
        <v>2</v>
      </c>
      <c r="AI642" s="43">
        <v>46154.259722222225</v>
      </c>
      <c r="AJ642" s="33" t="s">
        <v>793</v>
      </c>
      <c r="AK642" s="42">
        <v>988569.66</v>
      </c>
      <c r="AL642" s="33" t="s">
        <v>1039</v>
      </c>
    </row>
    <row r="643" spans="1:38">
      <c r="A643" s="33">
        <v>6012809</v>
      </c>
      <c r="B643" s="33"/>
      <c r="C643" s="33" t="s">
        <v>789</v>
      </c>
      <c r="D643" s="33" t="s">
        <v>2946</v>
      </c>
      <c r="E643" s="33" t="s">
        <v>2947</v>
      </c>
      <c r="F643" s="43">
        <v>46154.833333333336</v>
      </c>
      <c r="G643" s="33" t="s">
        <v>184</v>
      </c>
      <c r="H643" s="33"/>
      <c r="I643" s="33" t="s">
        <v>73</v>
      </c>
      <c r="J643" s="33" t="s">
        <v>2948</v>
      </c>
      <c r="K643" s="33" t="s">
        <v>75</v>
      </c>
      <c r="L643" s="33" t="s">
        <v>2405</v>
      </c>
      <c r="M643" s="43">
        <v>46157.334756944445</v>
      </c>
      <c r="N643" s="33" t="s">
        <v>2949</v>
      </c>
      <c r="O643" s="33" t="s">
        <v>797</v>
      </c>
      <c r="P643" s="33" t="s">
        <v>140</v>
      </c>
      <c r="Q643" s="43">
        <v>46154.77847222222</v>
      </c>
      <c r="R643" s="43">
        <v>46154.898611111108</v>
      </c>
      <c r="S643" s="58">
        <v>0.12013888888888889</v>
      </c>
      <c r="T643" s="33" t="s">
        <v>2407</v>
      </c>
      <c r="U643" s="43">
        <v>46157.332638888889</v>
      </c>
      <c r="V643" s="58">
        <v>3.472222222222222E-3</v>
      </c>
      <c r="W643" s="33" t="s">
        <v>2407</v>
      </c>
      <c r="X643" s="43">
        <v>46157.332638888889</v>
      </c>
      <c r="Y643" s="58">
        <v>3.472222222222222E-3</v>
      </c>
      <c r="Z643" s="33" t="s">
        <v>2407</v>
      </c>
      <c r="AA643" s="43">
        <v>46157.333333333336</v>
      </c>
      <c r="AB643" s="33" t="s">
        <v>81</v>
      </c>
      <c r="AC643" s="33" t="s">
        <v>2950</v>
      </c>
      <c r="AD643" s="44">
        <v>3.1062500000000002</v>
      </c>
      <c r="AE643" s="44">
        <v>2.4361111111111109</v>
      </c>
      <c r="AF643" s="44">
        <v>3.1062500000000002</v>
      </c>
      <c r="AG643" s="33"/>
      <c r="AH643" s="33">
        <v>2</v>
      </c>
      <c r="AI643" s="43">
        <v>46157.332638888889</v>
      </c>
      <c r="AJ643" s="33" t="s">
        <v>73</v>
      </c>
      <c r="AK643" s="42">
        <v>462819</v>
      </c>
      <c r="AL643" s="33" t="s">
        <v>2951</v>
      </c>
    </row>
    <row r="644" spans="1:38">
      <c r="A644" s="33">
        <v>6008179</v>
      </c>
      <c r="B644" s="33"/>
      <c r="C644" s="33" t="s">
        <v>789</v>
      </c>
      <c r="D644" s="33" t="s">
        <v>809</v>
      </c>
      <c r="E644" s="33" t="s">
        <v>2952</v>
      </c>
      <c r="F644" s="43">
        <v>46154.263888888891</v>
      </c>
      <c r="G644" s="33" t="s">
        <v>792</v>
      </c>
      <c r="H644" s="33"/>
      <c r="I644" s="33" t="s">
        <v>793</v>
      </c>
      <c r="J644" s="33" t="s">
        <v>2049</v>
      </c>
      <c r="K644" s="33" t="s">
        <v>75</v>
      </c>
      <c r="L644" s="33" t="s">
        <v>1283</v>
      </c>
      <c r="M644" s="43">
        <v>46154.41065972222</v>
      </c>
      <c r="N644" s="33" t="s">
        <v>813</v>
      </c>
      <c r="O644" s="33" t="s">
        <v>797</v>
      </c>
      <c r="P644" s="33" t="s">
        <v>1963</v>
      </c>
      <c r="Q644" s="33"/>
      <c r="R644" s="33"/>
      <c r="S644" s="33"/>
      <c r="T644" s="33" t="s">
        <v>799</v>
      </c>
      <c r="U644" s="43">
        <v>46154.342361111114</v>
      </c>
      <c r="V644" s="58">
        <v>7.0833333333333331E-2</v>
      </c>
      <c r="W644" s="33" t="s">
        <v>799</v>
      </c>
      <c r="X644" s="43">
        <v>46154.342361111114</v>
      </c>
      <c r="Y644" s="58">
        <v>7.0833333333333331E-2</v>
      </c>
      <c r="Z644" s="33" t="s">
        <v>799</v>
      </c>
      <c r="AA644" s="43">
        <v>46154.541666666664</v>
      </c>
      <c r="AB644" s="33" t="s">
        <v>81</v>
      </c>
      <c r="AC644" s="33" t="s">
        <v>2076</v>
      </c>
      <c r="AD644" s="58">
        <v>0.15347222222222223</v>
      </c>
      <c r="AE644" s="33"/>
      <c r="AF644" s="58">
        <v>0.15347222222222223</v>
      </c>
      <c r="AG644" s="33" t="s">
        <v>815</v>
      </c>
      <c r="AH644" s="33">
        <v>1</v>
      </c>
      <c r="AI644" s="43">
        <v>46154.342361111114</v>
      </c>
      <c r="AJ644" s="33" t="s">
        <v>793</v>
      </c>
      <c r="AK644" s="42">
        <v>996082.99</v>
      </c>
      <c r="AL644" s="33" t="s">
        <v>816</v>
      </c>
    </row>
    <row r="645" spans="1:38">
      <c r="A645" s="33">
        <v>6001767</v>
      </c>
      <c r="B645" s="33"/>
      <c r="C645" s="33" t="s">
        <v>789</v>
      </c>
      <c r="D645" s="33" t="s">
        <v>1150</v>
      </c>
      <c r="E645" s="33" t="s">
        <v>2953</v>
      </c>
      <c r="F645" s="43">
        <v>46154.270833333336</v>
      </c>
      <c r="G645" s="33" t="s">
        <v>792</v>
      </c>
      <c r="H645" s="33"/>
      <c r="I645" s="33" t="s">
        <v>793</v>
      </c>
      <c r="J645" s="33" t="s">
        <v>1781</v>
      </c>
      <c r="K645" s="33" t="s">
        <v>1500</v>
      </c>
      <c r="L645" s="33" t="s">
        <v>1691</v>
      </c>
      <c r="M645" s="43">
        <v>46154.493206018517</v>
      </c>
      <c r="N645" s="33" t="s">
        <v>1152</v>
      </c>
      <c r="O645" s="33" t="s">
        <v>868</v>
      </c>
      <c r="P645" s="33" t="s">
        <v>799</v>
      </c>
      <c r="Q645" s="43">
        <v>46154.261805555558</v>
      </c>
      <c r="R645" s="43">
        <v>46154.329861111109</v>
      </c>
      <c r="S645" s="58">
        <v>6.805555555555555E-2</v>
      </c>
      <c r="T645" s="33" t="s">
        <v>140</v>
      </c>
      <c r="U645" s="43">
        <v>46154.357638888891</v>
      </c>
      <c r="V645" s="58">
        <v>0.13541666666666666</v>
      </c>
      <c r="W645" s="33"/>
      <c r="X645" s="33"/>
      <c r="Y645" s="33"/>
      <c r="Z645" s="33" t="s">
        <v>140</v>
      </c>
      <c r="AA645" s="43">
        <v>46154.333333333336</v>
      </c>
      <c r="AB645" s="33" t="s">
        <v>81</v>
      </c>
      <c r="AC645" s="33" t="s">
        <v>81</v>
      </c>
      <c r="AD645" s="58">
        <v>0.23125000000000001</v>
      </c>
      <c r="AE645" s="33"/>
      <c r="AF645" s="58">
        <v>0.23125000000000001</v>
      </c>
      <c r="AG645" s="33" t="s">
        <v>1154</v>
      </c>
      <c r="AH645" s="33">
        <v>2</v>
      </c>
      <c r="AI645" s="43">
        <v>46154.357638888891</v>
      </c>
      <c r="AJ645" s="33" t="s">
        <v>793</v>
      </c>
      <c r="AK645" s="42">
        <v>574218.18000000005</v>
      </c>
      <c r="AL645" s="33" t="s">
        <v>1155</v>
      </c>
    </row>
    <row r="646" spans="1:38">
      <c r="A646" s="33" t="s">
        <v>2954</v>
      </c>
      <c r="B646" s="33"/>
      <c r="C646" s="33" t="s">
        <v>789</v>
      </c>
      <c r="D646" s="33" t="s">
        <v>938</v>
      </c>
      <c r="E646" s="33" t="s">
        <v>2955</v>
      </c>
      <c r="F646" s="43">
        <v>46154.375</v>
      </c>
      <c r="G646" s="33" t="s">
        <v>792</v>
      </c>
      <c r="H646" s="33"/>
      <c r="I646" s="33" t="s">
        <v>793</v>
      </c>
      <c r="J646" s="33" t="s">
        <v>2049</v>
      </c>
      <c r="K646" s="33" t="s">
        <v>75</v>
      </c>
      <c r="L646" s="33" t="s">
        <v>1965</v>
      </c>
      <c r="M646" s="43">
        <v>46154.65384259259</v>
      </c>
      <c r="N646" s="33" t="s">
        <v>940</v>
      </c>
      <c r="O646" s="33" t="s">
        <v>175</v>
      </c>
      <c r="P646" s="33" t="s">
        <v>1963</v>
      </c>
      <c r="Q646" s="43">
        <v>46154.302777777775</v>
      </c>
      <c r="R646" s="43">
        <v>46154.306944444441</v>
      </c>
      <c r="S646" s="58">
        <v>4.1666666666666666E-3</v>
      </c>
      <c r="T646" s="33" t="s">
        <v>799</v>
      </c>
      <c r="U646" s="43">
        <v>46154.588888888888</v>
      </c>
      <c r="V646" s="58">
        <v>8.3333333333333332E-3</v>
      </c>
      <c r="W646" s="33"/>
      <c r="X646" s="33"/>
      <c r="Y646" s="33"/>
      <c r="Z646" s="33" t="s">
        <v>799</v>
      </c>
      <c r="AA646" s="43">
        <v>46154.583333333336</v>
      </c>
      <c r="AB646" s="33" t="s">
        <v>81</v>
      </c>
      <c r="AC646" s="33" t="s">
        <v>2076</v>
      </c>
      <c r="AD646" s="58">
        <v>0.35208333333333336</v>
      </c>
      <c r="AE646" s="33"/>
      <c r="AF646" s="58">
        <v>0.35208333333333336</v>
      </c>
      <c r="AG646" s="33" t="s">
        <v>942</v>
      </c>
      <c r="AH646" s="33">
        <v>2</v>
      </c>
      <c r="AI646" s="43">
        <v>46154.588888888888</v>
      </c>
      <c r="AJ646" s="33" t="s">
        <v>793</v>
      </c>
      <c r="AK646" s="42">
        <v>1940573.34</v>
      </c>
      <c r="AL646" s="33" t="s">
        <v>884</v>
      </c>
    </row>
    <row r="647" spans="1:38">
      <c r="A647" s="33" t="s">
        <v>2956</v>
      </c>
      <c r="B647" s="33"/>
      <c r="C647" s="33" t="s">
        <v>789</v>
      </c>
      <c r="D647" s="33" t="s">
        <v>925</v>
      </c>
      <c r="E647" s="33" t="s">
        <v>2957</v>
      </c>
      <c r="F647" s="43">
        <v>46154.375</v>
      </c>
      <c r="G647" s="33" t="s">
        <v>792</v>
      </c>
      <c r="H647" s="33"/>
      <c r="I647" s="33" t="s">
        <v>793</v>
      </c>
      <c r="J647" s="33" t="s">
        <v>2859</v>
      </c>
      <c r="K647" s="33" t="s">
        <v>75</v>
      </c>
      <c r="L647" s="33" t="s">
        <v>2395</v>
      </c>
      <c r="M647" s="43">
        <v>46154.610659722224</v>
      </c>
      <c r="N647" s="33" t="s">
        <v>927</v>
      </c>
      <c r="O647" s="33" t="s">
        <v>797</v>
      </c>
      <c r="P647" s="33" t="s">
        <v>1963</v>
      </c>
      <c r="Q647" s="43">
        <v>46154.303472222222</v>
      </c>
      <c r="R647" s="43">
        <v>46154.316666666666</v>
      </c>
      <c r="S647" s="58">
        <v>1.3194444444444444E-2</v>
      </c>
      <c r="T647" s="33" t="s">
        <v>799</v>
      </c>
      <c r="U647" s="43">
        <v>46154.59097222222</v>
      </c>
      <c r="V647" s="58">
        <v>2.0833333333333332E-2</v>
      </c>
      <c r="W647" s="33" t="s">
        <v>799</v>
      </c>
      <c r="X647" s="43">
        <v>46154.59097222222</v>
      </c>
      <c r="Y647" s="58">
        <v>2.0833333333333332E-2</v>
      </c>
      <c r="Z647" s="33" t="s">
        <v>799</v>
      </c>
      <c r="AA647" s="43">
        <v>46155.583333333336</v>
      </c>
      <c r="AB647" s="33" t="s">
        <v>81</v>
      </c>
      <c r="AC647" s="33" t="s">
        <v>2262</v>
      </c>
      <c r="AD647" s="58">
        <v>0.30972222222222223</v>
      </c>
      <c r="AE647" s="58">
        <v>0.29444444444444445</v>
      </c>
      <c r="AF647" s="58">
        <v>0.30972222222222223</v>
      </c>
      <c r="AG647" s="33" t="s">
        <v>928</v>
      </c>
      <c r="AH647" s="33">
        <v>2</v>
      </c>
      <c r="AI647" s="43">
        <v>46154.59097222222</v>
      </c>
      <c r="AJ647" s="33" t="s">
        <v>793</v>
      </c>
      <c r="AK647" s="42">
        <v>2138801.88</v>
      </c>
      <c r="AL647" s="33" t="s">
        <v>929</v>
      </c>
    </row>
    <row r="648" spans="1:38">
      <c r="A648" s="33">
        <v>6008203</v>
      </c>
      <c r="B648" s="33"/>
      <c r="C648" s="33" t="s">
        <v>789</v>
      </c>
      <c r="D648" s="33" t="s">
        <v>1417</v>
      </c>
      <c r="E648" s="33" t="s">
        <v>2958</v>
      </c>
      <c r="F648" s="43">
        <v>46154.416666666664</v>
      </c>
      <c r="G648" s="33" t="s">
        <v>792</v>
      </c>
      <c r="H648" s="33"/>
      <c r="I648" s="33" t="s">
        <v>793</v>
      </c>
      <c r="J648" s="33" t="s">
        <v>2086</v>
      </c>
      <c r="K648" s="33" t="s">
        <v>75</v>
      </c>
      <c r="L648" s="33" t="s">
        <v>1035</v>
      </c>
      <c r="M648" s="43">
        <v>46154.562650462962</v>
      </c>
      <c r="N648" s="33" t="s">
        <v>1409</v>
      </c>
      <c r="O648" s="33" t="s">
        <v>175</v>
      </c>
      <c r="P648" s="33" t="s">
        <v>1963</v>
      </c>
      <c r="Q648" s="43">
        <v>46154.375694444447</v>
      </c>
      <c r="R648" s="43">
        <v>46154.411111111112</v>
      </c>
      <c r="S648" s="58">
        <v>3.5416666666666666E-2</v>
      </c>
      <c r="T648" s="33" t="s">
        <v>140</v>
      </c>
      <c r="U648" s="43">
        <v>46154.538888888892</v>
      </c>
      <c r="V648" s="58">
        <v>1.3888888888888889E-3</v>
      </c>
      <c r="W648" s="33"/>
      <c r="X648" s="33"/>
      <c r="Y648" s="33"/>
      <c r="Z648" s="33" t="s">
        <v>140</v>
      </c>
      <c r="AA648" s="43">
        <v>46154.583333333336</v>
      </c>
      <c r="AB648" s="33" t="s">
        <v>81</v>
      </c>
      <c r="AC648" s="33" t="s">
        <v>2331</v>
      </c>
      <c r="AD648" s="58">
        <v>0.28680555555555554</v>
      </c>
      <c r="AE648" s="33"/>
      <c r="AF648" s="58">
        <v>0.28680555555555554</v>
      </c>
      <c r="AG648" s="33" t="s">
        <v>1420</v>
      </c>
      <c r="AH648" s="33">
        <v>2</v>
      </c>
      <c r="AI648" s="43">
        <v>46154.538888888892</v>
      </c>
      <c r="AJ648" s="33" t="s">
        <v>793</v>
      </c>
      <c r="AK648" s="42">
        <v>957723.14</v>
      </c>
      <c r="AL648" s="33" t="s">
        <v>1421</v>
      </c>
    </row>
    <row r="649" spans="1:38">
      <c r="A649" s="33">
        <v>6009090</v>
      </c>
      <c r="B649" s="33"/>
      <c r="C649" s="33" t="s">
        <v>789</v>
      </c>
      <c r="D649" s="33" t="s">
        <v>1412</v>
      </c>
      <c r="E649" s="33" t="s">
        <v>2959</v>
      </c>
      <c r="F649" s="43">
        <v>46154.416666666664</v>
      </c>
      <c r="G649" s="33" t="s">
        <v>792</v>
      </c>
      <c r="H649" s="33"/>
      <c r="I649" s="33" t="s">
        <v>793</v>
      </c>
      <c r="J649" s="33" t="s">
        <v>2086</v>
      </c>
      <c r="K649" s="33" t="s">
        <v>453</v>
      </c>
      <c r="L649" s="33" t="s">
        <v>1035</v>
      </c>
      <c r="M649" s="43">
        <v>46154.55678240741</v>
      </c>
      <c r="N649" s="33" t="s">
        <v>1414</v>
      </c>
      <c r="O649" s="33" t="s">
        <v>797</v>
      </c>
      <c r="P649" s="33" t="s">
        <v>1963</v>
      </c>
      <c r="Q649" s="43">
        <v>46154.375</v>
      </c>
      <c r="R649" s="43">
        <v>46154.417361111111</v>
      </c>
      <c r="S649" s="58">
        <v>4.2361111111111113E-2</v>
      </c>
      <c r="T649" s="33" t="s">
        <v>140</v>
      </c>
      <c r="U649" s="43">
        <v>46154.544444444444</v>
      </c>
      <c r="V649" s="58">
        <v>1.3888888888888889E-3</v>
      </c>
      <c r="W649" s="33"/>
      <c r="X649" s="33"/>
      <c r="Y649" s="33"/>
      <c r="Z649" s="33" t="s">
        <v>140</v>
      </c>
      <c r="AA649" s="43">
        <v>46154.583333333336</v>
      </c>
      <c r="AB649" s="33" t="s">
        <v>81</v>
      </c>
      <c r="AC649" s="33" t="s">
        <v>2331</v>
      </c>
      <c r="AD649" s="58">
        <v>0.26874999999999999</v>
      </c>
      <c r="AE649" s="33"/>
      <c r="AF649" s="58">
        <v>0.26874999999999999</v>
      </c>
      <c r="AG649" s="33" t="s">
        <v>1415</v>
      </c>
      <c r="AH649" s="33">
        <v>2</v>
      </c>
      <c r="AI649" s="43">
        <v>46154.544444444444</v>
      </c>
      <c r="AJ649" s="33" t="s">
        <v>793</v>
      </c>
      <c r="AK649" s="42">
        <v>1176660.94</v>
      </c>
      <c r="AL649" s="33" t="s">
        <v>1416</v>
      </c>
    </row>
    <row r="650" spans="1:38">
      <c r="A650" s="33">
        <v>6008009</v>
      </c>
      <c r="B650" s="33"/>
      <c r="C650" s="33" t="s">
        <v>789</v>
      </c>
      <c r="D650" s="33" t="s">
        <v>2763</v>
      </c>
      <c r="E650" s="33" t="s">
        <v>2960</v>
      </c>
      <c r="F650" s="43">
        <v>46154.416666666664</v>
      </c>
      <c r="G650" s="33" t="s">
        <v>792</v>
      </c>
      <c r="H650" s="33"/>
      <c r="I650" s="33" t="s">
        <v>793</v>
      </c>
      <c r="J650" s="33" t="s">
        <v>2086</v>
      </c>
      <c r="K650" s="33" t="s">
        <v>75</v>
      </c>
      <c r="L650" s="33" t="s">
        <v>1087</v>
      </c>
      <c r="M650" s="43">
        <v>46154.637453703705</v>
      </c>
      <c r="N650" s="33" t="s">
        <v>1399</v>
      </c>
      <c r="O650" s="33" t="s">
        <v>797</v>
      </c>
      <c r="P650" s="33" t="s">
        <v>1963</v>
      </c>
      <c r="Q650" s="43">
        <v>46154.402777777781</v>
      </c>
      <c r="R650" s="43">
        <v>46154.442361111112</v>
      </c>
      <c r="S650" s="58">
        <v>3.9583333333333331E-2</v>
      </c>
      <c r="T650" s="33" t="s">
        <v>140</v>
      </c>
      <c r="U650" s="43">
        <v>46154.559027777781</v>
      </c>
      <c r="V650" s="58">
        <v>8.4722222222222227E-2</v>
      </c>
      <c r="W650" s="33" t="s">
        <v>140</v>
      </c>
      <c r="X650" s="43">
        <v>46154.559027777781</v>
      </c>
      <c r="Y650" s="58">
        <v>8.4722222222222227E-2</v>
      </c>
      <c r="Z650" s="33" t="s">
        <v>140</v>
      </c>
      <c r="AA650" s="43">
        <v>46154.583333333336</v>
      </c>
      <c r="AB650" s="33" t="s">
        <v>81</v>
      </c>
      <c r="AC650" s="33" t="s">
        <v>2331</v>
      </c>
      <c r="AD650" s="58">
        <v>0.3611111111111111</v>
      </c>
      <c r="AE650" s="58">
        <v>0.20069444444444445</v>
      </c>
      <c r="AF650" s="58">
        <v>0.3611111111111111</v>
      </c>
      <c r="AG650" s="33" t="s">
        <v>2767</v>
      </c>
      <c r="AH650" s="33">
        <v>2</v>
      </c>
      <c r="AI650" s="43">
        <v>46154.559027777781</v>
      </c>
      <c r="AJ650" s="33" t="s">
        <v>793</v>
      </c>
      <c r="AK650" s="42">
        <v>590274.68000000005</v>
      </c>
      <c r="AL650" s="33" t="s">
        <v>2768</v>
      </c>
    </row>
    <row r="651" spans="1:38">
      <c r="A651" s="33">
        <v>6007445</v>
      </c>
      <c r="B651" s="33"/>
      <c r="C651" s="33" t="s">
        <v>789</v>
      </c>
      <c r="D651" s="33" t="s">
        <v>1424</v>
      </c>
      <c r="E651" s="33" t="s">
        <v>2961</v>
      </c>
      <c r="F651" s="43">
        <v>46154.458333333336</v>
      </c>
      <c r="G651" s="33" t="s">
        <v>792</v>
      </c>
      <c r="H651" s="33"/>
      <c r="I651" s="33" t="s">
        <v>793</v>
      </c>
      <c r="J651" s="33" t="s">
        <v>2049</v>
      </c>
      <c r="K651" s="33" t="s">
        <v>75</v>
      </c>
      <c r="L651" s="33" t="s">
        <v>888</v>
      </c>
      <c r="M651" s="43">
        <v>46154.669131944444</v>
      </c>
      <c r="N651" s="33" t="s">
        <v>1426</v>
      </c>
      <c r="O651" s="33" t="s">
        <v>797</v>
      </c>
      <c r="P651" s="33" t="s">
        <v>1963</v>
      </c>
      <c r="Q651" s="43">
        <v>46154.434027777781</v>
      </c>
      <c r="R651" s="43">
        <v>46154.465277777781</v>
      </c>
      <c r="S651" s="58">
        <v>3.125E-2</v>
      </c>
      <c r="T651" s="33" t="s">
        <v>799</v>
      </c>
      <c r="U651" s="43">
        <v>46154.606249999997</v>
      </c>
      <c r="V651" s="58">
        <v>6.458333333333334E-2</v>
      </c>
      <c r="W651" s="33" t="s">
        <v>799</v>
      </c>
      <c r="X651" s="43">
        <v>46154.606249999997</v>
      </c>
      <c r="Y651" s="58">
        <v>6.458333333333334E-2</v>
      </c>
      <c r="Z651" s="33" t="s">
        <v>799</v>
      </c>
      <c r="AA651" s="43">
        <v>46154.666666666664</v>
      </c>
      <c r="AB651" s="33" t="s">
        <v>81</v>
      </c>
      <c r="AC651" s="33" t="s">
        <v>2076</v>
      </c>
      <c r="AD651" s="58">
        <v>0.39097222222222222</v>
      </c>
      <c r="AE651" s="58">
        <v>0.2048611111111111</v>
      </c>
      <c r="AF651" s="58">
        <v>0.39097222222222222</v>
      </c>
      <c r="AG651" s="33" t="s">
        <v>1427</v>
      </c>
      <c r="AH651" s="33">
        <v>2</v>
      </c>
      <c r="AI651" s="43">
        <v>46154.606249999997</v>
      </c>
      <c r="AJ651" s="33" t="s">
        <v>793</v>
      </c>
      <c r="AK651" s="42">
        <v>532886.68000000005</v>
      </c>
      <c r="AL651" s="33" t="s">
        <v>1428</v>
      </c>
    </row>
    <row r="652" spans="1:38">
      <c r="A652" s="33">
        <v>6008252</v>
      </c>
      <c r="B652" s="33"/>
      <c r="C652" s="33" t="s">
        <v>789</v>
      </c>
      <c r="D652" s="33" t="s">
        <v>2237</v>
      </c>
      <c r="E652" s="33" t="s">
        <v>2962</v>
      </c>
      <c r="F652" s="43">
        <v>46154.458333333336</v>
      </c>
      <c r="G652" s="33" t="s">
        <v>792</v>
      </c>
      <c r="H652" s="33"/>
      <c r="I652" s="33" t="s">
        <v>793</v>
      </c>
      <c r="J652" s="33" t="s">
        <v>2086</v>
      </c>
      <c r="K652" s="33" t="s">
        <v>916</v>
      </c>
      <c r="L652" s="33" t="s">
        <v>1264</v>
      </c>
      <c r="M652" s="43">
        <v>46154.576921296299</v>
      </c>
      <c r="N652" s="33" t="s">
        <v>2239</v>
      </c>
      <c r="O652" s="33" t="s">
        <v>797</v>
      </c>
      <c r="P652" s="33" t="s">
        <v>1963</v>
      </c>
      <c r="Q652" s="43">
        <v>46154.42083333333</v>
      </c>
      <c r="R652" s="43">
        <v>46154.452777777777</v>
      </c>
      <c r="S652" s="58">
        <v>3.1944444444444442E-2</v>
      </c>
      <c r="T652" s="33" t="s">
        <v>140</v>
      </c>
      <c r="U652" s="43">
        <v>46154.574999999997</v>
      </c>
      <c r="V652" s="58">
        <v>2.7083333333333334E-2</v>
      </c>
      <c r="W652" s="33" t="s">
        <v>140</v>
      </c>
      <c r="X652" s="43">
        <v>46154.574999999997</v>
      </c>
      <c r="Y652" s="58">
        <v>2.7083333333333334E-2</v>
      </c>
      <c r="Z652" s="33" t="s">
        <v>140</v>
      </c>
      <c r="AA652" s="43">
        <v>46154.666666666664</v>
      </c>
      <c r="AB652" s="33" t="s">
        <v>81</v>
      </c>
      <c r="AC652" s="33" t="s">
        <v>2331</v>
      </c>
      <c r="AD652" s="58">
        <v>0.31458333333333333</v>
      </c>
      <c r="AE652" s="58">
        <v>0.12430555555555556</v>
      </c>
      <c r="AF652" s="58">
        <v>0.31458333333333333</v>
      </c>
      <c r="AG652" s="33" t="s">
        <v>2240</v>
      </c>
      <c r="AH652" s="33">
        <v>2</v>
      </c>
      <c r="AI652" s="43">
        <v>46154.574999999997</v>
      </c>
      <c r="AJ652" s="33" t="s">
        <v>793</v>
      </c>
      <c r="AK652" s="42">
        <v>1106239.29</v>
      </c>
      <c r="AL652" s="33" t="s">
        <v>2241</v>
      </c>
    </row>
    <row r="653" spans="1:38">
      <c r="A653" s="33">
        <v>6006667</v>
      </c>
      <c r="B653" s="33"/>
      <c r="C653" s="33" t="s">
        <v>789</v>
      </c>
      <c r="D653" s="33" t="s">
        <v>1032</v>
      </c>
      <c r="E653" s="33" t="s">
        <v>2963</v>
      </c>
      <c r="F653" s="43">
        <v>46154.375</v>
      </c>
      <c r="G653" s="33" t="s">
        <v>792</v>
      </c>
      <c r="H653" s="33"/>
      <c r="I653" s="33" t="s">
        <v>793</v>
      </c>
      <c r="J653" s="33" t="s">
        <v>2721</v>
      </c>
      <c r="K653" s="33" t="s">
        <v>1118</v>
      </c>
      <c r="L653" s="33" t="s">
        <v>1423</v>
      </c>
      <c r="M653" s="43">
        <v>46154.409872685188</v>
      </c>
      <c r="N653" s="33" t="s">
        <v>1036</v>
      </c>
      <c r="O653" s="33" t="s">
        <v>797</v>
      </c>
      <c r="P653" s="33" t="s">
        <v>799</v>
      </c>
      <c r="Q653" s="43">
        <v>46154.329861111109</v>
      </c>
      <c r="R653" s="43">
        <v>46154.372916666667</v>
      </c>
      <c r="S653" s="58">
        <v>4.3055555555555555E-2</v>
      </c>
      <c r="T653" s="33" t="s">
        <v>140</v>
      </c>
      <c r="U653" s="43">
        <v>46154.397916666669</v>
      </c>
      <c r="V653" s="58">
        <v>1.4583333333333334E-2</v>
      </c>
      <c r="W653" s="33" t="s">
        <v>140</v>
      </c>
      <c r="X653" s="43">
        <v>46154.397916666669</v>
      </c>
      <c r="Y653" s="58">
        <v>1.4583333333333334E-2</v>
      </c>
      <c r="Z653" s="33" t="s">
        <v>140</v>
      </c>
      <c r="AA653" s="43">
        <v>46154.458333333336</v>
      </c>
      <c r="AB653" s="33" t="s">
        <v>81</v>
      </c>
      <c r="AC653" s="33" t="s">
        <v>2722</v>
      </c>
      <c r="AD653" s="58">
        <v>8.611111111111111E-2</v>
      </c>
      <c r="AE653" s="58">
        <v>3.6111111111111108E-2</v>
      </c>
      <c r="AF653" s="58">
        <v>8.611111111111111E-2</v>
      </c>
      <c r="AG653" s="33" t="s">
        <v>2816</v>
      </c>
      <c r="AH653" s="33">
        <v>2</v>
      </c>
      <c r="AI653" s="43">
        <v>46154.397916666669</v>
      </c>
      <c r="AJ653" s="33" t="s">
        <v>793</v>
      </c>
      <c r="AK653" s="42">
        <v>706985.76</v>
      </c>
      <c r="AL653" s="33" t="s">
        <v>1039</v>
      </c>
    </row>
    <row r="654" spans="1:38">
      <c r="A654" s="33">
        <v>6003688</v>
      </c>
      <c r="B654" s="33"/>
      <c r="C654" s="33" t="s">
        <v>789</v>
      </c>
      <c r="D654" s="33" t="s">
        <v>2964</v>
      </c>
      <c r="E654" s="33" t="s">
        <v>2965</v>
      </c>
      <c r="F654" s="43">
        <v>46154.353472222225</v>
      </c>
      <c r="G654" s="33" t="s">
        <v>227</v>
      </c>
      <c r="H654" s="33"/>
      <c r="I654" s="33" t="s">
        <v>73</v>
      </c>
      <c r="J654" s="33" t="s">
        <v>2411</v>
      </c>
      <c r="K654" s="33" t="s">
        <v>75</v>
      </c>
      <c r="L654" s="33" t="s">
        <v>2966</v>
      </c>
      <c r="M654" s="43">
        <v>46154.637696759259</v>
      </c>
      <c r="N654" s="33" t="s">
        <v>2967</v>
      </c>
      <c r="O654" s="33" t="s">
        <v>797</v>
      </c>
      <c r="P654" s="33" t="s">
        <v>79</v>
      </c>
      <c r="Q654" s="33"/>
      <c r="R654" s="33"/>
      <c r="S654" s="33"/>
      <c r="T654" s="33" t="s">
        <v>2412</v>
      </c>
      <c r="U654" s="43">
        <v>46154.502083333333</v>
      </c>
      <c r="V654" s="58">
        <v>0.12152777777777778</v>
      </c>
      <c r="W654" s="33"/>
      <c r="X654" s="33"/>
      <c r="Y654" s="33"/>
      <c r="Z654" s="33" t="s">
        <v>2412</v>
      </c>
      <c r="AA654" s="43">
        <v>46154.375</v>
      </c>
      <c r="AB654" s="33" t="s">
        <v>81</v>
      </c>
      <c r="AC654" s="33" t="s">
        <v>2414</v>
      </c>
      <c r="AD654" s="58">
        <v>0.29444444444444445</v>
      </c>
      <c r="AE654" s="33"/>
      <c r="AF654" s="58">
        <v>0.29444444444444445</v>
      </c>
      <c r="AG654" s="33" t="s">
        <v>2968</v>
      </c>
      <c r="AH654" s="33">
        <v>1</v>
      </c>
      <c r="AI654" s="43">
        <v>46154.502083333333</v>
      </c>
      <c r="AJ654" s="33" t="s">
        <v>73</v>
      </c>
      <c r="AK654" s="42">
        <v>147296.22</v>
      </c>
      <c r="AL654" s="33" t="s">
        <v>2969</v>
      </c>
    </row>
    <row r="655" spans="1:38">
      <c r="A655" s="33">
        <v>6008269</v>
      </c>
      <c r="B655" s="33"/>
      <c r="C655" s="33" t="s">
        <v>789</v>
      </c>
      <c r="D655" s="33" t="s">
        <v>1702</v>
      </c>
      <c r="E655" s="33" t="s">
        <v>2970</v>
      </c>
      <c r="F655" s="43">
        <v>46154.458333333336</v>
      </c>
      <c r="G655" s="33" t="s">
        <v>792</v>
      </c>
      <c r="H655" s="33"/>
      <c r="I655" s="33" t="s">
        <v>793</v>
      </c>
      <c r="J655" s="33" t="s">
        <v>2086</v>
      </c>
      <c r="K655" s="33" t="s">
        <v>2460</v>
      </c>
      <c r="L655" s="33" t="s">
        <v>2971</v>
      </c>
      <c r="M655" s="43">
        <v>46154.614374999997</v>
      </c>
      <c r="N655" s="33" t="s">
        <v>1705</v>
      </c>
      <c r="O655" s="33" t="s">
        <v>175</v>
      </c>
      <c r="P655" s="33" t="s">
        <v>1963</v>
      </c>
      <c r="Q655" s="43">
        <v>46154.481944444444</v>
      </c>
      <c r="R655" s="43">
        <v>46154.52847222222</v>
      </c>
      <c r="S655" s="58">
        <v>4.6527777777777779E-2</v>
      </c>
      <c r="T655" s="33" t="s">
        <v>140</v>
      </c>
      <c r="U655" s="33"/>
      <c r="V655" s="33"/>
      <c r="W655" s="33"/>
      <c r="X655" s="33"/>
      <c r="Y655" s="33"/>
      <c r="Z655" s="33" t="s">
        <v>140</v>
      </c>
      <c r="AA655" s="43">
        <v>46154.666666666664</v>
      </c>
      <c r="AB655" s="33" t="s">
        <v>2972</v>
      </c>
      <c r="AC655" s="33" t="s">
        <v>2331</v>
      </c>
      <c r="AD655" s="58">
        <v>0.30694444444444446</v>
      </c>
      <c r="AE655" s="33"/>
      <c r="AF655" s="58">
        <v>0.30694444444444446</v>
      </c>
      <c r="AG655" s="33" t="s">
        <v>1706</v>
      </c>
      <c r="AH655" s="33">
        <v>1</v>
      </c>
      <c r="AI655" s="43">
        <v>46154.624305555553</v>
      </c>
      <c r="AJ655" s="33" t="s">
        <v>793</v>
      </c>
      <c r="AK655" s="42">
        <v>855386.4</v>
      </c>
      <c r="AL655" s="33" t="s">
        <v>1707</v>
      </c>
    </row>
    <row r="656" spans="1:38">
      <c r="A656" s="33">
        <v>6006951</v>
      </c>
      <c r="B656" s="33"/>
      <c r="C656" s="33" t="s">
        <v>789</v>
      </c>
      <c r="D656" s="33" t="s">
        <v>1708</v>
      </c>
      <c r="E656" s="33" t="s">
        <v>2973</v>
      </c>
      <c r="F656" s="43">
        <v>46154.458333333336</v>
      </c>
      <c r="G656" s="33" t="s">
        <v>792</v>
      </c>
      <c r="H656" s="33"/>
      <c r="I656" s="33" t="s">
        <v>793</v>
      </c>
      <c r="J656" s="33" t="s">
        <v>1398</v>
      </c>
      <c r="K656" s="33" t="s">
        <v>75</v>
      </c>
      <c r="L656" s="33" t="s">
        <v>1112</v>
      </c>
      <c r="M656" s="43">
        <v>46154.84207175926</v>
      </c>
      <c r="N656" s="33" t="s">
        <v>1710</v>
      </c>
      <c r="O656" s="33" t="s">
        <v>797</v>
      </c>
      <c r="P656" s="33" t="s">
        <v>1963</v>
      </c>
      <c r="Q656" s="43">
        <v>46154.688888888886</v>
      </c>
      <c r="R656" s="43">
        <v>46154.73333333333</v>
      </c>
      <c r="S656" s="58">
        <v>4.4444444444444446E-2</v>
      </c>
      <c r="T656" s="33" t="s">
        <v>140</v>
      </c>
      <c r="U656" s="43">
        <v>46154.836805555555</v>
      </c>
      <c r="V656" s="58">
        <v>6.2500000000000003E-3</v>
      </c>
      <c r="W656" s="33" t="s">
        <v>140</v>
      </c>
      <c r="X656" s="43">
        <v>46154.836805555555</v>
      </c>
      <c r="Y656" s="58">
        <v>6.2500000000000003E-3</v>
      </c>
      <c r="Z656" s="33" t="s">
        <v>140</v>
      </c>
      <c r="AA656" s="43">
        <v>46154.666666666664</v>
      </c>
      <c r="AB656" s="33" t="s">
        <v>81</v>
      </c>
      <c r="AC656" s="33" t="s">
        <v>1400</v>
      </c>
      <c r="AD656" s="58">
        <v>0.42430555555555555</v>
      </c>
      <c r="AE656" s="58">
        <v>0.10833333333333334</v>
      </c>
      <c r="AF656" s="58">
        <v>0.42430555555555555</v>
      </c>
      <c r="AG656" s="33" t="s">
        <v>1711</v>
      </c>
      <c r="AH656" s="33">
        <v>2</v>
      </c>
      <c r="AI656" s="43">
        <v>46154.836805555555</v>
      </c>
      <c r="AJ656" s="33" t="s">
        <v>793</v>
      </c>
      <c r="AK656" s="42">
        <v>1130017.67</v>
      </c>
      <c r="AL656" s="33" t="s">
        <v>1712</v>
      </c>
    </row>
    <row r="657" spans="1:38">
      <c r="A657" s="33">
        <v>6008275</v>
      </c>
      <c r="B657" s="33"/>
      <c r="C657" s="33" t="s">
        <v>789</v>
      </c>
      <c r="D657" s="33" t="s">
        <v>1315</v>
      </c>
      <c r="E657" s="33" t="s">
        <v>2974</v>
      </c>
      <c r="F657" s="43">
        <v>46154.458333333336</v>
      </c>
      <c r="G657" s="33" t="s">
        <v>792</v>
      </c>
      <c r="H657" s="33"/>
      <c r="I657" s="33" t="s">
        <v>793</v>
      </c>
      <c r="J657" s="33" t="s">
        <v>2086</v>
      </c>
      <c r="K657" s="33" t="s">
        <v>75</v>
      </c>
      <c r="L657" s="33" t="s">
        <v>1087</v>
      </c>
      <c r="M657" s="43">
        <v>46154.669479166667</v>
      </c>
      <c r="N657" s="33" t="s">
        <v>1319</v>
      </c>
      <c r="O657" s="33" t="s">
        <v>797</v>
      </c>
      <c r="P657" s="33" t="s">
        <v>1963</v>
      </c>
      <c r="Q657" s="43">
        <v>46154.488888888889</v>
      </c>
      <c r="R657" s="43">
        <v>46154.521527777775</v>
      </c>
      <c r="S657" s="58">
        <v>3.2638888888888891E-2</v>
      </c>
      <c r="T657" s="33" t="s">
        <v>140</v>
      </c>
      <c r="U657" s="43">
        <v>46154.627083333333</v>
      </c>
      <c r="V657" s="58">
        <v>4.3749999999999997E-2</v>
      </c>
      <c r="W657" s="33" t="s">
        <v>140</v>
      </c>
      <c r="X657" s="43">
        <v>46154.627083333333</v>
      </c>
      <c r="Y657" s="58">
        <v>4.3749999999999997E-2</v>
      </c>
      <c r="Z657" s="33" t="s">
        <v>140</v>
      </c>
      <c r="AA657" s="43">
        <v>46154.666666666664</v>
      </c>
      <c r="AB657" s="33" t="s">
        <v>81</v>
      </c>
      <c r="AC657" s="33" t="s">
        <v>2331</v>
      </c>
      <c r="AD657" s="58">
        <v>0.30416666666666664</v>
      </c>
      <c r="AE657" s="58">
        <v>0.14791666666666667</v>
      </c>
      <c r="AF657" s="58">
        <v>0.30416666666666664</v>
      </c>
      <c r="AG657" s="33" t="s">
        <v>1322</v>
      </c>
      <c r="AH657" s="33">
        <v>2</v>
      </c>
      <c r="AI657" s="43">
        <v>46154.627083333333</v>
      </c>
      <c r="AJ657" s="33" t="s">
        <v>793</v>
      </c>
      <c r="AK657" s="42">
        <v>855386.4</v>
      </c>
      <c r="AL657" s="33" t="s">
        <v>1323</v>
      </c>
    </row>
    <row r="658" spans="1:38">
      <c r="A658" s="33">
        <v>6007526</v>
      </c>
      <c r="B658" s="33"/>
      <c r="C658" s="33" t="s">
        <v>789</v>
      </c>
      <c r="D658" s="33" t="s">
        <v>1092</v>
      </c>
      <c r="E658" s="33" t="s">
        <v>2975</v>
      </c>
      <c r="F658" s="43">
        <v>46154.458333333336</v>
      </c>
      <c r="G658" s="33" t="s">
        <v>792</v>
      </c>
      <c r="H658" s="33"/>
      <c r="I658" s="33" t="s">
        <v>793</v>
      </c>
      <c r="J658" s="33" t="s">
        <v>2261</v>
      </c>
      <c r="K658" s="33" t="s">
        <v>75</v>
      </c>
      <c r="L658" s="33" t="s">
        <v>795</v>
      </c>
      <c r="M658" s="43">
        <v>46154.611585648148</v>
      </c>
      <c r="N658" s="33" t="s">
        <v>1095</v>
      </c>
      <c r="O658" s="33" t="s">
        <v>797</v>
      </c>
      <c r="P658" s="33" t="s">
        <v>1963</v>
      </c>
      <c r="Q658" s="43">
        <v>46154.430555555555</v>
      </c>
      <c r="R658" s="43">
        <v>46154.478472222225</v>
      </c>
      <c r="S658" s="58">
        <v>4.791666666666667E-2</v>
      </c>
      <c r="T658" s="33" t="s">
        <v>799</v>
      </c>
      <c r="U658" s="43">
        <v>46154.599305555559</v>
      </c>
      <c r="V658" s="58">
        <v>1.3194444444444444E-2</v>
      </c>
      <c r="W658" s="33" t="s">
        <v>799</v>
      </c>
      <c r="X658" s="43">
        <v>46154.599305555559</v>
      </c>
      <c r="Y658" s="58">
        <v>1.3194444444444444E-2</v>
      </c>
      <c r="Z658" s="33" t="s">
        <v>799</v>
      </c>
      <c r="AA658" s="43">
        <v>46155.666666666664</v>
      </c>
      <c r="AB658" s="33" t="s">
        <v>81</v>
      </c>
      <c r="AC658" s="33" t="s">
        <v>2262</v>
      </c>
      <c r="AD658" s="58">
        <v>0.24027777777777778</v>
      </c>
      <c r="AE658" s="58">
        <v>0.13333333333333333</v>
      </c>
      <c r="AF658" s="58">
        <v>0.24027777777777778</v>
      </c>
      <c r="AG658" s="33" t="s">
        <v>1097</v>
      </c>
      <c r="AH658" s="33">
        <v>2</v>
      </c>
      <c r="AI658" s="43">
        <v>46154.599305555559</v>
      </c>
      <c r="AJ658" s="33" t="s">
        <v>793</v>
      </c>
      <c r="AK658" s="42">
        <v>670417.5</v>
      </c>
      <c r="AL658" s="33" t="s">
        <v>1098</v>
      </c>
    </row>
    <row r="659" spans="1:38">
      <c r="A659" s="33">
        <v>6014665</v>
      </c>
      <c r="B659" s="33"/>
      <c r="C659" s="33" t="s">
        <v>789</v>
      </c>
      <c r="D659" s="33" t="s">
        <v>1186</v>
      </c>
      <c r="E659" s="33" t="s">
        <v>2976</v>
      </c>
      <c r="F659" s="43">
        <v>46154.368750000001</v>
      </c>
      <c r="G659" s="33" t="s">
        <v>227</v>
      </c>
      <c r="H659" s="33"/>
      <c r="I659" s="33" t="s">
        <v>73</v>
      </c>
      <c r="J659" s="33" t="s">
        <v>2977</v>
      </c>
      <c r="K659" s="33" t="s">
        <v>75</v>
      </c>
      <c r="L659" s="33" t="s">
        <v>1738</v>
      </c>
      <c r="M659" s="43">
        <v>46154.729363425926</v>
      </c>
      <c r="N659" s="33" t="s">
        <v>1190</v>
      </c>
      <c r="O659" s="33" t="s">
        <v>682</v>
      </c>
      <c r="P659" s="33" t="s">
        <v>79</v>
      </c>
      <c r="Q659" s="43">
        <v>46154.373611111114</v>
      </c>
      <c r="R659" s="43">
        <v>46154.380555555559</v>
      </c>
      <c r="S659" s="58">
        <v>6.9444444444444441E-3</v>
      </c>
      <c r="T659" s="33" t="s">
        <v>176</v>
      </c>
      <c r="U659" s="33"/>
      <c r="V659" s="33"/>
      <c r="W659" s="33" t="s">
        <v>1740</v>
      </c>
      <c r="X659" s="43">
        <v>46154.720833333333</v>
      </c>
      <c r="Y659" s="58">
        <v>8.3333333333333332E-3</v>
      </c>
      <c r="Z659" s="33" t="s">
        <v>176</v>
      </c>
      <c r="AA659" s="43">
        <v>46157.291666666664</v>
      </c>
      <c r="AB659" s="33" t="s">
        <v>2978</v>
      </c>
      <c r="AC659" s="33" t="s">
        <v>2979</v>
      </c>
      <c r="AD659" s="58">
        <v>0.35625000000000001</v>
      </c>
      <c r="AE659" s="33"/>
      <c r="AF659" s="58">
        <v>0.35625000000000001</v>
      </c>
      <c r="AG659" s="33" t="s">
        <v>2235</v>
      </c>
      <c r="AH659" s="33">
        <v>2</v>
      </c>
      <c r="AI659" s="43">
        <v>46154.820138888892</v>
      </c>
      <c r="AJ659" s="33" t="s">
        <v>73</v>
      </c>
      <c r="AK659" s="42">
        <v>136986.01</v>
      </c>
      <c r="AL659" s="33" t="s">
        <v>1193</v>
      </c>
    </row>
    <row r="660" spans="1:38">
      <c r="A660" s="33" t="s">
        <v>2980</v>
      </c>
      <c r="B660" s="33"/>
      <c r="C660" s="33" t="s">
        <v>789</v>
      </c>
      <c r="D660" s="33" t="s">
        <v>1103</v>
      </c>
      <c r="E660" s="33" t="s">
        <v>2981</v>
      </c>
      <c r="F660" s="43">
        <v>46154.458333333336</v>
      </c>
      <c r="G660" s="33" t="s">
        <v>792</v>
      </c>
      <c r="H660" s="33"/>
      <c r="I660" s="33" t="s">
        <v>793</v>
      </c>
      <c r="J660" s="33" t="s">
        <v>856</v>
      </c>
      <c r="K660" s="33" t="s">
        <v>75</v>
      </c>
      <c r="L660" s="33" t="s">
        <v>2851</v>
      </c>
      <c r="M660" s="43">
        <v>46154.671412037038</v>
      </c>
      <c r="N660" s="33" t="s">
        <v>1106</v>
      </c>
      <c r="O660" s="33" t="s">
        <v>797</v>
      </c>
      <c r="P660" s="33" t="s">
        <v>798</v>
      </c>
      <c r="Q660" s="43">
        <v>46154.425694444442</v>
      </c>
      <c r="R660" s="43">
        <v>46154.449305555558</v>
      </c>
      <c r="S660" s="58">
        <v>2.361111111111111E-2</v>
      </c>
      <c r="T660" s="33" t="s">
        <v>799</v>
      </c>
      <c r="U660" s="43">
        <v>46154.664583333331</v>
      </c>
      <c r="V660" s="58">
        <v>7.6388888888888886E-3</v>
      </c>
      <c r="W660" s="33" t="s">
        <v>799</v>
      </c>
      <c r="X660" s="43">
        <v>46154.664583333331</v>
      </c>
      <c r="Y660" s="58">
        <v>7.6388888888888886E-3</v>
      </c>
      <c r="Z660" s="33" t="s">
        <v>799</v>
      </c>
      <c r="AA660" s="43">
        <v>46155.958333333336</v>
      </c>
      <c r="AB660" s="33" t="s">
        <v>81</v>
      </c>
      <c r="AC660" s="33" t="s">
        <v>858</v>
      </c>
      <c r="AD660" s="58">
        <v>0.24861111111111112</v>
      </c>
      <c r="AE660" s="58">
        <v>0.22152777777777777</v>
      </c>
      <c r="AF660" s="58">
        <v>0.24861111111111112</v>
      </c>
      <c r="AG660" s="33" t="s">
        <v>807</v>
      </c>
      <c r="AH660" s="33">
        <v>2</v>
      </c>
      <c r="AI660" s="43">
        <v>46154.664583333331</v>
      </c>
      <c r="AJ660" s="33" t="s">
        <v>793</v>
      </c>
      <c r="AK660" s="42">
        <v>1488391.72</v>
      </c>
      <c r="AL660" s="33" t="s">
        <v>2982</v>
      </c>
    </row>
    <row r="661" spans="1:38">
      <c r="A661" s="33">
        <v>6014666</v>
      </c>
      <c r="B661" s="33"/>
      <c r="C661" s="33" t="s">
        <v>789</v>
      </c>
      <c r="D661" s="33" t="s">
        <v>2123</v>
      </c>
      <c r="E661" s="33" t="s">
        <v>2983</v>
      </c>
      <c r="F661" s="43">
        <v>46154.708333333336</v>
      </c>
      <c r="G661" s="33" t="s">
        <v>227</v>
      </c>
      <c r="H661" s="33"/>
      <c r="I661" s="33" t="s">
        <v>73</v>
      </c>
      <c r="J661" s="33" t="s">
        <v>2977</v>
      </c>
      <c r="K661" s="33" t="s">
        <v>75</v>
      </c>
      <c r="L661" s="33" t="s">
        <v>1928</v>
      </c>
      <c r="M661" s="43">
        <v>46154.807488425926</v>
      </c>
      <c r="N661" s="33" t="s">
        <v>2126</v>
      </c>
      <c r="O661" s="33" t="s">
        <v>797</v>
      </c>
      <c r="P661" s="33" t="s">
        <v>79</v>
      </c>
      <c r="Q661" s="43">
        <v>46154.425694444442</v>
      </c>
      <c r="R661" s="43">
        <v>46154.442361111112</v>
      </c>
      <c r="S661" s="58">
        <v>1.6666666666666666E-2</v>
      </c>
      <c r="T661" s="33" t="s">
        <v>176</v>
      </c>
      <c r="U661" s="33"/>
      <c r="V661" s="33"/>
      <c r="W661" s="33" t="s">
        <v>1740</v>
      </c>
      <c r="X661" s="43">
        <v>46154.805555555555</v>
      </c>
      <c r="Y661" s="58">
        <v>2.0833333333333333E-3</v>
      </c>
      <c r="Z661" s="33" t="s">
        <v>176</v>
      </c>
      <c r="AA661" s="43">
        <v>46157.291666666664</v>
      </c>
      <c r="AB661" s="33" t="s">
        <v>2984</v>
      </c>
      <c r="AC661" s="33" t="s">
        <v>2979</v>
      </c>
      <c r="AD661" s="58">
        <v>0.41249999999999998</v>
      </c>
      <c r="AE661" s="33"/>
      <c r="AF661" s="58">
        <v>0.41249999999999998</v>
      </c>
      <c r="AG661" s="33" t="s">
        <v>2325</v>
      </c>
      <c r="AH661" s="33">
        <v>2</v>
      </c>
      <c r="AI661" s="43">
        <v>46154.905555555553</v>
      </c>
      <c r="AJ661" s="33" t="s">
        <v>73</v>
      </c>
      <c r="AK661" s="42">
        <v>136986.01</v>
      </c>
      <c r="AL661" s="33" t="s">
        <v>2128</v>
      </c>
    </row>
    <row r="662" spans="1:38">
      <c r="A662" s="33">
        <v>6014811</v>
      </c>
      <c r="B662" s="33"/>
      <c r="C662" s="33" t="s">
        <v>789</v>
      </c>
      <c r="D662" s="33" t="s">
        <v>1947</v>
      </c>
      <c r="E662" s="33" t="s">
        <v>2985</v>
      </c>
      <c r="F662" s="43">
        <v>46154.833333333336</v>
      </c>
      <c r="G662" s="33" t="s">
        <v>227</v>
      </c>
      <c r="H662" s="33"/>
      <c r="I662" s="33" t="s">
        <v>73</v>
      </c>
      <c r="J662" s="33" t="s">
        <v>2986</v>
      </c>
      <c r="K662" s="33" t="s">
        <v>75</v>
      </c>
      <c r="L662" s="33" t="s">
        <v>2470</v>
      </c>
      <c r="M662" s="43">
        <v>46155.333483796298</v>
      </c>
      <c r="N662" s="33" t="s">
        <v>1950</v>
      </c>
      <c r="O662" s="33" t="s">
        <v>797</v>
      </c>
      <c r="P662" s="33" t="s">
        <v>79</v>
      </c>
      <c r="Q662" s="43">
        <v>46154.400000000001</v>
      </c>
      <c r="R662" s="43">
        <v>46154.933333333334</v>
      </c>
      <c r="S662" s="58">
        <v>0.53333333333333333</v>
      </c>
      <c r="T662" s="33" t="s">
        <v>176</v>
      </c>
      <c r="U662" s="33"/>
      <c r="V662" s="33"/>
      <c r="W662" s="33"/>
      <c r="X662" s="33"/>
      <c r="Y662" s="33"/>
      <c r="Z662" s="33" t="s">
        <v>176</v>
      </c>
      <c r="AA662" s="43">
        <v>46157.291666666664</v>
      </c>
      <c r="AB662" s="33" t="s">
        <v>81</v>
      </c>
      <c r="AC662" s="33" t="s">
        <v>81</v>
      </c>
      <c r="AD662" s="58">
        <v>0.92361111111111116</v>
      </c>
      <c r="AE662" s="33"/>
      <c r="AF662" s="58">
        <v>0.92361111111111116</v>
      </c>
      <c r="AG662" s="33" t="s">
        <v>2987</v>
      </c>
      <c r="AH662" s="33">
        <v>2</v>
      </c>
      <c r="AI662" s="43">
        <v>46155.387499999997</v>
      </c>
      <c r="AJ662" s="33" t="s">
        <v>73</v>
      </c>
      <c r="AK662" s="42">
        <v>505798.84</v>
      </c>
      <c r="AL662" s="33" t="s">
        <v>1952</v>
      </c>
    </row>
    <row r="663" spans="1:38">
      <c r="A663" s="33">
        <v>6014670</v>
      </c>
      <c r="B663" s="33"/>
      <c r="C663" s="33" t="s">
        <v>789</v>
      </c>
      <c r="D663" s="33" t="s">
        <v>1808</v>
      </c>
      <c r="E663" s="33" t="s">
        <v>2988</v>
      </c>
      <c r="F663" s="43">
        <v>46154.708333333336</v>
      </c>
      <c r="G663" s="33" t="s">
        <v>227</v>
      </c>
      <c r="H663" s="33"/>
      <c r="I663" s="33" t="s">
        <v>73</v>
      </c>
      <c r="J663" s="33" t="s">
        <v>172</v>
      </c>
      <c r="K663" s="33" t="s">
        <v>75</v>
      </c>
      <c r="L663" s="33" t="s">
        <v>1738</v>
      </c>
      <c r="M663" s="43">
        <v>46155.337083333332</v>
      </c>
      <c r="N663" s="33" t="s">
        <v>1810</v>
      </c>
      <c r="O663" s="33" t="s">
        <v>797</v>
      </c>
      <c r="P663" s="33" t="s">
        <v>79</v>
      </c>
      <c r="Q663" s="43">
        <v>46154.427777777775</v>
      </c>
      <c r="R663" s="43">
        <v>46154.909722222219</v>
      </c>
      <c r="S663" s="58">
        <v>0.48194444444444445</v>
      </c>
      <c r="T663" s="33" t="s">
        <v>176</v>
      </c>
      <c r="U663" s="33"/>
      <c r="V663" s="33"/>
      <c r="W663" s="33" t="s">
        <v>1740</v>
      </c>
      <c r="X663" s="43">
        <v>46155.329861111109</v>
      </c>
      <c r="Y663" s="58">
        <v>6.9444444444444441E-3</v>
      </c>
      <c r="Z663" s="33" t="s">
        <v>176</v>
      </c>
      <c r="AA663" s="43">
        <v>46157.291666666664</v>
      </c>
      <c r="AB663" s="33" t="s">
        <v>2989</v>
      </c>
      <c r="AC663" s="33" t="s">
        <v>179</v>
      </c>
      <c r="AD663" s="58">
        <v>0.92500000000000004</v>
      </c>
      <c r="AE663" s="33"/>
      <c r="AF663" s="58">
        <v>0.92500000000000004</v>
      </c>
      <c r="AG663" s="33" t="s">
        <v>1951</v>
      </c>
      <c r="AH663" s="33">
        <v>2</v>
      </c>
      <c r="AI663" s="43">
        <v>46155.566666666666</v>
      </c>
      <c r="AJ663" s="33" t="s">
        <v>73</v>
      </c>
      <c r="AK663" s="42">
        <v>484647.88</v>
      </c>
      <c r="AL663" s="33" t="s">
        <v>1812</v>
      </c>
    </row>
    <row r="664" spans="1:38">
      <c r="A664" s="33">
        <v>6003426</v>
      </c>
      <c r="B664" s="33"/>
      <c r="C664" s="33" t="s">
        <v>789</v>
      </c>
      <c r="D664" s="33" t="s">
        <v>1047</v>
      </c>
      <c r="E664" s="33" t="s">
        <v>2990</v>
      </c>
      <c r="F664" s="43">
        <v>46154.458333333336</v>
      </c>
      <c r="G664" s="33" t="s">
        <v>792</v>
      </c>
      <c r="H664" s="33"/>
      <c r="I664" s="33" t="s">
        <v>793</v>
      </c>
      <c r="J664" s="33" t="s">
        <v>1049</v>
      </c>
      <c r="K664" s="33" t="s">
        <v>662</v>
      </c>
      <c r="L664" s="33" t="s">
        <v>1204</v>
      </c>
      <c r="M664" s="43">
        <v>46154.648287037038</v>
      </c>
      <c r="N664" s="33" t="s">
        <v>1051</v>
      </c>
      <c r="O664" s="33" t="s">
        <v>797</v>
      </c>
      <c r="P664" s="33" t="s">
        <v>799</v>
      </c>
      <c r="Q664" s="43">
        <v>46154.421527777777</v>
      </c>
      <c r="R664" s="43">
        <v>46154.42291666667</v>
      </c>
      <c r="S664" s="58">
        <v>1.3888888888888889E-3</v>
      </c>
      <c r="T664" s="33" t="s">
        <v>140</v>
      </c>
      <c r="U664" s="33"/>
      <c r="V664" s="33"/>
      <c r="W664" s="33"/>
      <c r="X664" s="33"/>
      <c r="Y664" s="33"/>
      <c r="Z664" s="33" t="s">
        <v>140</v>
      </c>
      <c r="AA664" s="43">
        <v>46155.5</v>
      </c>
      <c r="AB664" s="33" t="s">
        <v>1138</v>
      </c>
      <c r="AC664" s="33" t="s">
        <v>1053</v>
      </c>
      <c r="AD664" s="58">
        <v>0.25347222222222221</v>
      </c>
      <c r="AE664" s="33"/>
      <c r="AF664" s="58">
        <v>0.25347222222222221</v>
      </c>
      <c r="AG664" s="33" t="s">
        <v>2504</v>
      </c>
      <c r="AH664" s="33">
        <v>1</v>
      </c>
      <c r="AI664" s="43">
        <v>46154.65</v>
      </c>
      <c r="AJ664" s="33" t="s">
        <v>793</v>
      </c>
      <c r="AK664" s="42">
        <v>1545600.4</v>
      </c>
      <c r="AL664" s="33" t="s">
        <v>1055</v>
      </c>
    </row>
    <row r="665" spans="1:38">
      <c r="A665" s="33">
        <v>6004129</v>
      </c>
      <c r="B665" s="33"/>
      <c r="C665" s="33" t="s">
        <v>789</v>
      </c>
      <c r="D665" s="33" t="s">
        <v>1156</v>
      </c>
      <c r="E665" s="33" t="s">
        <v>2991</v>
      </c>
      <c r="F665" s="43">
        <v>46154.458333333336</v>
      </c>
      <c r="G665" s="33" t="s">
        <v>792</v>
      </c>
      <c r="H665" s="33"/>
      <c r="I665" s="33" t="s">
        <v>793</v>
      </c>
      <c r="J665" s="33" t="s">
        <v>1049</v>
      </c>
      <c r="K665" s="33" t="s">
        <v>75</v>
      </c>
      <c r="L665" s="33" t="s">
        <v>1965</v>
      </c>
      <c r="M665" s="43">
        <v>46154.664502314816</v>
      </c>
      <c r="N665" s="33" t="s">
        <v>1160</v>
      </c>
      <c r="O665" s="33" t="s">
        <v>797</v>
      </c>
      <c r="P665" s="33" t="s">
        <v>799</v>
      </c>
      <c r="Q665" s="43">
        <v>46154.414583333331</v>
      </c>
      <c r="R665" s="43">
        <v>46154.53125</v>
      </c>
      <c r="S665" s="58">
        <v>0.11666666666666667</v>
      </c>
      <c r="T665" s="33" t="s">
        <v>140</v>
      </c>
      <c r="U665" s="43">
        <v>46154.563888888886</v>
      </c>
      <c r="V665" s="58">
        <v>5.1388888888888887E-2</v>
      </c>
      <c r="W665" s="33"/>
      <c r="X665" s="33"/>
      <c r="Y665" s="33"/>
      <c r="Z665" s="33" t="s">
        <v>140</v>
      </c>
      <c r="AA665" s="43">
        <v>46155.666666666664</v>
      </c>
      <c r="AB665" s="33" t="s">
        <v>1153</v>
      </c>
      <c r="AC665" s="33" t="s">
        <v>1053</v>
      </c>
      <c r="AD665" s="58">
        <v>0.25555555555555554</v>
      </c>
      <c r="AE665" s="33"/>
      <c r="AF665" s="58">
        <v>0.25555555555555554</v>
      </c>
      <c r="AG665" s="33" t="s">
        <v>1357</v>
      </c>
      <c r="AH665" s="33">
        <v>2</v>
      </c>
      <c r="AI665" s="43">
        <v>46154.563888888886</v>
      </c>
      <c r="AJ665" s="33" t="s">
        <v>793</v>
      </c>
      <c r="AK665" s="42">
        <v>968107</v>
      </c>
      <c r="AL665" s="33" t="s">
        <v>1162</v>
      </c>
    </row>
    <row r="666" spans="1:38">
      <c r="A666" s="33">
        <v>6003995</v>
      </c>
      <c r="B666" s="33"/>
      <c r="C666" s="33" t="s">
        <v>789</v>
      </c>
      <c r="D666" s="33" t="s">
        <v>1032</v>
      </c>
      <c r="E666" s="33" t="s">
        <v>2992</v>
      </c>
      <c r="F666" s="43">
        <v>46154.5</v>
      </c>
      <c r="G666" s="33" t="s">
        <v>792</v>
      </c>
      <c r="H666" s="33"/>
      <c r="I666" s="33" t="s">
        <v>793</v>
      </c>
      <c r="J666" s="33" t="s">
        <v>1049</v>
      </c>
      <c r="K666" s="33" t="s">
        <v>1118</v>
      </c>
      <c r="L666" s="33" t="s">
        <v>1460</v>
      </c>
      <c r="M666" s="43">
        <v>46154.665856481479</v>
      </c>
      <c r="N666" s="33" t="s">
        <v>1036</v>
      </c>
      <c r="O666" s="33" t="s">
        <v>797</v>
      </c>
      <c r="P666" s="33" t="s">
        <v>799</v>
      </c>
      <c r="Q666" s="43">
        <v>46154.45416666667</v>
      </c>
      <c r="R666" s="43">
        <v>46154.585416666669</v>
      </c>
      <c r="S666" s="58">
        <v>0.13125000000000001</v>
      </c>
      <c r="T666" s="33" t="s">
        <v>140</v>
      </c>
      <c r="U666" s="33"/>
      <c r="V666" s="33"/>
      <c r="W666" s="33"/>
      <c r="X666" s="33"/>
      <c r="Y666" s="33"/>
      <c r="Z666" s="33" t="s">
        <v>140</v>
      </c>
      <c r="AA666" s="43">
        <v>46155.5</v>
      </c>
      <c r="AB666" s="33" t="s">
        <v>81</v>
      </c>
      <c r="AC666" s="33" t="s">
        <v>1053</v>
      </c>
      <c r="AD666" s="58">
        <v>0.24236111111111111</v>
      </c>
      <c r="AE666" s="33"/>
      <c r="AF666" s="58">
        <v>0.24236111111111111</v>
      </c>
      <c r="AG666" s="33" t="s">
        <v>1038</v>
      </c>
      <c r="AH666" s="33">
        <v>1</v>
      </c>
      <c r="AI666" s="43">
        <v>46154.626388888886</v>
      </c>
      <c r="AJ666" s="33" t="s">
        <v>793</v>
      </c>
      <c r="AK666" s="42">
        <v>913981.83</v>
      </c>
      <c r="AL666" s="33" t="s">
        <v>1039</v>
      </c>
    </row>
    <row r="667" spans="1:38">
      <c r="A667" s="33">
        <v>6006058</v>
      </c>
      <c r="B667" s="33"/>
      <c r="C667" s="33" t="s">
        <v>789</v>
      </c>
      <c r="D667" s="33" t="s">
        <v>1784</v>
      </c>
      <c r="E667" s="33" t="s">
        <v>2993</v>
      </c>
      <c r="F667" s="43">
        <v>46154.583333333336</v>
      </c>
      <c r="G667" s="33" t="s">
        <v>792</v>
      </c>
      <c r="H667" s="33"/>
      <c r="I667" s="33" t="s">
        <v>793</v>
      </c>
      <c r="J667" s="33" t="s">
        <v>1382</v>
      </c>
      <c r="K667" s="33" t="s">
        <v>75</v>
      </c>
      <c r="L667" s="33" t="s">
        <v>1094</v>
      </c>
      <c r="M667" s="43">
        <v>46154.669907407406</v>
      </c>
      <c r="N667" s="33" t="s">
        <v>796</v>
      </c>
      <c r="O667" s="33" t="s">
        <v>797</v>
      </c>
      <c r="P667" s="33" t="s">
        <v>799</v>
      </c>
      <c r="Q667" s="43">
        <v>46154.46875</v>
      </c>
      <c r="R667" s="43">
        <v>46154.620833333334</v>
      </c>
      <c r="S667" s="58">
        <v>0.15208333333333332</v>
      </c>
      <c r="T667" s="33" t="s">
        <v>140</v>
      </c>
      <c r="U667" s="43">
        <v>46154.652083333334</v>
      </c>
      <c r="V667" s="58">
        <v>1.8055555555555554E-2</v>
      </c>
      <c r="W667" s="33" t="s">
        <v>140</v>
      </c>
      <c r="X667" s="43">
        <v>46154.652083333334</v>
      </c>
      <c r="Y667" s="58">
        <v>1.8055555555555554E-2</v>
      </c>
      <c r="Z667" s="33" t="s">
        <v>140</v>
      </c>
      <c r="AA667" s="43">
        <v>46154.666666666664</v>
      </c>
      <c r="AB667" s="33" t="s">
        <v>81</v>
      </c>
      <c r="AC667" s="33" t="s">
        <v>1383</v>
      </c>
      <c r="AD667" s="58">
        <v>0.21736111111111112</v>
      </c>
      <c r="AE667" s="58">
        <v>4.8611111111111112E-2</v>
      </c>
      <c r="AF667" s="58">
        <v>0.21736111111111112</v>
      </c>
      <c r="AG667" s="33" t="s">
        <v>1788</v>
      </c>
      <c r="AH667" s="33">
        <v>2</v>
      </c>
      <c r="AI667" s="43">
        <v>46154.652083333334</v>
      </c>
      <c r="AJ667" s="33" t="s">
        <v>793</v>
      </c>
      <c r="AK667" s="42">
        <v>1120482.24</v>
      </c>
      <c r="AL667" s="33" t="s">
        <v>1789</v>
      </c>
    </row>
    <row r="668" spans="1:38">
      <c r="A668" s="33">
        <v>6013201</v>
      </c>
      <c r="B668" s="33"/>
      <c r="C668" s="33" t="s">
        <v>789</v>
      </c>
      <c r="D668" s="33" t="s">
        <v>2994</v>
      </c>
      <c r="E668" s="33" t="s">
        <v>2995</v>
      </c>
      <c r="F668" s="43">
        <v>46154.452777777777</v>
      </c>
      <c r="G668" s="33" t="s">
        <v>216</v>
      </c>
      <c r="H668" s="33"/>
      <c r="I668" s="33" t="s">
        <v>73</v>
      </c>
      <c r="J668" s="33" t="s">
        <v>2996</v>
      </c>
      <c r="K668" s="33" t="s">
        <v>75</v>
      </c>
      <c r="L668" s="33" t="s">
        <v>2997</v>
      </c>
      <c r="M668" s="43">
        <v>46157.394814814812</v>
      </c>
      <c r="N668" s="33" t="s">
        <v>2998</v>
      </c>
      <c r="O668" s="33" t="s">
        <v>797</v>
      </c>
      <c r="P668" s="33" t="s">
        <v>140</v>
      </c>
      <c r="Q668" s="43">
        <v>46154.522916666669</v>
      </c>
      <c r="R668" s="43">
        <v>46154.541666666664</v>
      </c>
      <c r="S668" s="58">
        <v>1.8749999999999999E-2</v>
      </c>
      <c r="T668" s="33" t="s">
        <v>2999</v>
      </c>
      <c r="U668" s="43">
        <v>46157.253472222219</v>
      </c>
      <c r="V668" s="58">
        <v>0.14097222222222222</v>
      </c>
      <c r="W668" s="33" t="s">
        <v>2999</v>
      </c>
      <c r="X668" s="43">
        <v>46157.253472222219</v>
      </c>
      <c r="Y668" s="58">
        <v>0.14097222222222222</v>
      </c>
      <c r="Z668" s="33" t="s">
        <v>2999</v>
      </c>
      <c r="AA668" s="43">
        <v>46157.25</v>
      </c>
      <c r="AB668" s="33" t="s">
        <v>81</v>
      </c>
      <c r="AC668" s="33" t="s">
        <v>81</v>
      </c>
      <c r="AD668" s="44">
        <v>2.8680555555555554</v>
      </c>
      <c r="AE668" s="33"/>
      <c r="AF668" s="44">
        <v>2.8680555555555554</v>
      </c>
      <c r="AG668" s="33"/>
      <c r="AH668" s="33">
        <v>2</v>
      </c>
      <c r="AI668" s="43">
        <v>46157.253472222219</v>
      </c>
      <c r="AJ668" s="33" t="s">
        <v>73</v>
      </c>
      <c r="AK668" s="42">
        <v>388773.8</v>
      </c>
      <c r="AL668" s="33" t="s">
        <v>3000</v>
      </c>
    </row>
    <row r="669" spans="1:38">
      <c r="A669" s="33" t="s">
        <v>3001</v>
      </c>
      <c r="B669" s="33"/>
      <c r="C669" s="33" t="s">
        <v>789</v>
      </c>
      <c r="D669" s="33" t="s">
        <v>2108</v>
      </c>
      <c r="E669" s="33" t="s">
        <v>3002</v>
      </c>
      <c r="F669" s="43">
        <v>46154.460416666669</v>
      </c>
      <c r="G669" s="33" t="s">
        <v>171</v>
      </c>
      <c r="H669" s="33"/>
      <c r="I669" s="33" t="s">
        <v>793</v>
      </c>
      <c r="J669" s="33" t="s">
        <v>958</v>
      </c>
      <c r="K669" s="33" t="s">
        <v>273</v>
      </c>
      <c r="L669" s="33" t="s">
        <v>3003</v>
      </c>
      <c r="M669" s="43">
        <v>46154.76054398148</v>
      </c>
      <c r="N669" s="33" t="s">
        <v>2110</v>
      </c>
      <c r="O669" s="33" t="s">
        <v>797</v>
      </c>
      <c r="P669" s="33" t="s">
        <v>861</v>
      </c>
      <c r="Q669" s="43">
        <v>46154.465277777781</v>
      </c>
      <c r="R669" s="43">
        <v>46154.472222222219</v>
      </c>
      <c r="S669" s="58">
        <v>6.9444444444444441E-3</v>
      </c>
      <c r="T669" s="33" t="s">
        <v>308</v>
      </c>
      <c r="U669" s="43">
        <v>46154.583333333336</v>
      </c>
      <c r="V669" s="58">
        <v>0.16388888888888889</v>
      </c>
      <c r="W669" s="33"/>
      <c r="X669" s="33"/>
      <c r="Y669" s="33"/>
      <c r="Z669" s="33" t="s">
        <v>308</v>
      </c>
      <c r="AA669" s="43">
        <v>46159</v>
      </c>
      <c r="AB669" s="33" t="s">
        <v>2372</v>
      </c>
      <c r="AC669" s="33" t="s">
        <v>1404</v>
      </c>
      <c r="AD669" s="58">
        <v>0.3</v>
      </c>
      <c r="AE669" s="33"/>
      <c r="AF669" s="58">
        <v>0.3</v>
      </c>
      <c r="AG669" s="33" t="s">
        <v>2111</v>
      </c>
      <c r="AH669" s="33">
        <v>2</v>
      </c>
      <c r="AI669" s="43">
        <v>46154.583333333336</v>
      </c>
      <c r="AJ669" s="33" t="s">
        <v>793</v>
      </c>
      <c r="AK669" s="42">
        <v>305511.02</v>
      </c>
      <c r="AL669" s="33" t="s">
        <v>2112</v>
      </c>
    </row>
    <row r="670" spans="1:38">
      <c r="A670" s="33">
        <v>6008263</v>
      </c>
      <c r="B670" s="33"/>
      <c r="C670" s="33" t="s">
        <v>789</v>
      </c>
      <c r="D670" s="33" t="s">
        <v>1901</v>
      </c>
      <c r="E670" s="33" t="s">
        <v>3004</v>
      </c>
      <c r="F670" s="43">
        <v>46154.666666666664</v>
      </c>
      <c r="G670" s="33" t="s">
        <v>792</v>
      </c>
      <c r="H670" s="33"/>
      <c r="I670" s="33" t="s">
        <v>793</v>
      </c>
      <c r="J670" s="33" t="s">
        <v>2049</v>
      </c>
      <c r="K670" s="33" t="s">
        <v>2312</v>
      </c>
      <c r="L670" s="33" t="s">
        <v>3005</v>
      </c>
      <c r="M670" s="43">
        <v>46154.707569444443</v>
      </c>
      <c r="N670" s="33" t="s">
        <v>796</v>
      </c>
      <c r="O670" s="33" t="s">
        <v>868</v>
      </c>
      <c r="P670" s="33" t="s">
        <v>1963</v>
      </c>
      <c r="Q670" s="43">
        <v>46154.518055555556</v>
      </c>
      <c r="R670" s="43">
        <v>46154.531944444447</v>
      </c>
      <c r="S670" s="58">
        <v>1.3888888888888888E-2</v>
      </c>
      <c r="T670" s="33" t="s">
        <v>799</v>
      </c>
      <c r="U670" s="43">
        <v>46154.669444444444</v>
      </c>
      <c r="V670" s="58">
        <v>3.7499999999999999E-2</v>
      </c>
      <c r="W670" s="33"/>
      <c r="X670" s="33"/>
      <c r="Y670" s="33"/>
      <c r="Z670" s="33" t="s">
        <v>799</v>
      </c>
      <c r="AA670" s="43">
        <v>46155.958333333336</v>
      </c>
      <c r="AB670" s="33" t="s">
        <v>81</v>
      </c>
      <c r="AC670" s="33" t="s">
        <v>81</v>
      </c>
      <c r="AD670" s="58">
        <v>0.24236111111111111</v>
      </c>
      <c r="AE670" s="33"/>
      <c r="AF670" s="58">
        <v>0.24236111111111111</v>
      </c>
      <c r="AG670" s="33" t="s">
        <v>1906</v>
      </c>
      <c r="AH670" s="33">
        <v>2</v>
      </c>
      <c r="AI670" s="43">
        <v>46154.669444444444</v>
      </c>
      <c r="AJ670" s="33" t="s">
        <v>793</v>
      </c>
      <c r="AK670" s="42">
        <v>888513.84</v>
      </c>
      <c r="AL670" s="33" t="s">
        <v>1907</v>
      </c>
    </row>
    <row r="671" spans="1:38">
      <c r="A671" s="33" t="s">
        <v>3006</v>
      </c>
      <c r="B671" s="33"/>
      <c r="C671" s="33" t="s">
        <v>789</v>
      </c>
      <c r="D671" s="33" t="s">
        <v>3007</v>
      </c>
      <c r="E671" s="33" t="s">
        <v>3008</v>
      </c>
      <c r="F671" s="43">
        <v>46154.625</v>
      </c>
      <c r="G671" s="33" t="s">
        <v>171</v>
      </c>
      <c r="H671" s="33"/>
      <c r="I671" s="33" t="s">
        <v>73</v>
      </c>
      <c r="J671" s="33" t="s">
        <v>2977</v>
      </c>
      <c r="K671" s="33" t="s">
        <v>75</v>
      </c>
      <c r="L671" s="33" t="s">
        <v>3009</v>
      </c>
      <c r="M671" s="43">
        <v>46155.682916666665</v>
      </c>
      <c r="N671" s="33" t="s">
        <v>3010</v>
      </c>
      <c r="O671" s="33" t="s">
        <v>797</v>
      </c>
      <c r="P671" s="33" t="s">
        <v>79</v>
      </c>
      <c r="Q671" s="33"/>
      <c r="R671" s="33"/>
      <c r="S671" s="33"/>
      <c r="T671" s="33" t="s">
        <v>176</v>
      </c>
      <c r="U671" s="43">
        <v>46155.032638888886</v>
      </c>
      <c r="V671" s="58">
        <v>0.65555555555555556</v>
      </c>
      <c r="W671" s="33" t="s">
        <v>176</v>
      </c>
      <c r="X671" s="43">
        <v>46155.032638888886</v>
      </c>
      <c r="Y671" s="58">
        <v>0.65555555555555556</v>
      </c>
      <c r="Z671" s="33" t="s">
        <v>176</v>
      </c>
      <c r="AA671" s="43">
        <v>46157.291666666664</v>
      </c>
      <c r="AB671" s="33" t="s">
        <v>81</v>
      </c>
      <c r="AC671" s="33" t="s">
        <v>2979</v>
      </c>
      <c r="AD671" s="44">
        <v>1.1111111111111112</v>
      </c>
      <c r="AE671" s="33"/>
      <c r="AF671" s="44">
        <v>1.1111111111111112</v>
      </c>
      <c r="AG671" s="33" t="s">
        <v>3011</v>
      </c>
      <c r="AH671" s="33">
        <v>1</v>
      </c>
      <c r="AI671" s="43">
        <v>46155.032638888886</v>
      </c>
      <c r="AJ671" s="33" t="s">
        <v>73</v>
      </c>
      <c r="AK671" s="42">
        <v>426155.1</v>
      </c>
      <c r="AL671" s="33" t="s">
        <v>3012</v>
      </c>
    </row>
    <row r="672" spans="1:38">
      <c r="A672" s="33" t="s">
        <v>3013</v>
      </c>
      <c r="B672" s="33"/>
      <c r="C672" s="33" t="s">
        <v>789</v>
      </c>
      <c r="D672" s="33" t="s">
        <v>2713</v>
      </c>
      <c r="E672" s="33" t="s">
        <v>3014</v>
      </c>
      <c r="F672" s="43">
        <v>46154.484027777777</v>
      </c>
      <c r="G672" s="33" t="s">
        <v>171</v>
      </c>
      <c r="H672" s="33"/>
      <c r="I672" s="33" t="s">
        <v>793</v>
      </c>
      <c r="J672" s="33" t="s">
        <v>958</v>
      </c>
      <c r="K672" s="33" t="s">
        <v>75</v>
      </c>
      <c r="L672" s="33" t="s">
        <v>1867</v>
      </c>
      <c r="M672" s="43">
        <v>46154.802337962959</v>
      </c>
      <c r="N672" s="33" t="s">
        <v>2715</v>
      </c>
      <c r="O672" s="33" t="s">
        <v>797</v>
      </c>
      <c r="P672" s="33" t="s">
        <v>861</v>
      </c>
      <c r="Q672" s="33"/>
      <c r="R672" s="33"/>
      <c r="S672" s="33"/>
      <c r="T672" s="33" t="s">
        <v>308</v>
      </c>
      <c r="U672" s="43">
        <v>46154.611805555556</v>
      </c>
      <c r="V672" s="58">
        <v>0.19097222222222221</v>
      </c>
      <c r="W672" s="33" t="s">
        <v>308</v>
      </c>
      <c r="X672" s="43">
        <v>46154.611805555556</v>
      </c>
      <c r="Y672" s="58">
        <v>0.19097222222222221</v>
      </c>
      <c r="Z672" s="33" t="s">
        <v>308</v>
      </c>
      <c r="AA672" s="43">
        <v>46159</v>
      </c>
      <c r="AB672" s="33" t="s">
        <v>1052</v>
      </c>
      <c r="AC672" s="33" t="s">
        <v>1404</v>
      </c>
      <c r="AD672" s="58">
        <v>0.31597222222222221</v>
      </c>
      <c r="AE672" s="33"/>
      <c r="AF672" s="58">
        <v>0.31597222222222221</v>
      </c>
      <c r="AG672" s="33" t="s">
        <v>2716</v>
      </c>
      <c r="AH672" s="33">
        <v>1</v>
      </c>
      <c r="AI672" s="43">
        <v>46154.611805555556</v>
      </c>
      <c r="AJ672" s="33" t="s">
        <v>793</v>
      </c>
      <c r="AK672" s="42">
        <v>401765</v>
      </c>
      <c r="AL672" s="33" t="s">
        <v>2717</v>
      </c>
    </row>
    <row r="673" spans="1:38">
      <c r="A673" s="33" t="s">
        <v>3015</v>
      </c>
      <c r="B673" s="33"/>
      <c r="C673" s="33" t="s">
        <v>789</v>
      </c>
      <c r="D673" s="33" t="s">
        <v>2367</v>
      </c>
      <c r="E673" s="33" t="s">
        <v>3016</v>
      </c>
      <c r="F673" s="43">
        <v>46154.48541666667</v>
      </c>
      <c r="G673" s="33" t="s">
        <v>171</v>
      </c>
      <c r="H673" s="33"/>
      <c r="I673" s="33" t="s">
        <v>793</v>
      </c>
      <c r="J673" s="33" t="s">
        <v>958</v>
      </c>
      <c r="K673" s="33" t="s">
        <v>75</v>
      </c>
      <c r="L673" s="33" t="s">
        <v>1231</v>
      </c>
      <c r="M673" s="43">
        <v>46154.712442129632</v>
      </c>
      <c r="N673" s="33" t="s">
        <v>2371</v>
      </c>
      <c r="O673" s="33" t="s">
        <v>797</v>
      </c>
      <c r="P673" s="33" t="s">
        <v>861</v>
      </c>
      <c r="Q673" s="43">
        <v>46154.494444444441</v>
      </c>
      <c r="R673" s="43">
        <v>46154.495833333334</v>
      </c>
      <c r="S673" s="58">
        <v>1.3888888888888889E-3</v>
      </c>
      <c r="T673" s="33" t="s">
        <v>308</v>
      </c>
      <c r="U673" s="43">
        <v>46154.611111111109</v>
      </c>
      <c r="V673" s="58">
        <v>0.10208333333333333</v>
      </c>
      <c r="W673" s="33" t="s">
        <v>308</v>
      </c>
      <c r="X673" s="43">
        <v>46154.611111111109</v>
      </c>
      <c r="Y673" s="58">
        <v>0.10208333333333333</v>
      </c>
      <c r="Z673" s="33" t="s">
        <v>308</v>
      </c>
      <c r="AA673" s="43">
        <v>46159</v>
      </c>
      <c r="AB673" s="33" t="s">
        <v>1052</v>
      </c>
      <c r="AC673" s="33" t="s">
        <v>1404</v>
      </c>
      <c r="AD673" s="58">
        <v>0.22638888888888889</v>
      </c>
      <c r="AE673" s="58">
        <v>0.21597222222222223</v>
      </c>
      <c r="AF673" s="58">
        <v>0.22638888888888889</v>
      </c>
      <c r="AG673" s="33" t="s">
        <v>2373</v>
      </c>
      <c r="AH673" s="33">
        <v>2</v>
      </c>
      <c r="AI673" s="43">
        <v>46154.625</v>
      </c>
      <c r="AJ673" s="33" t="s">
        <v>793</v>
      </c>
      <c r="AK673" s="42">
        <v>401765</v>
      </c>
      <c r="AL673" s="33" t="s">
        <v>2374</v>
      </c>
    </row>
    <row r="674" spans="1:38">
      <c r="A674" s="33" t="s">
        <v>3017</v>
      </c>
      <c r="B674" s="33"/>
      <c r="C674" s="33" t="s">
        <v>789</v>
      </c>
      <c r="D674" s="33" t="s">
        <v>2114</v>
      </c>
      <c r="E674" s="33" t="s">
        <v>3018</v>
      </c>
      <c r="F674" s="43">
        <v>46154.541666666664</v>
      </c>
      <c r="G674" s="33" t="s">
        <v>171</v>
      </c>
      <c r="H674" s="33"/>
      <c r="I674" s="33" t="s">
        <v>793</v>
      </c>
      <c r="J674" s="33" t="s">
        <v>1630</v>
      </c>
      <c r="K674" s="33" t="s">
        <v>75</v>
      </c>
      <c r="L674" s="33" t="s">
        <v>1148</v>
      </c>
      <c r="M674" s="43">
        <v>46154.806261574071</v>
      </c>
      <c r="N674" s="33" t="s">
        <v>2116</v>
      </c>
      <c r="O674" s="33" t="s">
        <v>797</v>
      </c>
      <c r="P674" s="33" t="s">
        <v>861</v>
      </c>
      <c r="Q674" s="33"/>
      <c r="R674" s="33"/>
      <c r="S674" s="33"/>
      <c r="T674" s="33" t="s">
        <v>308</v>
      </c>
      <c r="U674" s="43">
        <v>46154.783333333333</v>
      </c>
      <c r="V674" s="58">
        <v>2.4305555555555556E-2</v>
      </c>
      <c r="W674" s="33" t="s">
        <v>308</v>
      </c>
      <c r="X674" s="43">
        <v>46154.783333333333</v>
      </c>
      <c r="Y674" s="58">
        <v>2.4305555555555556E-2</v>
      </c>
      <c r="Z674" s="33" t="s">
        <v>308</v>
      </c>
      <c r="AA674" s="43">
        <v>46159</v>
      </c>
      <c r="AB674" s="33" t="s">
        <v>81</v>
      </c>
      <c r="AC674" s="33" t="s">
        <v>1631</v>
      </c>
      <c r="AD674" s="58">
        <v>0.17222222222222222</v>
      </c>
      <c r="AE674" s="33"/>
      <c r="AF674" s="58">
        <v>0.17222222222222222</v>
      </c>
      <c r="AG674" s="33" t="s">
        <v>2117</v>
      </c>
      <c r="AH674" s="33">
        <v>1</v>
      </c>
      <c r="AI674" s="43">
        <v>46154.795138888891</v>
      </c>
      <c r="AJ674" s="33" t="s">
        <v>793</v>
      </c>
      <c r="AK674" s="42">
        <v>313245.12</v>
      </c>
      <c r="AL674" s="33" t="s">
        <v>2118</v>
      </c>
    </row>
    <row r="675" spans="1:38">
      <c r="A675" s="33">
        <v>6003597</v>
      </c>
      <c r="B675" s="33"/>
      <c r="C675" s="33" t="s">
        <v>789</v>
      </c>
      <c r="D675" s="33" t="s">
        <v>1150</v>
      </c>
      <c r="E675" s="33" t="s">
        <v>3019</v>
      </c>
      <c r="F675" s="43">
        <v>46153.625</v>
      </c>
      <c r="G675" s="33" t="s">
        <v>792</v>
      </c>
      <c r="H675" s="33"/>
      <c r="I675" s="33" t="s">
        <v>793</v>
      </c>
      <c r="J675" s="33" t="s">
        <v>1049</v>
      </c>
      <c r="K675" s="33" t="s">
        <v>75</v>
      </c>
      <c r="L675" s="33" t="s">
        <v>1035</v>
      </c>
      <c r="M675" s="43">
        <v>46154.734201388892</v>
      </c>
      <c r="N675" s="33" t="s">
        <v>1152</v>
      </c>
      <c r="O675" s="33" t="s">
        <v>175</v>
      </c>
      <c r="P675" s="33" t="s">
        <v>799</v>
      </c>
      <c r="Q675" s="43">
        <v>46154.521527777775</v>
      </c>
      <c r="R675" s="43">
        <v>46154.68472222222</v>
      </c>
      <c r="S675" s="58">
        <v>0.16319444444444445</v>
      </c>
      <c r="T675" s="33" t="s">
        <v>140</v>
      </c>
      <c r="U675" s="43">
        <v>46154.709027777775</v>
      </c>
      <c r="V675" s="58">
        <v>2.8472222222222222E-2</v>
      </c>
      <c r="W675" s="33" t="s">
        <v>140</v>
      </c>
      <c r="X675" s="43">
        <v>46154.709027777775</v>
      </c>
      <c r="Y675" s="58">
        <v>2.8472222222222222E-2</v>
      </c>
      <c r="Z675" s="33" t="s">
        <v>140</v>
      </c>
      <c r="AA675" s="43">
        <v>46155.583333333336</v>
      </c>
      <c r="AB675" s="33" t="s">
        <v>81</v>
      </c>
      <c r="AC675" s="33" t="s">
        <v>1053</v>
      </c>
      <c r="AD675" s="58">
        <v>0.23194444444444445</v>
      </c>
      <c r="AE675" s="58">
        <v>5.0694444444444445E-2</v>
      </c>
      <c r="AF675" s="58">
        <v>0.23194444444444445</v>
      </c>
      <c r="AG675" s="33" t="s">
        <v>1154</v>
      </c>
      <c r="AH675" s="33">
        <v>2</v>
      </c>
      <c r="AI675" s="43">
        <v>46154.709027777775</v>
      </c>
      <c r="AJ675" s="33" t="s">
        <v>793</v>
      </c>
      <c r="AK675" s="42">
        <v>676875.75</v>
      </c>
      <c r="AL675" s="33" t="s">
        <v>1155</v>
      </c>
    </row>
    <row r="676" spans="1:38">
      <c r="A676" s="33">
        <v>6011289</v>
      </c>
      <c r="B676" s="33"/>
      <c r="C676" s="33" t="s">
        <v>789</v>
      </c>
      <c r="D676" s="33" t="s">
        <v>1574</v>
      </c>
      <c r="E676" s="33" t="s">
        <v>3020</v>
      </c>
      <c r="F676" s="43">
        <v>46154.534722222219</v>
      </c>
      <c r="G676" s="33" t="s">
        <v>440</v>
      </c>
      <c r="H676" s="33"/>
      <c r="I676" s="33" t="s">
        <v>73</v>
      </c>
      <c r="J676" s="33" t="s">
        <v>1305</v>
      </c>
      <c r="K676" s="33" t="s">
        <v>820</v>
      </c>
      <c r="L676" s="33" t="s">
        <v>880</v>
      </c>
      <c r="M676" s="43">
        <v>46155.858865740738</v>
      </c>
      <c r="N676" s="33" t="s">
        <v>1578</v>
      </c>
      <c r="O676" s="33" t="s">
        <v>868</v>
      </c>
      <c r="P676" s="33" t="s">
        <v>79</v>
      </c>
      <c r="Q676" s="33"/>
      <c r="R676" s="33"/>
      <c r="S676" s="33"/>
      <c r="T676" s="33" t="s">
        <v>984</v>
      </c>
      <c r="U676" s="43">
        <v>46154.9</v>
      </c>
      <c r="V676" s="58">
        <v>0.95833333333333337</v>
      </c>
      <c r="W676" s="33"/>
      <c r="X676" s="33"/>
      <c r="Y676" s="33"/>
      <c r="Z676" s="33" t="s">
        <v>984</v>
      </c>
      <c r="AA676" s="43">
        <v>46155.25</v>
      </c>
      <c r="AB676" s="33" t="s">
        <v>81</v>
      </c>
      <c r="AC676" s="33" t="s">
        <v>81</v>
      </c>
      <c r="AD676" s="44">
        <v>1.1236111111111111</v>
      </c>
      <c r="AE676" s="33"/>
      <c r="AF676" s="44">
        <v>1.1236111111111111</v>
      </c>
      <c r="AG676" s="33" t="s">
        <v>1580</v>
      </c>
      <c r="AH676" s="33">
        <v>1</v>
      </c>
      <c r="AI676" s="43">
        <v>46154.9</v>
      </c>
      <c r="AJ676" s="33" t="s">
        <v>73</v>
      </c>
      <c r="AK676" s="42">
        <v>144244.79999999999</v>
      </c>
      <c r="AL676" s="33" t="s">
        <v>1581</v>
      </c>
    </row>
    <row r="677" spans="1:38">
      <c r="A677" s="33" t="s">
        <v>3021</v>
      </c>
      <c r="B677" s="33"/>
      <c r="C677" s="33" t="s">
        <v>789</v>
      </c>
      <c r="D677" s="33" t="s">
        <v>599</v>
      </c>
      <c r="E677" s="33" t="s">
        <v>3022</v>
      </c>
      <c r="F677" s="43">
        <v>46154.708333333336</v>
      </c>
      <c r="G677" s="33" t="s">
        <v>171</v>
      </c>
      <c r="H677" s="33"/>
      <c r="I677" s="33" t="s">
        <v>793</v>
      </c>
      <c r="J677" s="33" t="s">
        <v>965</v>
      </c>
      <c r="K677" s="33" t="s">
        <v>75</v>
      </c>
      <c r="L677" s="33" t="s">
        <v>1264</v>
      </c>
      <c r="M677" s="43">
        <v>46154.88175925926</v>
      </c>
      <c r="N677" s="33" t="s">
        <v>603</v>
      </c>
      <c r="O677" s="33" t="s">
        <v>797</v>
      </c>
      <c r="P677" s="33" t="s">
        <v>967</v>
      </c>
      <c r="Q677" s="33"/>
      <c r="R677" s="33"/>
      <c r="S677" s="33"/>
      <c r="T677" s="33" t="s">
        <v>308</v>
      </c>
      <c r="U677" s="43">
        <v>46154.859027777777</v>
      </c>
      <c r="V677" s="58">
        <v>2.2916666666666665E-2</v>
      </c>
      <c r="W677" s="33"/>
      <c r="X677" s="33"/>
      <c r="Y677" s="33"/>
      <c r="Z677" s="33" t="s">
        <v>308</v>
      </c>
      <c r="AA677" s="43">
        <v>46159</v>
      </c>
      <c r="AB677" s="33" t="s">
        <v>81</v>
      </c>
      <c r="AC677" s="33" t="s">
        <v>968</v>
      </c>
      <c r="AD677" s="58">
        <v>0.16250000000000001</v>
      </c>
      <c r="AE677" s="33"/>
      <c r="AF677" s="58">
        <v>0.14791666666666667</v>
      </c>
      <c r="AG677" s="33" t="s">
        <v>969</v>
      </c>
      <c r="AH677" s="33">
        <v>1</v>
      </c>
      <c r="AI677" s="43">
        <v>46154.859027777777</v>
      </c>
      <c r="AJ677" s="33" t="s">
        <v>793</v>
      </c>
      <c r="AK677" s="42">
        <v>305511.02</v>
      </c>
      <c r="AL677" s="33" t="s">
        <v>609</v>
      </c>
    </row>
    <row r="678" spans="1:38">
      <c r="A678" s="33" t="s">
        <v>3023</v>
      </c>
      <c r="B678" s="33"/>
      <c r="C678" s="33" t="s">
        <v>789</v>
      </c>
      <c r="D678" s="33" t="s">
        <v>677</v>
      </c>
      <c r="E678" s="33" t="s">
        <v>3024</v>
      </c>
      <c r="F678" s="43">
        <v>46154.708333333336</v>
      </c>
      <c r="G678" s="33" t="s">
        <v>171</v>
      </c>
      <c r="H678" s="33"/>
      <c r="I678" s="33" t="s">
        <v>793</v>
      </c>
      <c r="J678" s="33" t="s">
        <v>958</v>
      </c>
      <c r="K678" s="33" t="s">
        <v>75</v>
      </c>
      <c r="L678" s="33" t="s">
        <v>1691</v>
      </c>
      <c r="M678" s="43">
        <v>46154.855914351851</v>
      </c>
      <c r="N678" s="33" t="s">
        <v>681</v>
      </c>
      <c r="O678" s="33" t="s">
        <v>797</v>
      </c>
      <c r="P678" s="33" t="s">
        <v>861</v>
      </c>
      <c r="Q678" s="33"/>
      <c r="R678" s="33"/>
      <c r="S678" s="33"/>
      <c r="T678" s="33" t="s">
        <v>308</v>
      </c>
      <c r="U678" s="43">
        <v>46154.85</v>
      </c>
      <c r="V678" s="58">
        <v>5.5555555555555558E-3</v>
      </c>
      <c r="W678" s="33"/>
      <c r="X678" s="33"/>
      <c r="Y678" s="33"/>
      <c r="Z678" s="33" t="s">
        <v>308</v>
      </c>
      <c r="AA678" s="43">
        <v>46159</v>
      </c>
      <c r="AB678" s="33" t="s">
        <v>81</v>
      </c>
      <c r="AC678" s="33" t="s">
        <v>81</v>
      </c>
      <c r="AD678" s="58">
        <v>0.1361111111111111</v>
      </c>
      <c r="AE678" s="33"/>
      <c r="AF678" s="58">
        <v>0.1361111111111111</v>
      </c>
      <c r="AG678" s="33" t="s">
        <v>1233</v>
      </c>
      <c r="AH678" s="33">
        <v>1</v>
      </c>
      <c r="AI678" s="43">
        <v>46154.85</v>
      </c>
      <c r="AJ678" s="33" t="s">
        <v>793</v>
      </c>
      <c r="AK678" s="42">
        <v>109796.84</v>
      </c>
      <c r="AL678" s="33" t="s">
        <v>684</v>
      </c>
    </row>
    <row r="679" spans="1:38">
      <c r="A679" s="33" t="s">
        <v>3025</v>
      </c>
      <c r="B679" s="33"/>
      <c r="C679" s="33" t="s">
        <v>789</v>
      </c>
      <c r="D679" s="33" t="s">
        <v>2528</v>
      </c>
      <c r="E679" s="33" t="s">
        <v>3026</v>
      </c>
      <c r="F679" s="43">
        <v>46154.666666666664</v>
      </c>
      <c r="G679" s="33" t="s">
        <v>171</v>
      </c>
      <c r="H679" s="33"/>
      <c r="I679" s="33" t="s">
        <v>793</v>
      </c>
      <c r="J679" s="33" t="s">
        <v>965</v>
      </c>
      <c r="K679" s="33" t="s">
        <v>75</v>
      </c>
      <c r="L679" s="33" t="s">
        <v>1231</v>
      </c>
      <c r="M679" s="43">
        <v>46154.766030092593</v>
      </c>
      <c r="N679" s="33" t="s">
        <v>174</v>
      </c>
      <c r="O679" s="33" t="s">
        <v>797</v>
      </c>
      <c r="P679" s="33" t="s">
        <v>967</v>
      </c>
      <c r="Q679" s="33"/>
      <c r="R679" s="33"/>
      <c r="S679" s="33"/>
      <c r="T679" s="33" t="s">
        <v>308</v>
      </c>
      <c r="U679" s="43">
        <v>46154.739583333336</v>
      </c>
      <c r="V679" s="58">
        <v>2.7777777777777776E-2</v>
      </c>
      <c r="W679" s="33" t="s">
        <v>308</v>
      </c>
      <c r="X679" s="43">
        <v>46154.739583333336</v>
      </c>
      <c r="Y679" s="58">
        <v>2.7777777777777776E-2</v>
      </c>
      <c r="Z679" s="33" t="s">
        <v>308</v>
      </c>
      <c r="AA679" s="43">
        <v>46159</v>
      </c>
      <c r="AB679" s="33" t="s">
        <v>81</v>
      </c>
      <c r="AC679" s="33" t="s">
        <v>968</v>
      </c>
      <c r="AD679" s="58">
        <v>0.14722222222222223</v>
      </c>
      <c r="AE679" s="33"/>
      <c r="AF679" s="58">
        <v>0.14722222222222223</v>
      </c>
      <c r="AG679" s="33" t="s">
        <v>2530</v>
      </c>
      <c r="AH679" s="33">
        <v>1</v>
      </c>
      <c r="AI679" s="43">
        <v>46154.739583333336</v>
      </c>
      <c r="AJ679" s="33" t="s">
        <v>793</v>
      </c>
      <c r="AK679" s="42">
        <v>869791.7</v>
      </c>
      <c r="AL679" s="33" t="s">
        <v>2531</v>
      </c>
    </row>
    <row r="680" spans="1:38">
      <c r="A680" s="33">
        <v>6008200</v>
      </c>
      <c r="B680" s="33"/>
      <c r="C680" s="33" t="s">
        <v>789</v>
      </c>
      <c r="D680" s="33" t="s">
        <v>1074</v>
      </c>
      <c r="E680" s="33" t="s">
        <v>3027</v>
      </c>
      <c r="F680" s="43">
        <v>46154.666666666664</v>
      </c>
      <c r="G680" s="33" t="s">
        <v>792</v>
      </c>
      <c r="H680" s="33"/>
      <c r="I680" s="33" t="s">
        <v>793</v>
      </c>
      <c r="J680" s="33" t="s">
        <v>2049</v>
      </c>
      <c r="K680" s="33" t="s">
        <v>75</v>
      </c>
      <c r="L680" s="33" t="s">
        <v>812</v>
      </c>
      <c r="M680" s="43">
        <v>46154.799409722225</v>
      </c>
      <c r="N680" s="33" t="s">
        <v>1078</v>
      </c>
      <c r="O680" s="33" t="s">
        <v>797</v>
      </c>
      <c r="P680" s="33" t="s">
        <v>1963</v>
      </c>
      <c r="Q680" s="43">
        <v>46154.604166666664</v>
      </c>
      <c r="R680" s="43">
        <v>46154.650694444441</v>
      </c>
      <c r="S680" s="58">
        <v>4.6527777777777779E-2</v>
      </c>
      <c r="T680" s="33" t="s">
        <v>799</v>
      </c>
      <c r="U680" s="43">
        <v>46154.786805555559</v>
      </c>
      <c r="V680" s="58">
        <v>1.5277777777777777E-2</v>
      </c>
      <c r="W680" s="33" t="s">
        <v>799</v>
      </c>
      <c r="X680" s="43">
        <v>46154.786805555559</v>
      </c>
      <c r="Y680" s="58">
        <v>1.5277777777777777E-2</v>
      </c>
      <c r="Z680" s="33" t="s">
        <v>799</v>
      </c>
      <c r="AA680" s="43">
        <v>46155.958333333336</v>
      </c>
      <c r="AB680" s="33" t="s">
        <v>81</v>
      </c>
      <c r="AC680" s="33" t="s">
        <v>2076</v>
      </c>
      <c r="AD680" s="58">
        <v>0.23333333333333334</v>
      </c>
      <c r="AE680" s="58">
        <v>0.14861111111111111</v>
      </c>
      <c r="AF680" s="58">
        <v>0.23333333333333334</v>
      </c>
      <c r="AG680" s="33" t="s">
        <v>1080</v>
      </c>
      <c r="AH680" s="33">
        <v>2</v>
      </c>
      <c r="AI680" s="43">
        <v>46154.786805555559</v>
      </c>
      <c r="AJ680" s="33" t="s">
        <v>793</v>
      </c>
      <c r="AK680" s="42">
        <v>599486.46</v>
      </c>
      <c r="AL680" s="33" t="s">
        <v>1081</v>
      </c>
    </row>
    <row r="681" spans="1:38">
      <c r="A681" s="33">
        <v>6008206</v>
      </c>
      <c r="B681" s="33"/>
      <c r="C681" s="33" t="s">
        <v>789</v>
      </c>
      <c r="D681" s="33" t="s">
        <v>1366</v>
      </c>
      <c r="E681" s="33" t="s">
        <v>3028</v>
      </c>
      <c r="F681" s="43">
        <v>46154.625</v>
      </c>
      <c r="G681" s="33" t="s">
        <v>792</v>
      </c>
      <c r="H681" s="33"/>
      <c r="I681" s="33" t="s">
        <v>793</v>
      </c>
      <c r="J681" s="33" t="s">
        <v>2049</v>
      </c>
      <c r="K681" s="33" t="s">
        <v>75</v>
      </c>
      <c r="L681" s="33" t="s">
        <v>857</v>
      </c>
      <c r="M681" s="43">
        <v>46154.800312500003</v>
      </c>
      <c r="N681" s="33" t="s">
        <v>796</v>
      </c>
      <c r="O681" s="33" t="s">
        <v>175</v>
      </c>
      <c r="P681" s="33" t="s">
        <v>1963</v>
      </c>
      <c r="Q681" s="43">
        <v>46154.572916666664</v>
      </c>
      <c r="R681" s="43">
        <v>46154.613888888889</v>
      </c>
      <c r="S681" s="58">
        <v>4.0972222222222222E-2</v>
      </c>
      <c r="T681" s="33" t="s">
        <v>799</v>
      </c>
      <c r="U681" s="43">
        <v>46154.789583333331</v>
      </c>
      <c r="V681" s="58">
        <v>1.1111111111111112E-2</v>
      </c>
      <c r="W681" s="33" t="s">
        <v>799</v>
      </c>
      <c r="X681" s="43">
        <v>46154.789583333331</v>
      </c>
      <c r="Y681" s="58">
        <v>1.1111111111111112E-2</v>
      </c>
      <c r="Z681" s="33" t="s">
        <v>799</v>
      </c>
      <c r="AA681" s="43">
        <v>46155.958333333336</v>
      </c>
      <c r="AB681" s="33" t="s">
        <v>81</v>
      </c>
      <c r="AC681" s="33" t="s">
        <v>2076</v>
      </c>
      <c r="AD681" s="58">
        <v>0.23125000000000001</v>
      </c>
      <c r="AE681" s="58">
        <v>0.18611111111111112</v>
      </c>
      <c r="AF681" s="58">
        <v>0.23125000000000001</v>
      </c>
      <c r="AG681" s="33" t="s">
        <v>1369</v>
      </c>
      <c r="AH681" s="33">
        <v>2</v>
      </c>
      <c r="AI681" s="43">
        <v>46154.789583333331</v>
      </c>
      <c r="AJ681" s="33" t="s">
        <v>793</v>
      </c>
      <c r="AK681" s="42">
        <v>418253.03</v>
      </c>
      <c r="AL681" s="33" t="s">
        <v>1370</v>
      </c>
    </row>
    <row r="682" spans="1:38">
      <c r="A682" s="33">
        <v>6006955</v>
      </c>
      <c r="B682" s="33"/>
      <c r="C682" s="33" t="s">
        <v>789</v>
      </c>
      <c r="D682" s="33" t="s">
        <v>2731</v>
      </c>
      <c r="E682" s="33" t="s">
        <v>3029</v>
      </c>
      <c r="F682" s="43">
        <v>46154.625</v>
      </c>
      <c r="G682" s="33" t="s">
        <v>792</v>
      </c>
      <c r="H682" s="33"/>
      <c r="I682" s="33" t="s">
        <v>793</v>
      </c>
      <c r="J682" s="33" t="s">
        <v>958</v>
      </c>
      <c r="K682" s="33" t="s">
        <v>75</v>
      </c>
      <c r="L682" s="33" t="s">
        <v>1592</v>
      </c>
      <c r="M682" s="43">
        <v>46154.800925925927</v>
      </c>
      <c r="N682" s="33" t="s">
        <v>2515</v>
      </c>
      <c r="O682" s="33" t="s">
        <v>797</v>
      </c>
      <c r="P682" s="33" t="s">
        <v>1963</v>
      </c>
      <c r="Q682" s="43">
        <v>46154.62222222222</v>
      </c>
      <c r="R682" s="43">
        <v>46154.679861111108</v>
      </c>
      <c r="S682" s="58">
        <v>5.7638888888888892E-2</v>
      </c>
      <c r="T682" s="33" t="s">
        <v>140</v>
      </c>
      <c r="U682" s="43">
        <v>46154.779861111114</v>
      </c>
      <c r="V682" s="58">
        <v>2.0833333333333333E-3</v>
      </c>
      <c r="W682" s="33"/>
      <c r="X682" s="33"/>
      <c r="Y682" s="33"/>
      <c r="Z682" s="33" t="s">
        <v>140</v>
      </c>
      <c r="AA682" s="43">
        <v>46155.75</v>
      </c>
      <c r="AB682" s="33" t="s">
        <v>81</v>
      </c>
      <c r="AC682" s="33" t="s">
        <v>1404</v>
      </c>
      <c r="AD682" s="58">
        <v>0.2298611111111111</v>
      </c>
      <c r="AE682" s="33"/>
      <c r="AF682" s="58">
        <v>0.2298611111111111</v>
      </c>
      <c r="AG682" s="33" t="s">
        <v>2735</v>
      </c>
      <c r="AH682" s="33">
        <v>2</v>
      </c>
      <c r="AI682" s="43">
        <v>46154.779861111114</v>
      </c>
      <c r="AJ682" s="33" t="s">
        <v>793</v>
      </c>
      <c r="AK682" s="42">
        <v>1107374.58</v>
      </c>
      <c r="AL682" s="33" t="s">
        <v>2736</v>
      </c>
    </row>
    <row r="683" spans="1:38">
      <c r="A683" s="33">
        <v>6007557</v>
      </c>
      <c r="B683" s="33"/>
      <c r="C683" s="33" t="s">
        <v>789</v>
      </c>
      <c r="D683" s="33" t="s">
        <v>2333</v>
      </c>
      <c r="E683" s="33" t="s">
        <v>3030</v>
      </c>
      <c r="F683" s="43">
        <v>46154.583333333336</v>
      </c>
      <c r="G683" s="33" t="s">
        <v>792</v>
      </c>
      <c r="H683" s="33"/>
      <c r="I683" s="33" t="s">
        <v>793</v>
      </c>
      <c r="J683" s="33" t="s">
        <v>958</v>
      </c>
      <c r="K683" s="33" t="s">
        <v>75</v>
      </c>
      <c r="L683" s="33" t="s">
        <v>1035</v>
      </c>
      <c r="M683" s="43">
        <v>46154.721655092595</v>
      </c>
      <c r="N683" s="33" t="s">
        <v>1387</v>
      </c>
      <c r="O683" s="33" t="s">
        <v>3031</v>
      </c>
      <c r="P683" s="33" t="s">
        <v>1963</v>
      </c>
      <c r="Q683" s="43">
        <v>46154.577777777777</v>
      </c>
      <c r="R683" s="43">
        <v>46154.603472222225</v>
      </c>
      <c r="S683" s="58">
        <v>2.5694444444444443E-2</v>
      </c>
      <c r="T683" s="33" t="s">
        <v>140</v>
      </c>
      <c r="U683" s="43">
        <v>46154.704861111109</v>
      </c>
      <c r="V683" s="58">
        <v>2.0833333333333333E-3</v>
      </c>
      <c r="W683" s="33"/>
      <c r="X683" s="33"/>
      <c r="Y683" s="33"/>
      <c r="Z683" s="33" t="s">
        <v>140</v>
      </c>
      <c r="AA683" s="43">
        <v>46155.875</v>
      </c>
      <c r="AB683" s="33" t="s">
        <v>1052</v>
      </c>
      <c r="AC683" s="33" t="s">
        <v>1404</v>
      </c>
      <c r="AD683" s="58">
        <v>0.14652777777777778</v>
      </c>
      <c r="AE683" s="33"/>
      <c r="AF683" s="58">
        <v>0.14652777777777778</v>
      </c>
      <c r="AG683" s="33" t="s">
        <v>2335</v>
      </c>
      <c r="AH683" s="33">
        <v>2</v>
      </c>
      <c r="AI683" s="43">
        <v>46154.704861111109</v>
      </c>
      <c r="AJ683" s="33" t="s">
        <v>793</v>
      </c>
      <c r="AK683" s="42">
        <v>1094620.1399999999</v>
      </c>
      <c r="AL683" s="33" t="s">
        <v>2336</v>
      </c>
    </row>
    <row r="684" spans="1:38">
      <c r="A684" s="33">
        <v>6020679</v>
      </c>
      <c r="B684" s="33"/>
      <c r="C684" s="33" t="s">
        <v>789</v>
      </c>
      <c r="D684" s="33" t="s">
        <v>2290</v>
      </c>
      <c r="E684" s="33" t="s">
        <v>3032</v>
      </c>
      <c r="F684" s="43">
        <v>46154.568749999999</v>
      </c>
      <c r="G684" s="33" t="s">
        <v>227</v>
      </c>
      <c r="H684" s="33"/>
      <c r="I684" s="33" t="s">
        <v>73</v>
      </c>
      <c r="J684" s="33" t="s">
        <v>3033</v>
      </c>
      <c r="K684" s="33" t="s">
        <v>75</v>
      </c>
      <c r="L684" s="33" t="s">
        <v>1738</v>
      </c>
      <c r="M684" s="43">
        <v>46154.645520833335</v>
      </c>
      <c r="N684" s="33" t="s">
        <v>1810</v>
      </c>
      <c r="O684" s="33" t="s">
        <v>797</v>
      </c>
      <c r="P684" s="33" t="s">
        <v>140</v>
      </c>
      <c r="Q684" s="43">
        <v>46154.586805555555</v>
      </c>
      <c r="R684" s="43">
        <v>46154.601388888892</v>
      </c>
      <c r="S684" s="58">
        <v>1.4583333333333334E-2</v>
      </c>
      <c r="T684" s="33" t="s">
        <v>3034</v>
      </c>
      <c r="U684" s="33"/>
      <c r="V684" s="33"/>
      <c r="W684" s="33" t="s">
        <v>1740</v>
      </c>
      <c r="X684" s="43">
        <v>46154.631944444445</v>
      </c>
      <c r="Y684" s="58">
        <v>1.8749999999999999E-2</v>
      </c>
      <c r="Z684" s="33" t="s">
        <v>3034</v>
      </c>
      <c r="AA684" s="43">
        <v>46160.333333333336</v>
      </c>
      <c r="AB684" s="33" t="s">
        <v>1929</v>
      </c>
      <c r="AC684" s="33" t="s">
        <v>3035</v>
      </c>
      <c r="AD684" s="58">
        <v>6.5972222222222224E-2</v>
      </c>
      <c r="AE684" s="33"/>
      <c r="AF684" s="58">
        <v>6.5972222222222224E-2</v>
      </c>
      <c r="AG684" s="33" t="s">
        <v>1811</v>
      </c>
      <c r="AH684" s="33">
        <v>2</v>
      </c>
      <c r="AI684" s="43">
        <v>46154.691666666666</v>
      </c>
      <c r="AJ684" s="33" t="s">
        <v>73</v>
      </c>
      <c r="AK684" s="42">
        <v>1278829.83</v>
      </c>
      <c r="AL684" s="33" t="s">
        <v>2294</v>
      </c>
    </row>
    <row r="685" spans="1:38">
      <c r="A685" s="33">
        <v>6015317</v>
      </c>
      <c r="B685" s="33"/>
      <c r="C685" s="33" t="s">
        <v>789</v>
      </c>
      <c r="D685" s="33" t="s">
        <v>3036</v>
      </c>
      <c r="E685" s="33" t="s">
        <v>3037</v>
      </c>
      <c r="F685" s="43">
        <v>46154.604166666664</v>
      </c>
      <c r="G685" s="33" t="s">
        <v>1635</v>
      </c>
      <c r="H685" s="33"/>
      <c r="I685" s="33" t="s">
        <v>73</v>
      </c>
      <c r="J685" s="33" t="s">
        <v>3038</v>
      </c>
      <c r="K685" s="33" t="s">
        <v>75</v>
      </c>
      <c r="L685" s="33" t="s">
        <v>3039</v>
      </c>
      <c r="M685" s="43">
        <v>46154.75708333333</v>
      </c>
      <c r="N685" s="33" t="s">
        <v>3040</v>
      </c>
      <c r="O685" s="33" t="s">
        <v>797</v>
      </c>
      <c r="P685" s="33" t="s">
        <v>140</v>
      </c>
      <c r="Q685" s="43">
        <v>46154.604861111111</v>
      </c>
      <c r="R685" s="43">
        <v>46154.618750000001</v>
      </c>
      <c r="S685" s="58">
        <v>1.3888888888888888E-2</v>
      </c>
      <c r="T685" s="33" t="s">
        <v>3041</v>
      </c>
      <c r="U685" s="33"/>
      <c r="V685" s="33"/>
      <c r="W685" s="33"/>
      <c r="X685" s="33"/>
      <c r="Y685" s="33"/>
      <c r="Z685" s="33" t="s">
        <v>3041</v>
      </c>
      <c r="AA685" s="43">
        <v>46156.333333333336</v>
      </c>
      <c r="AB685" s="33" t="s">
        <v>3042</v>
      </c>
      <c r="AC685" s="33" t="s">
        <v>3043</v>
      </c>
      <c r="AD685" s="58">
        <v>0.15694444444444444</v>
      </c>
      <c r="AE685" s="33"/>
      <c r="AF685" s="58">
        <v>0.15694444444444444</v>
      </c>
      <c r="AG685" s="33" t="s">
        <v>3044</v>
      </c>
      <c r="AH685" s="33">
        <v>1</v>
      </c>
      <c r="AI685" s="43">
        <v>46155.493055555555</v>
      </c>
      <c r="AJ685" s="33" t="s">
        <v>73</v>
      </c>
      <c r="AK685" s="42">
        <v>900053.5</v>
      </c>
      <c r="AL685" s="33" t="s">
        <v>3045</v>
      </c>
    </row>
    <row r="686" spans="1:38">
      <c r="A686" s="33" t="s">
        <v>944</v>
      </c>
      <c r="B686" s="33"/>
      <c r="C686" s="33" t="s">
        <v>789</v>
      </c>
      <c r="D686" s="33" t="s">
        <v>1546</v>
      </c>
      <c r="E686" s="33" t="s">
        <v>3046</v>
      </c>
      <c r="F686" s="43">
        <v>46155.166666666664</v>
      </c>
      <c r="G686" s="33" t="s">
        <v>227</v>
      </c>
      <c r="H686" s="33"/>
      <c r="I686" s="33" t="s">
        <v>73</v>
      </c>
      <c r="J686" s="33" t="s">
        <v>947</v>
      </c>
      <c r="K686" s="33" t="s">
        <v>75</v>
      </c>
      <c r="L686" s="33" t="s">
        <v>3047</v>
      </c>
      <c r="M686" s="43">
        <v>46155.271354166667</v>
      </c>
      <c r="N686" s="33" t="s">
        <v>1549</v>
      </c>
      <c r="O686" s="33" t="s">
        <v>797</v>
      </c>
      <c r="P686" s="33" t="s">
        <v>79</v>
      </c>
      <c r="Q686" s="33"/>
      <c r="R686" s="33"/>
      <c r="S686" s="33"/>
      <c r="T686" s="33" t="s">
        <v>286</v>
      </c>
      <c r="U686" s="33"/>
      <c r="V686" s="33"/>
      <c r="W686" s="33"/>
      <c r="X686" s="33"/>
      <c r="Y686" s="33"/>
      <c r="Z686" s="33" t="s">
        <v>286</v>
      </c>
      <c r="AA686" s="43">
        <v>46155.333333333336</v>
      </c>
      <c r="AB686" s="33" t="s">
        <v>1138</v>
      </c>
      <c r="AC686" s="33" t="s">
        <v>952</v>
      </c>
      <c r="AD686" s="58">
        <v>0.94861111111111107</v>
      </c>
      <c r="AE686" s="33"/>
      <c r="AF686" s="58">
        <v>0.94861111111111107</v>
      </c>
      <c r="AG686" s="33"/>
      <c r="AH686" s="33">
        <v>2</v>
      </c>
      <c r="AI686" s="43">
        <v>46155.506944444445</v>
      </c>
      <c r="AJ686" s="33" t="s">
        <v>73</v>
      </c>
      <c r="AK686" s="42">
        <v>330606.25</v>
      </c>
      <c r="AL686" s="33" t="s">
        <v>1550</v>
      </c>
    </row>
    <row r="687" spans="1:38">
      <c r="A687" s="33">
        <v>6013980</v>
      </c>
      <c r="B687" s="33"/>
      <c r="C687" s="33" t="s">
        <v>789</v>
      </c>
      <c r="D687" s="33" t="s">
        <v>3048</v>
      </c>
      <c r="E687" s="33" t="s">
        <v>3049</v>
      </c>
      <c r="F687" s="43">
        <v>46155.166666666664</v>
      </c>
      <c r="G687" s="33" t="s">
        <v>3050</v>
      </c>
      <c r="H687" s="33"/>
      <c r="I687" s="33" t="s">
        <v>73</v>
      </c>
      <c r="J687" s="33" t="s">
        <v>983</v>
      </c>
      <c r="K687" s="33" t="s">
        <v>75</v>
      </c>
      <c r="L687" s="33" t="s">
        <v>880</v>
      </c>
      <c r="M687" s="43">
        <v>46156.438136574077</v>
      </c>
      <c r="N687" s="33" t="s">
        <v>3051</v>
      </c>
      <c r="O687" s="33" t="s">
        <v>231</v>
      </c>
      <c r="P687" s="33" t="s">
        <v>140</v>
      </c>
      <c r="Q687" s="33"/>
      <c r="R687" s="33"/>
      <c r="S687" s="33"/>
      <c r="T687" s="33" t="s">
        <v>984</v>
      </c>
      <c r="U687" s="43">
        <v>46155.663888888892</v>
      </c>
      <c r="V687" s="58">
        <v>0.73819444444444449</v>
      </c>
      <c r="W687" s="33"/>
      <c r="X687" s="33"/>
      <c r="Y687" s="33"/>
      <c r="Z687" s="33" t="s">
        <v>984</v>
      </c>
      <c r="AA687" s="43">
        <v>46156.25</v>
      </c>
      <c r="AB687" s="33" t="s">
        <v>81</v>
      </c>
      <c r="AC687" s="33" t="s">
        <v>81</v>
      </c>
      <c r="AD687" s="44">
        <v>1.1916666666666667</v>
      </c>
      <c r="AE687" s="33"/>
      <c r="AF687" s="44">
        <v>1.1916666666666667</v>
      </c>
      <c r="AG687" s="33"/>
      <c r="AH687" s="33">
        <v>1</v>
      </c>
      <c r="AI687" s="43">
        <v>46155.663888888892</v>
      </c>
      <c r="AJ687" s="33" t="s">
        <v>73</v>
      </c>
      <c r="AK687" s="42">
        <v>51637.2</v>
      </c>
      <c r="AL687" s="33" t="s">
        <v>3052</v>
      </c>
    </row>
    <row r="688" spans="1:38">
      <c r="A688" s="33">
        <v>6009483</v>
      </c>
      <c r="B688" s="33"/>
      <c r="C688" s="33" t="s">
        <v>789</v>
      </c>
      <c r="D688" s="33" t="s">
        <v>3053</v>
      </c>
      <c r="E688" s="33" t="s">
        <v>3054</v>
      </c>
      <c r="F688" s="43">
        <v>46154.708333333336</v>
      </c>
      <c r="G688" s="33" t="s">
        <v>216</v>
      </c>
      <c r="H688" s="33"/>
      <c r="I688" s="33" t="s">
        <v>73</v>
      </c>
      <c r="J688" s="33" t="s">
        <v>3055</v>
      </c>
      <c r="K688" s="33" t="s">
        <v>1378</v>
      </c>
      <c r="L688" s="33" t="s">
        <v>3056</v>
      </c>
      <c r="M688" s="43">
        <v>46156.744988425926</v>
      </c>
      <c r="N688" s="33" t="s">
        <v>2581</v>
      </c>
      <c r="O688" s="33" t="s">
        <v>797</v>
      </c>
      <c r="P688" s="33" t="s">
        <v>140</v>
      </c>
      <c r="Q688" s="43">
        <v>46154.618055555555</v>
      </c>
      <c r="R688" s="43">
        <v>46154.745833333334</v>
      </c>
      <c r="S688" s="58">
        <v>0.12777777777777777</v>
      </c>
      <c r="T688" s="33" t="s">
        <v>222</v>
      </c>
      <c r="U688" s="43">
        <v>46156.500694444447</v>
      </c>
      <c r="V688" s="58">
        <v>0.13402777777777777</v>
      </c>
      <c r="W688" s="33"/>
      <c r="X688" s="33"/>
      <c r="Y688" s="33"/>
      <c r="Z688" s="33" t="s">
        <v>222</v>
      </c>
      <c r="AA688" s="43">
        <v>46156.500694444447</v>
      </c>
      <c r="AB688" s="33" t="s">
        <v>1052</v>
      </c>
      <c r="AC688" s="33" t="s">
        <v>3057</v>
      </c>
      <c r="AD688" s="44">
        <v>2.1284722222222223</v>
      </c>
      <c r="AE688" s="33"/>
      <c r="AF688" s="44">
        <v>2.1284722222222223</v>
      </c>
      <c r="AG688" s="33" t="s">
        <v>3058</v>
      </c>
      <c r="AH688" s="33">
        <v>3</v>
      </c>
      <c r="AI688" s="43">
        <v>46156.500694444447</v>
      </c>
      <c r="AJ688" s="33" t="s">
        <v>73</v>
      </c>
      <c r="AK688" s="42">
        <v>350980</v>
      </c>
      <c r="AL688" s="33" t="s">
        <v>3059</v>
      </c>
    </row>
    <row r="689" spans="1:38">
      <c r="A689" s="33">
        <v>6008068</v>
      </c>
      <c r="B689" s="33"/>
      <c r="C689" s="33" t="s">
        <v>789</v>
      </c>
      <c r="D689" s="33" t="s">
        <v>2907</v>
      </c>
      <c r="E689" s="33" t="s">
        <v>3060</v>
      </c>
      <c r="F689" s="43">
        <v>46154.645833333336</v>
      </c>
      <c r="G689" s="33" t="s">
        <v>792</v>
      </c>
      <c r="H689" s="33"/>
      <c r="I689" s="33" t="s">
        <v>793</v>
      </c>
      <c r="J689" s="33" t="s">
        <v>2049</v>
      </c>
      <c r="K689" s="33" t="s">
        <v>75</v>
      </c>
      <c r="L689" s="33" t="s">
        <v>806</v>
      </c>
      <c r="M689" s="43">
        <v>46154.825648148151</v>
      </c>
      <c r="N689" s="33" t="s">
        <v>2909</v>
      </c>
      <c r="O689" s="33" t="s">
        <v>797</v>
      </c>
      <c r="P689" s="33" t="s">
        <v>1963</v>
      </c>
      <c r="Q689" s="43">
        <v>46154.630555555559</v>
      </c>
      <c r="R689" s="43">
        <v>46154.647916666669</v>
      </c>
      <c r="S689" s="58">
        <v>1.7361111111111112E-2</v>
      </c>
      <c r="T689" s="33" t="s">
        <v>799</v>
      </c>
      <c r="U689" s="43">
        <v>46154.799305555556</v>
      </c>
      <c r="V689" s="58">
        <v>2.8472222222222222E-2</v>
      </c>
      <c r="W689" s="33" t="s">
        <v>799</v>
      </c>
      <c r="X689" s="43">
        <v>46154.799305555556</v>
      </c>
      <c r="Y689" s="58">
        <v>2.8472222222222222E-2</v>
      </c>
      <c r="Z689" s="33" t="s">
        <v>799</v>
      </c>
      <c r="AA689" s="43">
        <v>46154.958333333336</v>
      </c>
      <c r="AB689" s="33" t="s">
        <v>81</v>
      </c>
      <c r="AC689" s="33" t="s">
        <v>2076</v>
      </c>
      <c r="AD689" s="58">
        <v>0.19513888888888889</v>
      </c>
      <c r="AE689" s="58">
        <v>0.17708333333333334</v>
      </c>
      <c r="AF689" s="58">
        <v>0.19513888888888889</v>
      </c>
      <c r="AG689" s="33" t="s">
        <v>2910</v>
      </c>
      <c r="AH689" s="33">
        <v>2</v>
      </c>
      <c r="AI689" s="43">
        <v>46154.799305555556</v>
      </c>
      <c r="AJ689" s="33" t="s">
        <v>793</v>
      </c>
      <c r="AK689" s="42">
        <v>1104703.8700000001</v>
      </c>
      <c r="AL689" s="33" t="s">
        <v>2911</v>
      </c>
    </row>
    <row r="690" spans="1:38">
      <c r="A690" s="33">
        <v>6006450</v>
      </c>
      <c r="B690" s="33"/>
      <c r="C690" s="33" t="s">
        <v>789</v>
      </c>
      <c r="D690" s="33" t="s">
        <v>1156</v>
      </c>
      <c r="E690" s="33" t="s">
        <v>3061</v>
      </c>
      <c r="F690" s="43">
        <v>46154.708333333336</v>
      </c>
      <c r="G690" s="33" t="s">
        <v>792</v>
      </c>
      <c r="H690" s="33"/>
      <c r="I690" s="33" t="s">
        <v>793</v>
      </c>
      <c r="J690" s="33" t="s">
        <v>1049</v>
      </c>
      <c r="K690" s="33" t="s">
        <v>75</v>
      </c>
      <c r="L690" s="33" t="s">
        <v>1867</v>
      </c>
      <c r="M690" s="43">
        <v>46154.801157407404</v>
      </c>
      <c r="N690" s="33" t="s">
        <v>1160</v>
      </c>
      <c r="O690" s="33" t="s">
        <v>797</v>
      </c>
      <c r="P690" s="33" t="s">
        <v>799</v>
      </c>
      <c r="Q690" s="43">
        <v>46154.698611111111</v>
      </c>
      <c r="R690" s="43">
        <v>46154.728472222225</v>
      </c>
      <c r="S690" s="58">
        <v>2.9861111111111113E-2</v>
      </c>
      <c r="T690" s="33" t="s">
        <v>140</v>
      </c>
      <c r="U690" s="43">
        <v>46154.770138888889</v>
      </c>
      <c r="V690" s="58">
        <v>3.125E-2</v>
      </c>
      <c r="W690" s="33" t="s">
        <v>140</v>
      </c>
      <c r="X690" s="43">
        <v>46154.770138888889</v>
      </c>
      <c r="Y690" s="58">
        <v>3.125E-2</v>
      </c>
      <c r="Z690" s="33" t="s">
        <v>140</v>
      </c>
      <c r="AA690" s="43">
        <v>46155.833333333336</v>
      </c>
      <c r="AB690" s="33" t="s">
        <v>81</v>
      </c>
      <c r="AC690" s="33" t="s">
        <v>1053</v>
      </c>
      <c r="AD690" s="58">
        <v>0.10277777777777777</v>
      </c>
      <c r="AE690" s="58">
        <v>7.2222222222222215E-2</v>
      </c>
      <c r="AF690" s="58">
        <v>0.10277777777777777</v>
      </c>
      <c r="AG690" s="33" t="s">
        <v>1161</v>
      </c>
      <c r="AH690" s="33">
        <v>2</v>
      </c>
      <c r="AI690" s="43">
        <v>46154.770138888889</v>
      </c>
      <c r="AJ690" s="33" t="s">
        <v>793</v>
      </c>
      <c r="AK690" s="42">
        <v>641944.84</v>
      </c>
      <c r="AL690" s="33" t="s">
        <v>1162</v>
      </c>
    </row>
    <row r="691" spans="1:38">
      <c r="A691" s="33">
        <v>6021361</v>
      </c>
      <c r="B691" s="33"/>
      <c r="C691" s="33" t="s">
        <v>789</v>
      </c>
      <c r="D691" s="33" t="s">
        <v>1194</v>
      </c>
      <c r="E691" s="33" t="s">
        <v>3062</v>
      </c>
      <c r="F691" s="43">
        <v>46154.65</v>
      </c>
      <c r="G691" s="33" t="s">
        <v>114</v>
      </c>
      <c r="H691" s="33"/>
      <c r="I691" s="33" t="s">
        <v>73</v>
      </c>
      <c r="J691" s="33" t="s">
        <v>3063</v>
      </c>
      <c r="K691" s="33" t="s">
        <v>1158</v>
      </c>
      <c r="L691" s="33" t="s">
        <v>3064</v>
      </c>
      <c r="M691" s="43">
        <v>46155.345000000001</v>
      </c>
      <c r="N691" s="33" t="s">
        <v>1198</v>
      </c>
      <c r="O691" s="33" t="s">
        <v>797</v>
      </c>
      <c r="P691" s="33" t="s">
        <v>140</v>
      </c>
      <c r="Q691" s="33"/>
      <c r="R691" s="33"/>
      <c r="S691" s="33"/>
      <c r="T691" s="33" t="s">
        <v>3065</v>
      </c>
      <c r="U691" s="43">
        <v>46155.270833333336</v>
      </c>
      <c r="V691" s="58">
        <v>2.9166666666666667E-2</v>
      </c>
      <c r="W691" s="33"/>
      <c r="X691" s="33"/>
      <c r="Y691" s="33"/>
      <c r="Z691" s="33" t="s">
        <v>3065</v>
      </c>
      <c r="AA691" s="43">
        <v>46155.416666666664</v>
      </c>
      <c r="AB691" s="33" t="s">
        <v>81</v>
      </c>
      <c r="AC691" s="33" t="s">
        <v>3066</v>
      </c>
      <c r="AD691" s="58">
        <v>0.67291666666666672</v>
      </c>
      <c r="AE691" s="33"/>
      <c r="AF691" s="58">
        <v>0.67291666666666672</v>
      </c>
      <c r="AG691" s="33"/>
      <c r="AH691" s="33">
        <v>1</v>
      </c>
      <c r="AI691" s="43">
        <v>46155.270833333336</v>
      </c>
      <c r="AJ691" s="33" t="s">
        <v>73</v>
      </c>
      <c r="AK691" s="42">
        <v>153364.31</v>
      </c>
      <c r="AL691" s="33" t="s">
        <v>1202</v>
      </c>
    </row>
    <row r="692" spans="1:38">
      <c r="A692" s="33">
        <v>6003422</v>
      </c>
      <c r="B692" s="33"/>
      <c r="C692" s="33" t="s">
        <v>789</v>
      </c>
      <c r="D692" s="33" t="s">
        <v>1779</v>
      </c>
      <c r="E692" s="33" t="s">
        <v>3067</v>
      </c>
      <c r="F692" s="43">
        <v>46154.708333333336</v>
      </c>
      <c r="G692" s="33" t="s">
        <v>792</v>
      </c>
      <c r="H692" s="33"/>
      <c r="I692" s="33" t="s">
        <v>793</v>
      </c>
      <c r="J692" s="33" t="s">
        <v>1312</v>
      </c>
      <c r="K692" s="33" t="s">
        <v>75</v>
      </c>
      <c r="L692" s="33" t="s">
        <v>2453</v>
      </c>
      <c r="M692" s="43">
        <v>46154.761111111111</v>
      </c>
      <c r="N692" s="33" t="s">
        <v>796</v>
      </c>
      <c r="O692" s="33" t="s">
        <v>797</v>
      </c>
      <c r="P692" s="33" t="s">
        <v>799</v>
      </c>
      <c r="Q692" s="43">
        <v>46154.667361111111</v>
      </c>
      <c r="R692" s="43">
        <v>46154.726388888892</v>
      </c>
      <c r="S692" s="58">
        <v>5.9027777777777776E-2</v>
      </c>
      <c r="T692" s="33" t="s">
        <v>140</v>
      </c>
      <c r="U692" s="43">
        <v>46154.759722222225</v>
      </c>
      <c r="V692" s="58">
        <v>6.9444444444444441E-3</v>
      </c>
      <c r="W692" s="33" t="s">
        <v>140</v>
      </c>
      <c r="X692" s="43">
        <v>46154.759722222225</v>
      </c>
      <c r="Y692" s="58">
        <v>6.9444444444444441E-3</v>
      </c>
      <c r="Z692" s="33" t="s">
        <v>140</v>
      </c>
      <c r="AA692" s="43">
        <v>46154.833333333336</v>
      </c>
      <c r="AB692" s="33" t="s">
        <v>81</v>
      </c>
      <c r="AC692" s="33" t="s">
        <v>1314</v>
      </c>
      <c r="AD692" s="58">
        <v>0.10138888888888889</v>
      </c>
      <c r="AE692" s="58">
        <v>3.7499999999999999E-2</v>
      </c>
      <c r="AF692" s="58">
        <v>0.10138888888888889</v>
      </c>
      <c r="AG692" s="33" t="s">
        <v>1782</v>
      </c>
      <c r="AH692" s="33">
        <v>2</v>
      </c>
      <c r="AI692" s="43">
        <v>46154.759722222225</v>
      </c>
      <c r="AJ692" s="33" t="s">
        <v>793</v>
      </c>
      <c r="AK692" s="42">
        <v>806007.41</v>
      </c>
      <c r="AL692" s="33" t="s">
        <v>1783</v>
      </c>
    </row>
    <row r="693" spans="1:38">
      <c r="A693" s="33">
        <v>6007952</v>
      </c>
      <c r="B693" s="33"/>
      <c r="C693" s="33" t="s">
        <v>789</v>
      </c>
      <c r="D693" s="33" t="s">
        <v>1084</v>
      </c>
      <c r="E693" s="33" t="s">
        <v>3068</v>
      </c>
      <c r="F693" s="43">
        <v>46155.375</v>
      </c>
      <c r="G693" s="33" t="s">
        <v>792</v>
      </c>
      <c r="H693" s="33"/>
      <c r="I693" s="33" t="s">
        <v>793</v>
      </c>
      <c r="J693" s="33" t="s">
        <v>2049</v>
      </c>
      <c r="K693" s="33" t="s">
        <v>75</v>
      </c>
      <c r="L693" s="33" t="s">
        <v>2851</v>
      </c>
      <c r="M693" s="43">
        <v>46155.501238425924</v>
      </c>
      <c r="N693" s="33" t="s">
        <v>1088</v>
      </c>
      <c r="O693" s="33" t="s">
        <v>797</v>
      </c>
      <c r="P693" s="33" t="s">
        <v>1963</v>
      </c>
      <c r="Q693" s="43">
        <v>46155.275000000001</v>
      </c>
      <c r="R693" s="43">
        <v>46155.307638888888</v>
      </c>
      <c r="S693" s="58">
        <v>3.2638888888888891E-2</v>
      </c>
      <c r="T693" s="33" t="s">
        <v>799</v>
      </c>
      <c r="U693" s="43">
        <v>46155.459027777775</v>
      </c>
      <c r="V693" s="58">
        <v>4.2361111111111113E-2</v>
      </c>
      <c r="W693" s="33" t="s">
        <v>799</v>
      </c>
      <c r="X693" s="43">
        <v>46155.459027777775</v>
      </c>
      <c r="Y693" s="58">
        <v>4.2361111111111113E-2</v>
      </c>
      <c r="Z693" s="33" t="s">
        <v>799</v>
      </c>
      <c r="AA693" s="43">
        <v>46155.583333333336</v>
      </c>
      <c r="AB693" s="33" t="s">
        <v>81</v>
      </c>
      <c r="AC693" s="33" t="s">
        <v>2076</v>
      </c>
      <c r="AD693" s="58">
        <v>0.62638888888888888</v>
      </c>
      <c r="AE693" s="58">
        <v>0.19305555555555556</v>
      </c>
      <c r="AF693" s="58">
        <v>0.62638888888888888</v>
      </c>
      <c r="AG693" s="33" t="s">
        <v>1090</v>
      </c>
      <c r="AH693" s="33">
        <v>2</v>
      </c>
      <c r="AI693" s="43">
        <v>46155.459027777775</v>
      </c>
      <c r="AJ693" s="33" t="s">
        <v>793</v>
      </c>
      <c r="AK693" s="42">
        <v>651091.56000000006</v>
      </c>
      <c r="AL693" s="33" t="s">
        <v>1091</v>
      </c>
    </row>
    <row r="694" spans="1:38">
      <c r="A694" s="33">
        <v>6011807</v>
      </c>
      <c r="B694" s="33"/>
      <c r="C694" s="33" t="s">
        <v>789</v>
      </c>
      <c r="D694" s="33" t="s">
        <v>3069</v>
      </c>
      <c r="E694" s="33" t="s">
        <v>3070</v>
      </c>
      <c r="F694" s="43">
        <v>46154.671527777777</v>
      </c>
      <c r="G694" s="33" t="s">
        <v>260</v>
      </c>
      <c r="H694" s="33"/>
      <c r="I694" s="33" t="s">
        <v>73</v>
      </c>
      <c r="J694" s="33" t="s">
        <v>3071</v>
      </c>
      <c r="K694" s="59" t="s">
        <v>1306</v>
      </c>
      <c r="L694" s="33" t="s">
        <v>3072</v>
      </c>
      <c r="M694" s="43">
        <v>46155.377291666664</v>
      </c>
      <c r="N694" s="33" t="s">
        <v>3073</v>
      </c>
      <c r="O694" s="33" t="s">
        <v>93</v>
      </c>
      <c r="P694" s="33" t="s">
        <v>140</v>
      </c>
      <c r="Q694" s="33"/>
      <c r="R694" s="33"/>
      <c r="S694" s="33"/>
      <c r="T694" s="33" t="s">
        <v>3074</v>
      </c>
      <c r="U694" s="43">
        <v>46155.119444444441</v>
      </c>
      <c r="V694" s="58">
        <v>1.3888888888888888E-2</v>
      </c>
      <c r="W694" s="33"/>
      <c r="X694" s="33"/>
      <c r="Y694" s="33"/>
      <c r="Z694" s="33" t="s">
        <v>3074</v>
      </c>
      <c r="AA694" s="43">
        <v>46156.208333333336</v>
      </c>
      <c r="AB694" s="33" t="s">
        <v>606</v>
      </c>
      <c r="AC694" s="33" t="s">
        <v>3075</v>
      </c>
      <c r="AD694" s="58">
        <v>0.65694444444444444</v>
      </c>
      <c r="AE694" s="33"/>
      <c r="AF694" s="58">
        <v>0.65694444444444444</v>
      </c>
      <c r="AG694" s="33" t="s">
        <v>3076</v>
      </c>
      <c r="AH694" s="33">
        <v>1</v>
      </c>
      <c r="AI694" s="43">
        <v>46155.119444444441</v>
      </c>
      <c r="AJ694" s="33" t="s">
        <v>73</v>
      </c>
      <c r="AK694" s="42">
        <v>737753</v>
      </c>
      <c r="AL694" s="33" t="s">
        <v>3077</v>
      </c>
    </row>
    <row r="695" spans="1:38">
      <c r="A695" s="33">
        <v>6014923</v>
      </c>
      <c r="B695" s="33"/>
      <c r="C695" s="33" t="s">
        <v>789</v>
      </c>
      <c r="D695" s="33" t="s">
        <v>2028</v>
      </c>
      <c r="E695" s="33" t="s">
        <v>3078</v>
      </c>
      <c r="F695" s="43">
        <v>46154.697916666664</v>
      </c>
      <c r="G695" s="33" t="s">
        <v>227</v>
      </c>
      <c r="H695" s="33"/>
      <c r="I695" s="33" t="s">
        <v>73</v>
      </c>
      <c r="J695" s="33" t="s">
        <v>1659</v>
      </c>
      <c r="K695" s="33" t="s">
        <v>75</v>
      </c>
      <c r="L695" s="33" t="s">
        <v>2098</v>
      </c>
      <c r="M695" s="43">
        <v>46154.811689814815</v>
      </c>
      <c r="N695" s="33" t="s">
        <v>2031</v>
      </c>
      <c r="O695" s="33" t="s">
        <v>797</v>
      </c>
      <c r="P695" s="33" t="s">
        <v>79</v>
      </c>
      <c r="Q695" s="43">
        <v>46154.681944444441</v>
      </c>
      <c r="R695" s="43">
        <v>46154.688888888886</v>
      </c>
      <c r="S695" s="58">
        <v>6.9444444444444441E-3</v>
      </c>
      <c r="T695" s="33" t="s">
        <v>1660</v>
      </c>
      <c r="U695" s="33"/>
      <c r="V695" s="33"/>
      <c r="W695" s="33" t="s">
        <v>328</v>
      </c>
      <c r="X695" s="43">
        <v>46154.807638888888</v>
      </c>
      <c r="Y695" s="58">
        <v>4.1666666666666666E-3</v>
      </c>
      <c r="Z695" s="33" t="s">
        <v>1660</v>
      </c>
      <c r="AA695" s="43">
        <v>46156.25</v>
      </c>
      <c r="AB695" s="33" t="s">
        <v>3079</v>
      </c>
      <c r="AC695" s="33" t="s">
        <v>1662</v>
      </c>
      <c r="AD695" s="58">
        <v>0.13194444444444445</v>
      </c>
      <c r="AE695" s="33"/>
      <c r="AF695" s="58">
        <v>0.13194444444444445</v>
      </c>
      <c r="AG695" s="33" t="s">
        <v>1496</v>
      </c>
      <c r="AH695" s="33">
        <v>3</v>
      </c>
      <c r="AI695" s="43">
        <v>46154.981249999997</v>
      </c>
      <c r="AJ695" s="33" t="s">
        <v>73</v>
      </c>
      <c r="AK695" s="42">
        <v>177009.87</v>
      </c>
      <c r="AL695" s="33" t="s">
        <v>2032</v>
      </c>
    </row>
    <row r="696" spans="1:38">
      <c r="A696" s="33">
        <v>6008084</v>
      </c>
      <c r="B696" s="33"/>
      <c r="C696" s="33" t="s">
        <v>789</v>
      </c>
      <c r="D696" s="33" t="s">
        <v>2852</v>
      </c>
      <c r="E696" s="33" t="s">
        <v>3080</v>
      </c>
      <c r="F696" s="43">
        <v>46154.708333333336</v>
      </c>
      <c r="G696" s="33" t="s">
        <v>792</v>
      </c>
      <c r="H696" s="33"/>
      <c r="I696" s="33" t="s">
        <v>793</v>
      </c>
      <c r="J696" s="33" t="s">
        <v>2049</v>
      </c>
      <c r="K696" s="33" t="s">
        <v>75</v>
      </c>
      <c r="L696" s="33" t="s">
        <v>795</v>
      </c>
      <c r="M696" s="43">
        <v>46154.848622685182</v>
      </c>
      <c r="N696" s="33" t="s">
        <v>796</v>
      </c>
      <c r="O696" s="33" t="s">
        <v>797</v>
      </c>
      <c r="P696" s="33" t="s">
        <v>1963</v>
      </c>
      <c r="Q696" s="43">
        <v>46154.697222222225</v>
      </c>
      <c r="R696" s="43">
        <v>46154.718055555553</v>
      </c>
      <c r="S696" s="58">
        <v>2.0833333333333332E-2</v>
      </c>
      <c r="T696" s="33" t="s">
        <v>799</v>
      </c>
      <c r="U696" s="43">
        <v>46154.834722222222</v>
      </c>
      <c r="V696" s="58">
        <v>1.3888888888888888E-2</v>
      </c>
      <c r="W696" s="33" t="s">
        <v>799</v>
      </c>
      <c r="X696" s="43">
        <v>46154.834722222222</v>
      </c>
      <c r="Y696" s="58">
        <v>1.3888888888888888E-2</v>
      </c>
      <c r="Z696" s="33" t="s">
        <v>799</v>
      </c>
      <c r="AA696" s="43">
        <v>46155.958333333336</v>
      </c>
      <c r="AB696" s="33" t="s">
        <v>81</v>
      </c>
      <c r="AC696" s="33" t="s">
        <v>2076</v>
      </c>
      <c r="AD696" s="58">
        <v>0.15555555555555556</v>
      </c>
      <c r="AE696" s="58">
        <v>0.12986111111111112</v>
      </c>
      <c r="AF696" s="58">
        <v>0.15555555555555556</v>
      </c>
      <c r="AG696" s="33" t="s">
        <v>2855</v>
      </c>
      <c r="AH696" s="33">
        <v>2</v>
      </c>
      <c r="AI696" s="43">
        <v>46154.834722222222</v>
      </c>
      <c r="AJ696" s="33" t="s">
        <v>793</v>
      </c>
      <c r="AK696" s="42">
        <v>1192180.57</v>
      </c>
      <c r="AL696" s="33" t="s">
        <v>2856</v>
      </c>
    </row>
    <row r="697" spans="1:38">
      <c r="A697" s="33">
        <v>6012844</v>
      </c>
      <c r="B697" s="33"/>
      <c r="C697" s="33" t="s">
        <v>789</v>
      </c>
      <c r="D697" s="33" t="s">
        <v>3081</v>
      </c>
      <c r="E697" s="33" t="s">
        <v>3082</v>
      </c>
      <c r="F697" s="43">
        <v>46155.208333333336</v>
      </c>
      <c r="G697" s="33" t="s">
        <v>227</v>
      </c>
      <c r="H697" s="33"/>
      <c r="I697" s="33" t="s">
        <v>73</v>
      </c>
      <c r="J697" s="33" t="s">
        <v>1888</v>
      </c>
      <c r="K697" s="33" t="s">
        <v>75</v>
      </c>
      <c r="L697" s="33" t="s">
        <v>3083</v>
      </c>
      <c r="M697" s="43">
        <v>46155.396782407406</v>
      </c>
      <c r="N697" s="33" t="s">
        <v>3084</v>
      </c>
      <c r="O697" s="33" t="s">
        <v>797</v>
      </c>
      <c r="P697" s="33" t="s">
        <v>140</v>
      </c>
      <c r="Q697" s="33"/>
      <c r="R697" s="33"/>
      <c r="S697" s="33"/>
      <c r="T697" s="33" t="s">
        <v>1889</v>
      </c>
      <c r="U697" s="43">
        <v>46155.368055555555</v>
      </c>
      <c r="V697" s="58">
        <v>2.9861111111111113E-2</v>
      </c>
      <c r="W697" s="33" t="s">
        <v>1889</v>
      </c>
      <c r="X697" s="43">
        <v>46155.368055555555</v>
      </c>
      <c r="Y697" s="58">
        <v>2.9861111111111113E-2</v>
      </c>
      <c r="Z697" s="33" t="s">
        <v>1889</v>
      </c>
      <c r="AA697" s="43">
        <v>46155.333333333336</v>
      </c>
      <c r="AB697" s="33" t="s">
        <v>81</v>
      </c>
      <c r="AC697" s="33" t="s">
        <v>1891</v>
      </c>
      <c r="AD697" s="58">
        <v>0.59444444444444444</v>
      </c>
      <c r="AE697" s="58">
        <v>0.15902777777777777</v>
      </c>
      <c r="AF697" s="58">
        <v>0.59444444444444444</v>
      </c>
      <c r="AG697" s="33"/>
      <c r="AH697" s="33">
        <v>2</v>
      </c>
      <c r="AI697" s="43">
        <v>46155.368055555555</v>
      </c>
      <c r="AJ697" s="33" t="s">
        <v>73</v>
      </c>
      <c r="AK697" s="42">
        <v>341969.51</v>
      </c>
      <c r="AL697" s="33" t="s">
        <v>3085</v>
      </c>
    </row>
    <row r="698" spans="1:38">
      <c r="A698" s="33" t="s">
        <v>3086</v>
      </c>
      <c r="B698" s="33"/>
      <c r="C698" s="33" t="s">
        <v>789</v>
      </c>
      <c r="D698" s="33" t="s">
        <v>1955</v>
      </c>
      <c r="E698" s="33" t="s">
        <v>3087</v>
      </c>
      <c r="F698" s="43">
        <v>46154.707638888889</v>
      </c>
      <c r="G698" s="33" t="s">
        <v>1246</v>
      </c>
      <c r="H698" s="33"/>
      <c r="I698" s="33" t="s">
        <v>73</v>
      </c>
      <c r="J698" s="33" t="s">
        <v>1293</v>
      </c>
      <c r="K698" s="33" t="s">
        <v>75</v>
      </c>
      <c r="L698" s="33" t="s">
        <v>1294</v>
      </c>
      <c r="M698" s="43">
        <v>46154.829942129632</v>
      </c>
      <c r="N698" s="33" t="s">
        <v>1959</v>
      </c>
      <c r="O698" s="33" t="s">
        <v>797</v>
      </c>
      <c r="P698" s="33" t="s">
        <v>140</v>
      </c>
      <c r="Q698" s="33"/>
      <c r="R698" s="33"/>
      <c r="S698" s="33"/>
      <c r="T698" s="33" t="s">
        <v>1296</v>
      </c>
      <c r="U698" s="43">
        <v>46154.793055555558</v>
      </c>
      <c r="V698" s="58">
        <v>3.6805555555555557E-2</v>
      </c>
      <c r="W698" s="33" t="s">
        <v>1296</v>
      </c>
      <c r="X698" s="43">
        <v>46154.793055555558</v>
      </c>
      <c r="Y698" s="58">
        <v>3.6805555555555557E-2</v>
      </c>
      <c r="Z698" s="33" t="s">
        <v>1296</v>
      </c>
      <c r="AA698" s="43">
        <v>46160.334027777775</v>
      </c>
      <c r="AB698" s="33" t="s">
        <v>81</v>
      </c>
      <c r="AC698" s="33" t="s">
        <v>1297</v>
      </c>
      <c r="AD698" s="58">
        <v>0.10069444444444445</v>
      </c>
      <c r="AE698" s="33"/>
      <c r="AF698" s="58">
        <v>0.10069444444444445</v>
      </c>
      <c r="AG698" s="33"/>
      <c r="AH698" s="33">
        <v>1</v>
      </c>
      <c r="AI698" s="43">
        <v>46154.793055555558</v>
      </c>
      <c r="AJ698" s="33" t="s">
        <v>73</v>
      </c>
      <c r="AK698" s="42">
        <v>272493.57</v>
      </c>
      <c r="AL698" s="33" t="s">
        <v>3088</v>
      </c>
    </row>
    <row r="699" spans="1:38">
      <c r="A699" s="33">
        <v>6009485</v>
      </c>
      <c r="B699" s="33"/>
      <c r="C699" s="33" t="s">
        <v>789</v>
      </c>
      <c r="D699" s="33" t="s">
        <v>3089</v>
      </c>
      <c r="E699" s="33" t="s">
        <v>3090</v>
      </c>
      <c r="F699" s="43">
        <v>46154.791666666664</v>
      </c>
      <c r="G699" s="33" t="s">
        <v>282</v>
      </c>
      <c r="H699" s="33"/>
      <c r="I699" s="33" t="s">
        <v>73</v>
      </c>
      <c r="J699" s="33" t="s">
        <v>983</v>
      </c>
      <c r="K699" s="33" t="s">
        <v>75</v>
      </c>
      <c r="L699" s="33" t="s">
        <v>880</v>
      </c>
      <c r="M699" s="43">
        <v>46156.677893518521</v>
      </c>
      <c r="N699" s="33" t="s">
        <v>3091</v>
      </c>
      <c r="O699" s="33" t="s">
        <v>797</v>
      </c>
      <c r="P699" s="33" t="s">
        <v>140</v>
      </c>
      <c r="Q699" s="43">
        <v>46154.728472222225</v>
      </c>
      <c r="R699" s="43">
        <v>46155.30972222222</v>
      </c>
      <c r="S699" s="58">
        <v>0.58125000000000004</v>
      </c>
      <c r="T699" s="33" t="s">
        <v>984</v>
      </c>
      <c r="U699" s="43">
        <v>46156.265277777777</v>
      </c>
      <c r="V699" s="58">
        <v>0.41249999999999998</v>
      </c>
      <c r="W699" s="33" t="s">
        <v>984</v>
      </c>
      <c r="X699" s="43">
        <v>46156.265277777777</v>
      </c>
      <c r="Y699" s="58">
        <v>0.41249999999999998</v>
      </c>
      <c r="Z699" s="33" t="s">
        <v>984</v>
      </c>
      <c r="AA699" s="43">
        <v>46156.25</v>
      </c>
      <c r="AB699" s="33" t="s">
        <v>81</v>
      </c>
      <c r="AC699" s="33" t="s">
        <v>985</v>
      </c>
      <c r="AD699" s="44">
        <v>1.9527777777777777</v>
      </c>
      <c r="AE699" s="58">
        <v>0.42777777777777776</v>
      </c>
      <c r="AF699" s="44">
        <v>1.9527777777777777</v>
      </c>
      <c r="AG699" s="33" t="s">
        <v>3092</v>
      </c>
      <c r="AH699" s="33">
        <v>3</v>
      </c>
      <c r="AI699" s="43">
        <v>46156.265277777777</v>
      </c>
      <c r="AJ699" s="33" t="s">
        <v>73</v>
      </c>
      <c r="AK699" s="42">
        <v>323314.01</v>
      </c>
      <c r="AL699" s="33" t="s">
        <v>3093</v>
      </c>
    </row>
    <row r="700" spans="1:38">
      <c r="A700" s="33">
        <v>6009326</v>
      </c>
      <c r="B700" s="33"/>
      <c r="C700" s="33" t="s">
        <v>789</v>
      </c>
      <c r="D700" s="33" t="s">
        <v>2737</v>
      </c>
      <c r="E700" s="33" t="s">
        <v>3094</v>
      </c>
      <c r="F700" s="43">
        <v>46154.75</v>
      </c>
      <c r="G700" s="33" t="s">
        <v>792</v>
      </c>
      <c r="H700" s="33"/>
      <c r="I700" s="33" t="s">
        <v>793</v>
      </c>
      <c r="J700" s="33" t="s">
        <v>958</v>
      </c>
      <c r="K700" s="33" t="s">
        <v>1655</v>
      </c>
      <c r="L700" s="33" t="s">
        <v>1035</v>
      </c>
      <c r="M700" s="43">
        <v>46154.863495370373</v>
      </c>
      <c r="N700" s="33" t="s">
        <v>2739</v>
      </c>
      <c r="O700" s="33" t="s">
        <v>797</v>
      </c>
      <c r="P700" s="33" t="s">
        <v>1963</v>
      </c>
      <c r="Q700" s="43">
        <v>46154.736111111109</v>
      </c>
      <c r="R700" s="43">
        <v>46154.752083333333</v>
      </c>
      <c r="S700" s="58">
        <v>1.5972222222222221E-2</v>
      </c>
      <c r="T700" s="33" t="s">
        <v>140</v>
      </c>
      <c r="U700" s="43">
        <v>46154.854166666664</v>
      </c>
      <c r="V700" s="58">
        <v>1.0416666666666666E-2</v>
      </c>
      <c r="W700" s="33" t="s">
        <v>140</v>
      </c>
      <c r="X700" s="43">
        <v>46154.854166666664</v>
      </c>
      <c r="Y700" s="58">
        <v>1.0416666666666666E-2</v>
      </c>
      <c r="Z700" s="33" t="s">
        <v>140</v>
      </c>
      <c r="AA700" s="43">
        <v>46155.916666666664</v>
      </c>
      <c r="AB700" s="33" t="s">
        <v>81</v>
      </c>
      <c r="AC700" s="33" t="s">
        <v>1404</v>
      </c>
      <c r="AD700" s="58">
        <v>0.12986111111111112</v>
      </c>
      <c r="AE700" s="58">
        <v>0.1111111111111111</v>
      </c>
      <c r="AF700" s="58">
        <v>0.12986111111111112</v>
      </c>
      <c r="AG700" s="33" t="s">
        <v>2740</v>
      </c>
      <c r="AH700" s="33">
        <v>2</v>
      </c>
      <c r="AI700" s="43">
        <v>46154.854166666664</v>
      </c>
      <c r="AJ700" s="33" t="s">
        <v>793</v>
      </c>
      <c r="AK700" s="42">
        <v>1172739.1200000001</v>
      </c>
      <c r="AL700" s="33" t="s">
        <v>2741</v>
      </c>
    </row>
    <row r="701" spans="1:38">
      <c r="A701" s="33" t="s">
        <v>3095</v>
      </c>
      <c r="B701" s="33"/>
      <c r="C701" s="33" t="s">
        <v>789</v>
      </c>
      <c r="D701" s="33" t="s">
        <v>1967</v>
      </c>
      <c r="E701" s="33" t="s">
        <v>3096</v>
      </c>
      <c r="F701" s="43">
        <v>46154.791666666664</v>
      </c>
      <c r="G701" s="33" t="s">
        <v>792</v>
      </c>
      <c r="H701" s="33"/>
      <c r="I701" s="33" t="s">
        <v>793</v>
      </c>
      <c r="J701" s="33" t="s">
        <v>2049</v>
      </c>
      <c r="K701" s="33" t="s">
        <v>75</v>
      </c>
      <c r="L701" s="33" t="s">
        <v>806</v>
      </c>
      <c r="M701" s="43">
        <v>46154.900150462963</v>
      </c>
      <c r="N701" s="33" t="s">
        <v>1969</v>
      </c>
      <c r="O701" s="33" t="s">
        <v>797</v>
      </c>
      <c r="P701" s="33" t="s">
        <v>1963</v>
      </c>
      <c r="Q701" s="43">
        <v>46154.744444444441</v>
      </c>
      <c r="R701" s="43">
        <v>46154.756944444445</v>
      </c>
      <c r="S701" s="58">
        <v>1.2500000000000001E-2</v>
      </c>
      <c r="T701" s="33" t="s">
        <v>799</v>
      </c>
      <c r="U701" s="43">
        <v>46154.894444444442</v>
      </c>
      <c r="V701" s="58">
        <v>6.2500000000000003E-3</v>
      </c>
      <c r="W701" s="33" t="s">
        <v>799</v>
      </c>
      <c r="X701" s="43">
        <v>46154.894444444442</v>
      </c>
      <c r="Y701" s="58">
        <v>6.2500000000000003E-3</v>
      </c>
      <c r="Z701" s="33" t="s">
        <v>799</v>
      </c>
      <c r="AA701" s="43">
        <v>46155.958333333336</v>
      </c>
      <c r="AB701" s="33" t="s">
        <v>81</v>
      </c>
      <c r="AC701" s="33" t="s">
        <v>2076</v>
      </c>
      <c r="AD701" s="58">
        <v>0.15833333333333333</v>
      </c>
      <c r="AE701" s="58">
        <v>0.1423611111111111</v>
      </c>
      <c r="AF701" s="58">
        <v>0.15833333333333333</v>
      </c>
      <c r="AG701" s="33" t="s">
        <v>1970</v>
      </c>
      <c r="AH701" s="33">
        <v>2</v>
      </c>
      <c r="AI701" s="43">
        <v>46154.894444444442</v>
      </c>
      <c r="AJ701" s="33" t="s">
        <v>793</v>
      </c>
      <c r="AK701" s="42">
        <v>1449490.66</v>
      </c>
      <c r="AL701" s="33" t="s">
        <v>1971</v>
      </c>
    </row>
    <row r="702" spans="1:38">
      <c r="A702" s="33">
        <v>6007529</v>
      </c>
      <c r="B702" s="33"/>
      <c r="C702" s="33" t="s">
        <v>789</v>
      </c>
      <c r="D702" s="33" t="s">
        <v>809</v>
      </c>
      <c r="E702" s="33" t="s">
        <v>3097</v>
      </c>
      <c r="F702" s="43">
        <v>46154.791666666664</v>
      </c>
      <c r="G702" s="33" t="s">
        <v>792</v>
      </c>
      <c r="H702" s="33"/>
      <c r="I702" s="33" t="s">
        <v>793</v>
      </c>
      <c r="J702" s="33" t="s">
        <v>2859</v>
      </c>
      <c r="K702" s="33" t="s">
        <v>75</v>
      </c>
      <c r="L702" s="33" t="s">
        <v>806</v>
      </c>
      <c r="M702" s="43">
        <v>46154.913298611114</v>
      </c>
      <c r="N702" s="33" t="s">
        <v>813</v>
      </c>
      <c r="O702" s="33" t="s">
        <v>797</v>
      </c>
      <c r="P702" s="33" t="s">
        <v>1963</v>
      </c>
      <c r="Q702" s="43">
        <v>46154.759722222225</v>
      </c>
      <c r="R702" s="43">
        <v>46154.794444444444</v>
      </c>
      <c r="S702" s="58">
        <v>3.4722222222222224E-2</v>
      </c>
      <c r="T702" s="33" t="s">
        <v>799</v>
      </c>
      <c r="U702" s="43">
        <v>46154.902083333334</v>
      </c>
      <c r="V702" s="58">
        <v>1.1111111111111112E-2</v>
      </c>
      <c r="W702" s="33" t="s">
        <v>799</v>
      </c>
      <c r="X702" s="43">
        <v>46154.902083333334</v>
      </c>
      <c r="Y702" s="58">
        <v>1.1111111111111112E-2</v>
      </c>
      <c r="Z702" s="33" t="s">
        <v>799</v>
      </c>
      <c r="AA702" s="43">
        <v>46155.958333333336</v>
      </c>
      <c r="AB702" s="33" t="s">
        <v>81</v>
      </c>
      <c r="AC702" s="33" t="s">
        <v>2262</v>
      </c>
      <c r="AD702" s="58">
        <v>0.17986111111111111</v>
      </c>
      <c r="AE702" s="58">
        <v>0.11805555555555555</v>
      </c>
      <c r="AF702" s="58">
        <v>0.17986111111111111</v>
      </c>
      <c r="AG702" s="33" t="s">
        <v>815</v>
      </c>
      <c r="AH702" s="33">
        <v>2</v>
      </c>
      <c r="AI702" s="43">
        <v>46154.902083333334</v>
      </c>
      <c r="AJ702" s="33" t="s">
        <v>793</v>
      </c>
      <c r="AK702" s="42">
        <v>670417.5</v>
      </c>
      <c r="AL702" s="33" t="s">
        <v>816</v>
      </c>
    </row>
    <row r="703" spans="1:38">
      <c r="A703" s="33">
        <v>6008194</v>
      </c>
      <c r="B703" s="33"/>
      <c r="C703" s="33" t="s">
        <v>789</v>
      </c>
      <c r="D703" s="33" t="s">
        <v>790</v>
      </c>
      <c r="E703" s="33" t="s">
        <v>3098</v>
      </c>
      <c r="F703" s="43">
        <v>46154.791666666664</v>
      </c>
      <c r="G703" s="33" t="s">
        <v>792</v>
      </c>
      <c r="H703" s="33"/>
      <c r="I703" s="33" t="s">
        <v>793</v>
      </c>
      <c r="J703" s="33" t="s">
        <v>2049</v>
      </c>
      <c r="K703" s="33" t="s">
        <v>75</v>
      </c>
      <c r="L703" s="33" t="s">
        <v>1965</v>
      </c>
      <c r="M703" s="43">
        <v>46154.903391203705</v>
      </c>
      <c r="N703" s="33" t="s">
        <v>796</v>
      </c>
      <c r="O703" s="33" t="s">
        <v>797</v>
      </c>
      <c r="P703" s="33" t="s">
        <v>1963</v>
      </c>
      <c r="Q703" s="43">
        <v>46154.759722222225</v>
      </c>
      <c r="R703" s="43">
        <v>46154.769444444442</v>
      </c>
      <c r="S703" s="58">
        <v>9.7222222222222224E-3</v>
      </c>
      <c r="T703" s="33" t="s">
        <v>799</v>
      </c>
      <c r="U703" s="43">
        <v>46154.892361111109</v>
      </c>
      <c r="V703" s="58">
        <v>1.3194444444444444E-2</v>
      </c>
      <c r="W703" s="33"/>
      <c r="X703" s="33"/>
      <c r="Y703" s="33"/>
      <c r="Z703" s="33" t="s">
        <v>799</v>
      </c>
      <c r="AA703" s="43">
        <v>46155.958333333336</v>
      </c>
      <c r="AB703" s="33" t="s">
        <v>81</v>
      </c>
      <c r="AC703" s="33" t="s">
        <v>2076</v>
      </c>
      <c r="AD703" s="58">
        <v>0.17222222222222222</v>
      </c>
      <c r="AE703" s="33"/>
      <c r="AF703" s="58">
        <v>0.16319444444444445</v>
      </c>
      <c r="AG703" s="33" t="s">
        <v>801</v>
      </c>
      <c r="AH703" s="33">
        <v>2</v>
      </c>
      <c r="AI703" s="43">
        <v>46154.892361111109</v>
      </c>
      <c r="AJ703" s="33" t="s">
        <v>793</v>
      </c>
      <c r="AK703" s="42">
        <v>651091.56000000006</v>
      </c>
      <c r="AL703" s="33" t="s">
        <v>802</v>
      </c>
    </row>
    <row r="704" spans="1:38">
      <c r="A704" s="33" t="s">
        <v>3099</v>
      </c>
      <c r="B704" s="33"/>
      <c r="C704" s="33" t="s">
        <v>789</v>
      </c>
      <c r="D704" s="33" t="s">
        <v>366</v>
      </c>
      <c r="E704" s="33" t="s">
        <v>3100</v>
      </c>
      <c r="F704" s="43">
        <v>46155.333333333336</v>
      </c>
      <c r="G704" s="33" t="s">
        <v>171</v>
      </c>
      <c r="H704" s="33"/>
      <c r="I704" s="33" t="s">
        <v>73</v>
      </c>
      <c r="J704" s="33" t="s">
        <v>983</v>
      </c>
      <c r="K704" s="33" t="s">
        <v>75</v>
      </c>
      <c r="L704" s="33" t="s">
        <v>880</v>
      </c>
      <c r="M704" s="43">
        <v>46156.520254629628</v>
      </c>
      <c r="N704" s="33" t="s">
        <v>371</v>
      </c>
      <c r="O704" s="33" t="s">
        <v>797</v>
      </c>
      <c r="P704" s="33" t="s">
        <v>140</v>
      </c>
      <c r="Q704" s="33"/>
      <c r="R704" s="33"/>
      <c r="S704" s="33"/>
      <c r="T704" s="33" t="s">
        <v>984</v>
      </c>
      <c r="U704" s="43">
        <v>46155.982638888891</v>
      </c>
      <c r="V704" s="58">
        <v>0.53888888888888886</v>
      </c>
      <c r="W704" s="33" t="s">
        <v>984</v>
      </c>
      <c r="X704" s="43">
        <v>46155.982638888891</v>
      </c>
      <c r="Y704" s="58">
        <v>0.53888888888888886</v>
      </c>
      <c r="Z704" s="33" t="s">
        <v>984</v>
      </c>
      <c r="AA704" s="43">
        <v>46156.25</v>
      </c>
      <c r="AB704" s="33" t="s">
        <v>81</v>
      </c>
      <c r="AC704" s="33" t="s">
        <v>985</v>
      </c>
      <c r="AD704" s="44">
        <v>1.0472222222222223</v>
      </c>
      <c r="AE704" s="33"/>
      <c r="AF704" s="44">
        <v>1.0472222222222223</v>
      </c>
      <c r="AG704" s="33" t="s">
        <v>375</v>
      </c>
      <c r="AH704" s="33">
        <v>1</v>
      </c>
      <c r="AI704" s="43">
        <v>46155.982638888891</v>
      </c>
      <c r="AJ704" s="33" t="s">
        <v>73</v>
      </c>
      <c r="AK704" s="42">
        <v>319806</v>
      </c>
      <c r="AL704" s="33" t="s">
        <v>376</v>
      </c>
    </row>
    <row r="705" spans="1:38">
      <c r="A705" s="33">
        <v>6008209</v>
      </c>
      <c r="B705" s="33"/>
      <c r="C705" s="33" t="s">
        <v>789</v>
      </c>
      <c r="D705" s="33" t="s">
        <v>817</v>
      </c>
      <c r="E705" s="33" t="s">
        <v>3101</v>
      </c>
      <c r="F705" s="43">
        <v>46154.875</v>
      </c>
      <c r="G705" s="33" t="s">
        <v>792</v>
      </c>
      <c r="H705" s="33"/>
      <c r="I705" s="33" t="s">
        <v>793</v>
      </c>
      <c r="J705" s="33" t="s">
        <v>1392</v>
      </c>
      <c r="K705" s="33" t="s">
        <v>1530</v>
      </c>
      <c r="L705" s="33" t="s">
        <v>1962</v>
      </c>
      <c r="M705" s="43">
        <v>46155.152453703704</v>
      </c>
      <c r="N705" s="33" t="s">
        <v>822</v>
      </c>
      <c r="O705" s="33" t="s">
        <v>797</v>
      </c>
      <c r="P705" s="33" t="s">
        <v>1963</v>
      </c>
      <c r="Q705" s="43">
        <v>46154.959722222222</v>
      </c>
      <c r="R705" s="43">
        <v>46154.974305555559</v>
      </c>
      <c r="S705" s="58">
        <v>1.4583333333333334E-2</v>
      </c>
      <c r="T705" s="33" t="s">
        <v>799</v>
      </c>
      <c r="U705" s="43">
        <v>46155.143750000003</v>
      </c>
      <c r="V705" s="58">
        <v>8.3333333333333332E-3</v>
      </c>
      <c r="W705" s="33" t="s">
        <v>799</v>
      </c>
      <c r="X705" s="43">
        <v>46155.143750000003</v>
      </c>
      <c r="Y705" s="58">
        <v>8.3333333333333332E-3</v>
      </c>
      <c r="Z705" s="33" t="s">
        <v>799</v>
      </c>
      <c r="AA705" s="43">
        <v>46155.958333333336</v>
      </c>
      <c r="AB705" s="33" t="s">
        <v>81</v>
      </c>
      <c r="AC705" s="33" t="s">
        <v>1395</v>
      </c>
      <c r="AD705" s="58">
        <v>0.36736111111111114</v>
      </c>
      <c r="AE705" s="58">
        <v>0.17777777777777778</v>
      </c>
      <c r="AF705" s="58">
        <v>0.36736111111111114</v>
      </c>
      <c r="AG705" s="33" t="s">
        <v>825</v>
      </c>
      <c r="AH705" s="33">
        <v>2</v>
      </c>
      <c r="AI705" s="43">
        <v>46155.143750000003</v>
      </c>
      <c r="AJ705" s="33" t="s">
        <v>793</v>
      </c>
      <c r="AK705" s="42">
        <v>855386.4</v>
      </c>
      <c r="AL705" s="33" t="s">
        <v>826</v>
      </c>
    </row>
    <row r="706" spans="1:38">
      <c r="A706" s="33">
        <v>6008002</v>
      </c>
      <c r="B706" s="33"/>
      <c r="C706" s="33" t="s">
        <v>789</v>
      </c>
      <c r="D706" s="33" t="s">
        <v>1056</v>
      </c>
      <c r="E706" s="33" t="s">
        <v>3102</v>
      </c>
      <c r="F706" s="43">
        <v>46154.875</v>
      </c>
      <c r="G706" s="33" t="s">
        <v>792</v>
      </c>
      <c r="H706" s="33"/>
      <c r="I706" s="33" t="s">
        <v>793</v>
      </c>
      <c r="J706" s="33" t="s">
        <v>2859</v>
      </c>
      <c r="K706" s="33" t="s">
        <v>75</v>
      </c>
      <c r="L706" s="33" t="s">
        <v>972</v>
      </c>
      <c r="M706" s="43">
        <v>46155.090173611112</v>
      </c>
      <c r="N706" s="33" t="s">
        <v>1060</v>
      </c>
      <c r="O706" s="33" t="s">
        <v>797</v>
      </c>
      <c r="P706" s="33" t="s">
        <v>1963</v>
      </c>
      <c r="Q706" s="43">
        <v>46154.925000000003</v>
      </c>
      <c r="R706" s="43">
        <v>46154.972222222219</v>
      </c>
      <c r="S706" s="58">
        <v>4.7222222222222221E-2</v>
      </c>
      <c r="T706" s="33" t="s">
        <v>799</v>
      </c>
      <c r="U706" s="43">
        <v>46155.089583333334</v>
      </c>
      <c r="V706" s="58">
        <v>2.7777777777777779E-3</v>
      </c>
      <c r="W706" s="33" t="s">
        <v>799</v>
      </c>
      <c r="X706" s="43">
        <v>46155.089583333334</v>
      </c>
      <c r="Y706" s="58">
        <v>2.7777777777777779E-3</v>
      </c>
      <c r="Z706" s="33" t="s">
        <v>799</v>
      </c>
      <c r="AA706" s="43">
        <v>46155.958333333336</v>
      </c>
      <c r="AB706" s="33" t="s">
        <v>81</v>
      </c>
      <c r="AC706" s="33" t="s">
        <v>2262</v>
      </c>
      <c r="AD706" s="58">
        <v>0.30694444444444446</v>
      </c>
      <c r="AE706" s="58">
        <v>0.11805555555555555</v>
      </c>
      <c r="AF706" s="58">
        <v>0.30694444444444446</v>
      </c>
      <c r="AG706" s="33" t="s">
        <v>1061</v>
      </c>
      <c r="AH706" s="33">
        <v>2</v>
      </c>
      <c r="AI706" s="43">
        <v>46155.089583333334</v>
      </c>
      <c r="AJ706" s="33" t="s">
        <v>793</v>
      </c>
      <c r="AK706" s="42">
        <v>674199.97</v>
      </c>
      <c r="AL706" s="33" t="s">
        <v>1062</v>
      </c>
    </row>
    <row r="707" spans="1:38">
      <c r="A707" s="33">
        <v>6011291</v>
      </c>
      <c r="B707" s="33"/>
      <c r="C707" s="33" t="s">
        <v>789</v>
      </c>
      <c r="D707" s="33" t="s">
        <v>3103</v>
      </c>
      <c r="E707" s="33" t="s">
        <v>3104</v>
      </c>
      <c r="F707" s="43">
        <v>46154.958333333336</v>
      </c>
      <c r="G707" s="33" t="s">
        <v>836</v>
      </c>
      <c r="H707" s="33"/>
      <c r="I707" s="33" t="s">
        <v>73</v>
      </c>
      <c r="J707" s="33" t="s">
        <v>3105</v>
      </c>
      <c r="K707" s="33" t="s">
        <v>829</v>
      </c>
      <c r="L707" s="33" t="s">
        <v>880</v>
      </c>
      <c r="M707" s="43">
        <v>46155.853206018517</v>
      </c>
      <c r="N707" s="33" t="s">
        <v>3106</v>
      </c>
      <c r="O707" s="33" t="s">
        <v>231</v>
      </c>
      <c r="P707" s="33" t="s">
        <v>79</v>
      </c>
      <c r="Q707" s="33"/>
      <c r="R707" s="33"/>
      <c r="S707" s="33"/>
      <c r="T707" s="33" t="s">
        <v>3107</v>
      </c>
      <c r="U707" s="43">
        <v>46155.220833333333</v>
      </c>
      <c r="V707" s="58">
        <v>0.63194444444444442</v>
      </c>
      <c r="W707" s="33"/>
      <c r="X707" s="33"/>
      <c r="Y707" s="33"/>
      <c r="Z707" s="33" t="s">
        <v>3107</v>
      </c>
      <c r="AA707" s="43">
        <v>46157.25</v>
      </c>
      <c r="AB707" s="33" t="s">
        <v>81</v>
      </c>
      <c r="AC707" s="33" t="s">
        <v>81</v>
      </c>
      <c r="AD707" s="44">
        <v>1.0451388888888888</v>
      </c>
      <c r="AE707" s="33"/>
      <c r="AF707" s="44">
        <v>1.0451388888888888</v>
      </c>
      <c r="AG707" s="33" t="s">
        <v>3108</v>
      </c>
      <c r="AH707" s="33">
        <v>1</v>
      </c>
      <c r="AI707" s="43">
        <v>46155.220833333333</v>
      </c>
      <c r="AJ707" s="33" t="s">
        <v>73</v>
      </c>
      <c r="AK707" s="42">
        <v>72122.399999999994</v>
      </c>
      <c r="AL707" s="33" t="s">
        <v>3109</v>
      </c>
    </row>
    <row r="708" spans="1:38">
      <c r="A708" s="33">
        <v>6013916</v>
      </c>
      <c r="B708" s="33"/>
      <c r="C708" s="33" t="s">
        <v>789</v>
      </c>
      <c r="D708" s="33" t="s">
        <v>3110</v>
      </c>
      <c r="E708" s="33" t="s">
        <v>3111</v>
      </c>
      <c r="F708" s="43">
        <v>46155.333333333336</v>
      </c>
      <c r="G708" s="33" t="s">
        <v>171</v>
      </c>
      <c r="H708" s="33"/>
      <c r="I708" s="33" t="s">
        <v>73</v>
      </c>
      <c r="J708" s="33" t="s">
        <v>3112</v>
      </c>
      <c r="K708" s="33" t="s">
        <v>358</v>
      </c>
      <c r="L708" s="33" t="s">
        <v>3113</v>
      </c>
      <c r="M708" s="43">
        <v>46157.410567129627</v>
      </c>
      <c r="N708" s="33" t="s">
        <v>3114</v>
      </c>
      <c r="O708" s="33" t="s">
        <v>797</v>
      </c>
      <c r="P708" s="33" t="s">
        <v>140</v>
      </c>
      <c r="Q708" s="33"/>
      <c r="R708" s="33"/>
      <c r="S708" s="33"/>
      <c r="T708" s="33" t="s">
        <v>1493</v>
      </c>
      <c r="U708" s="43">
        <v>46155.913194444445</v>
      </c>
      <c r="V708" s="58">
        <v>0.11666666666666667</v>
      </c>
      <c r="W708" s="33"/>
      <c r="X708" s="33"/>
      <c r="Y708" s="33"/>
      <c r="Z708" s="33" t="s">
        <v>1493</v>
      </c>
      <c r="AA708" s="43">
        <v>46156.791666666664</v>
      </c>
      <c r="AB708" s="33" t="s">
        <v>1226</v>
      </c>
      <c r="AC708" s="33" t="s">
        <v>3115</v>
      </c>
      <c r="AD708" s="44">
        <v>1.9736111111111112</v>
      </c>
      <c r="AE708" s="33"/>
      <c r="AF708" s="44">
        <v>1.9736111111111112</v>
      </c>
      <c r="AG708" s="33" t="s">
        <v>3116</v>
      </c>
      <c r="AH708" s="33">
        <v>1</v>
      </c>
      <c r="AI708" s="43">
        <v>46155.913194444445</v>
      </c>
      <c r="AJ708" s="33" t="s">
        <v>73</v>
      </c>
      <c r="AK708" s="42">
        <v>679867.1</v>
      </c>
      <c r="AL708" s="33" t="s">
        <v>3117</v>
      </c>
    </row>
    <row r="709" spans="1:38">
      <c r="A709" s="33">
        <v>6007356</v>
      </c>
      <c r="B709" s="33"/>
      <c r="C709" s="33" t="s">
        <v>789</v>
      </c>
      <c r="D709" s="33" t="s">
        <v>1092</v>
      </c>
      <c r="E709" s="33" t="s">
        <v>3118</v>
      </c>
      <c r="F709" s="43">
        <v>46155.208333333336</v>
      </c>
      <c r="G709" s="33" t="s">
        <v>792</v>
      </c>
      <c r="H709" s="33"/>
      <c r="I709" s="33" t="s">
        <v>793</v>
      </c>
      <c r="J709" s="33" t="s">
        <v>2261</v>
      </c>
      <c r="K709" s="33" t="s">
        <v>75</v>
      </c>
      <c r="L709" s="33" t="s">
        <v>1778</v>
      </c>
      <c r="M709" s="43">
        <v>46155.471030092594</v>
      </c>
      <c r="N709" s="33" t="s">
        <v>1095</v>
      </c>
      <c r="O709" s="33" t="s">
        <v>797</v>
      </c>
      <c r="P709" s="33" t="s">
        <v>1963</v>
      </c>
      <c r="Q709" s="43">
        <v>46155.288194444445</v>
      </c>
      <c r="R709" s="43">
        <v>46155.304166666669</v>
      </c>
      <c r="S709" s="58">
        <v>1.5972222222222221E-2</v>
      </c>
      <c r="T709" s="33" t="s">
        <v>799</v>
      </c>
      <c r="U709" s="43">
        <v>46155.44027777778</v>
      </c>
      <c r="V709" s="58">
        <v>3.4027777777777775E-2</v>
      </c>
      <c r="W709" s="33" t="s">
        <v>799</v>
      </c>
      <c r="X709" s="43">
        <v>46155.44027777778</v>
      </c>
      <c r="Y709" s="58">
        <v>3.4027777777777775E-2</v>
      </c>
      <c r="Z709" s="33" t="s">
        <v>799</v>
      </c>
      <c r="AA709" s="43">
        <v>46156.375</v>
      </c>
      <c r="AB709" s="33" t="s">
        <v>81</v>
      </c>
      <c r="AC709" s="33" t="s">
        <v>3119</v>
      </c>
      <c r="AD709" s="58">
        <v>0.6743055555555556</v>
      </c>
      <c r="AE709" s="58">
        <v>0.16805555555555557</v>
      </c>
      <c r="AF709" s="58">
        <v>0.6743055555555556</v>
      </c>
      <c r="AG709" s="33" t="s">
        <v>1097</v>
      </c>
      <c r="AH709" s="33">
        <v>2</v>
      </c>
      <c r="AI709" s="43">
        <v>46155.44027777778</v>
      </c>
      <c r="AJ709" s="33" t="s">
        <v>793</v>
      </c>
      <c r="AK709" s="42">
        <v>574218.18000000005</v>
      </c>
      <c r="AL709" s="33" t="s">
        <v>1098</v>
      </c>
    </row>
    <row r="710" spans="1:38">
      <c r="A710" s="33">
        <v>6009303</v>
      </c>
      <c r="B710" s="33"/>
      <c r="C710" s="33" t="s">
        <v>789</v>
      </c>
      <c r="D710" s="33" t="s">
        <v>1284</v>
      </c>
      <c r="E710" s="33" t="s">
        <v>3120</v>
      </c>
      <c r="F710" s="43">
        <v>46155.25</v>
      </c>
      <c r="G710" s="33" t="s">
        <v>792</v>
      </c>
      <c r="H710" s="33"/>
      <c r="I710" s="33" t="s">
        <v>793</v>
      </c>
      <c r="J710" s="33" t="s">
        <v>2049</v>
      </c>
      <c r="K710" s="33" t="s">
        <v>75</v>
      </c>
      <c r="L710" s="33" t="s">
        <v>806</v>
      </c>
      <c r="M710" s="43">
        <v>46155.658194444448</v>
      </c>
      <c r="N710" s="33" t="s">
        <v>1287</v>
      </c>
      <c r="O710" s="33" t="s">
        <v>797</v>
      </c>
      <c r="P710" s="33" t="s">
        <v>1963</v>
      </c>
      <c r="Q710" s="43">
        <v>46155.430555555555</v>
      </c>
      <c r="R710" s="43">
        <v>46155.461111111108</v>
      </c>
      <c r="S710" s="58">
        <v>3.0555555555555555E-2</v>
      </c>
      <c r="T710" s="33" t="s">
        <v>799</v>
      </c>
      <c r="U710" s="43">
        <v>46155.582638888889</v>
      </c>
      <c r="V710" s="58">
        <v>7.6388888888888895E-2</v>
      </c>
      <c r="W710" s="33" t="s">
        <v>799</v>
      </c>
      <c r="X710" s="43">
        <v>46155.582638888889</v>
      </c>
      <c r="Y710" s="58">
        <v>7.6388888888888895E-2</v>
      </c>
      <c r="Z710" s="33" t="s">
        <v>799</v>
      </c>
      <c r="AA710" s="43">
        <v>46156.541666666664</v>
      </c>
      <c r="AB710" s="33" t="s">
        <v>81</v>
      </c>
      <c r="AC710" s="33" t="s">
        <v>2076</v>
      </c>
      <c r="AD710" s="58">
        <v>0.37361111111111112</v>
      </c>
      <c r="AE710" s="58">
        <v>0.19652777777777777</v>
      </c>
      <c r="AF710" s="58">
        <v>0.37361111111111112</v>
      </c>
      <c r="AG710" s="33" t="s">
        <v>1288</v>
      </c>
      <c r="AH710" s="33">
        <v>2</v>
      </c>
      <c r="AI710" s="43">
        <v>46155.582638888889</v>
      </c>
      <c r="AJ710" s="33" t="s">
        <v>793</v>
      </c>
      <c r="AK710" s="42">
        <v>500996.42</v>
      </c>
      <c r="AL710" s="33" t="s">
        <v>1289</v>
      </c>
    </row>
    <row r="711" spans="1:38">
      <c r="A711" s="33" t="s">
        <v>3121</v>
      </c>
      <c r="B711" s="33"/>
      <c r="C711" s="33" t="s">
        <v>789</v>
      </c>
      <c r="D711" s="33" t="s">
        <v>804</v>
      </c>
      <c r="E711" s="33" t="s">
        <v>3122</v>
      </c>
      <c r="F711" s="43">
        <v>46155.416666666664</v>
      </c>
      <c r="G711" s="33" t="s">
        <v>792</v>
      </c>
      <c r="H711" s="33"/>
      <c r="I711" s="33" t="s">
        <v>793</v>
      </c>
      <c r="J711" s="33" t="s">
        <v>2049</v>
      </c>
      <c r="K711" s="33" t="s">
        <v>75</v>
      </c>
      <c r="L711" s="33" t="s">
        <v>795</v>
      </c>
      <c r="M711" s="43">
        <v>46155.681250000001</v>
      </c>
      <c r="N711" s="33" t="s">
        <v>796</v>
      </c>
      <c r="O711" s="33" t="s">
        <v>797</v>
      </c>
      <c r="P711" s="33" t="s">
        <v>1963</v>
      </c>
      <c r="Q711" s="43">
        <v>46155.310416666667</v>
      </c>
      <c r="R711" s="43">
        <v>46155.325694444444</v>
      </c>
      <c r="S711" s="58">
        <v>1.5277777777777777E-2</v>
      </c>
      <c r="T711" s="33" t="s">
        <v>799</v>
      </c>
      <c r="U711" s="43">
        <v>46155.677083333336</v>
      </c>
      <c r="V711" s="58">
        <v>7.6388888888888886E-3</v>
      </c>
      <c r="W711" s="33" t="s">
        <v>799</v>
      </c>
      <c r="X711" s="43">
        <v>46155.677083333336</v>
      </c>
      <c r="Y711" s="58">
        <v>7.6388888888888886E-3</v>
      </c>
      <c r="Z711" s="33" t="s">
        <v>799</v>
      </c>
      <c r="AA711" s="43">
        <v>46156.583333333336</v>
      </c>
      <c r="AB711" s="33" t="s">
        <v>81</v>
      </c>
      <c r="AC711" s="33" t="s">
        <v>2076</v>
      </c>
      <c r="AD711" s="58">
        <v>0.39930555555555558</v>
      </c>
      <c r="AE711" s="58">
        <v>0.35833333333333334</v>
      </c>
      <c r="AF711" s="58">
        <v>0.39930555555555558</v>
      </c>
      <c r="AG711" s="33" t="s">
        <v>1083</v>
      </c>
      <c r="AH711" s="33">
        <v>2</v>
      </c>
      <c r="AI711" s="43">
        <v>46155.677083333336</v>
      </c>
      <c r="AJ711" s="33" t="s">
        <v>793</v>
      </c>
      <c r="AK711" s="42">
        <v>1723300.44</v>
      </c>
      <c r="AL711" s="33" t="s">
        <v>808</v>
      </c>
    </row>
    <row r="712" spans="1:38">
      <c r="A712" s="33">
        <v>6008164</v>
      </c>
      <c r="B712" s="33"/>
      <c r="C712" s="33" t="s">
        <v>789</v>
      </c>
      <c r="D712" s="33" t="s">
        <v>1435</v>
      </c>
      <c r="E712" s="33" t="s">
        <v>3123</v>
      </c>
      <c r="F712" s="43">
        <v>46155.375</v>
      </c>
      <c r="G712" s="33" t="s">
        <v>792</v>
      </c>
      <c r="H712" s="33"/>
      <c r="I712" s="33" t="s">
        <v>793</v>
      </c>
      <c r="J712" s="33" t="s">
        <v>2049</v>
      </c>
      <c r="K712" s="33" t="s">
        <v>75</v>
      </c>
      <c r="L712" s="33" t="s">
        <v>795</v>
      </c>
      <c r="M712" s="43">
        <v>46155.569212962961</v>
      </c>
      <c r="N712" s="33" t="s">
        <v>1095</v>
      </c>
      <c r="O712" s="33" t="s">
        <v>797</v>
      </c>
      <c r="P712" s="33" t="s">
        <v>1963</v>
      </c>
      <c r="Q712" s="43">
        <v>46155.363194444442</v>
      </c>
      <c r="R712" s="43">
        <v>46155.402083333334</v>
      </c>
      <c r="S712" s="58">
        <v>3.888888888888889E-2</v>
      </c>
      <c r="T712" s="33" t="s">
        <v>799</v>
      </c>
      <c r="U712" s="43">
        <v>46155.549305555556</v>
      </c>
      <c r="V712" s="58">
        <v>1.9444444444444445E-2</v>
      </c>
      <c r="W712" s="33" t="s">
        <v>799</v>
      </c>
      <c r="X712" s="43">
        <v>46155.549305555556</v>
      </c>
      <c r="Y712" s="58">
        <v>1.9444444444444445E-2</v>
      </c>
      <c r="Z712" s="33" t="s">
        <v>799</v>
      </c>
      <c r="AA712" s="43">
        <v>46156.583333333336</v>
      </c>
      <c r="AB712" s="33" t="s">
        <v>81</v>
      </c>
      <c r="AC712" s="33" t="s">
        <v>2076</v>
      </c>
      <c r="AD712" s="58">
        <v>0.28263888888888888</v>
      </c>
      <c r="AE712" s="58">
        <v>0.16666666666666666</v>
      </c>
      <c r="AF712" s="58">
        <v>0.28263888888888888</v>
      </c>
      <c r="AG712" s="33" t="s">
        <v>1437</v>
      </c>
      <c r="AH712" s="33">
        <v>2</v>
      </c>
      <c r="AI712" s="43">
        <v>46155.549305555556</v>
      </c>
      <c r="AJ712" s="33" t="s">
        <v>793</v>
      </c>
      <c r="AK712" s="42">
        <v>1681263.69</v>
      </c>
      <c r="AL712" s="33" t="s">
        <v>1438</v>
      </c>
    </row>
    <row r="713" spans="1:38">
      <c r="A713" s="33">
        <v>6020679</v>
      </c>
      <c r="B713" s="33"/>
      <c r="C713" s="33" t="s">
        <v>789</v>
      </c>
      <c r="D713" s="33" t="s">
        <v>1801</v>
      </c>
      <c r="E713" s="33" t="s">
        <v>3124</v>
      </c>
      <c r="F713" s="43">
        <v>46154.958333333336</v>
      </c>
      <c r="G713" s="33" t="s">
        <v>227</v>
      </c>
      <c r="H713" s="33"/>
      <c r="I713" s="33" t="s">
        <v>73</v>
      </c>
      <c r="J713" s="33" t="s">
        <v>2321</v>
      </c>
      <c r="K713" s="33" t="s">
        <v>75</v>
      </c>
      <c r="L713" s="33" t="s">
        <v>3125</v>
      </c>
      <c r="M713" s="43">
        <v>46155.426712962966</v>
      </c>
      <c r="N713" s="33" t="s">
        <v>1804</v>
      </c>
      <c r="O713" s="33" t="s">
        <v>797</v>
      </c>
      <c r="P713" s="33" t="s">
        <v>140</v>
      </c>
      <c r="Q713" s="33"/>
      <c r="R713" s="33"/>
      <c r="S713" s="33"/>
      <c r="T713" s="33" t="s">
        <v>2322</v>
      </c>
      <c r="U713" s="43">
        <v>46155.030555555553</v>
      </c>
      <c r="V713" s="58">
        <v>0.39652777777777776</v>
      </c>
      <c r="W713" s="33" t="s">
        <v>2322</v>
      </c>
      <c r="X713" s="43">
        <v>46155.030555555553</v>
      </c>
      <c r="Y713" s="58">
        <v>0.39652777777777776</v>
      </c>
      <c r="Z713" s="33" t="s">
        <v>2322</v>
      </c>
      <c r="AA713" s="43">
        <v>46160.333333333336</v>
      </c>
      <c r="AB713" s="33" t="s">
        <v>81</v>
      </c>
      <c r="AC713" s="33" t="s">
        <v>2324</v>
      </c>
      <c r="AD713" s="58">
        <v>0.60902777777777772</v>
      </c>
      <c r="AE713" s="33"/>
      <c r="AF713" s="58">
        <v>0.60902777777777772</v>
      </c>
      <c r="AG713" s="33" t="s">
        <v>1811</v>
      </c>
      <c r="AH713" s="33">
        <v>1</v>
      </c>
      <c r="AI713" s="43">
        <v>46155.030555555553</v>
      </c>
      <c r="AJ713" s="33" t="s">
        <v>73</v>
      </c>
      <c r="AK713" s="42">
        <v>1278829.83</v>
      </c>
      <c r="AL713" s="33" t="s">
        <v>1807</v>
      </c>
    </row>
    <row r="714" spans="1:38">
      <c r="A714" s="33" t="s">
        <v>3126</v>
      </c>
      <c r="B714" s="33"/>
      <c r="C714" s="33" t="s">
        <v>789</v>
      </c>
      <c r="D714" s="33" t="s">
        <v>1552</v>
      </c>
      <c r="E714" s="33" t="s">
        <v>3127</v>
      </c>
      <c r="F714" s="43">
        <v>46154.916666666664</v>
      </c>
      <c r="G714" s="33" t="s">
        <v>216</v>
      </c>
      <c r="H714" s="33"/>
      <c r="I714" s="33" t="s">
        <v>73</v>
      </c>
      <c r="J714" s="33" t="s">
        <v>3128</v>
      </c>
      <c r="K714" s="33" t="s">
        <v>75</v>
      </c>
      <c r="L714" s="33" t="s">
        <v>2618</v>
      </c>
      <c r="M714" s="43">
        <v>46157.543391203704</v>
      </c>
      <c r="N714" s="33" t="s">
        <v>219</v>
      </c>
      <c r="O714" s="33" t="s">
        <v>797</v>
      </c>
      <c r="P714" s="33" t="s">
        <v>140</v>
      </c>
      <c r="Q714" s="33"/>
      <c r="R714" s="33"/>
      <c r="S714" s="33"/>
      <c r="T714" s="33" t="s">
        <v>3129</v>
      </c>
      <c r="U714" s="33"/>
      <c r="V714" s="33"/>
      <c r="W714" s="33" t="s">
        <v>1541</v>
      </c>
      <c r="X714" s="43">
        <v>46157.361111111109</v>
      </c>
      <c r="Y714" s="58">
        <v>0.18194444444444444</v>
      </c>
      <c r="Z714" s="33" t="s">
        <v>3129</v>
      </c>
      <c r="AA714" s="43">
        <v>46158.334027777775</v>
      </c>
      <c r="AB714" s="33" t="s">
        <v>3130</v>
      </c>
      <c r="AC714" s="33" t="s">
        <v>3131</v>
      </c>
      <c r="AD714" s="44">
        <v>2.71875</v>
      </c>
      <c r="AE714" s="33"/>
      <c r="AF714" s="44">
        <v>2.71875</v>
      </c>
      <c r="AG714" s="33"/>
      <c r="AH714" s="33">
        <v>3</v>
      </c>
      <c r="AI714" s="43">
        <v>46157.595833333333</v>
      </c>
      <c r="AJ714" s="33" t="s">
        <v>73</v>
      </c>
      <c r="AK714" s="42">
        <v>632309.14</v>
      </c>
      <c r="AL714" s="33" t="s">
        <v>2687</v>
      </c>
    </row>
    <row r="715" spans="1:38">
      <c r="A715" s="33">
        <v>6006784</v>
      </c>
      <c r="B715" s="33"/>
      <c r="C715" s="33" t="s">
        <v>789</v>
      </c>
      <c r="D715" s="33" t="s">
        <v>1338</v>
      </c>
      <c r="E715" s="33" t="s">
        <v>3132</v>
      </c>
      <c r="F715" s="43">
        <v>46154.854166666664</v>
      </c>
      <c r="G715" s="33" t="s">
        <v>792</v>
      </c>
      <c r="H715" s="33"/>
      <c r="I715" s="33" t="s">
        <v>793</v>
      </c>
      <c r="J715" s="33" t="s">
        <v>1698</v>
      </c>
      <c r="K715" s="33" t="s">
        <v>75</v>
      </c>
      <c r="L715" s="33" t="s">
        <v>2395</v>
      </c>
      <c r="M715" s="43">
        <v>46154.95689814815</v>
      </c>
      <c r="N715" s="33" t="s">
        <v>796</v>
      </c>
      <c r="O715" s="33" t="s">
        <v>797</v>
      </c>
      <c r="P715" s="33" t="s">
        <v>798</v>
      </c>
      <c r="Q715" s="43">
        <v>46154.84097222222</v>
      </c>
      <c r="R715" s="43">
        <v>46154.847916666666</v>
      </c>
      <c r="S715" s="58">
        <v>6.9444444444444441E-3</v>
      </c>
      <c r="T715" s="33" t="s">
        <v>799</v>
      </c>
      <c r="U715" s="43">
        <v>46154.952777777777</v>
      </c>
      <c r="V715" s="58">
        <v>4.1666666666666666E-3</v>
      </c>
      <c r="W715" s="33" t="s">
        <v>799</v>
      </c>
      <c r="X715" s="43">
        <v>46154.952777777777</v>
      </c>
      <c r="Y715" s="58">
        <v>4.1666666666666666E-3</v>
      </c>
      <c r="Z715" s="33" t="s">
        <v>799</v>
      </c>
      <c r="AA715" s="43">
        <v>46155.958333333336</v>
      </c>
      <c r="AB715" s="33" t="s">
        <v>81</v>
      </c>
      <c r="AC715" s="33" t="s">
        <v>1505</v>
      </c>
      <c r="AD715" s="58">
        <v>0.11736111111111111</v>
      </c>
      <c r="AE715" s="58">
        <v>0.10833333333333334</v>
      </c>
      <c r="AF715" s="58">
        <v>0.11736111111111111</v>
      </c>
      <c r="AG715" s="33" t="s">
        <v>1341</v>
      </c>
      <c r="AH715" s="33">
        <v>2</v>
      </c>
      <c r="AI715" s="43">
        <v>46154.952777777777</v>
      </c>
      <c r="AJ715" s="33" t="s">
        <v>793</v>
      </c>
      <c r="AK715" s="42">
        <v>670417.5</v>
      </c>
      <c r="AL715" s="33" t="s">
        <v>1342</v>
      </c>
    </row>
    <row r="716" spans="1:38">
      <c r="A716" s="33">
        <v>6008266</v>
      </c>
      <c r="B716" s="33"/>
      <c r="C716" s="33" t="s">
        <v>789</v>
      </c>
      <c r="D716" s="33" t="s">
        <v>2919</v>
      </c>
      <c r="E716" s="33" t="s">
        <v>3133</v>
      </c>
      <c r="F716" s="43">
        <v>46155.208333333336</v>
      </c>
      <c r="G716" s="33" t="s">
        <v>792</v>
      </c>
      <c r="H716" s="33"/>
      <c r="I716" s="33" t="s">
        <v>793</v>
      </c>
      <c r="J716" s="33" t="s">
        <v>2859</v>
      </c>
      <c r="K716" s="33" t="s">
        <v>75</v>
      </c>
      <c r="L716" s="33" t="s">
        <v>806</v>
      </c>
      <c r="M716" s="43">
        <v>46155.194652777776</v>
      </c>
      <c r="N716" s="33" t="s">
        <v>2923</v>
      </c>
      <c r="O716" s="33" t="s">
        <v>797</v>
      </c>
      <c r="P716" s="33" t="s">
        <v>1963</v>
      </c>
      <c r="Q716" s="43">
        <v>46154.990972222222</v>
      </c>
      <c r="R716" s="43">
        <v>46155.025694444441</v>
      </c>
      <c r="S716" s="58">
        <v>3.4722222222222224E-2</v>
      </c>
      <c r="T716" s="33" t="s">
        <v>799</v>
      </c>
      <c r="U716" s="43">
        <v>46155.193055555559</v>
      </c>
      <c r="V716" s="58">
        <v>1.3888888888888889E-3</v>
      </c>
      <c r="W716" s="33" t="s">
        <v>799</v>
      </c>
      <c r="X716" s="43">
        <v>46155.193055555559</v>
      </c>
      <c r="Y716" s="58">
        <v>1.3888888888888889E-3</v>
      </c>
      <c r="Z716" s="33" t="s">
        <v>799</v>
      </c>
      <c r="AA716" s="43">
        <v>46155.958333333336</v>
      </c>
      <c r="AB716" s="33" t="s">
        <v>81</v>
      </c>
      <c r="AC716" s="33" t="s">
        <v>2262</v>
      </c>
      <c r="AD716" s="58">
        <v>0.35069444444444442</v>
      </c>
      <c r="AE716" s="58">
        <v>0.16875000000000001</v>
      </c>
      <c r="AF716" s="58">
        <v>0.35069444444444442</v>
      </c>
      <c r="AG716" s="33" t="s">
        <v>2924</v>
      </c>
      <c r="AH716" s="33">
        <v>2</v>
      </c>
      <c r="AI716" s="43">
        <v>46155.193055555559</v>
      </c>
      <c r="AJ716" s="33" t="s">
        <v>793</v>
      </c>
      <c r="AK716" s="42">
        <v>855386.4</v>
      </c>
      <c r="AL716" s="33" t="s">
        <v>2925</v>
      </c>
    </row>
    <row r="717" spans="1:38">
      <c r="A717" s="33">
        <v>6009742</v>
      </c>
      <c r="B717" s="33"/>
      <c r="C717" s="33" t="s">
        <v>789</v>
      </c>
      <c r="D717" s="33" t="s">
        <v>1856</v>
      </c>
      <c r="E717" s="33" t="s">
        <v>3134</v>
      </c>
      <c r="F717" s="43">
        <v>46154.958333333336</v>
      </c>
      <c r="G717" s="33" t="s">
        <v>792</v>
      </c>
      <c r="H717" s="33"/>
      <c r="I717" s="33" t="s">
        <v>793</v>
      </c>
      <c r="J717" s="33" t="s">
        <v>2859</v>
      </c>
      <c r="K717" s="33" t="s">
        <v>75</v>
      </c>
      <c r="L717" s="33" t="s">
        <v>806</v>
      </c>
      <c r="M717" s="43">
        <v>46155.123171296298</v>
      </c>
      <c r="N717" s="33" t="s">
        <v>1860</v>
      </c>
      <c r="O717" s="33" t="s">
        <v>797</v>
      </c>
      <c r="P717" s="33" t="s">
        <v>1963</v>
      </c>
      <c r="Q717" s="43">
        <v>46154.979861111111</v>
      </c>
      <c r="R717" s="43">
        <v>46155</v>
      </c>
      <c r="S717" s="58">
        <v>2.013888888888889E-2</v>
      </c>
      <c r="T717" s="33" t="s">
        <v>799</v>
      </c>
      <c r="U717" s="43">
        <v>46155.111805555556</v>
      </c>
      <c r="V717" s="58">
        <v>1.5277777777777777E-2</v>
      </c>
      <c r="W717" s="33" t="s">
        <v>799</v>
      </c>
      <c r="X717" s="43">
        <v>46155.111805555556</v>
      </c>
      <c r="Y717" s="58">
        <v>1.5277777777777777E-2</v>
      </c>
      <c r="Z717" s="33" t="s">
        <v>799</v>
      </c>
      <c r="AA717" s="43">
        <v>46155.166666666664</v>
      </c>
      <c r="AB717" s="33" t="s">
        <v>81</v>
      </c>
      <c r="AC717" s="33" t="s">
        <v>2262</v>
      </c>
      <c r="AD717" s="58">
        <v>0.28125</v>
      </c>
      <c r="AE717" s="58">
        <v>0.12291666666666666</v>
      </c>
      <c r="AF717" s="58">
        <v>0.28125</v>
      </c>
      <c r="AG717" s="33" t="s">
        <v>1861</v>
      </c>
      <c r="AH717" s="33">
        <v>2</v>
      </c>
      <c r="AI717" s="43">
        <v>46155.111805555556</v>
      </c>
      <c r="AJ717" s="33" t="s">
        <v>793</v>
      </c>
      <c r="AK717" s="42">
        <v>401770</v>
      </c>
      <c r="AL717" s="33" t="s">
        <v>1862</v>
      </c>
    </row>
    <row r="718" spans="1:38">
      <c r="A718" s="33">
        <v>6021562</v>
      </c>
      <c r="B718" s="33"/>
      <c r="C718" s="33" t="s">
        <v>789</v>
      </c>
      <c r="D718" s="33" t="s">
        <v>323</v>
      </c>
      <c r="E718" s="33" t="s">
        <v>3135</v>
      </c>
      <c r="F718" s="43">
        <v>46154.875</v>
      </c>
      <c r="G718" s="33" t="s">
        <v>227</v>
      </c>
      <c r="H718" s="33"/>
      <c r="I718" s="33" t="s">
        <v>772</v>
      </c>
      <c r="J718" s="33" t="s">
        <v>773</v>
      </c>
      <c r="K718" s="33" t="s">
        <v>75</v>
      </c>
      <c r="L718" s="33" t="s">
        <v>2080</v>
      </c>
      <c r="M718" s="43">
        <v>46155.658067129632</v>
      </c>
      <c r="N718" s="33" t="s">
        <v>230</v>
      </c>
      <c r="O718" s="33" t="s">
        <v>797</v>
      </c>
      <c r="P718" s="33" t="s">
        <v>79</v>
      </c>
      <c r="Q718" s="43">
        <v>46154.959027777775</v>
      </c>
      <c r="R718" s="43">
        <v>46154.963194444441</v>
      </c>
      <c r="S718" s="58">
        <v>4.1666666666666666E-3</v>
      </c>
      <c r="T718" s="33" t="s">
        <v>308</v>
      </c>
      <c r="U718" s="43">
        <v>46155.612500000003</v>
      </c>
      <c r="V718" s="58">
        <v>4.6527777777777779E-2</v>
      </c>
      <c r="W718" s="33" t="s">
        <v>308</v>
      </c>
      <c r="X718" s="43">
        <v>46155.612500000003</v>
      </c>
      <c r="Y718" s="58">
        <v>4.6527777777777779E-2</v>
      </c>
      <c r="Z718" s="33" t="s">
        <v>308</v>
      </c>
      <c r="AA718" s="43">
        <v>46155.958333333336</v>
      </c>
      <c r="AB718" s="33" t="s">
        <v>81</v>
      </c>
      <c r="AC718" s="33" t="s">
        <v>775</v>
      </c>
      <c r="AD718" s="58">
        <v>0.77152777777777781</v>
      </c>
      <c r="AE718" s="58">
        <v>0.69444444444444442</v>
      </c>
      <c r="AF718" s="58">
        <v>0.77152777777777781</v>
      </c>
      <c r="AG718" s="33" t="s">
        <v>3136</v>
      </c>
      <c r="AH718" s="33">
        <v>2</v>
      </c>
      <c r="AI718" s="43">
        <v>46155.612500000003</v>
      </c>
      <c r="AJ718" s="33" t="s">
        <v>73</v>
      </c>
      <c r="AK718" s="42">
        <v>264881.33</v>
      </c>
      <c r="AL718" s="33" t="s">
        <v>332</v>
      </c>
    </row>
    <row r="719" spans="1:38">
      <c r="A719" s="33">
        <v>6005087</v>
      </c>
      <c r="B719" s="33"/>
      <c r="C719" s="33" t="s">
        <v>789</v>
      </c>
      <c r="D719" s="33" t="s">
        <v>1521</v>
      </c>
      <c r="E719" s="33" t="s">
        <v>3137</v>
      </c>
      <c r="F719" s="43">
        <v>46154.895833333336</v>
      </c>
      <c r="G719" s="33" t="s">
        <v>792</v>
      </c>
      <c r="H719" s="33"/>
      <c r="I719" s="33" t="s">
        <v>793</v>
      </c>
      <c r="J719" s="33" t="s">
        <v>1147</v>
      </c>
      <c r="K719" s="33" t="s">
        <v>75</v>
      </c>
      <c r="L719" s="33" t="s">
        <v>1318</v>
      </c>
      <c r="M719" s="43">
        <v>46154.929270833331</v>
      </c>
      <c r="N719" s="33" t="s">
        <v>1524</v>
      </c>
      <c r="O719" s="33" t="s">
        <v>797</v>
      </c>
      <c r="P719" s="33" t="s">
        <v>799</v>
      </c>
      <c r="Q719" s="43">
        <v>46154.895138888889</v>
      </c>
      <c r="R719" s="43">
        <v>46154.897222222222</v>
      </c>
      <c r="S719" s="58">
        <v>2.0833333333333333E-3</v>
      </c>
      <c r="T719" s="33" t="s">
        <v>140</v>
      </c>
      <c r="U719" s="43">
        <v>46154.922222222223</v>
      </c>
      <c r="V719" s="58">
        <v>9.7222222222222224E-3</v>
      </c>
      <c r="W719" s="33"/>
      <c r="X719" s="33"/>
      <c r="Y719" s="33"/>
      <c r="Z719" s="33" t="s">
        <v>140</v>
      </c>
      <c r="AA719" s="43">
        <v>46154.916666666664</v>
      </c>
      <c r="AB719" s="33" t="s">
        <v>81</v>
      </c>
      <c r="AC719" s="33" t="s">
        <v>81</v>
      </c>
      <c r="AD719" s="58">
        <v>3.6805555555555557E-2</v>
      </c>
      <c r="AE719" s="33"/>
      <c r="AF719" s="58">
        <v>3.4722222222222224E-2</v>
      </c>
      <c r="AG719" s="33" t="s">
        <v>1526</v>
      </c>
      <c r="AH719" s="33">
        <v>2</v>
      </c>
      <c r="AI719" s="43">
        <v>46154.922222222223</v>
      </c>
      <c r="AJ719" s="33" t="s">
        <v>793</v>
      </c>
      <c r="AK719" s="42">
        <v>616895.09</v>
      </c>
      <c r="AL719" s="33" t="s">
        <v>1527</v>
      </c>
    </row>
    <row r="720" spans="1:38">
      <c r="A720" s="33">
        <v>6015007</v>
      </c>
      <c r="B720" s="33"/>
      <c r="C720" s="33" t="s">
        <v>789</v>
      </c>
      <c r="D720" s="33" t="s">
        <v>1633</v>
      </c>
      <c r="E720" s="33" t="s">
        <v>3138</v>
      </c>
      <c r="F720" s="43">
        <v>46154.958333333336</v>
      </c>
      <c r="G720" s="33" t="s">
        <v>1635</v>
      </c>
      <c r="H720" s="33"/>
      <c r="I720" s="33" t="s">
        <v>73</v>
      </c>
      <c r="J720" s="33" t="s">
        <v>3139</v>
      </c>
      <c r="K720" s="33" t="s">
        <v>75</v>
      </c>
      <c r="L720" s="33" t="s">
        <v>3009</v>
      </c>
      <c r="M720" s="43">
        <v>46155.706111111111</v>
      </c>
      <c r="N720" s="33" t="s">
        <v>1637</v>
      </c>
      <c r="O720" s="33" t="s">
        <v>797</v>
      </c>
      <c r="P720" s="33" t="s">
        <v>140</v>
      </c>
      <c r="Q720" s="33"/>
      <c r="R720" s="33"/>
      <c r="S720" s="33"/>
      <c r="T720" s="33" t="s">
        <v>176</v>
      </c>
      <c r="U720" s="43">
        <v>46154.905555555553</v>
      </c>
      <c r="V720" s="58">
        <v>0.8041666666666667</v>
      </c>
      <c r="W720" s="33" t="s">
        <v>176</v>
      </c>
      <c r="X720" s="43">
        <v>46154.905555555553</v>
      </c>
      <c r="Y720" s="58">
        <v>0.8041666666666667</v>
      </c>
      <c r="Z720" s="33" t="s">
        <v>176</v>
      </c>
      <c r="AA720" s="43">
        <v>46155.291666666664</v>
      </c>
      <c r="AB720" s="33" t="s">
        <v>81</v>
      </c>
      <c r="AC720" s="33" t="s">
        <v>3140</v>
      </c>
      <c r="AD720" s="58">
        <v>0.80138888888888893</v>
      </c>
      <c r="AE720" s="33"/>
      <c r="AF720" s="58">
        <v>0.80138888888888893</v>
      </c>
      <c r="AG720" s="33" t="s">
        <v>3141</v>
      </c>
      <c r="AH720" s="33">
        <v>1</v>
      </c>
      <c r="AI720" s="43">
        <v>46154.905555555553</v>
      </c>
      <c r="AJ720" s="33" t="s">
        <v>73</v>
      </c>
      <c r="AK720" s="42">
        <v>983603.3</v>
      </c>
      <c r="AL720" s="33" t="s">
        <v>1640</v>
      </c>
    </row>
    <row r="721" spans="1:38">
      <c r="A721" s="33">
        <v>6015006</v>
      </c>
      <c r="B721" s="33"/>
      <c r="C721" s="33" t="s">
        <v>789</v>
      </c>
      <c r="D721" s="33" t="s">
        <v>3142</v>
      </c>
      <c r="E721" s="33" t="s">
        <v>3143</v>
      </c>
      <c r="F721" s="43">
        <v>46154.958333333336</v>
      </c>
      <c r="G721" s="33" t="s">
        <v>1635</v>
      </c>
      <c r="H721" s="33"/>
      <c r="I721" s="33" t="s">
        <v>73</v>
      </c>
      <c r="J721" s="33" t="s">
        <v>3139</v>
      </c>
      <c r="K721" s="33" t="s">
        <v>75</v>
      </c>
      <c r="L721" s="33" t="s">
        <v>3009</v>
      </c>
      <c r="M721" s="43">
        <v>46155.741712962961</v>
      </c>
      <c r="N721" s="33" t="s">
        <v>3144</v>
      </c>
      <c r="O721" s="33" t="s">
        <v>797</v>
      </c>
      <c r="P721" s="33" t="s">
        <v>140</v>
      </c>
      <c r="Q721" s="33"/>
      <c r="R721" s="33"/>
      <c r="S721" s="33"/>
      <c r="T721" s="33" t="s">
        <v>176</v>
      </c>
      <c r="U721" s="43">
        <v>46154.906944444447</v>
      </c>
      <c r="V721" s="58">
        <v>0.83680555555555558</v>
      </c>
      <c r="W721" s="33" t="s">
        <v>176</v>
      </c>
      <c r="X721" s="43">
        <v>46154.906944444447</v>
      </c>
      <c r="Y721" s="58">
        <v>0.83680555555555558</v>
      </c>
      <c r="Z721" s="33" t="s">
        <v>176</v>
      </c>
      <c r="AA721" s="43">
        <v>46155.291666666664</v>
      </c>
      <c r="AB721" s="33" t="s">
        <v>81</v>
      </c>
      <c r="AC721" s="33" t="s">
        <v>3140</v>
      </c>
      <c r="AD721" s="58">
        <v>0.83472222222222225</v>
      </c>
      <c r="AE721" s="33"/>
      <c r="AF721" s="58">
        <v>0.83472222222222225</v>
      </c>
      <c r="AG721" s="33" t="s">
        <v>3145</v>
      </c>
      <c r="AH721" s="33">
        <v>1</v>
      </c>
      <c r="AI721" s="43">
        <v>46154.906944444447</v>
      </c>
      <c r="AJ721" s="33" t="s">
        <v>73</v>
      </c>
      <c r="AK721" s="42">
        <v>739013.24</v>
      </c>
      <c r="AL721" s="33" t="s">
        <v>3146</v>
      </c>
    </row>
    <row r="722" spans="1:38">
      <c r="A722" s="33">
        <v>6020907</v>
      </c>
      <c r="B722" s="33"/>
      <c r="C722" s="33" t="s">
        <v>789</v>
      </c>
      <c r="D722" s="33" t="s">
        <v>3147</v>
      </c>
      <c r="E722" s="33" t="s">
        <v>3148</v>
      </c>
      <c r="F722" s="43">
        <v>46154.958333333336</v>
      </c>
      <c r="G722" s="33" t="s">
        <v>1635</v>
      </c>
      <c r="H722" s="33"/>
      <c r="I722" s="33" t="s">
        <v>772</v>
      </c>
      <c r="J722" s="33" t="s">
        <v>1636</v>
      </c>
      <c r="K722" s="33" t="s">
        <v>75</v>
      </c>
      <c r="L722" s="33" t="s">
        <v>1256</v>
      </c>
      <c r="M722" s="43">
        <v>46155.518240740741</v>
      </c>
      <c r="N722" s="33" t="s">
        <v>493</v>
      </c>
      <c r="O722" s="33" t="s">
        <v>797</v>
      </c>
      <c r="P722" s="33" t="s">
        <v>140</v>
      </c>
      <c r="Q722" s="33"/>
      <c r="R722" s="33"/>
      <c r="S722" s="33"/>
      <c r="T722" s="33" t="s">
        <v>1258</v>
      </c>
      <c r="U722" s="43">
        <v>46155.395138888889</v>
      </c>
      <c r="V722" s="58">
        <v>0.12430555555555556</v>
      </c>
      <c r="W722" s="33" t="s">
        <v>1258</v>
      </c>
      <c r="X722" s="43">
        <v>46155.395138888889</v>
      </c>
      <c r="Y722" s="58">
        <v>0.12430555555555556</v>
      </c>
      <c r="Z722" s="33" t="s">
        <v>1258</v>
      </c>
      <c r="AA722" s="43">
        <v>46155.333333333336</v>
      </c>
      <c r="AB722" s="33" t="s">
        <v>81</v>
      </c>
      <c r="AC722" s="33" t="s">
        <v>1638</v>
      </c>
      <c r="AD722" s="58">
        <v>0.58402777777777781</v>
      </c>
      <c r="AE722" s="58">
        <v>0.54097222222222219</v>
      </c>
      <c r="AF722" s="58">
        <v>0.58402777777777781</v>
      </c>
      <c r="AG722" s="33" t="s">
        <v>3149</v>
      </c>
      <c r="AH722" s="33">
        <v>2</v>
      </c>
      <c r="AI722" s="43">
        <v>46155.395138888889</v>
      </c>
      <c r="AJ722" s="33" t="s">
        <v>73</v>
      </c>
      <c r="AK722" s="42">
        <v>457338</v>
      </c>
      <c r="AL722" s="33" t="s">
        <v>3150</v>
      </c>
    </row>
    <row r="723" spans="1:38">
      <c r="A723" s="33">
        <v>6011294</v>
      </c>
      <c r="B723" s="33"/>
      <c r="C723" s="33" t="s">
        <v>789</v>
      </c>
      <c r="D723" s="33" t="s">
        <v>2926</v>
      </c>
      <c r="E723" s="33" t="s">
        <v>3151</v>
      </c>
      <c r="F723" s="43">
        <v>46155.083333333336</v>
      </c>
      <c r="G723" s="33" t="s">
        <v>836</v>
      </c>
      <c r="H723" s="33"/>
      <c r="I723" s="33" t="s">
        <v>73</v>
      </c>
      <c r="J723" s="33" t="s">
        <v>1216</v>
      </c>
      <c r="K723" s="33" t="s">
        <v>149</v>
      </c>
      <c r="L723" s="33" t="s">
        <v>3152</v>
      </c>
      <c r="M723" s="43">
        <v>46155.854826388888</v>
      </c>
      <c r="N723" s="33" t="s">
        <v>2930</v>
      </c>
      <c r="O723" s="33" t="s">
        <v>797</v>
      </c>
      <c r="P723" s="33" t="s">
        <v>79</v>
      </c>
      <c r="Q723" s="43">
        <v>46154.959722222222</v>
      </c>
      <c r="R723" s="43">
        <v>46154.970138888886</v>
      </c>
      <c r="S723" s="58">
        <v>1.0416666666666666E-2</v>
      </c>
      <c r="T723" s="33" t="s">
        <v>119</v>
      </c>
      <c r="U723" s="33"/>
      <c r="V723" s="33"/>
      <c r="W723" s="33"/>
      <c r="X723" s="33"/>
      <c r="Y723" s="33"/>
      <c r="Z723" s="33" t="s">
        <v>119</v>
      </c>
      <c r="AA723" s="43">
        <v>46161.333333333336</v>
      </c>
      <c r="AB723" s="33" t="s">
        <v>3153</v>
      </c>
      <c r="AC723" s="33" t="s">
        <v>1218</v>
      </c>
      <c r="AD723" s="58">
        <v>0.98888888888888893</v>
      </c>
      <c r="AE723" s="33"/>
      <c r="AF723" s="58">
        <v>0.98888888888888893</v>
      </c>
      <c r="AG723" s="33" t="s">
        <v>2933</v>
      </c>
      <c r="AH723" s="33">
        <v>2</v>
      </c>
      <c r="AI723" s="43">
        <v>46157.103472222225</v>
      </c>
      <c r="AJ723" s="33" t="s">
        <v>73</v>
      </c>
      <c r="AK723" s="42">
        <v>146612.92000000001</v>
      </c>
      <c r="AL723" s="33" t="s">
        <v>2934</v>
      </c>
    </row>
    <row r="724" spans="1:38">
      <c r="A724" s="33">
        <v>6013986</v>
      </c>
      <c r="B724" s="33"/>
      <c r="C724" s="33" t="s">
        <v>789</v>
      </c>
      <c r="D724" s="33" t="s">
        <v>3154</v>
      </c>
      <c r="E724" s="33" t="s">
        <v>3155</v>
      </c>
      <c r="F724" s="43">
        <v>46155.083333333336</v>
      </c>
      <c r="G724" s="33" t="s">
        <v>408</v>
      </c>
      <c r="H724" s="33"/>
      <c r="I724" s="33" t="s">
        <v>73</v>
      </c>
      <c r="J724" s="33" t="s">
        <v>1667</v>
      </c>
      <c r="K724" s="33" t="s">
        <v>75</v>
      </c>
      <c r="L724" s="33" t="s">
        <v>880</v>
      </c>
      <c r="M724" s="43">
        <v>46157.596620370372</v>
      </c>
      <c r="N724" s="33" t="s">
        <v>3156</v>
      </c>
      <c r="O724" s="33" t="s">
        <v>797</v>
      </c>
      <c r="P724" s="33" t="s">
        <v>140</v>
      </c>
      <c r="Q724" s="33"/>
      <c r="R724" s="33"/>
      <c r="S724" s="33"/>
      <c r="T724" s="33" t="s">
        <v>984</v>
      </c>
      <c r="U724" s="43">
        <v>46156.245833333334</v>
      </c>
      <c r="V724" s="44">
        <v>1.5604166666666666</v>
      </c>
      <c r="W724" s="33" t="s">
        <v>984</v>
      </c>
      <c r="X724" s="43">
        <v>46156.245833333334</v>
      </c>
      <c r="Y724" s="44">
        <v>1.5604166666666666</v>
      </c>
      <c r="Z724" s="33" t="s">
        <v>984</v>
      </c>
      <c r="AA724" s="43">
        <v>46157.25</v>
      </c>
      <c r="AB724" s="33" t="s">
        <v>81</v>
      </c>
      <c r="AC724" s="33" t="s">
        <v>1669</v>
      </c>
      <c r="AD724" s="44">
        <v>2.5</v>
      </c>
      <c r="AE724" s="44">
        <v>1.4520833333333334</v>
      </c>
      <c r="AF724" s="44">
        <v>2.5</v>
      </c>
      <c r="AG724" s="33" t="s">
        <v>3157</v>
      </c>
      <c r="AH724" s="33">
        <v>2</v>
      </c>
      <c r="AI724" s="43">
        <v>46156.245833333334</v>
      </c>
      <c r="AJ724" s="33" t="s">
        <v>73</v>
      </c>
      <c r="AK724" s="42">
        <v>430936.02</v>
      </c>
      <c r="AL724" s="33" t="s">
        <v>3158</v>
      </c>
    </row>
    <row r="725" spans="1:38">
      <c r="A725" s="33">
        <v>6006068</v>
      </c>
      <c r="B725" s="33"/>
      <c r="C725" s="33" t="s">
        <v>789</v>
      </c>
      <c r="D725" s="33" t="s">
        <v>1689</v>
      </c>
      <c r="E725" s="33" t="s">
        <v>3159</v>
      </c>
      <c r="F725" s="43">
        <v>46155.048611111109</v>
      </c>
      <c r="G725" s="33" t="s">
        <v>792</v>
      </c>
      <c r="H725" s="33"/>
      <c r="I725" s="33" t="s">
        <v>793</v>
      </c>
      <c r="J725" s="33" t="s">
        <v>2721</v>
      </c>
      <c r="K725" s="33" t="s">
        <v>1118</v>
      </c>
      <c r="L725" s="33" t="s">
        <v>1592</v>
      </c>
      <c r="M725" s="43">
        <v>46155.084293981483</v>
      </c>
      <c r="N725" s="33" t="s">
        <v>1692</v>
      </c>
      <c r="O725" s="33" t="s">
        <v>797</v>
      </c>
      <c r="P725" s="33" t="s">
        <v>799</v>
      </c>
      <c r="Q725" s="43">
        <v>46155.04791666667</v>
      </c>
      <c r="R725" s="43">
        <v>46155.050694444442</v>
      </c>
      <c r="S725" s="58">
        <v>2.7777777777777779E-3</v>
      </c>
      <c r="T725" s="33" t="s">
        <v>140</v>
      </c>
      <c r="U725" s="43">
        <v>46155.072916666664</v>
      </c>
      <c r="V725" s="58">
        <v>1.1111111111111112E-2</v>
      </c>
      <c r="W725" s="33" t="s">
        <v>140</v>
      </c>
      <c r="X725" s="43">
        <v>46155.072916666664</v>
      </c>
      <c r="Y725" s="58">
        <v>1.1111111111111112E-2</v>
      </c>
      <c r="Z725" s="33" t="s">
        <v>140</v>
      </c>
      <c r="AA725" s="43">
        <v>46155.125</v>
      </c>
      <c r="AB725" s="33" t="s">
        <v>81</v>
      </c>
      <c r="AC725" s="33" t="s">
        <v>2722</v>
      </c>
      <c r="AD725" s="58">
        <v>3.7499999999999999E-2</v>
      </c>
      <c r="AE725" s="58">
        <v>3.2638888888888891E-2</v>
      </c>
      <c r="AF725" s="58">
        <v>3.7499999999999999E-2</v>
      </c>
      <c r="AG725" s="33" t="s">
        <v>1693</v>
      </c>
      <c r="AH725" s="33">
        <v>2</v>
      </c>
      <c r="AI725" s="43">
        <v>46155.072916666664</v>
      </c>
      <c r="AJ725" s="33" t="s">
        <v>793</v>
      </c>
      <c r="AK725" s="42">
        <v>734876.8</v>
      </c>
      <c r="AL725" s="33" t="s">
        <v>1694</v>
      </c>
    </row>
    <row r="726" spans="1:38">
      <c r="A726" s="33">
        <v>6013206</v>
      </c>
      <c r="B726" s="33"/>
      <c r="C726" s="33" t="s">
        <v>789</v>
      </c>
      <c r="D726" s="33" t="s">
        <v>3160</v>
      </c>
      <c r="E726" s="33" t="s">
        <v>3161</v>
      </c>
      <c r="F726" s="43">
        <v>46155.876388888886</v>
      </c>
      <c r="G726" s="33" t="s">
        <v>72</v>
      </c>
      <c r="H726" s="33"/>
      <c r="I726" s="33" t="s">
        <v>73</v>
      </c>
      <c r="J726" s="33" t="s">
        <v>3162</v>
      </c>
      <c r="K726" s="33" t="s">
        <v>1589</v>
      </c>
      <c r="L726" s="33" t="s">
        <v>3163</v>
      </c>
      <c r="M726" s="43">
        <v>46156.632268518515</v>
      </c>
      <c r="N726" s="33" t="s">
        <v>3164</v>
      </c>
      <c r="O726" s="33" t="s">
        <v>868</v>
      </c>
      <c r="P726" s="33" t="s">
        <v>140</v>
      </c>
      <c r="Q726" s="33"/>
      <c r="R726" s="33"/>
      <c r="S726" s="33"/>
      <c r="T726" s="33" t="s">
        <v>2099</v>
      </c>
      <c r="U726" s="43">
        <v>46156.000694444447</v>
      </c>
      <c r="V726" s="58">
        <v>0.63124999999999998</v>
      </c>
      <c r="W726" s="33"/>
      <c r="X726" s="33"/>
      <c r="Y726" s="33"/>
      <c r="Z726" s="33" t="s">
        <v>2099</v>
      </c>
      <c r="AA726" s="43">
        <v>46157.1875</v>
      </c>
      <c r="AB726" s="33" t="s">
        <v>81</v>
      </c>
      <c r="AC726" s="33" t="s">
        <v>81</v>
      </c>
      <c r="AD726" s="44">
        <v>1.538888888888889</v>
      </c>
      <c r="AE726" s="33"/>
      <c r="AF726" s="44">
        <v>1.538888888888889</v>
      </c>
      <c r="AG726" s="33"/>
      <c r="AH726" s="33">
        <v>1</v>
      </c>
      <c r="AI726" s="43">
        <v>46156.000694444447</v>
      </c>
      <c r="AJ726" s="33" t="s">
        <v>73</v>
      </c>
      <c r="AK726" s="42">
        <v>725596.3</v>
      </c>
      <c r="AL726" s="33" t="s">
        <v>3165</v>
      </c>
    </row>
    <row r="727" spans="1:38">
      <c r="A727" s="33">
        <v>6008062</v>
      </c>
      <c r="B727" s="33"/>
      <c r="C727" s="33" t="s">
        <v>789</v>
      </c>
      <c r="D727" s="33" t="s">
        <v>1074</v>
      </c>
      <c r="E727" s="33" t="s">
        <v>3166</v>
      </c>
      <c r="F727" s="43">
        <v>46155.208333333336</v>
      </c>
      <c r="G727" s="33" t="s">
        <v>792</v>
      </c>
      <c r="H727" s="33"/>
      <c r="I727" s="33" t="s">
        <v>793</v>
      </c>
      <c r="J727" s="33" t="s">
        <v>2859</v>
      </c>
      <c r="K727" s="33" t="s">
        <v>75</v>
      </c>
      <c r="L727" s="33" t="s">
        <v>998</v>
      </c>
      <c r="M727" s="43">
        <v>46155.386689814812</v>
      </c>
      <c r="N727" s="33" t="s">
        <v>1078</v>
      </c>
      <c r="O727" s="33" t="s">
        <v>797</v>
      </c>
      <c r="P727" s="33" t="s">
        <v>1963</v>
      </c>
      <c r="Q727" s="43">
        <v>46155.118055555555</v>
      </c>
      <c r="R727" s="43">
        <v>46155.170138888891</v>
      </c>
      <c r="S727" s="58">
        <v>5.2083333333333336E-2</v>
      </c>
      <c r="T727" s="33" t="s">
        <v>799</v>
      </c>
      <c r="U727" s="43">
        <v>46155.384722222225</v>
      </c>
      <c r="V727" s="58">
        <v>2.7777777777777779E-3</v>
      </c>
      <c r="W727" s="33" t="s">
        <v>799</v>
      </c>
      <c r="X727" s="43">
        <v>46155.384722222225</v>
      </c>
      <c r="Y727" s="58">
        <v>2.7777777777777779E-3</v>
      </c>
      <c r="Z727" s="33" t="s">
        <v>799</v>
      </c>
      <c r="AA727" s="43">
        <v>46155.416666666664</v>
      </c>
      <c r="AB727" s="33" t="s">
        <v>81</v>
      </c>
      <c r="AC727" s="33" t="s">
        <v>2262</v>
      </c>
      <c r="AD727" s="58">
        <v>0.27638888888888891</v>
      </c>
      <c r="AE727" s="58">
        <v>0.21666666666666667</v>
      </c>
      <c r="AF727" s="58">
        <v>0.27638888888888891</v>
      </c>
      <c r="AG727" s="33" t="s">
        <v>1080</v>
      </c>
      <c r="AH727" s="33">
        <v>2</v>
      </c>
      <c r="AI727" s="43">
        <v>46155.384722222225</v>
      </c>
      <c r="AJ727" s="33" t="s">
        <v>793</v>
      </c>
      <c r="AK727" s="42">
        <v>1075405.8700000001</v>
      </c>
      <c r="AL727" s="33" t="s">
        <v>1081</v>
      </c>
    </row>
    <row r="728" spans="1:38">
      <c r="A728" s="33">
        <v>6006807</v>
      </c>
      <c r="B728" s="33"/>
      <c r="C728" s="33" t="s">
        <v>789</v>
      </c>
      <c r="D728" s="33" t="s">
        <v>1040</v>
      </c>
      <c r="E728" s="33" t="s">
        <v>3167</v>
      </c>
      <c r="F728" s="43">
        <v>46155.166666666664</v>
      </c>
      <c r="G728" s="33" t="s">
        <v>792</v>
      </c>
      <c r="H728" s="33"/>
      <c r="I728" s="33" t="s">
        <v>793</v>
      </c>
      <c r="J728" s="33" t="s">
        <v>2721</v>
      </c>
      <c r="K728" s="33" t="s">
        <v>75</v>
      </c>
      <c r="L728" s="33" t="s">
        <v>1184</v>
      </c>
      <c r="M728" s="43">
        <v>46155.21297453704</v>
      </c>
      <c r="N728" s="33" t="s">
        <v>796</v>
      </c>
      <c r="O728" s="33" t="s">
        <v>797</v>
      </c>
      <c r="P728" s="33" t="s">
        <v>799</v>
      </c>
      <c r="Q728" s="43">
        <v>46155.168055555558</v>
      </c>
      <c r="R728" s="43">
        <v>46155.177083333336</v>
      </c>
      <c r="S728" s="58">
        <v>9.0277777777777769E-3</v>
      </c>
      <c r="T728" s="33" t="s">
        <v>140</v>
      </c>
      <c r="U728" s="43">
        <v>46155.206250000003</v>
      </c>
      <c r="V728" s="58">
        <v>6.2500000000000003E-3</v>
      </c>
      <c r="W728" s="33" t="s">
        <v>140</v>
      </c>
      <c r="X728" s="43">
        <v>46155.206250000003</v>
      </c>
      <c r="Y728" s="58">
        <v>6.2500000000000003E-3</v>
      </c>
      <c r="Z728" s="33" t="s">
        <v>140</v>
      </c>
      <c r="AA728" s="43">
        <v>46155.25</v>
      </c>
      <c r="AB728" s="33" t="s">
        <v>81</v>
      </c>
      <c r="AC728" s="33" t="s">
        <v>2722</v>
      </c>
      <c r="AD728" s="58">
        <v>4.5138888888888888E-2</v>
      </c>
      <c r="AE728" s="58">
        <v>3.5416666666666666E-2</v>
      </c>
      <c r="AF728" s="58">
        <v>4.5138888888888888E-2</v>
      </c>
      <c r="AG728" s="33" t="s">
        <v>1045</v>
      </c>
      <c r="AH728" s="33">
        <v>2</v>
      </c>
      <c r="AI728" s="43">
        <v>46155.206250000003</v>
      </c>
      <c r="AJ728" s="33" t="s">
        <v>793</v>
      </c>
      <c r="AK728" s="42">
        <v>583780.46</v>
      </c>
      <c r="AL728" s="33" t="s">
        <v>1046</v>
      </c>
    </row>
    <row r="729" spans="1:38">
      <c r="A729" s="33">
        <v>6004180</v>
      </c>
      <c r="B729" s="33"/>
      <c r="C729" s="33" t="s">
        <v>789</v>
      </c>
      <c r="D729" s="33" t="s">
        <v>1047</v>
      </c>
      <c r="E729" s="33" t="s">
        <v>3168</v>
      </c>
      <c r="F729" s="43">
        <v>46155.208333333336</v>
      </c>
      <c r="G729" s="33" t="s">
        <v>792</v>
      </c>
      <c r="H729" s="33"/>
      <c r="I729" s="33" t="s">
        <v>793</v>
      </c>
      <c r="J729" s="33" t="s">
        <v>3169</v>
      </c>
      <c r="K729" s="33" t="s">
        <v>820</v>
      </c>
      <c r="L729" s="33" t="s">
        <v>3170</v>
      </c>
      <c r="M729" s="43">
        <v>46155.229571759257</v>
      </c>
      <c r="N729" s="33" t="s">
        <v>1051</v>
      </c>
      <c r="O729" s="33" t="s">
        <v>797</v>
      </c>
      <c r="P729" s="33" t="s">
        <v>799</v>
      </c>
      <c r="Q729" s="43">
        <v>46155.181944444441</v>
      </c>
      <c r="R729" s="43">
        <v>46155.202777777777</v>
      </c>
      <c r="S729" s="58">
        <v>2.0833333333333332E-2</v>
      </c>
      <c r="T729" s="33" t="s">
        <v>140</v>
      </c>
      <c r="U729" s="43">
        <v>46155.228472222225</v>
      </c>
      <c r="V729" s="58">
        <v>1.9444444444444445E-2</v>
      </c>
      <c r="W729" s="33" t="s">
        <v>140</v>
      </c>
      <c r="X729" s="43">
        <v>46155.228472222225</v>
      </c>
      <c r="Y729" s="58">
        <v>1.9444444444444445E-2</v>
      </c>
      <c r="Z729" s="33" t="s">
        <v>140</v>
      </c>
      <c r="AA729" s="43">
        <v>46155.375</v>
      </c>
      <c r="AB729" s="33" t="s">
        <v>81</v>
      </c>
      <c r="AC729" s="33" t="s">
        <v>3171</v>
      </c>
      <c r="AD729" s="58">
        <v>6.5972222222222224E-2</v>
      </c>
      <c r="AE729" s="58">
        <v>2.6388888888888889E-2</v>
      </c>
      <c r="AF729" s="58">
        <v>6.5972222222222224E-2</v>
      </c>
      <c r="AG729" s="33" t="s">
        <v>2504</v>
      </c>
      <c r="AH729" s="33">
        <v>2</v>
      </c>
      <c r="AI729" s="43">
        <v>46155.228472222225</v>
      </c>
      <c r="AJ729" s="33" t="s">
        <v>793</v>
      </c>
      <c r="AK729" s="42">
        <v>959110.42</v>
      </c>
      <c r="AL729" s="33" t="s">
        <v>1055</v>
      </c>
    </row>
    <row r="730" spans="1:38">
      <c r="A730" s="33">
        <v>5990805</v>
      </c>
      <c r="B730" s="33"/>
      <c r="C730" s="33" t="s">
        <v>789</v>
      </c>
      <c r="D730" s="33" t="s">
        <v>1032</v>
      </c>
      <c r="E730" s="33" t="s">
        <v>3172</v>
      </c>
      <c r="F730" s="43">
        <v>46155.25</v>
      </c>
      <c r="G730" s="33" t="s">
        <v>792</v>
      </c>
      <c r="H730" s="33"/>
      <c r="I730" s="33" t="s">
        <v>793</v>
      </c>
      <c r="J730" s="33" t="s">
        <v>2721</v>
      </c>
      <c r="K730" s="33" t="s">
        <v>75</v>
      </c>
      <c r="L730" s="33" t="s">
        <v>1112</v>
      </c>
      <c r="M730" s="43">
        <v>46155.254525462966</v>
      </c>
      <c r="N730" s="33" t="s">
        <v>1036</v>
      </c>
      <c r="O730" s="33" t="s">
        <v>797</v>
      </c>
      <c r="P730" s="33" t="s">
        <v>799</v>
      </c>
      <c r="Q730" s="43">
        <v>46155.218055555553</v>
      </c>
      <c r="R730" s="43">
        <v>46155.227777777778</v>
      </c>
      <c r="S730" s="58">
        <v>9.7222222222222224E-3</v>
      </c>
      <c r="T730" s="33" t="s">
        <v>140</v>
      </c>
      <c r="U730" s="43">
        <v>46155.251388888886</v>
      </c>
      <c r="V730" s="58">
        <v>4.8611111111111112E-3</v>
      </c>
      <c r="W730" s="33" t="s">
        <v>140</v>
      </c>
      <c r="X730" s="43">
        <v>46155.251388888886</v>
      </c>
      <c r="Y730" s="58">
        <v>4.8611111111111112E-3</v>
      </c>
      <c r="Z730" s="33" t="s">
        <v>140</v>
      </c>
      <c r="AA730" s="43">
        <v>46155.375</v>
      </c>
      <c r="AB730" s="33" t="s">
        <v>81</v>
      </c>
      <c r="AC730" s="33" t="s">
        <v>2722</v>
      </c>
      <c r="AD730" s="58">
        <v>3.888888888888889E-2</v>
      </c>
      <c r="AE730" s="58">
        <v>2.6388888888888889E-2</v>
      </c>
      <c r="AF730" s="58">
        <v>3.888888888888889E-2</v>
      </c>
      <c r="AG730" s="33" t="s">
        <v>2816</v>
      </c>
      <c r="AH730" s="33">
        <v>2</v>
      </c>
      <c r="AI730" s="43">
        <v>46155.251388888886</v>
      </c>
      <c r="AJ730" s="33" t="s">
        <v>793</v>
      </c>
      <c r="AK730" s="42">
        <v>968340.6</v>
      </c>
      <c r="AL730" s="33" t="s">
        <v>1039</v>
      </c>
    </row>
    <row r="731" spans="1:38">
      <c r="A731" s="33">
        <v>5985215</v>
      </c>
      <c r="B731" s="33"/>
      <c r="C731" s="33" t="s">
        <v>789</v>
      </c>
      <c r="D731" s="33" t="s">
        <v>599</v>
      </c>
      <c r="E731" s="33" t="s">
        <v>3173</v>
      </c>
      <c r="F731" s="43">
        <v>46155.25</v>
      </c>
      <c r="G731" s="33" t="s">
        <v>171</v>
      </c>
      <c r="H731" s="33"/>
      <c r="I731" s="33" t="s">
        <v>73</v>
      </c>
      <c r="J731" s="33" t="s">
        <v>2090</v>
      </c>
      <c r="K731" s="33" t="s">
        <v>75</v>
      </c>
      <c r="L731" s="33" t="s">
        <v>3174</v>
      </c>
      <c r="M731" s="43">
        <v>46155.983240740738</v>
      </c>
      <c r="N731" s="33" t="s">
        <v>603</v>
      </c>
      <c r="O731" s="33" t="s">
        <v>797</v>
      </c>
      <c r="P731" s="33" t="s">
        <v>140</v>
      </c>
      <c r="Q731" s="43">
        <v>46155.222916666666</v>
      </c>
      <c r="R731" s="43">
        <v>46155.238194444442</v>
      </c>
      <c r="S731" s="58">
        <v>1.5277777777777777E-2</v>
      </c>
      <c r="T731" s="33" t="s">
        <v>2093</v>
      </c>
      <c r="U731" s="43">
        <v>46155.299305555556</v>
      </c>
      <c r="V731" s="58">
        <v>0.68472222222222223</v>
      </c>
      <c r="W731" s="33" t="s">
        <v>2093</v>
      </c>
      <c r="X731" s="43">
        <v>46155.299305555556</v>
      </c>
      <c r="Y731" s="58">
        <v>0.68472222222222223</v>
      </c>
      <c r="Z731" s="33" t="s">
        <v>2093</v>
      </c>
      <c r="AA731" s="43">
        <v>46155.958333333336</v>
      </c>
      <c r="AB731" s="33" t="s">
        <v>81</v>
      </c>
      <c r="AC731" s="33" t="s">
        <v>2094</v>
      </c>
      <c r="AD731" s="58">
        <v>0.76111111111111107</v>
      </c>
      <c r="AE731" s="58">
        <v>0.74583333333333335</v>
      </c>
      <c r="AF731" s="58">
        <v>0.76111111111111107</v>
      </c>
      <c r="AG731" s="33" t="s">
        <v>3175</v>
      </c>
      <c r="AH731" s="33">
        <v>2</v>
      </c>
      <c r="AI731" s="43">
        <v>46155.299305555556</v>
      </c>
      <c r="AJ731" s="33" t="s">
        <v>73</v>
      </c>
      <c r="AK731" s="42">
        <v>295017.78000000003</v>
      </c>
      <c r="AL731" s="33" t="s">
        <v>609</v>
      </c>
    </row>
    <row r="732" spans="1:38">
      <c r="A732" s="33">
        <v>6008197</v>
      </c>
      <c r="B732" s="33"/>
      <c r="C732" s="33" t="s">
        <v>789</v>
      </c>
      <c r="D732" s="33" t="s">
        <v>1424</v>
      </c>
      <c r="E732" s="33" t="s">
        <v>3176</v>
      </c>
      <c r="F732" s="43">
        <v>46155.25</v>
      </c>
      <c r="G732" s="33" t="s">
        <v>792</v>
      </c>
      <c r="H732" s="33"/>
      <c r="I732" s="33" t="s">
        <v>793</v>
      </c>
      <c r="J732" s="33" t="s">
        <v>2049</v>
      </c>
      <c r="K732" s="33" t="s">
        <v>75</v>
      </c>
      <c r="L732" s="33" t="s">
        <v>795</v>
      </c>
      <c r="M732" s="43">
        <v>46155.473437499997</v>
      </c>
      <c r="N732" s="33" t="s">
        <v>1426</v>
      </c>
      <c r="O732" s="33" t="s">
        <v>797</v>
      </c>
      <c r="P732" s="33" t="s">
        <v>1963</v>
      </c>
      <c r="Q732" s="43">
        <v>46155.263194444444</v>
      </c>
      <c r="R732" s="43">
        <v>46155.308333333334</v>
      </c>
      <c r="S732" s="58">
        <v>4.5138888888888888E-2</v>
      </c>
      <c r="T732" s="33" t="s">
        <v>799</v>
      </c>
      <c r="U732" s="43">
        <v>46155.458333333336</v>
      </c>
      <c r="V732" s="58">
        <v>1.5277777777777777E-2</v>
      </c>
      <c r="W732" s="33" t="s">
        <v>799</v>
      </c>
      <c r="X732" s="43">
        <v>46155.458333333336</v>
      </c>
      <c r="Y732" s="58">
        <v>1.5277777777777777E-2</v>
      </c>
      <c r="Z732" s="33" t="s">
        <v>799</v>
      </c>
      <c r="AA732" s="43">
        <v>46156.375</v>
      </c>
      <c r="AB732" s="33" t="s">
        <v>81</v>
      </c>
      <c r="AC732" s="33" t="s">
        <v>2076</v>
      </c>
      <c r="AD732" s="58">
        <v>0.2388888888888889</v>
      </c>
      <c r="AE732" s="58">
        <v>0.16527777777777777</v>
      </c>
      <c r="AF732" s="58">
        <v>0.2388888888888889</v>
      </c>
      <c r="AG732" s="33" t="s">
        <v>1427</v>
      </c>
      <c r="AH732" s="33">
        <v>2</v>
      </c>
      <c r="AI732" s="43">
        <v>46155.458333333336</v>
      </c>
      <c r="AJ732" s="33" t="s">
        <v>793</v>
      </c>
      <c r="AK732" s="42">
        <v>602818.19999999995</v>
      </c>
      <c r="AL732" s="33" t="s">
        <v>1428</v>
      </c>
    </row>
    <row r="733" spans="1:38">
      <c r="A733" s="33">
        <v>6021827</v>
      </c>
      <c r="B733" s="33"/>
      <c r="C733" s="33" t="s">
        <v>789</v>
      </c>
      <c r="D733" s="33" t="s">
        <v>292</v>
      </c>
      <c r="E733" s="33" t="s">
        <v>3177</v>
      </c>
      <c r="F733" s="43">
        <v>46155.848611111112</v>
      </c>
      <c r="G733" s="33" t="s">
        <v>114</v>
      </c>
      <c r="H733" s="58">
        <v>0.41249999999999998</v>
      </c>
      <c r="I733" s="33" t="s">
        <v>73</v>
      </c>
      <c r="J733" s="33" t="s">
        <v>983</v>
      </c>
      <c r="K733" s="33" t="s">
        <v>662</v>
      </c>
      <c r="L733" s="33" t="s">
        <v>880</v>
      </c>
      <c r="M733" s="43">
        <v>46156.301423611112</v>
      </c>
      <c r="N733" s="33" t="s">
        <v>296</v>
      </c>
      <c r="O733" s="33" t="s">
        <v>797</v>
      </c>
      <c r="P733" s="33" t="s">
        <v>140</v>
      </c>
      <c r="Q733" s="43">
        <v>46155.247916666667</v>
      </c>
      <c r="R733" s="43">
        <v>46155.272222222222</v>
      </c>
      <c r="S733" s="58">
        <v>2.4305555555555556E-2</v>
      </c>
      <c r="T733" s="33" t="s">
        <v>984</v>
      </c>
      <c r="U733" s="43">
        <v>46156.215277777781</v>
      </c>
      <c r="V733" s="58">
        <v>8.4027777777777785E-2</v>
      </c>
      <c r="W733" s="33"/>
      <c r="X733" s="33"/>
      <c r="Y733" s="33"/>
      <c r="Z733" s="33" t="s">
        <v>984</v>
      </c>
      <c r="AA733" s="43">
        <v>46157.958333333336</v>
      </c>
      <c r="AB733" s="33" t="s">
        <v>606</v>
      </c>
      <c r="AC733" s="33" t="s">
        <v>985</v>
      </c>
      <c r="AD733" s="44">
        <v>1.054861111111111</v>
      </c>
      <c r="AE733" s="33"/>
      <c r="AF733" s="44">
        <v>1.054861111111111</v>
      </c>
      <c r="AG733" s="33" t="s">
        <v>300</v>
      </c>
      <c r="AH733" s="33">
        <v>3</v>
      </c>
      <c r="AI733" s="43">
        <v>46156.215277777781</v>
      </c>
      <c r="AJ733" s="33" t="s">
        <v>73</v>
      </c>
      <c r="AK733" s="42">
        <v>139560.01</v>
      </c>
      <c r="AL733" s="33" t="s">
        <v>301</v>
      </c>
    </row>
    <row r="734" spans="1:38">
      <c r="A734" s="33">
        <v>6004174</v>
      </c>
      <c r="B734" s="33"/>
      <c r="C734" s="33" t="s">
        <v>789</v>
      </c>
      <c r="D734" s="33" t="s">
        <v>1047</v>
      </c>
      <c r="E734" s="33" t="s">
        <v>3178</v>
      </c>
      <c r="F734" s="43">
        <v>46155.333333333336</v>
      </c>
      <c r="G734" s="33" t="s">
        <v>792</v>
      </c>
      <c r="H734" s="33"/>
      <c r="I734" s="33" t="s">
        <v>793</v>
      </c>
      <c r="J734" s="33" t="s">
        <v>2721</v>
      </c>
      <c r="K734" s="33" t="s">
        <v>75</v>
      </c>
      <c r="L734" s="33" t="s">
        <v>1094</v>
      </c>
      <c r="M734" s="43">
        <v>46155.390659722223</v>
      </c>
      <c r="N734" s="33" t="s">
        <v>1051</v>
      </c>
      <c r="O734" s="33" t="s">
        <v>797</v>
      </c>
      <c r="P734" s="33" t="s">
        <v>799</v>
      </c>
      <c r="Q734" s="43">
        <v>46155.295138888891</v>
      </c>
      <c r="R734" s="43">
        <v>46155.335416666669</v>
      </c>
      <c r="S734" s="58">
        <v>4.027777777777778E-2</v>
      </c>
      <c r="T734" s="33" t="s">
        <v>140</v>
      </c>
      <c r="U734" s="43">
        <v>46155.384722222225</v>
      </c>
      <c r="V734" s="58">
        <v>9.0277777777777769E-3</v>
      </c>
      <c r="W734" s="33" t="s">
        <v>140</v>
      </c>
      <c r="X734" s="43">
        <v>46155.384722222225</v>
      </c>
      <c r="Y734" s="58">
        <v>9.0277777777777769E-3</v>
      </c>
      <c r="Z734" s="33" t="s">
        <v>140</v>
      </c>
      <c r="AA734" s="43">
        <v>46155.5</v>
      </c>
      <c r="AB734" s="33" t="s">
        <v>81</v>
      </c>
      <c r="AC734" s="33" t="s">
        <v>2722</v>
      </c>
      <c r="AD734" s="58">
        <v>0.10208333333333333</v>
      </c>
      <c r="AE734" s="58">
        <v>5.486111111111111E-2</v>
      </c>
      <c r="AF734" s="58">
        <v>0.10208333333333333</v>
      </c>
      <c r="AG734" s="33" t="s">
        <v>1205</v>
      </c>
      <c r="AH734" s="33">
        <v>2</v>
      </c>
      <c r="AI734" s="43">
        <v>46155.384722222225</v>
      </c>
      <c r="AJ734" s="33" t="s">
        <v>793</v>
      </c>
      <c r="AK734" s="42">
        <v>579546.81000000006</v>
      </c>
      <c r="AL734" s="33" t="s">
        <v>1055</v>
      </c>
    </row>
    <row r="735" spans="1:38">
      <c r="A735" s="33">
        <v>6004155</v>
      </c>
      <c r="B735" s="33"/>
      <c r="C735" s="33" t="s">
        <v>789</v>
      </c>
      <c r="D735" s="33" t="s">
        <v>1032</v>
      </c>
      <c r="E735" s="33" t="s">
        <v>3179</v>
      </c>
      <c r="F735" s="43">
        <v>46155.333333333336</v>
      </c>
      <c r="G735" s="33" t="s">
        <v>792</v>
      </c>
      <c r="H735" s="33"/>
      <c r="I735" s="33" t="s">
        <v>793</v>
      </c>
      <c r="J735" s="33" t="s">
        <v>2721</v>
      </c>
      <c r="K735" s="33" t="s">
        <v>75</v>
      </c>
      <c r="L735" s="33" t="s">
        <v>1867</v>
      </c>
      <c r="M735" s="43">
        <v>46155.377013888887</v>
      </c>
      <c r="N735" s="33" t="s">
        <v>1036</v>
      </c>
      <c r="O735" s="33" t="s">
        <v>797</v>
      </c>
      <c r="P735" s="33" t="s">
        <v>799</v>
      </c>
      <c r="Q735" s="43">
        <v>46155.308333333334</v>
      </c>
      <c r="R735" s="43">
        <v>46155.337500000001</v>
      </c>
      <c r="S735" s="58">
        <v>2.9166666666666667E-2</v>
      </c>
      <c r="T735" s="33" t="s">
        <v>140</v>
      </c>
      <c r="U735" s="43">
        <v>46155.368750000001</v>
      </c>
      <c r="V735" s="58">
        <v>1.0416666666666666E-2</v>
      </c>
      <c r="W735" s="33" t="s">
        <v>140</v>
      </c>
      <c r="X735" s="43">
        <v>46155.368750000001</v>
      </c>
      <c r="Y735" s="58">
        <v>1.0416666666666666E-2</v>
      </c>
      <c r="Z735" s="33" t="s">
        <v>140</v>
      </c>
      <c r="AA735" s="43">
        <v>46155.5</v>
      </c>
      <c r="AB735" s="33" t="s">
        <v>81</v>
      </c>
      <c r="AC735" s="33" t="s">
        <v>2722</v>
      </c>
      <c r="AD735" s="58">
        <v>8.6805555555555552E-2</v>
      </c>
      <c r="AE735" s="58">
        <v>3.888888888888889E-2</v>
      </c>
      <c r="AF735" s="58">
        <v>8.6805555555555552E-2</v>
      </c>
      <c r="AG735" s="33" t="s">
        <v>1038</v>
      </c>
      <c r="AH735" s="33">
        <v>2</v>
      </c>
      <c r="AI735" s="43">
        <v>46155.368750000001</v>
      </c>
      <c r="AJ735" s="33" t="s">
        <v>793</v>
      </c>
      <c r="AK735" s="42">
        <v>848873.48</v>
      </c>
      <c r="AL735" s="33" t="s">
        <v>1039</v>
      </c>
    </row>
    <row r="736" spans="1:38">
      <c r="A736" s="33" t="s">
        <v>2744</v>
      </c>
      <c r="B736" s="33"/>
      <c r="C736" s="33" t="s">
        <v>789</v>
      </c>
      <c r="D736" s="33" t="s">
        <v>1244</v>
      </c>
      <c r="E736" s="33" t="s">
        <v>3180</v>
      </c>
      <c r="F736" s="43">
        <v>46155.583333333336</v>
      </c>
      <c r="G736" s="33" t="s">
        <v>1246</v>
      </c>
      <c r="H736" s="33"/>
      <c r="I736" s="33" t="s">
        <v>73</v>
      </c>
      <c r="J736" s="33" t="s">
        <v>3181</v>
      </c>
      <c r="K736" s="33" t="s">
        <v>1373</v>
      </c>
      <c r="L736" s="33" t="s">
        <v>3182</v>
      </c>
      <c r="M736" s="43">
        <v>46155.641944444447</v>
      </c>
      <c r="N736" s="33" t="s">
        <v>1249</v>
      </c>
      <c r="O736" s="33" t="s">
        <v>231</v>
      </c>
      <c r="P736" s="33" t="s">
        <v>79</v>
      </c>
      <c r="Q736" s="33"/>
      <c r="R736" s="33"/>
      <c r="S736" s="33"/>
      <c r="T736" s="33" t="s">
        <v>3183</v>
      </c>
      <c r="U736" s="43">
        <v>46155.622916666667</v>
      </c>
      <c r="V736" s="58">
        <v>1.8749999999999999E-2</v>
      </c>
      <c r="W736" s="33"/>
      <c r="X736" s="33"/>
      <c r="Y736" s="33"/>
      <c r="Z736" s="33" t="s">
        <v>3183</v>
      </c>
      <c r="AA736" s="43">
        <v>46157.416666666664</v>
      </c>
      <c r="AB736" s="33" t="s">
        <v>81</v>
      </c>
      <c r="AC736" s="33" t="s">
        <v>81</v>
      </c>
      <c r="AD736" s="58">
        <v>0.14305555555555555</v>
      </c>
      <c r="AE736" s="33"/>
      <c r="AF736" s="58">
        <v>0.14305555555555555</v>
      </c>
      <c r="AG736" s="33" t="s">
        <v>3184</v>
      </c>
      <c r="AH736" s="33">
        <v>1</v>
      </c>
      <c r="AI736" s="43">
        <v>46155.622916666667</v>
      </c>
      <c r="AJ736" s="33" t="s">
        <v>73</v>
      </c>
      <c r="AK736" s="42">
        <v>18831.64</v>
      </c>
      <c r="AL736" s="33" t="s">
        <v>1252</v>
      </c>
    </row>
    <row r="737" spans="1:38">
      <c r="A737" s="33">
        <v>6013988</v>
      </c>
      <c r="B737" s="33"/>
      <c r="C737" s="33" t="s">
        <v>789</v>
      </c>
      <c r="D737" s="33" t="s">
        <v>2123</v>
      </c>
      <c r="E737" s="33" t="s">
        <v>3185</v>
      </c>
      <c r="F737" s="43">
        <v>46155.375</v>
      </c>
      <c r="G737" s="33" t="s">
        <v>227</v>
      </c>
      <c r="H737" s="33"/>
      <c r="I737" s="33" t="s">
        <v>73</v>
      </c>
      <c r="J737" s="33" t="s">
        <v>1667</v>
      </c>
      <c r="K737" s="33" t="s">
        <v>75</v>
      </c>
      <c r="L737" s="33" t="s">
        <v>3186</v>
      </c>
      <c r="M737" s="43">
        <v>46155.801539351851</v>
      </c>
      <c r="N737" s="33" t="s">
        <v>2126</v>
      </c>
      <c r="O737" s="33" t="s">
        <v>797</v>
      </c>
      <c r="P737" s="33" t="s">
        <v>140</v>
      </c>
      <c r="Q737" s="33"/>
      <c r="R737" s="33"/>
      <c r="S737" s="33"/>
      <c r="T737" s="33" t="s">
        <v>984</v>
      </c>
      <c r="U737" s="33"/>
      <c r="V737" s="33"/>
      <c r="W737" s="33" t="s">
        <v>530</v>
      </c>
      <c r="X737" s="43">
        <v>46155.785416666666</v>
      </c>
      <c r="Y737" s="58">
        <v>1.5972222222222221E-2</v>
      </c>
      <c r="Z737" s="33" t="s">
        <v>984</v>
      </c>
      <c r="AA737" s="43">
        <v>46157.958333333336</v>
      </c>
      <c r="AB737" s="33" t="s">
        <v>2230</v>
      </c>
      <c r="AC737" s="33" t="s">
        <v>1669</v>
      </c>
      <c r="AD737" s="58">
        <v>0.46805555555555556</v>
      </c>
      <c r="AE737" s="33"/>
      <c r="AF737" s="58">
        <v>0.46805555555555556</v>
      </c>
      <c r="AG737" s="33" t="s">
        <v>757</v>
      </c>
      <c r="AH737" s="33">
        <v>1</v>
      </c>
      <c r="AI737" s="43">
        <v>46155.942361111112</v>
      </c>
      <c r="AJ737" s="33" t="s">
        <v>73</v>
      </c>
      <c r="AK737" s="42">
        <v>1013688.01</v>
      </c>
      <c r="AL737" s="33" t="s">
        <v>2128</v>
      </c>
    </row>
    <row r="738" spans="1:38">
      <c r="A738" s="33">
        <v>6013989</v>
      </c>
      <c r="B738" s="33"/>
      <c r="C738" s="33" t="s">
        <v>789</v>
      </c>
      <c r="D738" s="33" t="s">
        <v>1186</v>
      </c>
      <c r="E738" s="33" t="s">
        <v>3187</v>
      </c>
      <c r="F738" s="43">
        <v>46155.375</v>
      </c>
      <c r="G738" s="33" t="s">
        <v>227</v>
      </c>
      <c r="H738" s="33"/>
      <c r="I738" s="33" t="s">
        <v>73</v>
      </c>
      <c r="J738" s="33" t="s">
        <v>1667</v>
      </c>
      <c r="K738" s="33" t="s">
        <v>75</v>
      </c>
      <c r="L738" s="33" t="s">
        <v>3186</v>
      </c>
      <c r="M738" s="43">
        <v>46155.800011574072</v>
      </c>
      <c r="N738" s="33" t="s">
        <v>1190</v>
      </c>
      <c r="O738" s="33" t="s">
        <v>797</v>
      </c>
      <c r="P738" s="33" t="s">
        <v>140</v>
      </c>
      <c r="Q738" s="43">
        <v>46155.375</v>
      </c>
      <c r="R738" s="43">
        <v>46155.413888888892</v>
      </c>
      <c r="S738" s="58">
        <v>3.888888888888889E-2</v>
      </c>
      <c r="T738" s="33" t="s">
        <v>984</v>
      </c>
      <c r="U738" s="33"/>
      <c r="V738" s="33"/>
      <c r="W738" s="33" t="s">
        <v>530</v>
      </c>
      <c r="X738" s="43">
        <v>46155.785416666666</v>
      </c>
      <c r="Y738" s="58">
        <v>1.6666666666666666E-2</v>
      </c>
      <c r="Z738" s="33" t="s">
        <v>984</v>
      </c>
      <c r="AA738" s="43">
        <v>46157.958333333336</v>
      </c>
      <c r="AB738" s="33" t="s">
        <v>2230</v>
      </c>
      <c r="AC738" s="33" t="s">
        <v>1669</v>
      </c>
      <c r="AD738" s="58">
        <v>0.46458333333333335</v>
      </c>
      <c r="AE738" s="33"/>
      <c r="AF738" s="58">
        <v>0.46458333333333335</v>
      </c>
      <c r="AG738" s="33" t="s">
        <v>533</v>
      </c>
      <c r="AH738" s="33">
        <v>2</v>
      </c>
      <c r="AI738" s="43">
        <v>46155.943055555559</v>
      </c>
      <c r="AJ738" s="33" t="s">
        <v>73</v>
      </c>
      <c r="AK738" s="42">
        <v>1013688.01</v>
      </c>
      <c r="AL738" s="33" t="s">
        <v>1193</v>
      </c>
    </row>
    <row r="739" spans="1:38">
      <c r="A739" s="33">
        <v>6007353</v>
      </c>
      <c r="B739" s="33"/>
      <c r="C739" s="33" t="s">
        <v>789</v>
      </c>
      <c r="D739" s="33" t="s">
        <v>809</v>
      </c>
      <c r="E739" s="33" t="s">
        <v>3188</v>
      </c>
      <c r="F739" s="43">
        <v>46155.416666666664</v>
      </c>
      <c r="G739" s="33" t="s">
        <v>792</v>
      </c>
      <c r="H739" s="33"/>
      <c r="I739" s="33" t="s">
        <v>793</v>
      </c>
      <c r="J739" s="33" t="s">
        <v>2261</v>
      </c>
      <c r="K739" s="33" t="s">
        <v>75</v>
      </c>
      <c r="L739" s="33" t="s">
        <v>3189</v>
      </c>
      <c r="M739" s="43">
        <v>46155.685231481482</v>
      </c>
      <c r="N739" s="33" t="s">
        <v>813</v>
      </c>
      <c r="O739" s="33" t="s">
        <v>797</v>
      </c>
      <c r="P739" s="33" t="s">
        <v>1963</v>
      </c>
      <c r="Q739" s="43">
        <v>46155.45</v>
      </c>
      <c r="R739" s="43">
        <v>46155.472916666666</v>
      </c>
      <c r="S739" s="58">
        <v>2.2916666666666665E-2</v>
      </c>
      <c r="T739" s="33" t="s">
        <v>799</v>
      </c>
      <c r="U739" s="43">
        <v>46155.602083333331</v>
      </c>
      <c r="V739" s="58">
        <v>3.4027777777777775E-2</v>
      </c>
      <c r="W739" s="33"/>
      <c r="X739" s="33"/>
      <c r="Y739" s="33"/>
      <c r="Z739" s="33" t="s">
        <v>799</v>
      </c>
      <c r="AA739" s="43">
        <v>46156.625</v>
      </c>
      <c r="AB739" s="33" t="s">
        <v>81</v>
      </c>
      <c r="AC739" s="33" t="s">
        <v>3119</v>
      </c>
      <c r="AD739" s="58">
        <v>0.34375</v>
      </c>
      <c r="AE739" s="33"/>
      <c r="AF739" s="58">
        <v>0.34375</v>
      </c>
      <c r="AG739" s="33" t="s">
        <v>815</v>
      </c>
      <c r="AH739" s="33">
        <v>2</v>
      </c>
      <c r="AI739" s="43">
        <v>46155.602083333331</v>
      </c>
      <c r="AJ739" s="33" t="s">
        <v>793</v>
      </c>
      <c r="AK739" s="42">
        <v>749502.27</v>
      </c>
      <c r="AL739" s="33" t="s">
        <v>816</v>
      </c>
    </row>
    <row r="740" spans="1:38">
      <c r="A740" s="33" t="s">
        <v>3190</v>
      </c>
      <c r="B740" s="33"/>
      <c r="C740" s="33" t="s">
        <v>789</v>
      </c>
      <c r="D740" s="33" t="s">
        <v>1103</v>
      </c>
      <c r="E740" s="33" t="s">
        <v>3191</v>
      </c>
      <c r="F740" s="43">
        <v>46155.416666666664</v>
      </c>
      <c r="G740" s="33" t="s">
        <v>792</v>
      </c>
      <c r="H740" s="33"/>
      <c r="I740" s="33" t="s">
        <v>793</v>
      </c>
      <c r="J740" s="33" t="s">
        <v>2049</v>
      </c>
      <c r="K740" s="33" t="s">
        <v>1561</v>
      </c>
      <c r="L740" s="33" t="s">
        <v>3192</v>
      </c>
      <c r="M740" s="43">
        <v>46156.094965277778</v>
      </c>
      <c r="N740" s="33" t="s">
        <v>1106</v>
      </c>
      <c r="O740" s="33" t="s">
        <v>797</v>
      </c>
      <c r="P740" s="33" t="s">
        <v>1963</v>
      </c>
      <c r="Q740" s="43">
        <v>46155.381944444445</v>
      </c>
      <c r="R740" s="43">
        <v>46155.405555555553</v>
      </c>
      <c r="S740" s="58">
        <v>2.361111111111111E-2</v>
      </c>
      <c r="T740" s="33" t="s">
        <v>799</v>
      </c>
      <c r="U740" s="43">
        <v>46155.668749999997</v>
      </c>
      <c r="V740" s="58">
        <v>0.40694444444444444</v>
      </c>
      <c r="W740" s="33"/>
      <c r="X740" s="33"/>
      <c r="Y740" s="33"/>
      <c r="Z740" s="33" t="s">
        <v>799</v>
      </c>
      <c r="AA740" s="43">
        <v>46156.958333333336</v>
      </c>
      <c r="AB740" s="33" t="s">
        <v>823</v>
      </c>
      <c r="AC740" s="33" t="s">
        <v>2076</v>
      </c>
      <c r="AD740" s="58">
        <v>0.74722222222222223</v>
      </c>
      <c r="AE740" s="33"/>
      <c r="AF740" s="58">
        <v>0.74722222222222223</v>
      </c>
      <c r="AG740" s="33" t="s">
        <v>807</v>
      </c>
      <c r="AH740" s="33">
        <v>2</v>
      </c>
      <c r="AI740" s="43">
        <v>46155.668749999997</v>
      </c>
      <c r="AJ740" s="33" t="s">
        <v>793</v>
      </c>
      <c r="AK740" s="42">
        <v>1147865.82</v>
      </c>
      <c r="AL740" s="33" t="s">
        <v>2982</v>
      </c>
    </row>
    <row r="741" spans="1:38">
      <c r="A741" s="33">
        <v>6013216</v>
      </c>
      <c r="B741" s="33"/>
      <c r="C741" s="33" t="s">
        <v>789</v>
      </c>
      <c r="D741" s="33" t="s">
        <v>2852</v>
      </c>
      <c r="E741" s="33" t="s">
        <v>3193</v>
      </c>
      <c r="F741" s="43">
        <v>46155.416666666664</v>
      </c>
      <c r="G741" s="33" t="s">
        <v>792</v>
      </c>
      <c r="H741" s="33"/>
      <c r="I741" s="33" t="s">
        <v>793</v>
      </c>
      <c r="J741" s="33" t="s">
        <v>3194</v>
      </c>
      <c r="K741" s="59" t="s">
        <v>1306</v>
      </c>
      <c r="L741" s="33" t="s">
        <v>3195</v>
      </c>
      <c r="M741" s="43">
        <v>46156.475185185183</v>
      </c>
      <c r="N741" s="33" t="s">
        <v>796</v>
      </c>
      <c r="O741" s="33" t="s">
        <v>175</v>
      </c>
      <c r="P741" s="33" t="s">
        <v>799</v>
      </c>
      <c r="Q741" s="43">
        <v>46155.379861111112</v>
      </c>
      <c r="R741" s="43">
        <v>46155.425000000003</v>
      </c>
      <c r="S741" s="58">
        <v>4.5138888888888888E-2</v>
      </c>
      <c r="T741" s="33">
        <v>76189406002170</v>
      </c>
      <c r="U741" s="43">
        <v>46155.772222222222</v>
      </c>
      <c r="V741" s="58">
        <v>6.9444444444444441E-3</v>
      </c>
      <c r="W741" s="33"/>
      <c r="X741" s="33"/>
      <c r="Y741" s="33"/>
      <c r="Z741" s="33">
        <v>76189406002170</v>
      </c>
      <c r="AA741" s="43">
        <v>46157.208333333336</v>
      </c>
      <c r="AB741" s="33" t="s">
        <v>606</v>
      </c>
      <c r="AC741" s="33" t="s">
        <v>3196</v>
      </c>
      <c r="AD741" s="44">
        <v>1.1034722222222222</v>
      </c>
      <c r="AE741" s="33"/>
      <c r="AF741" s="44">
        <v>1.1034722222222222</v>
      </c>
      <c r="AG741" s="33" t="s">
        <v>2855</v>
      </c>
      <c r="AH741" s="33">
        <v>2</v>
      </c>
      <c r="AI741" s="43">
        <v>46155.772222222222</v>
      </c>
      <c r="AJ741" s="33" t="s">
        <v>793</v>
      </c>
      <c r="AK741" s="42">
        <v>818957.7</v>
      </c>
      <c r="AL741" s="33" t="s">
        <v>2856</v>
      </c>
    </row>
    <row r="742" spans="1:38">
      <c r="A742" s="33" t="s">
        <v>3197</v>
      </c>
      <c r="B742" s="33"/>
      <c r="C742" s="33" t="s">
        <v>789</v>
      </c>
      <c r="D742" s="33" t="s">
        <v>3198</v>
      </c>
      <c r="E742" s="33" t="s">
        <v>3199</v>
      </c>
      <c r="F742" s="43">
        <v>46155.708333333336</v>
      </c>
      <c r="G742" s="33" t="s">
        <v>184</v>
      </c>
      <c r="H742" s="33"/>
      <c r="I742" s="33" t="s">
        <v>73</v>
      </c>
      <c r="J742" s="33" t="s">
        <v>3200</v>
      </c>
      <c r="K742" s="33" t="s">
        <v>75</v>
      </c>
      <c r="L742" s="33" t="s">
        <v>3201</v>
      </c>
      <c r="M742" s="43">
        <v>46156.681875000002</v>
      </c>
      <c r="N742" s="33" t="s">
        <v>3202</v>
      </c>
      <c r="O742" s="33" t="s">
        <v>231</v>
      </c>
      <c r="P742" s="33" t="s">
        <v>79</v>
      </c>
      <c r="Q742" s="43">
        <v>46155.636111111111</v>
      </c>
      <c r="R742" s="43">
        <v>46155.915277777778</v>
      </c>
      <c r="S742" s="58">
        <v>0.27916666666666667</v>
      </c>
      <c r="T742" s="33" t="s">
        <v>3203</v>
      </c>
      <c r="U742" s="43">
        <v>46156.649305555555</v>
      </c>
      <c r="V742" s="58">
        <v>3.1944444444444442E-2</v>
      </c>
      <c r="W742" s="33"/>
      <c r="X742" s="33"/>
      <c r="Y742" s="33"/>
      <c r="Z742" s="33" t="s">
        <v>3203</v>
      </c>
      <c r="AA742" s="43">
        <v>46156.541666666664</v>
      </c>
      <c r="AB742" s="33" t="s">
        <v>81</v>
      </c>
      <c r="AC742" s="33" t="s">
        <v>81</v>
      </c>
      <c r="AD742" s="58">
        <v>0.98958333333333337</v>
      </c>
      <c r="AE742" s="33"/>
      <c r="AF742" s="58">
        <v>0.98958333333333337</v>
      </c>
      <c r="AG742" s="33" t="s">
        <v>3204</v>
      </c>
      <c r="AH742" s="33">
        <v>2</v>
      </c>
      <c r="AI742" s="43">
        <v>46156.649305555555</v>
      </c>
      <c r="AJ742" s="33" t="s">
        <v>73</v>
      </c>
      <c r="AK742" s="42">
        <v>45176.91</v>
      </c>
      <c r="AL742" s="33" t="s">
        <v>3205</v>
      </c>
    </row>
    <row r="743" spans="1:38">
      <c r="A743" s="33">
        <v>6001774</v>
      </c>
      <c r="B743" s="33"/>
      <c r="C743" s="33" t="s">
        <v>789</v>
      </c>
      <c r="D743" s="33" t="s">
        <v>1032</v>
      </c>
      <c r="E743" s="33" t="s">
        <v>3206</v>
      </c>
      <c r="F743" s="43">
        <v>46155.5</v>
      </c>
      <c r="G743" s="33" t="s">
        <v>792</v>
      </c>
      <c r="H743" s="33"/>
      <c r="I743" s="33" t="s">
        <v>793</v>
      </c>
      <c r="J743" s="33" t="s">
        <v>1049</v>
      </c>
      <c r="K743" s="33" t="s">
        <v>75</v>
      </c>
      <c r="L743" s="33" t="s">
        <v>1094</v>
      </c>
      <c r="M743" s="43">
        <v>46155.557268518518</v>
      </c>
      <c r="N743" s="33" t="s">
        <v>1036</v>
      </c>
      <c r="O743" s="33" t="s">
        <v>797</v>
      </c>
      <c r="P743" s="33" t="s">
        <v>799</v>
      </c>
      <c r="Q743" s="43">
        <v>46155.438888888886</v>
      </c>
      <c r="R743" s="43">
        <v>46155.521527777775</v>
      </c>
      <c r="S743" s="58">
        <v>8.2638888888888887E-2</v>
      </c>
      <c r="T743" s="33" t="s">
        <v>140</v>
      </c>
      <c r="U743" s="43">
        <v>46155.546527777777</v>
      </c>
      <c r="V743" s="58">
        <v>1.1111111111111112E-2</v>
      </c>
      <c r="W743" s="33" t="s">
        <v>140</v>
      </c>
      <c r="X743" s="43">
        <v>46155.546527777777</v>
      </c>
      <c r="Y743" s="58">
        <v>1.1111111111111112E-2</v>
      </c>
      <c r="Z743" s="33" t="s">
        <v>140</v>
      </c>
      <c r="AA743" s="43">
        <v>46156.75</v>
      </c>
      <c r="AB743" s="33" t="s">
        <v>81</v>
      </c>
      <c r="AC743" s="33" t="s">
        <v>1053</v>
      </c>
      <c r="AD743" s="58">
        <v>0.12638888888888888</v>
      </c>
      <c r="AE743" s="58">
        <v>3.5416666666666666E-2</v>
      </c>
      <c r="AF743" s="58">
        <v>0.12638888888888888</v>
      </c>
      <c r="AG743" s="33" t="s">
        <v>1279</v>
      </c>
      <c r="AH743" s="33">
        <v>2</v>
      </c>
      <c r="AI743" s="43">
        <v>46155.546527777777</v>
      </c>
      <c r="AJ743" s="33" t="s">
        <v>793</v>
      </c>
      <c r="AK743" s="42">
        <v>669519.35999999999</v>
      </c>
      <c r="AL743" s="33" t="s">
        <v>1039</v>
      </c>
    </row>
    <row r="744" spans="1:38">
      <c r="A744" s="33">
        <v>6008062</v>
      </c>
      <c r="B744" s="33"/>
      <c r="C744" s="33" t="s">
        <v>789</v>
      </c>
      <c r="D744" s="33" t="s">
        <v>1047</v>
      </c>
      <c r="E744" s="33" t="s">
        <v>3207</v>
      </c>
      <c r="F744" s="43">
        <v>46155.5</v>
      </c>
      <c r="G744" s="33" t="s">
        <v>792</v>
      </c>
      <c r="H744" s="33"/>
      <c r="I744" s="33" t="s">
        <v>793</v>
      </c>
      <c r="J744" s="33" t="s">
        <v>1312</v>
      </c>
      <c r="K744" s="33" t="s">
        <v>3208</v>
      </c>
      <c r="L744" s="33" t="s">
        <v>3209</v>
      </c>
      <c r="M744" s="43">
        <v>46155.493703703702</v>
      </c>
      <c r="N744" s="33" t="s">
        <v>1051</v>
      </c>
      <c r="O744" s="33" t="s">
        <v>797</v>
      </c>
      <c r="P744" s="33" t="s">
        <v>799</v>
      </c>
      <c r="Q744" s="43">
        <v>46155.461805555555</v>
      </c>
      <c r="R744" s="43">
        <v>46155.472222222219</v>
      </c>
      <c r="S744" s="58">
        <v>1.0416666666666666E-2</v>
      </c>
      <c r="T744" s="33" t="s">
        <v>140</v>
      </c>
      <c r="U744" s="33"/>
      <c r="V744" s="33"/>
      <c r="W744" s="33"/>
      <c r="X744" s="33"/>
      <c r="Y744" s="33"/>
      <c r="Z744" s="33" t="s">
        <v>140</v>
      </c>
      <c r="AA744" s="43">
        <v>46156.75</v>
      </c>
      <c r="AB744" s="33" t="s">
        <v>1138</v>
      </c>
      <c r="AC744" s="33" t="s">
        <v>1314</v>
      </c>
      <c r="AD744" s="58">
        <v>6.1805555555555558E-2</v>
      </c>
      <c r="AE744" s="33"/>
      <c r="AF744" s="58">
        <v>6.1805555555555558E-2</v>
      </c>
      <c r="AG744" s="33" t="s">
        <v>2504</v>
      </c>
      <c r="AH744" s="33">
        <v>1</v>
      </c>
      <c r="AI744" s="43">
        <v>46155.49722222222</v>
      </c>
      <c r="AJ744" s="33" t="s">
        <v>793</v>
      </c>
      <c r="AK744" s="42">
        <v>1075405.8700000001</v>
      </c>
      <c r="AL744" s="33" t="s">
        <v>1055</v>
      </c>
    </row>
    <row r="745" spans="1:38">
      <c r="A745" s="33">
        <v>6022178</v>
      </c>
      <c r="B745" s="33"/>
      <c r="C745" s="33" t="s">
        <v>789</v>
      </c>
      <c r="D745" s="33" t="s">
        <v>1194</v>
      </c>
      <c r="E745" s="33" t="s">
        <v>3210</v>
      </c>
      <c r="F745" s="43">
        <v>46155.45208333333</v>
      </c>
      <c r="G745" s="33" t="s">
        <v>114</v>
      </c>
      <c r="H745" s="33"/>
      <c r="I745" s="33" t="s">
        <v>73</v>
      </c>
      <c r="J745" s="33" t="s">
        <v>3211</v>
      </c>
      <c r="K745" s="33" t="s">
        <v>1561</v>
      </c>
      <c r="L745" s="33" t="s">
        <v>3212</v>
      </c>
      <c r="M745" s="43">
        <v>46156.431134259263</v>
      </c>
      <c r="N745" s="33" t="s">
        <v>1198</v>
      </c>
      <c r="O745" s="33" t="s">
        <v>797</v>
      </c>
      <c r="P745" s="33" t="s">
        <v>140</v>
      </c>
      <c r="Q745" s="33"/>
      <c r="R745" s="33"/>
      <c r="S745" s="33"/>
      <c r="T745" s="33" t="s">
        <v>3213</v>
      </c>
      <c r="U745" s="33"/>
      <c r="V745" s="33"/>
      <c r="W745" s="33"/>
      <c r="X745" s="33"/>
      <c r="Y745" s="33"/>
      <c r="Z745" s="33" t="s">
        <v>3213</v>
      </c>
      <c r="AA745" s="43">
        <v>46155.541666666664</v>
      </c>
      <c r="AB745" s="33" t="s">
        <v>1138</v>
      </c>
      <c r="AC745" s="33" t="s">
        <v>3214</v>
      </c>
      <c r="AD745" s="58">
        <v>0.73611111111111116</v>
      </c>
      <c r="AE745" s="33"/>
      <c r="AF745" s="58">
        <v>0.73611111111111116</v>
      </c>
      <c r="AG745" s="33"/>
      <c r="AH745" s="33">
        <v>0</v>
      </c>
      <c r="AI745" s="43">
        <v>46156.597916666666</v>
      </c>
      <c r="AJ745" s="33" t="s">
        <v>73</v>
      </c>
      <c r="AK745" s="42">
        <v>194460.43</v>
      </c>
      <c r="AL745" s="33" t="s">
        <v>1202</v>
      </c>
    </row>
    <row r="746" spans="1:38">
      <c r="A746" s="33" t="s">
        <v>3215</v>
      </c>
      <c r="B746" s="33"/>
      <c r="C746" s="33" t="s">
        <v>789</v>
      </c>
      <c r="D746" s="33" t="s">
        <v>744</v>
      </c>
      <c r="E746" s="33" t="s">
        <v>3216</v>
      </c>
      <c r="F746" s="43">
        <v>46155.583333333336</v>
      </c>
      <c r="G746" s="33" t="s">
        <v>171</v>
      </c>
      <c r="H746" s="33"/>
      <c r="I746" s="33" t="s">
        <v>73</v>
      </c>
      <c r="J746" s="33" t="s">
        <v>983</v>
      </c>
      <c r="K746" s="33" t="s">
        <v>75</v>
      </c>
      <c r="L746" s="33" t="s">
        <v>880</v>
      </c>
      <c r="M746" s="43">
        <v>46157.38925925926</v>
      </c>
      <c r="N746" s="33" t="s">
        <v>749</v>
      </c>
      <c r="O746" s="33" t="s">
        <v>797</v>
      </c>
      <c r="P746" s="33" t="s">
        <v>140</v>
      </c>
      <c r="Q746" s="43">
        <v>46155.625</v>
      </c>
      <c r="R746" s="43">
        <v>46155.645833333336</v>
      </c>
      <c r="S746" s="58">
        <v>2.0833333333333332E-2</v>
      </c>
      <c r="T746" s="33" t="s">
        <v>984</v>
      </c>
      <c r="U746" s="43">
        <v>46156.063888888886</v>
      </c>
      <c r="V746" s="44">
        <v>1.3298611111111112</v>
      </c>
      <c r="W746" s="33"/>
      <c r="X746" s="33"/>
      <c r="Y746" s="33"/>
      <c r="Z746" s="33" t="s">
        <v>984</v>
      </c>
      <c r="AA746" s="43">
        <v>46156.25</v>
      </c>
      <c r="AB746" s="33" t="s">
        <v>81</v>
      </c>
      <c r="AC746" s="33" t="s">
        <v>985</v>
      </c>
      <c r="AD746" s="44">
        <v>1.7673611111111112</v>
      </c>
      <c r="AE746" s="33"/>
      <c r="AF746" s="44">
        <v>1.7673611111111112</v>
      </c>
      <c r="AG746" s="33" t="s">
        <v>753</v>
      </c>
      <c r="AH746" s="33">
        <v>2</v>
      </c>
      <c r="AI746" s="43">
        <v>46156.063888888886</v>
      </c>
      <c r="AJ746" s="33" t="s">
        <v>73</v>
      </c>
      <c r="AK746" s="42">
        <v>781461.81</v>
      </c>
      <c r="AL746" s="33" t="s">
        <v>754</v>
      </c>
    </row>
    <row r="747" spans="1:38">
      <c r="A747" s="33">
        <v>6009224</v>
      </c>
      <c r="B747" s="33"/>
      <c r="C747" s="33" t="s">
        <v>789</v>
      </c>
      <c r="D747" s="33" t="s">
        <v>1338</v>
      </c>
      <c r="E747" s="33" t="s">
        <v>3217</v>
      </c>
      <c r="F747" s="43">
        <v>46155.583333333336</v>
      </c>
      <c r="G747" s="33" t="s">
        <v>792</v>
      </c>
      <c r="H747" s="33"/>
      <c r="I747" s="33" t="s">
        <v>793</v>
      </c>
      <c r="J747" s="33" t="s">
        <v>1392</v>
      </c>
      <c r="K747" s="33" t="s">
        <v>75</v>
      </c>
      <c r="L747" s="33" t="s">
        <v>2797</v>
      </c>
      <c r="M747" s="43">
        <v>46155.74962962963</v>
      </c>
      <c r="N747" s="33" t="s">
        <v>796</v>
      </c>
      <c r="O747" s="33" t="s">
        <v>797</v>
      </c>
      <c r="P747" s="33" t="s">
        <v>1963</v>
      </c>
      <c r="Q747" s="43">
        <v>46155.560416666667</v>
      </c>
      <c r="R747" s="43">
        <v>46155.567361111112</v>
      </c>
      <c r="S747" s="58">
        <v>6.9444444444444441E-3</v>
      </c>
      <c r="T747" s="33" t="s">
        <v>799</v>
      </c>
      <c r="U747" s="43">
        <v>46155.694444444445</v>
      </c>
      <c r="V747" s="58">
        <v>5.6250000000000001E-2</v>
      </c>
      <c r="W747" s="33" t="s">
        <v>799</v>
      </c>
      <c r="X747" s="43">
        <v>46155.694444444445</v>
      </c>
      <c r="Y747" s="58">
        <v>5.6250000000000001E-2</v>
      </c>
      <c r="Z747" s="33" t="s">
        <v>799</v>
      </c>
      <c r="AA747" s="43">
        <v>46156.958333333336</v>
      </c>
      <c r="AB747" s="33" t="s">
        <v>81</v>
      </c>
      <c r="AC747" s="33" t="s">
        <v>1395</v>
      </c>
      <c r="AD747" s="58">
        <v>0.19305555555555556</v>
      </c>
      <c r="AE747" s="58">
        <v>0.18194444444444444</v>
      </c>
      <c r="AF747" s="58">
        <v>0.19305555555555556</v>
      </c>
      <c r="AG747" s="33" t="s">
        <v>1341</v>
      </c>
      <c r="AH747" s="33">
        <v>2</v>
      </c>
      <c r="AI747" s="43">
        <v>46155.694444444445</v>
      </c>
      <c r="AJ747" s="33" t="s">
        <v>793</v>
      </c>
      <c r="AK747" s="42">
        <v>794661.56</v>
      </c>
      <c r="AL747" s="33" t="s">
        <v>1342</v>
      </c>
    </row>
    <row r="748" spans="1:38">
      <c r="A748" s="33">
        <v>6008260</v>
      </c>
      <c r="B748" s="33"/>
      <c r="C748" s="33" t="s">
        <v>789</v>
      </c>
      <c r="D748" s="33" t="s">
        <v>1032</v>
      </c>
      <c r="E748" s="33" t="s">
        <v>3218</v>
      </c>
      <c r="F748" s="43">
        <v>46155.666666666664</v>
      </c>
      <c r="G748" s="33" t="s">
        <v>792</v>
      </c>
      <c r="H748" s="33"/>
      <c r="I748" s="33" t="s">
        <v>793</v>
      </c>
      <c r="J748" s="33" t="s">
        <v>1312</v>
      </c>
      <c r="K748" s="33" t="s">
        <v>75</v>
      </c>
      <c r="L748" s="33" t="s">
        <v>1094</v>
      </c>
      <c r="M748" s="43">
        <v>46155.732557870368</v>
      </c>
      <c r="N748" s="33" t="s">
        <v>1036</v>
      </c>
      <c r="O748" s="33" t="s">
        <v>797</v>
      </c>
      <c r="P748" s="33" t="s">
        <v>799</v>
      </c>
      <c r="Q748" s="43">
        <v>46155.620138888888</v>
      </c>
      <c r="R748" s="43">
        <v>46155.679166666669</v>
      </c>
      <c r="S748" s="58">
        <v>5.9027777777777776E-2</v>
      </c>
      <c r="T748" s="33" t="s">
        <v>140</v>
      </c>
      <c r="U748" s="43">
        <v>46155.706944444442</v>
      </c>
      <c r="V748" s="58">
        <v>2.5694444444444443E-2</v>
      </c>
      <c r="W748" s="33" t="s">
        <v>140</v>
      </c>
      <c r="X748" s="43">
        <v>46155.706944444442</v>
      </c>
      <c r="Y748" s="58">
        <v>2.5694444444444443E-2</v>
      </c>
      <c r="Z748" s="33" t="s">
        <v>140</v>
      </c>
      <c r="AA748" s="43">
        <v>46156.833333333336</v>
      </c>
      <c r="AB748" s="33" t="s">
        <v>81</v>
      </c>
      <c r="AC748" s="33" t="s">
        <v>1314</v>
      </c>
      <c r="AD748" s="58">
        <v>0.12152777777777778</v>
      </c>
      <c r="AE748" s="58">
        <v>5.2777777777777778E-2</v>
      </c>
      <c r="AF748" s="58">
        <v>0.12152777777777778</v>
      </c>
      <c r="AG748" s="33" t="s">
        <v>1038</v>
      </c>
      <c r="AH748" s="33">
        <v>2</v>
      </c>
      <c r="AI748" s="43">
        <v>46155.706944444442</v>
      </c>
      <c r="AJ748" s="33" t="s">
        <v>793</v>
      </c>
      <c r="AK748" s="42">
        <v>651840.25</v>
      </c>
      <c r="AL748" s="33" t="s">
        <v>1039</v>
      </c>
    </row>
    <row r="749" spans="1:38">
      <c r="A749" s="33">
        <v>6007445</v>
      </c>
      <c r="B749" s="33"/>
      <c r="C749" s="33" t="s">
        <v>789</v>
      </c>
      <c r="D749" s="33" t="s">
        <v>1047</v>
      </c>
      <c r="E749" s="33" t="s">
        <v>3219</v>
      </c>
      <c r="F749" s="43">
        <v>46155.666666666664</v>
      </c>
      <c r="G749" s="33" t="s">
        <v>792</v>
      </c>
      <c r="H749" s="33"/>
      <c r="I749" s="33" t="s">
        <v>793</v>
      </c>
      <c r="J749" s="33" t="s">
        <v>1312</v>
      </c>
      <c r="K749" s="33" t="s">
        <v>75</v>
      </c>
      <c r="L749" s="33" t="s">
        <v>1204</v>
      </c>
      <c r="M749" s="43">
        <v>46155.752881944441</v>
      </c>
      <c r="N749" s="33" t="s">
        <v>1051</v>
      </c>
      <c r="O749" s="33" t="s">
        <v>797</v>
      </c>
      <c r="P749" s="33" t="s">
        <v>799</v>
      </c>
      <c r="Q749" s="43">
        <v>46155.611111111109</v>
      </c>
      <c r="R749" s="43">
        <v>46155.726388888892</v>
      </c>
      <c r="S749" s="58">
        <v>0.11527777777777778</v>
      </c>
      <c r="T749" s="33" t="s">
        <v>140</v>
      </c>
      <c r="U749" s="33"/>
      <c r="V749" s="33"/>
      <c r="W749" s="33"/>
      <c r="X749" s="33"/>
      <c r="Y749" s="33"/>
      <c r="Z749" s="33" t="s">
        <v>140</v>
      </c>
      <c r="AA749" s="43">
        <v>46156.833333333336</v>
      </c>
      <c r="AB749" s="33" t="s">
        <v>606</v>
      </c>
      <c r="AC749" s="33" t="s">
        <v>1314</v>
      </c>
      <c r="AD749" s="58">
        <v>0.16597222222222222</v>
      </c>
      <c r="AE749" s="33"/>
      <c r="AF749" s="58">
        <v>0.16597222222222222</v>
      </c>
      <c r="AG749" s="33" t="s">
        <v>1205</v>
      </c>
      <c r="AH749" s="33">
        <v>1</v>
      </c>
      <c r="AI749" s="43">
        <v>46155.754166666666</v>
      </c>
      <c r="AJ749" s="33" t="s">
        <v>793</v>
      </c>
      <c r="AK749" s="42">
        <v>532886.68000000005</v>
      </c>
      <c r="AL749" s="33" t="s">
        <v>1055</v>
      </c>
    </row>
    <row r="750" spans="1:38">
      <c r="A750" s="33" t="s">
        <v>3220</v>
      </c>
      <c r="B750" s="33"/>
      <c r="C750" s="33" t="s">
        <v>789</v>
      </c>
      <c r="D750" s="33" t="s">
        <v>1967</v>
      </c>
      <c r="E750" s="33" t="s">
        <v>3221</v>
      </c>
      <c r="F750" s="43">
        <v>46155.666666666664</v>
      </c>
      <c r="G750" s="33" t="s">
        <v>792</v>
      </c>
      <c r="H750" s="33"/>
      <c r="I750" s="33" t="s">
        <v>793</v>
      </c>
      <c r="J750" s="33" t="s">
        <v>2049</v>
      </c>
      <c r="K750" s="33" t="s">
        <v>75</v>
      </c>
      <c r="L750" s="33" t="s">
        <v>1283</v>
      </c>
      <c r="M750" s="43">
        <v>46156.259756944448</v>
      </c>
      <c r="N750" s="33" t="s">
        <v>1969</v>
      </c>
      <c r="O750" s="33" t="s">
        <v>797</v>
      </c>
      <c r="P750" s="33" t="s">
        <v>1963</v>
      </c>
      <c r="Q750" s="43">
        <v>46155.664583333331</v>
      </c>
      <c r="R750" s="43">
        <v>46155.697222222225</v>
      </c>
      <c r="S750" s="58">
        <v>3.2638888888888891E-2</v>
      </c>
      <c r="T750" s="33" t="s">
        <v>799</v>
      </c>
      <c r="U750" s="43">
        <v>46156.238888888889</v>
      </c>
      <c r="V750" s="58">
        <v>2.0833333333333332E-2</v>
      </c>
      <c r="W750" s="33" t="s">
        <v>799</v>
      </c>
      <c r="X750" s="43">
        <v>46156.238888888889</v>
      </c>
      <c r="Y750" s="58">
        <v>2.0833333333333332E-2</v>
      </c>
      <c r="Z750" s="33" t="s">
        <v>799</v>
      </c>
      <c r="AA750" s="43">
        <v>46156.958333333336</v>
      </c>
      <c r="AB750" s="33" t="s">
        <v>81</v>
      </c>
      <c r="AC750" s="33" t="s">
        <v>2076</v>
      </c>
      <c r="AD750" s="58">
        <v>0.61458333333333337</v>
      </c>
      <c r="AE750" s="58">
        <v>0.5625</v>
      </c>
      <c r="AF750" s="58">
        <v>0.61458333333333337</v>
      </c>
      <c r="AG750" s="33" t="s">
        <v>1970</v>
      </c>
      <c r="AH750" s="33">
        <v>2</v>
      </c>
      <c r="AI750" s="43">
        <v>46156.238888888889</v>
      </c>
      <c r="AJ750" s="33" t="s">
        <v>793</v>
      </c>
      <c r="AK750" s="42">
        <v>1855359.04</v>
      </c>
      <c r="AL750" s="33" t="s">
        <v>1971</v>
      </c>
    </row>
    <row r="751" spans="1:38">
      <c r="A751" s="33">
        <v>6007473</v>
      </c>
      <c r="B751" s="33"/>
      <c r="C751" s="33" t="s">
        <v>789</v>
      </c>
      <c r="D751" s="33" t="s">
        <v>3222</v>
      </c>
      <c r="E751" s="33" t="s">
        <v>3223</v>
      </c>
      <c r="F751" s="43">
        <v>46155.625</v>
      </c>
      <c r="G751" s="33" t="s">
        <v>792</v>
      </c>
      <c r="H751" s="33"/>
      <c r="I751" s="33" t="s">
        <v>793</v>
      </c>
      <c r="J751" s="33" t="s">
        <v>1392</v>
      </c>
      <c r="K751" s="33" t="s">
        <v>75</v>
      </c>
      <c r="L751" s="33" t="s">
        <v>2047</v>
      </c>
      <c r="M751" s="43">
        <v>46155.932037037041</v>
      </c>
      <c r="N751" s="33" t="s">
        <v>3224</v>
      </c>
      <c r="O751" s="33" t="s">
        <v>868</v>
      </c>
      <c r="P751" s="33" t="s">
        <v>1963</v>
      </c>
      <c r="Q751" s="43">
        <v>46155.673611111109</v>
      </c>
      <c r="R751" s="43">
        <v>46155.729861111111</v>
      </c>
      <c r="S751" s="58">
        <v>5.6250000000000001E-2</v>
      </c>
      <c r="T751" s="33" t="s">
        <v>799</v>
      </c>
      <c r="U751" s="43">
        <v>46155.869444444441</v>
      </c>
      <c r="V751" s="58">
        <v>6.25E-2</v>
      </c>
      <c r="W751" s="33"/>
      <c r="X751" s="33"/>
      <c r="Y751" s="33"/>
      <c r="Z751" s="33" t="s">
        <v>799</v>
      </c>
      <c r="AA751" s="43">
        <v>46156.958333333336</v>
      </c>
      <c r="AB751" s="33" t="s">
        <v>81</v>
      </c>
      <c r="AC751" s="33" t="s">
        <v>81</v>
      </c>
      <c r="AD751" s="58">
        <v>0.28541666666666665</v>
      </c>
      <c r="AE751" s="33"/>
      <c r="AF751" s="58">
        <v>0.28541666666666665</v>
      </c>
      <c r="AG751" s="33" t="s">
        <v>3225</v>
      </c>
      <c r="AH751" s="33">
        <v>2</v>
      </c>
      <c r="AI751" s="43">
        <v>46155.869444444441</v>
      </c>
      <c r="AJ751" s="33" t="s">
        <v>793</v>
      </c>
      <c r="AK751" s="42">
        <v>1120482.24</v>
      </c>
      <c r="AL751" s="33" t="s">
        <v>3226</v>
      </c>
    </row>
    <row r="752" spans="1:38">
      <c r="A752" s="33">
        <v>6013839</v>
      </c>
      <c r="B752" s="33"/>
      <c r="C752" s="33" t="s">
        <v>789</v>
      </c>
      <c r="D752" s="33" t="s">
        <v>1732</v>
      </c>
      <c r="E752" s="33" t="s">
        <v>3227</v>
      </c>
      <c r="F752" s="43">
        <v>46155.708333333336</v>
      </c>
      <c r="G752" s="33" t="s">
        <v>227</v>
      </c>
      <c r="H752" s="33"/>
      <c r="I752" s="33" t="s">
        <v>73</v>
      </c>
      <c r="J752" s="33" t="s">
        <v>2350</v>
      </c>
      <c r="K752" s="33" t="s">
        <v>453</v>
      </c>
      <c r="L752" s="33" t="s">
        <v>3228</v>
      </c>
      <c r="M752" s="43">
        <v>46156.012962962966</v>
      </c>
      <c r="N752" s="33" t="s">
        <v>529</v>
      </c>
      <c r="O752" s="33" t="s">
        <v>868</v>
      </c>
      <c r="P752" s="33" t="s">
        <v>140</v>
      </c>
      <c r="Q752" s="33"/>
      <c r="R752" s="33"/>
      <c r="S752" s="33"/>
      <c r="T752" s="33" t="s">
        <v>2131</v>
      </c>
      <c r="U752" s="43">
        <v>46155.886805555558</v>
      </c>
      <c r="V752" s="58">
        <v>0.12569444444444444</v>
      </c>
      <c r="W752" s="33"/>
      <c r="X752" s="33"/>
      <c r="Y752" s="33"/>
      <c r="Z752" s="33" t="s">
        <v>2131</v>
      </c>
      <c r="AA752" s="43">
        <v>46156.208333333336</v>
      </c>
      <c r="AB752" s="33" t="s">
        <v>81</v>
      </c>
      <c r="AC752" s="33" t="s">
        <v>81</v>
      </c>
      <c r="AD752" s="58">
        <v>0.37291666666666667</v>
      </c>
      <c r="AE752" s="33"/>
      <c r="AF752" s="58">
        <v>0.37291666666666667</v>
      </c>
      <c r="AG752" s="33" t="s">
        <v>1806</v>
      </c>
      <c r="AH752" s="33">
        <v>3</v>
      </c>
      <c r="AI752" s="43">
        <v>46155.886805555558</v>
      </c>
      <c r="AJ752" s="33" t="s">
        <v>73</v>
      </c>
      <c r="AK752" s="42">
        <v>363128.02</v>
      </c>
      <c r="AL752" s="33" t="s">
        <v>1735</v>
      </c>
    </row>
    <row r="753" spans="1:38">
      <c r="A753" s="33">
        <v>6014654</v>
      </c>
      <c r="B753" s="33"/>
      <c r="C753" s="33" t="s">
        <v>789</v>
      </c>
      <c r="D753" s="33" t="s">
        <v>2028</v>
      </c>
      <c r="E753" s="33" t="s">
        <v>3229</v>
      </c>
      <c r="F753" s="43">
        <v>46155.654861111114</v>
      </c>
      <c r="G753" s="33" t="s">
        <v>227</v>
      </c>
      <c r="H753" s="33"/>
      <c r="I753" s="33" t="s">
        <v>73</v>
      </c>
      <c r="J753" s="33" t="s">
        <v>3230</v>
      </c>
      <c r="K753" s="33" t="s">
        <v>75</v>
      </c>
      <c r="L753" s="33" t="s">
        <v>2098</v>
      </c>
      <c r="M753" s="43">
        <v>46155.857928240737</v>
      </c>
      <c r="N753" s="33" t="s">
        <v>2031</v>
      </c>
      <c r="O753" s="33" t="s">
        <v>797</v>
      </c>
      <c r="P753" s="33" t="s">
        <v>79</v>
      </c>
      <c r="Q753" s="33"/>
      <c r="R753" s="33"/>
      <c r="S753" s="33"/>
      <c r="T753" s="33" t="s">
        <v>3231</v>
      </c>
      <c r="U753" s="33"/>
      <c r="V753" s="33"/>
      <c r="W753" s="33" t="s">
        <v>328</v>
      </c>
      <c r="X753" s="43">
        <v>46155.763194444444</v>
      </c>
      <c r="Y753" s="58">
        <v>9.7222222222222224E-2</v>
      </c>
      <c r="Z753" s="33" t="s">
        <v>2099</v>
      </c>
      <c r="AA753" s="43">
        <v>46160.291666666664</v>
      </c>
      <c r="AB753" s="33" t="s">
        <v>3232</v>
      </c>
      <c r="AC753" s="33" t="s">
        <v>3233</v>
      </c>
      <c r="AD753" s="58">
        <v>0.2013888888888889</v>
      </c>
      <c r="AE753" s="33"/>
      <c r="AF753" s="58">
        <v>0.2013888888888889</v>
      </c>
      <c r="AG753" s="33" t="s">
        <v>1496</v>
      </c>
      <c r="AH753" s="33">
        <v>1</v>
      </c>
      <c r="AI753" s="43">
        <v>46155.938194444447</v>
      </c>
      <c r="AJ753" s="33" t="s">
        <v>73</v>
      </c>
      <c r="AK753" s="42">
        <v>311493.40999999997</v>
      </c>
      <c r="AL753" s="33" t="s">
        <v>2032</v>
      </c>
    </row>
    <row r="754" spans="1:38">
      <c r="A754" s="33">
        <v>6013977</v>
      </c>
      <c r="B754" s="33"/>
      <c r="C754" s="33" t="s">
        <v>789</v>
      </c>
      <c r="D754" s="33" t="s">
        <v>3234</v>
      </c>
      <c r="E754" s="33" t="s">
        <v>3235</v>
      </c>
      <c r="F754" s="43">
        <v>46155.708333333336</v>
      </c>
      <c r="G754" s="33" t="s">
        <v>260</v>
      </c>
      <c r="H754" s="33"/>
      <c r="I754" s="33" t="s">
        <v>73</v>
      </c>
      <c r="J754" s="33" t="s">
        <v>1305</v>
      </c>
      <c r="K754" s="33" t="s">
        <v>75</v>
      </c>
      <c r="L754" s="33" t="s">
        <v>880</v>
      </c>
      <c r="M754" s="43">
        <v>46156.840358796297</v>
      </c>
      <c r="N754" s="33" t="s">
        <v>3236</v>
      </c>
      <c r="O754" s="33" t="s">
        <v>797</v>
      </c>
      <c r="P754" s="33" t="s">
        <v>79</v>
      </c>
      <c r="Q754" s="43">
        <v>46155.933333333334</v>
      </c>
      <c r="R754" s="43">
        <v>46155.967361111114</v>
      </c>
      <c r="S754" s="58">
        <v>3.4027777777777775E-2</v>
      </c>
      <c r="T754" s="33" t="s">
        <v>984</v>
      </c>
      <c r="U754" s="43">
        <v>46156.258333333331</v>
      </c>
      <c r="V754" s="58">
        <v>0.58125000000000004</v>
      </c>
      <c r="W754" s="33" t="s">
        <v>984</v>
      </c>
      <c r="X754" s="43">
        <v>46156.258333333331</v>
      </c>
      <c r="Y754" s="58">
        <v>0.58125000000000004</v>
      </c>
      <c r="Z754" s="33" t="s">
        <v>984</v>
      </c>
      <c r="AA754" s="43">
        <v>46156.25</v>
      </c>
      <c r="AB754" s="33" t="s">
        <v>81</v>
      </c>
      <c r="AC754" s="33" t="s">
        <v>1308</v>
      </c>
      <c r="AD754" s="44">
        <v>1.14375</v>
      </c>
      <c r="AE754" s="58">
        <v>0.87222222222222223</v>
      </c>
      <c r="AF754" s="44">
        <v>1.14375</v>
      </c>
      <c r="AG754" s="33" t="s">
        <v>3237</v>
      </c>
      <c r="AH754" s="33">
        <v>2</v>
      </c>
      <c r="AI754" s="43">
        <v>46156.258333333331</v>
      </c>
      <c r="AJ754" s="33" t="s">
        <v>73</v>
      </c>
      <c r="AK754" s="42">
        <v>144244.79999999999</v>
      </c>
      <c r="AL754" s="33" t="s">
        <v>3238</v>
      </c>
    </row>
    <row r="755" spans="1:38">
      <c r="A755" s="33">
        <v>6009310</v>
      </c>
      <c r="B755" s="33"/>
      <c r="C755" s="33" t="s">
        <v>789</v>
      </c>
      <c r="D755" s="33" t="s">
        <v>1448</v>
      </c>
      <c r="E755" s="33" t="s">
        <v>3239</v>
      </c>
      <c r="F755" s="43">
        <v>46155.895833333336</v>
      </c>
      <c r="G755" s="33" t="s">
        <v>792</v>
      </c>
      <c r="H755" s="33"/>
      <c r="I755" s="33" t="s">
        <v>793</v>
      </c>
      <c r="J755" s="33" t="s">
        <v>1607</v>
      </c>
      <c r="K755" s="33" t="s">
        <v>75</v>
      </c>
      <c r="L755" s="33" t="s">
        <v>3240</v>
      </c>
      <c r="M755" s="43">
        <v>46156.409733796296</v>
      </c>
      <c r="N755" s="33" t="s">
        <v>1452</v>
      </c>
      <c r="O755" s="33" t="s">
        <v>797</v>
      </c>
      <c r="P755" s="33" t="s">
        <v>1453</v>
      </c>
      <c r="Q755" s="43">
        <v>46155.90347222222</v>
      </c>
      <c r="R755" s="43">
        <v>46155.979166666664</v>
      </c>
      <c r="S755" s="58">
        <v>7.5694444444444439E-2</v>
      </c>
      <c r="T755" s="33" t="s">
        <v>1454</v>
      </c>
      <c r="U755" s="33"/>
      <c r="V755" s="33"/>
      <c r="W755" s="33"/>
      <c r="X755" s="33"/>
      <c r="Y755" s="33"/>
      <c r="Z755" s="33" t="s">
        <v>1454</v>
      </c>
      <c r="AA755" s="43">
        <v>46156.208333333336</v>
      </c>
      <c r="AB755" s="33" t="s">
        <v>1929</v>
      </c>
      <c r="AC755" s="33" t="s">
        <v>1609</v>
      </c>
      <c r="AD755" s="58">
        <v>0.71736111111111112</v>
      </c>
      <c r="AE755" s="33"/>
      <c r="AF755" s="58">
        <v>0.71736111111111112</v>
      </c>
      <c r="AG755" s="33" t="s">
        <v>1457</v>
      </c>
      <c r="AH755" s="33">
        <v>3</v>
      </c>
      <c r="AI755" s="43">
        <v>46156.409722222219</v>
      </c>
      <c r="AJ755" s="33" t="s">
        <v>793</v>
      </c>
      <c r="AK755" s="42">
        <v>906306.24</v>
      </c>
      <c r="AL755" s="33" t="s">
        <v>1458</v>
      </c>
    </row>
    <row r="756" spans="1:38">
      <c r="A756" s="33" t="s">
        <v>3241</v>
      </c>
      <c r="B756" s="33"/>
      <c r="C756" s="33" t="s">
        <v>789</v>
      </c>
      <c r="D756" s="33" t="s">
        <v>938</v>
      </c>
      <c r="E756" s="33" t="s">
        <v>3242</v>
      </c>
      <c r="F756" s="43">
        <v>46156.041666666664</v>
      </c>
      <c r="G756" s="33" t="s">
        <v>792</v>
      </c>
      <c r="H756" s="33"/>
      <c r="I756" s="33" t="s">
        <v>793</v>
      </c>
      <c r="J756" s="33" t="s">
        <v>2049</v>
      </c>
      <c r="K756" s="33" t="s">
        <v>75</v>
      </c>
      <c r="L756" s="33" t="s">
        <v>795</v>
      </c>
      <c r="M756" s="43">
        <v>46156.418796296297</v>
      </c>
      <c r="N756" s="33" t="s">
        <v>940</v>
      </c>
      <c r="O756" s="33" t="s">
        <v>456</v>
      </c>
      <c r="P756" s="33" t="s">
        <v>1963</v>
      </c>
      <c r="Q756" s="33"/>
      <c r="R756" s="33"/>
      <c r="S756" s="33"/>
      <c r="T756" s="33" t="s">
        <v>799</v>
      </c>
      <c r="U756" s="43">
        <v>46155.700694444444</v>
      </c>
      <c r="V756" s="58">
        <v>0.16319444444444445</v>
      </c>
      <c r="W756" s="33"/>
      <c r="X756" s="33"/>
      <c r="Y756" s="33"/>
      <c r="Z756" s="33" t="s">
        <v>799</v>
      </c>
      <c r="AA756" s="43">
        <v>46156.291666666664</v>
      </c>
      <c r="AB756" s="33" t="s">
        <v>81</v>
      </c>
      <c r="AC756" s="33" t="s">
        <v>2076</v>
      </c>
      <c r="AD756" s="58">
        <v>0.71666666666666667</v>
      </c>
      <c r="AE756" s="33"/>
      <c r="AF756" s="58">
        <v>0.71666666666666667</v>
      </c>
      <c r="AG756" s="33" t="s">
        <v>1881</v>
      </c>
      <c r="AH756" s="33">
        <v>1</v>
      </c>
      <c r="AI756" s="43">
        <v>46155.700694444444</v>
      </c>
      <c r="AJ756" s="33" t="s">
        <v>793</v>
      </c>
      <c r="AK756" s="42">
        <v>1098354.44</v>
      </c>
      <c r="AL756" s="33" t="s">
        <v>884</v>
      </c>
    </row>
    <row r="757" spans="1:38">
      <c r="A757" s="33" t="s">
        <v>3243</v>
      </c>
      <c r="B757" s="33"/>
      <c r="C757" s="33" t="s">
        <v>789</v>
      </c>
      <c r="D757" s="33" t="s">
        <v>925</v>
      </c>
      <c r="E757" s="33" t="s">
        <v>3244</v>
      </c>
      <c r="F757" s="43">
        <v>46156.083333333336</v>
      </c>
      <c r="G757" s="33" t="s">
        <v>792</v>
      </c>
      <c r="H757" s="33"/>
      <c r="I757" s="33" t="s">
        <v>793</v>
      </c>
      <c r="J757" s="33" t="s">
        <v>2049</v>
      </c>
      <c r="K757" s="33" t="s">
        <v>75</v>
      </c>
      <c r="L757" s="33" t="s">
        <v>972</v>
      </c>
      <c r="M757" s="43">
        <v>46156.415416666663</v>
      </c>
      <c r="N757" s="33" t="s">
        <v>927</v>
      </c>
      <c r="O757" s="33" t="s">
        <v>175</v>
      </c>
      <c r="P757" s="33" t="s">
        <v>1963</v>
      </c>
      <c r="Q757" s="33"/>
      <c r="R757" s="33"/>
      <c r="S757" s="33"/>
      <c r="T757" s="33" t="s">
        <v>799</v>
      </c>
      <c r="U757" s="43">
        <v>46155.713888888888</v>
      </c>
      <c r="V757" s="58">
        <v>5.5555555555555558E-3</v>
      </c>
      <c r="W757" s="33"/>
      <c r="X757" s="33"/>
      <c r="Y757" s="33"/>
      <c r="Z757" s="33" t="s">
        <v>799</v>
      </c>
      <c r="AA757" s="43">
        <v>46156.291666666664</v>
      </c>
      <c r="AB757" s="33" t="s">
        <v>81</v>
      </c>
      <c r="AC757" s="33" t="s">
        <v>2076</v>
      </c>
      <c r="AD757" s="58">
        <v>0.71736111111111112</v>
      </c>
      <c r="AE757" s="33"/>
      <c r="AF757" s="58">
        <v>0.71736111111111112</v>
      </c>
      <c r="AG757" s="33" t="s">
        <v>928</v>
      </c>
      <c r="AH757" s="33">
        <v>1</v>
      </c>
      <c r="AI757" s="43">
        <v>46155.713888888888</v>
      </c>
      <c r="AJ757" s="33" t="s">
        <v>793</v>
      </c>
      <c r="AK757" s="42">
        <v>1064222.55</v>
      </c>
      <c r="AL757" s="33" t="s">
        <v>929</v>
      </c>
    </row>
    <row r="758" spans="1:38">
      <c r="A758" s="33">
        <v>6013985</v>
      </c>
      <c r="B758" s="33"/>
      <c r="C758" s="33" t="s">
        <v>789</v>
      </c>
      <c r="D758" s="33" t="s">
        <v>543</v>
      </c>
      <c r="E758" s="33" t="s">
        <v>3245</v>
      </c>
      <c r="F758" s="43">
        <v>46155.708333333336</v>
      </c>
      <c r="G758" s="33" t="s">
        <v>227</v>
      </c>
      <c r="H758" s="33"/>
      <c r="I758" s="33" t="s">
        <v>73</v>
      </c>
      <c r="J758" s="33" t="s">
        <v>1667</v>
      </c>
      <c r="K758" s="33" t="s">
        <v>2800</v>
      </c>
      <c r="L758" s="33" t="s">
        <v>880</v>
      </c>
      <c r="M758" s="43">
        <v>46157.620034722226</v>
      </c>
      <c r="N758" s="33" t="s">
        <v>296</v>
      </c>
      <c r="O758" s="33" t="s">
        <v>797</v>
      </c>
      <c r="P758" s="33" t="s">
        <v>140</v>
      </c>
      <c r="Q758" s="33"/>
      <c r="R758" s="33"/>
      <c r="S758" s="33"/>
      <c r="T758" s="33" t="s">
        <v>984</v>
      </c>
      <c r="U758" s="43">
        <v>46156.92083333333</v>
      </c>
      <c r="V758" s="58">
        <v>0.7</v>
      </c>
      <c r="W758" s="33" t="s">
        <v>984</v>
      </c>
      <c r="X758" s="43">
        <v>46156.92083333333</v>
      </c>
      <c r="Y758" s="58">
        <v>0.7</v>
      </c>
      <c r="Z758" s="33" t="s">
        <v>984</v>
      </c>
      <c r="AA758" s="43">
        <v>46157.958333333336</v>
      </c>
      <c r="AB758" s="33" t="s">
        <v>81</v>
      </c>
      <c r="AC758" s="33" t="s">
        <v>1669</v>
      </c>
      <c r="AD758" s="44">
        <v>1.9194444444444445</v>
      </c>
      <c r="AE758" s="58">
        <v>0.79583333333333328</v>
      </c>
      <c r="AF758" s="44">
        <v>1.9194444444444445</v>
      </c>
      <c r="AG758" s="33" t="s">
        <v>548</v>
      </c>
      <c r="AH758" s="33">
        <v>4</v>
      </c>
      <c r="AI758" s="43">
        <v>46156.92083333333</v>
      </c>
      <c r="AJ758" s="33" t="s">
        <v>73</v>
      </c>
      <c r="AK758" s="42">
        <v>162820.03</v>
      </c>
      <c r="AL758" s="33" t="s">
        <v>549</v>
      </c>
    </row>
    <row r="759" spans="1:38">
      <c r="A759" s="33">
        <v>6009696</v>
      </c>
      <c r="B759" s="33"/>
      <c r="C759" s="33" t="s">
        <v>789</v>
      </c>
      <c r="D759" s="33" t="s">
        <v>1901</v>
      </c>
      <c r="E759" s="33" t="s">
        <v>3246</v>
      </c>
      <c r="F759" s="43">
        <v>46155.708333333336</v>
      </c>
      <c r="G759" s="33" t="s">
        <v>792</v>
      </c>
      <c r="H759" s="33"/>
      <c r="I759" s="33" t="s">
        <v>793</v>
      </c>
      <c r="J759" s="33" t="s">
        <v>2859</v>
      </c>
      <c r="K759" s="33" t="s">
        <v>1957</v>
      </c>
      <c r="L759" s="33" t="s">
        <v>857</v>
      </c>
      <c r="M759" s="43">
        <v>46155.906273148146</v>
      </c>
      <c r="N759" s="33" t="s">
        <v>796</v>
      </c>
      <c r="O759" s="33" t="s">
        <v>868</v>
      </c>
      <c r="P759" s="33" t="s">
        <v>1963</v>
      </c>
      <c r="Q759" s="43">
        <v>46155.710416666669</v>
      </c>
      <c r="R759" s="43">
        <v>46155.717361111114</v>
      </c>
      <c r="S759" s="58">
        <v>6.9444444444444441E-3</v>
      </c>
      <c r="T759" s="33" t="s">
        <v>799</v>
      </c>
      <c r="U759" s="43">
        <v>46155.89166666667</v>
      </c>
      <c r="V759" s="58">
        <v>1.4583333333333334E-2</v>
      </c>
      <c r="W759" s="33"/>
      <c r="X759" s="33"/>
      <c r="Y759" s="33"/>
      <c r="Z759" s="33" t="s">
        <v>799</v>
      </c>
      <c r="AA759" s="43">
        <v>46155.916666666664</v>
      </c>
      <c r="AB759" s="33" t="s">
        <v>81</v>
      </c>
      <c r="AC759" s="33" t="s">
        <v>81</v>
      </c>
      <c r="AD759" s="58">
        <v>0.1986111111111111</v>
      </c>
      <c r="AE759" s="33"/>
      <c r="AF759" s="58">
        <v>0.1986111111111111</v>
      </c>
      <c r="AG759" s="33" t="s">
        <v>1906</v>
      </c>
      <c r="AH759" s="33">
        <v>2</v>
      </c>
      <c r="AI759" s="43">
        <v>46155.89166666667</v>
      </c>
      <c r="AJ759" s="33" t="s">
        <v>793</v>
      </c>
      <c r="AK759" s="42">
        <v>602818.19999999995</v>
      </c>
      <c r="AL759" s="33" t="s">
        <v>1907</v>
      </c>
    </row>
    <row r="760" spans="1:38">
      <c r="A760" s="33">
        <v>6009177</v>
      </c>
      <c r="B760" s="33"/>
      <c r="C760" s="33" t="s">
        <v>789</v>
      </c>
      <c r="D760" s="33" t="s">
        <v>827</v>
      </c>
      <c r="E760" s="33" t="s">
        <v>3247</v>
      </c>
      <c r="F760" s="43">
        <v>46155.791666666664</v>
      </c>
      <c r="G760" s="33" t="s">
        <v>792</v>
      </c>
      <c r="H760" s="33"/>
      <c r="I760" s="33" t="s">
        <v>793</v>
      </c>
      <c r="J760" s="33" t="s">
        <v>2859</v>
      </c>
      <c r="K760" s="33" t="s">
        <v>971</v>
      </c>
      <c r="L760" s="33" t="s">
        <v>1001</v>
      </c>
      <c r="M760" s="43">
        <v>46156.021678240744</v>
      </c>
      <c r="N760" s="33" t="s">
        <v>831</v>
      </c>
      <c r="O760" s="33" t="s">
        <v>797</v>
      </c>
      <c r="P760" s="33" t="s">
        <v>1963</v>
      </c>
      <c r="Q760" s="43">
        <v>46155.840277777781</v>
      </c>
      <c r="R760" s="43">
        <v>46155.884722222225</v>
      </c>
      <c r="S760" s="58">
        <v>4.4444444444444446E-2</v>
      </c>
      <c r="T760" s="33" t="s">
        <v>799</v>
      </c>
      <c r="U760" s="43">
        <v>46156.005555555559</v>
      </c>
      <c r="V760" s="58">
        <v>1.5972222222222221E-2</v>
      </c>
      <c r="W760" s="33" t="s">
        <v>799</v>
      </c>
      <c r="X760" s="43">
        <v>46156.005555555559</v>
      </c>
      <c r="Y760" s="58">
        <v>1.5972222222222221E-2</v>
      </c>
      <c r="Z760" s="33" t="s">
        <v>799</v>
      </c>
      <c r="AA760" s="43">
        <v>46155.958333333336</v>
      </c>
      <c r="AB760" s="33" t="s">
        <v>81</v>
      </c>
      <c r="AC760" s="33" t="s">
        <v>2262</v>
      </c>
      <c r="AD760" s="58">
        <v>0.31180555555555556</v>
      </c>
      <c r="AE760" s="58">
        <v>0.1361111111111111</v>
      </c>
      <c r="AF760" s="58">
        <v>0.31180555555555556</v>
      </c>
      <c r="AG760" s="33" t="s">
        <v>832</v>
      </c>
      <c r="AH760" s="33">
        <v>2</v>
      </c>
      <c r="AI760" s="43">
        <v>46156.005555555559</v>
      </c>
      <c r="AJ760" s="33" t="s">
        <v>793</v>
      </c>
      <c r="AK760" s="42">
        <v>574218.18000000005</v>
      </c>
      <c r="AL760" s="33" t="s">
        <v>833</v>
      </c>
    </row>
    <row r="761" spans="1:38">
      <c r="A761" s="33">
        <v>6010465</v>
      </c>
      <c r="B761" s="33"/>
      <c r="C761" s="33" t="s">
        <v>789</v>
      </c>
      <c r="D761" s="33" t="s">
        <v>2919</v>
      </c>
      <c r="E761" s="33" t="s">
        <v>3248</v>
      </c>
      <c r="F761" s="43">
        <v>46155.791666666664</v>
      </c>
      <c r="G761" s="33" t="s">
        <v>792</v>
      </c>
      <c r="H761" s="33"/>
      <c r="I761" s="33" t="s">
        <v>793</v>
      </c>
      <c r="J761" s="33" t="s">
        <v>2859</v>
      </c>
      <c r="K761" s="33" t="s">
        <v>305</v>
      </c>
      <c r="L761" s="33" t="s">
        <v>3249</v>
      </c>
      <c r="M761" s="43">
        <v>46156.113865740743</v>
      </c>
      <c r="N761" s="33" t="s">
        <v>2923</v>
      </c>
      <c r="O761" s="33" t="s">
        <v>175</v>
      </c>
      <c r="P761" s="33" t="s">
        <v>1963</v>
      </c>
      <c r="Q761" s="43">
        <v>46155.887499999997</v>
      </c>
      <c r="R761" s="43">
        <v>46155.922222222223</v>
      </c>
      <c r="S761" s="58">
        <v>3.4722222222222224E-2</v>
      </c>
      <c r="T761" s="33" t="s">
        <v>799</v>
      </c>
      <c r="U761" s="43">
        <v>46156.052083333336</v>
      </c>
      <c r="V761" s="58">
        <v>6.9444444444444447E-4</v>
      </c>
      <c r="W761" s="33"/>
      <c r="X761" s="33"/>
      <c r="Y761" s="33"/>
      <c r="Z761" s="33" t="s">
        <v>799</v>
      </c>
      <c r="AA761" s="43">
        <v>46155.958333333336</v>
      </c>
      <c r="AB761" s="33" t="s">
        <v>823</v>
      </c>
      <c r="AC761" s="33" t="s">
        <v>2262</v>
      </c>
      <c r="AD761" s="58">
        <v>0.40416666666666667</v>
      </c>
      <c r="AE761" s="33"/>
      <c r="AF761" s="58">
        <v>0.40416666666666667</v>
      </c>
      <c r="AG761" s="33" t="s">
        <v>2924</v>
      </c>
      <c r="AH761" s="33">
        <v>2</v>
      </c>
      <c r="AI761" s="43">
        <v>46156.052083333336</v>
      </c>
      <c r="AJ761" s="33" t="s">
        <v>793</v>
      </c>
      <c r="AK761" s="42">
        <v>561832.19999999995</v>
      </c>
      <c r="AL761" s="33" t="s">
        <v>2925</v>
      </c>
    </row>
    <row r="762" spans="1:38">
      <c r="A762" s="33">
        <v>6010673</v>
      </c>
      <c r="B762" s="33"/>
      <c r="C762" s="33" t="s">
        <v>789</v>
      </c>
      <c r="D762" s="33" t="s">
        <v>1056</v>
      </c>
      <c r="E762" s="33" t="s">
        <v>3250</v>
      </c>
      <c r="F762" s="43">
        <v>46155.791666666664</v>
      </c>
      <c r="G762" s="33" t="s">
        <v>792</v>
      </c>
      <c r="H762" s="33"/>
      <c r="I762" s="33" t="s">
        <v>793</v>
      </c>
      <c r="J762" s="33" t="s">
        <v>2049</v>
      </c>
      <c r="K762" s="33" t="s">
        <v>75</v>
      </c>
      <c r="L762" s="33" t="s">
        <v>888</v>
      </c>
      <c r="M762" s="43">
        <v>46156.096643518518</v>
      </c>
      <c r="N762" s="33" t="s">
        <v>1060</v>
      </c>
      <c r="O762" s="33" t="s">
        <v>797</v>
      </c>
      <c r="P762" s="33" t="s">
        <v>1963</v>
      </c>
      <c r="Q762" s="43">
        <v>46155.863888888889</v>
      </c>
      <c r="R762" s="43">
        <v>46155.902777777781</v>
      </c>
      <c r="S762" s="58">
        <v>3.888888888888889E-2</v>
      </c>
      <c r="T762" s="33" t="s">
        <v>799</v>
      </c>
      <c r="U762" s="43">
        <v>46156.030555555553</v>
      </c>
      <c r="V762" s="58">
        <v>6.5972222222222224E-2</v>
      </c>
      <c r="W762" s="33" t="s">
        <v>799</v>
      </c>
      <c r="X762" s="43">
        <v>46156.030555555553</v>
      </c>
      <c r="Y762" s="58">
        <v>6.5972222222222224E-2</v>
      </c>
      <c r="Z762" s="33" t="s">
        <v>799</v>
      </c>
      <c r="AA762" s="43">
        <v>46155.958333333336</v>
      </c>
      <c r="AB762" s="33" t="s">
        <v>81</v>
      </c>
      <c r="AC762" s="33" t="s">
        <v>2076</v>
      </c>
      <c r="AD762" s="58">
        <v>0.3840277777777778</v>
      </c>
      <c r="AE762" s="58">
        <v>0.19305555555555556</v>
      </c>
      <c r="AF762" s="58">
        <v>0.3840277777777778</v>
      </c>
      <c r="AG762" s="33" t="s">
        <v>1061</v>
      </c>
      <c r="AH762" s="33">
        <v>2</v>
      </c>
      <c r="AI762" s="43">
        <v>46156.030555555553</v>
      </c>
      <c r="AJ762" s="33" t="s">
        <v>793</v>
      </c>
      <c r="AK762" s="42">
        <v>801800.16</v>
      </c>
      <c r="AL762" s="33" t="s">
        <v>1062</v>
      </c>
    </row>
    <row r="763" spans="1:38">
      <c r="A763" s="33">
        <v>6021583</v>
      </c>
      <c r="B763" s="33"/>
      <c r="C763" s="33" t="s">
        <v>789</v>
      </c>
      <c r="D763" s="33" t="s">
        <v>3251</v>
      </c>
      <c r="E763" s="33" t="s">
        <v>3252</v>
      </c>
      <c r="F763" s="43">
        <v>46155.72152777778</v>
      </c>
      <c r="G763" s="33" t="s">
        <v>114</v>
      </c>
      <c r="H763" s="33"/>
      <c r="I763" s="33" t="s">
        <v>772</v>
      </c>
      <c r="J763" s="33" t="s">
        <v>3253</v>
      </c>
      <c r="K763" s="33" t="s">
        <v>865</v>
      </c>
      <c r="L763" s="33" t="s">
        <v>1256</v>
      </c>
      <c r="M763" s="43">
        <v>46156.591099537036</v>
      </c>
      <c r="N763" s="33" t="s">
        <v>3254</v>
      </c>
      <c r="O763" s="33" t="s">
        <v>868</v>
      </c>
      <c r="P763" s="33" t="s">
        <v>79</v>
      </c>
      <c r="Q763" s="43">
        <v>46155.795138888891</v>
      </c>
      <c r="R763" s="43">
        <v>46155.953472222223</v>
      </c>
      <c r="S763" s="58">
        <v>0.15833333333333333</v>
      </c>
      <c r="T763" s="33" t="s">
        <v>1258</v>
      </c>
      <c r="U763" s="43">
        <v>46156.484722222223</v>
      </c>
      <c r="V763" s="58">
        <v>0.10625</v>
      </c>
      <c r="W763" s="33"/>
      <c r="X763" s="33"/>
      <c r="Y763" s="33"/>
      <c r="Z763" s="33" t="s">
        <v>1258</v>
      </c>
      <c r="AA763" s="43">
        <v>46167.416666666664</v>
      </c>
      <c r="AB763" s="33" t="s">
        <v>81</v>
      </c>
      <c r="AC763" s="33" t="s">
        <v>81</v>
      </c>
      <c r="AD763" s="58">
        <v>0.85277777777777775</v>
      </c>
      <c r="AE763" s="33"/>
      <c r="AF763" s="58">
        <v>0.85277777777777775</v>
      </c>
      <c r="AG763" s="33" t="s">
        <v>3255</v>
      </c>
      <c r="AH763" s="33">
        <v>2</v>
      </c>
      <c r="AI763" s="43">
        <v>46156.484722222223</v>
      </c>
      <c r="AJ763" s="33" t="s">
        <v>73</v>
      </c>
      <c r="AK763" s="42">
        <v>147734.79999999999</v>
      </c>
      <c r="AL763" s="33" t="s">
        <v>3256</v>
      </c>
    </row>
    <row r="764" spans="1:38">
      <c r="A764" s="33">
        <v>6022145</v>
      </c>
      <c r="B764" s="33"/>
      <c r="C764" s="33" t="s">
        <v>789</v>
      </c>
      <c r="D764" s="33" t="s">
        <v>3257</v>
      </c>
      <c r="E764" s="33" t="s">
        <v>3258</v>
      </c>
      <c r="F764" s="43">
        <v>46155.731944444444</v>
      </c>
      <c r="G764" s="33" t="s">
        <v>724</v>
      </c>
      <c r="H764" s="33"/>
      <c r="I764" s="33" t="s">
        <v>73</v>
      </c>
      <c r="J764" s="33" t="s">
        <v>2986</v>
      </c>
      <c r="K764" s="33" t="s">
        <v>75</v>
      </c>
      <c r="L764" s="33" t="s">
        <v>3259</v>
      </c>
      <c r="M764" s="43">
        <v>46155.853113425925</v>
      </c>
      <c r="N764" s="33" t="s">
        <v>3260</v>
      </c>
      <c r="O764" s="33" t="s">
        <v>797</v>
      </c>
      <c r="P764" s="33" t="s">
        <v>79</v>
      </c>
      <c r="Q764" s="33"/>
      <c r="R764" s="33"/>
      <c r="S764" s="33"/>
      <c r="T764" s="33" t="s">
        <v>176</v>
      </c>
      <c r="U764" s="33"/>
      <c r="V764" s="33"/>
      <c r="W764" s="33"/>
      <c r="X764" s="33"/>
      <c r="Y764" s="33"/>
      <c r="Z764" s="33" t="s">
        <v>176</v>
      </c>
      <c r="AA764" s="43">
        <v>46160.291666666664</v>
      </c>
      <c r="AB764" s="33" t="s">
        <v>81</v>
      </c>
      <c r="AC764" s="33" t="s">
        <v>81</v>
      </c>
      <c r="AD764" s="58">
        <v>0.11666666666666667</v>
      </c>
      <c r="AE764" s="33"/>
      <c r="AF764" s="58">
        <v>0.11666666666666667</v>
      </c>
      <c r="AG764" s="33" t="s">
        <v>3261</v>
      </c>
      <c r="AH764" s="33">
        <v>1</v>
      </c>
      <c r="AI764" s="43">
        <v>46156.359027777777</v>
      </c>
      <c r="AJ764" s="33" t="s">
        <v>73</v>
      </c>
      <c r="AK764" s="42">
        <v>136986.01</v>
      </c>
      <c r="AL764" s="33" t="s">
        <v>3262</v>
      </c>
    </row>
    <row r="765" spans="1:38">
      <c r="A765" s="33">
        <v>6020764</v>
      </c>
      <c r="B765" s="33"/>
      <c r="C765" s="33" t="s">
        <v>789</v>
      </c>
      <c r="D765" s="33" t="s">
        <v>1808</v>
      </c>
      <c r="E765" s="33" t="s">
        <v>3263</v>
      </c>
      <c r="F765" s="43">
        <v>46155.75</v>
      </c>
      <c r="G765" s="33" t="s">
        <v>227</v>
      </c>
      <c r="H765" s="33"/>
      <c r="I765" s="33" t="s">
        <v>73</v>
      </c>
      <c r="J765" s="33" t="s">
        <v>2130</v>
      </c>
      <c r="K765" s="33" t="s">
        <v>75</v>
      </c>
      <c r="L765" s="33" t="s">
        <v>3228</v>
      </c>
      <c r="M765" s="43">
        <v>46156.833831018521</v>
      </c>
      <c r="N765" s="33" t="s">
        <v>1810</v>
      </c>
      <c r="O765" s="33" t="s">
        <v>868</v>
      </c>
      <c r="P765" s="33" t="s">
        <v>140</v>
      </c>
      <c r="Q765" s="43">
        <v>46155.745833333334</v>
      </c>
      <c r="R765" s="43">
        <v>46155.783333333333</v>
      </c>
      <c r="S765" s="58">
        <v>3.7499999999999999E-2</v>
      </c>
      <c r="T765" s="33" t="s">
        <v>2131</v>
      </c>
      <c r="U765" s="43">
        <v>46156.317361111112</v>
      </c>
      <c r="V765" s="58">
        <v>0.51666666666666672</v>
      </c>
      <c r="W765" s="33"/>
      <c r="X765" s="33"/>
      <c r="Y765" s="33"/>
      <c r="Z765" s="33" t="s">
        <v>2131</v>
      </c>
      <c r="AA765" s="43">
        <v>46157.958333333336</v>
      </c>
      <c r="AB765" s="33" t="s">
        <v>81</v>
      </c>
      <c r="AC765" s="33" t="s">
        <v>2133</v>
      </c>
      <c r="AD765" s="44">
        <v>1.0909722222222222</v>
      </c>
      <c r="AE765" s="33"/>
      <c r="AF765" s="44">
        <v>1.0909722222222222</v>
      </c>
      <c r="AG765" s="33" t="s">
        <v>1185</v>
      </c>
      <c r="AH765" s="33">
        <v>2</v>
      </c>
      <c r="AI765" s="43">
        <v>46156.317361111112</v>
      </c>
      <c r="AJ765" s="33" t="s">
        <v>73</v>
      </c>
      <c r="AK765" s="42">
        <v>131840.1</v>
      </c>
      <c r="AL765" s="33" t="s">
        <v>1812</v>
      </c>
    </row>
    <row r="766" spans="1:38">
      <c r="A766" s="33">
        <v>6020763</v>
      </c>
      <c r="B766" s="33"/>
      <c r="C766" s="33" t="s">
        <v>789</v>
      </c>
      <c r="D766" s="33" t="s">
        <v>1947</v>
      </c>
      <c r="E766" s="33" t="s">
        <v>3264</v>
      </c>
      <c r="F766" s="43">
        <v>46155.770833333336</v>
      </c>
      <c r="G766" s="33" t="s">
        <v>227</v>
      </c>
      <c r="H766" s="33"/>
      <c r="I766" s="33" t="s">
        <v>73</v>
      </c>
      <c r="J766" s="33" t="s">
        <v>2130</v>
      </c>
      <c r="K766" s="33" t="s">
        <v>75</v>
      </c>
      <c r="L766" s="33" t="s">
        <v>3228</v>
      </c>
      <c r="M766" s="43">
        <v>46156.719293981485</v>
      </c>
      <c r="N766" s="33" t="s">
        <v>1950</v>
      </c>
      <c r="O766" s="33" t="s">
        <v>175</v>
      </c>
      <c r="P766" s="33" t="s">
        <v>140</v>
      </c>
      <c r="Q766" s="43">
        <v>46155.751388888886</v>
      </c>
      <c r="R766" s="43">
        <v>46155.783333333333</v>
      </c>
      <c r="S766" s="58">
        <v>3.1944444444444442E-2</v>
      </c>
      <c r="T766" s="33" t="s">
        <v>2131</v>
      </c>
      <c r="U766" s="43">
        <v>46156.318749999999</v>
      </c>
      <c r="V766" s="58">
        <v>0.39652777777777776</v>
      </c>
      <c r="W766" s="33"/>
      <c r="X766" s="33"/>
      <c r="Y766" s="33"/>
      <c r="Z766" s="33" t="s">
        <v>2131</v>
      </c>
      <c r="AA766" s="43">
        <v>46157.958333333336</v>
      </c>
      <c r="AB766" s="33" t="s">
        <v>81</v>
      </c>
      <c r="AC766" s="33" t="s">
        <v>2133</v>
      </c>
      <c r="AD766" s="58">
        <v>0.97222222222222221</v>
      </c>
      <c r="AE766" s="33"/>
      <c r="AF766" s="58">
        <v>0.97222222222222221</v>
      </c>
      <c r="AG766" s="33" t="s">
        <v>2478</v>
      </c>
      <c r="AH766" s="33">
        <v>2</v>
      </c>
      <c r="AI766" s="43">
        <v>46156.318749999999</v>
      </c>
      <c r="AJ766" s="33" t="s">
        <v>73</v>
      </c>
      <c r="AK766" s="42">
        <v>155106</v>
      </c>
      <c r="AL766" s="33" t="s">
        <v>1952</v>
      </c>
    </row>
    <row r="767" spans="1:38">
      <c r="A767" s="33">
        <v>6015112</v>
      </c>
      <c r="B767" s="33"/>
      <c r="C767" s="33" t="s">
        <v>789</v>
      </c>
      <c r="D767" s="33" t="s">
        <v>225</v>
      </c>
      <c r="E767" s="33" t="s">
        <v>3265</v>
      </c>
      <c r="F767" s="43">
        <v>46155.763888888891</v>
      </c>
      <c r="G767" s="33" t="s">
        <v>227</v>
      </c>
      <c r="H767" s="33"/>
      <c r="I767" s="33" t="s">
        <v>73</v>
      </c>
      <c r="J767" s="33" t="s">
        <v>1489</v>
      </c>
      <c r="K767" s="33" t="s">
        <v>75</v>
      </c>
      <c r="L767" s="33" t="s">
        <v>3266</v>
      </c>
      <c r="M767" s="43">
        <v>46156.044537037036</v>
      </c>
      <c r="N767" s="33" t="s">
        <v>230</v>
      </c>
      <c r="O767" s="33" t="s">
        <v>868</v>
      </c>
      <c r="P767" s="33" t="s">
        <v>79</v>
      </c>
      <c r="Q767" s="33"/>
      <c r="R767" s="33"/>
      <c r="S767" s="33"/>
      <c r="T767" s="33" t="s">
        <v>1493</v>
      </c>
      <c r="U767" s="43">
        <v>46155.881249999999</v>
      </c>
      <c r="V767" s="58">
        <v>0.15347222222222223</v>
      </c>
      <c r="W767" s="33"/>
      <c r="X767" s="33"/>
      <c r="Y767" s="33"/>
      <c r="Z767" s="33" t="s">
        <v>1493</v>
      </c>
      <c r="AA767" s="43">
        <v>46155.791666666664</v>
      </c>
      <c r="AB767" s="33" t="s">
        <v>81</v>
      </c>
      <c r="AC767" s="33" t="s">
        <v>81</v>
      </c>
      <c r="AD767" s="58">
        <v>0.28819444444444442</v>
      </c>
      <c r="AE767" s="33"/>
      <c r="AF767" s="58">
        <v>0.28819444444444442</v>
      </c>
      <c r="AG767" s="33" t="s">
        <v>235</v>
      </c>
      <c r="AH767" s="33">
        <v>3</v>
      </c>
      <c r="AI767" s="43">
        <v>46155.881249999999</v>
      </c>
      <c r="AJ767" s="33" t="s">
        <v>73</v>
      </c>
      <c r="AK767" s="42">
        <v>299689.90000000002</v>
      </c>
      <c r="AL767" s="33" t="s">
        <v>236</v>
      </c>
    </row>
    <row r="768" spans="1:38">
      <c r="A768" s="33">
        <v>6022156</v>
      </c>
      <c r="B768" s="33"/>
      <c r="C768" s="33" t="s">
        <v>789</v>
      </c>
      <c r="D768" s="33" t="s">
        <v>1801</v>
      </c>
      <c r="E768" s="33" t="s">
        <v>3267</v>
      </c>
      <c r="F768" s="43">
        <v>46155.791666666664</v>
      </c>
      <c r="G768" s="33" t="s">
        <v>227</v>
      </c>
      <c r="H768" s="33"/>
      <c r="I768" s="33" t="s">
        <v>73</v>
      </c>
      <c r="J768" s="33" t="s">
        <v>2977</v>
      </c>
      <c r="K768" s="33" t="s">
        <v>75</v>
      </c>
      <c r="L768" s="33" t="s">
        <v>1928</v>
      </c>
      <c r="M768" s="43">
        <v>46156.837847222225</v>
      </c>
      <c r="N768" s="33" t="s">
        <v>1804</v>
      </c>
      <c r="O768" s="33" t="s">
        <v>797</v>
      </c>
      <c r="P768" s="33" t="s">
        <v>79</v>
      </c>
      <c r="Q768" s="43">
        <v>46155.770138888889</v>
      </c>
      <c r="R768" s="43">
        <v>46155.791666666664</v>
      </c>
      <c r="S768" s="58">
        <v>2.1527777777777778E-2</v>
      </c>
      <c r="T768" s="33" t="s">
        <v>176</v>
      </c>
      <c r="U768" s="33"/>
      <c r="V768" s="33"/>
      <c r="W768" s="33"/>
      <c r="X768" s="33"/>
      <c r="Y768" s="33"/>
      <c r="Z768" s="33" t="s">
        <v>176</v>
      </c>
      <c r="AA768" s="43">
        <v>46160.291666666664</v>
      </c>
      <c r="AB768" s="33" t="s">
        <v>81</v>
      </c>
      <c r="AC768" s="33" t="s">
        <v>81</v>
      </c>
      <c r="AD768" s="44">
        <v>1.0736111111111111</v>
      </c>
      <c r="AE768" s="33"/>
      <c r="AF768" s="44">
        <v>1.0736111111111111</v>
      </c>
      <c r="AG768" s="33" t="s">
        <v>1811</v>
      </c>
      <c r="AH768" s="33">
        <v>2</v>
      </c>
      <c r="AI768" s="43">
        <v>46156.89166666667</v>
      </c>
      <c r="AJ768" s="33" t="s">
        <v>73</v>
      </c>
      <c r="AK768" s="42">
        <v>142465.45000000001</v>
      </c>
      <c r="AL768" s="33" t="s">
        <v>1807</v>
      </c>
    </row>
    <row r="769" spans="1:38">
      <c r="A769" s="33">
        <v>6022144</v>
      </c>
      <c r="B769" s="33"/>
      <c r="C769" s="33" t="s">
        <v>789</v>
      </c>
      <c r="D769" s="33" t="s">
        <v>1925</v>
      </c>
      <c r="E769" s="33" t="s">
        <v>3268</v>
      </c>
      <c r="F769" s="43">
        <v>46155.875</v>
      </c>
      <c r="G769" s="33" t="s">
        <v>227</v>
      </c>
      <c r="H769" s="33"/>
      <c r="I769" s="33" t="s">
        <v>73</v>
      </c>
      <c r="J769" s="33" t="s">
        <v>2977</v>
      </c>
      <c r="K769" s="33" t="s">
        <v>2482</v>
      </c>
      <c r="L769" s="33" t="s">
        <v>3269</v>
      </c>
      <c r="M769" s="43">
        <v>46156.571180555555</v>
      </c>
      <c r="N769" s="33" t="s">
        <v>529</v>
      </c>
      <c r="O769" s="33" t="s">
        <v>797</v>
      </c>
      <c r="P769" s="33" t="s">
        <v>79</v>
      </c>
      <c r="Q769" s="43">
        <v>46155.765277777777</v>
      </c>
      <c r="R769" s="43">
        <v>46155.936111111114</v>
      </c>
      <c r="S769" s="58">
        <v>0.17083333333333334</v>
      </c>
      <c r="T769" s="33" t="s">
        <v>176</v>
      </c>
      <c r="U769" s="33"/>
      <c r="V769" s="33"/>
      <c r="W769" s="33"/>
      <c r="X769" s="33"/>
      <c r="Y769" s="33"/>
      <c r="Z769" s="33" t="s">
        <v>176</v>
      </c>
      <c r="AA769" s="43">
        <v>46160.291666666664</v>
      </c>
      <c r="AB769" s="33" t="s">
        <v>3270</v>
      </c>
      <c r="AC769" s="33" t="s">
        <v>2979</v>
      </c>
      <c r="AD769" s="58">
        <v>0.80625000000000002</v>
      </c>
      <c r="AE769" s="33"/>
      <c r="AF769" s="58">
        <v>0.80625000000000002</v>
      </c>
      <c r="AG769" s="33" t="s">
        <v>3271</v>
      </c>
      <c r="AH769" s="33">
        <v>2</v>
      </c>
      <c r="AI769" s="43">
        <v>46156.628472222219</v>
      </c>
      <c r="AJ769" s="33" t="s">
        <v>73</v>
      </c>
      <c r="AK769" s="42">
        <v>136986.01</v>
      </c>
      <c r="AL769" s="33" t="s">
        <v>1932</v>
      </c>
    </row>
    <row r="770" spans="1:38">
      <c r="A770" s="33">
        <v>6015015</v>
      </c>
      <c r="B770" s="33"/>
      <c r="C770" s="33" t="s">
        <v>789</v>
      </c>
      <c r="D770" s="33" t="s">
        <v>1681</v>
      </c>
      <c r="E770" s="33" t="s">
        <v>3272</v>
      </c>
      <c r="F770" s="43">
        <v>46155.791666666664</v>
      </c>
      <c r="G770" s="33" t="s">
        <v>227</v>
      </c>
      <c r="H770" s="33"/>
      <c r="I770" s="33" t="s">
        <v>73</v>
      </c>
      <c r="J770" s="33" t="s">
        <v>2431</v>
      </c>
      <c r="K770" s="33" t="s">
        <v>75</v>
      </c>
      <c r="L770" s="33" t="s">
        <v>3273</v>
      </c>
      <c r="M770" s="43">
        <v>46156.469074074077</v>
      </c>
      <c r="N770" s="33" t="s">
        <v>230</v>
      </c>
      <c r="O770" s="33" t="s">
        <v>868</v>
      </c>
      <c r="P770" s="33" t="s">
        <v>79</v>
      </c>
      <c r="Q770" s="33"/>
      <c r="R770" s="33"/>
      <c r="S770" s="33"/>
      <c r="T770" s="33" t="s">
        <v>726</v>
      </c>
      <c r="U770" s="43">
        <v>46156.449305555558</v>
      </c>
      <c r="V770" s="58">
        <v>1.9444444444444445E-2</v>
      </c>
      <c r="W770" s="33"/>
      <c r="X770" s="33"/>
      <c r="Y770" s="33"/>
      <c r="Z770" s="33" t="s">
        <v>726</v>
      </c>
      <c r="AA770" s="43">
        <v>46156.333333333336</v>
      </c>
      <c r="AB770" s="33" t="s">
        <v>81</v>
      </c>
      <c r="AC770" s="33" t="s">
        <v>81</v>
      </c>
      <c r="AD770" s="58">
        <v>0.70763888888888893</v>
      </c>
      <c r="AE770" s="33"/>
      <c r="AF770" s="58">
        <v>0.70763888888888893</v>
      </c>
      <c r="AG770" s="33" t="s">
        <v>3274</v>
      </c>
      <c r="AH770" s="33">
        <v>2</v>
      </c>
      <c r="AI770" s="43">
        <v>46156.449305555558</v>
      </c>
      <c r="AJ770" s="33" t="s">
        <v>73</v>
      </c>
      <c r="AK770" s="42">
        <v>125372.01</v>
      </c>
      <c r="AL770" s="33" t="s">
        <v>1686</v>
      </c>
    </row>
    <row r="771" spans="1:38">
      <c r="A771" s="33">
        <v>6022146</v>
      </c>
      <c r="B771" s="33"/>
      <c r="C771" s="33" t="s">
        <v>789</v>
      </c>
      <c r="D771" s="33" t="s">
        <v>302</v>
      </c>
      <c r="E771" s="33" t="s">
        <v>3275</v>
      </c>
      <c r="F771" s="43">
        <v>46155.805555555555</v>
      </c>
      <c r="G771" s="33" t="s">
        <v>227</v>
      </c>
      <c r="H771" s="33"/>
      <c r="I771" s="33" t="s">
        <v>73</v>
      </c>
      <c r="J771" s="33" t="s">
        <v>2977</v>
      </c>
      <c r="K771" s="33" t="s">
        <v>2154</v>
      </c>
      <c r="L771" s="33" t="s">
        <v>1928</v>
      </c>
      <c r="M771" s="43">
        <v>46156.171400462961</v>
      </c>
      <c r="N771" s="33" t="s">
        <v>307</v>
      </c>
      <c r="O771" s="33" t="s">
        <v>797</v>
      </c>
      <c r="P771" s="33" t="s">
        <v>79</v>
      </c>
      <c r="Q771" s="43">
        <v>46155.789583333331</v>
      </c>
      <c r="R771" s="43">
        <v>46155.797222222223</v>
      </c>
      <c r="S771" s="58">
        <v>7.6388888888888886E-3</v>
      </c>
      <c r="T771" s="33" t="s">
        <v>176</v>
      </c>
      <c r="U771" s="33"/>
      <c r="V771" s="33"/>
      <c r="W771" s="33"/>
      <c r="X771" s="33"/>
      <c r="Y771" s="33"/>
      <c r="Z771" s="33" t="s">
        <v>176</v>
      </c>
      <c r="AA771" s="43">
        <v>46160.291666666664</v>
      </c>
      <c r="AB771" s="33" t="s">
        <v>81</v>
      </c>
      <c r="AC771" s="33" t="s">
        <v>81</v>
      </c>
      <c r="AD771" s="58">
        <v>0.37916666666666665</v>
      </c>
      <c r="AE771" s="33"/>
      <c r="AF771" s="58">
        <v>0.37916666666666665</v>
      </c>
      <c r="AG771" s="33" t="s">
        <v>2249</v>
      </c>
      <c r="AH771" s="33">
        <v>2</v>
      </c>
      <c r="AI771" s="43">
        <v>46156.227083333331</v>
      </c>
      <c r="AJ771" s="33" t="s">
        <v>73</v>
      </c>
      <c r="AK771" s="42">
        <v>136986.01</v>
      </c>
      <c r="AL771" s="33" t="s">
        <v>312</v>
      </c>
    </row>
    <row r="772" spans="1:38">
      <c r="A772" s="33">
        <v>6022147</v>
      </c>
      <c r="B772" s="33"/>
      <c r="C772" s="33" t="s">
        <v>789</v>
      </c>
      <c r="D772" s="33" t="s">
        <v>1176</v>
      </c>
      <c r="E772" s="33" t="s">
        <v>3276</v>
      </c>
      <c r="F772" s="43">
        <v>46155.822916666664</v>
      </c>
      <c r="G772" s="33" t="s">
        <v>227</v>
      </c>
      <c r="H772" s="33"/>
      <c r="I772" s="33" t="s">
        <v>73</v>
      </c>
      <c r="J772" s="33" t="s">
        <v>2977</v>
      </c>
      <c r="K772" s="33" t="s">
        <v>75</v>
      </c>
      <c r="L772" s="33" t="s">
        <v>1738</v>
      </c>
      <c r="M772" s="43">
        <v>46156.695949074077</v>
      </c>
      <c r="N772" s="33" t="s">
        <v>1179</v>
      </c>
      <c r="O772" s="33" t="s">
        <v>797</v>
      </c>
      <c r="P772" s="33" t="s">
        <v>79</v>
      </c>
      <c r="Q772" s="43">
        <v>46155.799305555556</v>
      </c>
      <c r="R772" s="43">
        <v>46156.166666666664</v>
      </c>
      <c r="S772" s="58">
        <v>0.36736111111111114</v>
      </c>
      <c r="T772" s="33" t="s">
        <v>176</v>
      </c>
      <c r="U772" s="33"/>
      <c r="V772" s="33"/>
      <c r="W772" s="33" t="s">
        <v>1740</v>
      </c>
      <c r="X772" s="43">
        <v>46156.674305555556</v>
      </c>
      <c r="Y772" s="58">
        <v>2.4305555555555556E-2</v>
      </c>
      <c r="Z772" s="33" t="s">
        <v>176</v>
      </c>
      <c r="AA772" s="43">
        <v>46160.291666666664</v>
      </c>
      <c r="AB772" s="33" t="s">
        <v>2978</v>
      </c>
      <c r="AC772" s="33" t="s">
        <v>2979</v>
      </c>
      <c r="AD772" s="58">
        <v>0.89722222222222225</v>
      </c>
      <c r="AE772" s="33"/>
      <c r="AF772" s="58">
        <v>0.89722222222222225</v>
      </c>
      <c r="AG772" s="33" t="s">
        <v>3277</v>
      </c>
      <c r="AH772" s="33">
        <v>2</v>
      </c>
      <c r="AI772" s="43">
        <v>46156.773611111108</v>
      </c>
      <c r="AJ772" s="33" t="s">
        <v>73</v>
      </c>
      <c r="AK772" s="42">
        <v>138812.49</v>
      </c>
      <c r="AL772" s="33" t="s">
        <v>1182</v>
      </c>
    </row>
    <row r="773" spans="1:38">
      <c r="A773" s="33" t="s">
        <v>3278</v>
      </c>
      <c r="B773" s="33"/>
      <c r="C773" s="33" t="s">
        <v>789</v>
      </c>
      <c r="D773" s="33" t="s">
        <v>3279</v>
      </c>
      <c r="E773" s="33" t="s">
        <v>3280</v>
      </c>
      <c r="F773" s="43">
        <v>46155.780555555553</v>
      </c>
      <c r="G773" s="33" t="s">
        <v>1246</v>
      </c>
      <c r="H773" s="33"/>
      <c r="I773" s="33" t="s">
        <v>73</v>
      </c>
      <c r="J773" s="33" t="s">
        <v>1293</v>
      </c>
      <c r="K773" s="33" t="s">
        <v>75</v>
      </c>
      <c r="L773" s="33" t="s">
        <v>1294</v>
      </c>
      <c r="M773" s="43">
        <v>46155.872604166667</v>
      </c>
      <c r="N773" s="33" t="s">
        <v>1295</v>
      </c>
      <c r="O773" s="33" t="s">
        <v>797</v>
      </c>
      <c r="P773" s="33" t="s">
        <v>140</v>
      </c>
      <c r="Q773" s="43">
        <v>46155.828472222223</v>
      </c>
      <c r="R773" s="43">
        <v>46155.849305555559</v>
      </c>
      <c r="S773" s="58">
        <v>2.0833333333333332E-2</v>
      </c>
      <c r="T773" s="33" t="s">
        <v>1296</v>
      </c>
      <c r="U773" s="43">
        <v>46155.853472222225</v>
      </c>
      <c r="V773" s="58">
        <v>1.9444444444444445E-2</v>
      </c>
      <c r="W773" s="33" t="s">
        <v>1296</v>
      </c>
      <c r="X773" s="43">
        <v>46155.853472222225</v>
      </c>
      <c r="Y773" s="58">
        <v>1.9444444444444445E-2</v>
      </c>
      <c r="Z773" s="33" t="s">
        <v>1296</v>
      </c>
      <c r="AA773" s="43">
        <v>46167.333333333336</v>
      </c>
      <c r="AB773" s="33" t="s">
        <v>81</v>
      </c>
      <c r="AC773" s="33" t="s">
        <v>1297</v>
      </c>
      <c r="AD773" s="58">
        <v>4.3749999999999997E-2</v>
      </c>
      <c r="AE773" s="58">
        <v>2.361111111111111E-2</v>
      </c>
      <c r="AF773" s="58">
        <v>4.3749999999999997E-2</v>
      </c>
      <c r="AG773" s="33"/>
      <c r="AH773" s="33">
        <v>2</v>
      </c>
      <c r="AI773" s="43">
        <v>46155.853472222225</v>
      </c>
      <c r="AJ773" s="33" t="s">
        <v>73</v>
      </c>
      <c r="AK773" s="42">
        <v>452315.36</v>
      </c>
      <c r="AL773" s="33" t="s">
        <v>3281</v>
      </c>
    </row>
    <row r="774" spans="1:38">
      <c r="A774" s="33">
        <v>6013987</v>
      </c>
      <c r="B774" s="33"/>
      <c r="C774" s="33" t="s">
        <v>789</v>
      </c>
      <c r="D774" s="33" t="s">
        <v>3282</v>
      </c>
      <c r="E774" s="33" t="s">
        <v>3283</v>
      </c>
      <c r="F774" s="43">
        <v>46155.833333333336</v>
      </c>
      <c r="G774" s="33" t="s">
        <v>282</v>
      </c>
      <c r="H774" s="33"/>
      <c r="I774" s="33" t="s">
        <v>73</v>
      </c>
      <c r="J774" s="33" t="s">
        <v>1667</v>
      </c>
      <c r="K774" s="33" t="s">
        <v>3284</v>
      </c>
      <c r="L774" s="33" t="s">
        <v>3285</v>
      </c>
      <c r="M774" s="43">
        <v>46157.984780092593</v>
      </c>
      <c r="N774" s="33" t="s">
        <v>3286</v>
      </c>
      <c r="O774" s="33" t="s">
        <v>797</v>
      </c>
      <c r="P774" s="33" t="s">
        <v>140</v>
      </c>
      <c r="Q774" s="43">
        <v>46155.845833333333</v>
      </c>
      <c r="R774" s="43">
        <v>46156.199305555558</v>
      </c>
      <c r="S774" s="58">
        <v>0.35347222222222224</v>
      </c>
      <c r="T774" s="33" t="s">
        <v>984</v>
      </c>
      <c r="U774" s="43">
        <v>46156.635416666664</v>
      </c>
      <c r="V774" s="44">
        <v>1.3374999999999999</v>
      </c>
      <c r="W774" s="33"/>
      <c r="X774" s="33"/>
      <c r="Y774" s="33"/>
      <c r="Z774" s="33" t="s">
        <v>984</v>
      </c>
      <c r="AA774" s="43">
        <v>46157.25</v>
      </c>
      <c r="AB774" s="33" t="s">
        <v>81</v>
      </c>
      <c r="AC774" s="33" t="s">
        <v>1669</v>
      </c>
      <c r="AD774" s="44">
        <v>2.1416666666666666</v>
      </c>
      <c r="AE774" s="33"/>
      <c r="AF774" s="44">
        <v>2.1416666666666666</v>
      </c>
      <c r="AG774" s="33" t="s">
        <v>3287</v>
      </c>
      <c r="AH774" s="33">
        <v>2</v>
      </c>
      <c r="AI774" s="43">
        <v>46156.635416666664</v>
      </c>
      <c r="AJ774" s="33" t="s">
        <v>73</v>
      </c>
      <c r="AK774" s="42">
        <v>735111.36</v>
      </c>
      <c r="AL774" s="33" t="s">
        <v>3288</v>
      </c>
    </row>
    <row r="775" spans="1:38">
      <c r="A775" s="33">
        <v>6010766</v>
      </c>
      <c r="B775" s="33"/>
      <c r="C775" s="33" t="s">
        <v>789</v>
      </c>
      <c r="D775" s="33" t="s">
        <v>817</v>
      </c>
      <c r="E775" s="33" t="s">
        <v>3289</v>
      </c>
      <c r="F775" s="43">
        <v>46155.875</v>
      </c>
      <c r="G775" s="33" t="s">
        <v>792</v>
      </c>
      <c r="H775" s="33"/>
      <c r="I775" s="33" t="s">
        <v>793</v>
      </c>
      <c r="J775" s="33" t="s">
        <v>2859</v>
      </c>
      <c r="K775" s="33" t="s">
        <v>75</v>
      </c>
      <c r="L775" s="33" t="s">
        <v>2523</v>
      </c>
      <c r="M775" s="43">
        <v>46156.095104166663</v>
      </c>
      <c r="N775" s="33" t="s">
        <v>822</v>
      </c>
      <c r="O775" s="33" t="s">
        <v>797</v>
      </c>
      <c r="P775" s="33" t="s">
        <v>1963</v>
      </c>
      <c r="Q775" s="43">
        <v>46155.863888888889</v>
      </c>
      <c r="R775" s="43">
        <v>46155.904166666667</v>
      </c>
      <c r="S775" s="58">
        <v>4.027777777777778E-2</v>
      </c>
      <c r="T775" s="33" t="s">
        <v>799</v>
      </c>
      <c r="U775" s="43">
        <v>46156.03125</v>
      </c>
      <c r="V775" s="58">
        <v>6.458333333333334E-2</v>
      </c>
      <c r="W775" s="33" t="s">
        <v>799</v>
      </c>
      <c r="X775" s="43">
        <v>46156.03125</v>
      </c>
      <c r="Y775" s="58">
        <v>6.458333333333334E-2</v>
      </c>
      <c r="Z775" s="33" t="s">
        <v>799</v>
      </c>
      <c r="AA775" s="43">
        <v>46156.208333333336</v>
      </c>
      <c r="AB775" s="33" t="s">
        <v>81</v>
      </c>
      <c r="AC775" s="33" t="s">
        <v>2262</v>
      </c>
      <c r="AD775" s="58">
        <v>0.25069444444444444</v>
      </c>
      <c r="AE775" s="58">
        <v>0.19027777777777777</v>
      </c>
      <c r="AF775" s="58">
        <v>0.25069444444444444</v>
      </c>
      <c r="AG775" s="33" t="s">
        <v>825</v>
      </c>
      <c r="AH775" s="33">
        <v>2</v>
      </c>
      <c r="AI775" s="43">
        <v>46156.03125</v>
      </c>
      <c r="AJ775" s="33" t="s">
        <v>793</v>
      </c>
      <c r="AK775" s="42">
        <v>546605.78</v>
      </c>
      <c r="AL775" s="33" t="s">
        <v>826</v>
      </c>
    </row>
    <row r="776" spans="1:38">
      <c r="A776" s="33">
        <v>6013225</v>
      </c>
      <c r="B776" s="33"/>
      <c r="C776" s="33" t="s">
        <v>789</v>
      </c>
      <c r="D776" s="33" t="s">
        <v>2290</v>
      </c>
      <c r="E776" s="33" t="s">
        <v>3290</v>
      </c>
      <c r="F776" s="43">
        <v>46155.875</v>
      </c>
      <c r="G776" s="33" t="s">
        <v>227</v>
      </c>
      <c r="H776" s="33"/>
      <c r="I776" s="33" t="s">
        <v>73</v>
      </c>
      <c r="J776" s="33" t="s">
        <v>3291</v>
      </c>
      <c r="K776" s="33" t="s">
        <v>75</v>
      </c>
      <c r="L776" s="33" t="s">
        <v>3292</v>
      </c>
      <c r="M776" s="43">
        <v>46155.983831018515</v>
      </c>
      <c r="N776" s="33" t="s">
        <v>1810</v>
      </c>
      <c r="O776" s="33" t="s">
        <v>797</v>
      </c>
      <c r="P776" s="33" t="s">
        <v>140</v>
      </c>
      <c r="Q776" s="33"/>
      <c r="R776" s="33"/>
      <c r="S776" s="33"/>
      <c r="T776" s="33" t="s">
        <v>3293</v>
      </c>
      <c r="U776" s="33"/>
      <c r="V776" s="33"/>
      <c r="W776" s="33" t="s">
        <v>1740</v>
      </c>
      <c r="X776" s="43">
        <v>46155.963194444441</v>
      </c>
      <c r="Y776" s="58">
        <v>2.361111111111111E-2</v>
      </c>
      <c r="Z776" s="33" t="s">
        <v>3293</v>
      </c>
      <c r="AA776" s="43">
        <v>46161.25</v>
      </c>
      <c r="AB776" s="33" t="s">
        <v>3294</v>
      </c>
      <c r="AC776" s="33" t="s">
        <v>3295</v>
      </c>
      <c r="AD776" s="58">
        <v>6.7361111111111108E-2</v>
      </c>
      <c r="AE776" s="33"/>
      <c r="AF776" s="58">
        <v>6.7361111111111108E-2</v>
      </c>
      <c r="AG776" s="33" t="s">
        <v>3296</v>
      </c>
      <c r="AH776" s="33">
        <v>1</v>
      </c>
      <c r="AI776" s="43">
        <v>46156.81527777778</v>
      </c>
      <c r="AJ776" s="33" t="s">
        <v>73</v>
      </c>
      <c r="AK776" s="42">
        <v>1094205.2</v>
      </c>
      <c r="AL776" s="33" t="s">
        <v>2294</v>
      </c>
    </row>
    <row r="777" spans="1:38">
      <c r="A777" s="33">
        <v>6010650</v>
      </c>
      <c r="B777" s="33"/>
      <c r="C777" s="33" t="s">
        <v>789</v>
      </c>
      <c r="D777" s="33" t="s">
        <v>2907</v>
      </c>
      <c r="E777" s="33" t="s">
        <v>3297</v>
      </c>
      <c r="F777" s="43">
        <v>46155.875</v>
      </c>
      <c r="G777" s="33" t="s">
        <v>792</v>
      </c>
      <c r="H777" s="33"/>
      <c r="I777" s="33" t="s">
        <v>793</v>
      </c>
      <c r="J777" s="33" t="s">
        <v>3298</v>
      </c>
      <c r="K777" s="33" t="s">
        <v>75</v>
      </c>
      <c r="L777" s="33" t="s">
        <v>806</v>
      </c>
      <c r="M777" s="43">
        <v>46156.15625</v>
      </c>
      <c r="N777" s="33" t="s">
        <v>2909</v>
      </c>
      <c r="O777" s="33" t="s">
        <v>797</v>
      </c>
      <c r="P777" s="33" t="s">
        <v>1963</v>
      </c>
      <c r="Q777" s="43">
        <v>46155.946527777778</v>
      </c>
      <c r="R777" s="43">
        <v>46155.995833333334</v>
      </c>
      <c r="S777" s="58">
        <v>4.9305555555555554E-2</v>
      </c>
      <c r="T777" s="33" t="s">
        <v>799</v>
      </c>
      <c r="U777" s="43">
        <v>46156.121527777781</v>
      </c>
      <c r="V777" s="58">
        <v>4.791666666666667E-2</v>
      </c>
      <c r="W777" s="33" t="s">
        <v>799</v>
      </c>
      <c r="X777" s="43">
        <v>46156.121527777781</v>
      </c>
      <c r="Y777" s="58">
        <v>4.791666666666667E-2</v>
      </c>
      <c r="Z777" s="33" t="s">
        <v>799</v>
      </c>
      <c r="AA777" s="43">
        <v>46156.208333333336</v>
      </c>
      <c r="AB777" s="33" t="s">
        <v>81</v>
      </c>
      <c r="AC777" s="33" t="s">
        <v>3119</v>
      </c>
      <c r="AD777" s="58">
        <v>0.30208333333333331</v>
      </c>
      <c r="AE777" s="58">
        <v>0.15972222222222221</v>
      </c>
      <c r="AF777" s="58">
        <v>0.30208333333333331</v>
      </c>
      <c r="AG777" s="33" t="s">
        <v>2910</v>
      </c>
      <c r="AH777" s="33">
        <v>2</v>
      </c>
      <c r="AI777" s="43">
        <v>46156.121527777781</v>
      </c>
      <c r="AJ777" s="33" t="s">
        <v>793</v>
      </c>
      <c r="AK777" s="42">
        <v>997277.04</v>
      </c>
      <c r="AL777" s="33" t="s">
        <v>2911</v>
      </c>
    </row>
    <row r="778" spans="1:38">
      <c r="A778" s="33">
        <v>6013224</v>
      </c>
      <c r="B778" s="33"/>
      <c r="C778" s="33" t="s">
        <v>789</v>
      </c>
      <c r="D778" s="33" t="s">
        <v>323</v>
      </c>
      <c r="E778" s="33" t="s">
        <v>3299</v>
      </c>
      <c r="F778" s="43">
        <v>46155.875</v>
      </c>
      <c r="G778" s="33" t="s">
        <v>227</v>
      </c>
      <c r="H778" s="33"/>
      <c r="I778" s="33" t="s">
        <v>73</v>
      </c>
      <c r="J778" s="33" t="s">
        <v>3300</v>
      </c>
      <c r="K778" s="33" t="s">
        <v>75</v>
      </c>
      <c r="L778" s="33" t="s">
        <v>3301</v>
      </c>
      <c r="M778" s="43">
        <v>46156.504641203705</v>
      </c>
      <c r="N778" s="33" t="s">
        <v>230</v>
      </c>
      <c r="O778" s="33" t="s">
        <v>175</v>
      </c>
      <c r="P778" s="33" t="s">
        <v>140</v>
      </c>
      <c r="Q778" s="43">
        <v>46155.871527777781</v>
      </c>
      <c r="R778" s="43">
        <v>46155.875694444447</v>
      </c>
      <c r="S778" s="58">
        <v>4.1666666666666666E-3</v>
      </c>
      <c r="T778" s="33" t="s">
        <v>3293</v>
      </c>
      <c r="U778" s="33"/>
      <c r="V778" s="33"/>
      <c r="W778" s="33"/>
      <c r="X778" s="33"/>
      <c r="Y778" s="33"/>
      <c r="Z778" s="33" t="s">
        <v>3293</v>
      </c>
      <c r="AA778" s="43">
        <v>46161.25</v>
      </c>
      <c r="AB778" s="33" t="s">
        <v>81</v>
      </c>
      <c r="AC778" s="33" t="s">
        <v>81</v>
      </c>
      <c r="AD778" s="58">
        <v>0.63749999999999996</v>
      </c>
      <c r="AE778" s="33"/>
      <c r="AF778" s="58">
        <v>0.63749999999999996</v>
      </c>
      <c r="AG778" s="33" t="s">
        <v>1181</v>
      </c>
      <c r="AH778" s="33">
        <v>2</v>
      </c>
      <c r="AI778" s="43">
        <v>46157.009722222225</v>
      </c>
      <c r="AJ778" s="33" t="s">
        <v>73</v>
      </c>
      <c r="AK778" s="42">
        <v>777025.83</v>
      </c>
      <c r="AL778" s="33" t="s">
        <v>332</v>
      </c>
    </row>
    <row r="779" spans="1:38">
      <c r="A779" s="33">
        <v>6007429</v>
      </c>
      <c r="B779" s="33"/>
      <c r="C779" s="33" t="s">
        <v>789</v>
      </c>
      <c r="D779" s="33" t="s">
        <v>1074</v>
      </c>
      <c r="E779" s="33" t="s">
        <v>3302</v>
      </c>
      <c r="F779" s="43">
        <v>46155.916666666664</v>
      </c>
      <c r="G779" s="33" t="s">
        <v>792</v>
      </c>
      <c r="H779" s="58">
        <v>0.05</v>
      </c>
      <c r="I779" s="33" t="s">
        <v>793</v>
      </c>
      <c r="J779" s="33" t="s">
        <v>911</v>
      </c>
      <c r="K779" s="33" t="s">
        <v>75</v>
      </c>
      <c r="L779" s="33" t="s">
        <v>857</v>
      </c>
      <c r="M779" s="43">
        <v>46156.531192129631</v>
      </c>
      <c r="N779" s="33" t="s">
        <v>1078</v>
      </c>
      <c r="O779" s="33" t="s">
        <v>797</v>
      </c>
      <c r="P779" s="33" t="s">
        <v>1963</v>
      </c>
      <c r="Q779" s="43">
        <v>46155.917361111111</v>
      </c>
      <c r="R779" s="43">
        <v>46155.948611111111</v>
      </c>
      <c r="S779" s="58">
        <v>3.125E-2</v>
      </c>
      <c r="T779" s="33" t="s">
        <v>799</v>
      </c>
      <c r="U779" s="43">
        <v>46156.525000000001</v>
      </c>
      <c r="V779" s="58">
        <v>6.2500000000000003E-3</v>
      </c>
      <c r="W779" s="33" t="s">
        <v>799</v>
      </c>
      <c r="X779" s="43">
        <v>46156.525000000001</v>
      </c>
      <c r="Y779" s="58">
        <v>6.2500000000000003E-3</v>
      </c>
      <c r="Z779" s="33" t="s">
        <v>799</v>
      </c>
      <c r="AA779" s="43">
        <v>46156.208333333336</v>
      </c>
      <c r="AB779" s="33" t="s">
        <v>81</v>
      </c>
      <c r="AC779" s="33" t="s">
        <v>934</v>
      </c>
      <c r="AD779" s="58">
        <v>0.6381944444444444</v>
      </c>
      <c r="AE779" s="58">
        <v>0.58194444444444449</v>
      </c>
      <c r="AF779" s="58">
        <v>0.6381944444444444</v>
      </c>
      <c r="AG779" s="33" t="s">
        <v>1080</v>
      </c>
      <c r="AH779" s="33">
        <v>2</v>
      </c>
      <c r="AI779" s="43">
        <v>46156.525000000001</v>
      </c>
      <c r="AJ779" s="33" t="s">
        <v>793</v>
      </c>
      <c r="AK779" s="42">
        <v>734876.8</v>
      </c>
      <c r="AL779" s="33" t="s">
        <v>1081</v>
      </c>
    </row>
    <row r="780" spans="1:38">
      <c r="A780" s="33">
        <v>6020765</v>
      </c>
      <c r="B780" s="33"/>
      <c r="C780" s="33" t="s">
        <v>789</v>
      </c>
      <c r="D780" s="33" t="s">
        <v>3303</v>
      </c>
      <c r="E780" s="33" t="s">
        <v>3304</v>
      </c>
      <c r="F780" s="43">
        <v>46155.908333333333</v>
      </c>
      <c r="G780" s="33" t="s">
        <v>72</v>
      </c>
      <c r="H780" s="33"/>
      <c r="I780" s="33" t="s">
        <v>73</v>
      </c>
      <c r="J780" s="33" t="s">
        <v>2350</v>
      </c>
      <c r="K780" s="33" t="s">
        <v>75</v>
      </c>
      <c r="L780" s="33" t="s">
        <v>3228</v>
      </c>
      <c r="M780" s="43">
        <v>46156.823599537034</v>
      </c>
      <c r="N780" s="33" t="s">
        <v>3305</v>
      </c>
      <c r="O780" s="33" t="s">
        <v>231</v>
      </c>
      <c r="P780" s="33" t="s">
        <v>140</v>
      </c>
      <c r="Q780" s="33"/>
      <c r="R780" s="33"/>
      <c r="S780" s="33"/>
      <c r="T780" s="33" t="s">
        <v>2131</v>
      </c>
      <c r="U780" s="43">
        <v>46156.626388888886</v>
      </c>
      <c r="V780" s="58">
        <v>0.19652777777777777</v>
      </c>
      <c r="W780" s="33"/>
      <c r="X780" s="33"/>
      <c r="Y780" s="33"/>
      <c r="Z780" s="33" t="s">
        <v>2131</v>
      </c>
      <c r="AA780" s="43">
        <v>46157.208333333336</v>
      </c>
      <c r="AB780" s="33" t="s">
        <v>81</v>
      </c>
      <c r="AC780" s="33" t="s">
        <v>81</v>
      </c>
      <c r="AD780" s="58">
        <v>0.2298611111111111</v>
      </c>
      <c r="AE780" s="33"/>
      <c r="AF780" s="58">
        <v>0.2298611111111111</v>
      </c>
      <c r="AG780" s="33"/>
      <c r="AH780" s="33">
        <v>1</v>
      </c>
      <c r="AI780" s="43">
        <v>46156.626388888886</v>
      </c>
      <c r="AJ780" s="33" t="s">
        <v>83</v>
      </c>
      <c r="AK780" s="42">
        <v>74967.899999999994</v>
      </c>
      <c r="AL780" s="33" t="s">
        <v>3306</v>
      </c>
    </row>
    <row r="781" spans="1:38">
      <c r="A781" s="33">
        <v>6014923</v>
      </c>
      <c r="B781" s="33"/>
      <c r="C781" s="33" t="s">
        <v>789</v>
      </c>
      <c r="D781" s="33" t="s">
        <v>2935</v>
      </c>
      <c r="E781" s="33" t="s">
        <v>3307</v>
      </c>
      <c r="F781" s="43">
        <v>46156.083333333336</v>
      </c>
      <c r="G781" s="33" t="s">
        <v>227</v>
      </c>
      <c r="H781" s="33"/>
      <c r="I781" s="33" t="s">
        <v>73</v>
      </c>
      <c r="J781" s="33" t="s">
        <v>1659</v>
      </c>
      <c r="K781" s="33" t="s">
        <v>75</v>
      </c>
      <c r="L781" s="33" t="s">
        <v>3308</v>
      </c>
      <c r="M781" s="43">
        <v>46156.410891203705</v>
      </c>
      <c r="N781" s="33" t="s">
        <v>230</v>
      </c>
      <c r="O781" s="33" t="s">
        <v>797</v>
      </c>
      <c r="P781" s="33" t="s">
        <v>79</v>
      </c>
      <c r="Q781" s="33"/>
      <c r="R781" s="33"/>
      <c r="S781" s="33"/>
      <c r="T781" s="33" t="s">
        <v>1660</v>
      </c>
      <c r="U781" s="33"/>
      <c r="V781" s="33"/>
      <c r="W781" s="33"/>
      <c r="X781" s="33"/>
      <c r="Y781" s="33"/>
      <c r="Z781" s="33" t="s">
        <v>1660</v>
      </c>
      <c r="AA781" s="43">
        <v>46156.25</v>
      </c>
      <c r="AB781" s="33" t="s">
        <v>81</v>
      </c>
      <c r="AC781" s="33" t="s">
        <v>1662</v>
      </c>
      <c r="AD781" s="58">
        <v>0.49930555555555556</v>
      </c>
      <c r="AE781" s="33"/>
      <c r="AF781" s="58">
        <v>0.49930555555555556</v>
      </c>
      <c r="AG781" s="33"/>
      <c r="AH781" s="33">
        <v>1</v>
      </c>
      <c r="AI781" s="43">
        <v>46156.411805555559</v>
      </c>
      <c r="AJ781" s="33" t="s">
        <v>73</v>
      </c>
      <c r="AK781" s="42">
        <v>177009.86</v>
      </c>
      <c r="AL781" s="33" t="s">
        <v>2937</v>
      </c>
    </row>
    <row r="782" spans="1:38">
      <c r="A782" s="33">
        <v>6009346</v>
      </c>
      <c r="B782" s="33"/>
      <c r="C782" s="33" t="s">
        <v>789</v>
      </c>
      <c r="D782" s="33" t="s">
        <v>790</v>
      </c>
      <c r="E782" s="33" t="s">
        <v>3309</v>
      </c>
      <c r="F782" s="43">
        <v>46155.958333333336</v>
      </c>
      <c r="G782" s="33" t="s">
        <v>792</v>
      </c>
      <c r="H782" s="33"/>
      <c r="I782" s="33" t="s">
        <v>793</v>
      </c>
      <c r="J782" s="33" t="s">
        <v>2859</v>
      </c>
      <c r="K782" s="33" t="s">
        <v>75</v>
      </c>
      <c r="L782" s="33" t="s">
        <v>1778</v>
      </c>
      <c r="M782" s="43">
        <v>46156.094328703701</v>
      </c>
      <c r="N782" s="33" t="s">
        <v>796</v>
      </c>
      <c r="O782" s="33" t="s">
        <v>797</v>
      </c>
      <c r="P782" s="33" t="s">
        <v>1963</v>
      </c>
      <c r="Q782" s="43">
        <v>46155.932638888888</v>
      </c>
      <c r="R782" s="43">
        <v>46155.946527777778</v>
      </c>
      <c r="S782" s="58">
        <v>1.3888888888888888E-2</v>
      </c>
      <c r="T782" s="33" t="s">
        <v>799</v>
      </c>
      <c r="U782" s="43">
        <v>46156.057638888888</v>
      </c>
      <c r="V782" s="58">
        <v>3.7499999999999999E-2</v>
      </c>
      <c r="W782" s="33" t="s">
        <v>799</v>
      </c>
      <c r="X782" s="43">
        <v>46156.057638888888</v>
      </c>
      <c r="Y782" s="58">
        <v>3.7499999999999999E-2</v>
      </c>
      <c r="Z782" s="33" t="s">
        <v>799</v>
      </c>
      <c r="AA782" s="43">
        <v>46157.208333333336</v>
      </c>
      <c r="AB782" s="33" t="s">
        <v>81</v>
      </c>
      <c r="AC782" s="33" t="s">
        <v>2262</v>
      </c>
      <c r="AD782" s="58">
        <v>0.17708333333333334</v>
      </c>
      <c r="AE782" s="58">
        <v>0.14722222222222223</v>
      </c>
      <c r="AF782" s="58">
        <v>0.17708333333333334</v>
      </c>
      <c r="AG782" s="33" t="s">
        <v>801</v>
      </c>
      <c r="AH782" s="33">
        <v>2</v>
      </c>
      <c r="AI782" s="43">
        <v>46156.057638888888</v>
      </c>
      <c r="AJ782" s="33" t="s">
        <v>793</v>
      </c>
      <c r="AK782" s="42">
        <v>441728.28</v>
      </c>
      <c r="AL782" s="33" t="s">
        <v>802</v>
      </c>
    </row>
    <row r="783" spans="1:38">
      <c r="A783" s="33">
        <v>6008084</v>
      </c>
      <c r="B783" s="33"/>
      <c r="C783" s="33" t="s">
        <v>789</v>
      </c>
      <c r="D783" s="33" t="s">
        <v>1784</v>
      </c>
      <c r="E783" s="33" t="s">
        <v>3310</v>
      </c>
      <c r="F783" s="43">
        <v>46155.958333333336</v>
      </c>
      <c r="G783" s="33" t="s">
        <v>792</v>
      </c>
      <c r="H783" s="33"/>
      <c r="I783" s="33" t="s">
        <v>793</v>
      </c>
      <c r="J783" s="33" t="s">
        <v>3169</v>
      </c>
      <c r="K783" s="33" t="s">
        <v>75</v>
      </c>
      <c r="L783" s="33" t="s">
        <v>1264</v>
      </c>
      <c r="M783" s="43">
        <v>46156.020104166666</v>
      </c>
      <c r="N783" s="33" t="s">
        <v>796</v>
      </c>
      <c r="O783" s="33" t="s">
        <v>797</v>
      </c>
      <c r="P783" s="33" t="s">
        <v>799</v>
      </c>
      <c r="Q783" s="43">
        <v>46155.953472222223</v>
      </c>
      <c r="R783" s="43">
        <v>46155.970138888886</v>
      </c>
      <c r="S783" s="58">
        <v>1.6666666666666666E-2</v>
      </c>
      <c r="T783" s="33" t="s">
        <v>140</v>
      </c>
      <c r="U783" s="43">
        <v>46156.015972222223</v>
      </c>
      <c r="V783" s="58">
        <v>4.8611111111111112E-3</v>
      </c>
      <c r="W783" s="33" t="s">
        <v>140</v>
      </c>
      <c r="X783" s="43">
        <v>46156.015972222223</v>
      </c>
      <c r="Y783" s="58">
        <v>4.8611111111111112E-3</v>
      </c>
      <c r="Z783" s="33" t="s">
        <v>140</v>
      </c>
      <c r="AA783" s="43">
        <v>46157.375</v>
      </c>
      <c r="AB783" s="33" t="s">
        <v>81</v>
      </c>
      <c r="AC783" s="33" t="s">
        <v>3171</v>
      </c>
      <c r="AD783" s="58">
        <v>6.805555555555555E-2</v>
      </c>
      <c r="AE783" s="58">
        <v>4.9305555555555554E-2</v>
      </c>
      <c r="AF783" s="58">
        <v>6.805555555555555E-2</v>
      </c>
      <c r="AG783" s="33" t="s">
        <v>1788</v>
      </c>
      <c r="AH783" s="33">
        <v>2</v>
      </c>
      <c r="AI783" s="43">
        <v>46156.015972222223</v>
      </c>
      <c r="AJ783" s="33" t="s">
        <v>793</v>
      </c>
      <c r="AK783" s="42">
        <v>1192180.57</v>
      </c>
      <c r="AL783" s="33" t="s">
        <v>1789</v>
      </c>
    </row>
    <row r="784" spans="1:38">
      <c r="A784" s="33">
        <v>6020762</v>
      </c>
      <c r="B784" s="33"/>
      <c r="C784" s="33" t="s">
        <v>789</v>
      </c>
      <c r="D784" s="33" t="s">
        <v>3311</v>
      </c>
      <c r="E784" s="33" t="s">
        <v>3312</v>
      </c>
      <c r="F784" s="43">
        <v>46155.945833333331</v>
      </c>
      <c r="G784" s="33" t="s">
        <v>216</v>
      </c>
      <c r="H784" s="33"/>
      <c r="I784" s="33" t="s">
        <v>73</v>
      </c>
      <c r="J784" s="33" t="s">
        <v>2350</v>
      </c>
      <c r="K784" s="33" t="s">
        <v>75</v>
      </c>
      <c r="L784" s="33" t="s">
        <v>3228</v>
      </c>
      <c r="M784" s="43">
        <v>46157.023055555554</v>
      </c>
      <c r="N784" s="33" t="s">
        <v>296</v>
      </c>
      <c r="O784" s="33" t="s">
        <v>797</v>
      </c>
      <c r="P784" s="33" t="s">
        <v>140</v>
      </c>
      <c r="Q784" s="43">
        <v>46156.127083333333</v>
      </c>
      <c r="R784" s="43">
        <v>46156.256944444445</v>
      </c>
      <c r="S784" s="58">
        <v>0.12986111111111112</v>
      </c>
      <c r="T784" s="33" t="s">
        <v>2131</v>
      </c>
      <c r="U784" s="43">
        <v>46156.708333333336</v>
      </c>
      <c r="V784" s="58">
        <v>9.8611111111111108E-2</v>
      </c>
      <c r="W784" s="33"/>
      <c r="X784" s="33"/>
      <c r="Y784" s="33"/>
      <c r="Z784" s="33" t="s">
        <v>2131</v>
      </c>
      <c r="AA784" s="43">
        <v>46157.208333333336</v>
      </c>
      <c r="AB784" s="33" t="s">
        <v>81</v>
      </c>
      <c r="AC784" s="33" t="s">
        <v>2353</v>
      </c>
      <c r="AD784" s="44">
        <v>1.0249999999999999</v>
      </c>
      <c r="AE784" s="33"/>
      <c r="AF784" s="44">
        <v>1.0249999999999999</v>
      </c>
      <c r="AG784" s="33"/>
      <c r="AH784" s="33">
        <v>2</v>
      </c>
      <c r="AI784" s="43">
        <v>46156.708333333336</v>
      </c>
      <c r="AJ784" s="33" t="s">
        <v>73</v>
      </c>
      <c r="AK784" s="42">
        <v>171179.16</v>
      </c>
      <c r="AL784" s="33" t="s">
        <v>3313</v>
      </c>
    </row>
    <row r="785" spans="1:38">
      <c r="A785" s="33">
        <v>6006086</v>
      </c>
      <c r="B785" s="33"/>
      <c r="C785" s="33" t="s">
        <v>789</v>
      </c>
      <c r="D785" s="33" t="s">
        <v>1689</v>
      </c>
      <c r="E785" s="33" t="s">
        <v>3314</v>
      </c>
      <c r="F785" s="43">
        <v>46156</v>
      </c>
      <c r="G785" s="33" t="s">
        <v>792</v>
      </c>
      <c r="H785" s="33"/>
      <c r="I785" s="33" t="s">
        <v>793</v>
      </c>
      <c r="J785" s="33" t="s">
        <v>1042</v>
      </c>
      <c r="K785" s="33" t="s">
        <v>2278</v>
      </c>
      <c r="L785" s="33" t="s">
        <v>960</v>
      </c>
      <c r="M785" s="43">
        <v>46156.111006944448</v>
      </c>
      <c r="N785" s="33" t="s">
        <v>1692</v>
      </c>
      <c r="O785" s="33" t="s">
        <v>175</v>
      </c>
      <c r="P785" s="33" t="s">
        <v>799</v>
      </c>
      <c r="Q785" s="43">
        <v>46155.953472222223</v>
      </c>
      <c r="R785" s="43">
        <v>46155.960416666669</v>
      </c>
      <c r="S785" s="58">
        <v>6.9444444444444441E-3</v>
      </c>
      <c r="T785" s="33" t="s">
        <v>140</v>
      </c>
      <c r="U785" s="43">
        <v>46155.988194444442</v>
      </c>
      <c r="V785" s="58">
        <v>0.12152777777777778</v>
      </c>
      <c r="W785" s="33"/>
      <c r="X785" s="33"/>
      <c r="Y785" s="33"/>
      <c r="Z785" s="33" t="s">
        <v>140</v>
      </c>
      <c r="AA785" s="43">
        <v>46156.333333333336</v>
      </c>
      <c r="AB785" s="33" t="s">
        <v>81</v>
      </c>
      <c r="AC785" s="33" t="s">
        <v>1044</v>
      </c>
      <c r="AD785" s="58">
        <v>0.15833333333333333</v>
      </c>
      <c r="AE785" s="33"/>
      <c r="AF785" s="58">
        <v>0.15833333333333333</v>
      </c>
      <c r="AG785" s="33" t="s">
        <v>1693</v>
      </c>
      <c r="AH785" s="33">
        <v>2</v>
      </c>
      <c r="AI785" s="43">
        <v>46155.988194444442</v>
      </c>
      <c r="AJ785" s="33" t="s">
        <v>793</v>
      </c>
      <c r="AK785" s="42">
        <v>554490.36</v>
      </c>
      <c r="AL785" s="33" t="s">
        <v>1694</v>
      </c>
    </row>
    <row r="786" spans="1:38">
      <c r="A786" s="33">
        <v>6011436</v>
      </c>
      <c r="B786" s="33"/>
      <c r="C786" s="33" t="s">
        <v>789</v>
      </c>
      <c r="D786" s="33" t="s">
        <v>1284</v>
      </c>
      <c r="E786" s="33" t="s">
        <v>3315</v>
      </c>
      <c r="F786" s="43">
        <v>46155.979166666664</v>
      </c>
      <c r="G786" s="33" t="s">
        <v>792</v>
      </c>
      <c r="H786" s="33"/>
      <c r="I786" s="33" t="s">
        <v>793</v>
      </c>
      <c r="J786" s="33" t="s">
        <v>2859</v>
      </c>
      <c r="K786" s="33" t="s">
        <v>75</v>
      </c>
      <c r="L786" s="33" t="s">
        <v>1283</v>
      </c>
      <c r="M786" s="43">
        <v>46156.164675925924</v>
      </c>
      <c r="N786" s="33" t="s">
        <v>1287</v>
      </c>
      <c r="O786" s="33" t="s">
        <v>797</v>
      </c>
      <c r="P786" s="33" t="s">
        <v>1963</v>
      </c>
      <c r="Q786" s="43">
        <v>46155.977083333331</v>
      </c>
      <c r="R786" s="43">
        <v>46156</v>
      </c>
      <c r="S786" s="58">
        <v>2.2916666666666665E-2</v>
      </c>
      <c r="T786" s="33" t="s">
        <v>799</v>
      </c>
      <c r="U786" s="43">
        <v>46156.106249999997</v>
      </c>
      <c r="V786" s="58">
        <v>6.25E-2</v>
      </c>
      <c r="W786" s="33" t="s">
        <v>799</v>
      </c>
      <c r="X786" s="43">
        <v>46156.106249999997</v>
      </c>
      <c r="Y786" s="58">
        <v>6.25E-2</v>
      </c>
      <c r="Z786" s="33" t="s">
        <v>799</v>
      </c>
      <c r="AA786" s="43">
        <v>46156.166666666664</v>
      </c>
      <c r="AB786" s="33" t="s">
        <v>81</v>
      </c>
      <c r="AC786" s="33" t="s">
        <v>2262</v>
      </c>
      <c r="AD786" s="58">
        <v>0.19305555555555556</v>
      </c>
      <c r="AE786" s="58">
        <v>0.16388888888888889</v>
      </c>
      <c r="AF786" s="58">
        <v>0.19305555555555556</v>
      </c>
      <c r="AG786" s="33" t="s">
        <v>1288</v>
      </c>
      <c r="AH786" s="33">
        <v>2</v>
      </c>
      <c r="AI786" s="43">
        <v>46156.106249999997</v>
      </c>
      <c r="AJ786" s="33" t="s">
        <v>793</v>
      </c>
      <c r="AK786" s="42">
        <v>1120482.24</v>
      </c>
      <c r="AL786" s="33" t="s">
        <v>1289</v>
      </c>
    </row>
    <row r="787" spans="1:38">
      <c r="A787" s="33">
        <v>6013225</v>
      </c>
      <c r="B787" s="33"/>
      <c r="C787" s="33" t="s">
        <v>789</v>
      </c>
      <c r="D787" s="33" t="s">
        <v>3316</v>
      </c>
      <c r="E787" s="33" t="s">
        <v>3317</v>
      </c>
      <c r="F787" s="43">
        <v>46157.25</v>
      </c>
      <c r="G787" s="33" t="s">
        <v>227</v>
      </c>
      <c r="H787" s="33"/>
      <c r="I787" s="33" t="s">
        <v>73</v>
      </c>
      <c r="J787" s="33" t="s">
        <v>3291</v>
      </c>
      <c r="K787" s="33" t="s">
        <v>75</v>
      </c>
      <c r="L787" s="33" t="s">
        <v>3186</v>
      </c>
      <c r="M787" s="43">
        <v>46156.627245370371</v>
      </c>
      <c r="N787" s="33" t="s">
        <v>2126</v>
      </c>
      <c r="O787" s="33" t="s">
        <v>797</v>
      </c>
      <c r="P787" s="33" t="s">
        <v>140</v>
      </c>
      <c r="Q787" s="33"/>
      <c r="R787" s="33"/>
      <c r="S787" s="33"/>
      <c r="T787" s="33" t="s">
        <v>3293</v>
      </c>
      <c r="U787" s="33"/>
      <c r="V787" s="33"/>
      <c r="W787" s="33" t="s">
        <v>950</v>
      </c>
      <c r="X787" s="43">
        <v>46156.584722222222</v>
      </c>
      <c r="Y787" s="58">
        <v>4.3055555555555555E-2</v>
      </c>
      <c r="Z787" s="33" t="s">
        <v>3293</v>
      </c>
      <c r="AA787" s="43">
        <v>46161.25</v>
      </c>
      <c r="AB787" s="33" t="s">
        <v>3318</v>
      </c>
      <c r="AC787" s="33" t="s">
        <v>3295</v>
      </c>
      <c r="AD787" s="58">
        <v>0.60138888888888886</v>
      </c>
      <c r="AE787" s="33"/>
      <c r="AF787" s="58">
        <v>0.60138888888888886</v>
      </c>
      <c r="AG787" s="33" t="s">
        <v>3296</v>
      </c>
      <c r="AH787" s="33">
        <v>2</v>
      </c>
      <c r="AI787" s="43">
        <v>46157.142361111109</v>
      </c>
      <c r="AJ787" s="33" t="s">
        <v>73</v>
      </c>
      <c r="AK787" s="42">
        <v>1094205.21</v>
      </c>
      <c r="AL787" s="33" t="s">
        <v>3319</v>
      </c>
    </row>
    <row r="788" spans="1:38">
      <c r="A788" s="33">
        <v>6010436</v>
      </c>
      <c r="B788" s="33"/>
      <c r="C788" s="33" t="s">
        <v>789</v>
      </c>
      <c r="D788" s="33" t="s">
        <v>1424</v>
      </c>
      <c r="E788" s="33" t="s">
        <v>3320</v>
      </c>
      <c r="F788" s="43">
        <v>46156.208333333336</v>
      </c>
      <c r="G788" s="33" t="s">
        <v>792</v>
      </c>
      <c r="H788" s="33"/>
      <c r="I788" s="33" t="s">
        <v>793</v>
      </c>
      <c r="J788" s="33" t="s">
        <v>2049</v>
      </c>
      <c r="K788" s="33" t="s">
        <v>75</v>
      </c>
      <c r="L788" s="33" t="s">
        <v>806</v>
      </c>
      <c r="M788" s="43">
        <v>46156.426388888889</v>
      </c>
      <c r="N788" s="33" t="s">
        <v>1426</v>
      </c>
      <c r="O788" s="33" t="s">
        <v>797</v>
      </c>
      <c r="P788" s="33" t="s">
        <v>1963</v>
      </c>
      <c r="Q788" s="43">
        <v>46156.196527777778</v>
      </c>
      <c r="R788" s="43">
        <v>46156.224305555559</v>
      </c>
      <c r="S788" s="58">
        <v>2.7777777777777776E-2</v>
      </c>
      <c r="T788" s="33" t="s">
        <v>799</v>
      </c>
      <c r="U788" s="43">
        <v>46156.413888888892</v>
      </c>
      <c r="V788" s="58">
        <v>4.583333333333333E-2</v>
      </c>
      <c r="W788" s="33" t="s">
        <v>799</v>
      </c>
      <c r="X788" s="43">
        <v>46156.413888888892</v>
      </c>
      <c r="Y788" s="58">
        <v>4.583333333333333E-2</v>
      </c>
      <c r="Z788" s="33" t="s">
        <v>799</v>
      </c>
      <c r="AA788" s="43">
        <v>46157.416666666664</v>
      </c>
      <c r="AB788" s="33" t="s">
        <v>81</v>
      </c>
      <c r="AC788" s="33" t="s">
        <v>2076</v>
      </c>
      <c r="AD788" s="58">
        <v>0.40069444444444446</v>
      </c>
      <c r="AE788" s="58">
        <v>0.2048611111111111</v>
      </c>
      <c r="AF788" s="58">
        <v>0.40069444444444446</v>
      </c>
      <c r="AG788" s="33" t="s">
        <v>1427</v>
      </c>
      <c r="AH788" s="33">
        <v>2</v>
      </c>
      <c r="AI788" s="43">
        <v>46156.413888888892</v>
      </c>
      <c r="AJ788" s="33" t="s">
        <v>793</v>
      </c>
      <c r="AK788" s="42">
        <v>988569.66</v>
      </c>
      <c r="AL788" s="33" t="s">
        <v>1428</v>
      </c>
    </row>
    <row r="789" spans="1:38">
      <c r="A789" s="33">
        <v>6010682</v>
      </c>
      <c r="B789" s="33"/>
      <c r="C789" s="33" t="s">
        <v>789</v>
      </c>
      <c r="D789" s="33" t="s">
        <v>1396</v>
      </c>
      <c r="E789" s="33" t="s">
        <v>3321</v>
      </c>
      <c r="F789" s="43">
        <v>46156.333333333336</v>
      </c>
      <c r="G789" s="33" t="s">
        <v>792</v>
      </c>
      <c r="H789" s="33"/>
      <c r="I789" s="33" t="s">
        <v>793</v>
      </c>
      <c r="J789" s="33" t="s">
        <v>1398</v>
      </c>
      <c r="K789" s="33" t="s">
        <v>75</v>
      </c>
      <c r="L789" s="33" t="s">
        <v>1035</v>
      </c>
      <c r="M789" s="43">
        <v>46156.521828703706</v>
      </c>
      <c r="N789" s="33" t="s">
        <v>1399</v>
      </c>
      <c r="O789" s="33" t="s">
        <v>797</v>
      </c>
      <c r="P789" s="33" t="s">
        <v>1963</v>
      </c>
      <c r="Q789" s="43">
        <v>46156.318055555559</v>
      </c>
      <c r="R789" s="43">
        <v>46156.333333333336</v>
      </c>
      <c r="S789" s="58">
        <v>1.5277777777777777E-2</v>
      </c>
      <c r="T789" s="33" t="s">
        <v>140</v>
      </c>
      <c r="U789" s="43">
        <v>46156.480555555558</v>
      </c>
      <c r="V789" s="58">
        <v>4.1666666666666664E-2</v>
      </c>
      <c r="W789" s="33" t="s">
        <v>140</v>
      </c>
      <c r="X789" s="43">
        <v>46156.480555555558</v>
      </c>
      <c r="Y789" s="58">
        <v>4.1666666666666664E-2</v>
      </c>
      <c r="Z789" s="33" t="s">
        <v>140</v>
      </c>
      <c r="AA789" s="43">
        <v>46157.583333333336</v>
      </c>
      <c r="AB789" s="33" t="s">
        <v>1052</v>
      </c>
      <c r="AC789" s="33" t="s">
        <v>1400</v>
      </c>
      <c r="AD789" s="58">
        <v>0.45833333333333331</v>
      </c>
      <c r="AE789" s="58">
        <v>0.18819444444444444</v>
      </c>
      <c r="AF789" s="58">
        <v>0.45833333333333331</v>
      </c>
      <c r="AG789" s="33" t="s">
        <v>1401</v>
      </c>
      <c r="AH789" s="33">
        <v>2</v>
      </c>
      <c r="AI789" s="43">
        <v>46156.480555555558</v>
      </c>
      <c r="AJ789" s="33" t="s">
        <v>793</v>
      </c>
      <c r="AK789" s="42">
        <v>813769.43</v>
      </c>
      <c r="AL789" s="33" t="s">
        <v>1402</v>
      </c>
    </row>
    <row r="790" spans="1:38">
      <c r="A790" s="33">
        <v>6010481</v>
      </c>
      <c r="B790" s="33"/>
      <c r="C790" s="33" t="s">
        <v>789</v>
      </c>
      <c r="D790" s="33" t="s">
        <v>1407</v>
      </c>
      <c r="E790" s="33" t="s">
        <v>3322</v>
      </c>
      <c r="F790" s="43">
        <v>46156.333333333336</v>
      </c>
      <c r="G790" s="33" t="s">
        <v>792</v>
      </c>
      <c r="H790" s="33"/>
      <c r="I790" s="33" t="s">
        <v>793</v>
      </c>
      <c r="J790" s="33" t="s">
        <v>1398</v>
      </c>
      <c r="K790" s="33" t="s">
        <v>75</v>
      </c>
      <c r="L790" s="33" t="s">
        <v>1592</v>
      </c>
      <c r="M790" s="43">
        <v>46156.558946759258</v>
      </c>
      <c r="N790" s="33" t="s">
        <v>1409</v>
      </c>
      <c r="O790" s="33" t="s">
        <v>797</v>
      </c>
      <c r="P790" s="33" t="s">
        <v>1963</v>
      </c>
      <c r="Q790" s="43">
        <v>46156.340277777781</v>
      </c>
      <c r="R790" s="43">
        <v>46156.361805555556</v>
      </c>
      <c r="S790" s="58">
        <v>2.1527777777777778E-2</v>
      </c>
      <c r="T790" s="33" t="s">
        <v>140</v>
      </c>
      <c r="U790" s="43">
        <v>46156.511805555558</v>
      </c>
      <c r="V790" s="58">
        <v>4.9305555555555554E-2</v>
      </c>
      <c r="W790" s="33" t="s">
        <v>140</v>
      </c>
      <c r="X790" s="43">
        <v>46156.511805555558</v>
      </c>
      <c r="Y790" s="58">
        <v>4.9305555555555554E-2</v>
      </c>
      <c r="Z790" s="33" t="s">
        <v>140</v>
      </c>
      <c r="AA790" s="43">
        <v>46157.583333333336</v>
      </c>
      <c r="AB790" s="33" t="s">
        <v>1052</v>
      </c>
      <c r="AC790" s="33" t="s">
        <v>1400</v>
      </c>
      <c r="AD790" s="58">
        <v>0.49583333333333335</v>
      </c>
      <c r="AE790" s="58">
        <v>0.19722222222222222</v>
      </c>
      <c r="AF790" s="58">
        <v>0.49583333333333335</v>
      </c>
      <c r="AG790" s="33" t="s">
        <v>1410</v>
      </c>
      <c r="AH790" s="33">
        <v>2</v>
      </c>
      <c r="AI790" s="43">
        <v>46156.511805555558</v>
      </c>
      <c r="AJ790" s="33" t="s">
        <v>793</v>
      </c>
      <c r="AK790" s="42">
        <v>652623.68000000005</v>
      </c>
      <c r="AL790" s="33" t="s">
        <v>1411</v>
      </c>
    </row>
    <row r="791" spans="1:38">
      <c r="A791" s="33">
        <v>6010931</v>
      </c>
      <c r="B791" s="33"/>
      <c r="C791" s="33" t="s">
        <v>789</v>
      </c>
      <c r="D791" s="33" t="s">
        <v>1412</v>
      </c>
      <c r="E791" s="33" t="s">
        <v>3323</v>
      </c>
      <c r="F791" s="43">
        <v>46156.416666666664</v>
      </c>
      <c r="G791" s="33" t="s">
        <v>792</v>
      </c>
      <c r="H791" s="33"/>
      <c r="I791" s="33" t="s">
        <v>793</v>
      </c>
      <c r="J791" s="33" t="s">
        <v>1398</v>
      </c>
      <c r="K791" s="33" t="s">
        <v>75</v>
      </c>
      <c r="L791" s="33" t="s">
        <v>1035</v>
      </c>
      <c r="M791" s="43">
        <v>46156.632060185184</v>
      </c>
      <c r="N791" s="33" t="s">
        <v>1414</v>
      </c>
      <c r="O791" s="33" t="s">
        <v>175</v>
      </c>
      <c r="P791" s="33" t="s">
        <v>1963</v>
      </c>
      <c r="Q791" s="43">
        <v>46156.443055555559</v>
      </c>
      <c r="R791" s="43">
        <v>46156.464583333334</v>
      </c>
      <c r="S791" s="58">
        <v>2.1527777777777778E-2</v>
      </c>
      <c r="T791" s="33" t="s">
        <v>140</v>
      </c>
      <c r="U791" s="43">
        <v>46156.584722222222</v>
      </c>
      <c r="V791" s="58">
        <v>2.0833333333333333E-3</v>
      </c>
      <c r="W791" s="33"/>
      <c r="X791" s="33"/>
      <c r="Y791" s="33"/>
      <c r="Z791" s="33" t="s">
        <v>140</v>
      </c>
      <c r="AA791" s="43">
        <v>46157.583333333336</v>
      </c>
      <c r="AB791" s="33" t="s">
        <v>1052</v>
      </c>
      <c r="AC791" s="33" t="s">
        <v>1400</v>
      </c>
      <c r="AD791" s="58">
        <v>0.56597222222222221</v>
      </c>
      <c r="AE791" s="33"/>
      <c r="AF791" s="58">
        <v>0.56597222222222221</v>
      </c>
      <c r="AG791" s="33" t="s">
        <v>1415</v>
      </c>
      <c r="AH791" s="33">
        <v>2</v>
      </c>
      <c r="AI791" s="43">
        <v>46156.584722222222</v>
      </c>
      <c r="AJ791" s="33" t="s">
        <v>793</v>
      </c>
      <c r="AK791" s="42">
        <v>973351.39</v>
      </c>
      <c r="AL791" s="33" t="s">
        <v>1416</v>
      </c>
    </row>
    <row r="792" spans="1:38">
      <c r="A792" s="33">
        <v>6011344</v>
      </c>
      <c r="B792" s="33"/>
      <c r="C792" s="33" t="s">
        <v>789</v>
      </c>
      <c r="D792" s="33" t="s">
        <v>2763</v>
      </c>
      <c r="E792" s="33" t="s">
        <v>3324</v>
      </c>
      <c r="F792" s="43">
        <v>46156.333333333336</v>
      </c>
      <c r="G792" s="33" t="s">
        <v>792</v>
      </c>
      <c r="H792" s="33"/>
      <c r="I792" s="33" t="s">
        <v>793</v>
      </c>
      <c r="J792" s="33" t="s">
        <v>1398</v>
      </c>
      <c r="K792" s="33" t="s">
        <v>1158</v>
      </c>
      <c r="L792" s="33" t="s">
        <v>1184</v>
      </c>
      <c r="M792" s="43">
        <v>46156.493796296294</v>
      </c>
      <c r="N792" s="33" t="s">
        <v>1399</v>
      </c>
      <c r="O792" s="33" t="s">
        <v>175</v>
      </c>
      <c r="P792" s="33" t="s">
        <v>1963</v>
      </c>
      <c r="Q792" s="43">
        <v>46156.29791666667</v>
      </c>
      <c r="R792" s="43">
        <v>46156.317361111112</v>
      </c>
      <c r="S792" s="58">
        <v>1.9444444444444445E-2</v>
      </c>
      <c r="T792" s="33" t="s">
        <v>140</v>
      </c>
      <c r="U792" s="43">
        <v>46156.481944444444</v>
      </c>
      <c r="V792" s="58">
        <v>2.0833333333333333E-3</v>
      </c>
      <c r="W792" s="33"/>
      <c r="X792" s="33"/>
      <c r="Y792" s="33"/>
      <c r="Z792" s="33" t="s">
        <v>140</v>
      </c>
      <c r="AA792" s="43">
        <v>46157.583333333336</v>
      </c>
      <c r="AB792" s="33" t="s">
        <v>1052</v>
      </c>
      <c r="AC792" s="33" t="s">
        <v>1400</v>
      </c>
      <c r="AD792" s="58">
        <v>0.40555555555555556</v>
      </c>
      <c r="AE792" s="33"/>
      <c r="AF792" s="58">
        <v>0.40555555555555556</v>
      </c>
      <c r="AG792" s="33" t="s">
        <v>2767</v>
      </c>
      <c r="AH792" s="33">
        <v>2</v>
      </c>
      <c r="AI792" s="43">
        <v>46156.481944444444</v>
      </c>
      <c r="AJ792" s="33" t="s">
        <v>793</v>
      </c>
      <c r="AK792" s="42">
        <v>762596.31</v>
      </c>
      <c r="AL792" s="33" t="s">
        <v>2768</v>
      </c>
    </row>
    <row r="793" spans="1:38">
      <c r="A793" s="33">
        <v>6009842</v>
      </c>
      <c r="B793" s="33"/>
      <c r="C793" s="33" t="s">
        <v>789</v>
      </c>
      <c r="D793" s="33" t="s">
        <v>1384</v>
      </c>
      <c r="E793" s="33" t="s">
        <v>3325</v>
      </c>
      <c r="F793" s="43">
        <v>46156.416666666664</v>
      </c>
      <c r="G793" s="33" t="s">
        <v>792</v>
      </c>
      <c r="H793" s="33"/>
      <c r="I793" s="33" t="s">
        <v>793</v>
      </c>
      <c r="J793" s="33" t="s">
        <v>1398</v>
      </c>
      <c r="K793" s="33" t="s">
        <v>75</v>
      </c>
      <c r="L793" s="33" t="s">
        <v>1184</v>
      </c>
      <c r="M793" s="43">
        <v>46156.650023148148</v>
      </c>
      <c r="N793" s="33" t="s">
        <v>1387</v>
      </c>
      <c r="O793" s="33" t="s">
        <v>797</v>
      </c>
      <c r="P793" s="33" t="s">
        <v>1963</v>
      </c>
      <c r="Q793" s="43">
        <v>46156.440972222219</v>
      </c>
      <c r="R793" s="43">
        <v>46156.474999999999</v>
      </c>
      <c r="S793" s="58">
        <v>3.4027777777777775E-2</v>
      </c>
      <c r="T793" s="33" t="s">
        <v>140</v>
      </c>
      <c r="U793" s="43">
        <v>46156.594444444447</v>
      </c>
      <c r="V793" s="58">
        <v>5.6944444444444443E-2</v>
      </c>
      <c r="W793" s="33" t="s">
        <v>140</v>
      </c>
      <c r="X793" s="43">
        <v>46156.594444444447</v>
      </c>
      <c r="Y793" s="58">
        <v>5.6944444444444443E-2</v>
      </c>
      <c r="Z793" s="33" t="s">
        <v>140</v>
      </c>
      <c r="AA793" s="43">
        <v>46157.583333333336</v>
      </c>
      <c r="AB793" s="33" t="s">
        <v>1052</v>
      </c>
      <c r="AC793" s="33" t="s">
        <v>1400</v>
      </c>
      <c r="AD793" s="58">
        <v>0.58333333333333337</v>
      </c>
      <c r="AE793" s="58">
        <v>0.17499999999999999</v>
      </c>
      <c r="AF793" s="58">
        <v>0.58333333333333337</v>
      </c>
      <c r="AG793" s="33" t="s">
        <v>1389</v>
      </c>
      <c r="AH793" s="33">
        <v>2</v>
      </c>
      <c r="AI793" s="43">
        <v>46156.594444444447</v>
      </c>
      <c r="AJ793" s="33" t="s">
        <v>793</v>
      </c>
      <c r="AK793" s="42">
        <v>903346.2</v>
      </c>
      <c r="AL793" s="33" t="s">
        <v>3326</v>
      </c>
    </row>
    <row r="794" spans="1:38">
      <c r="A794" s="33">
        <v>6007952</v>
      </c>
      <c r="B794" s="33"/>
      <c r="C794" s="33" t="s">
        <v>789</v>
      </c>
      <c r="D794" s="33" t="s">
        <v>1689</v>
      </c>
      <c r="E794" s="33" t="s">
        <v>3327</v>
      </c>
      <c r="F794" s="43">
        <v>46156.208333333336</v>
      </c>
      <c r="G794" s="33" t="s">
        <v>792</v>
      </c>
      <c r="H794" s="33"/>
      <c r="I794" s="33" t="s">
        <v>793</v>
      </c>
      <c r="J794" s="33" t="s">
        <v>1034</v>
      </c>
      <c r="K794" s="33" t="s">
        <v>2278</v>
      </c>
      <c r="L794" s="33" t="s">
        <v>3328</v>
      </c>
      <c r="M794" s="43">
        <v>46156.401273148149</v>
      </c>
      <c r="N794" s="33" t="s">
        <v>1692</v>
      </c>
      <c r="O794" s="33" t="s">
        <v>868</v>
      </c>
      <c r="P794" s="33" t="s">
        <v>799</v>
      </c>
      <c r="Q794" s="43">
        <v>46156.146527777775</v>
      </c>
      <c r="R794" s="43">
        <v>46156.17291666667</v>
      </c>
      <c r="S794" s="58">
        <v>2.6388888888888889E-2</v>
      </c>
      <c r="T794" s="33" t="s">
        <v>140</v>
      </c>
      <c r="U794" s="43">
        <v>46156.204861111109</v>
      </c>
      <c r="V794" s="58">
        <v>0.19583333333333333</v>
      </c>
      <c r="W794" s="33"/>
      <c r="X794" s="33"/>
      <c r="Y794" s="33"/>
      <c r="Z794" s="33" t="s">
        <v>140</v>
      </c>
      <c r="AA794" s="43">
        <v>46156.5</v>
      </c>
      <c r="AB794" s="33" t="s">
        <v>81</v>
      </c>
      <c r="AC794" s="33" t="s">
        <v>81</v>
      </c>
      <c r="AD794" s="58">
        <v>0.25555555555555554</v>
      </c>
      <c r="AE794" s="33"/>
      <c r="AF794" s="58">
        <v>0.25555555555555554</v>
      </c>
      <c r="AG794" s="33" t="s">
        <v>1693</v>
      </c>
      <c r="AH794" s="33">
        <v>2</v>
      </c>
      <c r="AI794" s="43">
        <v>46156.204861111109</v>
      </c>
      <c r="AJ794" s="33" t="s">
        <v>793</v>
      </c>
      <c r="AK794" s="42">
        <v>651091.56000000006</v>
      </c>
      <c r="AL794" s="33" t="s">
        <v>1694</v>
      </c>
    </row>
    <row r="795" spans="1:38">
      <c r="A795" s="33">
        <v>6009181</v>
      </c>
      <c r="B795" s="33"/>
      <c r="C795" s="33" t="s">
        <v>789</v>
      </c>
      <c r="D795" s="33" t="s">
        <v>3329</v>
      </c>
      <c r="E795" s="33" t="s">
        <v>3330</v>
      </c>
      <c r="F795" s="43">
        <v>46156.166666666664</v>
      </c>
      <c r="G795" s="33" t="s">
        <v>792</v>
      </c>
      <c r="H795" s="33"/>
      <c r="I795" s="33" t="s">
        <v>793</v>
      </c>
      <c r="J795" s="33" t="s">
        <v>1607</v>
      </c>
      <c r="K795" s="33" t="s">
        <v>75</v>
      </c>
      <c r="L795" s="33" t="s">
        <v>3331</v>
      </c>
      <c r="M795" s="43">
        <v>46156.468333333331</v>
      </c>
      <c r="N795" s="33" t="s">
        <v>3332</v>
      </c>
      <c r="O795" s="33" t="s">
        <v>797</v>
      </c>
      <c r="P795" s="33" t="s">
        <v>1453</v>
      </c>
      <c r="Q795" s="43">
        <v>46156.178472222222</v>
      </c>
      <c r="R795" s="43">
        <v>46156.193749999999</v>
      </c>
      <c r="S795" s="58">
        <v>1.5277777777777777E-2</v>
      </c>
      <c r="T795" s="33" t="s">
        <v>1454</v>
      </c>
      <c r="U795" s="43">
        <v>46156.342361111114</v>
      </c>
      <c r="V795" s="58">
        <v>6.5277777777777782E-2</v>
      </c>
      <c r="W795" s="33"/>
      <c r="X795" s="33"/>
      <c r="Y795" s="33"/>
      <c r="Z795" s="33" t="s">
        <v>1454</v>
      </c>
      <c r="AA795" s="43">
        <v>46156.291666666664</v>
      </c>
      <c r="AB795" s="33" t="s">
        <v>1929</v>
      </c>
      <c r="AC795" s="33" t="s">
        <v>1609</v>
      </c>
      <c r="AD795" s="58">
        <v>0.31944444444444442</v>
      </c>
      <c r="AE795" s="33"/>
      <c r="AF795" s="58">
        <v>0.31944444444444442</v>
      </c>
      <c r="AG795" s="33" t="s">
        <v>3333</v>
      </c>
      <c r="AH795" s="33">
        <v>3</v>
      </c>
      <c r="AI795" s="43">
        <v>46156.342361111114</v>
      </c>
      <c r="AJ795" s="33" t="s">
        <v>793</v>
      </c>
      <c r="AK795" s="42">
        <v>1118421.73</v>
      </c>
      <c r="AL795" s="33" t="s">
        <v>3334</v>
      </c>
    </row>
    <row r="796" spans="1:38">
      <c r="A796" s="33">
        <v>6008200</v>
      </c>
      <c r="B796" s="33"/>
      <c r="C796" s="33" t="s">
        <v>789</v>
      </c>
      <c r="D796" s="33" t="s">
        <v>1032</v>
      </c>
      <c r="E796" s="33" t="s">
        <v>3335</v>
      </c>
      <c r="F796" s="43">
        <v>46156.25</v>
      </c>
      <c r="G796" s="33" t="s">
        <v>792</v>
      </c>
      <c r="H796" s="33"/>
      <c r="I796" s="33" t="s">
        <v>793</v>
      </c>
      <c r="J796" s="33" t="s">
        <v>2721</v>
      </c>
      <c r="K796" s="33" t="s">
        <v>75</v>
      </c>
      <c r="L796" s="33" t="s">
        <v>1184</v>
      </c>
      <c r="M796" s="43">
        <v>46156.304097222222</v>
      </c>
      <c r="N796" s="33" t="s">
        <v>1036</v>
      </c>
      <c r="O796" s="33" t="s">
        <v>797</v>
      </c>
      <c r="P796" s="33" t="s">
        <v>799</v>
      </c>
      <c r="Q796" s="43">
        <v>46156.21597222222</v>
      </c>
      <c r="R796" s="43">
        <v>46156.232638888891</v>
      </c>
      <c r="S796" s="58">
        <v>1.6666666666666666E-2</v>
      </c>
      <c r="T796" s="33" t="s">
        <v>140</v>
      </c>
      <c r="U796" s="43">
        <v>46156.261805555558</v>
      </c>
      <c r="V796" s="58">
        <v>4.1666666666666664E-2</v>
      </c>
      <c r="W796" s="33" t="s">
        <v>140</v>
      </c>
      <c r="X796" s="43">
        <v>46156.261805555558</v>
      </c>
      <c r="Y796" s="58">
        <v>4.1666666666666664E-2</v>
      </c>
      <c r="Z796" s="33" t="s">
        <v>140</v>
      </c>
      <c r="AA796" s="43">
        <v>46156.333333333336</v>
      </c>
      <c r="AB796" s="33" t="s">
        <v>81</v>
      </c>
      <c r="AC796" s="33" t="s">
        <v>2722</v>
      </c>
      <c r="AD796" s="58">
        <v>8.8888888888888892E-2</v>
      </c>
      <c r="AE796" s="58">
        <v>7.0833333333333331E-2</v>
      </c>
      <c r="AF796" s="58">
        <v>8.8888888888888892E-2</v>
      </c>
      <c r="AG796" s="33" t="s">
        <v>1038</v>
      </c>
      <c r="AH796" s="33">
        <v>2</v>
      </c>
      <c r="AI796" s="43">
        <v>46156.261805555558</v>
      </c>
      <c r="AJ796" s="33" t="s">
        <v>793</v>
      </c>
      <c r="AK796" s="42">
        <v>599486.46</v>
      </c>
      <c r="AL796" s="33" t="s">
        <v>1039</v>
      </c>
    </row>
    <row r="797" spans="1:38">
      <c r="A797" s="33">
        <v>6011439</v>
      </c>
      <c r="B797" s="33"/>
      <c r="C797" s="33" t="s">
        <v>789</v>
      </c>
      <c r="D797" s="33" t="s">
        <v>1092</v>
      </c>
      <c r="E797" s="33" t="s">
        <v>3336</v>
      </c>
      <c r="F797" s="43">
        <v>46156.25</v>
      </c>
      <c r="G797" s="33" t="s">
        <v>792</v>
      </c>
      <c r="H797" s="33"/>
      <c r="I797" s="33" t="s">
        <v>793</v>
      </c>
      <c r="J797" s="33" t="s">
        <v>2261</v>
      </c>
      <c r="K797" s="33" t="s">
        <v>75</v>
      </c>
      <c r="L797" s="33" t="s">
        <v>1778</v>
      </c>
      <c r="M797" s="43">
        <v>46156.497546296298</v>
      </c>
      <c r="N797" s="33" t="s">
        <v>1095</v>
      </c>
      <c r="O797" s="33" t="s">
        <v>797</v>
      </c>
      <c r="P797" s="33" t="s">
        <v>1963</v>
      </c>
      <c r="Q797" s="43">
        <v>46156.256944444445</v>
      </c>
      <c r="R797" s="43">
        <v>46156.280555555553</v>
      </c>
      <c r="S797" s="58">
        <v>2.361111111111111E-2</v>
      </c>
      <c r="T797" s="33" t="s">
        <v>799</v>
      </c>
      <c r="U797" s="43">
        <v>46156.481249999997</v>
      </c>
      <c r="V797" s="58">
        <v>4.027777777777778E-2</v>
      </c>
      <c r="W797" s="33" t="s">
        <v>799</v>
      </c>
      <c r="X797" s="43">
        <v>46156.481249999997</v>
      </c>
      <c r="Y797" s="58">
        <v>4.027777777777778E-2</v>
      </c>
      <c r="Z797" s="33" t="s">
        <v>799</v>
      </c>
      <c r="AA797" s="43">
        <v>46156.416666666664</v>
      </c>
      <c r="AB797" s="33" t="s">
        <v>81</v>
      </c>
      <c r="AC797" s="33" t="s">
        <v>3119</v>
      </c>
      <c r="AD797" s="58">
        <v>0.28055555555555556</v>
      </c>
      <c r="AE797" s="58">
        <v>0.22152777777777777</v>
      </c>
      <c r="AF797" s="58">
        <v>0.28055555555555556</v>
      </c>
      <c r="AG797" s="33" t="s">
        <v>1097</v>
      </c>
      <c r="AH797" s="33">
        <v>2</v>
      </c>
      <c r="AI797" s="43">
        <v>46156.481249999997</v>
      </c>
      <c r="AJ797" s="33" t="s">
        <v>793</v>
      </c>
      <c r="AK797" s="42">
        <v>1120482.24</v>
      </c>
      <c r="AL797" s="33" t="s">
        <v>1098</v>
      </c>
    </row>
    <row r="798" spans="1:38">
      <c r="A798" s="33">
        <v>6010634</v>
      </c>
      <c r="B798" s="33"/>
      <c r="C798" s="33" t="s">
        <v>789</v>
      </c>
      <c r="D798" s="33" t="s">
        <v>1084</v>
      </c>
      <c r="E798" s="33" t="s">
        <v>3337</v>
      </c>
      <c r="F798" s="43">
        <v>46156.208333333336</v>
      </c>
      <c r="G798" s="33" t="s">
        <v>792</v>
      </c>
      <c r="H798" s="33"/>
      <c r="I798" s="33" t="s">
        <v>793</v>
      </c>
      <c r="J798" s="33" t="s">
        <v>922</v>
      </c>
      <c r="K798" s="33" t="s">
        <v>75</v>
      </c>
      <c r="L798" s="33" t="s">
        <v>3338</v>
      </c>
      <c r="M798" s="43">
        <v>46156.521261574075</v>
      </c>
      <c r="N798" s="33" t="s">
        <v>1088</v>
      </c>
      <c r="O798" s="33" t="s">
        <v>797</v>
      </c>
      <c r="P798" s="33" t="s">
        <v>1963</v>
      </c>
      <c r="Q798" s="43">
        <v>46156.276388888888</v>
      </c>
      <c r="R798" s="43">
        <v>46156.298611111109</v>
      </c>
      <c r="S798" s="58">
        <v>2.2222222222222223E-2</v>
      </c>
      <c r="T798" s="33" t="s">
        <v>799</v>
      </c>
      <c r="U798" s="43">
        <v>46156.505555555559</v>
      </c>
      <c r="V798" s="58">
        <v>1.5972222222222221E-2</v>
      </c>
      <c r="W798" s="33" t="s">
        <v>799</v>
      </c>
      <c r="X798" s="43">
        <v>46156.505555555559</v>
      </c>
      <c r="Y798" s="58">
        <v>1.5972222222222221E-2</v>
      </c>
      <c r="Z798" s="33" t="s">
        <v>799</v>
      </c>
      <c r="AA798" s="43">
        <v>46156.416666666664</v>
      </c>
      <c r="AB798" s="33" t="s">
        <v>81</v>
      </c>
      <c r="AC798" s="33" t="s">
        <v>923</v>
      </c>
      <c r="AD798" s="58">
        <v>0.26250000000000001</v>
      </c>
      <c r="AE798" s="58">
        <v>0.22291666666666668</v>
      </c>
      <c r="AF798" s="58">
        <v>0.26250000000000001</v>
      </c>
      <c r="AG798" s="33" t="s">
        <v>1090</v>
      </c>
      <c r="AH798" s="33">
        <v>2</v>
      </c>
      <c r="AI798" s="43">
        <v>46156.505555555559</v>
      </c>
      <c r="AJ798" s="33" t="s">
        <v>793</v>
      </c>
      <c r="AK798" s="42">
        <v>561832.19999999995</v>
      </c>
      <c r="AL798" s="33" t="s">
        <v>1091</v>
      </c>
    </row>
    <row r="799" spans="1:38">
      <c r="A799" s="33">
        <v>6009769</v>
      </c>
      <c r="B799" s="33"/>
      <c r="C799" s="33" t="s">
        <v>789</v>
      </c>
      <c r="D799" s="33" t="s">
        <v>1593</v>
      </c>
      <c r="E799" s="33" t="s">
        <v>3339</v>
      </c>
      <c r="F799" s="43">
        <v>46156.333333333336</v>
      </c>
      <c r="G799" s="33" t="s">
        <v>792</v>
      </c>
      <c r="H799" s="33"/>
      <c r="I799" s="33" t="s">
        <v>793</v>
      </c>
      <c r="J799" s="33" t="s">
        <v>3340</v>
      </c>
      <c r="K799" s="33" t="s">
        <v>1589</v>
      </c>
      <c r="L799" s="33" t="s">
        <v>3341</v>
      </c>
      <c r="M799" s="43">
        <v>46156.717511574076</v>
      </c>
      <c r="N799" s="33" t="s">
        <v>1596</v>
      </c>
      <c r="O799" s="33" t="s">
        <v>797</v>
      </c>
      <c r="P799" s="33" t="s">
        <v>1963</v>
      </c>
      <c r="Q799" s="43">
        <v>46156.413888888892</v>
      </c>
      <c r="R799" s="43">
        <v>46156.43472222222</v>
      </c>
      <c r="S799" s="58">
        <v>2.0833333333333332E-2</v>
      </c>
      <c r="T799" s="33" t="s">
        <v>140</v>
      </c>
      <c r="U799" s="43">
        <v>46156.568749999999</v>
      </c>
      <c r="V799" s="58">
        <v>0.14930555555555555</v>
      </c>
      <c r="W799" s="33"/>
      <c r="X799" s="33"/>
      <c r="Y799" s="33"/>
      <c r="Z799" s="33" t="s">
        <v>140</v>
      </c>
      <c r="AA799" s="43">
        <v>46156.541666666664</v>
      </c>
      <c r="AB799" s="33" t="s">
        <v>81</v>
      </c>
      <c r="AC799" s="33" t="s">
        <v>3342</v>
      </c>
      <c r="AD799" s="58">
        <v>0.4236111111111111</v>
      </c>
      <c r="AE799" s="33"/>
      <c r="AF799" s="58">
        <v>0.4236111111111111</v>
      </c>
      <c r="AG799" s="33" t="s">
        <v>1597</v>
      </c>
      <c r="AH799" s="33">
        <v>2</v>
      </c>
      <c r="AI799" s="43">
        <v>46156.568749999999</v>
      </c>
      <c r="AJ799" s="33" t="s">
        <v>793</v>
      </c>
      <c r="AK799" s="42">
        <v>706985.76</v>
      </c>
      <c r="AL799" s="33" t="s">
        <v>1598</v>
      </c>
    </row>
    <row r="800" spans="1:38">
      <c r="A800" s="33">
        <v>6010458</v>
      </c>
      <c r="B800" s="33"/>
      <c r="C800" s="33" t="s">
        <v>789</v>
      </c>
      <c r="D800" s="33" t="s">
        <v>1315</v>
      </c>
      <c r="E800" s="33" t="s">
        <v>3343</v>
      </c>
      <c r="F800" s="43">
        <v>46155.916666666664</v>
      </c>
      <c r="G800" s="33" t="s">
        <v>792</v>
      </c>
      <c r="H800" s="33"/>
      <c r="I800" s="33" t="s">
        <v>793</v>
      </c>
      <c r="J800" s="33" t="s">
        <v>2086</v>
      </c>
      <c r="K800" s="33" t="s">
        <v>3284</v>
      </c>
      <c r="L800" s="33" t="s">
        <v>3344</v>
      </c>
      <c r="M800" s="43">
        <v>46156.669456018521</v>
      </c>
      <c r="N800" s="33" t="s">
        <v>1319</v>
      </c>
      <c r="O800" s="33" t="s">
        <v>797</v>
      </c>
      <c r="P800" s="33" t="s">
        <v>1963</v>
      </c>
      <c r="Q800" s="43">
        <v>46156.606944444444</v>
      </c>
      <c r="R800" s="43">
        <v>46156.636805555558</v>
      </c>
      <c r="S800" s="58">
        <v>2.9861111111111113E-2</v>
      </c>
      <c r="T800" s="33" t="s">
        <v>140</v>
      </c>
      <c r="U800" s="33"/>
      <c r="V800" s="33"/>
      <c r="W800" s="33"/>
      <c r="X800" s="33"/>
      <c r="Y800" s="33"/>
      <c r="Z800" s="33" t="s">
        <v>140</v>
      </c>
      <c r="AA800" s="43">
        <v>46156.583333333336</v>
      </c>
      <c r="AB800" s="33" t="s">
        <v>3345</v>
      </c>
      <c r="AC800" s="33" t="s">
        <v>2331</v>
      </c>
      <c r="AD800" s="58">
        <v>0.36388888888888887</v>
      </c>
      <c r="AE800" s="33"/>
      <c r="AF800" s="58">
        <v>0.36388888888888887</v>
      </c>
      <c r="AG800" s="33" t="s">
        <v>1322</v>
      </c>
      <c r="AH800" s="33">
        <v>1</v>
      </c>
      <c r="AI800" s="43">
        <v>46156.734722222223</v>
      </c>
      <c r="AJ800" s="33" t="s">
        <v>793</v>
      </c>
      <c r="AK800" s="42">
        <v>706985.76</v>
      </c>
      <c r="AL800" s="33" t="s">
        <v>1323</v>
      </c>
    </row>
    <row r="801" spans="1:38">
      <c r="A801" s="33">
        <v>6010647</v>
      </c>
      <c r="B801" s="33"/>
      <c r="C801" s="33" t="s">
        <v>789</v>
      </c>
      <c r="D801" s="33" t="s">
        <v>1338</v>
      </c>
      <c r="E801" s="33" t="s">
        <v>3346</v>
      </c>
      <c r="F801" s="43">
        <v>46156.333333333336</v>
      </c>
      <c r="G801" s="33" t="s">
        <v>792</v>
      </c>
      <c r="H801" s="33"/>
      <c r="I801" s="33" t="s">
        <v>793</v>
      </c>
      <c r="J801" s="33" t="s">
        <v>2049</v>
      </c>
      <c r="K801" s="59" t="s">
        <v>1306</v>
      </c>
      <c r="L801" s="33" t="s">
        <v>806</v>
      </c>
      <c r="M801" s="43">
        <v>46156.52076388889</v>
      </c>
      <c r="N801" s="33" t="s">
        <v>796</v>
      </c>
      <c r="O801" s="33" t="s">
        <v>797</v>
      </c>
      <c r="P801" s="33" t="s">
        <v>1963</v>
      </c>
      <c r="Q801" s="43">
        <v>46156.311805555553</v>
      </c>
      <c r="R801" s="43">
        <v>46156.332638888889</v>
      </c>
      <c r="S801" s="58">
        <v>2.0833333333333332E-2</v>
      </c>
      <c r="T801" s="33" t="s">
        <v>799</v>
      </c>
      <c r="U801" s="43">
        <v>46156.491666666669</v>
      </c>
      <c r="V801" s="58">
        <v>3.125E-2</v>
      </c>
      <c r="W801" s="33" t="s">
        <v>799</v>
      </c>
      <c r="X801" s="43">
        <v>46156.491666666669</v>
      </c>
      <c r="Y801" s="58">
        <v>3.125E-2</v>
      </c>
      <c r="Z801" s="33" t="s">
        <v>799</v>
      </c>
      <c r="AA801" s="43">
        <v>46156.958333333336</v>
      </c>
      <c r="AB801" s="33" t="s">
        <v>81</v>
      </c>
      <c r="AC801" s="33" t="s">
        <v>2076</v>
      </c>
      <c r="AD801" s="58">
        <v>0.21527777777777779</v>
      </c>
      <c r="AE801" s="58">
        <v>0.1875</v>
      </c>
      <c r="AF801" s="58">
        <v>0.21527777777777779</v>
      </c>
      <c r="AG801" s="33" t="s">
        <v>1341</v>
      </c>
      <c r="AH801" s="33">
        <v>2</v>
      </c>
      <c r="AI801" s="43">
        <v>46156.491666666669</v>
      </c>
      <c r="AJ801" s="33" t="s">
        <v>793</v>
      </c>
      <c r="AK801" s="42">
        <v>997277.04</v>
      </c>
      <c r="AL801" s="33" t="s">
        <v>1342</v>
      </c>
    </row>
    <row r="802" spans="1:38">
      <c r="A802" s="33" t="s">
        <v>3215</v>
      </c>
      <c r="B802" s="33"/>
      <c r="C802" s="33" t="s">
        <v>789</v>
      </c>
      <c r="D802" s="33" t="s">
        <v>3347</v>
      </c>
      <c r="E802" s="33" t="s">
        <v>3348</v>
      </c>
      <c r="F802" s="43">
        <v>46156.354166666664</v>
      </c>
      <c r="G802" s="33" t="s">
        <v>171</v>
      </c>
      <c r="H802" s="33"/>
      <c r="I802" s="33" t="s">
        <v>73</v>
      </c>
      <c r="J802" s="33" t="s">
        <v>983</v>
      </c>
      <c r="K802" s="33" t="s">
        <v>75</v>
      </c>
      <c r="L802" s="33" t="s">
        <v>880</v>
      </c>
      <c r="M802" s="43">
        <v>46157.536469907405</v>
      </c>
      <c r="N802" s="33" t="s">
        <v>317</v>
      </c>
      <c r="O802" s="33" t="s">
        <v>797</v>
      </c>
      <c r="P802" s="33" t="s">
        <v>140</v>
      </c>
      <c r="Q802" s="33"/>
      <c r="R802" s="33"/>
      <c r="S802" s="33"/>
      <c r="T802" s="33" t="s">
        <v>984</v>
      </c>
      <c r="U802" s="43">
        <v>46156.737500000003</v>
      </c>
      <c r="V802" s="58">
        <v>0.7993055555555556</v>
      </c>
      <c r="W802" s="33" t="s">
        <v>984</v>
      </c>
      <c r="X802" s="43">
        <v>46156.737500000003</v>
      </c>
      <c r="Y802" s="58">
        <v>0.7993055555555556</v>
      </c>
      <c r="Z802" s="33" t="s">
        <v>984</v>
      </c>
      <c r="AA802" s="43">
        <v>46157.25</v>
      </c>
      <c r="AB802" s="33" t="s">
        <v>81</v>
      </c>
      <c r="AC802" s="33" t="s">
        <v>985</v>
      </c>
      <c r="AD802" s="44">
        <v>1.2152777777777777</v>
      </c>
      <c r="AE802" s="33"/>
      <c r="AF802" s="44">
        <v>1.2152777777777777</v>
      </c>
      <c r="AG802" s="33" t="s">
        <v>3349</v>
      </c>
      <c r="AH802" s="33">
        <v>1</v>
      </c>
      <c r="AI802" s="43">
        <v>46156.737500000003</v>
      </c>
      <c r="AJ802" s="33" t="s">
        <v>73</v>
      </c>
      <c r="AK802" s="42">
        <v>766912</v>
      </c>
      <c r="AL802" s="33" t="s">
        <v>3350</v>
      </c>
    </row>
    <row r="803" spans="1:38">
      <c r="A803" s="33">
        <v>6022155</v>
      </c>
      <c r="B803" s="33"/>
      <c r="C803" s="33" t="s">
        <v>789</v>
      </c>
      <c r="D803" s="33" t="s">
        <v>3351</v>
      </c>
      <c r="E803" s="33" t="s">
        <v>3352</v>
      </c>
      <c r="F803" s="43">
        <v>46156.335416666669</v>
      </c>
      <c r="G803" s="33" t="s">
        <v>227</v>
      </c>
      <c r="H803" s="33"/>
      <c r="I803" s="33" t="s">
        <v>73</v>
      </c>
      <c r="J803" s="33" t="s">
        <v>2986</v>
      </c>
      <c r="K803" s="33" t="s">
        <v>75</v>
      </c>
      <c r="L803" s="33" t="s">
        <v>3353</v>
      </c>
      <c r="M803" s="43">
        <v>46156.810231481482</v>
      </c>
      <c r="N803" s="33" t="s">
        <v>529</v>
      </c>
      <c r="O803" s="33" t="s">
        <v>797</v>
      </c>
      <c r="P803" s="33" t="s">
        <v>79</v>
      </c>
      <c r="Q803" s="33"/>
      <c r="R803" s="33"/>
      <c r="S803" s="33"/>
      <c r="T803" s="33" t="s">
        <v>176</v>
      </c>
      <c r="U803" s="33"/>
      <c r="V803" s="33"/>
      <c r="W803" s="33" t="s">
        <v>950</v>
      </c>
      <c r="X803" s="43">
        <v>46156.464583333334</v>
      </c>
      <c r="Y803" s="58">
        <v>0.34583333333333333</v>
      </c>
      <c r="Z803" s="33" t="s">
        <v>176</v>
      </c>
      <c r="AA803" s="43">
        <v>46162.291666666664</v>
      </c>
      <c r="AB803" s="33" t="s">
        <v>3354</v>
      </c>
      <c r="AC803" s="33" t="s">
        <v>3355</v>
      </c>
      <c r="AD803" s="58">
        <v>0.47152777777777777</v>
      </c>
      <c r="AE803" s="33"/>
      <c r="AF803" s="58">
        <v>0.47152777777777777</v>
      </c>
      <c r="AG803" s="33" t="s">
        <v>3356</v>
      </c>
      <c r="AH803" s="33">
        <v>1</v>
      </c>
      <c r="AI803" s="43">
        <v>46157.156944444447</v>
      </c>
      <c r="AJ803" s="33" t="s">
        <v>73</v>
      </c>
      <c r="AK803" s="42">
        <v>142465.45000000001</v>
      </c>
      <c r="AL803" s="33" t="s">
        <v>3357</v>
      </c>
    </row>
    <row r="804" spans="1:38">
      <c r="A804" s="33">
        <v>6010702</v>
      </c>
      <c r="B804" s="33"/>
      <c r="C804" s="33" t="s">
        <v>789</v>
      </c>
      <c r="D804" s="33" t="s">
        <v>809</v>
      </c>
      <c r="E804" s="33" t="s">
        <v>3358</v>
      </c>
      <c r="F804" s="43">
        <v>46156.416666666664</v>
      </c>
      <c r="G804" s="33" t="s">
        <v>792</v>
      </c>
      <c r="H804" s="33"/>
      <c r="I804" s="33" t="s">
        <v>793</v>
      </c>
      <c r="J804" s="33" t="s">
        <v>1392</v>
      </c>
      <c r="K804" s="33" t="s">
        <v>1012</v>
      </c>
      <c r="L804" s="33" t="s">
        <v>1001</v>
      </c>
      <c r="M804" s="43">
        <v>46156.533634259256</v>
      </c>
      <c r="N804" s="33" t="s">
        <v>813</v>
      </c>
      <c r="O804" s="33" t="s">
        <v>797</v>
      </c>
      <c r="P804" s="33" t="s">
        <v>1963</v>
      </c>
      <c r="Q804" s="33"/>
      <c r="R804" s="33"/>
      <c r="S804" s="33"/>
      <c r="T804" s="33" t="s">
        <v>799</v>
      </c>
      <c r="U804" s="43">
        <v>46156.518750000003</v>
      </c>
      <c r="V804" s="58">
        <v>1.5972222222222221E-2</v>
      </c>
      <c r="W804" s="33" t="s">
        <v>799</v>
      </c>
      <c r="X804" s="43">
        <v>46156.518750000003</v>
      </c>
      <c r="Y804" s="58">
        <v>1.5972222222222221E-2</v>
      </c>
      <c r="Z804" s="33" t="s">
        <v>799</v>
      </c>
      <c r="AA804" s="43">
        <v>46157.541666666664</v>
      </c>
      <c r="AB804" s="33" t="s">
        <v>81</v>
      </c>
      <c r="AC804" s="33" t="s">
        <v>1395</v>
      </c>
      <c r="AD804" s="58">
        <v>0.18611111111111112</v>
      </c>
      <c r="AE804" s="33"/>
      <c r="AF804" s="58">
        <v>0.18611111111111112</v>
      </c>
      <c r="AG804" s="33" t="s">
        <v>815</v>
      </c>
      <c r="AH804" s="33">
        <v>1</v>
      </c>
      <c r="AI804" s="43">
        <v>46156.518750000003</v>
      </c>
      <c r="AJ804" s="33" t="s">
        <v>793</v>
      </c>
      <c r="AK804" s="42">
        <v>1120482.24</v>
      </c>
      <c r="AL804" s="33" t="s">
        <v>816</v>
      </c>
    </row>
    <row r="805" spans="1:38">
      <c r="A805" s="33">
        <v>6010109</v>
      </c>
      <c r="B805" s="33"/>
      <c r="C805" s="33" t="s">
        <v>789</v>
      </c>
      <c r="D805" s="33" t="s">
        <v>1284</v>
      </c>
      <c r="E805" s="33" t="s">
        <v>3359</v>
      </c>
      <c r="F805" s="43">
        <v>46156.416666666664</v>
      </c>
      <c r="G805" s="33" t="s">
        <v>792</v>
      </c>
      <c r="H805" s="33"/>
      <c r="I805" s="33" t="s">
        <v>793</v>
      </c>
      <c r="J805" s="33" t="s">
        <v>2049</v>
      </c>
      <c r="K805" s="33" t="s">
        <v>75</v>
      </c>
      <c r="L805" s="33" t="s">
        <v>806</v>
      </c>
      <c r="M805" s="43">
        <v>46156.665289351855</v>
      </c>
      <c r="N805" s="33" t="s">
        <v>1287</v>
      </c>
      <c r="O805" s="33" t="s">
        <v>797</v>
      </c>
      <c r="P805" s="33" t="s">
        <v>1963</v>
      </c>
      <c r="Q805" s="43">
        <v>46156.492361111108</v>
      </c>
      <c r="R805" s="43">
        <v>46156.522222222222</v>
      </c>
      <c r="S805" s="58">
        <v>2.9861111111111113E-2</v>
      </c>
      <c r="T805" s="33" t="s">
        <v>799</v>
      </c>
      <c r="U805" s="43">
        <v>46156.664583333331</v>
      </c>
      <c r="V805" s="58">
        <v>2.0833333333333333E-3</v>
      </c>
      <c r="W805" s="33" t="s">
        <v>799</v>
      </c>
      <c r="X805" s="43">
        <v>46156.664583333331</v>
      </c>
      <c r="Y805" s="58">
        <v>2.0833333333333333E-3</v>
      </c>
      <c r="Z805" s="33" t="s">
        <v>799</v>
      </c>
      <c r="AA805" s="43">
        <v>46157.541666666664</v>
      </c>
      <c r="AB805" s="33" t="s">
        <v>81</v>
      </c>
      <c r="AC805" s="33" t="s">
        <v>2076</v>
      </c>
      <c r="AD805" s="58">
        <v>0.32291666666666669</v>
      </c>
      <c r="AE805" s="58">
        <v>0.14305555555555555</v>
      </c>
      <c r="AF805" s="58">
        <v>0.32291666666666669</v>
      </c>
      <c r="AG805" s="33" t="s">
        <v>1288</v>
      </c>
      <c r="AH805" s="33">
        <v>2</v>
      </c>
      <c r="AI805" s="43">
        <v>46156.664583333331</v>
      </c>
      <c r="AJ805" s="33" t="s">
        <v>793</v>
      </c>
      <c r="AK805" s="42">
        <v>490004.37</v>
      </c>
      <c r="AL805" s="33" t="s">
        <v>1289</v>
      </c>
    </row>
    <row r="806" spans="1:38">
      <c r="A806" s="33" t="s">
        <v>3360</v>
      </c>
      <c r="B806" s="33"/>
      <c r="C806" s="33" t="s">
        <v>789</v>
      </c>
      <c r="D806" s="33" t="s">
        <v>1103</v>
      </c>
      <c r="E806" s="33" t="s">
        <v>3361</v>
      </c>
      <c r="F806" s="43">
        <v>46156.416666666664</v>
      </c>
      <c r="G806" s="33" t="s">
        <v>792</v>
      </c>
      <c r="H806" s="33"/>
      <c r="I806" s="33" t="s">
        <v>793</v>
      </c>
      <c r="J806" s="33" t="s">
        <v>2859</v>
      </c>
      <c r="K806" s="33" t="s">
        <v>75</v>
      </c>
      <c r="L806" s="33" t="s">
        <v>2851</v>
      </c>
      <c r="M806" s="43">
        <v>46156.639675925922</v>
      </c>
      <c r="N806" s="33" t="s">
        <v>1106</v>
      </c>
      <c r="O806" s="33" t="s">
        <v>797</v>
      </c>
      <c r="P806" s="33" t="s">
        <v>1963</v>
      </c>
      <c r="Q806" s="43">
        <v>46156.353472222225</v>
      </c>
      <c r="R806" s="43">
        <v>46156.359722222223</v>
      </c>
      <c r="S806" s="58">
        <v>6.2500000000000003E-3</v>
      </c>
      <c r="T806" s="33" t="s">
        <v>799</v>
      </c>
      <c r="U806" s="43">
        <v>46156.632638888892</v>
      </c>
      <c r="V806" s="58">
        <v>6.9444444444444441E-3</v>
      </c>
      <c r="W806" s="33" t="s">
        <v>799</v>
      </c>
      <c r="X806" s="43">
        <v>46156.632638888892</v>
      </c>
      <c r="Y806" s="58">
        <v>6.9444444444444441E-3</v>
      </c>
      <c r="Z806" s="33" t="s">
        <v>799</v>
      </c>
      <c r="AA806" s="43">
        <v>46157.958333333336</v>
      </c>
      <c r="AB806" s="33" t="s">
        <v>81</v>
      </c>
      <c r="AC806" s="33" t="s">
        <v>2262</v>
      </c>
      <c r="AD806" s="58">
        <v>0.28749999999999998</v>
      </c>
      <c r="AE806" s="58">
        <v>0.27916666666666667</v>
      </c>
      <c r="AF806" s="58">
        <v>0.28749999999999998</v>
      </c>
      <c r="AG806" s="33" t="s">
        <v>807</v>
      </c>
      <c r="AH806" s="33">
        <v>2</v>
      </c>
      <c r="AI806" s="43">
        <v>46156.632638888892</v>
      </c>
      <c r="AJ806" s="33" t="s">
        <v>793</v>
      </c>
      <c r="AK806" s="42">
        <v>1147472.3999999999</v>
      </c>
      <c r="AL806" s="33" t="s">
        <v>2982</v>
      </c>
    </row>
    <row r="807" spans="1:38">
      <c r="A807" s="33" t="s">
        <v>3362</v>
      </c>
      <c r="B807" s="33"/>
      <c r="C807" s="33" t="s">
        <v>789</v>
      </c>
      <c r="D807" s="33" t="s">
        <v>804</v>
      </c>
      <c r="E807" s="33" t="s">
        <v>3363</v>
      </c>
      <c r="F807" s="43">
        <v>46156.625</v>
      </c>
      <c r="G807" s="33" t="s">
        <v>792</v>
      </c>
      <c r="H807" s="33"/>
      <c r="I807" s="33" t="s">
        <v>793</v>
      </c>
      <c r="J807" s="33" t="s">
        <v>1392</v>
      </c>
      <c r="K807" s="33" t="s">
        <v>75</v>
      </c>
      <c r="L807" s="33" t="s">
        <v>888</v>
      </c>
      <c r="M807" s="43">
        <v>46156.901469907411</v>
      </c>
      <c r="N807" s="33" t="s">
        <v>796</v>
      </c>
      <c r="O807" s="33" t="s">
        <v>797</v>
      </c>
      <c r="P807" s="33" t="s">
        <v>1963</v>
      </c>
      <c r="Q807" s="43">
        <v>46156.636111111111</v>
      </c>
      <c r="R807" s="43">
        <v>46156.659722222219</v>
      </c>
      <c r="S807" s="58">
        <v>2.361111111111111E-2</v>
      </c>
      <c r="T807" s="33" t="s">
        <v>799</v>
      </c>
      <c r="U807" s="43">
        <v>46156.874305555553</v>
      </c>
      <c r="V807" s="58">
        <v>2.7083333333333334E-2</v>
      </c>
      <c r="W807" s="33"/>
      <c r="X807" s="33"/>
      <c r="Y807" s="33"/>
      <c r="Z807" s="33" t="s">
        <v>799</v>
      </c>
      <c r="AA807" s="43">
        <v>46157.958333333336</v>
      </c>
      <c r="AB807" s="33" t="s">
        <v>81</v>
      </c>
      <c r="AC807" s="33" t="s">
        <v>1395</v>
      </c>
      <c r="AD807" s="58">
        <v>0.55000000000000004</v>
      </c>
      <c r="AE807" s="33"/>
      <c r="AF807" s="58">
        <v>0.54652777777777772</v>
      </c>
      <c r="AG807" s="33" t="s">
        <v>2084</v>
      </c>
      <c r="AH807" s="33">
        <v>2</v>
      </c>
      <c r="AI807" s="43">
        <v>46156.874305555553</v>
      </c>
      <c r="AJ807" s="33" t="s">
        <v>793</v>
      </c>
      <c r="AK807" s="42">
        <v>1198485.0900000001</v>
      </c>
      <c r="AL807" s="33" t="s">
        <v>808</v>
      </c>
    </row>
    <row r="808" spans="1:38">
      <c r="A808" s="33">
        <v>5988072</v>
      </c>
      <c r="B808" s="33"/>
      <c r="C808" s="33" t="s">
        <v>789</v>
      </c>
      <c r="D808" s="33" t="s">
        <v>1784</v>
      </c>
      <c r="E808" s="33" t="s">
        <v>3364</v>
      </c>
      <c r="F808" s="43">
        <v>46156.375</v>
      </c>
      <c r="G808" s="33" t="s">
        <v>792</v>
      </c>
      <c r="H808" s="33"/>
      <c r="I808" s="33" t="s">
        <v>793</v>
      </c>
      <c r="J808" s="33" t="s">
        <v>1049</v>
      </c>
      <c r="K808" s="33" t="s">
        <v>75</v>
      </c>
      <c r="L808" s="33" t="s">
        <v>1627</v>
      </c>
      <c r="M808" s="43">
        <v>46156.518460648149</v>
      </c>
      <c r="N808" s="33" t="s">
        <v>796</v>
      </c>
      <c r="O808" s="33" t="s">
        <v>797</v>
      </c>
      <c r="P808" s="33" t="s">
        <v>799</v>
      </c>
      <c r="Q808" s="43">
        <v>46156.353472222225</v>
      </c>
      <c r="R808" s="43">
        <v>46156.40902777778</v>
      </c>
      <c r="S808" s="58">
        <v>5.5555555555555552E-2</v>
      </c>
      <c r="T808" s="33" t="s">
        <v>140</v>
      </c>
      <c r="U808" s="43">
        <v>46156.441666666666</v>
      </c>
      <c r="V808" s="58">
        <v>7.9166666666666663E-2</v>
      </c>
      <c r="W808" s="33" t="s">
        <v>140</v>
      </c>
      <c r="X808" s="43">
        <v>46156.441666666666</v>
      </c>
      <c r="Y808" s="58">
        <v>7.9166666666666663E-2</v>
      </c>
      <c r="Z808" s="33" t="s">
        <v>140</v>
      </c>
      <c r="AA808" s="43">
        <v>46157.708333333336</v>
      </c>
      <c r="AB808" s="33" t="s">
        <v>81</v>
      </c>
      <c r="AC808" s="33" t="s">
        <v>1053</v>
      </c>
      <c r="AD808" s="58">
        <v>0.16805555555555557</v>
      </c>
      <c r="AE808" s="58">
        <v>0.10902777777777778</v>
      </c>
      <c r="AF808" s="58">
        <v>0.16805555555555557</v>
      </c>
      <c r="AG808" s="33" t="s">
        <v>1788</v>
      </c>
      <c r="AH808" s="33">
        <v>2</v>
      </c>
      <c r="AI808" s="43">
        <v>46156.441666666666</v>
      </c>
      <c r="AJ808" s="33" t="s">
        <v>793</v>
      </c>
      <c r="AK808" s="42">
        <v>849121.56</v>
      </c>
      <c r="AL808" s="33" t="s">
        <v>1789</v>
      </c>
    </row>
    <row r="809" spans="1:38">
      <c r="A809" s="33">
        <v>6022149</v>
      </c>
      <c r="B809" s="33"/>
      <c r="C809" s="33" t="s">
        <v>789</v>
      </c>
      <c r="D809" s="33" t="s">
        <v>778</v>
      </c>
      <c r="E809" s="33" t="s">
        <v>3365</v>
      </c>
      <c r="F809" s="43">
        <v>46156.364583333336</v>
      </c>
      <c r="G809" s="33" t="s">
        <v>724</v>
      </c>
      <c r="H809" s="33"/>
      <c r="I809" s="33" t="s">
        <v>73</v>
      </c>
      <c r="J809" s="33" t="s">
        <v>2986</v>
      </c>
      <c r="K809" s="33" t="s">
        <v>75</v>
      </c>
      <c r="L809" s="33" t="s">
        <v>3366</v>
      </c>
      <c r="M809" s="43">
        <v>46156.489699074074</v>
      </c>
      <c r="N809" s="33" t="s">
        <v>296</v>
      </c>
      <c r="O809" s="33" t="s">
        <v>797</v>
      </c>
      <c r="P809" s="33" t="s">
        <v>79</v>
      </c>
      <c r="Q809" s="33"/>
      <c r="R809" s="33"/>
      <c r="S809" s="33"/>
      <c r="T809" s="33" t="s">
        <v>176</v>
      </c>
      <c r="U809" s="33"/>
      <c r="V809" s="33"/>
      <c r="W809" s="33" t="s">
        <v>3367</v>
      </c>
      <c r="X809" s="43">
        <v>46156.481249999997</v>
      </c>
      <c r="Y809" s="58">
        <v>1.1805555555555555E-2</v>
      </c>
      <c r="Z809" s="33" t="s">
        <v>176</v>
      </c>
      <c r="AA809" s="43">
        <v>46161.291666666664</v>
      </c>
      <c r="AB809" s="33" t="s">
        <v>3368</v>
      </c>
      <c r="AC809" s="33" t="s">
        <v>3355</v>
      </c>
      <c r="AD809" s="58">
        <v>0.12361111111111112</v>
      </c>
      <c r="AE809" s="33"/>
      <c r="AF809" s="58">
        <v>0.12361111111111112</v>
      </c>
      <c r="AG809" s="33" t="s">
        <v>3369</v>
      </c>
      <c r="AH809" s="33">
        <v>1</v>
      </c>
      <c r="AI809" s="43">
        <v>46156.874305555553</v>
      </c>
      <c r="AJ809" s="33" t="s">
        <v>73</v>
      </c>
      <c r="AK809" s="42">
        <v>136986.01</v>
      </c>
      <c r="AL809" s="33" t="s">
        <v>784</v>
      </c>
    </row>
    <row r="810" spans="1:38">
      <c r="A810" s="33">
        <v>6008266</v>
      </c>
      <c r="B810" s="33"/>
      <c r="C810" s="33" t="s">
        <v>789</v>
      </c>
      <c r="D810" s="33" t="s">
        <v>1032</v>
      </c>
      <c r="E810" s="33" t="s">
        <v>3370</v>
      </c>
      <c r="F810" s="43">
        <v>46156.458333333336</v>
      </c>
      <c r="G810" s="33" t="s">
        <v>792</v>
      </c>
      <c r="H810" s="33"/>
      <c r="I810" s="33" t="s">
        <v>793</v>
      </c>
      <c r="J810" s="33" t="s">
        <v>1049</v>
      </c>
      <c r="K810" s="33" t="s">
        <v>75</v>
      </c>
      <c r="L810" s="33" t="s">
        <v>1264</v>
      </c>
      <c r="M810" s="43">
        <v>46156.505868055552</v>
      </c>
      <c r="N810" s="33" t="s">
        <v>1036</v>
      </c>
      <c r="O810" s="33" t="s">
        <v>797</v>
      </c>
      <c r="P810" s="33" t="s">
        <v>799</v>
      </c>
      <c r="Q810" s="43">
        <v>46156.407638888886</v>
      </c>
      <c r="R810" s="43">
        <v>46156.479166666664</v>
      </c>
      <c r="S810" s="58">
        <v>7.1527777777777773E-2</v>
      </c>
      <c r="T810" s="33" t="s">
        <v>140</v>
      </c>
      <c r="U810" s="43">
        <v>46156.502083333333</v>
      </c>
      <c r="V810" s="58">
        <v>9.0277777777777769E-3</v>
      </c>
      <c r="W810" s="33" t="s">
        <v>140</v>
      </c>
      <c r="X810" s="43">
        <v>46156.502083333333</v>
      </c>
      <c r="Y810" s="58">
        <v>9.0277777777777769E-3</v>
      </c>
      <c r="Z810" s="33" t="s">
        <v>140</v>
      </c>
      <c r="AA810" s="43">
        <v>46157.5</v>
      </c>
      <c r="AB810" s="33" t="s">
        <v>81</v>
      </c>
      <c r="AC810" s="33" t="s">
        <v>1053</v>
      </c>
      <c r="AD810" s="58">
        <v>0.13472222222222222</v>
      </c>
      <c r="AE810" s="58">
        <v>3.0555555555555555E-2</v>
      </c>
      <c r="AF810" s="58">
        <v>0.13472222222222222</v>
      </c>
      <c r="AG810" s="33" t="s">
        <v>1038</v>
      </c>
      <c r="AH810" s="33">
        <v>2</v>
      </c>
      <c r="AI810" s="43">
        <v>46156.502083333333</v>
      </c>
      <c r="AJ810" s="33" t="s">
        <v>793</v>
      </c>
      <c r="AK810" s="42">
        <v>855386.4</v>
      </c>
      <c r="AL810" s="33" t="s">
        <v>1039</v>
      </c>
    </row>
    <row r="811" spans="1:38">
      <c r="A811" s="33" t="s">
        <v>3371</v>
      </c>
      <c r="B811" s="33"/>
      <c r="C811" s="33" t="s">
        <v>789</v>
      </c>
      <c r="D811" s="33" t="s">
        <v>1244</v>
      </c>
      <c r="E811" s="33" t="s">
        <v>3372</v>
      </c>
      <c r="F811" s="43">
        <v>46156.625</v>
      </c>
      <c r="G811" s="33" t="s">
        <v>1246</v>
      </c>
      <c r="H811" s="33"/>
      <c r="I811" s="33" t="s">
        <v>73</v>
      </c>
      <c r="J811" s="33" t="s">
        <v>1247</v>
      </c>
      <c r="K811" s="33" t="s">
        <v>1077</v>
      </c>
      <c r="L811" s="33" t="s">
        <v>3373</v>
      </c>
      <c r="M811" s="43">
        <v>46156.724143518521</v>
      </c>
      <c r="N811" s="33" t="s">
        <v>1249</v>
      </c>
      <c r="O811" s="33" t="s">
        <v>797</v>
      </c>
      <c r="P811" s="33" t="s">
        <v>79</v>
      </c>
      <c r="Q811" s="43">
        <v>46156.413888888892</v>
      </c>
      <c r="R811" s="43">
        <v>46156.574999999997</v>
      </c>
      <c r="S811" s="58">
        <v>0.16111111111111112</v>
      </c>
      <c r="T811" s="33" t="s">
        <v>1250</v>
      </c>
      <c r="U811" s="33"/>
      <c r="V811" s="33"/>
      <c r="W811" s="33"/>
      <c r="X811" s="33"/>
      <c r="Y811" s="33"/>
      <c r="Z811" s="33" t="s">
        <v>1250</v>
      </c>
      <c r="AA811" s="43">
        <v>46160.25</v>
      </c>
      <c r="AB811" s="33" t="s">
        <v>81</v>
      </c>
      <c r="AC811" s="33" t="s">
        <v>1251</v>
      </c>
      <c r="AD811" s="58">
        <v>0.32500000000000001</v>
      </c>
      <c r="AE811" s="33"/>
      <c r="AF811" s="58">
        <v>0.32500000000000001</v>
      </c>
      <c r="AG811" s="33" t="s">
        <v>3184</v>
      </c>
      <c r="AH811" s="33">
        <v>1</v>
      </c>
      <c r="AI811" s="43">
        <v>46156.724305555559</v>
      </c>
      <c r="AJ811" s="33" t="s">
        <v>73</v>
      </c>
      <c r="AK811" s="42">
        <v>130339.38</v>
      </c>
      <c r="AL811" s="33" t="s">
        <v>1252</v>
      </c>
    </row>
    <row r="812" spans="1:38">
      <c r="A812" s="33">
        <v>6014811</v>
      </c>
      <c r="B812" s="33"/>
      <c r="C812" s="33" t="s">
        <v>789</v>
      </c>
      <c r="D812" s="33" t="s">
        <v>2896</v>
      </c>
      <c r="E812" s="33" t="s">
        <v>3374</v>
      </c>
      <c r="F812" s="43">
        <v>46156.708333333336</v>
      </c>
      <c r="G812" s="33" t="s">
        <v>227</v>
      </c>
      <c r="H812" s="33"/>
      <c r="I812" s="33" t="s">
        <v>73</v>
      </c>
      <c r="J812" s="33" t="s">
        <v>2986</v>
      </c>
      <c r="K812" s="33" t="s">
        <v>75</v>
      </c>
      <c r="L812" s="33" t="s">
        <v>3009</v>
      </c>
      <c r="M812" s="43">
        <v>46157.738275462965</v>
      </c>
      <c r="N812" s="33" t="s">
        <v>2898</v>
      </c>
      <c r="O812" s="33" t="s">
        <v>797</v>
      </c>
      <c r="P812" s="33" t="s">
        <v>79</v>
      </c>
      <c r="Q812" s="43">
        <v>46156.441666666666</v>
      </c>
      <c r="R812" s="43">
        <v>46156.467361111114</v>
      </c>
      <c r="S812" s="58">
        <v>2.5694444444444443E-2</v>
      </c>
      <c r="T812" s="33" t="s">
        <v>176</v>
      </c>
      <c r="U812" s="43">
        <v>46156.950694444444</v>
      </c>
      <c r="V812" s="58">
        <v>0.7895833333333333</v>
      </c>
      <c r="W812" s="33" t="s">
        <v>176</v>
      </c>
      <c r="X812" s="43">
        <v>46156.950694444444</v>
      </c>
      <c r="Y812" s="58">
        <v>0.7895833333333333</v>
      </c>
      <c r="Z812" s="33" t="s">
        <v>176</v>
      </c>
      <c r="AA812" s="43">
        <v>46157.291666666664</v>
      </c>
      <c r="AB812" s="33" t="s">
        <v>81</v>
      </c>
      <c r="AC812" s="33" t="s">
        <v>3355</v>
      </c>
      <c r="AD812" s="44">
        <v>1.336111111111111</v>
      </c>
      <c r="AE812" s="33"/>
      <c r="AF812" s="44">
        <v>1.336111111111111</v>
      </c>
      <c r="AG812" s="33" t="s">
        <v>3375</v>
      </c>
      <c r="AH812" s="33">
        <v>2</v>
      </c>
      <c r="AI812" s="43">
        <v>46156.950694444444</v>
      </c>
      <c r="AJ812" s="33" t="s">
        <v>73</v>
      </c>
      <c r="AK812" s="42">
        <v>505798.83</v>
      </c>
      <c r="AL812" s="33" t="s">
        <v>2899</v>
      </c>
    </row>
    <row r="813" spans="1:38">
      <c r="A813" s="33">
        <v>6014670</v>
      </c>
      <c r="B813" s="33"/>
      <c r="C813" s="33" t="s">
        <v>789</v>
      </c>
      <c r="D813" s="33" t="s">
        <v>1736</v>
      </c>
      <c r="E813" s="33" t="s">
        <v>3376</v>
      </c>
      <c r="F813" s="43">
        <v>46156.708333333336</v>
      </c>
      <c r="G813" s="33" t="s">
        <v>227</v>
      </c>
      <c r="H813" s="33"/>
      <c r="I813" s="33" t="s">
        <v>73</v>
      </c>
      <c r="J813" s="33" t="s">
        <v>2986</v>
      </c>
      <c r="K813" s="33" t="s">
        <v>75</v>
      </c>
      <c r="L813" s="33" t="s">
        <v>3009</v>
      </c>
      <c r="M813" s="43">
        <v>46157.543622685182</v>
      </c>
      <c r="N813" s="33" t="s">
        <v>1739</v>
      </c>
      <c r="O813" s="33" t="s">
        <v>797</v>
      </c>
      <c r="P813" s="33" t="s">
        <v>79</v>
      </c>
      <c r="Q813" s="43">
        <v>46156.407638888886</v>
      </c>
      <c r="R813" s="43">
        <v>46156.482638888891</v>
      </c>
      <c r="S813" s="58">
        <v>7.4999999999999997E-2</v>
      </c>
      <c r="T813" s="33" t="s">
        <v>176</v>
      </c>
      <c r="U813" s="43">
        <v>46156.993055555555</v>
      </c>
      <c r="V813" s="58">
        <v>0.55208333333333337</v>
      </c>
      <c r="W813" s="33" t="s">
        <v>176</v>
      </c>
      <c r="X813" s="43">
        <v>46156.993055555555</v>
      </c>
      <c r="Y813" s="58">
        <v>0.55208333333333337</v>
      </c>
      <c r="Z813" s="33" t="s">
        <v>176</v>
      </c>
      <c r="AA813" s="43">
        <v>46157.291666666664</v>
      </c>
      <c r="AB813" s="33" t="s">
        <v>81</v>
      </c>
      <c r="AC813" s="33" t="s">
        <v>3355</v>
      </c>
      <c r="AD813" s="44">
        <v>1.1388888888888888</v>
      </c>
      <c r="AE813" s="58">
        <v>0.97499999999999998</v>
      </c>
      <c r="AF813" s="44">
        <v>1.1388888888888888</v>
      </c>
      <c r="AG813" s="33" t="s">
        <v>3377</v>
      </c>
      <c r="AH813" s="33">
        <v>2</v>
      </c>
      <c r="AI813" s="43">
        <v>46156.993055555555</v>
      </c>
      <c r="AJ813" s="33" t="s">
        <v>73</v>
      </c>
      <c r="AK813" s="42">
        <v>484647.87</v>
      </c>
      <c r="AL813" s="33" t="s">
        <v>1743</v>
      </c>
    </row>
    <row r="814" spans="1:38">
      <c r="A814" s="33">
        <v>6007356</v>
      </c>
      <c r="B814" s="33"/>
      <c r="C814" s="33" t="s">
        <v>789</v>
      </c>
      <c r="D814" s="33" t="s">
        <v>1689</v>
      </c>
      <c r="E814" s="33" t="s">
        <v>3378</v>
      </c>
      <c r="F814" s="43">
        <v>46156.479166666664</v>
      </c>
      <c r="G814" s="33" t="s">
        <v>792</v>
      </c>
      <c r="H814" s="33"/>
      <c r="I814" s="33" t="s">
        <v>793</v>
      </c>
      <c r="J814" s="33" t="s">
        <v>1312</v>
      </c>
      <c r="K814" s="33" t="s">
        <v>75</v>
      </c>
      <c r="L814" s="33" t="s">
        <v>1592</v>
      </c>
      <c r="M814" s="43">
        <v>46156.64770833333</v>
      </c>
      <c r="N814" s="33" t="s">
        <v>1692</v>
      </c>
      <c r="O814" s="33" t="s">
        <v>797</v>
      </c>
      <c r="P814" s="33" t="s">
        <v>799</v>
      </c>
      <c r="Q814" s="33"/>
      <c r="R814" s="33"/>
      <c r="S814" s="33"/>
      <c r="T814" s="33" t="s">
        <v>140</v>
      </c>
      <c r="U814" s="43">
        <v>46156.495138888888</v>
      </c>
      <c r="V814" s="58">
        <v>0.15694444444444444</v>
      </c>
      <c r="W814" s="33" t="s">
        <v>140</v>
      </c>
      <c r="X814" s="43">
        <v>46156.495138888888</v>
      </c>
      <c r="Y814" s="58">
        <v>0.15694444444444444</v>
      </c>
      <c r="Z814" s="33" t="s">
        <v>140</v>
      </c>
      <c r="AA814" s="43">
        <v>46157.708333333336</v>
      </c>
      <c r="AB814" s="33" t="s">
        <v>81</v>
      </c>
      <c r="AC814" s="33" t="s">
        <v>1314</v>
      </c>
      <c r="AD814" s="58">
        <v>0.1875</v>
      </c>
      <c r="AE814" s="33"/>
      <c r="AF814" s="58">
        <v>0.1875</v>
      </c>
      <c r="AG814" s="33" t="s">
        <v>1693</v>
      </c>
      <c r="AH814" s="33">
        <v>1</v>
      </c>
      <c r="AI814" s="43">
        <v>46156.495138888888</v>
      </c>
      <c r="AJ814" s="33" t="s">
        <v>793</v>
      </c>
      <c r="AK814" s="42">
        <v>574218.18000000005</v>
      </c>
      <c r="AL814" s="33" t="s">
        <v>1694</v>
      </c>
    </row>
    <row r="815" spans="1:38">
      <c r="A815" s="33">
        <v>6009854</v>
      </c>
      <c r="B815" s="33"/>
      <c r="C815" s="33" t="s">
        <v>789</v>
      </c>
      <c r="D815" s="33" t="s">
        <v>1417</v>
      </c>
      <c r="E815" s="33" t="s">
        <v>3379</v>
      </c>
      <c r="F815" s="43">
        <v>46156.5</v>
      </c>
      <c r="G815" s="33" t="s">
        <v>792</v>
      </c>
      <c r="H815" s="33"/>
      <c r="I815" s="33" t="s">
        <v>793</v>
      </c>
      <c r="J815" s="33" t="s">
        <v>1398</v>
      </c>
      <c r="K815" s="33" t="s">
        <v>75</v>
      </c>
      <c r="L815" s="33" t="s">
        <v>1035</v>
      </c>
      <c r="M815" s="43">
        <v>46156.614571759259</v>
      </c>
      <c r="N815" s="33" t="s">
        <v>1409</v>
      </c>
      <c r="O815" s="33" t="s">
        <v>93</v>
      </c>
      <c r="P815" s="33" t="s">
        <v>1963</v>
      </c>
      <c r="Q815" s="43">
        <v>46156.464583333334</v>
      </c>
      <c r="R815" s="43">
        <v>46156.486805555556</v>
      </c>
      <c r="S815" s="58">
        <v>2.2222222222222223E-2</v>
      </c>
      <c r="T815" s="33" t="s">
        <v>140</v>
      </c>
      <c r="U815" s="43">
        <v>46156.6</v>
      </c>
      <c r="V815" s="58">
        <v>1.3888888888888889E-3</v>
      </c>
      <c r="W815" s="33"/>
      <c r="X815" s="33"/>
      <c r="Y815" s="33"/>
      <c r="Z815" s="33" t="s">
        <v>140</v>
      </c>
      <c r="AA815" s="43">
        <v>46156.875</v>
      </c>
      <c r="AB815" s="33" t="s">
        <v>1052</v>
      </c>
      <c r="AC815" s="33" t="s">
        <v>1400</v>
      </c>
      <c r="AD815" s="58">
        <v>0.15</v>
      </c>
      <c r="AE815" s="33"/>
      <c r="AF815" s="58">
        <v>0.15</v>
      </c>
      <c r="AG815" s="33" t="s">
        <v>1420</v>
      </c>
      <c r="AH815" s="33">
        <v>2</v>
      </c>
      <c r="AI815" s="43">
        <v>46156.6</v>
      </c>
      <c r="AJ815" s="33" t="s">
        <v>793</v>
      </c>
      <c r="AK815" s="42">
        <v>855386.4</v>
      </c>
      <c r="AL815" s="33" t="s">
        <v>1421</v>
      </c>
    </row>
    <row r="816" spans="1:38">
      <c r="A816" s="33" t="s">
        <v>3380</v>
      </c>
      <c r="B816" s="33"/>
      <c r="C816" s="33" t="s">
        <v>789</v>
      </c>
      <c r="D816" s="33" t="s">
        <v>3381</v>
      </c>
      <c r="E816" s="33" t="s">
        <v>3382</v>
      </c>
      <c r="F816" s="43">
        <v>46156.458333333336</v>
      </c>
      <c r="G816" s="33" t="s">
        <v>792</v>
      </c>
      <c r="H816" s="33"/>
      <c r="I816" s="33" t="s">
        <v>793</v>
      </c>
      <c r="J816" s="33" t="s">
        <v>2859</v>
      </c>
      <c r="K816" s="33" t="s">
        <v>75</v>
      </c>
      <c r="L816" s="33" t="s">
        <v>998</v>
      </c>
      <c r="M816" s="43">
        <v>46156.904618055552</v>
      </c>
      <c r="N816" s="33" t="s">
        <v>796</v>
      </c>
      <c r="O816" s="33" t="s">
        <v>797</v>
      </c>
      <c r="P816" s="33" t="s">
        <v>1963</v>
      </c>
      <c r="Q816" s="43">
        <v>46156.489583333336</v>
      </c>
      <c r="R816" s="43">
        <v>46156.494444444441</v>
      </c>
      <c r="S816" s="58">
        <v>4.8611111111111112E-3</v>
      </c>
      <c r="T816" s="33" t="s">
        <v>799</v>
      </c>
      <c r="U816" s="43">
        <v>46156.900694444441</v>
      </c>
      <c r="V816" s="58">
        <v>4.1666666666666666E-3</v>
      </c>
      <c r="W816" s="33"/>
      <c r="X816" s="33"/>
      <c r="Y816" s="33"/>
      <c r="Z816" s="33" t="s">
        <v>799</v>
      </c>
      <c r="AA816" s="43">
        <v>46156.958333333336</v>
      </c>
      <c r="AB816" s="33" t="s">
        <v>81</v>
      </c>
      <c r="AC816" s="33" t="s">
        <v>81</v>
      </c>
      <c r="AD816" s="58">
        <v>0.43541666666666667</v>
      </c>
      <c r="AE816" s="33"/>
      <c r="AF816" s="58">
        <v>0.43402777777777779</v>
      </c>
      <c r="AG816" s="33" t="s">
        <v>3383</v>
      </c>
      <c r="AH816" s="33">
        <v>2</v>
      </c>
      <c r="AI816" s="43">
        <v>46156.900694444441</v>
      </c>
      <c r="AJ816" s="33" t="s">
        <v>793</v>
      </c>
      <c r="AK816" s="42">
        <v>942914.5</v>
      </c>
      <c r="AL816" s="33" t="s">
        <v>3384</v>
      </c>
    </row>
    <row r="817" spans="1:38">
      <c r="A817" s="33">
        <v>6010703</v>
      </c>
      <c r="B817" s="33"/>
      <c r="C817" s="33" t="s">
        <v>789</v>
      </c>
      <c r="D817" s="33" t="s">
        <v>3385</v>
      </c>
      <c r="E817" s="33" t="s">
        <v>3386</v>
      </c>
      <c r="F817" s="43">
        <v>46156.416666666664</v>
      </c>
      <c r="G817" s="33" t="s">
        <v>3387</v>
      </c>
      <c r="H817" s="33"/>
      <c r="I817" s="33" t="s">
        <v>73</v>
      </c>
      <c r="J817" s="33" t="s">
        <v>3388</v>
      </c>
      <c r="K817" s="33" t="s">
        <v>75</v>
      </c>
      <c r="L817" s="33" t="s">
        <v>3389</v>
      </c>
      <c r="M817" s="43">
        <v>46157.483576388891</v>
      </c>
      <c r="N817" s="33" t="s">
        <v>3390</v>
      </c>
      <c r="O817" s="33" t="s">
        <v>797</v>
      </c>
      <c r="P817" s="33" t="s">
        <v>140</v>
      </c>
      <c r="Q817" s="43">
        <v>46156.467361111114</v>
      </c>
      <c r="R817" s="43">
        <v>46156.724305555559</v>
      </c>
      <c r="S817" s="58">
        <v>0.25694444444444442</v>
      </c>
      <c r="T817" s="33" t="s">
        <v>383</v>
      </c>
      <c r="U817" s="43">
        <v>46157.31527777778</v>
      </c>
      <c r="V817" s="58">
        <v>0.16944444444444445</v>
      </c>
      <c r="W817" s="33" t="s">
        <v>383</v>
      </c>
      <c r="X817" s="43">
        <v>46157.31527777778</v>
      </c>
      <c r="Y817" s="58">
        <v>0.16944444444444445</v>
      </c>
      <c r="Z817" s="33" t="s">
        <v>383</v>
      </c>
      <c r="AA817" s="43">
        <v>46157.05</v>
      </c>
      <c r="AB817" s="33" t="s">
        <v>81</v>
      </c>
      <c r="AC817" s="33" t="s">
        <v>3391</v>
      </c>
      <c r="AD817" s="44">
        <v>1.0125</v>
      </c>
      <c r="AE817" s="58">
        <v>0.69652777777777775</v>
      </c>
      <c r="AF817" s="44">
        <v>1.0125</v>
      </c>
      <c r="AG817" s="33" t="s">
        <v>3392</v>
      </c>
      <c r="AH817" s="33">
        <v>3</v>
      </c>
      <c r="AI817" s="43">
        <v>46157.31527777778</v>
      </c>
      <c r="AJ817" s="33" t="s">
        <v>73</v>
      </c>
      <c r="AK817" s="42">
        <v>256437.61</v>
      </c>
      <c r="AL817" s="33" t="s">
        <v>3393</v>
      </c>
    </row>
    <row r="818" spans="1:38">
      <c r="A818" s="33">
        <v>6010468</v>
      </c>
      <c r="B818" s="33"/>
      <c r="C818" s="33" t="s">
        <v>789</v>
      </c>
      <c r="D818" s="33" t="s">
        <v>1994</v>
      </c>
      <c r="E818" s="33" t="s">
        <v>3394</v>
      </c>
      <c r="F818" s="43">
        <v>46156.458333333336</v>
      </c>
      <c r="G818" s="33" t="s">
        <v>792</v>
      </c>
      <c r="H818" s="33"/>
      <c r="I818" s="33" t="s">
        <v>793</v>
      </c>
      <c r="J818" s="33" t="s">
        <v>2049</v>
      </c>
      <c r="K818" s="33" t="s">
        <v>75</v>
      </c>
      <c r="L818" s="33" t="s">
        <v>2523</v>
      </c>
      <c r="M818" s="43">
        <v>46156.705381944441</v>
      </c>
      <c r="N818" s="33" t="s">
        <v>1996</v>
      </c>
      <c r="O818" s="33" t="s">
        <v>797</v>
      </c>
      <c r="P818" s="33" t="s">
        <v>1963</v>
      </c>
      <c r="Q818" s="43">
        <v>46156.472916666666</v>
      </c>
      <c r="R818" s="43">
        <v>46156.508333333331</v>
      </c>
      <c r="S818" s="58">
        <v>3.5416666666666666E-2</v>
      </c>
      <c r="T818" s="33" t="s">
        <v>799</v>
      </c>
      <c r="U818" s="43">
        <v>46156.666666666664</v>
      </c>
      <c r="V818" s="58">
        <v>3.8194444444444448E-2</v>
      </c>
      <c r="W818" s="33" t="s">
        <v>799</v>
      </c>
      <c r="X818" s="43">
        <v>46156.666666666664</v>
      </c>
      <c r="Y818" s="58">
        <v>3.8194444444444448E-2</v>
      </c>
      <c r="Z818" s="33" t="s">
        <v>799</v>
      </c>
      <c r="AA818" s="43">
        <v>46156.958333333336</v>
      </c>
      <c r="AB818" s="33" t="s">
        <v>81</v>
      </c>
      <c r="AC818" s="33" t="s">
        <v>2076</v>
      </c>
      <c r="AD818" s="58">
        <v>0.2326388888888889</v>
      </c>
      <c r="AE818" s="58">
        <v>0.19652777777777777</v>
      </c>
      <c r="AF818" s="58">
        <v>0.2326388888888889</v>
      </c>
      <c r="AG818" s="33" t="s">
        <v>1998</v>
      </c>
      <c r="AH818" s="33">
        <v>2</v>
      </c>
      <c r="AI818" s="43">
        <v>46156.666666666664</v>
      </c>
      <c r="AJ818" s="33" t="s">
        <v>793</v>
      </c>
      <c r="AK818" s="42">
        <v>534380.39</v>
      </c>
      <c r="AL818" s="33" t="s">
        <v>1999</v>
      </c>
    </row>
    <row r="819" spans="1:38">
      <c r="A819" s="33">
        <v>5991593</v>
      </c>
      <c r="B819" s="33"/>
      <c r="C819" s="33" t="s">
        <v>789</v>
      </c>
      <c r="D819" s="33" t="s">
        <v>1156</v>
      </c>
      <c r="E819" s="33" t="s">
        <v>3395</v>
      </c>
      <c r="F819" s="43">
        <v>46156.666666666664</v>
      </c>
      <c r="G819" s="33" t="s">
        <v>792</v>
      </c>
      <c r="H819" s="33"/>
      <c r="I819" s="33" t="s">
        <v>793</v>
      </c>
      <c r="J819" s="33" t="s">
        <v>1049</v>
      </c>
      <c r="K819" s="33" t="s">
        <v>75</v>
      </c>
      <c r="L819" s="33" t="s">
        <v>1523</v>
      </c>
      <c r="M819" s="43">
        <v>46156.652025462965</v>
      </c>
      <c r="N819" s="33" t="s">
        <v>1160</v>
      </c>
      <c r="O819" s="33" t="s">
        <v>797</v>
      </c>
      <c r="P819" s="33" t="s">
        <v>799</v>
      </c>
      <c r="Q819" s="43">
        <v>46156.555555555555</v>
      </c>
      <c r="R819" s="43">
        <v>46156.587500000001</v>
      </c>
      <c r="S819" s="58">
        <v>3.1944444444444442E-2</v>
      </c>
      <c r="T819" s="33" t="s">
        <v>140</v>
      </c>
      <c r="U819" s="43">
        <v>46156.615972222222</v>
      </c>
      <c r="V819" s="58">
        <v>3.6111111111111108E-2</v>
      </c>
      <c r="W819" s="33" t="s">
        <v>140</v>
      </c>
      <c r="X819" s="43">
        <v>46156.615972222222</v>
      </c>
      <c r="Y819" s="58">
        <v>3.6111111111111108E-2</v>
      </c>
      <c r="Z819" s="33" t="s">
        <v>140</v>
      </c>
      <c r="AA819" s="43">
        <v>46157.875</v>
      </c>
      <c r="AB819" s="33" t="s">
        <v>81</v>
      </c>
      <c r="AC819" s="33" t="s">
        <v>1053</v>
      </c>
      <c r="AD819" s="58">
        <v>0.1736111111111111</v>
      </c>
      <c r="AE819" s="58">
        <v>6.458333333333334E-2</v>
      </c>
      <c r="AF819" s="58">
        <v>0.1736111111111111</v>
      </c>
      <c r="AG819" s="33" t="s">
        <v>1357</v>
      </c>
      <c r="AH819" s="33">
        <v>2</v>
      </c>
      <c r="AI819" s="43">
        <v>46156.615972222222</v>
      </c>
      <c r="AJ819" s="33" t="s">
        <v>793</v>
      </c>
      <c r="AK819" s="42">
        <v>689213.02</v>
      </c>
      <c r="AL819" s="33" t="s">
        <v>1162</v>
      </c>
    </row>
    <row r="820" spans="1:38">
      <c r="A820" s="33">
        <v>6010474</v>
      </c>
      <c r="B820" s="33"/>
      <c r="C820" s="33" t="s">
        <v>789</v>
      </c>
      <c r="D820" s="33" t="s">
        <v>2513</v>
      </c>
      <c r="E820" s="33" t="s">
        <v>3396</v>
      </c>
      <c r="F820" s="43">
        <v>46156.541666666664</v>
      </c>
      <c r="G820" s="33" t="s">
        <v>792</v>
      </c>
      <c r="H820" s="33"/>
      <c r="I820" s="33" t="s">
        <v>793</v>
      </c>
      <c r="J820" s="33" t="s">
        <v>958</v>
      </c>
      <c r="K820" s="33" t="s">
        <v>75</v>
      </c>
      <c r="L820" s="33" t="s">
        <v>1184</v>
      </c>
      <c r="M820" s="43">
        <v>46156.738854166666</v>
      </c>
      <c r="N820" s="33" t="s">
        <v>2515</v>
      </c>
      <c r="O820" s="33" t="s">
        <v>175</v>
      </c>
      <c r="P820" s="33" t="s">
        <v>1963</v>
      </c>
      <c r="Q820" s="43">
        <v>46156.535416666666</v>
      </c>
      <c r="R820" s="43">
        <v>46156.568749999999</v>
      </c>
      <c r="S820" s="58">
        <v>3.3333333333333333E-2</v>
      </c>
      <c r="T820" s="33" t="s">
        <v>140</v>
      </c>
      <c r="U820" s="43">
        <v>46156.684027777781</v>
      </c>
      <c r="V820" s="58">
        <v>1.3888888888888889E-3</v>
      </c>
      <c r="W820" s="33"/>
      <c r="X820" s="33"/>
      <c r="Y820" s="33"/>
      <c r="Z820" s="33" t="s">
        <v>140</v>
      </c>
      <c r="AA820" s="43">
        <v>46157.916666666664</v>
      </c>
      <c r="AB820" s="33" t="s">
        <v>1052</v>
      </c>
      <c r="AC820" s="33" t="s">
        <v>1404</v>
      </c>
      <c r="AD820" s="58">
        <v>0.2326388888888889</v>
      </c>
      <c r="AE820" s="33"/>
      <c r="AF820" s="58">
        <v>0.2326388888888889</v>
      </c>
      <c r="AG820" s="33" t="s">
        <v>2516</v>
      </c>
      <c r="AH820" s="33">
        <v>2</v>
      </c>
      <c r="AI820" s="43">
        <v>46156.684027777781</v>
      </c>
      <c r="AJ820" s="33" t="s">
        <v>793</v>
      </c>
      <c r="AK820" s="42">
        <v>781998.55</v>
      </c>
      <c r="AL820" s="33" t="s">
        <v>1390</v>
      </c>
    </row>
    <row r="821" spans="1:38">
      <c r="A821" s="33">
        <v>6022153</v>
      </c>
      <c r="B821" s="33"/>
      <c r="C821" s="33" t="s">
        <v>789</v>
      </c>
      <c r="D821" s="33" t="s">
        <v>1732</v>
      </c>
      <c r="E821" s="33" t="s">
        <v>3397</v>
      </c>
      <c r="F821" s="43">
        <v>46156.625</v>
      </c>
      <c r="G821" s="33" t="s">
        <v>227</v>
      </c>
      <c r="H821" s="33"/>
      <c r="I821" s="33" t="s">
        <v>73</v>
      </c>
      <c r="J821" s="33" t="s">
        <v>2977</v>
      </c>
      <c r="K821" s="33" t="s">
        <v>75</v>
      </c>
      <c r="L821" s="33" t="s">
        <v>1949</v>
      </c>
      <c r="M821" s="43">
        <v>46157.583391203705</v>
      </c>
      <c r="N821" s="33" t="s">
        <v>529</v>
      </c>
      <c r="O821" s="33" t="s">
        <v>797</v>
      </c>
      <c r="P821" s="33" t="s">
        <v>79</v>
      </c>
      <c r="Q821" s="43">
        <v>46156.628472222219</v>
      </c>
      <c r="R821" s="43">
        <v>46156.731944444444</v>
      </c>
      <c r="S821" s="58">
        <v>0.10347222222222222</v>
      </c>
      <c r="T821" s="33" t="s">
        <v>176</v>
      </c>
      <c r="U821" s="33"/>
      <c r="V821" s="33"/>
      <c r="W821" s="33" t="s">
        <v>1740</v>
      </c>
      <c r="X821" s="43">
        <v>46157.552083333336</v>
      </c>
      <c r="Y821" s="58">
        <v>3.5416666666666666E-2</v>
      </c>
      <c r="Z821" s="33" t="s">
        <v>176</v>
      </c>
      <c r="AA821" s="43">
        <v>46161.291666666664</v>
      </c>
      <c r="AB821" s="33" t="s">
        <v>2984</v>
      </c>
      <c r="AC821" s="33" t="s">
        <v>2979</v>
      </c>
      <c r="AD821" s="44">
        <v>1.0534722222222221</v>
      </c>
      <c r="AE821" s="33"/>
      <c r="AF821" s="44">
        <v>1.0534722222222221</v>
      </c>
      <c r="AG821" s="33" t="s">
        <v>1806</v>
      </c>
      <c r="AH821" s="33">
        <v>4</v>
      </c>
      <c r="AI821" s="43">
        <v>46157.652083333334</v>
      </c>
      <c r="AJ821" s="33" t="s">
        <v>73</v>
      </c>
      <c r="AK821" s="42">
        <v>136986.03</v>
      </c>
      <c r="AL821" s="33" t="s">
        <v>1735</v>
      </c>
    </row>
    <row r="822" spans="1:38">
      <c r="A822" s="33">
        <v>6022151</v>
      </c>
      <c r="B822" s="33"/>
      <c r="C822" s="33" t="s">
        <v>789</v>
      </c>
      <c r="D822" s="33" t="s">
        <v>3398</v>
      </c>
      <c r="E822" s="33" t="s">
        <v>3399</v>
      </c>
      <c r="F822" s="43">
        <v>46156.708333333336</v>
      </c>
      <c r="G822" s="33" t="s">
        <v>227</v>
      </c>
      <c r="H822" s="33"/>
      <c r="I822" s="33" t="s">
        <v>73</v>
      </c>
      <c r="J822" s="33" t="s">
        <v>3400</v>
      </c>
      <c r="K822" s="33" t="s">
        <v>2525</v>
      </c>
      <c r="L822" s="33" t="s">
        <v>1928</v>
      </c>
      <c r="M822" s="43">
        <v>46157.811655092592</v>
      </c>
      <c r="N822" s="33" t="s">
        <v>1810</v>
      </c>
      <c r="O822" s="33" t="s">
        <v>797</v>
      </c>
      <c r="P822" s="33" t="s">
        <v>79</v>
      </c>
      <c r="Q822" s="43">
        <v>46156.611111111109</v>
      </c>
      <c r="R822" s="43">
        <v>46156.718055555553</v>
      </c>
      <c r="S822" s="58">
        <v>0.10694444444444444</v>
      </c>
      <c r="T822" s="33" t="s">
        <v>176</v>
      </c>
      <c r="U822" s="33"/>
      <c r="V822" s="33"/>
      <c r="W822" s="33" t="s">
        <v>1740</v>
      </c>
      <c r="X822" s="43">
        <v>46157.798611111109</v>
      </c>
      <c r="Y822" s="58">
        <v>1.2500000000000001E-2</v>
      </c>
      <c r="Z822" s="33" t="s">
        <v>176</v>
      </c>
      <c r="AA822" s="43">
        <v>46161.291666666664</v>
      </c>
      <c r="AB822" s="33" t="s">
        <v>3401</v>
      </c>
      <c r="AC822" s="33" t="s">
        <v>3402</v>
      </c>
      <c r="AD822" s="44">
        <v>1.2777777777777777</v>
      </c>
      <c r="AE822" s="33"/>
      <c r="AF822" s="44">
        <v>1.2777777777777777</v>
      </c>
      <c r="AG822" s="33" t="s">
        <v>3403</v>
      </c>
      <c r="AH822" s="33">
        <v>3</v>
      </c>
      <c r="AI822" s="43">
        <v>46157.906944444447</v>
      </c>
      <c r="AJ822" s="33" t="s">
        <v>73</v>
      </c>
      <c r="AK822" s="42">
        <v>136986.01999999999</v>
      </c>
      <c r="AL822" s="33" t="s">
        <v>3404</v>
      </c>
    </row>
    <row r="823" spans="1:38">
      <c r="A823" s="33">
        <v>6009224</v>
      </c>
      <c r="B823" s="33"/>
      <c r="C823" s="33" t="s">
        <v>789</v>
      </c>
      <c r="D823" s="33" t="s">
        <v>1032</v>
      </c>
      <c r="E823" s="33" t="s">
        <v>3405</v>
      </c>
      <c r="F823" s="43">
        <v>46156.583333333336</v>
      </c>
      <c r="G823" s="33" t="s">
        <v>792</v>
      </c>
      <c r="H823" s="33"/>
      <c r="I823" s="33" t="s">
        <v>793</v>
      </c>
      <c r="J823" s="33" t="s">
        <v>1111</v>
      </c>
      <c r="K823" s="33" t="s">
        <v>583</v>
      </c>
      <c r="L823" s="33" t="s">
        <v>2080</v>
      </c>
      <c r="M823" s="43">
        <v>46156.648506944446</v>
      </c>
      <c r="N823" s="33" t="s">
        <v>1036</v>
      </c>
      <c r="O823" s="33" t="s">
        <v>797</v>
      </c>
      <c r="P823" s="33" t="s">
        <v>799</v>
      </c>
      <c r="Q823" s="43">
        <v>46156.563888888886</v>
      </c>
      <c r="R823" s="43">
        <v>46156.588194444441</v>
      </c>
      <c r="S823" s="58">
        <v>2.4305555555555556E-2</v>
      </c>
      <c r="T823" s="33" t="s">
        <v>140</v>
      </c>
      <c r="U823" s="43">
        <v>46156.612500000003</v>
      </c>
      <c r="V823" s="58">
        <v>3.888888888888889E-2</v>
      </c>
      <c r="W823" s="33" t="s">
        <v>140</v>
      </c>
      <c r="X823" s="43">
        <v>46156.612500000003</v>
      </c>
      <c r="Y823" s="58">
        <v>3.888888888888889E-2</v>
      </c>
      <c r="Z823" s="33" t="s">
        <v>140</v>
      </c>
      <c r="AA823" s="43">
        <v>46157.666666666664</v>
      </c>
      <c r="AB823" s="33" t="s">
        <v>81</v>
      </c>
      <c r="AC823" s="33" t="s">
        <v>1114</v>
      </c>
      <c r="AD823" s="58">
        <v>8.8888888888888892E-2</v>
      </c>
      <c r="AE823" s="58">
        <v>5.9722222222222225E-2</v>
      </c>
      <c r="AF823" s="58">
        <v>8.8888888888888892E-2</v>
      </c>
      <c r="AG823" s="33" t="s">
        <v>2816</v>
      </c>
      <c r="AH823" s="33">
        <v>2</v>
      </c>
      <c r="AI823" s="43">
        <v>46156.612500000003</v>
      </c>
      <c r="AJ823" s="33" t="s">
        <v>793</v>
      </c>
      <c r="AK823" s="42">
        <v>794661.56</v>
      </c>
      <c r="AL823" s="33" t="s">
        <v>1039</v>
      </c>
    </row>
    <row r="824" spans="1:38">
      <c r="A824" s="33">
        <v>6010577</v>
      </c>
      <c r="B824" s="33"/>
      <c r="C824" s="33" t="s">
        <v>789</v>
      </c>
      <c r="D824" s="33" t="s">
        <v>1435</v>
      </c>
      <c r="E824" s="33" t="s">
        <v>3406</v>
      </c>
      <c r="F824" s="43">
        <v>46156.583333333336</v>
      </c>
      <c r="G824" s="33" t="s">
        <v>792</v>
      </c>
      <c r="H824" s="33"/>
      <c r="I824" s="33" t="s">
        <v>793</v>
      </c>
      <c r="J824" s="33" t="s">
        <v>2049</v>
      </c>
      <c r="K824" s="33" t="s">
        <v>75</v>
      </c>
      <c r="L824" s="33" t="s">
        <v>974</v>
      </c>
      <c r="M824" s="43">
        <v>46156.761817129627</v>
      </c>
      <c r="N824" s="33" t="s">
        <v>1095</v>
      </c>
      <c r="O824" s="33" t="s">
        <v>797</v>
      </c>
      <c r="P824" s="33" t="s">
        <v>1963</v>
      </c>
      <c r="Q824" s="43">
        <v>46156.574999999997</v>
      </c>
      <c r="R824" s="43">
        <v>46156.57916666667</v>
      </c>
      <c r="S824" s="58">
        <v>4.1666666666666666E-3</v>
      </c>
      <c r="T824" s="33" t="s">
        <v>799</v>
      </c>
      <c r="U824" s="43">
        <v>46156.734722222223</v>
      </c>
      <c r="V824" s="58">
        <v>2.7777777777777776E-2</v>
      </c>
      <c r="W824" s="33" t="s">
        <v>799</v>
      </c>
      <c r="X824" s="43">
        <v>46156.734722222223</v>
      </c>
      <c r="Y824" s="58">
        <v>2.7777777777777776E-2</v>
      </c>
      <c r="Z824" s="33" t="s">
        <v>799</v>
      </c>
      <c r="AA824" s="43">
        <v>46157.958333333336</v>
      </c>
      <c r="AB824" s="33" t="s">
        <v>81</v>
      </c>
      <c r="AC824" s="33" t="s">
        <v>2076</v>
      </c>
      <c r="AD824" s="58">
        <v>0.18680555555555556</v>
      </c>
      <c r="AE824" s="58">
        <v>0.18194444444444444</v>
      </c>
      <c r="AF824" s="58">
        <v>0.18680555555555556</v>
      </c>
      <c r="AG824" s="33" t="s">
        <v>1437</v>
      </c>
      <c r="AH824" s="33">
        <v>2</v>
      </c>
      <c r="AI824" s="43">
        <v>46156.734722222223</v>
      </c>
      <c r="AJ824" s="33" t="s">
        <v>793</v>
      </c>
      <c r="AK824" s="42">
        <v>669283.24</v>
      </c>
      <c r="AL824" s="33" t="s">
        <v>1438</v>
      </c>
    </row>
    <row r="825" spans="1:38">
      <c r="A825" s="33">
        <v>6010487</v>
      </c>
      <c r="B825" s="33"/>
      <c r="C825" s="33" t="s">
        <v>789</v>
      </c>
      <c r="D825" s="33" t="s">
        <v>1315</v>
      </c>
      <c r="E825" s="33" t="s">
        <v>3407</v>
      </c>
      <c r="F825" s="43">
        <v>46156.625</v>
      </c>
      <c r="G825" s="33" t="s">
        <v>792</v>
      </c>
      <c r="H825" s="33"/>
      <c r="I825" s="33" t="s">
        <v>793</v>
      </c>
      <c r="J825" s="33" t="s">
        <v>2086</v>
      </c>
      <c r="K825" s="33" t="s">
        <v>75</v>
      </c>
      <c r="L825" s="33" t="s">
        <v>1189</v>
      </c>
      <c r="M825" s="43">
        <v>46156.808194444442</v>
      </c>
      <c r="N825" s="33" t="s">
        <v>1319</v>
      </c>
      <c r="O825" s="33" t="s">
        <v>797</v>
      </c>
      <c r="P825" s="33" t="s">
        <v>1963</v>
      </c>
      <c r="Q825" s="33"/>
      <c r="R825" s="33"/>
      <c r="S825" s="33"/>
      <c r="T825" s="33" t="s">
        <v>140</v>
      </c>
      <c r="U825" s="43">
        <v>46156.800694444442</v>
      </c>
      <c r="V825" s="58">
        <v>7.6388888888888886E-3</v>
      </c>
      <c r="W825" s="33" t="s">
        <v>140</v>
      </c>
      <c r="X825" s="43">
        <v>46156.800694444442</v>
      </c>
      <c r="Y825" s="58">
        <v>7.6388888888888886E-3</v>
      </c>
      <c r="Z825" s="33" t="s">
        <v>140</v>
      </c>
      <c r="AA825" s="43">
        <v>46157.916666666664</v>
      </c>
      <c r="AB825" s="33" t="s">
        <v>81</v>
      </c>
      <c r="AC825" s="33" t="s">
        <v>2331</v>
      </c>
      <c r="AD825" s="58">
        <v>0.13680555555555557</v>
      </c>
      <c r="AE825" s="33"/>
      <c r="AF825" s="58">
        <v>0.13680555555555557</v>
      </c>
      <c r="AG825" s="33" t="s">
        <v>1322</v>
      </c>
      <c r="AH825" s="33">
        <v>1</v>
      </c>
      <c r="AI825" s="43">
        <v>46156.800694444442</v>
      </c>
      <c r="AJ825" s="33" t="s">
        <v>793</v>
      </c>
      <c r="AK825" s="42">
        <v>658867.22</v>
      </c>
      <c r="AL825" s="33" t="s">
        <v>1323</v>
      </c>
    </row>
    <row r="826" spans="1:38">
      <c r="A826" s="33" t="s">
        <v>3408</v>
      </c>
      <c r="B826" s="33"/>
      <c r="C826" s="33" t="s">
        <v>789</v>
      </c>
      <c r="D826" s="33" t="s">
        <v>2028</v>
      </c>
      <c r="E826" s="33" t="s">
        <v>3409</v>
      </c>
      <c r="F826" s="43">
        <v>46156.590277777781</v>
      </c>
      <c r="G826" s="33" t="s">
        <v>227</v>
      </c>
      <c r="H826" s="33"/>
      <c r="I826" s="33" t="s">
        <v>73</v>
      </c>
      <c r="J826" s="33" t="s">
        <v>3230</v>
      </c>
      <c r="K826" s="33" t="s">
        <v>75</v>
      </c>
      <c r="L826" s="33" t="s">
        <v>3410</v>
      </c>
      <c r="M826" s="43">
        <v>46156.670995370368</v>
      </c>
      <c r="N826" s="33" t="s">
        <v>2031</v>
      </c>
      <c r="O826" s="33" t="s">
        <v>797</v>
      </c>
      <c r="P826" s="33" t="s">
        <v>79</v>
      </c>
      <c r="Q826" s="43">
        <v>46156.604166666664</v>
      </c>
      <c r="R826" s="43">
        <v>46156.640277777777</v>
      </c>
      <c r="S826" s="58">
        <v>3.6111111111111108E-2</v>
      </c>
      <c r="T826" s="33" t="s">
        <v>3231</v>
      </c>
      <c r="U826" s="33"/>
      <c r="V826" s="33"/>
      <c r="W826" s="33" t="s">
        <v>328</v>
      </c>
      <c r="X826" s="43">
        <v>46156.659722222219</v>
      </c>
      <c r="Y826" s="58">
        <v>1.1805555555555555E-2</v>
      </c>
      <c r="Z826" s="33" t="s">
        <v>3411</v>
      </c>
      <c r="AA826" s="43">
        <v>46161.291666666664</v>
      </c>
      <c r="AB826" s="33" t="s">
        <v>3232</v>
      </c>
      <c r="AC826" s="33" t="s">
        <v>3233</v>
      </c>
      <c r="AD826" s="58">
        <v>7.7083333333333337E-2</v>
      </c>
      <c r="AE826" s="33"/>
      <c r="AF826" s="58">
        <v>7.7083333333333337E-2</v>
      </c>
      <c r="AG826" s="33" t="s">
        <v>1496</v>
      </c>
      <c r="AH826" s="33">
        <v>3</v>
      </c>
      <c r="AI826" s="43">
        <v>46156.961111111108</v>
      </c>
      <c r="AJ826" s="33" t="s">
        <v>73</v>
      </c>
      <c r="AK826" s="42">
        <v>317024.42</v>
      </c>
      <c r="AL826" s="33" t="s">
        <v>2032</v>
      </c>
    </row>
    <row r="827" spans="1:38">
      <c r="A827" s="33">
        <v>6021438</v>
      </c>
      <c r="B827" s="33"/>
      <c r="C827" s="33" t="s">
        <v>789</v>
      </c>
      <c r="D827" s="33" t="s">
        <v>3412</v>
      </c>
      <c r="E827" s="33" t="s">
        <v>3413</v>
      </c>
      <c r="F827" s="43">
        <v>46156.594444444447</v>
      </c>
      <c r="G827" s="33" t="s">
        <v>114</v>
      </c>
      <c r="H827" s="33"/>
      <c r="I827" s="33" t="s">
        <v>73</v>
      </c>
      <c r="J827" s="33" t="s">
        <v>3414</v>
      </c>
      <c r="K827" s="33" t="s">
        <v>75</v>
      </c>
      <c r="L827" s="33" t="s">
        <v>3415</v>
      </c>
      <c r="M827" s="43">
        <v>46157.628634259258</v>
      </c>
      <c r="N827" s="33" t="s">
        <v>3416</v>
      </c>
      <c r="O827" s="33" t="s">
        <v>797</v>
      </c>
      <c r="P827" s="33" t="s">
        <v>140</v>
      </c>
      <c r="Q827" s="43">
        <v>46156.626388888886</v>
      </c>
      <c r="R827" s="43">
        <v>46157.478472222225</v>
      </c>
      <c r="S827" s="58">
        <v>0.8520833333333333</v>
      </c>
      <c r="T827" s="33" t="s">
        <v>3417</v>
      </c>
      <c r="U827" s="43">
        <v>46157.51666666667</v>
      </c>
      <c r="V827" s="58">
        <v>9.3055555555555558E-2</v>
      </c>
      <c r="W827" s="33"/>
      <c r="X827" s="33"/>
      <c r="Y827" s="33"/>
      <c r="Z827" s="33" t="s">
        <v>3417</v>
      </c>
      <c r="AA827" s="43">
        <v>46157.509722222225</v>
      </c>
      <c r="AB827" s="33" t="s">
        <v>81</v>
      </c>
      <c r="AC827" s="33" t="s">
        <v>3418</v>
      </c>
      <c r="AD827" s="44">
        <v>1.0090277777777779</v>
      </c>
      <c r="AE827" s="33"/>
      <c r="AF827" s="44">
        <v>1.0090277777777779</v>
      </c>
      <c r="AG827" s="33"/>
      <c r="AH827" s="33">
        <v>2</v>
      </c>
      <c r="AI827" s="43">
        <v>46157.51666666667</v>
      </c>
      <c r="AJ827" s="33" t="s">
        <v>73</v>
      </c>
      <c r="AK827" s="42">
        <v>225978</v>
      </c>
      <c r="AL827" s="33" t="s">
        <v>3419</v>
      </c>
    </row>
    <row r="828" spans="1:38">
      <c r="A828" s="33" t="s">
        <v>3420</v>
      </c>
      <c r="B828" s="33"/>
      <c r="C828" s="33" t="s">
        <v>789</v>
      </c>
      <c r="D828" s="33" t="s">
        <v>1967</v>
      </c>
      <c r="E828" s="33" t="s">
        <v>3421</v>
      </c>
      <c r="F828" s="43">
        <v>46156.75</v>
      </c>
      <c r="G828" s="33" t="s">
        <v>792</v>
      </c>
      <c r="H828" s="33"/>
      <c r="I828" s="33" t="s">
        <v>793</v>
      </c>
      <c r="J828" s="33" t="s">
        <v>2049</v>
      </c>
      <c r="K828" s="33" t="s">
        <v>75</v>
      </c>
      <c r="L828" s="33" t="s">
        <v>806</v>
      </c>
      <c r="M828" s="43">
        <v>46157.218576388892</v>
      </c>
      <c r="N828" s="33" t="s">
        <v>1969</v>
      </c>
      <c r="O828" s="33" t="s">
        <v>797</v>
      </c>
      <c r="P828" s="33" t="s">
        <v>1963</v>
      </c>
      <c r="Q828" s="43">
        <v>46156.679861111108</v>
      </c>
      <c r="R828" s="43">
        <v>46156.70208333333</v>
      </c>
      <c r="S828" s="58">
        <v>2.2222222222222223E-2</v>
      </c>
      <c r="T828" s="33" t="s">
        <v>799</v>
      </c>
      <c r="U828" s="43">
        <v>46157.216666666667</v>
      </c>
      <c r="V828" s="58">
        <v>2.0833333333333333E-3</v>
      </c>
      <c r="W828" s="33" t="s">
        <v>799</v>
      </c>
      <c r="X828" s="43">
        <v>46157.216666666667</v>
      </c>
      <c r="Y828" s="58">
        <v>2.0833333333333333E-3</v>
      </c>
      <c r="Z828" s="33" t="s">
        <v>799</v>
      </c>
      <c r="AA828" s="43">
        <v>46156.818055555559</v>
      </c>
      <c r="AB828" s="33" t="s">
        <v>81</v>
      </c>
      <c r="AC828" s="33" t="s">
        <v>2076</v>
      </c>
      <c r="AD828" s="58">
        <v>0.55694444444444446</v>
      </c>
      <c r="AE828" s="58">
        <v>0.51666666666666672</v>
      </c>
      <c r="AF828" s="58">
        <v>0.55694444444444446</v>
      </c>
      <c r="AG828" s="33" t="s">
        <v>1970</v>
      </c>
      <c r="AH828" s="33">
        <v>2</v>
      </c>
      <c r="AI828" s="43">
        <v>46157.216666666667</v>
      </c>
      <c r="AJ828" s="33" t="s">
        <v>793</v>
      </c>
      <c r="AK828" s="42">
        <v>2073173.11</v>
      </c>
      <c r="AL828" s="33" t="s">
        <v>1971</v>
      </c>
    </row>
    <row r="829" spans="1:38">
      <c r="A829" s="33">
        <v>6022155</v>
      </c>
      <c r="B829" s="33"/>
      <c r="C829" s="33" t="s">
        <v>789</v>
      </c>
      <c r="D829" s="33" t="s">
        <v>3422</v>
      </c>
      <c r="E829" s="33" t="s">
        <v>3423</v>
      </c>
      <c r="F829" s="43">
        <v>46156.644444444442</v>
      </c>
      <c r="G829" s="33" t="s">
        <v>227</v>
      </c>
      <c r="H829" s="33"/>
      <c r="I829" s="33" t="s">
        <v>73</v>
      </c>
      <c r="J829" s="33" t="s">
        <v>2977</v>
      </c>
      <c r="K829" s="33" t="s">
        <v>75</v>
      </c>
      <c r="L829" s="33" t="s">
        <v>1738</v>
      </c>
      <c r="M829" s="43">
        <v>46157.033472222225</v>
      </c>
      <c r="N829" s="33" t="s">
        <v>3424</v>
      </c>
      <c r="O829" s="33" t="s">
        <v>797</v>
      </c>
      <c r="P829" s="33" t="s">
        <v>79</v>
      </c>
      <c r="Q829" s="33"/>
      <c r="R829" s="33"/>
      <c r="S829" s="33"/>
      <c r="T829" s="33" t="s">
        <v>176</v>
      </c>
      <c r="U829" s="33"/>
      <c r="V829" s="33"/>
      <c r="W829" s="33" t="s">
        <v>1740</v>
      </c>
      <c r="X829" s="43">
        <v>46157.01458333333</v>
      </c>
      <c r="Y829" s="58">
        <v>2.0833333333333332E-2</v>
      </c>
      <c r="Z829" s="33" t="s">
        <v>176</v>
      </c>
      <c r="AA829" s="43">
        <v>46162.291666666664</v>
      </c>
      <c r="AB829" s="33" t="s">
        <v>2978</v>
      </c>
      <c r="AC829" s="33" t="s">
        <v>2979</v>
      </c>
      <c r="AD829" s="58">
        <v>0.38750000000000001</v>
      </c>
      <c r="AE829" s="33"/>
      <c r="AF829" s="58">
        <v>0.38750000000000001</v>
      </c>
      <c r="AG829" s="33" t="s">
        <v>3356</v>
      </c>
      <c r="AH829" s="33">
        <v>3</v>
      </c>
      <c r="AI829" s="43">
        <v>46157.114583333336</v>
      </c>
      <c r="AJ829" s="33" t="s">
        <v>73</v>
      </c>
      <c r="AK829" s="42">
        <v>142465.47</v>
      </c>
      <c r="AL829" s="33" t="s">
        <v>3425</v>
      </c>
    </row>
    <row r="830" spans="1:38">
      <c r="A830" s="33">
        <v>5992148</v>
      </c>
      <c r="B830" s="33"/>
      <c r="C830" s="33" t="s">
        <v>789</v>
      </c>
      <c r="D830" s="33" t="s">
        <v>1689</v>
      </c>
      <c r="E830" s="33" t="s">
        <v>3426</v>
      </c>
      <c r="F830" s="43">
        <v>46156.75</v>
      </c>
      <c r="G830" s="33" t="s">
        <v>792</v>
      </c>
      <c r="H830" s="33"/>
      <c r="I830" s="33" t="s">
        <v>793</v>
      </c>
      <c r="J830" s="33" t="s">
        <v>1382</v>
      </c>
      <c r="K830" s="33" t="s">
        <v>75</v>
      </c>
      <c r="L830" s="33" t="s">
        <v>1184</v>
      </c>
      <c r="M830" s="43">
        <v>46156.820937500001</v>
      </c>
      <c r="N830" s="33" t="s">
        <v>1692</v>
      </c>
      <c r="O830" s="33" t="s">
        <v>797</v>
      </c>
      <c r="P830" s="33" t="s">
        <v>799</v>
      </c>
      <c r="Q830" s="33"/>
      <c r="R830" s="33"/>
      <c r="S830" s="33"/>
      <c r="T830" s="33" t="s">
        <v>140</v>
      </c>
      <c r="U830" s="43">
        <v>46156.654861111114</v>
      </c>
      <c r="V830" s="58">
        <v>1.3888888888888889E-3</v>
      </c>
      <c r="W830" s="33"/>
      <c r="X830" s="33"/>
      <c r="Y830" s="33"/>
      <c r="Z830" s="33" t="s">
        <v>140</v>
      </c>
      <c r="AA830" s="43">
        <v>46157.875</v>
      </c>
      <c r="AB830" s="33" t="s">
        <v>81</v>
      </c>
      <c r="AC830" s="33" t="s">
        <v>3427</v>
      </c>
      <c r="AD830" s="58">
        <v>0.1701388888888889</v>
      </c>
      <c r="AE830" s="33"/>
      <c r="AF830" s="58">
        <v>0.1701388888888889</v>
      </c>
      <c r="AG830" s="33" t="s">
        <v>1693</v>
      </c>
      <c r="AH830" s="33">
        <v>1</v>
      </c>
      <c r="AI830" s="43">
        <v>46156.654861111114</v>
      </c>
      <c r="AJ830" s="33" t="s">
        <v>793</v>
      </c>
      <c r="AK830" s="42">
        <v>264490.33</v>
      </c>
      <c r="AL830" s="33" t="s">
        <v>1694</v>
      </c>
    </row>
    <row r="831" spans="1:38">
      <c r="A831" s="33">
        <v>5960239</v>
      </c>
      <c r="B831" s="33"/>
      <c r="C831" s="33" t="s">
        <v>789</v>
      </c>
      <c r="D831" s="33" t="s">
        <v>1032</v>
      </c>
      <c r="E831" s="33" t="s">
        <v>3428</v>
      </c>
      <c r="F831" s="43">
        <v>46156.708333333336</v>
      </c>
      <c r="G831" s="33" t="s">
        <v>792</v>
      </c>
      <c r="H831" s="33"/>
      <c r="I831" s="33" t="s">
        <v>793</v>
      </c>
      <c r="J831" s="33" t="s">
        <v>1382</v>
      </c>
      <c r="K831" s="33" t="s">
        <v>75</v>
      </c>
      <c r="L831" s="33" t="s">
        <v>1148</v>
      </c>
      <c r="M831" s="43">
        <v>46156.762372685182</v>
      </c>
      <c r="N831" s="33" t="s">
        <v>1036</v>
      </c>
      <c r="O831" s="33" t="s">
        <v>797</v>
      </c>
      <c r="P831" s="33" t="s">
        <v>799</v>
      </c>
      <c r="Q831" s="43">
        <v>46156.671527777777</v>
      </c>
      <c r="R831" s="43">
        <v>46156.719444444447</v>
      </c>
      <c r="S831" s="58">
        <v>4.791666666666667E-2</v>
      </c>
      <c r="T831" s="33" t="s">
        <v>140</v>
      </c>
      <c r="U831" s="43">
        <v>46156.751388888886</v>
      </c>
      <c r="V831" s="58">
        <v>1.0416666666666666E-2</v>
      </c>
      <c r="W831" s="33" t="s">
        <v>140</v>
      </c>
      <c r="X831" s="43">
        <v>46156.751388888886</v>
      </c>
      <c r="Y831" s="58">
        <v>1.0416666666666666E-2</v>
      </c>
      <c r="Z831" s="33" t="s">
        <v>140</v>
      </c>
      <c r="AA831" s="43">
        <v>46156.745138888888</v>
      </c>
      <c r="AB831" s="33" t="s">
        <v>81</v>
      </c>
      <c r="AC831" s="33" t="s">
        <v>3427</v>
      </c>
      <c r="AD831" s="58">
        <v>0.10277777777777777</v>
      </c>
      <c r="AE831" s="58">
        <v>4.2361111111111113E-2</v>
      </c>
      <c r="AF831" s="58">
        <v>0.10277777777777777</v>
      </c>
      <c r="AG831" s="33" t="s">
        <v>1175</v>
      </c>
      <c r="AH831" s="33">
        <v>2</v>
      </c>
      <c r="AI831" s="43">
        <v>46156.751388888886</v>
      </c>
      <c r="AJ831" s="33" t="s">
        <v>793</v>
      </c>
      <c r="AK831" s="42">
        <v>917631.16</v>
      </c>
      <c r="AL831" s="33" t="s">
        <v>1039</v>
      </c>
    </row>
    <row r="832" spans="1:38">
      <c r="A832" s="33">
        <v>5984280</v>
      </c>
      <c r="B832" s="33"/>
      <c r="C832" s="33" t="s">
        <v>789</v>
      </c>
      <c r="D832" s="33" t="s">
        <v>1156</v>
      </c>
      <c r="E832" s="33" t="s">
        <v>3429</v>
      </c>
      <c r="F832" s="43">
        <v>46156.708333333336</v>
      </c>
      <c r="G832" s="33" t="s">
        <v>792</v>
      </c>
      <c r="H832" s="33"/>
      <c r="I832" s="33" t="s">
        <v>793</v>
      </c>
      <c r="J832" s="33" t="s">
        <v>1382</v>
      </c>
      <c r="K832" s="33" t="s">
        <v>75</v>
      </c>
      <c r="L832" s="33" t="s">
        <v>2150</v>
      </c>
      <c r="M832" s="43">
        <v>46156.837071759262</v>
      </c>
      <c r="N832" s="33" t="s">
        <v>1160</v>
      </c>
      <c r="O832" s="33" t="s">
        <v>175</v>
      </c>
      <c r="P832" s="33" t="s">
        <v>799</v>
      </c>
      <c r="Q832" s="33"/>
      <c r="R832" s="33"/>
      <c r="S832" s="33"/>
      <c r="T832" s="33" t="s">
        <v>140</v>
      </c>
      <c r="U832" s="43">
        <v>46156.656944444447</v>
      </c>
      <c r="V832" s="58">
        <v>1.3888888888888889E-3</v>
      </c>
      <c r="W832" s="33"/>
      <c r="X832" s="33"/>
      <c r="Y832" s="33"/>
      <c r="Z832" s="33" t="s">
        <v>140</v>
      </c>
      <c r="AA832" s="43">
        <v>46157.875</v>
      </c>
      <c r="AB832" s="33" t="s">
        <v>81</v>
      </c>
      <c r="AC832" s="33" t="s">
        <v>3427</v>
      </c>
      <c r="AD832" s="58">
        <v>0.17986111111111111</v>
      </c>
      <c r="AE832" s="33"/>
      <c r="AF832" s="58">
        <v>0.17986111111111111</v>
      </c>
      <c r="AG832" s="33" t="s">
        <v>1161</v>
      </c>
      <c r="AH832" s="33">
        <v>1</v>
      </c>
      <c r="AI832" s="43">
        <v>46156.656944444447</v>
      </c>
      <c r="AJ832" s="33" t="s">
        <v>793</v>
      </c>
      <c r="AK832" s="42">
        <v>557057.19999999995</v>
      </c>
      <c r="AL832" s="33" t="s">
        <v>1162</v>
      </c>
    </row>
    <row r="833" spans="1:38">
      <c r="A833" s="33">
        <v>6009848</v>
      </c>
      <c r="B833" s="33"/>
      <c r="C833" s="33" t="s">
        <v>789</v>
      </c>
      <c r="D833" s="33" t="s">
        <v>1708</v>
      </c>
      <c r="E833" s="33" t="s">
        <v>3430</v>
      </c>
      <c r="F833" s="43">
        <v>46156.708333333336</v>
      </c>
      <c r="G833" s="33" t="s">
        <v>792</v>
      </c>
      <c r="H833" s="33"/>
      <c r="I833" s="33" t="s">
        <v>793</v>
      </c>
      <c r="J833" s="33" t="s">
        <v>1398</v>
      </c>
      <c r="K833" s="33" t="s">
        <v>75</v>
      </c>
      <c r="L833" s="33" t="s">
        <v>1189</v>
      </c>
      <c r="M833" s="43">
        <v>46156.938402777778</v>
      </c>
      <c r="N833" s="33" t="s">
        <v>1710</v>
      </c>
      <c r="O833" s="33" t="s">
        <v>797</v>
      </c>
      <c r="P833" s="33" t="s">
        <v>1963</v>
      </c>
      <c r="Q833" s="43">
        <v>46156.794444444444</v>
      </c>
      <c r="R833" s="43">
        <v>46156.823611111111</v>
      </c>
      <c r="S833" s="58">
        <v>2.9166666666666667E-2</v>
      </c>
      <c r="T833" s="33" t="s">
        <v>140</v>
      </c>
      <c r="U833" s="43">
        <v>46156.932638888888</v>
      </c>
      <c r="V833" s="58">
        <v>6.2500000000000003E-3</v>
      </c>
      <c r="W833" s="33" t="s">
        <v>140</v>
      </c>
      <c r="X833" s="43">
        <v>46156.932638888888</v>
      </c>
      <c r="Y833" s="58">
        <v>6.2500000000000003E-3</v>
      </c>
      <c r="Z833" s="33" t="s">
        <v>140</v>
      </c>
      <c r="AA833" s="43">
        <v>46156.927083333336</v>
      </c>
      <c r="AB833" s="33" t="s">
        <v>81</v>
      </c>
      <c r="AC833" s="33" t="s">
        <v>1400</v>
      </c>
      <c r="AD833" s="58">
        <v>0.28055555555555556</v>
      </c>
      <c r="AE833" s="58">
        <v>0.11458333333333333</v>
      </c>
      <c r="AF833" s="58">
        <v>0.28055555555555556</v>
      </c>
      <c r="AG833" s="33" t="s">
        <v>1711</v>
      </c>
      <c r="AH833" s="33">
        <v>2</v>
      </c>
      <c r="AI833" s="43">
        <v>46156.932638888888</v>
      </c>
      <c r="AJ833" s="33" t="s">
        <v>793</v>
      </c>
      <c r="AK833" s="42">
        <v>855386.4</v>
      </c>
      <c r="AL833" s="33" t="s">
        <v>1712</v>
      </c>
    </row>
    <row r="834" spans="1:38">
      <c r="A834" s="33">
        <v>6010638</v>
      </c>
      <c r="B834" s="33"/>
      <c r="C834" s="33" t="s">
        <v>789</v>
      </c>
      <c r="D834" s="33" t="s">
        <v>827</v>
      </c>
      <c r="E834" s="33" t="s">
        <v>3431</v>
      </c>
      <c r="F834" s="43">
        <v>46156.791666666664</v>
      </c>
      <c r="G834" s="33" t="s">
        <v>792</v>
      </c>
      <c r="H834" s="33"/>
      <c r="I834" s="33" t="s">
        <v>793</v>
      </c>
      <c r="J834" s="33" t="s">
        <v>2049</v>
      </c>
      <c r="K834" s="33" t="s">
        <v>453</v>
      </c>
      <c r="L834" s="33" t="s">
        <v>857</v>
      </c>
      <c r="M834" s="43">
        <v>46156.895798611113</v>
      </c>
      <c r="N834" s="33" t="s">
        <v>831</v>
      </c>
      <c r="O834" s="33" t="s">
        <v>797</v>
      </c>
      <c r="P834" s="33" t="s">
        <v>1963</v>
      </c>
      <c r="Q834" s="43">
        <v>46156.690972222219</v>
      </c>
      <c r="R834" s="43">
        <v>46156.748611111114</v>
      </c>
      <c r="S834" s="58">
        <v>5.7638888888888892E-2</v>
      </c>
      <c r="T834" s="33" t="s">
        <v>799</v>
      </c>
      <c r="U834" s="43">
        <v>46156.886111111111</v>
      </c>
      <c r="V834" s="58">
        <v>9.7222222222222224E-3</v>
      </c>
      <c r="W834" s="33" t="s">
        <v>799</v>
      </c>
      <c r="X834" s="43">
        <v>46156.886111111111</v>
      </c>
      <c r="Y834" s="58">
        <v>9.7222222222222224E-3</v>
      </c>
      <c r="Z834" s="33" t="s">
        <v>799</v>
      </c>
      <c r="AA834" s="43">
        <v>46156.864583333336</v>
      </c>
      <c r="AB834" s="33" t="s">
        <v>81</v>
      </c>
      <c r="AC834" s="33" t="s">
        <v>2076</v>
      </c>
      <c r="AD834" s="58">
        <v>0.22916666666666666</v>
      </c>
      <c r="AE834" s="58">
        <v>0.14652777777777778</v>
      </c>
      <c r="AF834" s="58">
        <v>0.22916666666666666</v>
      </c>
      <c r="AG834" s="33" t="s">
        <v>832</v>
      </c>
      <c r="AH834" s="33">
        <v>2</v>
      </c>
      <c r="AI834" s="43">
        <v>46156.886111111111</v>
      </c>
      <c r="AJ834" s="33" t="s">
        <v>793</v>
      </c>
      <c r="AK834" s="42">
        <v>997277.04</v>
      </c>
      <c r="AL834" s="33" t="s">
        <v>833</v>
      </c>
    </row>
    <row r="835" spans="1:38">
      <c r="A835" s="33" t="s">
        <v>3432</v>
      </c>
      <c r="B835" s="33"/>
      <c r="C835" s="33" t="s">
        <v>789</v>
      </c>
      <c r="D835" s="33" t="s">
        <v>2697</v>
      </c>
      <c r="E835" s="33" t="s">
        <v>3433</v>
      </c>
      <c r="F835" s="43">
        <v>46156.656944444447</v>
      </c>
      <c r="G835" s="33" t="s">
        <v>216</v>
      </c>
      <c r="H835" s="33"/>
      <c r="I835" s="33" t="s">
        <v>73</v>
      </c>
      <c r="J835" s="33" t="s">
        <v>3434</v>
      </c>
      <c r="K835" s="33" t="s">
        <v>75</v>
      </c>
      <c r="L835" s="33" t="s">
        <v>3435</v>
      </c>
      <c r="M835" s="43">
        <v>46157.708287037036</v>
      </c>
      <c r="N835" s="33" t="s">
        <v>219</v>
      </c>
      <c r="O835" s="33" t="s">
        <v>797</v>
      </c>
      <c r="P835" s="33" t="s">
        <v>140</v>
      </c>
      <c r="Q835" s="43">
        <v>46156.688888888886</v>
      </c>
      <c r="R835" s="43">
        <v>46156.69027777778</v>
      </c>
      <c r="S835" s="58">
        <v>1.3888888888888889E-3</v>
      </c>
      <c r="T835" s="33" t="s">
        <v>1540</v>
      </c>
      <c r="U835" s="33"/>
      <c r="V835" s="33"/>
      <c r="W835" s="33" t="s">
        <v>222</v>
      </c>
      <c r="X835" s="43">
        <v>46157.698611111111</v>
      </c>
      <c r="Y835" s="58">
        <v>1.0416666666666666E-2</v>
      </c>
      <c r="Z835" s="33" t="s">
        <v>3436</v>
      </c>
      <c r="AA835" s="43">
        <v>46161.333333333336</v>
      </c>
      <c r="AB835" s="33" t="s">
        <v>81</v>
      </c>
      <c r="AC835" s="33" t="s">
        <v>3437</v>
      </c>
      <c r="AD835" s="44">
        <v>1.0423611111111111</v>
      </c>
      <c r="AE835" s="33"/>
      <c r="AF835" s="44">
        <v>1.0423611111111111</v>
      </c>
      <c r="AG835" s="33"/>
      <c r="AH835" s="33">
        <v>2</v>
      </c>
      <c r="AI835" s="43">
        <v>46157.740277777775</v>
      </c>
      <c r="AJ835" s="33" t="s">
        <v>73</v>
      </c>
      <c r="AK835" s="42">
        <v>348766.43</v>
      </c>
      <c r="AL835" s="33" t="s">
        <v>2026</v>
      </c>
    </row>
    <row r="836" spans="1:38">
      <c r="A836" s="33">
        <v>6010631</v>
      </c>
      <c r="B836" s="33"/>
      <c r="C836" s="33" t="s">
        <v>789</v>
      </c>
      <c r="D836" s="33" t="s">
        <v>1056</v>
      </c>
      <c r="E836" s="33" t="s">
        <v>3438</v>
      </c>
      <c r="F836" s="43">
        <v>46156.791666666664</v>
      </c>
      <c r="G836" s="33" t="s">
        <v>792</v>
      </c>
      <c r="H836" s="33"/>
      <c r="I836" s="33" t="s">
        <v>793</v>
      </c>
      <c r="J836" s="33" t="s">
        <v>1392</v>
      </c>
      <c r="K836" s="33" t="s">
        <v>1989</v>
      </c>
      <c r="L836" s="33" t="s">
        <v>1064</v>
      </c>
      <c r="M836" s="43">
        <v>46156.958541666667</v>
      </c>
      <c r="N836" s="33" t="s">
        <v>1060</v>
      </c>
      <c r="O836" s="33" t="s">
        <v>797</v>
      </c>
      <c r="P836" s="33" t="s">
        <v>1963</v>
      </c>
      <c r="Q836" s="43">
        <v>46156.800000000003</v>
      </c>
      <c r="R836" s="43">
        <v>46156.847222222219</v>
      </c>
      <c r="S836" s="58">
        <v>4.7222222222222221E-2</v>
      </c>
      <c r="T836" s="33" t="s">
        <v>799</v>
      </c>
      <c r="U836" s="33"/>
      <c r="V836" s="33"/>
      <c r="W836" s="33"/>
      <c r="X836" s="33"/>
      <c r="Y836" s="33"/>
      <c r="Z836" s="33" t="s">
        <v>799</v>
      </c>
      <c r="AA836" s="43">
        <v>46156.963194444441</v>
      </c>
      <c r="AB836" s="33" t="s">
        <v>606</v>
      </c>
      <c r="AC836" s="33" t="s">
        <v>1395</v>
      </c>
      <c r="AD836" s="58">
        <v>0.29722222222222222</v>
      </c>
      <c r="AE836" s="33"/>
      <c r="AF836" s="58">
        <v>0.29722222222222222</v>
      </c>
      <c r="AG836" s="33" t="s">
        <v>1061</v>
      </c>
      <c r="AH836" s="33">
        <v>1</v>
      </c>
      <c r="AI836" s="43">
        <v>46156.959722222222</v>
      </c>
      <c r="AJ836" s="33" t="s">
        <v>793</v>
      </c>
      <c r="AK836" s="42">
        <v>643392.21</v>
      </c>
      <c r="AL836" s="33" t="s">
        <v>1062</v>
      </c>
    </row>
    <row r="837" spans="1:38">
      <c r="A837" s="33">
        <v>6010685</v>
      </c>
      <c r="B837" s="33"/>
      <c r="C837" s="33" t="s">
        <v>789</v>
      </c>
      <c r="D837" s="33" t="s">
        <v>817</v>
      </c>
      <c r="E837" s="33" t="s">
        <v>3439</v>
      </c>
      <c r="F837" s="43">
        <v>46156.791666666664</v>
      </c>
      <c r="G837" s="33" t="s">
        <v>792</v>
      </c>
      <c r="H837" s="33"/>
      <c r="I837" s="33" t="s">
        <v>793</v>
      </c>
      <c r="J837" s="33" t="s">
        <v>2859</v>
      </c>
      <c r="K837" s="33" t="s">
        <v>75</v>
      </c>
      <c r="L837" s="33" t="s">
        <v>806</v>
      </c>
      <c r="M837" s="43">
        <v>46156.948703703703</v>
      </c>
      <c r="N837" s="33" t="s">
        <v>822</v>
      </c>
      <c r="O837" s="33" t="s">
        <v>797</v>
      </c>
      <c r="P837" s="33" t="s">
        <v>1963</v>
      </c>
      <c r="Q837" s="43">
        <v>46156.795138888891</v>
      </c>
      <c r="R837" s="43">
        <v>46156.825694444444</v>
      </c>
      <c r="S837" s="58">
        <v>3.0555555555555555E-2</v>
      </c>
      <c r="T837" s="33" t="s">
        <v>799</v>
      </c>
      <c r="U837" s="43">
        <v>46156.939583333333</v>
      </c>
      <c r="V837" s="58">
        <v>9.7222222222222224E-3</v>
      </c>
      <c r="W837" s="33" t="s">
        <v>799</v>
      </c>
      <c r="X837" s="43">
        <v>46156.939583333333</v>
      </c>
      <c r="Y837" s="58">
        <v>9.7222222222222224E-3</v>
      </c>
      <c r="Z837" s="33" t="s">
        <v>799</v>
      </c>
      <c r="AA837" s="43">
        <v>46156.941666666666</v>
      </c>
      <c r="AB837" s="33" t="s">
        <v>81</v>
      </c>
      <c r="AC837" s="33" t="s">
        <v>2262</v>
      </c>
      <c r="AD837" s="58">
        <v>0.27361111111111114</v>
      </c>
      <c r="AE837" s="58">
        <v>0.12291666666666666</v>
      </c>
      <c r="AF837" s="58">
        <v>0.27361111111111114</v>
      </c>
      <c r="AG837" s="33" t="s">
        <v>825</v>
      </c>
      <c r="AH837" s="33">
        <v>2</v>
      </c>
      <c r="AI837" s="43">
        <v>46156.939583333333</v>
      </c>
      <c r="AJ837" s="33" t="s">
        <v>793</v>
      </c>
      <c r="AK837" s="42">
        <v>1000345.28</v>
      </c>
      <c r="AL837" s="33" t="s">
        <v>826</v>
      </c>
    </row>
    <row r="838" spans="1:38">
      <c r="A838" s="33">
        <v>6013223</v>
      </c>
      <c r="B838" s="33"/>
      <c r="C838" s="33" t="s">
        <v>789</v>
      </c>
      <c r="D838" s="33" t="s">
        <v>2057</v>
      </c>
      <c r="E838" s="33" t="s">
        <v>3440</v>
      </c>
      <c r="F838" s="43">
        <v>46156.680555555555</v>
      </c>
      <c r="G838" s="33" t="s">
        <v>227</v>
      </c>
      <c r="H838" s="33"/>
      <c r="I838" s="33" t="s">
        <v>73</v>
      </c>
      <c r="J838" s="33" t="s">
        <v>2545</v>
      </c>
      <c r="K838" s="33" t="s">
        <v>75</v>
      </c>
      <c r="L838" s="33" t="s">
        <v>3441</v>
      </c>
      <c r="M838" s="43">
        <v>46156.836736111109</v>
      </c>
      <c r="N838" s="33" t="s">
        <v>2061</v>
      </c>
      <c r="O838" s="33" t="s">
        <v>797</v>
      </c>
      <c r="P838" s="33" t="s">
        <v>140</v>
      </c>
      <c r="Q838" s="33"/>
      <c r="R838" s="33"/>
      <c r="S838" s="33"/>
      <c r="T838" s="33" t="s">
        <v>286</v>
      </c>
      <c r="U838" s="33"/>
      <c r="V838" s="33"/>
      <c r="W838" s="33" t="s">
        <v>1740</v>
      </c>
      <c r="X838" s="43">
        <v>46156.720138888886</v>
      </c>
      <c r="Y838" s="58">
        <v>0.11874999999999999</v>
      </c>
      <c r="Z838" s="33" t="s">
        <v>286</v>
      </c>
      <c r="AA838" s="43">
        <v>46161.25</v>
      </c>
      <c r="AB838" s="33" t="s">
        <v>1805</v>
      </c>
      <c r="AC838" s="33" t="s">
        <v>2546</v>
      </c>
      <c r="AD838" s="58">
        <v>0.16388888888888889</v>
      </c>
      <c r="AE838" s="33"/>
      <c r="AF838" s="58">
        <v>0.16388888888888889</v>
      </c>
      <c r="AG838" s="33" t="s">
        <v>3136</v>
      </c>
      <c r="AH838" s="33">
        <v>1</v>
      </c>
      <c r="AI838" s="43">
        <v>46157.137499999997</v>
      </c>
      <c r="AJ838" s="33" t="s">
        <v>73</v>
      </c>
      <c r="AK838" s="42">
        <v>402410.01</v>
      </c>
      <c r="AL838" s="33" t="s">
        <v>2063</v>
      </c>
    </row>
    <row r="839" spans="1:38">
      <c r="A839" s="33">
        <v>6022148</v>
      </c>
      <c r="B839" s="33"/>
      <c r="C839" s="33" t="s">
        <v>789</v>
      </c>
      <c r="D839" s="33" t="s">
        <v>778</v>
      </c>
      <c r="E839" s="33" t="s">
        <v>3442</v>
      </c>
      <c r="F839" s="43">
        <v>46156.681944444441</v>
      </c>
      <c r="G839" s="33" t="s">
        <v>724</v>
      </c>
      <c r="H839" s="33"/>
      <c r="I839" s="33" t="s">
        <v>73</v>
      </c>
      <c r="J839" s="33" t="s">
        <v>172</v>
      </c>
      <c r="K839" s="33" t="s">
        <v>873</v>
      </c>
      <c r="L839" s="33" t="s">
        <v>3443</v>
      </c>
      <c r="M839" s="43">
        <v>46156.892326388886</v>
      </c>
      <c r="N839" s="33" t="s">
        <v>296</v>
      </c>
      <c r="O839" s="33" t="s">
        <v>797</v>
      </c>
      <c r="P839" s="33" t="s">
        <v>79</v>
      </c>
      <c r="Q839" s="33"/>
      <c r="R839" s="33"/>
      <c r="S839" s="33"/>
      <c r="T839" s="33" t="s">
        <v>176</v>
      </c>
      <c r="U839" s="33"/>
      <c r="V839" s="33"/>
      <c r="W839" s="33" t="s">
        <v>3367</v>
      </c>
      <c r="X839" s="43">
        <v>46156.878472222219</v>
      </c>
      <c r="Y839" s="58">
        <v>1.5972222222222221E-2</v>
      </c>
      <c r="Z839" s="33" t="s">
        <v>176</v>
      </c>
      <c r="AA839" s="43">
        <v>46161.291666666664</v>
      </c>
      <c r="AB839" s="33" t="s">
        <v>3444</v>
      </c>
      <c r="AC839" s="33" t="s">
        <v>179</v>
      </c>
      <c r="AD839" s="58">
        <v>0.20624999999999999</v>
      </c>
      <c r="AE839" s="33"/>
      <c r="AF839" s="58">
        <v>0.20624999999999999</v>
      </c>
      <c r="AG839" s="33" t="s">
        <v>3445</v>
      </c>
      <c r="AH839" s="33">
        <v>1</v>
      </c>
      <c r="AI839" s="43">
        <v>46157.402083333334</v>
      </c>
      <c r="AJ839" s="33" t="s">
        <v>73</v>
      </c>
      <c r="AK839" s="42">
        <v>136986.01</v>
      </c>
      <c r="AL839" s="33" t="s">
        <v>784</v>
      </c>
    </row>
    <row r="840" spans="1:38">
      <c r="A840" s="33">
        <v>6020564</v>
      </c>
      <c r="B840" s="33"/>
      <c r="C840" s="33" t="s">
        <v>789</v>
      </c>
      <c r="D840" s="33" t="s">
        <v>1657</v>
      </c>
      <c r="E840" s="33" t="s">
        <v>3446</v>
      </c>
      <c r="F840" s="43">
        <v>46156.697916666664</v>
      </c>
      <c r="G840" s="33" t="s">
        <v>227</v>
      </c>
      <c r="H840" s="33"/>
      <c r="I840" s="33" t="s">
        <v>73</v>
      </c>
      <c r="J840" s="33" t="s">
        <v>228</v>
      </c>
      <c r="K840" s="33" t="s">
        <v>75</v>
      </c>
      <c r="L840" s="33" t="s">
        <v>2432</v>
      </c>
      <c r="M840" s="43">
        <v>46156.774895833332</v>
      </c>
      <c r="N840" s="33" t="s">
        <v>230</v>
      </c>
      <c r="O840" s="33" t="s">
        <v>797</v>
      </c>
      <c r="P840" s="33" t="s">
        <v>79</v>
      </c>
      <c r="Q840" s="43">
        <v>46156.691666666666</v>
      </c>
      <c r="R840" s="43">
        <v>46156.709722222222</v>
      </c>
      <c r="S840" s="58">
        <v>1.8055555555555554E-2</v>
      </c>
      <c r="T840" s="33" t="s">
        <v>232</v>
      </c>
      <c r="U840" s="33"/>
      <c r="V840" s="33"/>
      <c r="W840" s="33"/>
      <c r="X840" s="33"/>
      <c r="Y840" s="33"/>
      <c r="Z840" s="33" t="s">
        <v>232</v>
      </c>
      <c r="AA840" s="43">
        <v>46157.373611111114</v>
      </c>
      <c r="AB840" s="33" t="s">
        <v>81</v>
      </c>
      <c r="AC840" s="33" t="s">
        <v>81</v>
      </c>
      <c r="AD840" s="58">
        <v>8.7499999999999994E-2</v>
      </c>
      <c r="AE840" s="33"/>
      <c r="AF840" s="58">
        <v>8.7499999999999994E-2</v>
      </c>
      <c r="AG840" s="33" t="s">
        <v>1663</v>
      </c>
      <c r="AH840" s="33">
        <v>2</v>
      </c>
      <c r="AI840" s="43">
        <v>46157.378472222219</v>
      </c>
      <c r="AJ840" s="33" t="s">
        <v>73</v>
      </c>
      <c r="AK840" s="42">
        <v>182300.68</v>
      </c>
      <c r="AL840" s="33" t="s">
        <v>1664</v>
      </c>
    </row>
    <row r="841" spans="1:38">
      <c r="A841" s="33">
        <v>6022152</v>
      </c>
      <c r="B841" s="33"/>
      <c r="C841" s="33" t="s">
        <v>789</v>
      </c>
      <c r="D841" s="33" t="s">
        <v>3447</v>
      </c>
      <c r="E841" s="33" t="s">
        <v>3448</v>
      </c>
      <c r="F841" s="43">
        <v>46156.6875</v>
      </c>
      <c r="G841" s="33" t="s">
        <v>724</v>
      </c>
      <c r="H841" s="33"/>
      <c r="I841" s="33" t="s">
        <v>73</v>
      </c>
      <c r="J841" s="33" t="s">
        <v>2986</v>
      </c>
      <c r="K841" s="33" t="s">
        <v>75</v>
      </c>
      <c r="L841" s="33" t="s">
        <v>3449</v>
      </c>
      <c r="M841" s="43">
        <v>46156.892789351848</v>
      </c>
      <c r="N841" s="33" t="s">
        <v>3450</v>
      </c>
      <c r="O841" s="33" t="s">
        <v>175</v>
      </c>
      <c r="P841" s="33" t="s">
        <v>79</v>
      </c>
      <c r="Q841" s="33"/>
      <c r="R841" s="33"/>
      <c r="S841" s="33"/>
      <c r="T841" s="33" t="s">
        <v>176</v>
      </c>
      <c r="U841" s="33"/>
      <c r="V841" s="33"/>
      <c r="W841" s="33" t="s">
        <v>3367</v>
      </c>
      <c r="X841" s="43">
        <v>46156.875</v>
      </c>
      <c r="Y841" s="58">
        <v>1.8749999999999999E-2</v>
      </c>
      <c r="Z841" s="33" t="s">
        <v>176</v>
      </c>
      <c r="AA841" s="43">
        <v>46162.291666666664</v>
      </c>
      <c r="AB841" s="33" t="s">
        <v>3368</v>
      </c>
      <c r="AC841" s="33" t="s">
        <v>3355</v>
      </c>
      <c r="AD841" s="58">
        <v>0.17291666666666666</v>
      </c>
      <c r="AE841" s="33"/>
      <c r="AF841" s="58">
        <v>0.17291666666666666</v>
      </c>
      <c r="AG841" s="33" t="s">
        <v>3451</v>
      </c>
      <c r="AH841" s="33">
        <v>1</v>
      </c>
      <c r="AI841" s="43">
        <v>46157.268055555556</v>
      </c>
      <c r="AJ841" s="33" t="s">
        <v>73</v>
      </c>
      <c r="AK841" s="42">
        <v>136986.01</v>
      </c>
      <c r="AL841" s="33" t="s">
        <v>3452</v>
      </c>
    </row>
    <row r="842" spans="1:38">
      <c r="A842" s="33">
        <v>6022154</v>
      </c>
      <c r="B842" s="33"/>
      <c r="C842" s="33" t="s">
        <v>789</v>
      </c>
      <c r="D842" s="33" t="s">
        <v>3257</v>
      </c>
      <c r="E842" s="33" t="s">
        <v>3453</v>
      </c>
      <c r="F842" s="43">
        <v>46156.690972222219</v>
      </c>
      <c r="G842" s="33" t="s">
        <v>724</v>
      </c>
      <c r="H842" s="33"/>
      <c r="I842" s="33" t="s">
        <v>73</v>
      </c>
      <c r="J842" s="33" t="s">
        <v>3454</v>
      </c>
      <c r="K842" s="33" t="s">
        <v>75</v>
      </c>
      <c r="L842" s="33" t="s">
        <v>3259</v>
      </c>
      <c r="M842" s="43">
        <v>46156.892997685187</v>
      </c>
      <c r="N842" s="33" t="s">
        <v>3260</v>
      </c>
      <c r="O842" s="33" t="s">
        <v>797</v>
      </c>
      <c r="P842" s="33" t="s">
        <v>79</v>
      </c>
      <c r="Q842" s="43">
        <v>46156.696527777778</v>
      </c>
      <c r="R842" s="43">
        <v>46156.739583333336</v>
      </c>
      <c r="S842" s="58">
        <v>4.3055555555555555E-2</v>
      </c>
      <c r="T842" s="33" t="s">
        <v>176</v>
      </c>
      <c r="U842" s="33"/>
      <c r="V842" s="33"/>
      <c r="W842" s="33" t="s">
        <v>3367</v>
      </c>
      <c r="X842" s="43">
        <v>46156.869444444441</v>
      </c>
      <c r="Y842" s="58">
        <v>2.4305555555555556E-2</v>
      </c>
      <c r="Z842" s="33" t="s">
        <v>176</v>
      </c>
      <c r="AA842" s="43">
        <v>46157.237500000003</v>
      </c>
      <c r="AB842" s="33" t="s">
        <v>3455</v>
      </c>
      <c r="AC842" s="33" t="s">
        <v>3456</v>
      </c>
      <c r="AD842" s="58">
        <v>0.18611111111111112</v>
      </c>
      <c r="AE842" s="33"/>
      <c r="AF842" s="58">
        <v>0.18611111111111112</v>
      </c>
      <c r="AG842" s="33" t="s">
        <v>3457</v>
      </c>
      <c r="AH842" s="33">
        <v>2</v>
      </c>
      <c r="AI842" s="43">
        <v>46157.25</v>
      </c>
      <c r="AJ842" s="33" t="s">
        <v>73</v>
      </c>
      <c r="AK842" s="42">
        <v>142465.45000000001</v>
      </c>
      <c r="AL842" s="33" t="s">
        <v>3262</v>
      </c>
    </row>
    <row r="843" spans="1:38">
      <c r="A843" s="33">
        <v>6013942</v>
      </c>
      <c r="B843" s="33"/>
      <c r="C843" s="33" t="s">
        <v>789</v>
      </c>
      <c r="D843" s="33" t="s">
        <v>2233</v>
      </c>
      <c r="E843" s="33" t="s">
        <v>3458</v>
      </c>
      <c r="F843" s="43">
        <v>46156.708333333336</v>
      </c>
      <c r="G843" s="33" t="s">
        <v>227</v>
      </c>
      <c r="H843" s="33"/>
      <c r="I843" s="33" t="s">
        <v>2699</v>
      </c>
      <c r="J843" s="33" t="s">
        <v>3459</v>
      </c>
      <c r="K843" s="33" t="s">
        <v>75</v>
      </c>
      <c r="L843" s="33" t="s">
        <v>1738</v>
      </c>
      <c r="M843" s="43">
        <v>46156.76635416667</v>
      </c>
      <c r="N843" s="33" t="s">
        <v>1810</v>
      </c>
      <c r="O843" s="33" t="s">
        <v>797</v>
      </c>
      <c r="P843" s="33" t="s">
        <v>2300</v>
      </c>
      <c r="Q843" s="43">
        <v>46156.696527777778</v>
      </c>
      <c r="R843" s="43">
        <v>46156.700694444444</v>
      </c>
      <c r="S843" s="58">
        <v>4.1666666666666666E-3</v>
      </c>
      <c r="T843" s="33" t="s">
        <v>1740</v>
      </c>
      <c r="U843" s="43">
        <v>46156.747916666667</v>
      </c>
      <c r="V843" s="58">
        <v>1.8055555555555554E-2</v>
      </c>
      <c r="W843" s="33" t="s">
        <v>1740</v>
      </c>
      <c r="X843" s="43">
        <v>46156.747916666667</v>
      </c>
      <c r="Y843" s="58">
        <v>1.8055555555555554E-2</v>
      </c>
      <c r="Z843" s="33" t="s">
        <v>1740</v>
      </c>
      <c r="AA843" s="43">
        <v>46156.727083333331</v>
      </c>
      <c r="AB843" s="33" t="s">
        <v>81</v>
      </c>
      <c r="AC843" s="33" t="s">
        <v>3460</v>
      </c>
      <c r="AD843" s="58">
        <v>6.9444444444444448E-2</v>
      </c>
      <c r="AE843" s="58">
        <v>6.5277777777777782E-2</v>
      </c>
      <c r="AF843" s="58">
        <v>6.9444444444444448E-2</v>
      </c>
      <c r="AG843" s="33" t="s">
        <v>2539</v>
      </c>
      <c r="AH843" s="33">
        <v>2</v>
      </c>
      <c r="AI843" s="43">
        <v>46156.747916666667</v>
      </c>
      <c r="AJ843" s="33" t="s">
        <v>73</v>
      </c>
      <c r="AK843" s="42">
        <v>107851.33</v>
      </c>
      <c r="AL843" s="33" t="s">
        <v>2236</v>
      </c>
    </row>
    <row r="844" spans="1:38">
      <c r="A844" s="33" t="s">
        <v>3461</v>
      </c>
      <c r="B844" s="33"/>
      <c r="C844" s="33" t="s">
        <v>789</v>
      </c>
      <c r="D844" s="33" t="s">
        <v>677</v>
      </c>
      <c r="E844" s="33" t="s">
        <v>3462</v>
      </c>
      <c r="F844" s="43">
        <v>46156.791666666664</v>
      </c>
      <c r="G844" s="33" t="s">
        <v>171</v>
      </c>
      <c r="H844" s="33"/>
      <c r="I844" s="33" t="s">
        <v>793</v>
      </c>
      <c r="J844" s="33" t="s">
        <v>958</v>
      </c>
      <c r="K844" s="33" t="s">
        <v>75</v>
      </c>
      <c r="L844" s="33" t="s">
        <v>1189</v>
      </c>
      <c r="M844" s="43">
        <v>46157.330555555556</v>
      </c>
      <c r="N844" s="33" t="s">
        <v>681</v>
      </c>
      <c r="O844" s="33" t="s">
        <v>1419</v>
      </c>
      <c r="P844" s="33" t="s">
        <v>861</v>
      </c>
      <c r="Q844" s="43">
        <v>46156.753472222219</v>
      </c>
      <c r="R844" s="43">
        <v>46156.771527777775</v>
      </c>
      <c r="S844" s="58">
        <v>1.8055555555555554E-2</v>
      </c>
      <c r="T844" s="33" t="s">
        <v>308</v>
      </c>
      <c r="U844" s="33"/>
      <c r="V844" s="33"/>
      <c r="W844" s="33"/>
      <c r="X844" s="33"/>
      <c r="Y844" s="33"/>
      <c r="Z844" s="33" t="s">
        <v>308</v>
      </c>
      <c r="AA844" s="43">
        <v>46156.872916666667</v>
      </c>
      <c r="AB844" s="33" t="s">
        <v>1052</v>
      </c>
      <c r="AC844" s="33" t="s">
        <v>1404</v>
      </c>
      <c r="AD844" s="33"/>
      <c r="AE844" s="33"/>
      <c r="AF844" s="33"/>
      <c r="AG844" s="33" t="s">
        <v>961</v>
      </c>
      <c r="AH844" s="33">
        <v>1</v>
      </c>
      <c r="AI844" s="43">
        <v>46157.330555555556</v>
      </c>
      <c r="AJ844" s="33" t="s">
        <v>793</v>
      </c>
      <c r="AK844" s="42">
        <v>906159.5</v>
      </c>
      <c r="AL844" s="33" t="s">
        <v>684</v>
      </c>
    </row>
    <row r="845" spans="1:38">
      <c r="A845" s="33">
        <v>6014653</v>
      </c>
      <c r="B845" s="33"/>
      <c r="C845" s="33" t="s">
        <v>789</v>
      </c>
      <c r="D845" s="33" t="s">
        <v>302</v>
      </c>
      <c r="E845" s="33" t="s">
        <v>3463</v>
      </c>
      <c r="F845" s="43">
        <v>46156.833333333336</v>
      </c>
      <c r="G845" s="33" t="s">
        <v>227</v>
      </c>
      <c r="H845" s="33"/>
      <c r="I845" s="33" t="s">
        <v>73</v>
      </c>
      <c r="J845" s="33" t="s">
        <v>3162</v>
      </c>
      <c r="K845" s="33" t="s">
        <v>75</v>
      </c>
      <c r="L845" s="33" t="s">
        <v>3464</v>
      </c>
      <c r="M845" s="43">
        <v>46157.385405092595</v>
      </c>
      <c r="N845" s="33" t="s">
        <v>307</v>
      </c>
      <c r="O845" s="33" t="s">
        <v>797</v>
      </c>
      <c r="P845" s="33" t="s">
        <v>140</v>
      </c>
      <c r="Q845" s="43">
        <v>46156.722222222219</v>
      </c>
      <c r="R845" s="43">
        <v>46156.85833333333</v>
      </c>
      <c r="S845" s="58">
        <v>0.1361111111111111</v>
      </c>
      <c r="T845" s="33" t="s">
        <v>2099</v>
      </c>
      <c r="U845" s="33"/>
      <c r="V845" s="33"/>
      <c r="W845" s="33" t="s">
        <v>950</v>
      </c>
      <c r="X845" s="43">
        <v>46157.379861111112</v>
      </c>
      <c r="Y845" s="58">
        <v>5.5555555555555558E-3</v>
      </c>
      <c r="Z845" s="33" t="s">
        <v>2099</v>
      </c>
      <c r="AA845" s="43">
        <v>46161.1875</v>
      </c>
      <c r="AB845" s="33" t="s">
        <v>3465</v>
      </c>
      <c r="AC845" s="33" t="s">
        <v>3466</v>
      </c>
      <c r="AD845" s="58">
        <v>0.66180555555555554</v>
      </c>
      <c r="AE845" s="33"/>
      <c r="AF845" s="58">
        <v>0.66180555555555554</v>
      </c>
      <c r="AG845" s="33" t="s">
        <v>3467</v>
      </c>
      <c r="AH845" s="33">
        <v>2</v>
      </c>
      <c r="AI845" s="43">
        <v>46157.589583333334</v>
      </c>
      <c r="AJ845" s="33" t="s">
        <v>73</v>
      </c>
      <c r="AK845" s="42">
        <v>857978.82</v>
      </c>
      <c r="AL845" s="33" t="s">
        <v>312</v>
      </c>
    </row>
    <row r="846" spans="1:38">
      <c r="A846" s="33">
        <v>5983339</v>
      </c>
      <c r="B846" s="33"/>
      <c r="C846" s="33" t="s">
        <v>789</v>
      </c>
      <c r="D846" s="33" t="s">
        <v>1150</v>
      </c>
      <c r="E846" s="33" t="s">
        <v>3468</v>
      </c>
      <c r="F846" s="43">
        <v>46156.791666666664</v>
      </c>
      <c r="G846" s="33" t="s">
        <v>792</v>
      </c>
      <c r="H846" s="33"/>
      <c r="I846" s="33" t="s">
        <v>793</v>
      </c>
      <c r="J846" s="33" t="s">
        <v>1382</v>
      </c>
      <c r="K846" s="33" t="s">
        <v>75</v>
      </c>
      <c r="L846" s="33" t="s">
        <v>1148</v>
      </c>
      <c r="M846" s="43">
        <v>46156.783935185187</v>
      </c>
      <c r="N846" s="33" t="s">
        <v>1152</v>
      </c>
      <c r="O846" s="33" t="s">
        <v>797</v>
      </c>
      <c r="P846" s="33" t="s">
        <v>799</v>
      </c>
      <c r="Q846" s="43">
        <v>46156.729861111111</v>
      </c>
      <c r="R846" s="43">
        <v>46156.732638888891</v>
      </c>
      <c r="S846" s="58">
        <v>2.7777777777777779E-3</v>
      </c>
      <c r="T846" s="33" t="s">
        <v>140</v>
      </c>
      <c r="U846" s="43">
        <v>46156.761111111111</v>
      </c>
      <c r="V846" s="58">
        <v>2.361111111111111E-2</v>
      </c>
      <c r="W846" s="33" t="s">
        <v>140</v>
      </c>
      <c r="X846" s="43">
        <v>46156.761111111111</v>
      </c>
      <c r="Y846" s="58">
        <v>2.361111111111111E-2</v>
      </c>
      <c r="Z846" s="33" t="s">
        <v>140</v>
      </c>
      <c r="AA846" s="43">
        <v>46156.753472222219</v>
      </c>
      <c r="AB846" s="33" t="s">
        <v>81</v>
      </c>
      <c r="AC846" s="33" t="s">
        <v>3427</v>
      </c>
      <c r="AD846" s="58">
        <v>5.5555555555555552E-2</v>
      </c>
      <c r="AE846" s="58">
        <v>5.0694444444444445E-2</v>
      </c>
      <c r="AF846" s="58">
        <v>5.5555555555555552E-2</v>
      </c>
      <c r="AG846" s="33" t="s">
        <v>1154</v>
      </c>
      <c r="AH846" s="33">
        <v>2</v>
      </c>
      <c r="AI846" s="43">
        <v>46156.761111111111</v>
      </c>
      <c r="AJ846" s="33" t="s">
        <v>793</v>
      </c>
      <c r="AK846" s="42">
        <v>869054.1</v>
      </c>
      <c r="AL846" s="33" t="s">
        <v>1155</v>
      </c>
    </row>
    <row r="847" spans="1:38">
      <c r="A847" s="33">
        <v>6007426</v>
      </c>
      <c r="B847" s="33"/>
      <c r="C847" s="33" t="s">
        <v>789</v>
      </c>
      <c r="D847" s="33" t="s">
        <v>809</v>
      </c>
      <c r="E847" s="33" t="s">
        <v>3469</v>
      </c>
      <c r="F847" s="43">
        <v>46156.833333333336</v>
      </c>
      <c r="G847" s="33" t="s">
        <v>792</v>
      </c>
      <c r="H847" s="33"/>
      <c r="I847" s="33" t="s">
        <v>793</v>
      </c>
      <c r="J847" s="33" t="s">
        <v>2261</v>
      </c>
      <c r="K847" s="59" t="s">
        <v>1306</v>
      </c>
      <c r="L847" s="33" t="s">
        <v>806</v>
      </c>
      <c r="M847" s="43">
        <v>46156.924571759257</v>
      </c>
      <c r="N847" s="33" t="s">
        <v>813</v>
      </c>
      <c r="O847" s="33" t="s">
        <v>797</v>
      </c>
      <c r="P847" s="33" t="s">
        <v>1963</v>
      </c>
      <c r="Q847" s="43">
        <v>46156.78125</v>
      </c>
      <c r="R847" s="43">
        <v>46156.795138888891</v>
      </c>
      <c r="S847" s="58">
        <v>1.3888888888888888E-2</v>
      </c>
      <c r="T847" s="33" t="s">
        <v>799</v>
      </c>
      <c r="U847" s="43">
        <v>46156.916666666664</v>
      </c>
      <c r="V847" s="58">
        <v>7.6388888888888886E-3</v>
      </c>
      <c r="W847" s="33" t="s">
        <v>799</v>
      </c>
      <c r="X847" s="43">
        <v>46156.916666666664</v>
      </c>
      <c r="Y847" s="58">
        <v>7.6388888888888886E-3</v>
      </c>
      <c r="Z847" s="33" t="s">
        <v>799</v>
      </c>
      <c r="AA847" s="43">
        <v>46156.911111111112</v>
      </c>
      <c r="AB847" s="33" t="s">
        <v>81</v>
      </c>
      <c r="AC847" s="33" t="s">
        <v>3119</v>
      </c>
      <c r="AD847" s="58">
        <v>0.19375000000000001</v>
      </c>
      <c r="AE847" s="58">
        <v>0.12916666666666668</v>
      </c>
      <c r="AF847" s="58">
        <v>0.19375000000000001</v>
      </c>
      <c r="AG847" s="33" t="s">
        <v>815</v>
      </c>
      <c r="AH847" s="33">
        <v>2</v>
      </c>
      <c r="AI847" s="43">
        <v>46156.916666666664</v>
      </c>
      <c r="AJ847" s="33" t="s">
        <v>793</v>
      </c>
      <c r="AK847" s="42">
        <v>767833.09</v>
      </c>
      <c r="AL847" s="33" t="s">
        <v>816</v>
      </c>
    </row>
    <row r="848" spans="1:38">
      <c r="A848" s="33" t="s">
        <v>3470</v>
      </c>
      <c r="B848" s="33"/>
      <c r="C848" s="33" t="s">
        <v>789</v>
      </c>
      <c r="D848" s="33" t="s">
        <v>956</v>
      </c>
      <c r="E848" s="33" t="s">
        <v>3471</v>
      </c>
      <c r="F848" s="43">
        <v>46156.791666666664</v>
      </c>
      <c r="G848" s="33" t="s">
        <v>171</v>
      </c>
      <c r="H848" s="33"/>
      <c r="I848" s="33" t="s">
        <v>793</v>
      </c>
      <c r="J848" s="33" t="s">
        <v>958</v>
      </c>
      <c r="K848" s="33" t="s">
        <v>75</v>
      </c>
      <c r="L848" s="33" t="s">
        <v>1148</v>
      </c>
      <c r="M848" s="43">
        <v>46156.883888888886</v>
      </c>
      <c r="N848" s="33" t="s">
        <v>174</v>
      </c>
      <c r="O848" s="33" t="s">
        <v>797</v>
      </c>
      <c r="P848" s="33" t="s">
        <v>861</v>
      </c>
      <c r="Q848" s="43">
        <v>46156.731944444444</v>
      </c>
      <c r="R848" s="43">
        <v>46156.741666666669</v>
      </c>
      <c r="S848" s="58">
        <v>9.7222222222222224E-3</v>
      </c>
      <c r="T848" s="33" t="s">
        <v>308</v>
      </c>
      <c r="U848" s="43">
        <v>46156.87222222222</v>
      </c>
      <c r="V848" s="58">
        <v>1.1805555555555555E-2</v>
      </c>
      <c r="W848" s="33" t="s">
        <v>308</v>
      </c>
      <c r="X848" s="43">
        <v>46156.87222222222</v>
      </c>
      <c r="Y848" s="58">
        <v>1.1805555555555555E-2</v>
      </c>
      <c r="Z848" s="33" t="s">
        <v>308</v>
      </c>
      <c r="AA848" s="43">
        <v>46157.208333333336</v>
      </c>
      <c r="AB848" s="33" t="s">
        <v>81</v>
      </c>
      <c r="AC848" s="33" t="s">
        <v>1404</v>
      </c>
      <c r="AD848" s="58">
        <v>0.11736111111111111</v>
      </c>
      <c r="AE848" s="58">
        <v>0.1423611111111111</v>
      </c>
      <c r="AF848" s="58">
        <v>0.11736111111111111</v>
      </c>
      <c r="AG848" s="33" t="s">
        <v>3472</v>
      </c>
      <c r="AH848" s="33">
        <v>2</v>
      </c>
      <c r="AI848" s="43">
        <v>46156.87222222222</v>
      </c>
      <c r="AJ848" s="33" t="s">
        <v>793</v>
      </c>
      <c r="AK848" s="42">
        <v>2153679.5099999998</v>
      </c>
      <c r="AL848" s="33" t="s">
        <v>684</v>
      </c>
    </row>
    <row r="849" spans="1:38">
      <c r="A849" s="33">
        <v>6020787</v>
      </c>
      <c r="B849" s="33"/>
      <c r="C849" s="33" t="s">
        <v>789</v>
      </c>
      <c r="D849" s="33" t="s">
        <v>3473</v>
      </c>
      <c r="E849" s="33" t="s">
        <v>3474</v>
      </c>
      <c r="F849" s="43">
        <v>46156.731249999997</v>
      </c>
      <c r="G849" s="33" t="s">
        <v>216</v>
      </c>
      <c r="H849" s="33"/>
      <c r="I849" s="33" t="s">
        <v>73</v>
      </c>
      <c r="J849" s="33" t="s">
        <v>2273</v>
      </c>
      <c r="K849" s="33" t="s">
        <v>75</v>
      </c>
      <c r="L849" s="33" t="s">
        <v>3475</v>
      </c>
      <c r="M849" s="43">
        <v>46157.409837962965</v>
      </c>
      <c r="N849" s="33" t="s">
        <v>2581</v>
      </c>
      <c r="O849" s="33" t="s">
        <v>797</v>
      </c>
      <c r="P849" s="33" t="s">
        <v>140</v>
      </c>
      <c r="Q849" s="43">
        <v>46156.732638888891</v>
      </c>
      <c r="R849" s="43">
        <v>46156.747916666667</v>
      </c>
      <c r="S849" s="58">
        <v>1.5277777777777777E-2</v>
      </c>
      <c r="T849" s="33" t="s">
        <v>222</v>
      </c>
      <c r="U849" s="43">
        <v>46157.405555555553</v>
      </c>
      <c r="V849" s="58">
        <v>4.8611111111111112E-3</v>
      </c>
      <c r="W849" s="33" t="s">
        <v>350</v>
      </c>
      <c r="X849" s="43">
        <v>46157.404861111114</v>
      </c>
      <c r="Y849" s="58">
        <v>5.5555555555555558E-3</v>
      </c>
      <c r="Z849" s="33" t="s">
        <v>222</v>
      </c>
      <c r="AA849" s="43">
        <v>46157.405555555553</v>
      </c>
      <c r="AB849" s="33" t="s">
        <v>606</v>
      </c>
      <c r="AC849" s="33" t="s">
        <v>2274</v>
      </c>
      <c r="AD849" s="58">
        <v>0.67777777777777781</v>
      </c>
      <c r="AE849" s="58">
        <v>0.66180555555555554</v>
      </c>
      <c r="AF849" s="58">
        <v>0.67777777777777781</v>
      </c>
      <c r="AG849" s="33"/>
      <c r="AH849" s="33">
        <v>2</v>
      </c>
      <c r="AI849" s="33"/>
      <c r="AJ849" s="33" t="s">
        <v>73</v>
      </c>
      <c r="AK849" s="42">
        <v>575320.18999999994</v>
      </c>
      <c r="AL849" s="33" t="s">
        <v>3476</v>
      </c>
    </row>
    <row r="850" spans="1:38">
      <c r="A850" s="33">
        <v>6013988</v>
      </c>
      <c r="B850" s="33"/>
      <c r="C850" s="33" t="s">
        <v>789</v>
      </c>
      <c r="D850" s="33" t="s">
        <v>755</v>
      </c>
      <c r="E850" s="33" t="s">
        <v>3477</v>
      </c>
      <c r="F850" s="43">
        <v>46156.75</v>
      </c>
      <c r="G850" s="33" t="s">
        <v>227</v>
      </c>
      <c r="H850" s="33"/>
      <c r="I850" s="33" t="s">
        <v>73</v>
      </c>
      <c r="J850" s="33" t="s">
        <v>1667</v>
      </c>
      <c r="K850" s="33" t="s">
        <v>3478</v>
      </c>
      <c r="L850" s="33" t="s">
        <v>880</v>
      </c>
      <c r="M850" s="43">
        <v>46157.936273148145</v>
      </c>
      <c r="N850" s="33" t="s">
        <v>296</v>
      </c>
      <c r="O850" s="33" t="s">
        <v>868</v>
      </c>
      <c r="P850" s="33" t="s">
        <v>140</v>
      </c>
      <c r="Q850" s="33"/>
      <c r="R850" s="33"/>
      <c r="S850" s="33"/>
      <c r="T850" s="33" t="s">
        <v>984</v>
      </c>
      <c r="U850" s="43">
        <v>46157.039583333331</v>
      </c>
      <c r="V850" s="58">
        <v>0.89652777777777781</v>
      </c>
      <c r="W850" s="33"/>
      <c r="X850" s="33"/>
      <c r="Y850" s="33"/>
      <c r="Z850" s="33" t="s">
        <v>984</v>
      </c>
      <c r="AA850" s="43">
        <v>46157.958333333336</v>
      </c>
      <c r="AB850" s="33" t="s">
        <v>81</v>
      </c>
      <c r="AC850" s="33" t="s">
        <v>81</v>
      </c>
      <c r="AD850" s="44">
        <v>1.1847222222222222</v>
      </c>
      <c r="AE850" s="33"/>
      <c r="AF850" s="44">
        <v>1.1847222222222222</v>
      </c>
      <c r="AG850" s="33" t="s">
        <v>757</v>
      </c>
      <c r="AH850" s="33">
        <v>3</v>
      </c>
      <c r="AI850" s="43">
        <v>46157.039583333331</v>
      </c>
      <c r="AJ850" s="33" t="s">
        <v>73</v>
      </c>
      <c r="AK850" s="42">
        <v>1013688.02</v>
      </c>
      <c r="AL850" s="33" t="s">
        <v>758</v>
      </c>
    </row>
    <row r="851" spans="1:38">
      <c r="A851" s="33">
        <v>6013989</v>
      </c>
      <c r="B851" s="33"/>
      <c r="C851" s="33" t="s">
        <v>789</v>
      </c>
      <c r="D851" s="33" t="s">
        <v>525</v>
      </c>
      <c r="E851" s="33" t="s">
        <v>3479</v>
      </c>
      <c r="F851" s="43">
        <v>46156.75</v>
      </c>
      <c r="G851" s="33" t="s">
        <v>227</v>
      </c>
      <c r="H851" s="33"/>
      <c r="I851" s="33" t="s">
        <v>73</v>
      </c>
      <c r="J851" s="33" t="s">
        <v>1667</v>
      </c>
      <c r="K851" s="33" t="s">
        <v>1012</v>
      </c>
      <c r="L851" s="33" t="s">
        <v>880</v>
      </c>
      <c r="M851" s="43">
        <v>46157.570092592592</v>
      </c>
      <c r="N851" s="33" t="s">
        <v>529</v>
      </c>
      <c r="O851" s="33" t="s">
        <v>868</v>
      </c>
      <c r="P851" s="33" t="s">
        <v>140</v>
      </c>
      <c r="Q851" s="33"/>
      <c r="R851" s="33"/>
      <c r="S851" s="33"/>
      <c r="T851" s="33" t="s">
        <v>984</v>
      </c>
      <c r="U851" s="43">
        <v>46156.884722222225</v>
      </c>
      <c r="V851" s="58">
        <v>0.68472222222222223</v>
      </c>
      <c r="W851" s="33"/>
      <c r="X851" s="33"/>
      <c r="Y851" s="33"/>
      <c r="Z851" s="33" t="s">
        <v>984</v>
      </c>
      <c r="AA851" s="43">
        <v>46157.958333333336</v>
      </c>
      <c r="AB851" s="33" t="s">
        <v>81</v>
      </c>
      <c r="AC851" s="33" t="s">
        <v>81</v>
      </c>
      <c r="AD851" s="58">
        <v>0.8</v>
      </c>
      <c r="AE851" s="33"/>
      <c r="AF851" s="58">
        <v>0.8</v>
      </c>
      <c r="AG851" s="33" t="s">
        <v>533</v>
      </c>
      <c r="AH851" s="33">
        <v>3</v>
      </c>
      <c r="AI851" s="43">
        <v>46156.884722222225</v>
      </c>
      <c r="AJ851" s="33" t="s">
        <v>73</v>
      </c>
      <c r="AK851" s="42">
        <v>1013688.02</v>
      </c>
      <c r="AL851" s="33" t="s">
        <v>534</v>
      </c>
    </row>
    <row r="852" spans="1:38">
      <c r="A852" s="33">
        <v>6005084</v>
      </c>
      <c r="B852" s="33"/>
      <c r="C852" s="33" t="s">
        <v>789</v>
      </c>
      <c r="D852" s="33" t="s">
        <v>1784</v>
      </c>
      <c r="E852" s="33" t="s">
        <v>3480</v>
      </c>
      <c r="F852" s="43">
        <v>46156.791666666664</v>
      </c>
      <c r="G852" s="33" t="s">
        <v>792</v>
      </c>
      <c r="H852" s="33"/>
      <c r="I852" s="33" t="s">
        <v>793</v>
      </c>
      <c r="J852" s="33" t="s">
        <v>3169</v>
      </c>
      <c r="K852" s="33" t="s">
        <v>75</v>
      </c>
      <c r="L852" s="33" t="s">
        <v>1264</v>
      </c>
      <c r="M852" s="43">
        <v>46156.871400462966</v>
      </c>
      <c r="N852" s="33" t="s">
        <v>796</v>
      </c>
      <c r="O852" s="33" t="s">
        <v>797</v>
      </c>
      <c r="P852" s="33" t="s">
        <v>799</v>
      </c>
      <c r="Q852" s="43">
        <v>46156.773611111108</v>
      </c>
      <c r="R852" s="43">
        <v>46156.822222222225</v>
      </c>
      <c r="S852" s="58">
        <v>4.8611111111111112E-2</v>
      </c>
      <c r="T852" s="33" t="s">
        <v>140</v>
      </c>
      <c r="U852" s="43">
        <v>46156.856249999997</v>
      </c>
      <c r="V852" s="58">
        <v>1.5972222222222221E-2</v>
      </c>
      <c r="W852" s="33"/>
      <c r="X852" s="33"/>
      <c r="Y852" s="33"/>
      <c r="Z852" s="33" t="s">
        <v>140</v>
      </c>
      <c r="AA852" s="43">
        <v>46156.843055555553</v>
      </c>
      <c r="AB852" s="33" t="s">
        <v>81</v>
      </c>
      <c r="AC852" s="33" t="s">
        <v>3171</v>
      </c>
      <c r="AD852" s="58">
        <v>9.930555555555555E-2</v>
      </c>
      <c r="AE852" s="33"/>
      <c r="AF852" s="58">
        <v>8.611111111111111E-2</v>
      </c>
      <c r="AG852" s="33" t="s">
        <v>1788</v>
      </c>
      <c r="AH852" s="33">
        <v>2</v>
      </c>
      <c r="AI852" s="43">
        <v>46156.856249999997</v>
      </c>
      <c r="AJ852" s="33" t="s">
        <v>793</v>
      </c>
      <c r="AK852" s="42">
        <v>1276295.8999999999</v>
      </c>
      <c r="AL852" s="33" t="s">
        <v>1789</v>
      </c>
    </row>
    <row r="853" spans="1:38">
      <c r="A853" s="33">
        <v>6014665</v>
      </c>
      <c r="B853" s="33"/>
      <c r="C853" s="33" t="s">
        <v>789</v>
      </c>
      <c r="D853" s="33" t="s">
        <v>2290</v>
      </c>
      <c r="E853" s="33" t="s">
        <v>3481</v>
      </c>
      <c r="F853" s="43">
        <v>46156.708333333336</v>
      </c>
      <c r="G853" s="33" t="s">
        <v>227</v>
      </c>
      <c r="H853" s="33"/>
      <c r="I853" s="33" t="s">
        <v>73</v>
      </c>
      <c r="J853" s="33" t="s">
        <v>2977</v>
      </c>
      <c r="K853" s="33" t="s">
        <v>75</v>
      </c>
      <c r="L853" s="33" t="s">
        <v>3009</v>
      </c>
      <c r="M853" s="43">
        <v>46157.706018518518</v>
      </c>
      <c r="N853" s="33" t="s">
        <v>1810</v>
      </c>
      <c r="O853" s="33" t="s">
        <v>797</v>
      </c>
      <c r="P853" s="33" t="s">
        <v>79</v>
      </c>
      <c r="Q853" s="33"/>
      <c r="R853" s="33"/>
      <c r="S853" s="33"/>
      <c r="T853" s="33" t="s">
        <v>176</v>
      </c>
      <c r="U853" s="43">
        <v>46156.875</v>
      </c>
      <c r="V853" s="58">
        <v>0.73402777777777772</v>
      </c>
      <c r="W853" s="33"/>
      <c r="X853" s="33"/>
      <c r="Y853" s="33"/>
      <c r="Z853" s="33" t="s">
        <v>176</v>
      </c>
      <c r="AA853" s="43">
        <v>46157.291666666664</v>
      </c>
      <c r="AB853" s="33" t="s">
        <v>81</v>
      </c>
      <c r="AC853" s="33" t="s">
        <v>2979</v>
      </c>
      <c r="AD853" s="58">
        <v>0.92569444444444449</v>
      </c>
      <c r="AE853" s="33"/>
      <c r="AF853" s="58">
        <v>0.92569444444444449</v>
      </c>
      <c r="AG853" s="33" t="s">
        <v>2235</v>
      </c>
      <c r="AH853" s="33">
        <v>2</v>
      </c>
      <c r="AI853" s="43">
        <v>46156.875</v>
      </c>
      <c r="AJ853" s="33" t="s">
        <v>73</v>
      </c>
      <c r="AK853" s="42">
        <v>136986.01</v>
      </c>
      <c r="AL853" s="33" t="s">
        <v>2294</v>
      </c>
    </row>
    <row r="854" spans="1:38">
      <c r="A854" s="33">
        <v>6009913</v>
      </c>
      <c r="B854" s="33"/>
      <c r="C854" s="33" t="s">
        <v>789</v>
      </c>
      <c r="D854" s="33" t="s">
        <v>809</v>
      </c>
      <c r="E854" s="33" t="s">
        <v>3482</v>
      </c>
      <c r="F854" s="43">
        <v>46157.208333333336</v>
      </c>
      <c r="G854" s="33" t="s">
        <v>792</v>
      </c>
      <c r="H854" s="33"/>
      <c r="I854" s="33" t="s">
        <v>793</v>
      </c>
      <c r="J854" s="33" t="s">
        <v>2400</v>
      </c>
      <c r="K854" s="33" t="s">
        <v>75</v>
      </c>
      <c r="L854" s="33" t="s">
        <v>812</v>
      </c>
      <c r="M854" s="43">
        <v>46157.378136574072</v>
      </c>
      <c r="N854" s="33" t="s">
        <v>813</v>
      </c>
      <c r="O854" s="33" t="s">
        <v>797</v>
      </c>
      <c r="P854" s="33" t="s">
        <v>1963</v>
      </c>
      <c r="Q854" s="33"/>
      <c r="R854" s="33"/>
      <c r="S854" s="33"/>
      <c r="T854" s="33" t="s">
        <v>799</v>
      </c>
      <c r="U854" s="43">
        <v>46157.359722222223</v>
      </c>
      <c r="V854" s="58">
        <v>1.7361111111111112E-2</v>
      </c>
      <c r="W854" s="33" t="s">
        <v>799</v>
      </c>
      <c r="X854" s="43">
        <v>46157.359722222223</v>
      </c>
      <c r="Y854" s="58">
        <v>1.9444444444444445E-2</v>
      </c>
      <c r="Z854" s="33" t="s">
        <v>799</v>
      </c>
      <c r="AA854" s="43">
        <v>46158.416666666664</v>
      </c>
      <c r="AB854" s="33" t="s">
        <v>81</v>
      </c>
      <c r="AC854" s="33" t="s">
        <v>3483</v>
      </c>
      <c r="AD854" s="58">
        <v>0.13750000000000001</v>
      </c>
      <c r="AE854" s="33"/>
      <c r="AF854" s="58">
        <v>0.13750000000000001</v>
      </c>
      <c r="AG854" s="33" t="s">
        <v>815</v>
      </c>
      <c r="AH854" s="33">
        <v>1</v>
      </c>
      <c r="AI854" s="43">
        <v>46157.359722222223</v>
      </c>
      <c r="AJ854" s="33" t="s">
        <v>793</v>
      </c>
      <c r="AK854" s="42">
        <v>1018319.64</v>
      </c>
      <c r="AL854" s="33" t="s">
        <v>816</v>
      </c>
    </row>
    <row r="855" spans="1:38">
      <c r="A855" s="33" t="s">
        <v>3408</v>
      </c>
      <c r="B855" s="33"/>
      <c r="C855" s="33" t="s">
        <v>789</v>
      </c>
      <c r="D855" s="33" t="s">
        <v>3484</v>
      </c>
      <c r="E855" s="33" t="s">
        <v>3485</v>
      </c>
      <c r="F855" s="43">
        <v>46156.875</v>
      </c>
      <c r="G855" s="33" t="s">
        <v>227</v>
      </c>
      <c r="H855" s="33"/>
      <c r="I855" s="33" t="s">
        <v>73</v>
      </c>
      <c r="J855" s="33" t="s">
        <v>3486</v>
      </c>
      <c r="K855" s="33" t="s">
        <v>75</v>
      </c>
      <c r="L855" s="33" t="s">
        <v>3487</v>
      </c>
      <c r="M855" s="43">
        <v>46157.419039351851</v>
      </c>
      <c r="N855" s="33" t="s">
        <v>3488</v>
      </c>
      <c r="O855" s="33" t="s">
        <v>797</v>
      </c>
      <c r="P855" s="33" t="s">
        <v>79</v>
      </c>
      <c r="Q855" s="33"/>
      <c r="R855" s="33"/>
      <c r="S855" s="33"/>
      <c r="T855" s="33" t="s">
        <v>3231</v>
      </c>
      <c r="U855" s="33"/>
      <c r="V855" s="33"/>
      <c r="W855" s="33" t="s">
        <v>3489</v>
      </c>
      <c r="X855" s="43">
        <v>46157.390972222223</v>
      </c>
      <c r="Y855" s="58">
        <v>2.9861111111111113E-2</v>
      </c>
      <c r="Z855" s="33" t="s">
        <v>3231</v>
      </c>
      <c r="AA855" s="43">
        <v>46160.291666666664</v>
      </c>
      <c r="AB855" s="33" t="s">
        <v>3490</v>
      </c>
      <c r="AC855" s="33" t="s">
        <v>3491</v>
      </c>
      <c r="AD855" s="58">
        <v>0.56736111111111109</v>
      </c>
      <c r="AE855" s="33"/>
      <c r="AF855" s="58">
        <v>0.56736111111111109</v>
      </c>
      <c r="AG855" s="33" t="s">
        <v>3492</v>
      </c>
      <c r="AH855" s="33">
        <v>2</v>
      </c>
      <c r="AI855" s="43">
        <v>46157.517361111109</v>
      </c>
      <c r="AJ855" s="33" t="s">
        <v>73</v>
      </c>
      <c r="AK855" s="42">
        <v>317024.43</v>
      </c>
      <c r="AL855" s="33" t="s">
        <v>3493</v>
      </c>
    </row>
    <row r="856" spans="1:38">
      <c r="A856" s="33" t="s">
        <v>3494</v>
      </c>
      <c r="B856" s="33"/>
      <c r="C856" s="33" t="s">
        <v>789</v>
      </c>
      <c r="D856" s="33" t="s">
        <v>938</v>
      </c>
      <c r="E856" s="33" t="s">
        <v>3495</v>
      </c>
      <c r="F856" s="43">
        <v>46156.958333333336</v>
      </c>
      <c r="G856" s="33" t="s">
        <v>792</v>
      </c>
      <c r="H856" s="33"/>
      <c r="I856" s="33" t="s">
        <v>793</v>
      </c>
      <c r="J856" s="33" t="s">
        <v>2859</v>
      </c>
      <c r="K856" s="33" t="s">
        <v>75</v>
      </c>
      <c r="L856" s="33" t="s">
        <v>2395</v>
      </c>
      <c r="M856" s="43">
        <v>46157.142337962963</v>
      </c>
      <c r="N856" s="33" t="s">
        <v>940</v>
      </c>
      <c r="O856" s="33" t="s">
        <v>797</v>
      </c>
      <c r="P856" s="33" t="s">
        <v>1963</v>
      </c>
      <c r="Q856" s="43">
        <v>46156.905555555553</v>
      </c>
      <c r="R856" s="43">
        <v>46156.921527777777</v>
      </c>
      <c r="S856" s="58">
        <v>1.5972222222222221E-2</v>
      </c>
      <c r="T856" s="33" t="s">
        <v>799</v>
      </c>
      <c r="U856" s="43">
        <v>46157.137499999997</v>
      </c>
      <c r="V856" s="58">
        <v>4.8611111111111112E-3</v>
      </c>
      <c r="W856" s="33"/>
      <c r="X856" s="33"/>
      <c r="Y856" s="33"/>
      <c r="Z856" s="33" t="s">
        <v>799</v>
      </c>
      <c r="AA856" s="43">
        <v>46157.037499999999</v>
      </c>
      <c r="AB856" s="33" t="s">
        <v>81</v>
      </c>
      <c r="AC856" s="33" t="s">
        <v>81</v>
      </c>
      <c r="AD856" s="58">
        <v>0.27430555555555558</v>
      </c>
      <c r="AE856" s="33"/>
      <c r="AF856" s="58">
        <v>0.2722222222222222</v>
      </c>
      <c r="AG856" s="33" t="s">
        <v>1881</v>
      </c>
      <c r="AH856" s="33">
        <v>2</v>
      </c>
      <c r="AI856" s="43">
        <v>46157.137499999997</v>
      </c>
      <c r="AJ856" s="33" t="s">
        <v>793</v>
      </c>
      <c r="AK856" s="42">
        <v>1478574.03</v>
      </c>
      <c r="AL856" s="33" t="s">
        <v>884</v>
      </c>
    </row>
    <row r="857" spans="1:38">
      <c r="A857" s="33" t="s">
        <v>3496</v>
      </c>
      <c r="B857" s="33"/>
      <c r="C857" s="33" t="s">
        <v>789</v>
      </c>
      <c r="D857" s="33" t="s">
        <v>925</v>
      </c>
      <c r="E857" s="33" t="s">
        <v>3497</v>
      </c>
      <c r="F857" s="43">
        <v>46156.958333333336</v>
      </c>
      <c r="G857" s="33" t="s">
        <v>792</v>
      </c>
      <c r="H857" s="33"/>
      <c r="I857" s="33" t="s">
        <v>793</v>
      </c>
      <c r="J857" s="33" t="s">
        <v>2049</v>
      </c>
      <c r="K857" s="33" t="s">
        <v>75</v>
      </c>
      <c r="L857" s="33" t="s">
        <v>806</v>
      </c>
      <c r="M857" s="43">
        <v>46157.296817129631</v>
      </c>
      <c r="N857" s="33" t="s">
        <v>927</v>
      </c>
      <c r="O857" s="33" t="s">
        <v>797</v>
      </c>
      <c r="P857" s="33" t="s">
        <v>1963</v>
      </c>
      <c r="Q857" s="43">
        <v>46156.94027777778</v>
      </c>
      <c r="R857" s="43">
        <v>46156.944444444445</v>
      </c>
      <c r="S857" s="58">
        <v>4.1666666666666666E-3</v>
      </c>
      <c r="T857" s="33" t="s">
        <v>799</v>
      </c>
      <c r="U857" s="43">
        <v>46157.293055555558</v>
      </c>
      <c r="V857" s="58">
        <v>4.1666666666666666E-3</v>
      </c>
      <c r="W857" s="33" t="s">
        <v>799</v>
      </c>
      <c r="X857" s="43">
        <v>46157.293055555558</v>
      </c>
      <c r="Y857" s="58">
        <v>4.1666666666666666E-3</v>
      </c>
      <c r="Z857" s="33" t="s">
        <v>799</v>
      </c>
      <c r="AA857" s="43">
        <v>46157.060416666667</v>
      </c>
      <c r="AB857" s="33" t="s">
        <v>81</v>
      </c>
      <c r="AC857" s="33" t="s">
        <v>2076</v>
      </c>
      <c r="AD857" s="58">
        <v>0.3576388888888889</v>
      </c>
      <c r="AE857" s="58">
        <v>0.35138888888888886</v>
      </c>
      <c r="AF857" s="58">
        <v>0.3576388888888889</v>
      </c>
      <c r="AG857" s="33" t="s">
        <v>928</v>
      </c>
      <c r="AH857" s="33">
        <v>2</v>
      </c>
      <c r="AI857" s="43">
        <v>46157.293055555558</v>
      </c>
      <c r="AJ857" s="33" t="s">
        <v>793</v>
      </c>
      <c r="AK857" s="42">
        <v>1063902.5</v>
      </c>
      <c r="AL857" s="33" t="s">
        <v>929</v>
      </c>
    </row>
    <row r="858" spans="1:38">
      <c r="A858" s="33">
        <v>6014902</v>
      </c>
      <c r="B858" s="33"/>
      <c r="C858" s="33" t="s">
        <v>789</v>
      </c>
      <c r="D858" s="33" t="s">
        <v>1176</v>
      </c>
      <c r="E858" s="33" t="s">
        <v>3498</v>
      </c>
      <c r="F858" s="43">
        <v>46157.208333333336</v>
      </c>
      <c r="G858" s="33" t="s">
        <v>227</v>
      </c>
      <c r="H858" s="33"/>
      <c r="I858" s="33" t="s">
        <v>73</v>
      </c>
      <c r="J858" s="33" t="s">
        <v>2297</v>
      </c>
      <c r="K858" s="33" t="s">
        <v>75</v>
      </c>
      <c r="L858" s="33" t="s">
        <v>3499</v>
      </c>
      <c r="M858" s="43">
        <v>46157.43005787037</v>
      </c>
      <c r="N858" s="33" t="s">
        <v>1179</v>
      </c>
      <c r="O858" s="33" t="s">
        <v>797</v>
      </c>
      <c r="P858" s="33" t="s">
        <v>79</v>
      </c>
      <c r="Q858" s="33"/>
      <c r="R858" s="33"/>
      <c r="S858" s="33"/>
      <c r="T858" s="33" t="s">
        <v>2300</v>
      </c>
      <c r="U858" s="43">
        <v>46157.247916666667</v>
      </c>
      <c r="V858" s="58">
        <v>0.18472222222222223</v>
      </c>
      <c r="W858" s="33" t="s">
        <v>2300</v>
      </c>
      <c r="X858" s="43">
        <v>46157.247916666667</v>
      </c>
      <c r="Y858" s="58">
        <v>0.18472222222222223</v>
      </c>
      <c r="Z858" s="33" t="s">
        <v>2300</v>
      </c>
      <c r="AA858" s="43">
        <v>46157.333333333336</v>
      </c>
      <c r="AB858" s="33" t="s">
        <v>81</v>
      </c>
      <c r="AC858" s="33" t="s">
        <v>2301</v>
      </c>
      <c r="AD858" s="58">
        <v>0.50138888888888888</v>
      </c>
      <c r="AE858" s="58">
        <v>0.20624999999999999</v>
      </c>
      <c r="AF858" s="58">
        <v>0.50138888888888888</v>
      </c>
      <c r="AG858" s="33" t="s">
        <v>2682</v>
      </c>
      <c r="AH858" s="33">
        <v>2</v>
      </c>
      <c r="AI858" s="43">
        <v>46157.247916666667</v>
      </c>
      <c r="AJ858" s="33" t="s">
        <v>73</v>
      </c>
      <c r="AK858" s="42">
        <v>365010.37</v>
      </c>
      <c r="AL858" s="33" t="s">
        <v>1182</v>
      </c>
    </row>
    <row r="859" spans="1:38">
      <c r="A859" s="33">
        <v>6012419</v>
      </c>
      <c r="B859" s="33"/>
      <c r="C859" s="33" t="s">
        <v>789</v>
      </c>
      <c r="D859" s="33" t="s">
        <v>2935</v>
      </c>
      <c r="E859" s="33" t="s">
        <v>3500</v>
      </c>
      <c r="F859" s="43">
        <v>46157.083333333336</v>
      </c>
      <c r="G859" s="33" t="s">
        <v>227</v>
      </c>
      <c r="H859" s="33"/>
      <c r="I859" s="33" t="s">
        <v>73</v>
      </c>
      <c r="J859" s="33" t="s">
        <v>3501</v>
      </c>
      <c r="K859" s="33" t="s">
        <v>75</v>
      </c>
      <c r="L859" s="33" t="s">
        <v>3502</v>
      </c>
      <c r="M859" s="43">
        <v>46157.411724537036</v>
      </c>
      <c r="N859" s="33" t="s">
        <v>230</v>
      </c>
      <c r="O859" s="33" t="s">
        <v>797</v>
      </c>
      <c r="P859" s="33" t="s">
        <v>79</v>
      </c>
      <c r="Q859" s="33"/>
      <c r="R859" s="33"/>
      <c r="S859" s="33"/>
      <c r="T859" s="33" t="s">
        <v>2099</v>
      </c>
      <c r="U859" s="43">
        <v>46157.113888888889</v>
      </c>
      <c r="V859" s="58">
        <v>0.29930555555555555</v>
      </c>
      <c r="W859" s="33" t="s">
        <v>2099</v>
      </c>
      <c r="X859" s="43">
        <v>46157.113888888889</v>
      </c>
      <c r="Y859" s="58">
        <v>0.29930555555555555</v>
      </c>
      <c r="Z859" s="33" t="s">
        <v>2099</v>
      </c>
      <c r="AA859" s="43">
        <v>46157.1875</v>
      </c>
      <c r="AB859" s="33" t="s">
        <v>81</v>
      </c>
      <c r="AC859" s="33" t="s">
        <v>3503</v>
      </c>
      <c r="AD859" s="58">
        <v>0.44305555555555554</v>
      </c>
      <c r="AE859" s="58">
        <v>0.3840277777777778</v>
      </c>
      <c r="AF859" s="58">
        <v>0.44305555555555554</v>
      </c>
      <c r="AG859" s="33"/>
      <c r="AH859" s="33">
        <v>2</v>
      </c>
      <c r="AI859" s="43">
        <v>46157.113888888889</v>
      </c>
      <c r="AJ859" s="33" t="s">
        <v>73</v>
      </c>
      <c r="AK859" s="42">
        <v>242300.08</v>
      </c>
      <c r="AL859" s="33" t="s">
        <v>2937</v>
      </c>
    </row>
    <row r="860" spans="1:38">
      <c r="A860" s="33">
        <v>6013223</v>
      </c>
      <c r="B860" s="33"/>
      <c r="C860" s="33" t="s">
        <v>789</v>
      </c>
      <c r="D860" s="33" t="s">
        <v>3504</v>
      </c>
      <c r="E860" s="33" t="s">
        <v>3505</v>
      </c>
      <c r="F860" s="43">
        <v>46157.166666666664</v>
      </c>
      <c r="G860" s="33" t="s">
        <v>227</v>
      </c>
      <c r="H860" s="33"/>
      <c r="I860" s="33" t="s">
        <v>73</v>
      </c>
      <c r="J860" s="33" t="s">
        <v>2545</v>
      </c>
      <c r="K860" s="33" t="s">
        <v>75</v>
      </c>
      <c r="L860" s="33" t="s">
        <v>3506</v>
      </c>
      <c r="M860" s="43">
        <v>46157.50277777778</v>
      </c>
      <c r="N860" s="33" t="s">
        <v>529</v>
      </c>
      <c r="O860" s="33" t="s">
        <v>797</v>
      </c>
      <c r="P860" s="33" t="s">
        <v>140</v>
      </c>
      <c r="Q860" s="33"/>
      <c r="R860" s="33"/>
      <c r="S860" s="33"/>
      <c r="T860" s="33" t="s">
        <v>286</v>
      </c>
      <c r="U860" s="33"/>
      <c r="V860" s="33"/>
      <c r="W860" s="33" t="s">
        <v>950</v>
      </c>
      <c r="X860" s="43">
        <v>46157.488194444442</v>
      </c>
      <c r="Y860" s="58">
        <v>3.4722222222222224E-2</v>
      </c>
      <c r="Z860" s="33" t="s">
        <v>286</v>
      </c>
      <c r="AA860" s="43">
        <v>46161.25</v>
      </c>
      <c r="AB860" s="33" t="s">
        <v>2613</v>
      </c>
      <c r="AC860" s="33" t="s">
        <v>2546</v>
      </c>
      <c r="AD860" s="58">
        <v>0.52500000000000002</v>
      </c>
      <c r="AE860" s="33"/>
      <c r="AF860" s="58">
        <v>0.52500000000000002</v>
      </c>
      <c r="AG860" s="33"/>
      <c r="AH860" s="33">
        <v>2</v>
      </c>
      <c r="AI860" s="43">
        <v>46157.538888888892</v>
      </c>
      <c r="AJ860" s="33" t="s">
        <v>73</v>
      </c>
      <c r="AK860" s="42">
        <v>402410.02</v>
      </c>
      <c r="AL860" s="33" t="s">
        <v>3507</v>
      </c>
    </row>
    <row r="861" spans="1:38">
      <c r="A861" s="33">
        <v>6003684</v>
      </c>
      <c r="B861" s="33"/>
      <c r="C861" s="33" t="s">
        <v>789</v>
      </c>
      <c r="D861" s="33" t="s">
        <v>2057</v>
      </c>
      <c r="E861" s="33" t="s">
        <v>3508</v>
      </c>
      <c r="F861" s="43">
        <v>46157.041666666664</v>
      </c>
      <c r="G861" s="33" t="s">
        <v>227</v>
      </c>
      <c r="H861" s="33"/>
      <c r="I861" s="33" t="s">
        <v>73</v>
      </c>
      <c r="J861" s="33" t="s">
        <v>2125</v>
      </c>
      <c r="K861" s="33" t="s">
        <v>1373</v>
      </c>
      <c r="L861" s="33" t="s">
        <v>3509</v>
      </c>
      <c r="M861" s="43">
        <v>46157.69085648148</v>
      </c>
      <c r="N861" s="33" t="s">
        <v>2061</v>
      </c>
      <c r="O861" s="33" t="s">
        <v>797</v>
      </c>
      <c r="P861" s="33" t="s">
        <v>79</v>
      </c>
      <c r="Q861" s="33"/>
      <c r="R861" s="33"/>
      <c r="S861" s="33"/>
      <c r="T861" s="33" t="s">
        <v>2093</v>
      </c>
      <c r="U861" s="43">
        <v>46157.158333333333</v>
      </c>
      <c r="V861" s="58">
        <v>0.53263888888888888</v>
      </c>
      <c r="W861" s="33"/>
      <c r="X861" s="33"/>
      <c r="Y861" s="33"/>
      <c r="Z861" s="33" t="s">
        <v>2093</v>
      </c>
      <c r="AA861" s="43">
        <v>46157.25</v>
      </c>
      <c r="AB861" s="33" t="s">
        <v>81</v>
      </c>
      <c r="AC861" s="33" t="s">
        <v>2127</v>
      </c>
      <c r="AD861" s="58">
        <v>0.66041666666666665</v>
      </c>
      <c r="AE861" s="33"/>
      <c r="AF861" s="58">
        <v>0.66041666666666665</v>
      </c>
      <c r="AG861" s="33" t="s">
        <v>2053</v>
      </c>
      <c r="AH861" s="33">
        <v>2</v>
      </c>
      <c r="AI861" s="43">
        <v>46157.158333333333</v>
      </c>
      <c r="AJ861" s="33" t="s">
        <v>73</v>
      </c>
      <c r="AK861" s="42">
        <v>312357.08</v>
      </c>
      <c r="AL861" s="33" t="s">
        <v>2063</v>
      </c>
    </row>
    <row r="862" spans="1:38">
      <c r="A862" s="33">
        <v>6010455</v>
      </c>
      <c r="B862" s="33"/>
      <c r="C862" s="33" t="s">
        <v>789</v>
      </c>
      <c r="D862" s="33" t="s">
        <v>1338</v>
      </c>
      <c r="E862" s="33" t="s">
        <v>3510</v>
      </c>
      <c r="F862" s="43">
        <v>46157.083333333336</v>
      </c>
      <c r="G862" s="33" t="s">
        <v>792</v>
      </c>
      <c r="H862" s="33"/>
      <c r="I862" s="33" t="s">
        <v>793</v>
      </c>
      <c r="J862" s="33" t="s">
        <v>2859</v>
      </c>
      <c r="K862" s="59" t="s">
        <v>1306</v>
      </c>
      <c r="L862" s="33" t="s">
        <v>857</v>
      </c>
      <c r="M862" s="43">
        <v>46157.226689814815</v>
      </c>
      <c r="N862" s="33" t="s">
        <v>796</v>
      </c>
      <c r="O862" s="33" t="s">
        <v>797</v>
      </c>
      <c r="P862" s="33" t="s">
        <v>1963</v>
      </c>
      <c r="Q862" s="43">
        <v>46157.040277777778</v>
      </c>
      <c r="R862" s="43">
        <v>46157.128472222219</v>
      </c>
      <c r="S862" s="58">
        <v>8.819444444444445E-2</v>
      </c>
      <c r="T862" s="33" t="s">
        <v>799</v>
      </c>
      <c r="U862" s="43">
        <v>46157.224305555559</v>
      </c>
      <c r="V862" s="58">
        <v>2.7777777777777779E-3</v>
      </c>
      <c r="W862" s="33" t="s">
        <v>799</v>
      </c>
      <c r="X862" s="43">
        <v>46157.224305555559</v>
      </c>
      <c r="Y862" s="58">
        <v>2.7777777777777779E-3</v>
      </c>
      <c r="Z862" s="33" t="s">
        <v>799</v>
      </c>
      <c r="AA862" s="43">
        <v>46157.206250000003</v>
      </c>
      <c r="AB862" s="33" t="s">
        <v>81</v>
      </c>
      <c r="AC862" s="33" t="s">
        <v>2262</v>
      </c>
      <c r="AD862" s="58">
        <v>0.19375000000000001</v>
      </c>
      <c r="AE862" s="58">
        <v>9.7916666666666666E-2</v>
      </c>
      <c r="AF862" s="58">
        <v>0.19375000000000001</v>
      </c>
      <c r="AG862" s="33" t="s">
        <v>1341</v>
      </c>
      <c r="AH862" s="33">
        <v>2</v>
      </c>
      <c r="AI862" s="43">
        <v>46157.224305555559</v>
      </c>
      <c r="AJ862" s="33" t="s">
        <v>793</v>
      </c>
      <c r="AK862" s="42">
        <v>980553.68</v>
      </c>
      <c r="AL862" s="33" t="s">
        <v>1342</v>
      </c>
    </row>
    <row r="863" spans="1:38">
      <c r="A863" s="33">
        <v>6010845</v>
      </c>
      <c r="B863" s="33"/>
      <c r="C863" s="33" t="s">
        <v>789</v>
      </c>
      <c r="D863" s="33" t="s">
        <v>1521</v>
      </c>
      <c r="E863" s="33" t="s">
        <v>3511</v>
      </c>
      <c r="F863" s="43">
        <v>46157.041666666664</v>
      </c>
      <c r="G863" s="33" t="s">
        <v>792</v>
      </c>
      <c r="H863" s="33"/>
      <c r="I863" s="33" t="s">
        <v>793</v>
      </c>
      <c r="J863" s="33" t="s">
        <v>3298</v>
      </c>
      <c r="K863" s="33" t="s">
        <v>75</v>
      </c>
      <c r="L863" s="33" t="s">
        <v>2395</v>
      </c>
      <c r="M863" s="43">
        <v>46157.140775462962</v>
      </c>
      <c r="N863" s="33" t="s">
        <v>1524</v>
      </c>
      <c r="O863" s="33" t="s">
        <v>797</v>
      </c>
      <c r="P863" s="33" t="s">
        <v>1963</v>
      </c>
      <c r="Q863" s="33"/>
      <c r="R863" s="33"/>
      <c r="S863" s="33"/>
      <c r="T863" s="33" t="s">
        <v>799</v>
      </c>
      <c r="U863" s="43">
        <v>46157.123611111114</v>
      </c>
      <c r="V863" s="58">
        <v>1.8749999999999999E-2</v>
      </c>
      <c r="W863" s="33" t="s">
        <v>799</v>
      </c>
      <c r="X863" s="43">
        <v>46157.123611111114</v>
      </c>
      <c r="Y863" s="58">
        <v>1.8749999999999999E-2</v>
      </c>
      <c r="Z863" s="33" t="s">
        <v>799</v>
      </c>
      <c r="AA863" s="43">
        <v>46157.25</v>
      </c>
      <c r="AB863" s="33" t="s">
        <v>81</v>
      </c>
      <c r="AC863" s="33" t="s">
        <v>3119</v>
      </c>
      <c r="AD863" s="58">
        <v>0.10902777777777778</v>
      </c>
      <c r="AE863" s="33"/>
      <c r="AF863" s="58">
        <v>0.10902777777777778</v>
      </c>
      <c r="AG863" s="33" t="s">
        <v>1526</v>
      </c>
      <c r="AH863" s="33">
        <v>1</v>
      </c>
      <c r="AI863" s="43">
        <v>46157.123611111114</v>
      </c>
      <c r="AJ863" s="33" t="s">
        <v>793</v>
      </c>
      <c r="AK863" s="42">
        <v>364761.36</v>
      </c>
      <c r="AL863" s="33" t="s">
        <v>1527</v>
      </c>
    </row>
    <row r="864" spans="1:38">
      <c r="A864" s="33">
        <v>6010997</v>
      </c>
      <c r="B864" s="33"/>
      <c r="C864" s="33" t="s">
        <v>789</v>
      </c>
      <c r="D864" s="33" t="s">
        <v>2233</v>
      </c>
      <c r="E864" s="33" t="s">
        <v>3512</v>
      </c>
      <c r="F864" s="43">
        <v>46157.208333333336</v>
      </c>
      <c r="G864" s="33" t="s">
        <v>227</v>
      </c>
      <c r="H864" s="33"/>
      <c r="I864" s="33" t="s">
        <v>73</v>
      </c>
      <c r="J864" s="33" t="s">
        <v>2297</v>
      </c>
      <c r="K864" s="33" t="s">
        <v>75</v>
      </c>
      <c r="L864" s="33" t="s">
        <v>3499</v>
      </c>
      <c r="M864" s="43">
        <v>46157.561574074076</v>
      </c>
      <c r="N864" s="33" t="s">
        <v>1810</v>
      </c>
      <c r="O864" s="33" t="s">
        <v>797</v>
      </c>
      <c r="P864" s="33" t="s">
        <v>79</v>
      </c>
      <c r="Q864" s="33"/>
      <c r="R864" s="33"/>
      <c r="S864" s="33"/>
      <c r="T864" s="33" t="s">
        <v>2300</v>
      </c>
      <c r="U864" s="43">
        <v>46157.244444444441</v>
      </c>
      <c r="V864" s="58">
        <v>0.31666666666666665</v>
      </c>
      <c r="W864" s="33" t="s">
        <v>2300</v>
      </c>
      <c r="X864" s="43">
        <v>46157.244444444441</v>
      </c>
      <c r="Y864" s="58">
        <v>0.31666666666666665</v>
      </c>
      <c r="Z864" s="33" t="s">
        <v>2300</v>
      </c>
      <c r="AA864" s="43">
        <v>46157.333333333336</v>
      </c>
      <c r="AB864" s="33" t="s">
        <v>81</v>
      </c>
      <c r="AC864" s="33" t="s">
        <v>2301</v>
      </c>
      <c r="AD864" s="58">
        <v>0.52013888888888893</v>
      </c>
      <c r="AE864" s="58">
        <v>0.35555555555555557</v>
      </c>
      <c r="AF864" s="58">
        <v>0.52013888888888893</v>
      </c>
      <c r="AG864" s="33" t="s">
        <v>2472</v>
      </c>
      <c r="AH864" s="33">
        <v>2</v>
      </c>
      <c r="AI864" s="43">
        <v>46157.244444444441</v>
      </c>
      <c r="AJ864" s="33" t="s">
        <v>73</v>
      </c>
      <c r="AK864" s="42">
        <v>197507.06</v>
      </c>
      <c r="AL864" s="33" t="s">
        <v>2236</v>
      </c>
    </row>
    <row r="865" spans="1:38">
      <c r="A865" s="33">
        <v>6009765</v>
      </c>
      <c r="B865" s="33"/>
      <c r="C865" s="33" t="s">
        <v>789</v>
      </c>
      <c r="D865" s="33" t="s">
        <v>827</v>
      </c>
      <c r="E865" s="33" t="s">
        <v>3513</v>
      </c>
      <c r="F865" s="43">
        <v>46157.25</v>
      </c>
      <c r="G865" s="33" t="s">
        <v>792</v>
      </c>
      <c r="H865" s="33"/>
      <c r="I865" s="33" t="s">
        <v>793</v>
      </c>
      <c r="J865" s="33" t="s">
        <v>2049</v>
      </c>
      <c r="K865" s="33" t="s">
        <v>75</v>
      </c>
      <c r="L865" s="33" t="s">
        <v>806</v>
      </c>
      <c r="M865" s="43">
        <v>46157.516458333332</v>
      </c>
      <c r="N865" s="33" t="s">
        <v>831</v>
      </c>
      <c r="O865" s="33" t="s">
        <v>797</v>
      </c>
      <c r="P865" s="33" t="s">
        <v>1963</v>
      </c>
      <c r="Q865" s="43">
        <v>46157.231249999997</v>
      </c>
      <c r="R865" s="43">
        <v>46157.311805555553</v>
      </c>
      <c r="S865" s="58">
        <v>8.0555555555555561E-2</v>
      </c>
      <c r="T865" s="33" t="s">
        <v>799</v>
      </c>
      <c r="U865" s="43">
        <v>46157.477083333331</v>
      </c>
      <c r="V865" s="58">
        <v>3.9583333333333331E-2</v>
      </c>
      <c r="W865" s="33" t="s">
        <v>799</v>
      </c>
      <c r="X865" s="43">
        <v>46157.477083333331</v>
      </c>
      <c r="Y865" s="58">
        <v>3.9583333333333331E-2</v>
      </c>
      <c r="Z865" s="33" t="s">
        <v>799</v>
      </c>
      <c r="AA865" s="43">
        <v>46157.427777777775</v>
      </c>
      <c r="AB865" s="33" t="s">
        <v>81</v>
      </c>
      <c r="AC865" s="33" t="s">
        <v>2076</v>
      </c>
      <c r="AD865" s="58">
        <v>0.39166666666666666</v>
      </c>
      <c r="AE865" s="58">
        <v>0.20416666666666666</v>
      </c>
      <c r="AF865" s="58">
        <v>0.39166666666666666</v>
      </c>
      <c r="AG865" s="33" t="s">
        <v>832</v>
      </c>
      <c r="AH865" s="33">
        <v>2</v>
      </c>
      <c r="AI865" s="43">
        <v>46157.477083333331</v>
      </c>
      <c r="AJ865" s="33" t="s">
        <v>793</v>
      </c>
      <c r="AK865" s="42">
        <v>706985.76</v>
      </c>
      <c r="AL865" s="33" t="s">
        <v>833</v>
      </c>
    </row>
    <row r="866" spans="1:38">
      <c r="A866" s="33">
        <v>6010433</v>
      </c>
      <c r="B866" s="33"/>
      <c r="C866" s="33" t="s">
        <v>789</v>
      </c>
      <c r="D866" s="33" t="s">
        <v>1396</v>
      </c>
      <c r="E866" s="33" t="s">
        <v>3514</v>
      </c>
      <c r="F866" s="43">
        <v>46157.375</v>
      </c>
      <c r="G866" s="33" t="s">
        <v>792</v>
      </c>
      <c r="H866" s="33"/>
      <c r="I866" s="33" t="s">
        <v>793</v>
      </c>
      <c r="J866" s="33" t="s">
        <v>1398</v>
      </c>
      <c r="K866" s="33" t="s">
        <v>75</v>
      </c>
      <c r="L866" s="33" t="s">
        <v>1087</v>
      </c>
      <c r="M866" s="43">
        <v>46157.473171296297</v>
      </c>
      <c r="N866" s="33" t="s">
        <v>1399</v>
      </c>
      <c r="O866" s="33" t="s">
        <v>797</v>
      </c>
      <c r="P866" s="33" t="s">
        <v>1963</v>
      </c>
      <c r="Q866" s="43">
        <v>46157.359722222223</v>
      </c>
      <c r="R866" s="43">
        <v>46157.374305555553</v>
      </c>
      <c r="S866" s="58">
        <v>1.4583333333333334E-2</v>
      </c>
      <c r="T866" s="33" t="s">
        <v>140</v>
      </c>
      <c r="U866" s="43">
        <v>46157.463888888888</v>
      </c>
      <c r="V866" s="58">
        <v>1.3888888888888889E-3</v>
      </c>
      <c r="W866" s="33" t="s">
        <v>140</v>
      </c>
      <c r="X866" s="43">
        <v>46157.463888888888</v>
      </c>
      <c r="Y866" s="58">
        <v>1.0416666666666666E-2</v>
      </c>
      <c r="Z866" s="33" t="s">
        <v>140</v>
      </c>
      <c r="AA866" s="43">
        <v>46157.475694444445</v>
      </c>
      <c r="AB866" s="33" t="s">
        <v>1052</v>
      </c>
      <c r="AC866" s="33" t="s">
        <v>1400</v>
      </c>
      <c r="AD866" s="58">
        <v>0.19027777777777777</v>
      </c>
      <c r="AE866" s="58">
        <v>9.8611111111111108E-2</v>
      </c>
      <c r="AF866" s="58">
        <v>0.19027777777777777</v>
      </c>
      <c r="AG866" s="33" t="s">
        <v>1401</v>
      </c>
      <c r="AH866" s="33">
        <v>2</v>
      </c>
      <c r="AI866" s="43">
        <v>46157.463888888888</v>
      </c>
      <c r="AJ866" s="33" t="s">
        <v>793</v>
      </c>
      <c r="AK866" s="42">
        <v>1018319.64</v>
      </c>
      <c r="AL866" s="33" t="s">
        <v>1402</v>
      </c>
    </row>
    <row r="867" spans="1:38">
      <c r="A867" s="33">
        <v>6010461</v>
      </c>
      <c r="B867" s="33"/>
      <c r="C867" s="33" t="s">
        <v>789</v>
      </c>
      <c r="D867" s="33" t="s">
        <v>1407</v>
      </c>
      <c r="E867" s="33" t="s">
        <v>3515</v>
      </c>
      <c r="F867" s="43">
        <v>46157.375</v>
      </c>
      <c r="G867" s="33" t="s">
        <v>792</v>
      </c>
      <c r="H867" s="33"/>
      <c r="I867" s="33" t="s">
        <v>793</v>
      </c>
      <c r="J867" s="33" t="s">
        <v>1398</v>
      </c>
      <c r="K867" s="33" t="s">
        <v>75</v>
      </c>
      <c r="L867" s="33" t="s">
        <v>1035</v>
      </c>
      <c r="M867" s="43">
        <v>46157.495983796296</v>
      </c>
      <c r="N867" s="33" t="s">
        <v>1409</v>
      </c>
      <c r="O867" s="33" t="s">
        <v>797</v>
      </c>
      <c r="P867" s="33" t="s">
        <v>1963</v>
      </c>
      <c r="Q867" s="43">
        <v>46157.361805555556</v>
      </c>
      <c r="R867" s="43">
        <v>46157.372916666667</v>
      </c>
      <c r="S867" s="58">
        <v>1.1111111111111112E-2</v>
      </c>
      <c r="T867" s="33" t="s">
        <v>140</v>
      </c>
      <c r="U867" s="43">
        <v>46157.468055555553</v>
      </c>
      <c r="V867" s="58">
        <v>2.8472222222222222E-2</v>
      </c>
      <c r="W867" s="33" t="s">
        <v>140</v>
      </c>
      <c r="X867" s="43">
        <v>46157.468055555553</v>
      </c>
      <c r="Y867" s="58">
        <v>2.8472222222222222E-2</v>
      </c>
      <c r="Z867" s="33" t="s">
        <v>140</v>
      </c>
      <c r="AA867" s="43">
        <v>46157.474305555559</v>
      </c>
      <c r="AB867" s="33" t="s">
        <v>1052</v>
      </c>
      <c r="AC867" s="33" t="s">
        <v>1400</v>
      </c>
      <c r="AD867" s="58">
        <v>0.24652777777777779</v>
      </c>
      <c r="AE867" s="58">
        <v>0.12291666666666666</v>
      </c>
      <c r="AF867" s="58">
        <v>0.24652777777777779</v>
      </c>
      <c r="AG867" s="33" t="s">
        <v>1410</v>
      </c>
      <c r="AH867" s="33">
        <v>2</v>
      </c>
      <c r="AI867" s="43">
        <v>46157.468055555553</v>
      </c>
      <c r="AJ867" s="33" t="s">
        <v>793</v>
      </c>
      <c r="AK867" s="42">
        <v>706985.76</v>
      </c>
      <c r="AL867" s="33" t="s">
        <v>1411</v>
      </c>
    </row>
    <row r="868" spans="1:38">
      <c r="A868" s="33">
        <v>6010571</v>
      </c>
      <c r="B868" s="33"/>
      <c r="C868" s="33" t="s">
        <v>789</v>
      </c>
      <c r="D868" s="33" t="s">
        <v>1412</v>
      </c>
      <c r="E868" s="33" t="s">
        <v>3516</v>
      </c>
      <c r="F868" s="43">
        <v>46157.416666666664</v>
      </c>
      <c r="G868" s="33" t="s">
        <v>792</v>
      </c>
      <c r="H868" s="33"/>
      <c r="I868" s="33" t="s">
        <v>793</v>
      </c>
      <c r="J868" s="33" t="s">
        <v>1398</v>
      </c>
      <c r="K868" s="33" t="s">
        <v>75</v>
      </c>
      <c r="L868" s="33" t="s">
        <v>1035</v>
      </c>
      <c r="M868" s="43">
        <v>46157.556458333333</v>
      </c>
      <c r="N868" s="33" t="s">
        <v>1414</v>
      </c>
      <c r="O868" s="33" t="s">
        <v>797</v>
      </c>
      <c r="P868" s="33" t="s">
        <v>1963</v>
      </c>
      <c r="Q868" s="43">
        <v>46157.398611111108</v>
      </c>
      <c r="R868" s="43">
        <v>46157.411111111112</v>
      </c>
      <c r="S868" s="58">
        <v>1.2500000000000001E-2</v>
      </c>
      <c r="T868" s="33" t="s">
        <v>140</v>
      </c>
      <c r="U868" s="43">
        <v>46157.523611111108</v>
      </c>
      <c r="V868" s="58">
        <v>1.3888888888888889E-3</v>
      </c>
      <c r="W868" s="33"/>
      <c r="X868" s="33"/>
      <c r="Y868" s="33"/>
      <c r="Z868" s="33" t="s">
        <v>140</v>
      </c>
      <c r="AA868" s="43">
        <v>46157.51458333333</v>
      </c>
      <c r="AB868" s="33" t="s">
        <v>1052</v>
      </c>
      <c r="AC868" s="33" t="s">
        <v>1400</v>
      </c>
      <c r="AD868" s="58">
        <v>0.27638888888888891</v>
      </c>
      <c r="AE868" s="33"/>
      <c r="AF868" s="58">
        <v>0.27638888888888891</v>
      </c>
      <c r="AG868" s="33" t="s">
        <v>1415</v>
      </c>
      <c r="AH868" s="33">
        <v>2</v>
      </c>
      <c r="AI868" s="43">
        <v>46157.523611111108</v>
      </c>
      <c r="AJ868" s="33" t="s">
        <v>793</v>
      </c>
      <c r="AK868" s="42">
        <v>493352.78</v>
      </c>
      <c r="AL868" s="33" t="s">
        <v>1416</v>
      </c>
    </row>
    <row r="869" spans="1:38">
      <c r="A869" s="33">
        <v>6010940</v>
      </c>
      <c r="B869" s="33"/>
      <c r="C869" s="33" t="s">
        <v>789</v>
      </c>
      <c r="D869" s="33" t="s">
        <v>2763</v>
      </c>
      <c r="E869" s="33" t="s">
        <v>3517</v>
      </c>
      <c r="F869" s="43">
        <v>46157.416666666664</v>
      </c>
      <c r="G869" s="33" t="s">
        <v>792</v>
      </c>
      <c r="H869" s="33"/>
      <c r="I869" s="33" t="s">
        <v>793</v>
      </c>
      <c r="J869" s="33" t="s">
        <v>1398</v>
      </c>
      <c r="K869" s="33" t="s">
        <v>75</v>
      </c>
      <c r="L869" s="33" t="s">
        <v>1627</v>
      </c>
      <c r="M869" s="43">
        <v>46157.54483796296</v>
      </c>
      <c r="N869" s="33" t="s">
        <v>1399</v>
      </c>
      <c r="O869" s="33" t="s">
        <v>797</v>
      </c>
      <c r="P869" s="33" t="s">
        <v>1963</v>
      </c>
      <c r="Q869" s="43">
        <v>46157.398611111108</v>
      </c>
      <c r="R869" s="43">
        <v>46157.417361111111</v>
      </c>
      <c r="S869" s="58">
        <v>1.8749999999999999E-2</v>
      </c>
      <c r="T869" s="33" t="s">
        <v>140</v>
      </c>
      <c r="U869" s="43">
        <v>46157.525000000001</v>
      </c>
      <c r="V869" s="58">
        <v>2.9166666666666667E-2</v>
      </c>
      <c r="W869" s="33" t="s">
        <v>140</v>
      </c>
      <c r="X869" s="43">
        <v>46157.525000000001</v>
      </c>
      <c r="Y869" s="58">
        <v>2.9166666666666667E-2</v>
      </c>
      <c r="Z869" s="33" t="s">
        <v>140</v>
      </c>
      <c r="AA869" s="43">
        <v>46157.520833333336</v>
      </c>
      <c r="AB869" s="33" t="s">
        <v>1052</v>
      </c>
      <c r="AC869" s="33" t="s">
        <v>1400</v>
      </c>
      <c r="AD869" s="58">
        <v>0.22777777777777777</v>
      </c>
      <c r="AE869" s="58">
        <v>0.12708333333333333</v>
      </c>
      <c r="AF869" s="58">
        <v>0.22777777777777777</v>
      </c>
      <c r="AG869" s="33" t="s">
        <v>2767</v>
      </c>
      <c r="AH869" s="33">
        <v>2</v>
      </c>
      <c r="AI869" s="43">
        <v>46157.525000000001</v>
      </c>
      <c r="AJ869" s="33" t="s">
        <v>793</v>
      </c>
      <c r="AK869" s="42">
        <v>1010293.83</v>
      </c>
      <c r="AL869" s="33" t="s">
        <v>2768</v>
      </c>
    </row>
    <row r="870" spans="1:38">
      <c r="A870" s="33">
        <v>6014666</v>
      </c>
      <c r="B870" s="33"/>
      <c r="C870" s="33" t="s">
        <v>789</v>
      </c>
      <c r="D870" s="33" t="s">
        <v>1801</v>
      </c>
      <c r="E870" s="33" t="s">
        <v>3518</v>
      </c>
      <c r="F870" s="43">
        <v>46157.208333333336</v>
      </c>
      <c r="G870" s="33" t="s">
        <v>227</v>
      </c>
      <c r="H870" s="33"/>
      <c r="I870" s="33" t="s">
        <v>73</v>
      </c>
      <c r="J870" s="33" t="s">
        <v>2977</v>
      </c>
      <c r="K870" s="33" t="s">
        <v>75</v>
      </c>
      <c r="L870" s="33" t="s">
        <v>3009</v>
      </c>
      <c r="M870" s="43">
        <v>46157.757199074076</v>
      </c>
      <c r="N870" s="33" t="s">
        <v>1804</v>
      </c>
      <c r="O870" s="33" t="s">
        <v>797</v>
      </c>
      <c r="P870" s="33" t="s">
        <v>79</v>
      </c>
      <c r="Q870" s="33"/>
      <c r="R870" s="33"/>
      <c r="S870" s="33"/>
      <c r="T870" s="33" t="s">
        <v>176</v>
      </c>
      <c r="U870" s="43">
        <v>46157.2</v>
      </c>
      <c r="V870" s="58">
        <v>0.40625</v>
      </c>
      <c r="W870" s="33"/>
      <c r="X870" s="33"/>
      <c r="Y870" s="33"/>
      <c r="Z870" s="33" t="s">
        <v>176</v>
      </c>
      <c r="AA870" s="43">
        <v>46157.291666666664</v>
      </c>
      <c r="AB870" s="33" t="s">
        <v>81</v>
      </c>
      <c r="AC870" s="33" t="s">
        <v>2979</v>
      </c>
      <c r="AD870" s="58">
        <v>0.70347222222222228</v>
      </c>
      <c r="AE870" s="33"/>
      <c r="AF870" s="58">
        <v>0.70347222222222228</v>
      </c>
      <c r="AG870" s="33" t="s">
        <v>2325</v>
      </c>
      <c r="AH870" s="33">
        <v>2</v>
      </c>
      <c r="AI870" s="43">
        <v>46157.2</v>
      </c>
      <c r="AJ870" s="33" t="s">
        <v>73</v>
      </c>
      <c r="AK870" s="42">
        <v>136986.01</v>
      </c>
      <c r="AL870" s="33" t="s">
        <v>1807</v>
      </c>
    </row>
    <row r="871" spans="1:38">
      <c r="A871" s="33">
        <v>6009845</v>
      </c>
      <c r="B871" s="33"/>
      <c r="C871" s="33" t="s">
        <v>789</v>
      </c>
      <c r="D871" s="33" t="s">
        <v>2513</v>
      </c>
      <c r="E871" s="33" t="s">
        <v>3519</v>
      </c>
      <c r="F871" s="43">
        <v>46157.625</v>
      </c>
      <c r="G871" s="33" t="s">
        <v>792</v>
      </c>
      <c r="H871" s="33"/>
      <c r="I871" s="33" t="s">
        <v>793</v>
      </c>
      <c r="J871" s="33" t="s">
        <v>1398</v>
      </c>
      <c r="K871" s="33" t="s">
        <v>75</v>
      </c>
      <c r="L871" s="33" t="s">
        <v>1035</v>
      </c>
      <c r="M871" s="43">
        <v>46157.891099537039</v>
      </c>
      <c r="N871" s="33" t="s">
        <v>2515</v>
      </c>
      <c r="O871" s="33" t="s">
        <v>175</v>
      </c>
      <c r="P871" s="33" t="s">
        <v>1963</v>
      </c>
      <c r="Q871" s="43">
        <v>46157.649305555555</v>
      </c>
      <c r="R871" s="43">
        <v>46157.682638888888</v>
      </c>
      <c r="S871" s="58">
        <v>3.3333333333333333E-2</v>
      </c>
      <c r="T871" s="33" t="s">
        <v>140</v>
      </c>
      <c r="U871" s="43">
        <v>46157.869444444441</v>
      </c>
      <c r="V871" s="58">
        <v>1.3888888888888889E-3</v>
      </c>
      <c r="W871" s="33"/>
      <c r="X871" s="33"/>
      <c r="Y871" s="33"/>
      <c r="Z871" s="33" t="s">
        <v>140</v>
      </c>
      <c r="AA871" s="43">
        <v>46157.78402777778</v>
      </c>
      <c r="AB871" s="33" t="s">
        <v>1052</v>
      </c>
      <c r="AC871" s="33" t="s">
        <v>1400</v>
      </c>
      <c r="AD871" s="58">
        <v>0.39166666666666666</v>
      </c>
      <c r="AE871" s="33"/>
      <c r="AF871" s="58">
        <v>0.39166666666666666</v>
      </c>
      <c r="AG871" s="33" t="s">
        <v>2516</v>
      </c>
      <c r="AH871" s="33">
        <v>2</v>
      </c>
      <c r="AI871" s="43">
        <v>46157.869444444441</v>
      </c>
      <c r="AJ871" s="33" t="s">
        <v>793</v>
      </c>
      <c r="AK871" s="42">
        <v>706985.76</v>
      </c>
      <c r="AL871" s="33" t="s">
        <v>1390</v>
      </c>
    </row>
    <row r="872" spans="1:38">
      <c r="A872" s="33">
        <v>6010477</v>
      </c>
      <c r="B872" s="33"/>
      <c r="C872" s="33" t="s">
        <v>789</v>
      </c>
      <c r="D872" s="33" t="s">
        <v>1417</v>
      </c>
      <c r="E872" s="33" t="s">
        <v>3520</v>
      </c>
      <c r="F872" s="43">
        <v>46157.458333333336</v>
      </c>
      <c r="G872" s="33" t="s">
        <v>792</v>
      </c>
      <c r="H872" s="33"/>
      <c r="I872" s="33" t="s">
        <v>793</v>
      </c>
      <c r="J872" s="33" t="s">
        <v>1398</v>
      </c>
      <c r="K872" s="33" t="s">
        <v>75</v>
      </c>
      <c r="L872" s="33" t="s">
        <v>1035</v>
      </c>
      <c r="M872" s="43">
        <v>46157.585462962961</v>
      </c>
      <c r="N872" s="33" t="s">
        <v>1409</v>
      </c>
      <c r="O872" s="33" t="s">
        <v>797</v>
      </c>
      <c r="P872" s="33" t="s">
        <v>1963</v>
      </c>
      <c r="Q872" s="43">
        <v>46157.429861111108</v>
      </c>
      <c r="R872" s="43">
        <v>46157.446527777778</v>
      </c>
      <c r="S872" s="58">
        <v>1.6666666666666666E-2</v>
      </c>
      <c r="T872" s="33" t="s">
        <v>140</v>
      </c>
      <c r="U872" s="43">
        <v>46157.569444444445</v>
      </c>
      <c r="V872" s="58">
        <v>1.5277777777777777E-2</v>
      </c>
      <c r="W872" s="33" t="s">
        <v>140</v>
      </c>
      <c r="X872" s="43">
        <v>46157.569444444445</v>
      </c>
      <c r="Y872" s="58">
        <v>1.5277777777777777E-2</v>
      </c>
      <c r="Z872" s="33" t="s">
        <v>140</v>
      </c>
      <c r="AA872" s="43">
        <v>46157.55</v>
      </c>
      <c r="AB872" s="33" t="s">
        <v>1052</v>
      </c>
      <c r="AC872" s="33" t="s">
        <v>1400</v>
      </c>
      <c r="AD872" s="58">
        <v>0.24166666666666667</v>
      </c>
      <c r="AE872" s="58">
        <v>0.1388888888888889</v>
      </c>
      <c r="AF872" s="58">
        <v>0.24166666666666667</v>
      </c>
      <c r="AG872" s="33" t="s">
        <v>1420</v>
      </c>
      <c r="AH872" s="33">
        <v>2</v>
      </c>
      <c r="AI872" s="43">
        <v>46157.569444444445</v>
      </c>
      <c r="AJ872" s="33" t="s">
        <v>793</v>
      </c>
      <c r="AK872" s="42">
        <v>706985.76</v>
      </c>
      <c r="AL872" s="33" t="s">
        <v>1421</v>
      </c>
    </row>
    <row r="873" spans="1:38">
      <c r="A873" s="33">
        <v>6007958</v>
      </c>
      <c r="B873" s="33"/>
      <c r="C873" s="33" t="s">
        <v>789</v>
      </c>
      <c r="D873" s="33" t="s">
        <v>1702</v>
      </c>
      <c r="E873" s="33" t="s">
        <v>3521</v>
      </c>
      <c r="F873" s="43">
        <v>46157.458333333336</v>
      </c>
      <c r="G873" s="33" t="s">
        <v>792</v>
      </c>
      <c r="H873" s="33"/>
      <c r="I873" s="33" t="s">
        <v>793</v>
      </c>
      <c r="J873" s="33" t="s">
        <v>1398</v>
      </c>
      <c r="K873" s="33" t="s">
        <v>1615</v>
      </c>
      <c r="L873" s="33" t="s">
        <v>3522</v>
      </c>
      <c r="M873" s="43">
        <v>46157.867789351854</v>
      </c>
      <c r="N873" s="33" t="s">
        <v>1705</v>
      </c>
      <c r="O873" s="33" t="s">
        <v>797</v>
      </c>
      <c r="P873" s="33" t="s">
        <v>1963</v>
      </c>
      <c r="Q873" s="43">
        <v>46157.42083333333</v>
      </c>
      <c r="R873" s="43">
        <v>46157.44027777778</v>
      </c>
      <c r="S873" s="58">
        <v>1.9444444444444445E-2</v>
      </c>
      <c r="T873" s="33" t="s">
        <v>140</v>
      </c>
      <c r="U873" s="33"/>
      <c r="V873" s="33"/>
      <c r="W873" s="33"/>
      <c r="X873" s="33"/>
      <c r="Y873" s="33"/>
      <c r="Z873" s="33" t="s">
        <v>140</v>
      </c>
      <c r="AA873" s="43">
        <v>46157.543749999997</v>
      </c>
      <c r="AB873" s="33" t="s">
        <v>3523</v>
      </c>
      <c r="AC873" s="33" t="s">
        <v>1400</v>
      </c>
      <c r="AD873" s="58">
        <v>0.51736111111111116</v>
      </c>
      <c r="AE873" s="33"/>
      <c r="AF873" s="58">
        <v>0.51736111111111116</v>
      </c>
      <c r="AG873" s="33" t="s">
        <v>1706</v>
      </c>
      <c r="AH873" s="33">
        <v>1</v>
      </c>
      <c r="AI873" s="43">
        <v>46157.871527777781</v>
      </c>
      <c r="AJ873" s="33" t="s">
        <v>793</v>
      </c>
      <c r="AK873" s="42">
        <v>1151492.92</v>
      </c>
      <c r="AL873" s="33" t="s">
        <v>1707</v>
      </c>
    </row>
    <row r="874" spans="1:38">
      <c r="A874" s="33">
        <v>6010771</v>
      </c>
      <c r="B874" s="33"/>
      <c r="C874" s="33" t="s">
        <v>789</v>
      </c>
      <c r="D874" s="33" t="s">
        <v>1708</v>
      </c>
      <c r="E874" s="33" t="s">
        <v>3524</v>
      </c>
      <c r="F874" s="43">
        <v>46157.583333333336</v>
      </c>
      <c r="G874" s="33" t="s">
        <v>792</v>
      </c>
      <c r="H874" s="33"/>
      <c r="I874" s="33" t="s">
        <v>793</v>
      </c>
      <c r="J874" s="33" t="s">
        <v>1398</v>
      </c>
      <c r="K874" s="33" t="s">
        <v>75</v>
      </c>
      <c r="L874" s="33" t="s">
        <v>1264</v>
      </c>
      <c r="M874" s="43">
        <v>46157.662280092591</v>
      </c>
      <c r="N874" s="33" t="s">
        <v>1710</v>
      </c>
      <c r="O874" s="33" t="s">
        <v>797</v>
      </c>
      <c r="P874" s="33" t="s">
        <v>1963</v>
      </c>
      <c r="Q874" s="43">
        <v>46157.50277777778</v>
      </c>
      <c r="R874" s="43">
        <v>46157.543055555558</v>
      </c>
      <c r="S874" s="58">
        <v>4.027777777777778E-2</v>
      </c>
      <c r="T874" s="33" t="s">
        <v>140</v>
      </c>
      <c r="U874" s="43">
        <v>46157.656944444447</v>
      </c>
      <c r="V874" s="58">
        <v>7.6388888888888886E-3</v>
      </c>
      <c r="W874" s="33" t="s">
        <v>140</v>
      </c>
      <c r="X874" s="43">
        <v>46157.656944444447</v>
      </c>
      <c r="Y874" s="58">
        <v>7.6388888888888886E-3</v>
      </c>
      <c r="Z874" s="33" t="s">
        <v>140</v>
      </c>
      <c r="AA874" s="43">
        <v>46157.646527777775</v>
      </c>
      <c r="AB874" s="33" t="s">
        <v>81</v>
      </c>
      <c r="AC874" s="33" t="s">
        <v>1400</v>
      </c>
      <c r="AD874" s="58">
        <v>0.20624999999999999</v>
      </c>
      <c r="AE874" s="58">
        <v>0.12013888888888889</v>
      </c>
      <c r="AF874" s="58">
        <v>0.20624999999999999</v>
      </c>
      <c r="AG874" s="33" t="s">
        <v>1711</v>
      </c>
      <c r="AH874" s="33">
        <v>2</v>
      </c>
      <c r="AI874" s="43">
        <v>46157.656944444447</v>
      </c>
      <c r="AJ874" s="33" t="s">
        <v>793</v>
      </c>
      <c r="AK874" s="42">
        <v>990962.54</v>
      </c>
      <c r="AL874" s="33" t="s">
        <v>1712</v>
      </c>
    </row>
    <row r="875" spans="1:38">
      <c r="A875" s="33" t="s">
        <v>3525</v>
      </c>
      <c r="B875" s="33"/>
      <c r="C875" s="33" t="s">
        <v>789</v>
      </c>
      <c r="D875" s="33" t="s">
        <v>1103</v>
      </c>
      <c r="E875" s="33" t="s">
        <v>3526</v>
      </c>
      <c r="F875" s="43">
        <v>46157.416666666664</v>
      </c>
      <c r="G875" s="33" t="s">
        <v>792</v>
      </c>
      <c r="H875" s="33"/>
      <c r="I875" s="33" t="s">
        <v>793</v>
      </c>
      <c r="J875" s="33" t="s">
        <v>2049</v>
      </c>
      <c r="K875" s="33" t="s">
        <v>75</v>
      </c>
      <c r="L875" s="33" t="s">
        <v>806</v>
      </c>
      <c r="M875" s="43">
        <v>46157.966319444444</v>
      </c>
      <c r="N875" s="33" t="s">
        <v>1106</v>
      </c>
      <c r="O875" s="33" t="s">
        <v>797</v>
      </c>
      <c r="P875" s="33" t="s">
        <v>1963</v>
      </c>
      <c r="Q875" s="43">
        <v>46157.37222222222</v>
      </c>
      <c r="R875" s="43">
        <v>46157.379166666666</v>
      </c>
      <c r="S875" s="58">
        <v>6.9444444444444441E-3</v>
      </c>
      <c r="T875" s="33" t="s">
        <v>799</v>
      </c>
      <c r="U875" s="43">
        <v>46157.854861111111</v>
      </c>
      <c r="V875" s="58">
        <v>0.11319444444444444</v>
      </c>
      <c r="W875" s="33" t="s">
        <v>799</v>
      </c>
      <c r="X875" s="43">
        <v>46157.854861111111</v>
      </c>
      <c r="Y875" s="58">
        <v>0.11319444444444444</v>
      </c>
      <c r="Z875" s="33" t="s">
        <v>799</v>
      </c>
      <c r="AA875" s="43">
        <v>46157.495138888888</v>
      </c>
      <c r="AB875" s="33" t="s">
        <v>81</v>
      </c>
      <c r="AC875" s="33" t="s">
        <v>2076</v>
      </c>
      <c r="AD875" s="58">
        <v>0.59583333333333333</v>
      </c>
      <c r="AE875" s="58">
        <v>0.58819444444444446</v>
      </c>
      <c r="AF875" s="58">
        <v>0.59583333333333333</v>
      </c>
      <c r="AG875" s="33" t="s">
        <v>1107</v>
      </c>
      <c r="AH875" s="33">
        <v>2</v>
      </c>
      <c r="AI875" s="43">
        <v>46157.854861111111</v>
      </c>
      <c r="AJ875" s="33" t="s">
        <v>793</v>
      </c>
      <c r="AK875" s="42">
        <v>1144003.1399999999</v>
      </c>
      <c r="AL875" s="33" t="s">
        <v>2982</v>
      </c>
    </row>
    <row r="876" spans="1:38">
      <c r="A876" s="33" t="s">
        <v>3527</v>
      </c>
      <c r="B876" s="33"/>
      <c r="C876" s="33" t="s">
        <v>789</v>
      </c>
      <c r="D876" s="33" t="s">
        <v>804</v>
      </c>
      <c r="E876" s="33" t="s">
        <v>3528</v>
      </c>
      <c r="F876" s="43">
        <v>46157.416666666664</v>
      </c>
      <c r="G876" s="33" t="s">
        <v>792</v>
      </c>
      <c r="H876" s="33"/>
      <c r="I876" s="33" t="s">
        <v>793</v>
      </c>
      <c r="J876" s="33" t="s">
        <v>3298</v>
      </c>
      <c r="K876" s="33" t="s">
        <v>75</v>
      </c>
      <c r="L876" s="33" t="s">
        <v>998</v>
      </c>
      <c r="M876" s="43">
        <v>46157.965833333335</v>
      </c>
      <c r="N876" s="33" t="s">
        <v>796</v>
      </c>
      <c r="O876" s="33" t="s">
        <v>797</v>
      </c>
      <c r="P876" s="33" t="s">
        <v>1963</v>
      </c>
      <c r="Q876" s="43">
        <v>46157.356249999997</v>
      </c>
      <c r="R876" s="43">
        <v>46157.37777777778</v>
      </c>
      <c r="S876" s="58">
        <v>2.1527777777777778E-2</v>
      </c>
      <c r="T876" s="33" t="s">
        <v>799</v>
      </c>
      <c r="U876" s="43">
        <v>46157.938888888886</v>
      </c>
      <c r="V876" s="58">
        <v>2.7083333333333334E-2</v>
      </c>
      <c r="W876" s="33" t="s">
        <v>799</v>
      </c>
      <c r="X876" s="43">
        <v>46157.938888888886</v>
      </c>
      <c r="Y876" s="58">
        <v>2.7083333333333334E-2</v>
      </c>
      <c r="Z876" s="33" t="s">
        <v>799</v>
      </c>
      <c r="AA876" s="43">
        <v>46157.493750000001</v>
      </c>
      <c r="AB876" s="33" t="s">
        <v>81</v>
      </c>
      <c r="AC876" s="33" t="s">
        <v>3119</v>
      </c>
      <c r="AD876" s="58">
        <v>0.6479166666666667</v>
      </c>
      <c r="AE876" s="58">
        <v>0.58750000000000002</v>
      </c>
      <c r="AF876" s="58">
        <v>0.6479166666666667</v>
      </c>
      <c r="AG876" s="33" t="s">
        <v>1083</v>
      </c>
      <c r="AH876" s="33">
        <v>2</v>
      </c>
      <c r="AI876" s="43">
        <v>46157.938888888886</v>
      </c>
      <c r="AJ876" s="33" t="s">
        <v>793</v>
      </c>
      <c r="AK876" s="42">
        <v>2240964.4700000002</v>
      </c>
      <c r="AL876" s="33" t="s">
        <v>808</v>
      </c>
    </row>
    <row r="877" spans="1:38">
      <c r="A877" s="33">
        <v>6009880</v>
      </c>
      <c r="B877" s="33"/>
      <c r="C877" s="33" t="s">
        <v>789</v>
      </c>
      <c r="D877" s="33" t="s">
        <v>1901</v>
      </c>
      <c r="E877" s="33" t="s">
        <v>3529</v>
      </c>
      <c r="F877" s="43">
        <v>46157.25</v>
      </c>
      <c r="G877" s="33" t="s">
        <v>792</v>
      </c>
      <c r="H877" s="33"/>
      <c r="I877" s="33" t="s">
        <v>793</v>
      </c>
      <c r="J877" s="33" t="s">
        <v>2049</v>
      </c>
      <c r="K877" s="33" t="s">
        <v>75</v>
      </c>
      <c r="L877" s="33" t="s">
        <v>812</v>
      </c>
      <c r="M877" s="43">
        <v>46157.50199074074</v>
      </c>
      <c r="N877" s="33" t="s">
        <v>796</v>
      </c>
      <c r="O877" s="33" t="s">
        <v>797</v>
      </c>
      <c r="P877" s="33" t="s">
        <v>1963</v>
      </c>
      <c r="Q877" s="43">
        <v>46157.341666666667</v>
      </c>
      <c r="R877" s="43">
        <v>46157.363888888889</v>
      </c>
      <c r="S877" s="58">
        <v>2.2222222222222223E-2</v>
      </c>
      <c r="T877" s="33" t="s">
        <v>799</v>
      </c>
      <c r="U877" s="43">
        <v>46157.493055555555</v>
      </c>
      <c r="V877" s="58">
        <v>1.1805555555555555E-2</v>
      </c>
      <c r="W877" s="33" t="s">
        <v>799</v>
      </c>
      <c r="X877" s="43">
        <v>46157.493055555555</v>
      </c>
      <c r="Y877" s="58">
        <v>1.1805555555555555E-2</v>
      </c>
      <c r="Z877" s="33" t="s">
        <v>799</v>
      </c>
      <c r="AA877" s="43">
        <v>46157.479861111111</v>
      </c>
      <c r="AB877" s="33" t="s">
        <v>81</v>
      </c>
      <c r="AC877" s="33" t="s">
        <v>2076</v>
      </c>
      <c r="AD877" s="58">
        <v>0.22083333333333333</v>
      </c>
      <c r="AE877" s="58">
        <v>0.13819444444444445</v>
      </c>
      <c r="AF877" s="58">
        <v>0.22083333333333333</v>
      </c>
      <c r="AG877" s="33" t="s">
        <v>1906</v>
      </c>
      <c r="AH877" s="33">
        <v>2</v>
      </c>
      <c r="AI877" s="43">
        <v>46157.493055555555</v>
      </c>
      <c r="AJ877" s="33" t="s">
        <v>793</v>
      </c>
      <c r="AK877" s="42">
        <v>1018319.64</v>
      </c>
      <c r="AL877" s="33" t="s">
        <v>1907</v>
      </c>
    </row>
    <row r="878" spans="1:38">
      <c r="A878" s="33">
        <v>6009851</v>
      </c>
      <c r="B878" s="33"/>
      <c r="C878" s="33" t="s">
        <v>789</v>
      </c>
      <c r="D878" s="33" t="s">
        <v>2155</v>
      </c>
      <c r="E878" s="33" t="s">
        <v>3530</v>
      </c>
      <c r="F878" s="43">
        <v>46157.458333333336</v>
      </c>
      <c r="G878" s="33" t="s">
        <v>792</v>
      </c>
      <c r="H878" s="33"/>
      <c r="I878" s="33" t="s">
        <v>793</v>
      </c>
      <c r="J878" s="33" t="s">
        <v>2049</v>
      </c>
      <c r="K878" s="33" t="s">
        <v>75</v>
      </c>
      <c r="L878" s="33" t="s">
        <v>3531</v>
      </c>
      <c r="M878" s="43">
        <v>46157.752164351848</v>
      </c>
      <c r="N878" s="33" t="s">
        <v>2157</v>
      </c>
      <c r="O878" s="33" t="s">
        <v>175</v>
      </c>
      <c r="P878" s="33" t="s">
        <v>1963</v>
      </c>
      <c r="Q878" s="43">
        <v>46157.520833333336</v>
      </c>
      <c r="R878" s="43">
        <v>46157.545138888891</v>
      </c>
      <c r="S878" s="58">
        <v>2.4305555555555556E-2</v>
      </c>
      <c r="T878" s="33" t="s">
        <v>799</v>
      </c>
      <c r="U878" s="43">
        <v>46157.668055555558</v>
      </c>
      <c r="V878" s="58">
        <v>5.1388888888888887E-2</v>
      </c>
      <c r="W878" s="33"/>
      <c r="X878" s="33"/>
      <c r="Y878" s="33"/>
      <c r="Z878" s="33" t="s">
        <v>799</v>
      </c>
      <c r="AA878" s="43">
        <v>46157.661111111112</v>
      </c>
      <c r="AB878" s="33" t="s">
        <v>81</v>
      </c>
      <c r="AC878" s="33" t="s">
        <v>2076</v>
      </c>
      <c r="AD878" s="58">
        <v>0.41944444444444445</v>
      </c>
      <c r="AE878" s="33"/>
      <c r="AF878" s="58">
        <v>0.41944444444444445</v>
      </c>
      <c r="AG878" s="33" t="s">
        <v>2158</v>
      </c>
      <c r="AH878" s="33">
        <v>2</v>
      </c>
      <c r="AI878" s="43">
        <v>46157.668055555558</v>
      </c>
      <c r="AJ878" s="33" t="s">
        <v>793</v>
      </c>
      <c r="AK878" s="42">
        <v>782451.43</v>
      </c>
      <c r="AL878" s="33" t="s">
        <v>2159</v>
      </c>
    </row>
    <row r="879" spans="1:38">
      <c r="A879" s="33">
        <v>6010676</v>
      </c>
      <c r="B879" s="33"/>
      <c r="C879" s="33" t="s">
        <v>789</v>
      </c>
      <c r="D879" s="33" t="s">
        <v>1074</v>
      </c>
      <c r="E879" s="33" t="s">
        <v>3532</v>
      </c>
      <c r="F879" s="43">
        <v>46157.25</v>
      </c>
      <c r="G879" s="33" t="s">
        <v>792</v>
      </c>
      <c r="H879" s="33"/>
      <c r="I879" s="33" t="s">
        <v>793</v>
      </c>
      <c r="J879" s="33" t="s">
        <v>3298</v>
      </c>
      <c r="K879" s="33" t="s">
        <v>1655</v>
      </c>
      <c r="L879" s="33" t="s">
        <v>1965</v>
      </c>
      <c r="M879" s="43">
        <v>46157.343668981484</v>
      </c>
      <c r="N879" s="33" t="s">
        <v>1078</v>
      </c>
      <c r="O879" s="33" t="s">
        <v>797</v>
      </c>
      <c r="P879" s="33" t="s">
        <v>1963</v>
      </c>
      <c r="Q879" s="33"/>
      <c r="R879" s="33"/>
      <c r="S879" s="33"/>
      <c r="T879" s="33" t="s">
        <v>799</v>
      </c>
      <c r="U879" s="43">
        <v>46157.341666666667</v>
      </c>
      <c r="V879" s="58">
        <v>4.1666666666666666E-3</v>
      </c>
      <c r="W879" s="33" t="s">
        <v>799</v>
      </c>
      <c r="X879" s="43">
        <v>46157.341666666667</v>
      </c>
      <c r="Y879" s="58">
        <v>4.1666666666666666E-3</v>
      </c>
      <c r="Z879" s="33" t="s">
        <v>799</v>
      </c>
      <c r="AA879" s="43">
        <v>46157.958333333336</v>
      </c>
      <c r="AB879" s="33" t="s">
        <v>81</v>
      </c>
      <c r="AC879" s="33" t="s">
        <v>3119</v>
      </c>
      <c r="AD879" s="58">
        <v>0.18124999999999999</v>
      </c>
      <c r="AE879" s="33"/>
      <c r="AF879" s="58">
        <v>0.18124999999999999</v>
      </c>
      <c r="AG879" s="33" t="s">
        <v>1080</v>
      </c>
      <c r="AH879" s="33">
        <v>1</v>
      </c>
      <c r="AI879" s="43">
        <v>46157.341666666667</v>
      </c>
      <c r="AJ879" s="33" t="s">
        <v>793</v>
      </c>
      <c r="AK879" s="42">
        <v>801800.16</v>
      </c>
      <c r="AL879" s="33" t="s">
        <v>1081</v>
      </c>
    </row>
    <row r="880" spans="1:38">
      <c r="A880" s="33">
        <v>6021316</v>
      </c>
      <c r="B880" s="33"/>
      <c r="C880" s="33" t="s">
        <v>789</v>
      </c>
      <c r="D880" s="33" t="s">
        <v>3533</v>
      </c>
      <c r="E880" s="33" t="s">
        <v>3534</v>
      </c>
      <c r="F880" s="43">
        <v>46157.416666666664</v>
      </c>
      <c r="G880" s="33" t="s">
        <v>184</v>
      </c>
      <c r="H880" s="33"/>
      <c r="I880" s="33" t="s">
        <v>73</v>
      </c>
      <c r="J880" s="33" t="s">
        <v>3535</v>
      </c>
      <c r="K880" s="33" t="s">
        <v>75</v>
      </c>
      <c r="L880" s="33" t="s">
        <v>3536</v>
      </c>
      <c r="M880" s="43">
        <v>46157.593807870369</v>
      </c>
      <c r="N880" s="33" t="s">
        <v>3537</v>
      </c>
      <c r="O880" s="33" t="s">
        <v>220</v>
      </c>
      <c r="P880" s="33" t="s">
        <v>140</v>
      </c>
      <c r="Q880" s="43">
        <v>46157.17083333333</v>
      </c>
      <c r="R880" s="43">
        <v>46157.395833333336</v>
      </c>
      <c r="S880" s="58">
        <v>0.22500000000000001</v>
      </c>
      <c r="T880" s="33" t="s">
        <v>3538</v>
      </c>
      <c r="U880" s="43">
        <v>46157.50277777778</v>
      </c>
      <c r="V880" s="58">
        <v>4.8611111111111112E-3</v>
      </c>
      <c r="W880" s="33"/>
      <c r="X880" s="33"/>
      <c r="Y880" s="33"/>
      <c r="Z880" s="33" t="s">
        <v>3538</v>
      </c>
      <c r="AA880" s="43">
        <v>46157.541666666664</v>
      </c>
      <c r="AB880" s="33" t="s">
        <v>81</v>
      </c>
      <c r="AC880" s="33" t="s">
        <v>3539</v>
      </c>
      <c r="AD880" s="58">
        <v>0.42291666666666666</v>
      </c>
      <c r="AE880" s="33"/>
      <c r="AF880" s="58">
        <v>0.42291666666666666</v>
      </c>
      <c r="AG880" s="33"/>
      <c r="AH880" s="33">
        <v>2</v>
      </c>
      <c r="AI880" s="43">
        <v>46157.50277777778</v>
      </c>
      <c r="AJ880" s="33" t="s">
        <v>73</v>
      </c>
      <c r="AK880" s="42">
        <v>342397.8</v>
      </c>
      <c r="AL880" s="33" t="s">
        <v>3540</v>
      </c>
    </row>
    <row r="881" spans="1:38">
      <c r="A881" s="33">
        <v>6009750</v>
      </c>
      <c r="B881" s="33"/>
      <c r="C881" s="33" t="s">
        <v>789</v>
      </c>
      <c r="D881" s="33" t="s">
        <v>1284</v>
      </c>
      <c r="E881" s="33" t="s">
        <v>3541</v>
      </c>
      <c r="F881" s="43">
        <v>46157.333333333336</v>
      </c>
      <c r="G881" s="33" t="s">
        <v>792</v>
      </c>
      <c r="H881" s="33"/>
      <c r="I881" s="33" t="s">
        <v>793</v>
      </c>
      <c r="J881" s="33" t="s">
        <v>2049</v>
      </c>
      <c r="K881" s="33" t="s">
        <v>75</v>
      </c>
      <c r="L881" s="33" t="s">
        <v>857</v>
      </c>
      <c r="M881" s="43">
        <v>46157.456099537034</v>
      </c>
      <c r="N881" s="33" t="s">
        <v>1287</v>
      </c>
      <c r="O881" s="33" t="s">
        <v>797</v>
      </c>
      <c r="P881" s="33" t="s">
        <v>1963</v>
      </c>
      <c r="Q881" s="43">
        <v>46157.316666666666</v>
      </c>
      <c r="R881" s="43">
        <v>46157.332638888889</v>
      </c>
      <c r="S881" s="58">
        <v>1.5972222222222221E-2</v>
      </c>
      <c r="T881" s="33" t="s">
        <v>799</v>
      </c>
      <c r="U881" s="43">
        <v>46157.451388888891</v>
      </c>
      <c r="V881" s="58">
        <v>6.2500000000000003E-3</v>
      </c>
      <c r="W881" s="33" t="s">
        <v>799</v>
      </c>
      <c r="X881" s="43">
        <v>46157.451388888891</v>
      </c>
      <c r="Y881" s="58">
        <v>6.2500000000000003E-3</v>
      </c>
      <c r="Z881" s="33" t="s">
        <v>799</v>
      </c>
      <c r="AA881" s="43">
        <v>46157.448611111111</v>
      </c>
      <c r="AB881" s="33" t="s">
        <v>81</v>
      </c>
      <c r="AC881" s="33" t="s">
        <v>2076</v>
      </c>
      <c r="AD881" s="58">
        <v>0.27013888888888887</v>
      </c>
      <c r="AE881" s="58">
        <v>0.12291666666666666</v>
      </c>
      <c r="AF881" s="58">
        <v>0.27013888888888887</v>
      </c>
      <c r="AG881" s="33" t="s">
        <v>1288</v>
      </c>
      <c r="AH881" s="33">
        <v>2</v>
      </c>
      <c r="AI881" s="43">
        <v>46157.451388888891</v>
      </c>
      <c r="AJ881" s="33" t="s">
        <v>793</v>
      </c>
      <c r="AK881" s="42">
        <v>490004.37</v>
      </c>
      <c r="AL881" s="33" t="s">
        <v>1289</v>
      </c>
    </row>
    <row r="882" spans="1:38">
      <c r="A882" s="33">
        <v>6006015</v>
      </c>
      <c r="B882" s="33"/>
      <c r="C882" s="33" t="s">
        <v>789</v>
      </c>
      <c r="D882" s="33" t="s">
        <v>1047</v>
      </c>
      <c r="E882" s="33" t="s">
        <v>3542</v>
      </c>
      <c r="F882" s="43">
        <v>46157.208333333336</v>
      </c>
      <c r="G882" s="33" t="s">
        <v>792</v>
      </c>
      <c r="H882" s="33"/>
      <c r="I882" s="33" t="s">
        <v>793</v>
      </c>
      <c r="J882" s="33" t="s">
        <v>2721</v>
      </c>
      <c r="K882" s="33" t="s">
        <v>75</v>
      </c>
      <c r="L882" s="33" t="s">
        <v>3543</v>
      </c>
      <c r="M882" s="43">
        <v>46157.209247685183</v>
      </c>
      <c r="N882" s="33" t="s">
        <v>1051</v>
      </c>
      <c r="O882" s="33" t="s">
        <v>797</v>
      </c>
      <c r="P882" s="33" t="s">
        <v>799</v>
      </c>
      <c r="Q882" s="33"/>
      <c r="R882" s="33"/>
      <c r="S882" s="33"/>
      <c r="T882" s="33" t="s">
        <v>140</v>
      </c>
      <c r="U882" s="33"/>
      <c r="V882" s="33"/>
      <c r="W882" s="33"/>
      <c r="X882" s="33"/>
      <c r="Y882" s="33"/>
      <c r="Z882" s="33" t="s">
        <v>140</v>
      </c>
      <c r="AA882" s="43">
        <v>46157.333333333336</v>
      </c>
      <c r="AB882" s="33" t="s">
        <v>1052</v>
      </c>
      <c r="AC882" s="33" t="s">
        <v>2722</v>
      </c>
      <c r="AD882" s="58">
        <v>2.361111111111111E-2</v>
      </c>
      <c r="AE882" s="33"/>
      <c r="AF882" s="58">
        <v>2.361111111111111E-2</v>
      </c>
      <c r="AG882" s="33" t="s">
        <v>2504</v>
      </c>
      <c r="AH882" s="33">
        <v>0</v>
      </c>
      <c r="AI882" s="43">
        <v>46158.878472222219</v>
      </c>
      <c r="AJ882" s="33" t="s">
        <v>793</v>
      </c>
      <c r="AK882" s="42">
        <v>734876.8</v>
      </c>
      <c r="AL882" s="33" t="s">
        <v>1055</v>
      </c>
    </row>
    <row r="883" spans="1:38">
      <c r="A883" s="33">
        <v>6006009</v>
      </c>
      <c r="B883" s="33"/>
      <c r="C883" s="33" t="s">
        <v>789</v>
      </c>
      <c r="D883" s="33" t="s">
        <v>1032</v>
      </c>
      <c r="E883" s="33" t="s">
        <v>3544</v>
      </c>
      <c r="F883" s="43">
        <v>46157.25</v>
      </c>
      <c r="G883" s="33" t="s">
        <v>792</v>
      </c>
      <c r="H883" s="33"/>
      <c r="I883" s="33" t="s">
        <v>793</v>
      </c>
      <c r="J883" s="33" t="s">
        <v>2721</v>
      </c>
      <c r="K883" s="33" t="s">
        <v>75</v>
      </c>
      <c r="L883" s="33" t="s">
        <v>1231</v>
      </c>
      <c r="M883" s="43">
        <v>46157.281666666669</v>
      </c>
      <c r="N883" s="33" t="s">
        <v>1036</v>
      </c>
      <c r="O883" s="33" t="s">
        <v>797</v>
      </c>
      <c r="P883" s="33" t="s">
        <v>799</v>
      </c>
      <c r="Q883" s="43">
        <v>46157.206250000003</v>
      </c>
      <c r="R883" s="43">
        <v>46157.249305555553</v>
      </c>
      <c r="S883" s="58">
        <v>4.3055555555555555E-2</v>
      </c>
      <c r="T883" s="33" t="s">
        <v>140</v>
      </c>
      <c r="U883" s="43">
        <v>46157.280555555553</v>
      </c>
      <c r="V883" s="58">
        <v>2.0833333333333333E-3</v>
      </c>
      <c r="W883" s="33" t="s">
        <v>140</v>
      </c>
      <c r="X883" s="43">
        <v>46157.280555555553</v>
      </c>
      <c r="Y883" s="58">
        <v>2.0833333333333333E-3</v>
      </c>
      <c r="Z883" s="33" t="s">
        <v>140</v>
      </c>
      <c r="AA883" s="43">
        <v>46157.270833333336</v>
      </c>
      <c r="AB883" s="33" t="s">
        <v>81</v>
      </c>
      <c r="AC883" s="33" t="s">
        <v>2722</v>
      </c>
      <c r="AD883" s="58">
        <v>7.6388888888888895E-2</v>
      </c>
      <c r="AE883" s="58">
        <v>3.125E-2</v>
      </c>
      <c r="AF883" s="58">
        <v>7.6388888888888895E-2</v>
      </c>
      <c r="AG883" s="33" t="s">
        <v>1038</v>
      </c>
      <c r="AH883" s="33">
        <v>2</v>
      </c>
      <c r="AI883" s="43">
        <v>46157.280555555553</v>
      </c>
      <c r="AJ883" s="33" t="s">
        <v>793</v>
      </c>
      <c r="AK883" s="42">
        <v>820091.1</v>
      </c>
      <c r="AL883" s="33" t="s">
        <v>1039</v>
      </c>
    </row>
    <row r="884" spans="1:38">
      <c r="A884" s="33">
        <v>6003199</v>
      </c>
      <c r="B884" s="33"/>
      <c r="C884" s="33" t="s">
        <v>789</v>
      </c>
      <c r="D884" s="33" t="s">
        <v>1156</v>
      </c>
      <c r="E884" s="33" t="s">
        <v>3545</v>
      </c>
      <c r="F884" s="43">
        <v>46157.291666666664</v>
      </c>
      <c r="G884" s="33" t="s">
        <v>792</v>
      </c>
      <c r="H884" s="33"/>
      <c r="I884" s="33" t="s">
        <v>793</v>
      </c>
      <c r="J884" s="33" t="s">
        <v>2721</v>
      </c>
      <c r="K884" s="33" t="s">
        <v>971</v>
      </c>
      <c r="L884" s="33" t="s">
        <v>1087</v>
      </c>
      <c r="M884" s="43">
        <v>46157.378935185188</v>
      </c>
      <c r="N884" s="33" t="s">
        <v>1160</v>
      </c>
      <c r="O884" s="33" t="s">
        <v>797</v>
      </c>
      <c r="P884" s="33" t="s">
        <v>799</v>
      </c>
      <c r="Q884" s="43">
        <v>46157.288888888892</v>
      </c>
      <c r="R884" s="43">
        <v>46157.334722222222</v>
      </c>
      <c r="S884" s="58">
        <v>4.583333333333333E-2</v>
      </c>
      <c r="T884" s="33" t="s">
        <v>140</v>
      </c>
      <c r="U884" s="43">
        <v>46157.366666666669</v>
      </c>
      <c r="V884" s="58">
        <v>3.472222222222222E-3</v>
      </c>
      <c r="W884" s="33"/>
      <c r="X884" s="33"/>
      <c r="Y884" s="33"/>
      <c r="Z884" s="33" t="s">
        <v>140</v>
      </c>
      <c r="AA884" s="43">
        <v>46157.352777777778</v>
      </c>
      <c r="AB884" s="33" t="s">
        <v>81</v>
      </c>
      <c r="AC884" s="33" t="s">
        <v>2722</v>
      </c>
      <c r="AD884" s="58">
        <v>9.583333333333334E-2</v>
      </c>
      <c r="AE884" s="33"/>
      <c r="AF884" s="58">
        <v>9.583333333333334E-2</v>
      </c>
      <c r="AG884" s="33" t="s">
        <v>1161</v>
      </c>
      <c r="AH884" s="33">
        <v>2</v>
      </c>
      <c r="AI884" s="43">
        <v>46157.366666666669</v>
      </c>
      <c r="AJ884" s="33" t="s">
        <v>793</v>
      </c>
      <c r="AK884" s="42">
        <v>1004743.8</v>
      </c>
      <c r="AL884" s="33" t="s">
        <v>1162</v>
      </c>
    </row>
    <row r="885" spans="1:38">
      <c r="A885" s="33">
        <v>6006368</v>
      </c>
      <c r="B885" s="33"/>
      <c r="C885" s="33" t="s">
        <v>789</v>
      </c>
      <c r="D885" s="33" t="s">
        <v>1047</v>
      </c>
      <c r="E885" s="33" t="s">
        <v>3546</v>
      </c>
      <c r="F885" s="43">
        <v>46157.333333333336</v>
      </c>
      <c r="G885" s="33" t="s">
        <v>792</v>
      </c>
      <c r="H885" s="33"/>
      <c r="I885" s="33" t="s">
        <v>793</v>
      </c>
      <c r="J885" s="33" t="s">
        <v>2721</v>
      </c>
      <c r="K885" s="33" t="s">
        <v>75</v>
      </c>
      <c r="L885" s="33" t="s">
        <v>1050</v>
      </c>
      <c r="M885" s="43">
        <v>46157.364733796298</v>
      </c>
      <c r="N885" s="33" t="s">
        <v>1051</v>
      </c>
      <c r="O885" s="33" t="s">
        <v>797</v>
      </c>
      <c r="P885" s="33" t="s">
        <v>799</v>
      </c>
      <c r="Q885" s="43">
        <v>46157.28125</v>
      </c>
      <c r="R885" s="43">
        <v>46157.338194444441</v>
      </c>
      <c r="S885" s="58">
        <v>5.6944444444444443E-2</v>
      </c>
      <c r="T885" s="33" t="s">
        <v>140</v>
      </c>
      <c r="U885" s="33"/>
      <c r="V885" s="33"/>
      <c r="W885" s="33"/>
      <c r="X885" s="33"/>
      <c r="Y885" s="33"/>
      <c r="Z885" s="33" t="s">
        <v>140</v>
      </c>
      <c r="AA885" s="43">
        <v>46157.356249999997</v>
      </c>
      <c r="AB885" s="33" t="s">
        <v>1052</v>
      </c>
      <c r="AC885" s="33" t="s">
        <v>2722</v>
      </c>
      <c r="AD885" s="58">
        <v>0.11944444444444445</v>
      </c>
      <c r="AE885" s="33"/>
      <c r="AF885" s="58">
        <v>0.11944444444444445</v>
      </c>
      <c r="AG885" s="33" t="s">
        <v>1205</v>
      </c>
      <c r="AH885" s="33">
        <v>1</v>
      </c>
      <c r="AI885" s="43">
        <v>46157.365972222222</v>
      </c>
      <c r="AJ885" s="33" t="s">
        <v>793</v>
      </c>
      <c r="AK885" s="42">
        <v>626327.4</v>
      </c>
      <c r="AL885" s="33" t="s">
        <v>1055</v>
      </c>
    </row>
    <row r="886" spans="1:38">
      <c r="A886" s="33">
        <v>6006003</v>
      </c>
      <c r="B886" s="33"/>
      <c r="C886" s="33" t="s">
        <v>789</v>
      </c>
      <c r="D886" s="33" t="s">
        <v>1032</v>
      </c>
      <c r="E886" s="33" t="s">
        <v>3547</v>
      </c>
      <c r="F886" s="43">
        <v>46157.416666666664</v>
      </c>
      <c r="G886" s="33" t="s">
        <v>792</v>
      </c>
      <c r="H886" s="33"/>
      <c r="I886" s="33" t="s">
        <v>793</v>
      </c>
      <c r="J886" s="33" t="s">
        <v>2721</v>
      </c>
      <c r="K886" s="33" t="s">
        <v>1077</v>
      </c>
      <c r="L886" s="33" t="s">
        <v>1264</v>
      </c>
      <c r="M886" s="43">
        <v>46157.460439814815</v>
      </c>
      <c r="N886" s="33" t="s">
        <v>1036</v>
      </c>
      <c r="O886" s="33" t="s">
        <v>93</v>
      </c>
      <c r="P886" s="33" t="s">
        <v>799</v>
      </c>
      <c r="Q886" s="33"/>
      <c r="R886" s="33"/>
      <c r="S886" s="33"/>
      <c r="T886" s="33" t="s">
        <v>140</v>
      </c>
      <c r="U886" s="43">
        <v>46157.336111111108</v>
      </c>
      <c r="V886" s="58">
        <v>1.0416666666666666E-2</v>
      </c>
      <c r="W886" s="33"/>
      <c r="X886" s="33"/>
      <c r="Y886" s="33"/>
      <c r="Z886" s="33" t="s">
        <v>140</v>
      </c>
      <c r="AA886" s="43">
        <v>46157.5</v>
      </c>
      <c r="AB886" s="33" t="s">
        <v>81</v>
      </c>
      <c r="AC886" s="33" t="s">
        <v>2722</v>
      </c>
      <c r="AD886" s="58">
        <v>0.12638888888888888</v>
      </c>
      <c r="AE886" s="33"/>
      <c r="AF886" s="58">
        <v>0.12638888888888888</v>
      </c>
      <c r="AG886" s="33" t="s">
        <v>1038</v>
      </c>
      <c r="AH886" s="33">
        <v>1</v>
      </c>
      <c r="AI886" s="43">
        <v>46157.336111111108</v>
      </c>
      <c r="AJ886" s="33" t="s">
        <v>793</v>
      </c>
      <c r="AK886" s="42">
        <v>734876.8</v>
      </c>
      <c r="AL886" s="33" t="s">
        <v>1039</v>
      </c>
    </row>
    <row r="887" spans="1:38">
      <c r="A887" s="33">
        <v>6011009</v>
      </c>
      <c r="B887" s="33"/>
      <c r="C887" s="33" t="s">
        <v>789</v>
      </c>
      <c r="D887" s="33" t="s">
        <v>3257</v>
      </c>
      <c r="E887" s="33" t="s">
        <v>3548</v>
      </c>
      <c r="F887" s="43">
        <v>46157.373611111114</v>
      </c>
      <c r="G887" s="33" t="s">
        <v>724</v>
      </c>
      <c r="H887" s="33"/>
      <c r="I887" s="33" t="s">
        <v>73</v>
      </c>
      <c r="J887" s="33" t="s">
        <v>3549</v>
      </c>
      <c r="K887" s="33" t="s">
        <v>75</v>
      </c>
      <c r="L887" s="33" t="s">
        <v>3550</v>
      </c>
      <c r="M887" s="43">
        <v>46157.593449074076</v>
      </c>
      <c r="N887" s="33" t="s">
        <v>3260</v>
      </c>
      <c r="O887" s="33" t="s">
        <v>797</v>
      </c>
      <c r="P887" s="33" t="s">
        <v>79</v>
      </c>
      <c r="Q887" s="43">
        <v>46157.37222222222</v>
      </c>
      <c r="R887" s="43">
        <v>46157.456944444442</v>
      </c>
      <c r="S887" s="58">
        <v>8.4722222222222227E-2</v>
      </c>
      <c r="T887" s="33" t="s">
        <v>412</v>
      </c>
      <c r="U887" s="33"/>
      <c r="V887" s="33"/>
      <c r="W887" s="33" t="s">
        <v>3367</v>
      </c>
      <c r="X887" s="43">
        <v>46157.55972222222</v>
      </c>
      <c r="Y887" s="58">
        <v>3.5416666666666666E-2</v>
      </c>
      <c r="Z887" s="33" t="s">
        <v>412</v>
      </c>
      <c r="AA887" s="43">
        <v>46157.863888888889</v>
      </c>
      <c r="AB887" s="33" t="s">
        <v>3551</v>
      </c>
      <c r="AC887" s="33" t="s">
        <v>3552</v>
      </c>
      <c r="AD887" s="58">
        <v>0.2</v>
      </c>
      <c r="AE887" s="33"/>
      <c r="AF887" s="58">
        <v>0.2</v>
      </c>
      <c r="AG887" s="33" t="s">
        <v>3553</v>
      </c>
      <c r="AH887" s="33">
        <v>2</v>
      </c>
      <c r="AI887" s="43">
        <v>46157.928472222222</v>
      </c>
      <c r="AJ887" s="33" t="s">
        <v>73</v>
      </c>
      <c r="AK887" s="42">
        <v>361687.96</v>
      </c>
      <c r="AL887" s="33" t="s">
        <v>3262</v>
      </c>
    </row>
    <row r="888" spans="1:38">
      <c r="A888" s="33">
        <v>6014812</v>
      </c>
      <c r="B888" s="33"/>
      <c r="C888" s="33" t="s">
        <v>789</v>
      </c>
      <c r="D888" s="33" t="s">
        <v>778</v>
      </c>
      <c r="E888" s="33" t="s">
        <v>3554</v>
      </c>
      <c r="F888" s="43">
        <v>46157.375</v>
      </c>
      <c r="G888" s="33" t="s">
        <v>724</v>
      </c>
      <c r="H888" s="33"/>
      <c r="I888" s="33" t="s">
        <v>73</v>
      </c>
      <c r="J888" s="33" t="s">
        <v>746</v>
      </c>
      <c r="K888" s="33" t="s">
        <v>75</v>
      </c>
      <c r="L888" s="33" t="s">
        <v>3366</v>
      </c>
      <c r="M888" s="43">
        <v>46157.83148148148</v>
      </c>
      <c r="N888" s="33" t="s">
        <v>296</v>
      </c>
      <c r="O888" s="33" t="s">
        <v>797</v>
      </c>
      <c r="P888" s="33" t="s">
        <v>79</v>
      </c>
      <c r="Q888" s="43">
        <v>46157.436111111114</v>
      </c>
      <c r="R888" s="43">
        <v>46157.713888888888</v>
      </c>
      <c r="S888" s="58">
        <v>0.27777777777777779</v>
      </c>
      <c r="T888" s="33" t="s">
        <v>750</v>
      </c>
      <c r="U888" s="33"/>
      <c r="V888" s="33"/>
      <c r="W888" s="33" t="s">
        <v>3367</v>
      </c>
      <c r="X888" s="43">
        <v>46157.819444444445</v>
      </c>
      <c r="Y888" s="58">
        <v>1.2500000000000001E-2</v>
      </c>
      <c r="Z888" s="33" t="s">
        <v>750</v>
      </c>
      <c r="AA888" s="43">
        <v>46158.073611111111</v>
      </c>
      <c r="AB888" s="33" t="s">
        <v>3555</v>
      </c>
      <c r="AC888" s="33" t="s">
        <v>752</v>
      </c>
      <c r="AD888" s="58">
        <v>0.43680555555555556</v>
      </c>
      <c r="AE888" s="33"/>
      <c r="AF888" s="58">
        <v>0.43680555555555556</v>
      </c>
      <c r="AG888" s="33" t="s">
        <v>3556</v>
      </c>
      <c r="AH888" s="33">
        <v>2</v>
      </c>
      <c r="AI888" s="43">
        <v>46158.145138888889</v>
      </c>
      <c r="AJ888" s="33" t="s">
        <v>73</v>
      </c>
      <c r="AK888" s="42">
        <v>197500.51</v>
      </c>
      <c r="AL888" s="33" t="s">
        <v>784</v>
      </c>
    </row>
    <row r="889" spans="1:38">
      <c r="A889" s="33">
        <v>6014813</v>
      </c>
      <c r="B889" s="33"/>
      <c r="C889" s="33" t="s">
        <v>789</v>
      </c>
      <c r="D889" s="33" t="s">
        <v>722</v>
      </c>
      <c r="E889" s="33" t="s">
        <v>3557</v>
      </c>
      <c r="F889" s="43">
        <v>46157.379166666666</v>
      </c>
      <c r="G889" s="33" t="s">
        <v>724</v>
      </c>
      <c r="H889" s="33"/>
      <c r="I889" s="33" t="s">
        <v>73</v>
      </c>
      <c r="J889" s="33" t="s">
        <v>1927</v>
      </c>
      <c r="K889" s="33" t="s">
        <v>75</v>
      </c>
      <c r="L889" s="33" t="s">
        <v>3550</v>
      </c>
      <c r="M889" s="43">
        <v>46157.661828703705</v>
      </c>
      <c r="N889" s="33" t="s">
        <v>296</v>
      </c>
      <c r="O889" s="33" t="s">
        <v>797</v>
      </c>
      <c r="P889" s="33" t="s">
        <v>79</v>
      </c>
      <c r="Q889" s="43">
        <v>46157.380555555559</v>
      </c>
      <c r="R889" s="43">
        <v>46157.512499999997</v>
      </c>
      <c r="S889" s="58">
        <v>0.13194444444444445</v>
      </c>
      <c r="T889" s="33" t="s">
        <v>750</v>
      </c>
      <c r="U889" s="33"/>
      <c r="V889" s="33"/>
      <c r="W889" s="33" t="s">
        <v>3367</v>
      </c>
      <c r="X889" s="43">
        <v>46157.651388888888</v>
      </c>
      <c r="Y889" s="58">
        <v>1.0416666666666666E-2</v>
      </c>
      <c r="Z889" s="33" t="s">
        <v>750</v>
      </c>
      <c r="AA889" s="43">
        <v>46167.958333333336</v>
      </c>
      <c r="AB889" s="33" t="s">
        <v>3558</v>
      </c>
      <c r="AC889" s="33" t="s">
        <v>1930</v>
      </c>
      <c r="AD889" s="58">
        <v>0.26666666666666666</v>
      </c>
      <c r="AE889" s="33"/>
      <c r="AF889" s="58">
        <v>0.26666666666666666</v>
      </c>
      <c r="AG889" s="33" t="s">
        <v>3559</v>
      </c>
      <c r="AH889" s="33">
        <v>2</v>
      </c>
      <c r="AI889" s="43">
        <v>46157.998611111114</v>
      </c>
      <c r="AJ889" s="33" t="s">
        <v>73</v>
      </c>
      <c r="AK889" s="42">
        <v>197500.51</v>
      </c>
      <c r="AL889" s="33" t="s">
        <v>730</v>
      </c>
    </row>
    <row r="890" spans="1:38">
      <c r="A890" s="33">
        <v>5996088</v>
      </c>
      <c r="B890" s="33"/>
      <c r="C890" s="33" t="s">
        <v>789</v>
      </c>
      <c r="D890" s="33" t="s">
        <v>2919</v>
      </c>
      <c r="E890" s="33" t="s">
        <v>3560</v>
      </c>
      <c r="F890" s="43">
        <v>46157.404166666667</v>
      </c>
      <c r="G890" s="33" t="s">
        <v>792</v>
      </c>
      <c r="H890" s="33"/>
      <c r="I890" s="33" t="s">
        <v>793</v>
      </c>
      <c r="J890" s="33" t="s">
        <v>1049</v>
      </c>
      <c r="K890" s="33" t="s">
        <v>75</v>
      </c>
      <c r="L890" s="33" t="s">
        <v>1264</v>
      </c>
      <c r="M890" s="43">
        <v>46157.4299537037</v>
      </c>
      <c r="N890" s="33" t="s">
        <v>2923</v>
      </c>
      <c r="O890" s="33" t="s">
        <v>797</v>
      </c>
      <c r="P890" s="33" t="s">
        <v>799</v>
      </c>
      <c r="Q890" s="33"/>
      <c r="R890" s="33"/>
      <c r="S890" s="33"/>
      <c r="T890" s="33" t="s">
        <v>140</v>
      </c>
      <c r="U890" s="43">
        <v>46157.421527777777</v>
      </c>
      <c r="V890" s="58">
        <v>8.3333333333333332E-3</v>
      </c>
      <c r="W890" s="33" t="s">
        <v>140</v>
      </c>
      <c r="X890" s="43">
        <v>46157.421527777777</v>
      </c>
      <c r="Y890" s="58">
        <v>8.3333333333333332E-3</v>
      </c>
      <c r="Z890" s="33" t="s">
        <v>140</v>
      </c>
      <c r="AA890" s="43">
        <v>46158.666666666664</v>
      </c>
      <c r="AB890" s="33" t="s">
        <v>81</v>
      </c>
      <c r="AC890" s="33" t="s">
        <v>1053</v>
      </c>
      <c r="AD890" s="58">
        <v>2.5694444444444443E-2</v>
      </c>
      <c r="AE890" s="33"/>
      <c r="AF890" s="58">
        <v>2.5694444444444443E-2</v>
      </c>
      <c r="AG890" s="33" t="s">
        <v>2924</v>
      </c>
      <c r="AH890" s="33">
        <v>1</v>
      </c>
      <c r="AI890" s="43">
        <v>46157.421527777777</v>
      </c>
      <c r="AJ890" s="33" t="s">
        <v>793</v>
      </c>
      <c r="AK890" s="42">
        <v>458504.93</v>
      </c>
      <c r="AL890" s="33" t="s">
        <v>2925</v>
      </c>
    </row>
    <row r="891" spans="1:38">
      <c r="A891" s="33">
        <v>6006034</v>
      </c>
      <c r="B891" s="33"/>
      <c r="C891" s="33" t="s">
        <v>789</v>
      </c>
      <c r="D891" s="33" t="s">
        <v>1047</v>
      </c>
      <c r="E891" s="33" t="s">
        <v>3561</v>
      </c>
      <c r="F891" s="43">
        <v>46157.5</v>
      </c>
      <c r="G891" s="33" t="s">
        <v>792</v>
      </c>
      <c r="H891" s="33"/>
      <c r="I891" s="33" t="s">
        <v>793</v>
      </c>
      <c r="J891" s="33" t="s">
        <v>1312</v>
      </c>
      <c r="K891" s="33" t="s">
        <v>2803</v>
      </c>
      <c r="L891" s="33" t="s">
        <v>2726</v>
      </c>
      <c r="M891" s="43">
        <v>46157.562048611115</v>
      </c>
      <c r="N891" s="33" t="s">
        <v>1051</v>
      </c>
      <c r="O891" s="33" t="s">
        <v>797</v>
      </c>
      <c r="P891" s="33" t="s">
        <v>799</v>
      </c>
      <c r="Q891" s="43">
        <v>46157.431944444441</v>
      </c>
      <c r="R891" s="43">
        <v>46157.433333333334</v>
      </c>
      <c r="S891" s="58">
        <v>1.3888888888888889E-3</v>
      </c>
      <c r="T891" s="33" t="s">
        <v>140</v>
      </c>
      <c r="U891" s="33"/>
      <c r="V891" s="33"/>
      <c r="W891" s="33"/>
      <c r="X891" s="33"/>
      <c r="Y891" s="33"/>
      <c r="Z891" s="33" t="s">
        <v>140</v>
      </c>
      <c r="AA891" s="43">
        <v>46157.454861111109</v>
      </c>
      <c r="AB891" s="33" t="s">
        <v>1138</v>
      </c>
      <c r="AC891" s="33" t="s">
        <v>1314</v>
      </c>
      <c r="AD891" s="58">
        <v>0.14791666666666667</v>
      </c>
      <c r="AE891" s="33"/>
      <c r="AF891" s="58">
        <v>0.14791666666666667</v>
      </c>
      <c r="AG891" s="33" t="s">
        <v>2504</v>
      </c>
      <c r="AH891" s="33">
        <v>1</v>
      </c>
      <c r="AI891" s="43">
        <v>46157.56527777778</v>
      </c>
      <c r="AJ891" s="33" t="s">
        <v>793</v>
      </c>
      <c r="AK891" s="42">
        <v>602905.02</v>
      </c>
      <c r="AL891" s="33" t="s">
        <v>1055</v>
      </c>
    </row>
    <row r="892" spans="1:38">
      <c r="A892" s="33">
        <v>6021584</v>
      </c>
      <c r="B892" s="33"/>
      <c r="C892" s="33" t="s">
        <v>789</v>
      </c>
      <c r="D892" s="33" t="s">
        <v>1194</v>
      </c>
      <c r="E892" s="33" t="s">
        <v>3562</v>
      </c>
      <c r="F892" s="43">
        <v>46157.453472222223</v>
      </c>
      <c r="G892" s="33" t="s">
        <v>114</v>
      </c>
      <c r="H892" s="33"/>
      <c r="I892" s="33" t="s">
        <v>73</v>
      </c>
      <c r="J892" s="33" t="s">
        <v>3563</v>
      </c>
      <c r="K892" s="33" t="s">
        <v>1077</v>
      </c>
      <c r="L892" s="33" t="s">
        <v>3564</v>
      </c>
      <c r="M892" s="43">
        <v>46157.620196759257</v>
      </c>
      <c r="N892" s="33" t="s">
        <v>1198</v>
      </c>
      <c r="O892" s="33" t="s">
        <v>797</v>
      </c>
      <c r="P892" s="33" t="s">
        <v>140</v>
      </c>
      <c r="Q892" s="43">
        <v>46157.460416666669</v>
      </c>
      <c r="R892" s="43">
        <v>46157.535416666666</v>
      </c>
      <c r="S892" s="58">
        <v>7.4999999999999997E-2</v>
      </c>
      <c r="T892" s="33" t="s">
        <v>3565</v>
      </c>
      <c r="U892" s="43">
        <v>46157.590277777781</v>
      </c>
      <c r="V892" s="58">
        <v>2.9861111111111113E-2</v>
      </c>
      <c r="W892" s="33"/>
      <c r="X892" s="33"/>
      <c r="Y892" s="33"/>
      <c r="Z892" s="33" t="s">
        <v>3565</v>
      </c>
      <c r="AA892" s="43">
        <v>46157.583333333336</v>
      </c>
      <c r="AB892" s="33" t="s">
        <v>81</v>
      </c>
      <c r="AC892" s="33" t="s">
        <v>3566</v>
      </c>
      <c r="AD892" s="58">
        <v>9.3055555555555558E-2</v>
      </c>
      <c r="AE892" s="33"/>
      <c r="AF892" s="58">
        <v>9.3055555555555558E-2</v>
      </c>
      <c r="AG892" s="33"/>
      <c r="AH892" s="33">
        <v>2</v>
      </c>
      <c r="AI892" s="43">
        <v>46157.590277777781</v>
      </c>
      <c r="AJ892" s="33" t="s">
        <v>73</v>
      </c>
      <c r="AK892" s="42">
        <v>112057.04</v>
      </c>
      <c r="AL892" s="33" t="s">
        <v>1202</v>
      </c>
    </row>
    <row r="893" spans="1:38">
      <c r="A893" s="33">
        <v>6011001</v>
      </c>
      <c r="B893" s="33"/>
      <c r="C893" s="33" t="s">
        <v>789</v>
      </c>
      <c r="D893" s="33" t="s">
        <v>1186</v>
      </c>
      <c r="E893" s="33" t="s">
        <v>3567</v>
      </c>
      <c r="F893" s="43">
        <v>46157.708333333336</v>
      </c>
      <c r="G893" s="33" t="s">
        <v>227</v>
      </c>
      <c r="H893" s="33"/>
      <c r="I893" s="33" t="s">
        <v>73</v>
      </c>
      <c r="J893" s="33" t="s">
        <v>2476</v>
      </c>
      <c r="K893" s="33" t="s">
        <v>75</v>
      </c>
      <c r="L893" s="33" t="s">
        <v>3568</v>
      </c>
      <c r="M893" s="43">
        <v>46157.783622685187</v>
      </c>
      <c r="N893" s="33" t="s">
        <v>1190</v>
      </c>
      <c r="O893" s="33" t="s">
        <v>797</v>
      </c>
      <c r="P893" s="33" t="s">
        <v>79</v>
      </c>
      <c r="Q893" s="43">
        <v>46157.511805555558</v>
      </c>
      <c r="R893" s="43">
        <v>46157.574999999997</v>
      </c>
      <c r="S893" s="58">
        <v>6.3194444444444442E-2</v>
      </c>
      <c r="T893" s="33" t="s">
        <v>750</v>
      </c>
      <c r="U893" s="33"/>
      <c r="V893" s="33"/>
      <c r="W893" s="33" t="s">
        <v>950</v>
      </c>
      <c r="X893" s="43">
        <v>46157.773611111108</v>
      </c>
      <c r="Y893" s="58">
        <v>9.7222222222222224E-3</v>
      </c>
      <c r="Z893" s="33" t="s">
        <v>750</v>
      </c>
      <c r="AA893" s="43">
        <v>46162.958333333336</v>
      </c>
      <c r="AB893" s="33" t="s">
        <v>3555</v>
      </c>
      <c r="AC893" s="33" t="s">
        <v>3569</v>
      </c>
      <c r="AD893" s="58">
        <v>0.26805555555555555</v>
      </c>
      <c r="AE893" s="33"/>
      <c r="AF893" s="58">
        <v>0.26805555555555555</v>
      </c>
      <c r="AG893" s="33" t="s">
        <v>3570</v>
      </c>
      <c r="AH893" s="33">
        <v>2</v>
      </c>
      <c r="AI893" s="43">
        <v>46158.099305555559</v>
      </c>
      <c r="AJ893" s="33" t="s">
        <v>73</v>
      </c>
      <c r="AK893" s="42">
        <v>197500.52</v>
      </c>
      <c r="AL893" s="33" t="s">
        <v>1193</v>
      </c>
    </row>
    <row r="894" spans="1:38">
      <c r="A894" s="33" t="s">
        <v>3571</v>
      </c>
      <c r="B894" s="33"/>
      <c r="C894" s="33" t="s">
        <v>789</v>
      </c>
      <c r="D894" s="33" t="s">
        <v>1967</v>
      </c>
      <c r="E894" s="33" t="s">
        <v>3572</v>
      </c>
      <c r="F894" s="43">
        <v>46157.583333333336</v>
      </c>
      <c r="G894" s="33" t="s">
        <v>792</v>
      </c>
      <c r="H894" s="33"/>
      <c r="I894" s="33" t="s">
        <v>793</v>
      </c>
      <c r="J894" s="33" t="s">
        <v>2049</v>
      </c>
      <c r="K894" s="33" t="s">
        <v>2482</v>
      </c>
      <c r="L894" s="33" t="s">
        <v>3573</v>
      </c>
      <c r="M894" s="43">
        <v>46157.864247685182</v>
      </c>
      <c r="N894" s="33" t="s">
        <v>1969</v>
      </c>
      <c r="O894" s="33" t="s">
        <v>868</v>
      </c>
      <c r="P894" s="33" t="s">
        <v>1963</v>
      </c>
      <c r="Q894" s="43">
        <v>46157.551388888889</v>
      </c>
      <c r="R894" s="43">
        <v>46157.570833333331</v>
      </c>
      <c r="S894" s="58">
        <v>1.9444444444444445E-2</v>
      </c>
      <c r="T894" s="33" t="s">
        <v>799</v>
      </c>
      <c r="U894" s="43">
        <v>46157.829861111109</v>
      </c>
      <c r="V894" s="58">
        <v>3.4027777777777775E-2</v>
      </c>
      <c r="W894" s="33"/>
      <c r="X894" s="33"/>
      <c r="Y894" s="33"/>
      <c r="Z894" s="33" t="s">
        <v>799</v>
      </c>
      <c r="AA894" s="43">
        <v>46157.688194444447</v>
      </c>
      <c r="AB894" s="33" t="s">
        <v>81</v>
      </c>
      <c r="AC894" s="33" t="s">
        <v>81</v>
      </c>
      <c r="AD894" s="58">
        <v>0.33819444444444446</v>
      </c>
      <c r="AE894" s="33"/>
      <c r="AF894" s="58">
        <v>0.33819444444444446</v>
      </c>
      <c r="AG894" s="33" t="s">
        <v>1970</v>
      </c>
      <c r="AH894" s="33">
        <v>2</v>
      </c>
      <c r="AI894" s="43">
        <v>46157.829861111109</v>
      </c>
      <c r="AJ894" s="33" t="s">
        <v>793</v>
      </c>
      <c r="AK894" s="42">
        <v>1753196.44</v>
      </c>
      <c r="AL894" s="33" t="s">
        <v>1971</v>
      </c>
    </row>
    <row r="895" spans="1:38">
      <c r="A895" s="33">
        <v>6013943</v>
      </c>
      <c r="B895" s="33"/>
      <c r="C895" s="33" t="s">
        <v>789</v>
      </c>
      <c r="D895" s="33" t="s">
        <v>1808</v>
      </c>
      <c r="E895" s="33" t="s">
        <v>3574</v>
      </c>
      <c r="F895" s="43">
        <v>46157.708333333336</v>
      </c>
      <c r="G895" s="33" t="s">
        <v>227</v>
      </c>
      <c r="H895" s="33"/>
      <c r="I895" s="33" t="s">
        <v>73</v>
      </c>
      <c r="J895" s="33" t="s">
        <v>2297</v>
      </c>
      <c r="K895" s="33" t="s">
        <v>75</v>
      </c>
      <c r="L895" s="33" t="s">
        <v>1949</v>
      </c>
      <c r="M895" s="43">
        <v>46158.146215277775</v>
      </c>
      <c r="N895" s="33" t="s">
        <v>1810</v>
      </c>
      <c r="O895" s="33" t="s">
        <v>797</v>
      </c>
      <c r="P895" s="33" t="s">
        <v>79</v>
      </c>
      <c r="Q895" s="43">
        <v>46157.51666666667</v>
      </c>
      <c r="R895" s="43">
        <v>46157.633333333331</v>
      </c>
      <c r="S895" s="58">
        <v>0.11666666666666667</v>
      </c>
      <c r="T895" s="33" t="s">
        <v>2300</v>
      </c>
      <c r="U895" s="33"/>
      <c r="V895" s="33"/>
      <c r="W895" s="33"/>
      <c r="X895" s="33"/>
      <c r="Y895" s="33"/>
      <c r="Z895" s="33" t="s">
        <v>2300</v>
      </c>
      <c r="AA895" s="43">
        <v>46162.291666666664</v>
      </c>
      <c r="AB895" s="33" t="s">
        <v>2471</v>
      </c>
      <c r="AC895" s="33" t="s">
        <v>2301</v>
      </c>
      <c r="AD895" s="58">
        <v>0.63124999999999998</v>
      </c>
      <c r="AE895" s="33"/>
      <c r="AF895" s="58">
        <v>0.63124999999999998</v>
      </c>
      <c r="AG895" s="33" t="s">
        <v>1185</v>
      </c>
      <c r="AH895" s="33">
        <v>2</v>
      </c>
      <c r="AI895" s="43">
        <v>46158.17083333333</v>
      </c>
      <c r="AJ895" s="33" t="s">
        <v>73</v>
      </c>
      <c r="AK895" s="42">
        <v>447123.61</v>
      </c>
      <c r="AL895" s="33" t="s">
        <v>1812</v>
      </c>
    </row>
    <row r="896" spans="1:38">
      <c r="A896" s="33">
        <v>5996484</v>
      </c>
      <c r="B896" s="33"/>
      <c r="C896" s="33" t="s">
        <v>789</v>
      </c>
      <c r="D896" s="33" t="s">
        <v>1032</v>
      </c>
      <c r="E896" s="33" t="s">
        <v>3575</v>
      </c>
      <c r="F896" s="43">
        <v>46157.583333333336</v>
      </c>
      <c r="G896" s="33" t="s">
        <v>792</v>
      </c>
      <c r="H896" s="33"/>
      <c r="I896" s="33" t="s">
        <v>793</v>
      </c>
      <c r="J896" s="33" t="s">
        <v>1034</v>
      </c>
      <c r="K896" s="33" t="s">
        <v>75</v>
      </c>
      <c r="L896" s="33" t="s">
        <v>1691</v>
      </c>
      <c r="M896" s="43">
        <v>46157.615694444445</v>
      </c>
      <c r="N896" s="33" t="s">
        <v>1036</v>
      </c>
      <c r="O896" s="33" t="s">
        <v>797</v>
      </c>
      <c r="P896" s="33" t="s">
        <v>799</v>
      </c>
      <c r="Q896" s="33"/>
      <c r="R896" s="33"/>
      <c r="S896" s="33"/>
      <c r="T896" s="33" t="s">
        <v>140</v>
      </c>
      <c r="U896" s="33"/>
      <c r="V896" s="33"/>
      <c r="W896" s="33" t="s">
        <v>140</v>
      </c>
      <c r="X896" s="33"/>
      <c r="Y896" s="33"/>
      <c r="Z896" s="33" t="s">
        <v>140</v>
      </c>
      <c r="AA896" s="43">
        <v>46158.666666666664</v>
      </c>
      <c r="AB896" s="33" t="s">
        <v>81</v>
      </c>
      <c r="AC896" s="33" t="s">
        <v>1037</v>
      </c>
      <c r="AD896" s="58">
        <v>9.7222222222222224E-2</v>
      </c>
      <c r="AE896" s="33"/>
      <c r="AF896" s="58">
        <v>9.7222222222222224E-2</v>
      </c>
      <c r="AG896" s="33" t="s">
        <v>1279</v>
      </c>
      <c r="AH896" s="33">
        <v>0</v>
      </c>
      <c r="AI896" s="43">
        <v>46157.606944444444</v>
      </c>
      <c r="AJ896" s="33" t="s">
        <v>793</v>
      </c>
      <c r="AK896" s="42">
        <v>763025.02</v>
      </c>
      <c r="AL896" s="33" t="s">
        <v>1039</v>
      </c>
    </row>
    <row r="897" spans="1:38">
      <c r="A897" s="33">
        <v>6011000</v>
      </c>
      <c r="B897" s="33"/>
      <c r="C897" s="33" t="s">
        <v>789</v>
      </c>
      <c r="D897" s="33" t="s">
        <v>1947</v>
      </c>
      <c r="E897" s="33" t="s">
        <v>3576</v>
      </c>
      <c r="F897" s="43">
        <v>46157.708333333336</v>
      </c>
      <c r="G897" s="33" t="s">
        <v>227</v>
      </c>
      <c r="H897" s="33"/>
      <c r="I897" s="33" t="s">
        <v>73</v>
      </c>
      <c r="J897" s="33" t="s">
        <v>746</v>
      </c>
      <c r="K897" s="33" t="s">
        <v>75</v>
      </c>
      <c r="L897" s="33" t="s">
        <v>3292</v>
      </c>
      <c r="M897" s="43">
        <v>46158.141215277778</v>
      </c>
      <c r="N897" s="33" t="s">
        <v>1950</v>
      </c>
      <c r="O897" s="33" t="s">
        <v>797</v>
      </c>
      <c r="P897" s="33" t="s">
        <v>79</v>
      </c>
      <c r="Q897" s="43">
        <v>46157.529166666667</v>
      </c>
      <c r="R897" s="43">
        <v>46157.609027777777</v>
      </c>
      <c r="S897" s="58">
        <v>7.9861111111111105E-2</v>
      </c>
      <c r="T897" s="33" t="s">
        <v>750</v>
      </c>
      <c r="U897" s="33"/>
      <c r="V897" s="33"/>
      <c r="W897" s="33" t="s">
        <v>1740</v>
      </c>
      <c r="X897" s="43">
        <v>46158.113888888889</v>
      </c>
      <c r="Y897" s="58">
        <v>3.125E-2</v>
      </c>
      <c r="Z897" s="33" t="s">
        <v>750</v>
      </c>
      <c r="AA897" s="43">
        <v>46158.05972222222</v>
      </c>
      <c r="AB897" s="33" t="s">
        <v>2613</v>
      </c>
      <c r="AC897" s="33" t="s">
        <v>752</v>
      </c>
      <c r="AD897" s="58">
        <v>0.61875000000000002</v>
      </c>
      <c r="AE897" s="33"/>
      <c r="AF897" s="58">
        <v>0.61875000000000002</v>
      </c>
      <c r="AG897" s="33" t="s">
        <v>2478</v>
      </c>
      <c r="AH897" s="33">
        <v>2</v>
      </c>
      <c r="AI897" s="43">
        <v>46158.163888888892</v>
      </c>
      <c r="AJ897" s="33" t="s">
        <v>73</v>
      </c>
      <c r="AK897" s="42">
        <v>197500.51</v>
      </c>
      <c r="AL897" s="33" t="s">
        <v>1952</v>
      </c>
    </row>
    <row r="898" spans="1:38">
      <c r="A898" s="33">
        <v>6010644</v>
      </c>
      <c r="B898" s="33"/>
      <c r="C898" s="33" t="s">
        <v>789</v>
      </c>
      <c r="D898" s="33" t="s">
        <v>809</v>
      </c>
      <c r="E898" s="33" t="s">
        <v>3577</v>
      </c>
      <c r="F898" s="43">
        <v>46157.75</v>
      </c>
      <c r="G898" s="33" t="s">
        <v>792</v>
      </c>
      <c r="H898" s="33"/>
      <c r="I898" s="33" t="s">
        <v>793</v>
      </c>
      <c r="J898" s="33" t="s">
        <v>3298</v>
      </c>
      <c r="K898" s="33" t="s">
        <v>2921</v>
      </c>
      <c r="L898" s="33" t="s">
        <v>3578</v>
      </c>
      <c r="M898" s="43">
        <v>46158.016944444447</v>
      </c>
      <c r="N898" s="33" t="s">
        <v>813</v>
      </c>
      <c r="O898" s="33" t="s">
        <v>175</v>
      </c>
      <c r="P898" s="33" t="s">
        <v>1963</v>
      </c>
      <c r="Q898" s="43">
        <v>46157.830555555556</v>
      </c>
      <c r="R898" s="43">
        <v>46157.869444444441</v>
      </c>
      <c r="S898" s="58">
        <v>3.888888888888889E-2</v>
      </c>
      <c r="T898" s="33" t="s">
        <v>799</v>
      </c>
      <c r="U898" s="43">
        <v>46157.999305555553</v>
      </c>
      <c r="V898" s="58">
        <v>6.2500000000000003E-3</v>
      </c>
      <c r="W898" s="33"/>
      <c r="X898" s="33"/>
      <c r="Y898" s="33"/>
      <c r="Z898" s="33" t="s">
        <v>799</v>
      </c>
      <c r="AA898" s="43">
        <v>46157.986805555556</v>
      </c>
      <c r="AB898" s="33" t="s">
        <v>81</v>
      </c>
      <c r="AC898" s="33" t="s">
        <v>3119</v>
      </c>
      <c r="AD898" s="58">
        <v>0.39374999999999999</v>
      </c>
      <c r="AE898" s="33"/>
      <c r="AF898" s="58">
        <v>0.39374999999999999</v>
      </c>
      <c r="AG898" s="33" t="s">
        <v>815</v>
      </c>
      <c r="AH898" s="33">
        <v>2</v>
      </c>
      <c r="AI898" s="43">
        <v>46157.999305555553</v>
      </c>
      <c r="AJ898" s="33" t="s">
        <v>793</v>
      </c>
      <c r="AK898" s="42">
        <v>997277.04</v>
      </c>
      <c r="AL898" s="33" t="s">
        <v>816</v>
      </c>
    </row>
    <row r="899" spans="1:38">
      <c r="A899" s="33">
        <v>6009762</v>
      </c>
      <c r="B899" s="33"/>
      <c r="C899" s="33" t="s">
        <v>789</v>
      </c>
      <c r="D899" s="33" t="s">
        <v>1074</v>
      </c>
      <c r="E899" s="33" t="s">
        <v>3579</v>
      </c>
      <c r="F899" s="43">
        <v>46157.75</v>
      </c>
      <c r="G899" s="33" t="s">
        <v>792</v>
      </c>
      <c r="H899" s="33"/>
      <c r="I899" s="33" t="s">
        <v>793</v>
      </c>
      <c r="J899" s="33" t="s">
        <v>2859</v>
      </c>
      <c r="K899" s="33" t="s">
        <v>1118</v>
      </c>
      <c r="L899" s="33" t="s">
        <v>806</v>
      </c>
      <c r="M899" s="43">
        <v>46157.998067129629</v>
      </c>
      <c r="N899" s="33" t="s">
        <v>1078</v>
      </c>
      <c r="O899" s="33" t="s">
        <v>797</v>
      </c>
      <c r="P899" s="33" t="s">
        <v>1963</v>
      </c>
      <c r="Q899" s="43">
        <v>46157.832638888889</v>
      </c>
      <c r="R899" s="43">
        <v>46157.867361111108</v>
      </c>
      <c r="S899" s="58">
        <v>3.4722222222222224E-2</v>
      </c>
      <c r="T899" s="33" t="s">
        <v>799</v>
      </c>
      <c r="U899" s="43">
        <v>46157.995833333334</v>
      </c>
      <c r="V899" s="58">
        <v>2.7777777777777779E-3</v>
      </c>
      <c r="W899" s="33" t="s">
        <v>799</v>
      </c>
      <c r="X899" s="43">
        <v>46157.995833333334</v>
      </c>
      <c r="Y899" s="58">
        <v>2.7777777777777779E-3</v>
      </c>
      <c r="Z899" s="33" t="s">
        <v>799</v>
      </c>
      <c r="AA899" s="43">
        <v>46157.984722222223</v>
      </c>
      <c r="AB899" s="33" t="s">
        <v>81</v>
      </c>
      <c r="AC899" s="33" t="s">
        <v>2262</v>
      </c>
      <c r="AD899" s="58">
        <v>0.37361111111111112</v>
      </c>
      <c r="AE899" s="58">
        <v>0.12986111111111112</v>
      </c>
      <c r="AF899" s="58">
        <v>0.37361111111111112</v>
      </c>
      <c r="AG899" s="33" t="s">
        <v>1080</v>
      </c>
      <c r="AH899" s="33">
        <v>2</v>
      </c>
      <c r="AI899" s="43">
        <v>46157.995833333334</v>
      </c>
      <c r="AJ899" s="33" t="s">
        <v>793</v>
      </c>
      <c r="AK899" s="42">
        <v>706985.76</v>
      </c>
      <c r="AL899" s="33" t="s">
        <v>1081</v>
      </c>
    </row>
    <row r="900" spans="1:38">
      <c r="A900" s="33">
        <v>6023431</v>
      </c>
      <c r="B900" s="33"/>
      <c r="C900" s="33" t="s">
        <v>789</v>
      </c>
      <c r="D900" s="33" t="s">
        <v>1330</v>
      </c>
      <c r="E900" s="33" t="s">
        <v>3580</v>
      </c>
      <c r="F900" s="43">
        <v>46157.53125</v>
      </c>
      <c r="G900" s="33" t="s">
        <v>114</v>
      </c>
      <c r="H900" s="33"/>
      <c r="I900" s="33" t="s">
        <v>73</v>
      </c>
      <c r="J900" s="33" t="s">
        <v>3581</v>
      </c>
      <c r="K900" s="33" t="s">
        <v>3582</v>
      </c>
      <c r="L900" s="33" t="s">
        <v>3583</v>
      </c>
      <c r="M900" s="43">
        <v>46158.323587962965</v>
      </c>
      <c r="N900" s="33" t="s">
        <v>1334</v>
      </c>
      <c r="O900" s="33" t="s">
        <v>797</v>
      </c>
      <c r="P900" s="33" t="s">
        <v>140</v>
      </c>
      <c r="Q900" s="43">
        <v>46157.53402777778</v>
      </c>
      <c r="R900" s="43">
        <v>46157.545138888891</v>
      </c>
      <c r="S900" s="58">
        <v>1.1111111111111112E-2</v>
      </c>
      <c r="T900" s="33" t="s">
        <v>3584</v>
      </c>
      <c r="U900" s="33"/>
      <c r="V900" s="33"/>
      <c r="W900" s="33"/>
      <c r="X900" s="33"/>
      <c r="Y900" s="33"/>
      <c r="Z900" s="33" t="s">
        <v>3584</v>
      </c>
      <c r="AA900" s="43">
        <v>46158.333333333336</v>
      </c>
      <c r="AB900" s="33" t="s">
        <v>1153</v>
      </c>
      <c r="AC900" s="33" t="s">
        <v>3585</v>
      </c>
      <c r="AD900" s="58">
        <v>0.79027777777777775</v>
      </c>
      <c r="AE900" s="33"/>
      <c r="AF900" s="58">
        <v>0.79027777777777775</v>
      </c>
      <c r="AG900" s="33"/>
      <c r="AH900" s="33">
        <v>1</v>
      </c>
      <c r="AI900" s="43">
        <v>46158.352777777778</v>
      </c>
      <c r="AJ900" s="33" t="s">
        <v>73</v>
      </c>
      <c r="AK900" s="42">
        <v>162983</v>
      </c>
      <c r="AL900" s="33" t="s">
        <v>1337</v>
      </c>
    </row>
    <row r="901" spans="1:38">
      <c r="A901" s="33" t="s">
        <v>3586</v>
      </c>
      <c r="B901" s="33"/>
      <c r="C901" s="33" t="s">
        <v>789</v>
      </c>
      <c r="D901" s="33" t="s">
        <v>3587</v>
      </c>
      <c r="E901" s="33" t="s">
        <v>3588</v>
      </c>
      <c r="F901" s="43">
        <v>46157.708333333336</v>
      </c>
      <c r="G901" s="33" t="s">
        <v>171</v>
      </c>
      <c r="H901" s="33"/>
      <c r="I901" s="33" t="s">
        <v>793</v>
      </c>
      <c r="J901" s="33" t="s">
        <v>958</v>
      </c>
      <c r="K901" s="33" t="s">
        <v>75</v>
      </c>
      <c r="L901" s="33" t="s">
        <v>1231</v>
      </c>
      <c r="M901" s="43">
        <v>46157.983425925922</v>
      </c>
      <c r="N901" s="33" t="s">
        <v>493</v>
      </c>
      <c r="O901" s="33" t="s">
        <v>797</v>
      </c>
      <c r="P901" s="33" t="s">
        <v>861</v>
      </c>
      <c r="Q901" s="33"/>
      <c r="R901" s="33"/>
      <c r="S901" s="33"/>
      <c r="T901" s="33" t="s">
        <v>308</v>
      </c>
      <c r="U901" s="43">
        <v>46157.909722222219</v>
      </c>
      <c r="V901" s="58">
        <v>7.4305555555555555E-2</v>
      </c>
      <c r="W901" s="33" t="s">
        <v>308</v>
      </c>
      <c r="X901" s="43">
        <v>46157.909722222219</v>
      </c>
      <c r="Y901" s="58">
        <v>7.4305555555555555E-2</v>
      </c>
      <c r="Z901" s="33" t="s">
        <v>308</v>
      </c>
      <c r="AA901" s="43">
        <v>46169</v>
      </c>
      <c r="AB901" s="33" t="s">
        <v>81</v>
      </c>
      <c r="AC901" s="33" t="s">
        <v>1404</v>
      </c>
      <c r="AD901" s="58">
        <v>0.27777777777777779</v>
      </c>
      <c r="AE901" s="33"/>
      <c r="AF901" s="58">
        <v>0.27777777777777779</v>
      </c>
      <c r="AG901" s="33" t="s">
        <v>1233</v>
      </c>
      <c r="AH901" s="33">
        <v>1</v>
      </c>
      <c r="AI901" s="43">
        <v>46157.909722222219</v>
      </c>
      <c r="AJ901" s="33" t="s">
        <v>793</v>
      </c>
      <c r="AK901" s="42">
        <v>858983.52</v>
      </c>
      <c r="AL901" s="33" t="s">
        <v>3589</v>
      </c>
    </row>
    <row r="902" spans="1:38">
      <c r="A902" s="33" t="s">
        <v>3590</v>
      </c>
      <c r="B902" s="33"/>
      <c r="C902" s="33" t="s">
        <v>789</v>
      </c>
      <c r="D902" s="33" t="s">
        <v>677</v>
      </c>
      <c r="E902" s="33" t="s">
        <v>3591</v>
      </c>
      <c r="F902" s="43">
        <v>46157.708333333336</v>
      </c>
      <c r="G902" s="33" t="s">
        <v>171</v>
      </c>
      <c r="H902" s="33"/>
      <c r="I902" s="33" t="s">
        <v>793</v>
      </c>
      <c r="J902" s="33" t="s">
        <v>958</v>
      </c>
      <c r="K902" s="33" t="s">
        <v>75</v>
      </c>
      <c r="L902" s="33" t="s">
        <v>492</v>
      </c>
      <c r="M902" s="43">
        <v>46157.906990740739</v>
      </c>
      <c r="N902" s="33" t="s">
        <v>681</v>
      </c>
      <c r="O902" s="33" t="s">
        <v>797</v>
      </c>
      <c r="P902" s="33" t="s">
        <v>861</v>
      </c>
      <c r="Q902" s="43">
        <v>46157.647222222222</v>
      </c>
      <c r="R902" s="43">
        <v>46157.656944444447</v>
      </c>
      <c r="S902" s="58">
        <v>9.7222222222222224E-3</v>
      </c>
      <c r="T902" s="33" t="s">
        <v>308</v>
      </c>
      <c r="U902" s="43">
        <v>46157.852083333331</v>
      </c>
      <c r="V902" s="58">
        <v>5.6250000000000001E-2</v>
      </c>
      <c r="W902" s="33" t="s">
        <v>308</v>
      </c>
      <c r="X902" s="43">
        <v>46157.852083333331</v>
      </c>
      <c r="Y902" s="58">
        <v>5.6250000000000001E-2</v>
      </c>
      <c r="Z902" s="33" t="s">
        <v>308</v>
      </c>
      <c r="AA902" s="43">
        <v>46157.758333333331</v>
      </c>
      <c r="AB902" s="33" t="s">
        <v>81</v>
      </c>
      <c r="AC902" s="33" t="s">
        <v>1404</v>
      </c>
      <c r="AD902" s="58">
        <v>0.22916666666666666</v>
      </c>
      <c r="AE902" s="58">
        <v>0.25</v>
      </c>
      <c r="AF902" s="58">
        <v>0.22916666666666666</v>
      </c>
      <c r="AG902" s="33" t="s">
        <v>961</v>
      </c>
      <c r="AH902" s="33">
        <v>2</v>
      </c>
      <c r="AI902" s="43">
        <v>46157.852083333331</v>
      </c>
      <c r="AJ902" s="33" t="s">
        <v>793</v>
      </c>
      <c r="AK902" s="42">
        <v>336058.71</v>
      </c>
      <c r="AL902" s="33" t="s">
        <v>684</v>
      </c>
    </row>
    <row r="903" spans="1:38">
      <c r="A903" s="33">
        <v>6015025</v>
      </c>
      <c r="B903" s="33"/>
      <c r="C903" s="33" t="s">
        <v>789</v>
      </c>
      <c r="D903" s="33" t="s">
        <v>1176</v>
      </c>
      <c r="E903" s="33" t="s">
        <v>3592</v>
      </c>
      <c r="F903" s="43">
        <v>46157.833333333336</v>
      </c>
      <c r="G903" s="33" t="s">
        <v>227</v>
      </c>
      <c r="H903" s="33"/>
      <c r="I903" s="33" t="s">
        <v>73</v>
      </c>
      <c r="J903" s="33" t="s">
        <v>3593</v>
      </c>
      <c r="K903" s="33" t="s">
        <v>2199</v>
      </c>
      <c r="L903" s="33" t="s">
        <v>3594</v>
      </c>
      <c r="M903" s="43">
        <v>46158.337673611109</v>
      </c>
      <c r="N903" s="33" t="s">
        <v>1179</v>
      </c>
      <c r="O903" s="33" t="s">
        <v>797</v>
      </c>
      <c r="P903" s="33" t="s">
        <v>140</v>
      </c>
      <c r="Q903" s="43">
        <v>46157.656944444447</v>
      </c>
      <c r="R903" s="43">
        <v>46157.849305555559</v>
      </c>
      <c r="S903" s="58">
        <v>0.19236111111111112</v>
      </c>
      <c r="T903" s="33" t="s">
        <v>3231</v>
      </c>
      <c r="U903" s="33"/>
      <c r="V903" s="33"/>
      <c r="W903" s="33"/>
      <c r="X903" s="33"/>
      <c r="Y903" s="33"/>
      <c r="Z903" s="33" t="s">
        <v>3231</v>
      </c>
      <c r="AA903" s="43">
        <v>46158.736111111109</v>
      </c>
      <c r="AB903" s="33" t="s">
        <v>81</v>
      </c>
      <c r="AC903" s="33" t="s">
        <v>81</v>
      </c>
      <c r="AD903" s="58">
        <v>0.58263888888888893</v>
      </c>
      <c r="AE903" s="33"/>
      <c r="AF903" s="58">
        <v>0.58263888888888893</v>
      </c>
      <c r="AG903" s="33" t="s">
        <v>2682</v>
      </c>
      <c r="AH903" s="33">
        <v>3</v>
      </c>
      <c r="AI903" s="43">
        <v>46158.922222222223</v>
      </c>
      <c r="AJ903" s="33" t="s">
        <v>73</v>
      </c>
      <c r="AK903" s="42">
        <v>710797.56</v>
      </c>
      <c r="AL903" s="33" t="s">
        <v>1182</v>
      </c>
    </row>
    <row r="904" spans="1:38">
      <c r="A904" s="33">
        <v>6010676</v>
      </c>
      <c r="B904" s="33"/>
      <c r="C904" s="33" t="s">
        <v>789</v>
      </c>
      <c r="D904" s="33" t="s">
        <v>2919</v>
      </c>
      <c r="E904" s="33" t="s">
        <v>3595</v>
      </c>
      <c r="F904" s="43">
        <v>46157.75</v>
      </c>
      <c r="G904" s="33" t="s">
        <v>792</v>
      </c>
      <c r="H904" s="33"/>
      <c r="I904" s="33" t="s">
        <v>793</v>
      </c>
      <c r="J904" s="33" t="s">
        <v>1049</v>
      </c>
      <c r="K904" s="33" t="s">
        <v>75</v>
      </c>
      <c r="L904" s="33" t="s">
        <v>492</v>
      </c>
      <c r="M904" s="43">
        <v>46157.776666666665</v>
      </c>
      <c r="N904" s="33" t="s">
        <v>2923</v>
      </c>
      <c r="O904" s="33" t="s">
        <v>797</v>
      </c>
      <c r="P904" s="33" t="s">
        <v>799</v>
      </c>
      <c r="Q904" s="33"/>
      <c r="R904" s="33"/>
      <c r="S904" s="33"/>
      <c r="T904" s="33" t="s">
        <v>140</v>
      </c>
      <c r="U904" s="43">
        <v>46157.740972222222</v>
      </c>
      <c r="V904" s="58">
        <v>3.6805555555555557E-2</v>
      </c>
      <c r="W904" s="33" t="s">
        <v>140</v>
      </c>
      <c r="X904" s="43">
        <v>46157.740972222222</v>
      </c>
      <c r="Y904" s="58">
        <v>3.6805555555555557E-2</v>
      </c>
      <c r="Z904" s="33" t="s">
        <v>140</v>
      </c>
      <c r="AA904" s="43">
        <v>46158.833333333336</v>
      </c>
      <c r="AB904" s="33" t="s">
        <v>81</v>
      </c>
      <c r="AC904" s="33" t="s">
        <v>1053</v>
      </c>
      <c r="AD904" s="58">
        <v>8.1944444444444445E-2</v>
      </c>
      <c r="AE904" s="33"/>
      <c r="AF904" s="58">
        <v>8.1944444444444445E-2</v>
      </c>
      <c r="AG904" s="33" t="s">
        <v>2924</v>
      </c>
      <c r="AH904" s="33">
        <v>1</v>
      </c>
      <c r="AI904" s="43">
        <v>46157.740972222222</v>
      </c>
      <c r="AJ904" s="33" t="s">
        <v>793</v>
      </c>
      <c r="AK904" s="42">
        <v>801800.16</v>
      </c>
      <c r="AL904" s="33" t="s">
        <v>2925</v>
      </c>
    </row>
    <row r="905" spans="1:38">
      <c r="A905" s="33">
        <v>6007426</v>
      </c>
      <c r="B905" s="33"/>
      <c r="C905" s="33" t="s">
        <v>789</v>
      </c>
      <c r="D905" s="33" t="s">
        <v>1032</v>
      </c>
      <c r="E905" s="33" t="s">
        <v>3596</v>
      </c>
      <c r="F905" s="43">
        <v>46157.75</v>
      </c>
      <c r="G905" s="33" t="s">
        <v>792</v>
      </c>
      <c r="H905" s="33"/>
      <c r="I905" s="33" t="s">
        <v>793</v>
      </c>
      <c r="J905" s="33" t="s">
        <v>1147</v>
      </c>
      <c r="K905" s="33" t="s">
        <v>75</v>
      </c>
      <c r="L905" s="33" t="s">
        <v>1189</v>
      </c>
      <c r="M905" s="43">
        <v>46157.788506944446</v>
      </c>
      <c r="N905" s="33" t="s">
        <v>1036</v>
      </c>
      <c r="O905" s="33" t="s">
        <v>175</v>
      </c>
      <c r="P905" s="33" t="s">
        <v>799</v>
      </c>
      <c r="Q905" s="43">
        <v>46157.73541666667</v>
      </c>
      <c r="R905" s="43">
        <v>46157.74722222222</v>
      </c>
      <c r="S905" s="58">
        <v>1.1805555555555555E-2</v>
      </c>
      <c r="T905" s="33" t="s">
        <v>140</v>
      </c>
      <c r="U905" s="43">
        <v>46157.78402777778</v>
      </c>
      <c r="V905" s="58">
        <v>6.9444444444444447E-4</v>
      </c>
      <c r="W905" s="33"/>
      <c r="X905" s="33"/>
      <c r="Y905" s="33"/>
      <c r="Z905" s="33" t="s">
        <v>140</v>
      </c>
      <c r="AA905" s="43">
        <v>46157.768750000003</v>
      </c>
      <c r="AB905" s="33" t="s">
        <v>81</v>
      </c>
      <c r="AC905" s="33" t="s">
        <v>1149</v>
      </c>
      <c r="AD905" s="58">
        <v>5.486111111111111E-2</v>
      </c>
      <c r="AE905" s="33"/>
      <c r="AF905" s="58">
        <v>5.486111111111111E-2</v>
      </c>
      <c r="AG905" s="33" t="s">
        <v>1038</v>
      </c>
      <c r="AH905" s="33">
        <v>2</v>
      </c>
      <c r="AI905" s="43">
        <v>46157.78402777778</v>
      </c>
      <c r="AJ905" s="33" t="s">
        <v>793</v>
      </c>
      <c r="AK905" s="42">
        <v>767833.09</v>
      </c>
      <c r="AL905" s="33" t="s">
        <v>1039</v>
      </c>
    </row>
    <row r="906" spans="1:38">
      <c r="A906" s="33">
        <v>6011399</v>
      </c>
      <c r="B906" s="33"/>
      <c r="C906" s="33" t="s">
        <v>789</v>
      </c>
      <c r="D906" s="33" t="s">
        <v>1261</v>
      </c>
      <c r="E906" s="33" t="s">
        <v>3597</v>
      </c>
      <c r="F906" s="43">
        <v>46157.791666666664</v>
      </c>
      <c r="G906" s="33" t="s">
        <v>792</v>
      </c>
      <c r="H906" s="33"/>
      <c r="I906" s="33" t="s">
        <v>793</v>
      </c>
      <c r="J906" s="33" t="s">
        <v>1147</v>
      </c>
      <c r="K906" s="33" t="s">
        <v>75</v>
      </c>
      <c r="L906" s="33" t="s">
        <v>1867</v>
      </c>
      <c r="M906" s="43">
        <v>46157.940208333333</v>
      </c>
      <c r="N906" s="33" t="s">
        <v>1265</v>
      </c>
      <c r="O906" s="33" t="s">
        <v>797</v>
      </c>
      <c r="P906" s="33" t="s">
        <v>799</v>
      </c>
      <c r="Q906" s="43">
        <v>46157.761111111111</v>
      </c>
      <c r="R906" s="43">
        <v>46157.809027777781</v>
      </c>
      <c r="S906" s="58">
        <v>4.791666666666667E-2</v>
      </c>
      <c r="T906" s="33" t="s">
        <v>140</v>
      </c>
      <c r="U906" s="43">
        <v>46157.852083333331</v>
      </c>
      <c r="V906" s="58">
        <v>8.819444444444445E-2</v>
      </c>
      <c r="W906" s="33" t="s">
        <v>140</v>
      </c>
      <c r="X906" s="43">
        <v>46157.852083333331</v>
      </c>
      <c r="Y906" s="58">
        <v>8.819444444444445E-2</v>
      </c>
      <c r="Z906" s="33" t="s">
        <v>140</v>
      </c>
      <c r="AA906" s="43">
        <v>46157.82708333333</v>
      </c>
      <c r="AB906" s="33" t="s">
        <v>606</v>
      </c>
      <c r="AC906" s="33" t="s">
        <v>1149</v>
      </c>
      <c r="AD906" s="58">
        <v>0.20208333333333334</v>
      </c>
      <c r="AE906" s="58">
        <v>0.13125000000000001</v>
      </c>
      <c r="AF906" s="58">
        <v>0.20208333333333334</v>
      </c>
      <c r="AG906" s="33" t="s">
        <v>1267</v>
      </c>
      <c r="AH906" s="33">
        <v>2</v>
      </c>
      <c r="AI906" s="43">
        <v>46157.852083333331</v>
      </c>
      <c r="AJ906" s="33" t="s">
        <v>793</v>
      </c>
      <c r="AK906" s="42">
        <v>636652.9</v>
      </c>
      <c r="AL906" s="33" t="s">
        <v>1268</v>
      </c>
    </row>
    <row r="907" spans="1:38">
      <c r="A907" s="33">
        <v>6022596</v>
      </c>
      <c r="B907" s="33"/>
      <c r="C907" s="33" t="s">
        <v>789</v>
      </c>
      <c r="D907" s="33" t="s">
        <v>2028</v>
      </c>
      <c r="E907" s="33" t="s">
        <v>3598</v>
      </c>
      <c r="F907" s="43">
        <v>46157.833333333336</v>
      </c>
      <c r="G907" s="33" t="s">
        <v>227</v>
      </c>
      <c r="H907" s="33"/>
      <c r="I907" s="33" t="s">
        <v>73</v>
      </c>
      <c r="J907" s="33" t="s">
        <v>441</v>
      </c>
      <c r="K907" s="33" t="s">
        <v>1240</v>
      </c>
      <c r="L907" s="33" t="s">
        <v>501</v>
      </c>
      <c r="M907" s="43">
        <v>46158.229884259257</v>
      </c>
      <c r="N907" s="33" t="s">
        <v>2031</v>
      </c>
      <c r="O907" s="33" t="s">
        <v>797</v>
      </c>
      <c r="P907" s="33" t="s">
        <v>79</v>
      </c>
      <c r="Q907" s="33"/>
      <c r="R907" s="33"/>
      <c r="S907" s="33"/>
      <c r="T907" s="33" t="s">
        <v>444</v>
      </c>
      <c r="U907" s="33"/>
      <c r="V907" s="33"/>
      <c r="W907" s="33"/>
      <c r="X907" s="33"/>
      <c r="Y907" s="33"/>
      <c r="Z907" s="33" t="s">
        <v>444</v>
      </c>
      <c r="AA907" s="43">
        <v>46164.25</v>
      </c>
      <c r="AB907" s="33" t="s">
        <v>3599</v>
      </c>
      <c r="AC907" s="33" t="s">
        <v>447</v>
      </c>
      <c r="AD907" s="58">
        <v>0.61111111111111116</v>
      </c>
      <c r="AE907" s="33"/>
      <c r="AF907" s="58">
        <v>0.61111111111111116</v>
      </c>
      <c r="AG907" s="33" t="s">
        <v>1496</v>
      </c>
      <c r="AH907" s="33">
        <v>2</v>
      </c>
      <c r="AI907" s="43">
        <v>46158.623611111114</v>
      </c>
      <c r="AJ907" s="33" t="s">
        <v>83</v>
      </c>
      <c r="AK907" s="42">
        <v>54896.27</v>
      </c>
      <c r="AL907" s="33" t="s">
        <v>2032</v>
      </c>
    </row>
    <row r="908" spans="1:38">
      <c r="A908" s="33">
        <v>6012709</v>
      </c>
      <c r="B908" s="33"/>
      <c r="C908" s="33" t="s">
        <v>789</v>
      </c>
      <c r="D908" s="33" t="s">
        <v>3257</v>
      </c>
      <c r="E908" s="33" t="s">
        <v>3600</v>
      </c>
      <c r="F908" s="43">
        <v>46157.831944444442</v>
      </c>
      <c r="G908" s="33" t="s">
        <v>724</v>
      </c>
      <c r="H908" s="33"/>
      <c r="I908" s="33" t="s">
        <v>73</v>
      </c>
      <c r="J908" s="33" t="s">
        <v>3601</v>
      </c>
      <c r="K908" s="33" t="s">
        <v>75</v>
      </c>
      <c r="L908" s="33" t="s">
        <v>3366</v>
      </c>
      <c r="M908" s="43">
        <v>46158.410787037035</v>
      </c>
      <c r="N908" s="33" t="s">
        <v>3260</v>
      </c>
      <c r="O908" s="33" t="s">
        <v>797</v>
      </c>
      <c r="P908" s="33" t="s">
        <v>79</v>
      </c>
      <c r="Q908" s="43">
        <v>46157.837500000001</v>
      </c>
      <c r="R908" s="43">
        <v>46157.914583333331</v>
      </c>
      <c r="S908" s="58">
        <v>7.7083333333333337E-2</v>
      </c>
      <c r="T908" s="33" t="s">
        <v>3602</v>
      </c>
      <c r="U908" s="33"/>
      <c r="V908" s="33"/>
      <c r="W908" s="33" t="s">
        <v>3367</v>
      </c>
      <c r="X908" s="43">
        <v>46157.995833333334</v>
      </c>
      <c r="Y908" s="58">
        <v>0.41597222222222224</v>
      </c>
      <c r="Z908" s="33" t="s">
        <v>3602</v>
      </c>
      <c r="AA908" s="43">
        <v>46158.275000000001</v>
      </c>
      <c r="AB908" s="33" t="s">
        <v>3603</v>
      </c>
      <c r="AC908" s="33" t="s">
        <v>3604</v>
      </c>
      <c r="AD908" s="58">
        <v>0.52361111111111114</v>
      </c>
      <c r="AE908" s="33"/>
      <c r="AF908" s="58">
        <v>0.52361111111111114</v>
      </c>
      <c r="AG908" s="33" t="s">
        <v>3605</v>
      </c>
      <c r="AH908" s="33">
        <v>2</v>
      </c>
      <c r="AI908" s="43">
        <v>46158.680555555555</v>
      </c>
      <c r="AJ908" s="33" t="s">
        <v>73</v>
      </c>
      <c r="AK908" s="42">
        <v>142990.21</v>
      </c>
      <c r="AL908" s="33" t="s">
        <v>3262</v>
      </c>
    </row>
    <row r="909" spans="1:38">
      <c r="A909" s="33" t="s">
        <v>3606</v>
      </c>
      <c r="B909" s="33"/>
      <c r="C909" s="33" t="s">
        <v>789</v>
      </c>
      <c r="D909" s="33" t="s">
        <v>1762</v>
      </c>
      <c r="E909" s="33" t="s">
        <v>3607</v>
      </c>
      <c r="F909" s="43">
        <v>46157.831944444442</v>
      </c>
      <c r="G909" s="33" t="s">
        <v>1246</v>
      </c>
      <c r="H909" s="33"/>
      <c r="I909" s="33" t="s">
        <v>73</v>
      </c>
      <c r="J909" s="33" t="s">
        <v>1293</v>
      </c>
      <c r="K909" s="33" t="s">
        <v>75</v>
      </c>
      <c r="L909" s="33" t="s">
        <v>3608</v>
      </c>
      <c r="M909" s="43">
        <v>46157.911909722221</v>
      </c>
      <c r="N909" s="33" t="s">
        <v>1295</v>
      </c>
      <c r="O909" s="33" t="s">
        <v>797</v>
      </c>
      <c r="P909" s="33" t="s">
        <v>140</v>
      </c>
      <c r="Q909" s="43">
        <v>46157.834722222222</v>
      </c>
      <c r="R909" s="43">
        <v>46157.849305555559</v>
      </c>
      <c r="S909" s="58">
        <v>1.4583333333333334E-2</v>
      </c>
      <c r="T909" s="33" t="s">
        <v>1296</v>
      </c>
      <c r="U909" s="43">
        <v>46157.868055555555</v>
      </c>
      <c r="V909" s="58">
        <v>7.013888888888889E-2</v>
      </c>
      <c r="W909" s="33" t="s">
        <v>1296</v>
      </c>
      <c r="X909" s="43">
        <v>46157.868055555555</v>
      </c>
      <c r="Y909" s="58">
        <v>7.013888888888889E-2</v>
      </c>
      <c r="Z909" s="33" t="s">
        <v>1296</v>
      </c>
      <c r="AA909" s="43">
        <v>46158.400000000001</v>
      </c>
      <c r="AB909" s="33" t="s">
        <v>81</v>
      </c>
      <c r="AC909" s="33" t="s">
        <v>1297</v>
      </c>
      <c r="AD909" s="58">
        <v>0.1</v>
      </c>
      <c r="AE909" s="58">
        <v>6.1805555555555558E-2</v>
      </c>
      <c r="AF909" s="58">
        <v>0.1</v>
      </c>
      <c r="AG909" s="33"/>
      <c r="AH909" s="33">
        <v>2</v>
      </c>
      <c r="AI909" s="43">
        <v>46157.868055555555</v>
      </c>
      <c r="AJ909" s="33" t="s">
        <v>73</v>
      </c>
      <c r="AK909" s="42">
        <v>261756.41</v>
      </c>
      <c r="AL909" s="33" t="s">
        <v>1960</v>
      </c>
    </row>
    <row r="910" spans="1:38">
      <c r="A910" s="33">
        <v>6023431</v>
      </c>
      <c r="B910" s="33" t="s">
        <v>291</v>
      </c>
      <c r="C910" s="33" t="s">
        <v>3609</v>
      </c>
      <c r="D910" s="33" t="s">
        <v>1330</v>
      </c>
      <c r="E910" s="33" t="s">
        <v>3610</v>
      </c>
      <c r="F910" s="43">
        <v>46157.467361111114</v>
      </c>
      <c r="G910" s="33" t="s">
        <v>114</v>
      </c>
      <c r="H910" s="33"/>
      <c r="I910" s="33" t="s">
        <v>73</v>
      </c>
      <c r="J910" s="33" t="s">
        <v>3581</v>
      </c>
      <c r="K910" s="33" t="s">
        <v>75</v>
      </c>
      <c r="L910" s="33" t="s">
        <v>3611</v>
      </c>
      <c r="M910" s="43">
        <v>46158.457418981481</v>
      </c>
      <c r="N910" s="33" t="s">
        <v>1334</v>
      </c>
      <c r="O910" s="33" t="s">
        <v>3612</v>
      </c>
      <c r="P910" s="33" t="s">
        <v>140</v>
      </c>
      <c r="Q910" s="43">
        <v>46157.476388888892</v>
      </c>
      <c r="R910" s="43">
        <v>46157.546527777777</v>
      </c>
      <c r="S910" s="58">
        <v>7.013888888888889E-2</v>
      </c>
      <c r="T910" s="33" t="s">
        <v>3584</v>
      </c>
      <c r="U910" s="33"/>
      <c r="V910" s="33"/>
      <c r="W910" s="33"/>
      <c r="X910" s="33"/>
      <c r="Y910" s="33"/>
      <c r="Z910" s="33" t="s">
        <v>3584</v>
      </c>
      <c r="AA910" s="43">
        <v>46157.575694444444</v>
      </c>
      <c r="AB910" s="33" t="s">
        <v>2972</v>
      </c>
      <c r="AC910" s="33" t="s">
        <v>3585</v>
      </c>
      <c r="AD910" s="33"/>
      <c r="AE910" s="58">
        <v>0.91111111111111109</v>
      </c>
      <c r="AF910" s="33"/>
      <c r="AG910" s="33"/>
      <c r="AH910" s="33">
        <v>1</v>
      </c>
      <c r="AI910" s="43">
        <v>46158.459027777775</v>
      </c>
      <c r="AJ910" s="33" t="s">
        <v>73</v>
      </c>
      <c r="AK910" s="42">
        <v>162983</v>
      </c>
      <c r="AL910" s="33" t="s">
        <v>1337</v>
      </c>
    </row>
    <row r="911" spans="1:38">
      <c r="A911" s="33">
        <v>6014425</v>
      </c>
      <c r="B911" s="33" t="s">
        <v>291</v>
      </c>
      <c r="C911" s="33" t="s">
        <v>3609</v>
      </c>
      <c r="D911" s="33" t="s">
        <v>3147</v>
      </c>
      <c r="E911" s="33" t="s">
        <v>3613</v>
      </c>
      <c r="F911" s="43">
        <v>46159.208333333336</v>
      </c>
      <c r="G911" s="33" t="s">
        <v>1635</v>
      </c>
      <c r="H911" s="33"/>
      <c r="I911" s="33" t="s">
        <v>73</v>
      </c>
      <c r="J911" s="33" t="s">
        <v>3614</v>
      </c>
      <c r="K911" s="33" t="s">
        <v>75</v>
      </c>
      <c r="L911" s="33" t="s">
        <v>1281</v>
      </c>
      <c r="M911" s="43">
        <v>46158.322893518518</v>
      </c>
      <c r="N911" s="33" t="s">
        <v>493</v>
      </c>
      <c r="O911" s="33" t="s">
        <v>3612</v>
      </c>
      <c r="P911" s="33" t="s">
        <v>140</v>
      </c>
      <c r="Q911" s="43">
        <v>46157.506249999999</v>
      </c>
      <c r="R911" s="33"/>
      <c r="S911" s="58">
        <v>0.95138888888888884</v>
      </c>
      <c r="T911" s="33" t="s">
        <v>3615</v>
      </c>
      <c r="U911" s="33"/>
      <c r="V911" s="33"/>
      <c r="W911" s="33" t="s">
        <v>140</v>
      </c>
      <c r="X911" s="43">
        <v>46157.506249999999</v>
      </c>
      <c r="Y911" s="58">
        <v>0.95138888888888884</v>
      </c>
      <c r="Z911" s="33" t="s">
        <v>3615</v>
      </c>
      <c r="AA911" s="43">
        <v>46159.333333333336</v>
      </c>
      <c r="AB911" s="33" t="s">
        <v>1138</v>
      </c>
      <c r="AC911" s="33" t="s">
        <v>3616</v>
      </c>
      <c r="AD911" s="33"/>
      <c r="AE911" s="33"/>
      <c r="AF911" s="33"/>
      <c r="AG911" s="33" t="s">
        <v>3617</v>
      </c>
      <c r="AH911" s="33">
        <v>0</v>
      </c>
      <c r="AI911" s="43">
        <v>46158.324305555558</v>
      </c>
      <c r="AJ911" s="33" t="s">
        <v>73</v>
      </c>
      <c r="AK911" s="42">
        <v>1216991.2</v>
      </c>
      <c r="AL911" s="33" t="s">
        <v>3618</v>
      </c>
    </row>
    <row r="912" spans="1:38">
      <c r="A912" s="33">
        <v>6014424</v>
      </c>
      <c r="B912" s="33" t="s">
        <v>291</v>
      </c>
      <c r="C912" s="33" t="s">
        <v>3609</v>
      </c>
      <c r="D912" s="33" t="s">
        <v>1633</v>
      </c>
      <c r="E912" s="33" t="s">
        <v>3619</v>
      </c>
      <c r="F912" s="43">
        <v>46159.208333333336</v>
      </c>
      <c r="G912" s="33" t="s">
        <v>1635</v>
      </c>
      <c r="H912" s="33"/>
      <c r="I912" s="33" t="s">
        <v>73</v>
      </c>
      <c r="J912" s="33" t="s">
        <v>3614</v>
      </c>
      <c r="K912" s="33" t="s">
        <v>75</v>
      </c>
      <c r="L912" s="33" t="s">
        <v>3620</v>
      </c>
      <c r="M912" s="43">
        <v>46158.385185185187</v>
      </c>
      <c r="N912" s="33" t="s">
        <v>1637</v>
      </c>
      <c r="O912" s="33" t="s">
        <v>3612</v>
      </c>
      <c r="P912" s="33" t="s">
        <v>140</v>
      </c>
      <c r="Q912" s="43">
        <v>46157.593055555553</v>
      </c>
      <c r="R912" s="43">
        <v>46157.613888888889</v>
      </c>
      <c r="S912" s="58">
        <v>2.0833333333333332E-2</v>
      </c>
      <c r="T912" s="33" t="s">
        <v>3615</v>
      </c>
      <c r="U912" s="33"/>
      <c r="V912" s="33"/>
      <c r="W912" s="33"/>
      <c r="X912" s="33"/>
      <c r="Y912" s="33"/>
      <c r="Z912" s="33" t="s">
        <v>3615</v>
      </c>
      <c r="AA912" s="43">
        <v>46160.615277777775</v>
      </c>
      <c r="AB912" s="33" t="s">
        <v>606</v>
      </c>
      <c r="AC912" s="33" t="s">
        <v>3616</v>
      </c>
      <c r="AD912" s="33"/>
      <c r="AE912" s="58">
        <v>0.84375</v>
      </c>
      <c r="AF912" s="33"/>
      <c r="AG912" s="33" t="s">
        <v>3621</v>
      </c>
      <c r="AH912" s="33">
        <v>1</v>
      </c>
      <c r="AI912" s="43">
        <v>46158.334027777775</v>
      </c>
      <c r="AJ912" s="33" t="s">
        <v>73</v>
      </c>
      <c r="AK912" s="42">
        <v>1214032</v>
      </c>
      <c r="AL912" s="33" t="s">
        <v>1640</v>
      </c>
    </row>
    <row r="913" spans="1:38">
      <c r="A913" s="33">
        <v>6014423</v>
      </c>
      <c r="B913" s="33" t="s">
        <v>3622</v>
      </c>
      <c r="C913" s="33" t="s">
        <v>3609</v>
      </c>
      <c r="D913" s="33" t="s">
        <v>3623</v>
      </c>
      <c r="E913" s="33" t="s">
        <v>3624</v>
      </c>
      <c r="F913" s="43">
        <v>46159.208333333336</v>
      </c>
      <c r="G913" s="33" t="s">
        <v>1635</v>
      </c>
      <c r="H913" s="33"/>
      <c r="I913" s="33" t="s">
        <v>73</v>
      </c>
      <c r="J913" s="33" t="s">
        <v>3614</v>
      </c>
      <c r="K913" s="33" t="s">
        <v>75</v>
      </c>
      <c r="L913" s="33" t="s">
        <v>3039</v>
      </c>
      <c r="M913" s="43">
        <v>46158.438692129632</v>
      </c>
      <c r="N913" s="33" t="s">
        <v>3625</v>
      </c>
      <c r="O913" s="33" t="s">
        <v>3612</v>
      </c>
      <c r="P913" s="33" t="s">
        <v>140</v>
      </c>
      <c r="Q913" s="33"/>
      <c r="R913" s="33"/>
      <c r="S913" s="33"/>
      <c r="T913" s="33" t="s">
        <v>3615</v>
      </c>
      <c r="U913" s="33"/>
      <c r="V913" s="33"/>
      <c r="W913" s="33"/>
      <c r="X913" s="33"/>
      <c r="Y913" s="33"/>
      <c r="Z913" s="33" t="s">
        <v>3615</v>
      </c>
      <c r="AA913" s="43">
        <v>46159.333333333336</v>
      </c>
      <c r="AB913" s="33" t="s">
        <v>1138</v>
      </c>
      <c r="AC913" s="33" t="s">
        <v>3616</v>
      </c>
      <c r="AD913" s="33"/>
      <c r="AE913" s="33"/>
      <c r="AF913" s="33"/>
      <c r="AG913" s="33" t="s">
        <v>2314</v>
      </c>
      <c r="AH913" s="33">
        <v>0</v>
      </c>
      <c r="AI913" s="43">
        <v>46158.617361111108</v>
      </c>
      <c r="AJ913" s="33" t="s">
        <v>73</v>
      </c>
      <c r="AK913" s="42">
        <v>1463088</v>
      </c>
      <c r="AL913" s="33" t="s">
        <v>3626</v>
      </c>
    </row>
    <row r="914" spans="1:38">
      <c r="A914" s="33">
        <v>6014892</v>
      </c>
      <c r="B914" s="33" t="s">
        <v>291</v>
      </c>
      <c r="C914" s="33" t="s">
        <v>3609</v>
      </c>
      <c r="D914" s="33" t="s">
        <v>3627</v>
      </c>
      <c r="E914" s="33" t="s">
        <v>3628</v>
      </c>
      <c r="F914" s="43">
        <v>46157.702777777777</v>
      </c>
      <c r="G914" s="33" t="s">
        <v>72</v>
      </c>
      <c r="H914" s="33"/>
      <c r="I914" s="33" t="s">
        <v>73</v>
      </c>
      <c r="J914" s="33" t="s">
        <v>3629</v>
      </c>
      <c r="K914" s="33" t="s">
        <v>75</v>
      </c>
      <c r="L914" s="33" t="s">
        <v>3630</v>
      </c>
      <c r="M914" s="43">
        <v>46158.45653935185</v>
      </c>
      <c r="N914" s="33" t="s">
        <v>3631</v>
      </c>
      <c r="O914" s="33" t="s">
        <v>1419</v>
      </c>
      <c r="P914" s="33" t="s">
        <v>140</v>
      </c>
      <c r="Q914" s="43">
        <v>46157.706250000003</v>
      </c>
      <c r="R914" s="43">
        <v>46158.390277777777</v>
      </c>
      <c r="S914" s="58">
        <v>0.68402777777777779</v>
      </c>
      <c r="T914" s="33" t="s">
        <v>3632</v>
      </c>
      <c r="U914" s="33"/>
      <c r="V914" s="33"/>
      <c r="W914" s="33"/>
      <c r="X914" s="33"/>
      <c r="Y914" s="33"/>
      <c r="Z914" s="33" t="s">
        <v>3632</v>
      </c>
      <c r="AA914" s="43">
        <v>46160.370833333334</v>
      </c>
      <c r="AB914" s="33" t="s">
        <v>3633</v>
      </c>
      <c r="AC914" s="33" t="s">
        <v>3634</v>
      </c>
      <c r="AD914" s="33"/>
      <c r="AE914" s="58">
        <v>6.7361111111111108E-2</v>
      </c>
      <c r="AF914" s="33"/>
      <c r="AG914" s="33"/>
      <c r="AH914" s="33">
        <v>1</v>
      </c>
      <c r="AI914" s="43">
        <v>46160.427777777775</v>
      </c>
      <c r="AJ914" s="33" t="s">
        <v>73</v>
      </c>
      <c r="AK914" s="42">
        <v>753403.2</v>
      </c>
      <c r="AL914" s="33" t="s">
        <v>3635</v>
      </c>
    </row>
    <row r="915" spans="1:38">
      <c r="A915" s="33">
        <v>6022059</v>
      </c>
      <c r="B915" s="33" t="s">
        <v>291</v>
      </c>
      <c r="C915" s="33" t="s">
        <v>3609</v>
      </c>
      <c r="D915" s="33" t="s">
        <v>1349</v>
      </c>
      <c r="E915" s="33" t="s">
        <v>3636</v>
      </c>
      <c r="F915" s="43">
        <v>46157.744444444441</v>
      </c>
      <c r="G915" s="33" t="s">
        <v>114</v>
      </c>
      <c r="H915" s="33"/>
      <c r="I915" s="33" t="s">
        <v>73</v>
      </c>
      <c r="J915" s="33" t="s">
        <v>3637</v>
      </c>
      <c r="K915" s="33" t="s">
        <v>75</v>
      </c>
      <c r="L915" s="33" t="s">
        <v>1460</v>
      </c>
      <c r="M915" s="43">
        <v>46158.457187499997</v>
      </c>
      <c r="N915" s="33" t="s">
        <v>493</v>
      </c>
      <c r="O915" s="33" t="s">
        <v>3612</v>
      </c>
      <c r="P915" s="33" t="s">
        <v>140</v>
      </c>
      <c r="Q915" s="43">
        <v>46157.777083333334</v>
      </c>
      <c r="R915" s="33"/>
      <c r="S915" s="58">
        <v>0.68055555555555558</v>
      </c>
      <c r="T915" s="33" t="s">
        <v>253</v>
      </c>
      <c r="U915" s="33"/>
      <c r="V915" s="33"/>
      <c r="W915" s="33" t="s">
        <v>140</v>
      </c>
      <c r="X915" s="43">
        <v>46157.777083333334</v>
      </c>
      <c r="Y915" s="58">
        <v>0.68055555555555558</v>
      </c>
      <c r="Z915" s="33" t="s">
        <v>253</v>
      </c>
      <c r="AA915" s="43">
        <v>46160.291666666664</v>
      </c>
      <c r="AB915" s="33" t="s">
        <v>3638</v>
      </c>
      <c r="AC915" s="33" t="s">
        <v>3639</v>
      </c>
      <c r="AD915" s="33"/>
      <c r="AE915" s="33"/>
      <c r="AF915" s="33"/>
      <c r="AG915" s="33"/>
      <c r="AH915" s="33">
        <v>0</v>
      </c>
      <c r="AI915" s="43">
        <v>46159.064583333333</v>
      </c>
      <c r="AJ915" s="33" t="s">
        <v>73</v>
      </c>
      <c r="AK915" s="42">
        <v>912092.35</v>
      </c>
      <c r="AL915" s="33" t="s">
        <v>1355</v>
      </c>
    </row>
    <row r="916" spans="1:38">
      <c r="A916" s="33">
        <v>6022159</v>
      </c>
      <c r="B916" s="33" t="s">
        <v>3622</v>
      </c>
      <c r="C916" s="33" t="s">
        <v>3609</v>
      </c>
      <c r="D916" s="33" t="s">
        <v>3640</v>
      </c>
      <c r="E916" s="33" t="s">
        <v>3641</v>
      </c>
      <c r="F916" s="43">
        <v>46157.882638888892</v>
      </c>
      <c r="G916" s="33" t="s">
        <v>216</v>
      </c>
      <c r="H916" s="33"/>
      <c r="I916" s="33" t="s">
        <v>73</v>
      </c>
      <c r="J916" s="33" t="s">
        <v>635</v>
      </c>
      <c r="K916" s="33" t="s">
        <v>75</v>
      </c>
      <c r="L916" s="33" t="s">
        <v>501</v>
      </c>
      <c r="M916" s="43">
        <v>46158.457407407404</v>
      </c>
      <c r="N916" s="33" t="s">
        <v>3642</v>
      </c>
      <c r="O916" s="33" t="s">
        <v>1419</v>
      </c>
      <c r="P916" s="33" t="s">
        <v>79</v>
      </c>
      <c r="Q916" s="33"/>
      <c r="R916" s="33"/>
      <c r="S916" s="33"/>
      <c r="T916" s="33" t="s">
        <v>383</v>
      </c>
      <c r="U916" s="33"/>
      <c r="V916" s="33"/>
      <c r="W916" s="33"/>
      <c r="X916" s="33"/>
      <c r="Y916" s="33"/>
      <c r="Z916" s="33" t="s">
        <v>383</v>
      </c>
      <c r="AA916" s="43">
        <v>46160.25</v>
      </c>
      <c r="AB916" s="33" t="s">
        <v>3643</v>
      </c>
      <c r="AC916" s="33" t="s">
        <v>638</v>
      </c>
      <c r="AD916" s="33"/>
      <c r="AE916" s="33"/>
      <c r="AF916" s="33"/>
      <c r="AG916" s="33" t="s">
        <v>3644</v>
      </c>
      <c r="AH916" s="33">
        <v>0</v>
      </c>
      <c r="AI916" s="43">
        <v>46159.28402777778</v>
      </c>
      <c r="AJ916" s="33" t="s">
        <v>73</v>
      </c>
      <c r="AK916" s="42">
        <v>160889.56</v>
      </c>
      <c r="AL916" s="33" t="s">
        <v>3645</v>
      </c>
    </row>
    <row r="917" spans="1:38">
      <c r="A917" s="33">
        <v>6014898</v>
      </c>
      <c r="B917" s="33" t="s">
        <v>291</v>
      </c>
      <c r="C917" s="33" t="s">
        <v>3609</v>
      </c>
      <c r="D917" s="33" t="s">
        <v>3646</v>
      </c>
      <c r="E917" s="33" t="s">
        <v>3647</v>
      </c>
      <c r="F917" s="43">
        <v>46157.927083333336</v>
      </c>
      <c r="G917" s="33" t="s">
        <v>72</v>
      </c>
      <c r="H917" s="33"/>
      <c r="I917" s="33" t="s">
        <v>73</v>
      </c>
      <c r="J917" s="33" t="s">
        <v>582</v>
      </c>
      <c r="K917" s="33" t="s">
        <v>75</v>
      </c>
      <c r="L917" s="33" t="s">
        <v>2080</v>
      </c>
      <c r="M917" s="43">
        <v>46158.455925925926</v>
      </c>
      <c r="N917" s="33" t="s">
        <v>493</v>
      </c>
      <c r="O917" s="33" t="s">
        <v>1419</v>
      </c>
      <c r="P917" s="33" t="s">
        <v>140</v>
      </c>
      <c r="Q917" s="43">
        <v>46158.218055555553</v>
      </c>
      <c r="R917" s="33"/>
      <c r="S917" s="58">
        <v>0.23958333333333334</v>
      </c>
      <c r="T917" s="33" t="s">
        <v>141</v>
      </c>
      <c r="U917" s="33"/>
      <c r="V917" s="33"/>
      <c r="W917" s="33" t="s">
        <v>140</v>
      </c>
      <c r="X917" s="43">
        <v>46158.218055555553</v>
      </c>
      <c r="Y917" s="58">
        <v>0.23958333333333334</v>
      </c>
      <c r="Z917" s="33" t="s">
        <v>141</v>
      </c>
      <c r="AA917" s="43">
        <v>46163.25</v>
      </c>
      <c r="AB917" s="33" t="s">
        <v>3648</v>
      </c>
      <c r="AC917" s="33" t="s">
        <v>587</v>
      </c>
      <c r="AD917" s="33"/>
      <c r="AE917" s="33"/>
      <c r="AF917" s="33"/>
      <c r="AG917" s="33" t="s">
        <v>3649</v>
      </c>
      <c r="AH917" s="33">
        <v>0</v>
      </c>
      <c r="AI917" s="43">
        <v>46160.260416666664</v>
      </c>
      <c r="AJ917" s="33" t="s">
        <v>73</v>
      </c>
      <c r="AK917" s="42">
        <v>865084.12</v>
      </c>
      <c r="AL917" s="33" t="s">
        <v>3650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AW1941"/>
  <sheetViews>
    <sheetView zoomScaleNormal="100" workbookViewId="0"/>
  </sheetViews>
  <sheetFormatPr defaultColWidth="8.7109375" defaultRowHeight="15"/>
  <cols>
    <col min="1" max="1" width="17.5703125" bestFit="1" customWidth="1"/>
    <col min="2" max="2" width="11.42578125" bestFit="1" customWidth="1"/>
    <col min="3" max="3" width="13.28515625" bestFit="1" customWidth="1"/>
    <col min="4" max="8" width="15.7109375" bestFit="1" customWidth="1"/>
    <col min="9" max="9" width="18" bestFit="1" customWidth="1"/>
    <col min="10" max="10" width="20" bestFit="1" customWidth="1"/>
    <col min="11" max="11" width="24.5703125" bestFit="1" customWidth="1"/>
    <col min="12" max="12" width="23.28515625" bestFit="1" customWidth="1"/>
    <col min="13" max="13" width="26.140625" bestFit="1" customWidth="1"/>
    <col min="14" max="14" width="18.85546875" bestFit="1" customWidth="1"/>
    <col min="15" max="15" width="21" bestFit="1" customWidth="1"/>
    <col min="16" max="16" width="24.28515625" bestFit="1" customWidth="1"/>
    <col min="17" max="17" width="12.140625" bestFit="1" customWidth="1"/>
    <col min="18" max="18" width="12.42578125" bestFit="1" customWidth="1"/>
    <col min="19" max="19" width="12.85546875" bestFit="1" customWidth="1"/>
    <col min="20" max="20" width="11.140625" bestFit="1" customWidth="1"/>
    <col min="21" max="21" width="12.7109375" bestFit="1" customWidth="1"/>
    <col min="22" max="22" width="41" bestFit="1" customWidth="1"/>
    <col min="23" max="23" width="13.28515625" bestFit="1" customWidth="1"/>
    <col min="24" max="24" width="29.42578125" bestFit="1" customWidth="1"/>
    <col min="25" max="25" width="21.28515625" bestFit="1" customWidth="1"/>
    <col min="26" max="26" width="11" bestFit="1" customWidth="1"/>
    <col min="27" max="27" width="24.28515625" bestFit="1" customWidth="1"/>
    <col min="28" max="28" width="34" bestFit="1" customWidth="1"/>
    <col min="29" max="29" width="29.5703125" bestFit="1" customWidth="1"/>
    <col min="30" max="30" width="9.5703125" bestFit="1" customWidth="1"/>
    <col min="31" max="31" width="34" bestFit="1" customWidth="1"/>
    <col min="32" max="32" width="23.42578125" bestFit="1" customWidth="1"/>
    <col min="33" max="33" width="9.85546875" bestFit="1" customWidth="1"/>
    <col min="34" max="34" width="18.140625" bestFit="1" customWidth="1"/>
    <col min="35" max="35" width="19.42578125" bestFit="1" customWidth="1"/>
    <col min="36" max="36" width="17.85546875" bestFit="1" customWidth="1"/>
    <col min="37" max="37" width="26.42578125" bestFit="1" customWidth="1"/>
    <col min="38" max="38" width="8.42578125" bestFit="1" customWidth="1"/>
    <col min="39" max="39" width="12.140625" bestFit="1" customWidth="1"/>
    <col min="40" max="40" width="10.140625" bestFit="1" customWidth="1"/>
    <col min="41" max="41" width="10.42578125" bestFit="1" customWidth="1"/>
    <col min="42" max="42" width="16.7109375" bestFit="1" customWidth="1"/>
    <col min="43" max="43" width="7" bestFit="1" customWidth="1"/>
    <col min="44" max="44" width="9.140625" bestFit="1" customWidth="1"/>
    <col min="45" max="45" width="14.85546875" bestFit="1" customWidth="1"/>
    <col min="46" max="46" width="9.5703125" bestFit="1" customWidth="1"/>
    <col min="47" max="47" width="7.28515625" bestFit="1" customWidth="1"/>
    <col min="48" max="49" width="91.140625" bestFit="1" customWidth="1"/>
  </cols>
  <sheetData>
    <row r="1" spans="1:49" ht="15" customHeight="1">
      <c r="A1" s="52" t="s">
        <v>3651</v>
      </c>
      <c r="B1" s="52" t="s">
        <v>35</v>
      </c>
      <c r="C1" s="52" t="s">
        <v>9</v>
      </c>
      <c r="D1" s="52" t="s">
        <v>3652</v>
      </c>
      <c r="E1" s="52" t="s">
        <v>3653</v>
      </c>
      <c r="F1" s="52" t="s">
        <v>3654</v>
      </c>
      <c r="G1" s="52" t="s">
        <v>3655</v>
      </c>
      <c r="H1" s="52" t="s">
        <v>3656</v>
      </c>
      <c r="I1" s="52" t="s">
        <v>3657</v>
      </c>
      <c r="J1" s="52" t="s">
        <v>3658</v>
      </c>
      <c r="K1" s="52" t="s">
        <v>3659</v>
      </c>
      <c r="L1" s="52" t="s">
        <v>3660</v>
      </c>
      <c r="M1" s="52" t="s">
        <v>3661</v>
      </c>
      <c r="N1" s="52" t="s">
        <v>3662</v>
      </c>
      <c r="O1" s="52" t="s">
        <v>3663</v>
      </c>
      <c r="P1" s="52" t="s">
        <v>7</v>
      </c>
      <c r="Q1" s="52" t="s">
        <v>3664</v>
      </c>
      <c r="R1" s="52" t="s">
        <v>62</v>
      </c>
      <c r="S1" s="52" t="s">
        <v>3665</v>
      </c>
      <c r="T1" s="52" t="s">
        <v>3666</v>
      </c>
      <c r="U1" s="52" t="s">
        <v>3667</v>
      </c>
      <c r="V1" s="52" t="s">
        <v>67</v>
      </c>
      <c r="W1" s="52" t="s">
        <v>3668</v>
      </c>
      <c r="X1" s="52" t="s">
        <v>3669</v>
      </c>
      <c r="Y1" s="52" t="s">
        <v>3670</v>
      </c>
      <c r="Z1" s="52" t="s">
        <v>3671</v>
      </c>
      <c r="AA1" s="52" t="s">
        <v>26</v>
      </c>
      <c r="AB1" s="52" t="s">
        <v>3672</v>
      </c>
      <c r="AC1" s="52" t="s">
        <v>3673</v>
      </c>
      <c r="AD1" s="52" t="s">
        <v>3674</v>
      </c>
      <c r="AE1" s="52" t="s">
        <v>3675</v>
      </c>
      <c r="AF1" s="52" t="s">
        <v>3676</v>
      </c>
      <c r="AG1" s="52" t="s">
        <v>3677</v>
      </c>
      <c r="AH1" s="52" t="s">
        <v>3678</v>
      </c>
      <c r="AI1" s="52" t="s">
        <v>3679</v>
      </c>
      <c r="AJ1" s="52" t="s">
        <v>3680</v>
      </c>
      <c r="AK1" s="52" t="s">
        <v>3681</v>
      </c>
      <c r="AL1" s="52" t="s">
        <v>3682</v>
      </c>
      <c r="AM1" s="52" t="s">
        <v>3683</v>
      </c>
      <c r="AN1" s="52" t="s">
        <v>49</v>
      </c>
      <c r="AO1" s="52" t="s">
        <v>51</v>
      </c>
      <c r="AP1" s="52" t="s">
        <v>3684</v>
      </c>
      <c r="AQ1" s="52" t="s">
        <v>65</v>
      </c>
      <c r="AR1" s="52" t="s">
        <v>3685</v>
      </c>
      <c r="AS1" s="52" t="s">
        <v>3686</v>
      </c>
      <c r="AT1" s="52" t="s">
        <v>3687</v>
      </c>
      <c r="AU1" s="52" t="s">
        <v>3688</v>
      </c>
      <c r="AV1" s="52" t="s">
        <v>3689</v>
      </c>
      <c r="AW1" s="52" t="s">
        <v>3690</v>
      </c>
    </row>
    <row r="2" spans="1:49" ht="15" customHeight="1">
      <c r="A2" s="52">
        <v>6007335</v>
      </c>
      <c r="B2" s="52" t="s">
        <v>3691</v>
      </c>
      <c r="C2" s="52" t="s">
        <v>3692</v>
      </c>
      <c r="D2" s="53">
        <v>46155.729166666664</v>
      </c>
      <c r="E2" s="53">
        <v>46155.323611111111</v>
      </c>
      <c r="F2" s="52"/>
      <c r="G2" s="52"/>
      <c r="H2" s="52"/>
      <c r="I2" s="52" t="s">
        <v>3693</v>
      </c>
      <c r="J2" s="52" t="s">
        <v>3694</v>
      </c>
      <c r="K2" s="52"/>
      <c r="L2" s="52"/>
      <c r="M2" s="54">
        <v>5.3770833333333332</v>
      </c>
      <c r="N2" s="54">
        <v>5.416666666666667</v>
      </c>
      <c r="O2" s="52"/>
      <c r="P2" s="52"/>
      <c r="Q2" s="52"/>
      <c r="R2" s="52"/>
      <c r="S2" s="52"/>
      <c r="T2" s="52" t="s">
        <v>3695</v>
      </c>
      <c r="U2" s="52" t="s">
        <v>3695</v>
      </c>
      <c r="V2" s="52"/>
      <c r="W2" s="52"/>
      <c r="X2" s="52"/>
      <c r="Y2" s="52"/>
      <c r="Z2" s="52" t="s">
        <v>3696</v>
      </c>
      <c r="AA2" s="52" t="s">
        <v>102</v>
      </c>
      <c r="AB2" s="52" t="s">
        <v>79</v>
      </c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>
        <v>0</v>
      </c>
      <c r="AT2" s="52"/>
      <c r="AU2" s="52"/>
      <c r="AV2" s="52" t="s">
        <v>3697</v>
      </c>
      <c r="AW2" s="52"/>
    </row>
    <row r="3" spans="1:49">
      <c r="A3" s="52">
        <v>6007335</v>
      </c>
      <c r="B3" s="52" t="s">
        <v>3691</v>
      </c>
      <c r="C3" s="52" t="s">
        <v>3698</v>
      </c>
      <c r="D3" s="53">
        <v>46155.729166666664</v>
      </c>
      <c r="E3" s="53">
        <v>46155.323611111111</v>
      </c>
      <c r="F3" s="52"/>
      <c r="G3" s="52"/>
      <c r="H3" s="52"/>
      <c r="I3" s="52"/>
      <c r="J3" s="52" t="s">
        <v>3694</v>
      </c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 t="s">
        <v>3696</v>
      </c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>
        <v>0</v>
      </c>
      <c r="AT3" s="52"/>
      <c r="AU3" s="52"/>
      <c r="AV3" s="52"/>
      <c r="AW3" s="52"/>
    </row>
    <row r="4" spans="1:49">
      <c r="A4" s="52">
        <v>6009483</v>
      </c>
      <c r="B4" s="52" t="s">
        <v>3699</v>
      </c>
      <c r="C4" s="52" t="s">
        <v>3692</v>
      </c>
      <c r="D4" s="53">
        <v>46154.833333333336</v>
      </c>
      <c r="E4" s="53">
        <v>46153.586805555555</v>
      </c>
      <c r="F4" s="53">
        <v>46154.618055555555</v>
      </c>
      <c r="G4" s="53">
        <v>46156.500694444447</v>
      </c>
      <c r="H4" s="53">
        <v>46156.500694444447</v>
      </c>
      <c r="I4" s="52" t="s">
        <v>3693</v>
      </c>
      <c r="J4" s="52" t="s">
        <v>3693</v>
      </c>
      <c r="K4" s="53">
        <v>46156.500694444447</v>
      </c>
      <c r="L4" s="52" t="s">
        <v>3700</v>
      </c>
      <c r="M4" s="54">
        <v>1.0534722222222221</v>
      </c>
      <c r="N4" s="54">
        <v>3.1763888888888889</v>
      </c>
      <c r="O4" s="52"/>
      <c r="P4" s="52"/>
      <c r="Q4" s="52"/>
      <c r="R4" s="52"/>
      <c r="S4" s="52"/>
      <c r="T4" s="52" t="s">
        <v>3701</v>
      </c>
      <c r="U4" s="52" t="s">
        <v>3702</v>
      </c>
      <c r="V4" s="52"/>
      <c r="W4" s="52"/>
      <c r="X4" s="52"/>
      <c r="Y4" s="52"/>
      <c r="Z4" s="52" t="s">
        <v>3696</v>
      </c>
      <c r="AA4" s="52" t="s">
        <v>216</v>
      </c>
      <c r="AB4" s="52" t="s">
        <v>140</v>
      </c>
      <c r="AC4" s="52" t="s">
        <v>3703</v>
      </c>
      <c r="AD4" s="52" t="s">
        <v>3704</v>
      </c>
      <c r="AE4" s="52"/>
      <c r="AF4" s="52" t="s">
        <v>3705</v>
      </c>
      <c r="AG4" s="52" t="s">
        <v>3706</v>
      </c>
      <c r="AH4" s="52"/>
      <c r="AI4" s="52"/>
      <c r="AJ4" s="52"/>
      <c r="AK4" s="52"/>
      <c r="AL4" s="55">
        <v>0.12777777777777777</v>
      </c>
      <c r="AM4" s="52"/>
      <c r="AN4" s="52"/>
      <c r="AO4" s="52"/>
      <c r="AP4" s="52"/>
      <c r="AQ4" s="52"/>
      <c r="AR4" s="52"/>
      <c r="AS4" s="52">
        <v>0</v>
      </c>
      <c r="AT4" s="52"/>
      <c r="AU4" s="52"/>
      <c r="AV4" s="52" t="s">
        <v>3707</v>
      </c>
      <c r="AW4" s="52"/>
    </row>
    <row r="5" spans="1:49">
      <c r="A5" s="52">
        <v>6009483</v>
      </c>
      <c r="B5" s="52" t="s">
        <v>3699</v>
      </c>
      <c r="C5" s="52" t="s">
        <v>3698</v>
      </c>
      <c r="D5" s="53">
        <v>46154.833333333336</v>
      </c>
      <c r="E5" s="53">
        <v>46153.586805555555</v>
      </c>
      <c r="F5" s="53">
        <v>46154.618055555555</v>
      </c>
      <c r="G5" s="53">
        <v>46156.500694444447</v>
      </c>
      <c r="H5" s="53">
        <v>46156.746527777781</v>
      </c>
      <c r="I5" s="52"/>
      <c r="J5" s="52" t="s">
        <v>3693</v>
      </c>
      <c r="K5" s="53">
        <v>46156.500694444447</v>
      </c>
      <c r="L5" s="52"/>
      <c r="M5" s="54">
        <v>1.882638888888889</v>
      </c>
      <c r="N5" s="54">
        <v>3.8381944444444445</v>
      </c>
      <c r="O5" s="52" t="s">
        <v>3054</v>
      </c>
      <c r="P5" s="52" t="s">
        <v>216</v>
      </c>
      <c r="Q5" s="52" t="s">
        <v>3053</v>
      </c>
      <c r="R5" s="52" t="s">
        <v>3058</v>
      </c>
      <c r="S5" s="52" t="s">
        <v>789</v>
      </c>
      <c r="T5" s="52" t="s">
        <v>3701</v>
      </c>
      <c r="U5" s="52" t="s">
        <v>3702</v>
      </c>
      <c r="V5" s="52" t="s">
        <v>3708</v>
      </c>
      <c r="W5" s="52">
        <v>3955296547</v>
      </c>
      <c r="X5" s="52" t="s">
        <v>73</v>
      </c>
      <c r="Y5" s="52" t="s">
        <v>3709</v>
      </c>
      <c r="Z5" s="52" t="s">
        <v>3696</v>
      </c>
      <c r="AA5" s="52" t="s">
        <v>3710</v>
      </c>
      <c r="AB5" s="52"/>
      <c r="AC5" s="52" t="s">
        <v>3703</v>
      </c>
      <c r="AD5" s="52" t="s">
        <v>3704</v>
      </c>
      <c r="AE5" s="52" t="s">
        <v>140</v>
      </c>
      <c r="AF5" s="52" t="s">
        <v>3705</v>
      </c>
      <c r="AG5" s="52" t="s">
        <v>3706</v>
      </c>
      <c r="AH5" s="52"/>
      <c r="AI5" s="53">
        <v>46154.618055555555</v>
      </c>
      <c r="AJ5" s="53">
        <v>46154.745833333334</v>
      </c>
      <c r="AK5" s="53">
        <v>46154.618055555555</v>
      </c>
      <c r="AL5" s="55">
        <v>0.79305555555555551</v>
      </c>
      <c r="AM5" s="52"/>
      <c r="AN5" s="55">
        <v>0.12777777777777777</v>
      </c>
      <c r="AO5" s="55">
        <v>0.13402777777777777</v>
      </c>
      <c r="AP5" s="55">
        <v>0.79305555555555551</v>
      </c>
      <c r="AQ5" s="52"/>
      <c r="AR5" s="52"/>
      <c r="AS5" s="52" t="s">
        <v>3696</v>
      </c>
      <c r="AT5" s="52"/>
      <c r="AU5" s="52"/>
      <c r="AV5" s="52"/>
      <c r="AW5" s="52"/>
    </row>
    <row r="6" spans="1:49">
      <c r="A6" s="52">
        <v>6009483</v>
      </c>
      <c r="B6" s="52" t="s">
        <v>3699</v>
      </c>
      <c r="C6" s="52" t="s">
        <v>3698</v>
      </c>
      <c r="D6" s="53">
        <v>46154.833333333336</v>
      </c>
      <c r="E6" s="53">
        <v>46153.586805555555</v>
      </c>
      <c r="F6" s="53">
        <v>46154.618055555555</v>
      </c>
      <c r="G6" s="53">
        <v>46156.500694444447</v>
      </c>
      <c r="H6" s="53">
        <v>46156.746527777781</v>
      </c>
      <c r="I6" s="52"/>
      <c r="J6" s="52" t="s">
        <v>3693</v>
      </c>
      <c r="K6" s="53">
        <v>46156.500694444447</v>
      </c>
      <c r="L6" s="52"/>
      <c r="M6" s="54">
        <v>1.882638888888889</v>
      </c>
      <c r="N6" s="54">
        <v>3.8381944444444445</v>
      </c>
      <c r="O6" s="52" t="s">
        <v>3054</v>
      </c>
      <c r="P6" s="52" t="s">
        <v>216</v>
      </c>
      <c r="Q6" s="52" t="s">
        <v>3053</v>
      </c>
      <c r="R6" s="52" t="s">
        <v>3058</v>
      </c>
      <c r="S6" s="52" t="s">
        <v>789</v>
      </c>
      <c r="T6" s="52" t="s">
        <v>3701</v>
      </c>
      <c r="U6" s="52" t="s">
        <v>3702</v>
      </c>
      <c r="V6" s="52" t="s">
        <v>3708</v>
      </c>
      <c r="W6" s="52">
        <v>3955296547</v>
      </c>
      <c r="X6" s="52" t="s">
        <v>73</v>
      </c>
      <c r="Y6" s="52" t="s">
        <v>3709</v>
      </c>
      <c r="Z6" s="52" t="s">
        <v>3696</v>
      </c>
      <c r="AA6" s="52" t="s">
        <v>3710</v>
      </c>
      <c r="AB6" s="52"/>
      <c r="AC6" s="52" t="s">
        <v>3703</v>
      </c>
      <c r="AD6" s="52" t="s">
        <v>3704</v>
      </c>
      <c r="AE6" s="52"/>
      <c r="AF6" s="52" t="s">
        <v>3705</v>
      </c>
      <c r="AG6" s="52" t="s">
        <v>3706</v>
      </c>
      <c r="AH6" s="52"/>
      <c r="AI6" s="53">
        <v>46154.618055555555</v>
      </c>
      <c r="AJ6" s="53">
        <v>46154.745833333334</v>
      </c>
      <c r="AK6" s="53">
        <v>46154.618055555555</v>
      </c>
      <c r="AL6" s="55">
        <v>0.79305555555555551</v>
      </c>
      <c r="AM6" s="52"/>
      <c r="AN6" s="55">
        <v>0.12777777777777777</v>
      </c>
      <c r="AO6" s="55">
        <v>0.13402777777777777</v>
      </c>
      <c r="AP6" s="55">
        <v>0.79305555555555551</v>
      </c>
      <c r="AQ6" s="52"/>
      <c r="AR6" s="52"/>
      <c r="AS6" s="52" t="s">
        <v>3696</v>
      </c>
      <c r="AT6" s="52"/>
      <c r="AU6" s="52"/>
      <c r="AV6" s="52"/>
      <c r="AW6" s="52" t="s">
        <v>3707</v>
      </c>
    </row>
    <row r="7" spans="1:49">
      <c r="A7" s="52">
        <v>6009485</v>
      </c>
      <c r="B7" s="52" t="s">
        <v>3699</v>
      </c>
      <c r="C7" s="52" t="s">
        <v>3692</v>
      </c>
      <c r="D7" s="53">
        <v>46154.541666666664</v>
      </c>
      <c r="E7" s="53">
        <v>46153.586805555555</v>
      </c>
      <c r="F7" s="53">
        <v>46154.724999999999</v>
      </c>
      <c r="G7" s="53">
        <v>46156.25</v>
      </c>
      <c r="H7" s="53">
        <v>46156.265277777777</v>
      </c>
      <c r="I7" s="52" t="s">
        <v>3693</v>
      </c>
      <c r="J7" s="52" t="s">
        <v>3693</v>
      </c>
      <c r="K7" s="53">
        <v>46156.265277777777</v>
      </c>
      <c r="L7" s="52" t="s">
        <v>3711</v>
      </c>
      <c r="M7" s="55">
        <v>0.89166666666666672</v>
      </c>
      <c r="N7" s="54">
        <v>3.0979166666666669</v>
      </c>
      <c r="O7" s="52"/>
      <c r="P7" s="52"/>
      <c r="Q7" s="52"/>
      <c r="R7" s="52"/>
      <c r="S7" s="52"/>
      <c r="T7" s="52" t="s">
        <v>3712</v>
      </c>
      <c r="U7" s="52" t="s">
        <v>3713</v>
      </c>
      <c r="V7" s="52"/>
      <c r="W7" s="52"/>
      <c r="X7" s="52"/>
      <c r="Y7" s="52"/>
      <c r="Z7" s="52" t="s">
        <v>3696</v>
      </c>
      <c r="AA7" s="52" t="s">
        <v>282</v>
      </c>
      <c r="AB7" s="52" t="s">
        <v>140</v>
      </c>
      <c r="AC7" s="52" t="s">
        <v>3703</v>
      </c>
      <c r="AD7" s="52" t="s">
        <v>3704</v>
      </c>
      <c r="AE7" s="52"/>
      <c r="AF7" s="52" t="s">
        <v>3714</v>
      </c>
      <c r="AG7" s="52" t="s">
        <v>3715</v>
      </c>
      <c r="AH7" s="52"/>
      <c r="AI7" s="52"/>
      <c r="AJ7" s="52"/>
      <c r="AK7" s="52"/>
      <c r="AL7" s="55">
        <v>0.58125000000000004</v>
      </c>
      <c r="AM7" s="52"/>
      <c r="AN7" s="52"/>
      <c r="AO7" s="52"/>
      <c r="AP7" s="52"/>
      <c r="AQ7" s="52"/>
      <c r="AR7" s="52"/>
      <c r="AS7" s="52">
        <v>0</v>
      </c>
      <c r="AT7" s="52"/>
      <c r="AU7" s="52"/>
      <c r="AV7" s="52" t="s">
        <v>984</v>
      </c>
      <c r="AW7" s="52"/>
    </row>
    <row r="8" spans="1:49">
      <c r="A8" s="52">
        <v>6009485</v>
      </c>
      <c r="B8" s="52" t="s">
        <v>3699</v>
      </c>
      <c r="C8" s="52" t="s">
        <v>3698</v>
      </c>
      <c r="D8" s="53">
        <v>46154.541666666664</v>
      </c>
      <c r="E8" s="53">
        <v>46153.586805555555</v>
      </c>
      <c r="F8" s="53">
        <v>46154.724999999999</v>
      </c>
      <c r="G8" s="53">
        <v>46156.25</v>
      </c>
      <c r="H8" s="53">
        <v>46156.677777777775</v>
      </c>
      <c r="I8" s="52"/>
      <c r="J8" s="52" t="s">
        <v>3693</v>
      </c>
      <c r="K8" s="53">
        <v>46156.265277777777</v>
      </c>
      <c r="L8" s="52"/>
      <c r="M8" s="54">
        <v>1.5249999999999999</v>
      </c>
      <c r="N8" s="54">
        <v>3.7312500000000002</v>
      </c>
      <c r="O8" s="52" t="s">
        <v>3090</v>
      </c>
      <c r="P8" s="52" t="s">
        <v>282</v>
      </c>
      <c r="Q8" s="52" t="s">
        <v>3089</v>
      </c>
      <c r="R8" s="52" t="s">
        <v>3092</v>
      </c>
      <c r="S8" s="52" t="s">
        <v>789</v>
      </c>
      <c r="T8" s="52" t="s">
        <v>3712</v>
      </c>
      <c r="U8" s="52" t="s">
        <v>3713</v>
      </c>
      <c r="V8" s="52" t="s">
        <v>3093</v>
      </c>
      <c r="W8" s="52">
        <v>5769494930</v>
      </c>
      <c r="X8" s="52" t="s">
        <v>73</v>
      </c>
      <c r="Y8" s="52"/>
      <c r="Z8" s="52" t="s">
        <v>3696</v>
      </c>
      <c r="AA8" s="52" t="s">
        <v>3710</v>
      </c>
      <c r="AB8" s="52"/>
      <c r="AC8" s="52" t="s">
        <v>3703</v>
      </c>
      <c r="AD8" s="52" t="s">
        <v>3704</v>
      </c>
      <c r="AE8" s="52" t="s">
        <v>140</v>
      </c>
      <c r="AF8" s="52" t="s">
        <v>3714</v>
      </c>
      <c r="AG8" s="52" t="s">
        <v>3715</v>
      </c>
      <c r="AH8" s="52"/>
      <c r="AI8" s="53">
        <v>46154.728472222225</v>
      </c>
      <c r="AJ8" s="53">
        <v>46155.30972222222</v>
      </c>
      <c r="AK8" s="53">
        <v>46154.728472222225</v>
      </c>
      <c r="AL8" s="55">
        <v>0.99722222222222223</v>
      </c>
      <c r="AM8" s="52"/>
      <c r="AN8" s="55">
        <v>0.58125000000000004</v>
      </c>
      <c r="AO8" s="55">
        <v>0.41249999999999998</v>
      </c>
      <c r="AP8" s="55">
        <v>0.99722222222222223</v>
      </c>
      <c r="AQ8" s="52"/>
      <c r="AR8" s="52"/>
      <c r="AS8" s="52" t="s">
        <v>3696</v>
      </c>
      <c r="AT8" s="52"/>
      <c r="AU8" s="52"/>
      <c r="AV8" s="52"/>
      <c r="AW8" s="52"/>
    </row>
    <row r="9" spans="1:49">
      <c r="A9" s="52">
        <v>6009485</v>
      </c>
      <c r="B9" s="52" t="s">
        <v>3699</v>
      </c>
      <c r="C9" s="52" t="s">
        <v>3698</v>
      </c>
      <c r="D9" s="53">
        <v>46154.541666666664</v>
      </c>
      <c r="E9" s="53">
        <v>46153.586805555555</v>
      </c>
      <c r="F9" s="53">
        <v>46154.724999999999</v>
      </c>
      <c r="G9" s="53">
        <v>46156.25</v>
      </c>
      <c r="H9" s="53">
        <v>46156.677777777775</v>
      </c>
      <c r="I9" s="52"/>
      <c r="J9" s="52" t="s">
        <v>3693</v>
      </c>
      <c r="K9" s="53">
        <v>46156.265277777777</v>
      </c>
      <c r="L9" s="52"/>
      <c r="M9" s="54">
        <v>1.5249999999999999</v>
      </c>
      <c r="N9" s="54">
        <v>3.7312500000000002</v>
      </c>
      <c r="O9" s="52" t="s">
        <v>3090</v>
      </c>
      <c r="P9" s="52" t="s">
        <v>282</v>
      </c>
      <c r="Q9" s="52" t="s">
        <v>3089</v>
      </c>
      <c r="R9" s="52" t="s">
        <v>3092</v>
      </c>
      <c r="S9" s="52" t="s">
        <v>789</v>
      </c>
      <c r="T9" s="52" t="s">
        <v>3712</v>
      </c>
      <c r="U9" s="52" t="s">
        <v>3713</v>
      </c>
      <c r="V9" s="52" t="s">
        <v>3093</v>
      </c>
      <c r="W9" s="52">
        <v>5769494930</v>
      </c>
      <c r="X9" s="52" t="s">
        <v>73</v>
      </c>
      <c r="Y9" s="52"/>
      <c r="Z9" s="52" t="s">
        <v>3696</v>
      </c>
      <c r="AA9" s="52" t="s">
        <v>3710</v>
      </c>
      <c r="AB9" s="52"/>
      <c r="AC9" s="52" t="s">
        <v>3703</v>
      </c>
      <c r="AD9" s="52" t="s">
        <v>3704</v>
      </c>
      <c r="AE9" s="52"/>
      <c r="AF9" s="52" t="s">
        <v>3714</v>
      </c>
      <c r="AG9" s="52" t="s">
        <v>3715</v>
      </c>
      <c r="AH9" s="52"/>
      <c r="AI9" s="53">
        <v>46154.728472222225</v>
      </c>
      <c r="AJ9" s="53">
        <v>46155.30972222222</v>
      </c>
      <c r="AK9" s="53">
        <v>46154.728472222225</v>
      </c>
      <c r="AL9" s="55">
        <v>0.99722222222222223</v>
      </c>
      <c r="AM9" s="52"/>
      <c r="AN9" s="55">
        <v>0.58125000000000004</v>
      </c>
      <c r="AO9" s="55">
        <v>0.41249999999999998</v>
      </c>
      <c r="AP9" s="55">
        <v>0.99722222222222223</v>
      </c>
      <c r="AQ9" s="52"/>
      <c r="AR9" s="52"/>
      <c r="AS9" s="52" t="s">
        <v>3696</v>
      </c>
      <c r="AT9" s="52"/>
      <c r="AU9" s="52"/>
      <c r="AV9" s="52"/>
      <c r="AW9" s="52" t="s">
        <v>984</v>
      </c>
    </row>
    <row r="10" spans="1:49">
      <c r="A10" s="52">
        <v>6009604</v>
      </c>
      <c r="B10" s="52" t="s">
        <v>3716</v>
      </c>
      <c r="C10" s="52" t="s">
        <v>3717</v>
      </c>
      <c r="D10" s="53">
        <v>46157.625</v>
      </c>
      <c r="E10" s="53">
        <v>46156.68472222222</v>
      </c>
      <c r="F10" s="53">
        <v>46157.697222222225</v>
      </c>
      <c r="G10" s="53">
        <v>46159.025000000001</v>
      </c>
      <c r="H10" s="53">
        <v>46157.713194444441</v>
      </c>
      <c r="I10" s="52" t="s">
        <v>3693</v>
      </c>
      <c r="J10" s="52" t="s">
        <v>3694</v>
      </c>
      <c r="K10" s="52"/>
      <c r="L10" s="52"/>
      <c r="M10" s="54">
        <v>1.1833333333333333</v>
      </c>
      <c r="N10" s="55">
        <v>0.56874999999999998</v>
      </c>
      <c r="O10" s="52"/>
      <c r="P10" s="52"/>
      <c r="Q10" s="52"/>
      <c r="R10" s="52"/>
      <c r="S10" s="52"/>
      <c r="T10" s="52" t="s">
        <v>3718</v>
      </c>
      <c r="U10" s="52" t="s">
        <v>3719</v>
      </c>
      <c r="V10" s="52"/>
      <c r="W10" s="52"/>
      <c r="X10" s="52"/>
      <c r="Y10" s="52"/>
      <c r="Z10" s="52" t="s">
        <v>3696</v>
      </c>
      <c r="AA10" s="52" t="s">
        <v>72</v>
      </c>
      <c r="AB10" s="52" t="s">
        <v>79</v>
      </c>
      <c r="AC10" s="52" t="s">
        <v>3720</v>
      </c>
      <c r="AD10" s="52" t="s">
        <v>3715</v>
      </c>
      <c r="AE10" s="52"/>
      <c r="AF10" s="52" t="s">
        <v>3720</v>
      </c>
      <c r="AG10" s="52" t="s">
        <v>3715</v>
      </c>
      <c r="AH10" s="52"/>
      <c r="AI10" s="52"/>
      <c r="AJ10" s="52"/>
      <c r="AK10" s="52"/>
      <c r="AL10" s="55">
        <v>2.9861111111111113E-2</v>
      </c>
      <c r="AM10" s="52"/>
      <c r="AN10" s="52"/>
      <c r="AO10" s="52"/>
      <c r="AP10" s="52"/>
      <c r="AQ10" s="52"/>
      <c r="AR10" s="52"/>
      <c r="AS10" s="52">
        <v>0</v>
      </c>
      <c r="AT10" s="52"/>
      <c r="AU10" s="52"/>
      <c r="AV10" s="52" t="s">
        <v>434</v>
      </c>
      <c r="AW10" s="52"/>
    </row>
    <row r="11" spans="1:49">
      <c r="A11" s="52">
        <v>6009604</v>
      </c>
      <c r="B11" s="52" t="s">
        <v>3716</v>
      </c>
      <c r="C11" s="52" t="s">
        <v>3698</v>
      </c>
      <c r="D11" s="53">
        <v>46157.625</v>
      </c>
      <c r="E11" s="53">
        <v>46156.68472222222</v>
      </c>
      <c r="F11" s="53">
        <v>46157.7</v>
      </c>
      <c r="G11" s="53">
        <v>46158.508333333331</v>
      </c>
      <c r="H11" s="52"/>
      <c r="I11" s="52"/>
      <c r="J11" s="52" t="s">
        <v>3694</v>
      </c>
      <c r="K11" s="53">
        <v>46159.143055555556</v>
      </c>
      <c r="L11" s="52"/>
      <c r="M11" s="55">
        <v>0.80833333333333335</v>
      </c>
      <c r="N11" s="55">
        <v>0.75624999999999998</v>
      </c>
      <c r="O11" s="52" t="s">
        <v>430</v>
      </c>
      <c r="P11" s="52" t="s">
        <v>72</v>
      </c>
      <c r="Q11" s="52" t="s">
        <v>429</v>
      </c>
      <c r="R11" s="52"/>
      <c r="S11" s="52" t="s">
        <v>69</v>
      </c>
      <c r="T11" s="52" t="s">
        <v>3718</v>
      </c>
      <c r="U11" s="52" t="s">
        <v>3719</v>
      </c>
      <c r="V11" s="52" t="s">
        <v>437</v>
      </c>
      <c r="W11" s="52">
        <v>65416201991</v>
      </c>
      <c r="X11" s="52" t="s">
        <v>73</v>
      </c>
      <c r="Y11" s="52"/>
      <c r="Z11" s="52" t="s">
        <v>3696</v>
      </c>
      <c r="AA11" s="52" t="s">
        <v>3710</v>
      </c>
      <c r="AB11" s="52"/>
      <c r="AC11" s="52" t="s">
        <v>3720</v>
      </c>
      <c r="AD11" s="52" t="s">
        <v>3715</v>
      </c>
      <c r="AE11" s="52" t="s">
        <v>79</v>
      </c>
      <c r="AF11" s="52" t="s">
        <v>3721</v>
      </c>
      <c r="AG11" s="52" t="s">
        <v>3722</v>
      </c>
      <c r="AH11" s="52"/>
      <c r="AI11" s="53">
        <v>46157.713194444441</v>
      </c>
      <c r="AJ11" s="53">
        <v>46157.743055555555</v>
      </c>
      <c r="AK11" s="53">
        <v>46157.713194444441</v>
      </c>
      <c r="AL11" s="55">
        <v>2.9861111111111113E-2</v>
      </c>
      <c r="AM11" s="52"/>
      <c r="AN11" s="55">
        <v>2.9861111111111113E-2</v>
      </c>
      <c r="AO11" s="52"/>
      <c r="AP11" s="55">
        <v>2.9861111111111113E-2</v>
      </c>
      <c r="AQ11" s="52"/>
      <c r="AR11" s="52"/>
      <c r="AS11" s="52" t="s">
        <v>3696</v>
      </c>
      <c r="AT11" s="52"/>
      <c r="AU11" s="52"/>
      <c r="AV11" s="52"/>
      <c r="AW11" s="52"/>
    </row>
    <row r="12" spans="1:49">
      <c r="A12" s="52">
        <v>6009604</v>
      </c>
      <c r="B12" s="52" t="s">
        <v>3716</v>
      </c>
      <c r="C12" s="52" t="s">
        <v>3698</v>
      </c>
      <c r="D12" s="53">
        <v>46157.625</v>
      </c>
      <c r="E12" s="53">
        <v>46156.68472222222</v>
      </c>
      <c r="F12" s="53">
        <v>46157.7</v>
      </c>
      <c r="G12" s="53">
        <v>46158.508333333331</v>
      </c>
      <c r="H12" s="52"/>
      <c r="I12" s="52"/>
      <c r="J12" s="52" t="s">
        <v>3694</v>
      </c>
      <c r="K12" s="53">
        <v>46159.143055555556</v>
      </c>
      <c r="L12" s="52"/>
      <c r="M12" s="55">
        <v>0.80833333333333335</v>
      </c>
      <c r="N12" s="55">
        <v>0.75624999999999998</v>
      </c>
      <c r="O12" s="52" t="s">
        <v>430</v>
      </c>
      <c r="P12" s="52" t="s">
        <v>72</v>
      </c>
      <c r="Q12" s="52" t="s">
        <v>429</v>
      </c>
      <c r="R12" s="52"/>
      <c r="S12" s="52" t="s">
        <v>69</v>
      </c>
      <c r="T12" s="52" t="s">
        <v>3718</v>
      </c>
      <c r="U12" s="52" t="s">
        <v>3719</v>
      </c>
      <c r="V12" s="52" t="s">
        <v>437</v>
      </c>
      <c r="W12" s="52">
        <v>65416201991</v>
      </c>
      <c r="X12" s="52" t="s">
        <v>73</v>
      </c>
      <c r="Y12" s="52"/>
      <c r="Z12" s="52" t="s">
        <v>3696</v>
      </c>
      <c r="AA12" s="52" t="s">
        <v>3710</v>
      </c>
      <c r="AB12" s="52"/>
      <c r="AC12" s="52" t="s">
        <v>3720</v>
      </c>
      <c r="AD12" s="52" t="s">
        <v>3715</v>
      </c>
      <c r="AE12" s="52"/>
      <c r="AF12" s="52" t="s">
        <v>3721</v>
      </c>
      <c r="AG12" s="52" t="s">
        <v>3722</v>
      </c>
      <c r="AH12" s="52"/>
      <c r="AI12" s="53">
        <v>46157.713194444441</v>
      </c>
      <c r="AJ12" s="53">
        <v>46157.743055555555</v>
      </c>
      <c r="AK12" s="53">
        <v>46157.713194444441</v>
      </c>
      <c r="AL12" s="55">
        <v>2.9861111111111113E-2</v>
      </c>
      <c r="AM12" s="52"/>
      <c r="AN12" s="55">
        <v>2.9861111111111113E-2</v>
      </c>
      <c r="AO12" s="52"/>
      <c r="AP12" s="55">
        <v>2.9861111111111113E-2</v>
      </c>
      <c r="AQ12" s="52"/>
      <c r="AR12" s="52"/>
      <c r="AS12" s="52" t="s">
        <v>3696</v>
      </c>
      <c r="AT12" s="52"/>
      <c r="AU12" s="52"/>
      <c r="AV12" s="52"/>
      <c r="AW12" s="52" t="s">
        <v>434</v>
      </c>
    </row>
    <row r="13" spans="1:49">
      <c r="A13" s="52">
        <v>6010522</v>
      </c>
      <c r="B13" s="52" t="s">
        <v>3723</v>
      </c>
      <c r="C13" s="52" t="s">
        <v>3692</v>
      </c>
      <c r="D13" s="53">
        <v>46155.416666666664</v>
      </c>
      <c r="E13" s="53">
        <v>46155.323611111111</v>
      </c>
      <c r="F13" s="53">
        <v>46155.657638888886</v>
      </c>
      <c r="G13" s="53">
        <v>46160.291666666664</v>
      </c>
      <c r="H13" s="52"/>
      <c r="I13" s="52" t="s">
        <v>3693</v>
      </c>
      <c r="J13" s="52" t="s">
        <v>3693</v>
      </c>
      <c r="K13" s="53">
        <v>46156.526388888888</v>
      </c>
      <c r="L13" s="52"/>
      <c r="M13" s="55">
        <v>0.97013888888888888</v>
      </c>
      <c r="N13" s="55">
        <v>0.86527777777777781</v>
      </c>
      <c r="O13" s="52"/>
      <c r="P13" s="52"/>
      <c r="Q13" s="52"/>
      <c r="R13" s="52"/>
      <c r="S13" s="52"/>
      <c r="T13" s="52" t="s">
        <v>3724</v>
      </c>
      <c r="U13" s="52" t="s">
        <v>3695</v>
      </c>
      <c r="V13" s="52"/>
      <c r="W13" s="52"/>
      <c r="X13" s="52"/>
      <c r="Y13" s="52"/>
      <c r="Z13" s="52" t="s">
        <v>3696</v>
      </c>
      <c r="AA13" s="52" t="s">
        <v>227</v>
      </c>
      <c r="AB13" s="52" t="s">
        <v>79</v>
      </c>
      <c r="AC13" s="52" t="s">
        <v>3720</v>
      </c>
      <c r="AD13" s="52" t="s">
        <v>3715</v>
      </c>
      <c r="AE13" s="52"/>
      <c r="AF13" s="52" t="s">
        <v>3725</v>
      </c>
      <c r="AG13" s="52" t="s">
        <v>3726</v>
      </c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>
        <v>0</v>
      </c>
      <c r="AT13" s="52"/>
      <c r="AU13" s="52"/>
      <c r="AV13" s="52" t="s">
        <v>3231</v>
      </c>
      <c r="AW13" s="52"/>
    </row>
    <row r="14" spans="1:49">
      <c r="A14" s="52">
        <v>6010522</v>
      </c>
      <c r="B14" s="52" t="s">
        <v>3723</v>
      </c>
      <c r="C14" s="52" t="s">
        <v>3698</v>
      </c>
      <c r="D14" s="53">
        <v>46155.416666666664</v>
      </c>
      <c r="E14" s="53">
        <v>46155.323611111111</v>
      </c>
      <c r="F14" s="53">
        <v>46155.65902777778</v>
      </c>
      <c r="G14" s="53">
        <v>46160.291666666664</v>
      </c>
      <c r="H14" s="53">
        <v>46155.86041666667</v>
      </c>
      <c r="I14" s="52"/>
      <c r="J14" s="52" t="s">
        <v>3693</v>
      </c>
      <c r="K14" s="53">
        <v>46156.526388888888</v>
      </c>
      <c r="L14" s="52"/>
      <c r="M14" s="54">
        <v>4.6326388888888888</v>
      </c>
      <c r="N14" s="54">
        <v>2.7972222222222221</v>
      </c>
      <c r="O14" s="52" t="s">
        <v>3229</v>
      </c>
      <c r="P14" s="52" t="s">
        <v>227</v>
      </c>
      <c r="Q14" s="52" t="s">
        <v>2028</v>
      </c>
      <c r="R14" s="52" t="s">
        <v>1496</v>
      </c>
      <c r="S14" s="52" t="s">
        <v>789</v>
      </c>
      <c r="T14" s="52" t="s">
        <v>3724</v>
      </c>
      <c r="U14" s="52" t="s">
        <v>3695</v>
      </c>
      <c r="V14" s="52" t="s">
        <v>2032</v>
      </c>
      <c r="W14" s="52">
        <v>60372788904</v>
      </c>
      <c r="X14" s="52" t="s">
        <v>73</v>
      </c>
      <c r="Y14" s="52"/>
      <c r="Z14" s="52" t="s">
        <v>3696</v>
      </c>
      <c r="AA14" s="52" t="s">
        <v>3710</v>
      </c>
      <c r="AB14" s="52"/>
      <c r="AC14" s="52" t="s">
        <v>3720</v>
      </c>
      <c r="AD14" s="52" t="s">
        <v>3715</v>
      </c>
      <c r="AE14" s="52" t="s">
        <v>79</v>
      </c>
      <c r="AF14" s="52" t="s">
        <v>3725</v>
      </c>
      <c r="AG14" s="52" t="s">
        <v>3726</v>
      </c>
      <c r="AH14" s="52"/>
      <c r="AI14" s="52"/>
      <c r="AJ14" s="52"/>
      <c r="AK14" s="52"/>
      <c r="AL14" s="55">
        <v>9.7222222222222224E-2</v>
      </c>
      <c r="AM14" s="52"/>
      <c r="AN14" s="52"/>
      <c r="AO14" s="52"/>
      <c r="AP14" s="55">
        <v>9.7222222222222224E-2</v>
      </c>
      <c r="AQ14" s="52"/>
      <c r="AR14" s="52"/>
      <c r="AS14" s="52" t="s">
        <v>3696</v>
      </c>
      <c r="AT14" s="52"/>
      <c r="AU14" s="52"/>
      <c r="AV14" s="52"/>
      <c r="AW14" s="52"/>
    </row>
    <row r="15" spans="1:49">
      <c r="A15" s="52">
        <v>6010522</v>
      </c>
      <c r="B15" s="52" t="s">
        <v>3723</v>
      </c>
      <c r="C15" s="52" t="s">
        <v>3698</v>
      </c>
      <c r="D15" s="53">
        <v>46155.416666666664</v>
      </c>
      <c r="E15" s="53">
        <v>46155.323611111111</v>
      </c>
      <c r="F15" s="53">
        <v>46155.65902777778</v>
      </c>
      <c r="G15" s="53">
        <v>46160.291666666664</v>
      </c>
      <c r="H15" s="53">
        <v>46155.86041666667</v>
      </c>
      <c r="I15" s="52"/>
      <c r="J15" s="52" t="s">
        <v>3693</v>
      </c>
      <c r="K15" s="53">
        <v>46156.526388888888</v>
      </c>
      <c r="L15" s="52"/>
      <c r="M15" s="54">
        <v>4.6326388888888888</v>
      </c>
      <c r="N15" s="54">
        <v>2.7972222222222221</v>
      </c>
      <c r="O15" s="52" t="s">
        <v>3229</v>
      </c>
      <c r="P15" s="52" t="s">
        <v>227</v>
      </c>
      <c r="Q15" s="52" t="s">
        <v>2028</v>
      </c>
      <c r="R15" s="52" t="s">
        <v>1496</v>
      </c>
      <c r="S15" s="52" t="s">
        <v>789</v>
      </c>
      <c r="T15" s="52" t="s">
        <v>3724</v>
      </c>
      <c r="U15" s="52" t="s">
        <v>3695</v>
      </c>
      <c r="V15" s="52" t="s">
        <v>2032</v>
      </c>
      <c r="W15" s="52">
        <v>60372788904</v>
      </c>
      <c r="X15" s="52" t="s">
        <v>73</v>
      </c>
      <c r="Y15" s="52"/>
      <c r="Z15" s="52" t="s">
        <v>3696</v>
      </c>
      <c r="AA15" s="52" t="s">
        <v>3710</v>
      </c>
      <c r="AB15" s="52"/>
      <c r="AC15" s="52" t="s">
        <v>3720</v>
      </c>
      <c r="AD15" s="52" t="s">
        <v>3715</v>
      </c>
      <c r="AE15" s="52"/>
      <c r="AF15" s="52" t="s">
        <v>3725</v>
      </c>
      <c r="AG15" s="52" t="s">
        <v>3726</v>
      </c>
      <c r="AH15" s="52"/>
      <c r="AI15" s="52"/>
      <c r="AJ15" s="52"/>
      <c r="AK15" s="52"/>
      <c r="AL15" s="55">
        <v>9.7222222222222224E-2</v>
      </c>
      <c r="AM15" s="52"/>
      <c r="AN15" s="52"/>
      <c r="AO15" s="52"/>
      <c r="AP15" s="55">
        <v>9.7222222222222224E-2</v>
      </c>
      <c r="AQ15" s="52"/>
      <c r="AR15" s="52"/>
      <c r="AS15" s="52" t="s">
        <v>3696</v>
      </c>
      <c r="AT15" s="52"/>
      <c r="AU15" s="52"/>
      <c r="AV15" s="52"/>
      <c r="AW15" s="52" t="s">
        <v>3231</v>
      </c>
    </row>
    <row r="16" spans="1:49">
      <c r="A16" s="52">
        <v>6010522</v>
      </c>
      <c r="B16" s="52" t="s">
        <v>3723</v>
      </c>
      <c r="C16" s="52" t="s">
        <v>3698</v>
      </c>
      <c r="D16" s="53">
        <v>46155.416666666664</v>
      </c>
      <c r="E16" s="53">
        <v>46155.323611111111</v>
      </c>
      <c r="F16" s="53">
        <v>46156.853472222225</v>
      </c>
      <c r="G16" s="53">
        <v>46160.291666666664</v>
      </c>
      <c r="H16" s="53">
        <v>46157.42083333333</v>
      </c>
      <c r="I16" s="52"/>
      <c r="J16" s="52" t="s">
        <v>3693</v>
      </c>
      <c r="K16" s="53">
        <v>46156.526388888888</v>
      </c>
      <c r="L16" s="52"/>
      <c r="M16" s="54">
        <v>3.4381944444444446</v>
      </c>
      <c r="N16" s="54">
        <v>1.6027777777777779</v>
      </c>
      <c r="O16" s="52" t="s">
        <v>3485</v>
      </c>
      <c r="P16" s="52" t="s">
        <v>227</v>
      </c>
      <c r="Q16" s="52" t="s">
        <v>3484</v>
      </c>
      <c r="R16" s="52" t="s">
        <v>3492</v>
      </c>
      <c r="S16" s="52" t="s">
        <v>789</v>
      </c>
      <c r="T16" s="52" t="s">
        <v>3727</v>
      </c>
      <c r="U16" s="52" t="s">
        <v>3728</v>
      </c>
      <c r="V16" s="52" t="s">
        <v>3493</v>
      </c>
      <c r="W16" s="52">
        <v>147328071</v>
      </c>
      <c r="X16" s="52" t="s">
        <v>73</v>
      </c>
      <c r="Y16" s="52"/>
      <c r="Z16" s="52" t="s">
        <v>3696</v>
      </c>
      <c r="AA16" s="52" t="s">
        <v>3710</v>
      </c>
      <c r="AB16" s="52"/>
      <c r="AC16" s="52" t="s">
        <v>3720</v>
      </c>
      <c r="AD16" s="52" t="s">
        <v>3715</v>
      </c>
      <c r="AE16" s="52" t="s">
        <v>79</v>
      </c>
      <c r="AF16" s="52" t="s">
        <v>3725</v>
      </c>
      <c r="AG16" s="52" t="s">
        <v>3726</v>
      </c>
      <c r="AH16" s="52"/>
      <c r="AI16" s="52"/>
      <c r="AJ16" s="52"/>
      <c r="AK16" s="52"/>
      <c r="AL16" s="55">
        <v>4.027777777777778E-2</v>
      </c>
      <c r="AM16" s="52"/>
      <c r="AN16" s="52"/>
      <c r="AO16" s="52"/>
      <c r="AP16" s="55">
        <v>4.027777777777778E-2</v>
      </c>
      <c r="AQ16" s="52"/>
      <c r="AR16" s="52"/>
      <c r="AS16" s="52" t="s">
        <v>3696</v>
      </c>
      <c r="AT16" s="52"/>
      <c r="AU16" s="52"/>
      <c r="AV16" s="52"/>
      <c r="AW16" s="52"/>
    </row>
    <row r="17" spans="1:49">
      <c r="A17" s="52">
        <v>6010522</v>
      </c>
      <c r="B17" s="52" t="s">
        <v>3723</v>
      </c>
      <c r="C17" s="52" t="s">
        <v>3698</v>
      </c>
      <c r="D17" s="53">
        <v>46155.416666666664</v>
      </c>
      <c r="E17" s="53">
        <v>46155.323611111111</v>
      </c>
      <c r="F17" s="53">
        <v>46156.853472222225</v>
      </c>
      <c r="G17" s="53">
        <v>46160.291666666664</v>
      </c>
      <c r="H17" s="53">
        <v>46157.42083333333</v>
      </c>
      <c r="I17" s="52"/>
      <c r="J17" s="52" t="s">
        <v>3693</v>
      </c>
      <c r="K17" s="53">
        <v>46156.526388888888</v>
      </c>
      <c r="L17" s="52"/>
      <c r="M17" s="54">
        <v>3.4381944444444446</v>
      </c>
      <c r="N17" s="54">
        <v>1.6027777777777779</v>
      </c>
      <c r="O17" s="52" t="s">
        <v>3485</v>
      </c>
      <c r="P17" s="52" t="s">
        <v>227</v>
      </c>
      <c r="Q17" s="52" t="s">
        <v>3484</v>
      </c>
      <c r="R17" s="52" t="s">
        <v>3492</v>
      </c>
      <c r="S17" s="52" t="s">
        <v>789</v>
      </c>
      <c r="T17" s="52" t="s">
        <v>3727</v>
      </c>
      <c r="U17" s="52" t="s">
        <v>3728</v>
      </c>
      <c r="V17" s="52" t="s">
        <v>3493</v>
      </c>
      <c r="W17" s="52">
        <v>147328071</v>
      </c>
      <c r="X17" s="52" t="s">
        <v>73</v>
      </c>
      <c r="Y17" s="52"/>
      <c r="Z17" s="52" t="s">
        <v>3696</v>
      </c>
      <c r="AA17" s="52" t="s">
        <v>3710</v>
      </c>
      <c r="AB17" s="52"/>
      <c r="AC17" s="52" t="s">
        <v>3720</v>
      </c>
      <c r="AD17" s="52" t="s">
        <v>3715</v>
      </c>
      <c r="AE17" s="52"/>
      <c r="AF17" s="52" t="s">
        <v>3725</v>
      </c>
      <c r="AG17" s="52" t="s">
        <v>3726</v>
      </c>
      <c r="AH17" s="52"/>
      <c r="AI17" s="52"/>
      <c r="AJ17" s="52"/>
      <c r="AK17" s="52"/>
      <c r="AL17" s="55">
        <v>4.027777777777778E-2</v>
      </c>
      <c r="AM17" s="52"/>
      <c r="AN17" s="52"/>
      <c r="AO17" s="52"/>
      <c r="AP17" s="55">
        <v>4.027777777777778E-2</v>
      </c>
      <c r="AQ17" s="52"/>
      <c r="AR17" s="52"/>
      <c r="AS17" s="52" t="s">
        <v>3696</v>
      </c>
      <c r="AT17" s="52"/>
      <c r="AU17" s="52"/>
      <c r="AV17" s="52"/>
      <c r="AW17" s="52" t="s">
        <v>3231</v>
      </c>
    </row>
    <row r="18" spans="1:49">
      <c r="A18" s="52">
        <v>6010523</v>
      </c>
      <c r="B18" s="52" t="s">
        <v>3723</v>
      </c>
      <c r="C18" s="52" t="s">
        <v>3692</v>
      </c>
      <c r="D18" s="53">
        <v>46156.416666666664</v>
      </c>
      <c r="E18" s="53">
        <v>46155.650694444441</v>
      </c>
      <c r="F18" s="53">
        <v>46156.59097222222</v>
      </c>
      <c r="G18" s="53">
        <v>46161.291666666664</v>
      </c>
      <c r="H18" s="52"/>
      <c r="I18" s="52" t="s">
        <v>3693</v>
      </c>
      <c r="J18" s="52" t="s">
        <v>3693</v>
      </c>
      <c r="K18" s="53">
        <v>46157.370138888888</v>
      </c>
      <c r="L18" s="52"/>
      <c r="M18" s="55">
        <v>0.22916666666666666</v>
      </c>
      <c r="N18" s="54">
        <v>1.60625</v>
      </c>
      <c r="O18" s="52"/>
      <c r="P18" s="52"/>
      <c r="Q18" s="52"/>
      <c r="R18" s="52"/>
      <c r="S18" s="52"/>
      <c r="T18" s="52" t="s">
        <v>3724</v>
      </c>
      <c r="U18" s="52" t="s">
        <v>3729</v>
      </c>
      <c r="V18" s="52"/>
      <c r="W18" s="52"/>
      <c r="X18" s="52"/>
      <c r="Y18" s="52"/>
      <c r="Z18" s="52" t="s">
        <v>3696</v>
      </c>
      <c r="AA18" s="52" t="s">
        <v>227</v>
      </c>
      <c r="AB18" s="52" t="s">
        <v>79</v>
      </c>
      <c r="AC18" s="52" t="s">
        <v>3720</v>
      </c>
      <c r="AD18" s="52" t="s">
        <v>3715</v>
      </c>
      <c r="AE18" s="52"/>
      <c r="AF18" s="52" t="s">
        <v>3725</v>
      </c>
      <c r="AG18" s="52" t="s">
        <v>3726</v>
      </c>
      <c r="AH18" s="52"/>
      <c r="AI18" s="52"/>
      <c r="AJ18" s="52"/>
      <c r="AK18" s="52"/>
      <c r="AL18" s="55">
        <v>3.6111111111111108E-2</v>
      </c>
      <c r="AM18" s="52"/>
      <c r="AN18" s="52"/>
      <c r="AO18" s="52"/>
      <c r="AP18" s="52"/>
      <c r="AQ18" s="52"/>
      <c r="AR18" s="52"/>
      <c r="AS18" s="52">
        <v>0</v>
      </c>
      <c r="AT18" s="52"/>
      <c r="AU18" s="52"/>
      <c r="AV18" s="52" t="s">
        <v>3411</v>
      </c>
      <c r="AW18" s="52"/>
    </row>
    <row r="19" spans="1:49">
      <c r="A19" s="52">
        <v>6010523</v>
      </c>
      <c r="B19" s="52" t="s">
        <v>3723</v>
      </c>
      <c r="C19" s="52" t="s">
        <v>3698</v>
      </c>
      <c r="D19" s="53">
        <v>46156.416666666664</v>
      </c>
      <c r="E19" s="53">
        <v>46155.650694444441</v>
      </c>
      <c r="F19" s="53">
        <v>46156.594444444447</v>
      </c>
      <c r="G19" s="53">
        <v>46161.291666666664</v>
      </c>
      <c r="H19" s="53">
        <v>46156.671527777777</v>
      </c>
      <c r="I19" s="52"/>
      <c r="J19" s="52" t="s">
        <v>3693</v>
      </c>
      <c r="K19" s="53">
        <v>46157.370138888888</v>
      </c>
      <c r="L19" s="52"/>
      <c r="M19" s="54">
        <v>4.697222222222222</v>
      </c>
      <c r="N19" s="54">
        <v>1.8618055555555555</v>
      </c>
      <c r="O19" s="52" t="s">
        <v>3409</v>
      </c>
      <c r="P19" s="52" t="s">
        <v>227</v>
      </c>
      <c r="Q19" s="52" t="s">
        <v>2028</v>
      </c>
      <c r="R19" s="52" t="s">
        <v>1496</v>
      </c>
      <c r="S19" s="52" t="s">
        <v>789</v>
      </c>
      <c r="T19" s="52" t="s">
        <v>3724</v>
      </c>
      <c r="U19" s="52" t="s">
        <v>3729</v>
      </c>
      <c r="V19" s="52" t="s">
        <v>2032</v>
      </c>
      <c r="W19" s="52">
        <v>60372788904</v>
      </c>
      <c r="X19" s="52" t="s">
        <v>73</v>
      </c>
      <c r="Y19" s="52"/>
      <c r="Z19" s="52" t="s">
        <v>3696</v>
      </c>
      <c r="AA19" s="52" t="s">
        <v>3710</v>
      </c>
      <c r="AB19" s="52"/>
      <c r="AC19" s="52" t="s">
        <v>3720</v>
      </c>
      <c r="AD19" s="52" t="s">
        <v>3715</v>
      </c>
      <c r="AE19" s="52" t="s">
        <v>79</v>
      </c>
      <c r="AF19" s="52" t="s">
        <v>3725</v>
      </c>
      <c r="AG19" s="52" t="s">
        <v>3726</v>
      </c>
      <c r="AH19" s="52"/>
      <c r="AI19" s="53">
        <v>46156.604166666664</v>
      </c>
      <c r="AJ19" s="53">
        <v>46156.640277777777</v>
      </c>
      <c r="AK19" s="53">
        <v>46156.604166666664</v>
      </c>
      <c r="AL19" s="55">
        <v>5.1388888888888887E-2</v>
      </c>
      <c r="AM19" s="52"/>
      <c r="AN19" s="55">
        <v>3.6111111111111108E-2</v>
      </c>
      <c r="AO19" s="52"/>
      <c r="AP19" s="55">
        <v>5.1388888888888887E-2</v>
      </c>
      <c r="AQ19" s="52"/>
      <c r="AR19" s="52"/>
      <c r="AS19" s="52" t="s">
        <v>3696</v>
      </c>
      <c r="AT19" s="52"/>
      <c r="AU19" s="52"/>
      <c r="AV19" s="52"/>
      <c r="AW19" s="52"/>
    </row>
    <row r="20" spans="1:49">
      <c r="A20" s="52">
        <v>6010523</v>
      </c>
      <c r="B20" s="52" t="s">
        <v>3723</v>
      </c>
      <c r="C20" s="52" t="s">
        <v>3698</v>
      </c>
      <c r="D20" s="53">
        <v>46156.416666666664</v>
      </c>
      <c r="E20" s="53">
        <v>46155.650694444441</v>
      </c>
      <c r="F20" s="53">
        <v>46156.594444444447</v>
      </c>
      <c r="G20" s="53">
        <v>46161.291666666664</v>
      </c>
      <c r="H20" s="53">
        <v>46156.671527777777</v>
      </c>
      <c r="I20" s="52"/>
      <c r="J20" s="52" t="s">
        <v>3693</v>
      </c>
      <c r="K20" s="53">
        <v>46157.370138888888</v>
      </c>
      <c r="L20" s="52"/>
      <c r="M20" s="54">
        <v>4.697222222222222</v>
      </c>
      <c r="N20" s="54">
        <v>1.8618055555555555</v>
      </c>
      <c r="O20" s="52" t="s">
        <v>3409</v>
      </c>
      <c r="P20" s="52" t="s">
        <v>227</v>
      </c>
      <c r="Q20" s="52" t="s">
        <v>2028</v>
      </c>
      <c r="R20" s="52" t="s">
        <v>1496</v>
      </c>
      <c r="S20" s="52" t="s">
        <v>789</v>
      </c>
      <c r="T20" s="52" t="s">
        <v>3724</v>
      </c>
      <c r="U20" s="52" t="s">
        <v>3729</v>
      </c>
      <c r="V20" s="52" t="s">
        <v>2032</v>
      </c>
      <c r="W20" s="52">
        <v>60372788904</v>
      </c>
      <c r="X20" s="52" t="s">
        <v>73</v>
      </c>
      <c r="Y20" s="52"/>
      <c r="Z20" s="52" t="s">
        <v>3696</v>
      </c>
      <c r="AA20" s="52" t="s">
        <v>3710</v>
      </c>
      <c r="AB20" s="52"/>
      <c r="AC20" s="52" t="s">
        <v>3720</v>
      </c>
      <c r="AD20" s="52" t="s">
        <v>3715</v>
      </c>
      <c r="AE20" s="52"/>
      <c r="AF20" s="52" t="s">
        <v>3725</v>
      </c>
      <c r="AG20" s="52" t="s">
        <v>3726</v>
      </c>
      <c r="AH20" s="52"/>
      <c r="AI20" s="53">
        <v>46156.604166666664</v>
      </c>
      <c r="AJ20" s="53">
        <v>46156.640277777777</v>
      </c>
      <c r="AK20" s="53">
        <v>46156.604166666664</v>
      </c>
      <c r="AL20" s="55">
        <v>5.1388888888888887E-2</v>
      </c>
      <c r="AM20" s="52"/>
      <c r="AN20" s="55">
        <v>3.6111111111111108E-2</v>
      </c>
      <c r="AO20" s="52"/>
      <c r="AP20" s="55">
        <v>5.1388888888888887E-2</v>
      </c>
      <c r="AQ20" s="52"/>
      <c r="AR20" s="52"/>
      <c r="AS20" s="52" t="s">
        <v>3696</v>
      </c>
      <c r="AT20" s="52"/>
      <c r="AU20" s="52"/>
      <c r="AV20" s="52"/>
      <c r="AW20" s="52" t="s">
        <v>3411</v>
      </c>
    </row>
    <row r="21" spans="1:49">
      <c r="A21" s="52">
        <v>6010703</v>
      </c>
      <c r="B21" s="52" t="s">
        <v>3699</v>
      </c>
      <c r="C21" s="52" t="s">
        <v>3692</v>
      </c>
      <c r="D21" s="53">
        <v>46156.666666666664</v>
      </c>
      <c r="E21" s="53">
        <v>46155.650694444441</v>
      </c>
      <c r="F21" s="53">
        <v>46156.472222222219</v>
      </c>
      <c r="G21" s="53">
        <v>46157.05</v>
      </c>
      <c r="H21" s="53">
        <v>46157.31527777778</v>
      </c>
      <c r="I21" s="52" t="s">
        <v>3693</v>
      </c>
      <c r="J21" s="52" t="s">
        <v>3693</v>
      </c>
      <c r="K21" s="53">
        <v>46157.31527777778</v>
      </c>
      <c r="L21" s="52" t="s">
        <v>3711</v>
      </c>
      <c r="M21" s="55">
        <v>0.46666666666666667</v>
      </c>
      <c r="N21" s="54">
        <v>1.6729166666666666</v>
      </c>
      <c r="O21" s="52"/>
      <c r="P21" s="52"/>
      <c r="Q21" s="52"/>
      <c r="R21" s="52"/>
      <c r="S21" s="52"/>
      <c r="T21" s="52" t="s">
        <v>3730</v>
      </c>
      <c r="U21" s="52" t="s">
        <v>3731</v>
      </c>
      <c r="V21" s="52"/>
      <c r="W21" s="52"/>
      <c r="X21" s="52"/>
      <c r="Y21" s="52"/>
      <c r="Z21" s="52" t="s">
        <v>3696</v>
      </c>
      <c r="AA21" s="52" t="s">
        <v>3387</v>
      </c>
      <c r="AB21" s="52" t="s">
        <v>140</v>
      </c>
      <c r="AC21" s="52" t="s">
        <v>3703</v>
      </c>
      <c r="AD21" s="52" t="s">
        <v>3704</v>
      </c>
      <c r="AE21" s="52"/>
      <c r="AF21" s="52" t="s">
        <v>3732</v>
      </c>
      <c r="AG21" s="52" t="s">
        <v>3733</v>
      </c>
      <c r="AH21" s="52"/>
      <c r="AI21" s="52"/>
      <c r="AJ21" s="52"/>
      <c r="AK21" s="52"/>
      <c r="AL21" s="55">
        <v>0.25694444444444442</v>
      </c>
      <c r="AM21" s="52"/>
      <c r="AN21" s="52"/>
      <c r="AO21" s="52"/>
      <c r="AP21" s="52"/>
      <c r="AQ21" s="52"/>
      <c r="AR21" s="52"/>
      <c r="AS21" s="52">
        <v>0</v>
      </c>
      <c r="AT21" s="52"/>
      <c r="AU21" s="52"/>
      <c r="AV21" s="52" t="s">
        <v>383</v>
      </c>
      <c r="AW21" s="52"/>
    </row>
    <row r="22" spans="1:49">
      <c r="A22" s="52">
        <v>6010703</v>
      </c>
      <c r="B22" s="52" t="s">
        <v>3699</v>
      </c>
      <c r="C22" s="52" t="s">
        <v>3698</v>
      </c>
      <c r="D22" s="53">
        <v>46156.666666666664</v>
      </c>
      <c r="E22" s="53">
        <v>46155.650694444441</v>
      </c>
      <c r="F22" s="53">
        <v>46156.472222222219</v>
      </c>
      <c r="G22" s="53">
        <v>46157.05</v>
      </c>
      <c r="H22" s="53">
        <v>46157.484722222223</v>
      </c>
      <c r="I22" s="52"/>
      <c r="J22" s="52" t="s">
        <v>3693</v>
      </c>
      <c r="K22" s="53">
        <v>46157.31527777778</v>
      </c>
      <c r="L22" s="52"/>
      <c r="M22" s="55">
        <v>0.57777777777777772</v>
      </c>
      <c r="N22" s="54">
        <v>1.9840277777777777</v>
      </c>
      <c r="O22" s="52" t="s">
        <v>3386</v>
      </c>
      <c r="P22" s="52" t="s">
        <v>3387</v>
      </c>
      <c r="Q22" s="52" t="s">
        <v>3385</v>
      </c>
      <c r="R22" s="52" t="s">
        <v>3392</v>
      </c>
      <c r="S22" s="52" t="s">
        <v>789</v>
      </c>
      <c r="T22" s="52" t="s">
        <v>3730</v>
      </c>
      <c r="U22" s="52" t="s">
        <v>3731</v>
      </c>
      <c r="V22" s="52" t="s">
        <v>3393</v>
      </c>
      <c r="W22" s="52">
        <v>9609884750</v>
      </c>
      <c r="X22" s="52" t="s">
        <v>73</v>
      </c>
      <c r="Y22" s="52"/>
      <c r="Z22" s="52" t="s">
        <v>3696</v>
      </c>
      <c r="AA22" s="52" t="s">
        <v>3710</v>
      </c>
      <c r="AB22" s="52"/>
      <c r="AC22" s="52" t="s">
        <v>3703</v>
      </c>
      <c r="AD22" s="52" t="s">
        <v>3704</v>
      </c>
      <c r="AE22" s="52" t="s">
        <v>140</v>
      </c>
      <c r="AF22" s="52" t="s">
        <v>3732</v>
      </c>
      <c r="AG22" s="52" t="s">
        <v>3733</v>
      </c>
      <c r="AH22" s="52"/>
      <c r="AI22" s="53">
        <v>46156.467361111114</v>
      </c>
      <c r="AJ22" s="53">
        <v>46156.724305555559</v>
      </c>
      <c r="AK22" s="53">
        <v>46156.467361111114</v>
      </c>
      <c r="AL22" s="55">
        <v>0.43333333333333335</v>
      </c>
      <c r="AM22" s="52"/>
      <c r="AN22" s="55">
        <v>0.25694444444444442</v>
      </c>
      <c r="AO22" s="55">
        <v>0.16944444444444445</v>
      </c>
      <c r="AP22" s="55">
        <v>0.43333333333333335</v>
      </c>
      <c r="AQ22" s="52"/>
      <c r="AR22" s="52"/>
      <c r="AS22" s="52" t="s">
        <v>3696</v>
      </c>
      <c r="AT22" s="52"/>
      <c r="AU22" s="52"/>
      <c r="AV22" s="52"/>
      <c r="AW22" s="52"/>
    </row>
    <row r="23" spans="1:49">
      <c r="A23" s="52">
        <v>6010703</v>
      </c>
      <c r="B23" s="52" t="s">
        <v>3699</v>
      </c>
      <c r="C23" s="52" t="s">
        <v>3698</v>
      </c>
      <c r="D23" s="53">
        <v>46156.666666666664</v>
      </c>
      <c r="E23" s="53">
        <v>46155.650694444441</v>
      </c>
      <c r="F23" s="53">
        <v>46156.472222222219</v>
      </c>
      <c r="G23" s="53">
        <v>46157.05</v>
      </c>
      <c r="H23" s="53">
        <v>46157.484722222223</v>
      </c>
      <c r="I23" s="52"/>
      <c r="J23" s="52" t="s">
        <v>3693</v>
      </c>
      <c r="K23" s="53">
        <v>46157.31527777778</v>
      </c>
      <c r="L23" s="52"/>
      <c r="M23" s="55">
        <v>0.57777777777777772</v>
      </c>
      <c r="N23" s="54">
        <v>1.9840277777777777</v>
      </c>
      <c r="O23" s="52" t="s">
        <v>3386</v>
      </c>
      <c r="P23" s="52" t="s">
        <v>3387</v>
      </c>
      <c r="Q23" s="52" t="s">
        <v>3385</v>
      </c>
      <c r="R23" s="52" t="s">
        <v>3392</v>
      </c>
      <c r="S23" s="52" t="s">
        <v>789</v>
      </c>
      <c r="T23" s="52" t="s">
        <v>3730</v>
      </c>
      <c r="U23" s="52" t="s">
        <v>3731</v>
      </c>
      <c r="V23" s="52" t="s">
        <v>3393</v>
      </c>
      <c r="W23" s="52">
        <v>9609884750</v>
      </c>
      <c r="X23" s="52" t="s">
        <v>73</v>
      </c>
      <c r="Y23" s="52"/>
      <c r="Z23" s="52" t="s">
        <v>3696</v>
      </c>
      <c r="AA23" s="52" t="s">
        <v>3710</v>
      </c>
      <c r="AB23" s="52"/>
      <c r="AC23" s="52" t="s">
        <v>3703</v>
      </c>
      <c r="AD23" s="52" t="s">
        <v>3704</v>
      </c>
      <c r="AE23" s="52"/>
      <c r="AF23" s="52" t="s">
        <v>3732</v>
      </c>
      <c r="AG23" s="52" t="s">
        <v>3733</v>
      </c>
      <c r="AH23" s="52"/>
      <c r="AI23" s="53">
        <v>46156.467361111114</v>
      </c>
      <c r="AJ23" s="53">
        <v>46156.724305555559</v>
      </c>
      <c r="AK23" s="53">
        <v>46156.467361111114</v>
      </c>
      <c r="AL23" s="55">
        <v>0.43333333333333335</v>
      </c>
      <c r="AM23" s="52"/>
      <c r="AN23" s="55">
        <v>0.25694444444444442</v>
      </c>
      <c r="AO23" s="55">
        <v>0.16944444444444445</v>
      </c>
      <c r="AP23" s="55">
        <v>0.43333333333333335</v>
      </c>
      <c r="AQ23" s="52"/>
      <c r="AR23" s="52"/>
      <c r="AS23" s="52" t="s">
        <v>3696</v>
      </c>
      <c r="AT23" s="52"/>
      <c r="AU23" s="52"/>
      <c r="AV23" s="52"/>
      <c r="AW23" s="52" t="s">
        <v>383</v>
      </c>
    </row>
    <row r="24" spans="1:49">
      <c r="A24" s="52">
        <v>6010797</v>
      </c>
      <c r="B24" s="52" t="s">
        <v>3691</v>
      </c>
      <c r="C24" s="52" t="s">
        <v>3692</v>
      </c>
      <c r="D24" s="53">
        <v>46155.75</v>
      </c>
      <c r="E24" s="53">
        <v>46155.323611111111</v>
      </c>
      <c r="F24" s="52"/>
      <c r="G24" s="52"/>
      <c r="H24" s="52"/>
      <c r="I24" s="52" t="s">
        <v>3693</v>
      </c>
      <c r="J24" s="52" t="s">
        <v>3694</v>
      </c>
      <c r="K24" s="52"/>
      <c r="L24" s="52"/>
      <c r="M24" s="55">
        <v>0.98263888888888884</v>
      </c>
      <c r="N24" s="54">
        <v>3.8111111111111109</v>
      </c>
      <c r="O24" s="52"/>
      <c r="P24" s="52"/>
      <c r="Q24" s="52"/>
      <c r="R24" s="52"/>
      <c r="S24" s="52"/>
      <c r="T24" s="52" t="s">
        <v>3695</v>
      </c>
      <c r="U24" s="52" t="s">
        <v>3695</v>
      </c>
      <c r="V24" s="52"/>
      <c r="W24" s="52"/>
      <c r="X24" s="52"/>
      <c r="Y24" s="52"/>
      <c r="Z24" s="52" t="s">
        <v>3696</v>
      </c>
      <c r="AA24" s="52" t="s">
        <v>836</v>
      </c>
      <c r="AB24" s="52" t="s">
        <v>79</v>
      </c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>
        <v>0</v>
      </c>
      <c r="AT24" s="52"/>
      <c r="AU24" s="52"/>
      <c r="AV24" s="52" t="s">
        <v>3734</v>
      </c>
      <c r="AW24" s="52"/>
    </row>
    <row r="25" spans="1:49">
      <c r="A25" s="52">
        <v>6010797</v>
      </c>
      <c r="B25" s="52" t="s">
        <v>3691</v>
      </c>
      <c r="C25" s="52" t="s">
        <v>3698</v>
      </c>
      <c r="D25" s="53">
        <v>46155.75</v>
      </c>
      <c r="E25" s="53">
        <v>46155.323611111111</v>
      </c>
      <c r="F25" s="52"/>
      <c r="G25" s="52"/>
      <c r="H25" s="52"/>
      <c r="I25" s="52"/>
      <c r="J25" s="52" t="s">
        <v>3694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 t="s">
        <v>3696</v>
      </c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>
        <v>0</v>
      </c>
      <c r="AT25" s="52"/>
      <c r="AU25" s="52"/>
      <c r="AV25" s="52"/>
      <c r="AW25" s="52"/>
    </row>
    <row r="26" spans="1:49">
      <c r="A26" s="52">
        <v>6010935</v>
      </c>
      <c r="B26" s="52" t="s">
        <v>3691</v>
      </c>
      <c r="C26" s="52" t="s">
        <v>3692</v>
      </c>
      <c r="D26" s="53">
        <v>46157.833333333336</v>
      </c>
      <c r="E26" s="53">
        <v>46156.68472222222</v>
      </c>
      <c r="F26" s="52"/>
      <c r="G26" s="52"/>
      <c r="H26" s="52"/>
      <c r="I26" s="52" t="s">
        <v>3693</v>
      </c>
      <c r="J26" s="52" t="s">
        <v>3694</v>
      </c>
      <c r="K26" s="52"/>
      <c r="L26" s="52"/>
      <c r="M26" s="55">
        <v>7.9166666666666663E-2</v>
      </c>
      <c r="N26" s="55">
        <v>0.28541666666666665</v>
      </c>
      <c r="O26" s="52"/>
      <c r="P26" s="52"/>
      <c r="Q26" s="52"/>
      <c r="R26" s="52"/>
      <c r="S26" s="52"/>
      <c r="T26" s="52" t="s">
        <v>3695</v>
      </c>
      <c r="U26" s="52" t="s">
        <v>3695</v>
      </c>
      <c r="V26" s="52"/>
      <c r="W26" s="52"/>
      <c r="X26" s="52"/>
      <c r="Y26" s="52"/>
      <c r="Z26" s="52" t="s">
        <v>3696</v>
      </c>
      <c r="AA26" s="52" t="s">
        <v>102</v>
      </c>
      <c r="AB26" s="52" t="s">
        <v>140</v>
      </c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>
        <v>0</v>
      </c>
      <c r="AT26" s="52"/>
      <c r="AU26" s="52"/>
      <c r="AV26" s="52" t="s">
        <v>750</v>
      </c>
      <c r="AW26" s="52"/>
    </row>
    <row r="27" spans="1:49">
      <c r="A27" s="52">
        <v>6010935</v>
      </c>
      <c r="B27" s="52" t="s">
        <v>3691</v>
      </c>
      <c r="C27" s="52" t="s">
        <v>3698</v>
      </c>
      <c r="D27" s="53">
        <v>46157.833333333336</v>
      </c>
      <c r="E27" s="53">
        <v>46156.68472222222</v>
      </c>
      <c r="F27" s="52"/>
      <c r="G27" s="52"/>
      <c r="H27" s="52"/>
      <c r="I27" s="52"/>
      <c r="J27" s="52" t="s">
        <v>3694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 t="s">
        <v>3696</v>
      </c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>
        <v>0</v>
      </c>
      <c r="AT27" s="52"/>
      <c r="AU27" s="52"/>
      <c r="AV27" s="52"/>
      <c r="AW27" s="52"/>
    </row>
    <row r="28" spans="1:49">
      <c r="A28" s="52">
        <v>6010936</v>
      </c>
      <c r="B28" s="52" t="s">
        <v>3723</v>
      </c>
      <c r="C28" s="52" t="s">
        <v>3692</v>
      </c>
      <c r="D28" s="53">
        <v>46154.375</v>
      </c>
      <c r="E28" s="53">
        <v>46153.586805555555</v>
      </c>
      <c r="F28" s="53">
        <v>46154.709722222222</v>
      </c>
      <c r="G28" s="53">
        <v>46160.334027777775</v>
      </c>
      <c r="H28" s="53">
        <v>46154.793055555558</v>
      </c>
      <c r="I28" s="52" t="s">
        <v>3693</v>
      </c>
      <c r="J28" s="52" t="s">
        <v>3693</v>
      </c>
      <c r="K28" s="53">
        <v>46154.793055555558</v>
      </c>
      <c r="L28" s="52" t="s">
        <v>3735</v>
      </c>
      <c r="M28" s="55">
        <v>8.3333333333333329E-2</v>
      </c>
      <c r="N28" s="54">
        <v>5.7104166666666663</v>
      </c>
      <c r="O28" s="52"/>
      <c r="P28" s="52"/>
      <c r="Q28" s="52"/>
      <c r="R28" s="52"/>
      <c r="S28" s="52"/>
      <c r="T28" s="52" t="s">
        <v>3736</v>
      </c>
      <c r="U28" s="52" t="s">
        <v>3695</v>
      </c>
      <c r="V28" s="52"/>
      <c r="W28" s="52"/>
      <c r="X28" s="52"/>
      <c r="Y28" s="52"/>
      <c r="Z28" s="52" t="s">
        <v>3696</v>
      </c>
      <c r="AA28" s="52" t="s">
        <v>1246</v>
      </c>
      <c r="AB28" s="52" t="s">
        <v>140</v>
      </c>
      <c r="AC28" s="52" t="s">
        <v>3703</v>
      </c>
      <c r="AD28" s="52" t="s">
        <v>3704</v>
      </c>
      <c r="AE28" s="52"/>
      <c r="AF28" s="52" t="s">
        <v>3737</v>
      </c>
      <c r="AG28" s="52" t="s">
        <v>3704</v>
      </c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>
        <v>0</v>
      </c>
      <c r="AT28" s="52"/>
      <c r="AU28" s="52"/>
      <c r="AV28" s="52" t="s">
        <v>1296</v>
      </c>
      <c r="AW28" s="52"/>
    </row>
    <row r="29" spans="1:49">
      <c r="A29" s="52">
        <v>6010936</v>
      </c>
      <c r="B29" s="52" t="s">
        <v>3723</v>
      </c>
      <c r="C29" s="52" t="s">
        <v>3698</v>
      </c>
      <c r="D29" s="53">
        <v>46154.375</v>
      </c>
      <c r="E29" s="53">
        <v>46153.586805555555</v>
      </c>
      <c r="F29" s="53">
        <v>46154.729166666664</v>
      </c>
      <c r="G29" s="53">
        <v>46160.334027777775</v>
      </c>
      <c r="H29" s="53">
        <v>46154.829861111109</v>
      </c>
      <c r="I29" s="52"/>
      <c r="J29" s="52" t="s">
        <v>3693</v>
      </c>
      <c r="K29" s="53">
        <v>46154.793055555558</v>
      </c>
      <c r="L29" s="52"/>
      <c r="M29" s="54">
        <v>5.6048611111111111</v>
      </c>
      <c r="N29" s="54">
        <v>3.7270833333333333</v>
      </c>
      <c r="O29" s="52" t="s">
        <v>3087</v>
      </c>
      <c r="P29" s="52" t="s">
        <v>1246</v>
      </c>
      <c r="Q29" s="52" t="s">
        <v>1955</v>
      </c>
      <c r="R29" s="52"/>
      <c r="S29" s="52" t="s">
        <v>789</v>
      </c>
      <c r="T29" s="52" t="s">
        <v>3736</v>
      </c>
      <c r="U29" s="52" t="s">
        <v>3695</v>
      </c>
      <c r="V29" s="52" t="s">
        <v>3088</v>
      </c>
      <c r="W29" s="52">
        <v>1880816237</v>
      </c>
      <c r="X29" s="52" t="s">
        <v>73</v>
      </c>
      <c r="Y29" s="52" t="s">
        <v>3738</v>
      </c>
      <c r="Z29" s="52" t="s">
        <v>3696</v>
      </c>
      <c r="AA29" s="52" t="s">
        <v>3710</v>
      </c>
      <c r="AB29" s="52"/>
      <c r="AC29" s="52" t="s">
        <v>3703</v>
      </c>
      <c r="AD29" s="52" t="s">
        <v>3704</v>
      </c>
      <c r="AE29" s="52" t="s">
        <v>140</v>
      </c>
      <c r="AF29" s="52" t="s">
        <v>3737</v>
      </c>
      <c r="AG29" s="52" t="s">
        <v>3704</v>
      </c>
      <c r="AH29" s="52"/>
      <c r="AI29" s="52"/>
      <c r="AJ29" s="52"/>
      <c r="AK29" s="52"/>
      <c r="AL29" s="55">
        <v>3.6805555555555557E-2</v>
      </c>
      <c r="AM29" s="52"/>
      <c r="AN29" s="52"/>
      <c r="AO29" s="55">
        <v>3.6805555555555557E-2</v>
      </c>
      <c r="AP29" s="55">
        <v>3.6805555555555557E-2</v>
      </c>
      <c r="AQ29" s="52"/>
      <c r="AR29" s="52"/>
      <c r="AS29" s="52" t="s">
        <v>3696</v>
      </c>
      <c r="AT29" s="52"/>
      <c r="AU29" s="52"/>
      <c r="AV29" s="52"/>
      <c r="AW29" s="52"/>
    </row>
    <row r="30" spans="1:49">
      <c r="A30" s="52">
        <v>6010936</v>
      </c>
      <c r="B30" s="52" t="s">
        <v>3723</v>
      </c>
      <c r="C30" s="52" t="s">
        <v>3698</v>
      </c>
      <c r="D30" s="53">
        <v>46154.375</v>
      </c>
      <c r="E30" s="53">
        <v>46153.586805555555</v>
      </c>
      <c r="F30" s="53">
        <v>46154.729166666664</v>
      </c>
      <c r="G30" s="53">
        <v>46160.334027777775</v>
      </c>
      <c r="H30" s="53">
        <v>46154.829861111109</v>
      </c>
      <c r="I30" s="52"/>
      <c r="J30" s="52" t="s">
        <v>3693</v>
      </c>
      <c r="K30" s="53">
        <v>46154.793055555558</v>
      </c>
      <c r="L30" s="52"/>
      <c r="M30" s="54">
        <v>5.6048611111111111</v>
      </c>
      <c r="N30" s="54">
        <v>3.7270833333333333</v>
      </c>
      <c r="O30" s="52" t="s">
        <v>3087</v>
      </c>
      <c r="P30" s="52" t="s">
        <v>1246</v>
      </c>
      <c r="Q30" s="52" t="s">
        <v>1955</v>
      </c>
      <c r="R30" s="52"/>
      <c r="S30" s="52" t="s">
        <v>789</v>
      </c>
      <c r="T30" s="52" t="s">
        <v>3736</v>
      </c>
      <c r="U30" s="52" t="s">
        <v>3695</v>
      </c>
      <c r="V30" s="52" t="s">
        <v>3088</v>
      </c>
      <c r="W30" s="52">
        <v>1880816237</v>
      </c>
      <c r="X30" s="52" t="s">
        <v>73</v>
      </c>
      <c r="Y30" s="52" t="s">
        <v>3738</v>
      </c>
      <c r="Z30" s="52" t="s">
        <v>3696</v>
      </c>
      <c r="AA30" s="52" t="s">
        <v>3710</v>
      </c>
      <c r="AB30" s="52"/>
      <c r="AC30" s="52" t="s">
        <v>3703</v>
      </c>
      <c r="AD30" s="52" t="s">
        <v>3704</v>
      </c>
      <c r="AE30" s="52"/>
      <c r="AF30" s="52" t="s">
        <v>3737</v>
      </c>
      <c r="AG30" s="52" t="s">
        <v>3704</v>
      </c>
      <c r="AH30" s="52"/>
      <c r="AI30" s="52"/>
      <c r="AJ30" s="52"/>
      <c r="AK30" s="52"/>
      <c r="AL30" s="55">
        <v>3.6805555555555557E-2</v>
      </c>
      <c r="AM30" s="52"/>
      <c r="AN30" s="52"/>
      <c r="AO30" s="55">
        <v>3.6805555555555557E-2</v>
      </c>
      <c r="AP30" s="55">
        <v>3.6805555555555557E-2</v>
      </c>
      <c r="AQ30" s="52"/>
      <c r="AR30" s="52"/>
      <c r="AS30" s="52" t="s">
        <v>3696</v>
      </c>
      <c r="AT30" s="52"/>
      <c r="AU30" s="52"/>
      <c r="AV30" s="52"/>
      <c r="AW30" s="52" t="s">
        <v>1296</v>
      </c>
    </row>
    <row r="31" spans="1:49">
      <c r="A31" s="52">
        <v>6010993</v>
      </c>
      <c r="B31" s="52" t="s">
        <v>3691</v>
      </c>
      <c r="C31" s="52" t="s">
        <v>3692</v>
      </c>
      <c r="D31" s="53">
        <v>46157.666666666664</v>
      </c>
      <c r="E31" s="53">
        <v>46156.68472222222</v>
      </c>
      <c r="F31" s="52"/>
      <c r="G31" s="52"/>
      <c r="H31" s="52"/>
      <c r="I31" s="52" t="s">
        <v>3693</v>
      </c>
      <c r="J31" s="52" t="s">
        <v>3694</v>
      </c>
      <c r="K31" s="52"/>
      <c r="L31" s="52"/>
      <c r="M31" s="54">
        <v>2.004861111111111</v>
      </c>
      <c r="N31" s="54">
        <v>1.8305555555555555</v>
      </c>
      <c r="O31" s="52"/>
      <c r="P31" s="52"/>
      <c r="Q31" s="52"/>
      <c r="R31" s="52"/>
      <c r="S31" s="52"/>
      <c r="T31" s="52" t="s">
        <v>3695</v>
      </c>
      <c r="U31" s="52" t="s">
        <v>3695</v>
      </c>
      <c r="V31" s="52"/>
      <c r="W31" s="52"/>
      <c r="X31" s="52"/>
      <c r="Y31" s="52"/>
      <c r="Z31" s="52" t="s">
        <v>3696</v>
      </c>
      <c r="AA31" s="52" t="s">
        <v>72</v>
      </c>
      <c r="AB31" s="52" t="s">
        <v>79</v>
      </c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>
        <v>0</v>
      </c>
      <c r="AT31" s="52"/>
      <c r="AU31" s="52"/>
      <c r="AV31" s="52" t="s">
        <v>2190</v>
      </c>
      <c r="AW31" s="52"/>
    </row>
    <row r="32" spans="1:49">
      <c r="A32" s="52">
        <v>6010993</v>
      </c>
      <c r="B32" s="52" t="s">
        <v>3691</v>
      </c>
      <c r="C32" s="52" t="s">
        <v>3698</v>
      </c>
      <c r="D32" s="53">
        <v>46157.666666666664</v>
      </c>
      <c r="E32" s="53">
        <v>46156.68472222222</v>
      </c>
      <c r="F32" s="52"/>
      <c r="G32" s="52"/>
      <c r="H32" s="52"/>
      <c r="I32" s="52"/>
      <c r="J32" s="52" t="s">
        <v>3694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 t="s">
        <v>3696</v>
      </c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>
        <v>0</v>
      </c>
      <c r="AT32" s="52"/>
      <c r="AU32" s="52"/>
      <c r="AV32" s="52"/>
      <c r="AW32" s="52"/>
    </row>
    <row r="33" spans="1:49">
      <c r="A33" s="52">
        <v>6010999</v>
      </c>
      <c r="B33" s="52" t="s">
        <v>3716</v>
      </c>
      <c r="C33" s="52" t="s">
        <v>3717</v>
      </c>
      <c r="D33" s="53">
        <v>46157.625</v>
      </c>
      <c r="E33" s="53">
        <v>46156.68472222222</v>
      </c>
      <c r="F33" s="53">
        <v>46157.750694444447</v>
      </c>
      <c r="G33" s="53">
        <v>46159.138888888891</v>
      </c>
      <c r="H33" s="53">
        <v>46157.751388888886</v>
      </c>
      <c r="I33" s="52" t="s">
        <v>3693</v>
      </c>
      <c r="J33" s="52" t="s">
        <v>3694</v>
      </c>
      <c r="K33" s="52"/>
      <c r="L33" s="52"/>
      <c r="M33" s="54">
        <v>1.1111111111111112</v>
      </c>
      <c r="N33" s="55">
        <v>0.68263888888888891</v>
      </c>
      <c r="O33" s="52"/>
      <c r="P33" s="52"/>
      <c r="Q33" s="52"/>
      <c r="R33" s="52"/>
      <c r="S33" s="52"/>
      <c r="T33" s="52" t="s">
        <v>3739</v>
      </c>
      <c r="U33" s="52" t="s">
        <v>3740</v>
      </c>
      <c r="V33" s="52"/>
      <c r="W33" s="52"/>
      <c r="X33" s="52"/>
      <c r="Y33" s="52"/>
      <c r="Z33" s="52" t="s">
        <v>3696</v>
      </c>
      <c r="AA33" s="52" t="s">
        <v>420</v>
      </c>
      <c r="AB33" s="52" t="s">
        <v>79</v>
      </c>
      <c r="AC33" s="52" t="s">
        <v>3720</v>
      </c>
      <c r="AD33" s="52" t="s">
        <v>3715</v>
      </c>
      <c r="AE33" s="52"/>
      <c r="AF33" s="52" t="s">
        <v>3720</v>
      </c>
      <c r="AG33" s="52" t="s">
        <v>3715</v>
      </c>
      <c r="AH33" s="52"/>
      <c r="AI33" s="52"/>
      <c r="AJ33" s="52"/>
      <c r="AK33" s="52"/>
      <c r="AL33" s="55">
        <v>0.12361111111111112</v>
      </c>
      <c r="AM33" s="52"/>
      <c r="AN33" s="52"/>
      <c r="AO33" s="52"/>
      <c r="AP33" s="52"/>
      <c r="AQ33" s="52"/>
      <c r="AR33" s="52"/>
      <c r="AS33" s="52">
        <v>0</v>
      </c>
      <c r="AT33" s="52"/>
      <c r="AU33" s="52"/>
      <c r="AV33" s="52" t="s">
        <v>503</v>
      </c>
      <c r="AW33" s="52"/>
    </row>
    <row r="34" spans="1:49">
      <c r="A34" s="52">
        <v>6010999</v>
      </c>
      <c r="B34" s="52" t="s">
        <v>3716</v>
      </c>
      <c r="C34" s="52" t="s">
        <v>3698</v>
      </c>
      <c r="D34" s="53">
        <v>46157.625</v>
      </c>
      <c r="E34" s="53">
        <v>46156.68472222222</v>
      </c>
      <c r="F34" s="53">
        <v>46157.803472222222</v>
      </c>
      <c r="G34" s="53">
        <v>46158.530555555553</v>
      </c>
      <c r="H34" s="52"/>
      <c r="I34" s="52"/>
      <c r="J34" s="52" t="s">
        <v>3694</v>
      </c>
      <c r="K34" s="53">
        <v>46159.085416666669</v>
      </c>
      <c r="L34" s="52"/>
      <c r="M34" s="55">
        <v>0.7270833333333333</v>
      </c>
      <c r="N34" s="55">
        <v>0.65277777777777779</v>
      </c>
      <c r="O34" s="52" t="s">
        <v>499</v>
      </c>
      <c r="P34" s="52" t="s">
        <v>420</v>
      </c>
      <c r="Q34" s="52" t="s">
        <v>498</v>
      </c>
      <c r="R34" s="52" t="s">
        <v>506</v>
      </c>
      <c r="S34" s="52" t="s">
        <v>69</v>
      </c>
      <c r="T34" s="52" t="s">
        <v>3739</v>
      </c>
      <c r="U34" s="52" t="s">
        <v>3740</v>
      </c>
      <c r="V34" s="52" t="s">
        <v>507</v>
      </c>
      <c r="W34" s="52">
        <v>9021423995</v>
      </c>
      <c r="X34" s="52" t="s">
        <v>73</v>
      </c>
      <c r="Y34" s="52"/>
      <c r="Z34" s="52" t="s">
        <v>3696</v>
      </c>
      <c r="AA34" s="52" t="s">
        <v>3710</v>
      </c>
      <c r="AB34" s="52"/>
      <c r="AC34" s="52" t="s">
        <v>3720</v>
      </c>
      <c r="AD34" s="52" t="s">
        <v>3715</v>
      </c>
      <c r="AE34" s="52" t="s">
        <v>79</v>
      </c>
      <c r="AF34" s="52" t="s">
        <v>3732</v>
      </c>
      <c r="AG34" s="52" t="s">
        <v>3733</v>
      </c>
      <c r="AH34" s="52"/>
      <c r="AI34" s="53">
        <v>46157.751388888886</v>
      </c>
      <c r="AJ34" s="53">
        <v>46157.875</v>
      </c>
      <c r="AK34" s="53">
        <v>46157.751388888886</v>
      </c>
      <c r="AL34" s="55">
        <v>0.12361111111111112</v>
      </c>
      <c r="AM34" s="52"/>
      <c r="AN34" s="55">
        <v>0.12361111111111112</v>
      </c>
      <c r="AO34" s="52"/>
      <c r="AP34" s="55">
        <v>0.12361111111111112</v>
      </c>
      <c r="AQ34" s="52"/>
      <c r="AR34" s="52"/>
      <c r="AS34" s="52" t="s">
        <v>3696</v>
      </c>
      <c r="AT34" s="52"/>
      <c r="AU34" s="52"/>
      <c r="AV34" s="52"/>
      <c r="AW34" s="52"/>
    </row>
    <row r="35" spans="1:49">
      <c r="A35" s="52">
        <v>6010999</v>
      </c>
      <c r="B35" s="52" t="s">
        <v>3716</v>
      </c>
      <c r="C35" s="52" t="s">
        <v>3698</v>
      </c>
      <c r="D35" s="53">
        <v>46157.625</v>
      </c>
      <c r="E35" s="53">
        <v>46156.68472222222</v>
      </c>
      <c r="F35" s="53">
        <v>46157.803472222222</v>
      </c>
      <c r="G35" s="53">
        <v>46158.530555555553</v>
      </c>
      <c r="H35" s="52"/>
      <c r="I35" s="52"/>
      <c r="J35" s="52" t="s">
        <v>3694</v>
      </c>
      <c r="K35" s="53">
        <v>46159.085416666669</v>
      </c>
      <c r="L35" s="52"/>
      <c r="M35" s="55">
        <v>0.7270833333333333</v>
      </c>
      <c r="N35" s="55">
        <v>0.65277777777777779</v>
      </c>
      <c r="O35" s="52" t="s">
        <v>499</v>
      </c>
      <c r="P35" s="52" t="s">
        <v>420</v>
      </c>
      <c r="Q35" s="52" t="s">
        <v>498</v>
      </c>
      <c r="R35" s="52" t="s">
        <v>506</v>
      </c>
      <c r="S35" s="52" t="s">
        <v>69</v>
      </c>
      <c r="T35" s="52" t="s">
        <v>3739</v>
      </c>
      <c r="U35" s="52" t="s">
        <v>3740</v>
      </c>
      <c r="V35" s="52" t="s">
        <v>507</v>
      </c>
      <c r="W35" s="52">
        <v>9021423995</v>
      </c>
      <c r="X35" s="52" t="s">
        <v>73</v>
      </c>
      <c r="Y35" s="52"/>
      <c r="Z35" s="52" t="s">
        <v>3696</v>
      </c>
      <c r="AA35" s="52" t="s">
        <v>3710</v>
      </c>
      <c r="AB35" s="52"/>
      <c r="AC35" s="52" t="s">
        <v>3720</v>
      </c>
      <c r="AD35" s="52" t="s">
        <v>3715</v>
      </c>
      <c r="AE35" s="52"/>
      <c r="AF35" s="52" t="s">
        <v>3732</v>
      </c>
      <c r="AG35" s="52" t="s">
        <v>3733</v>
      </c>
      <c r="AH35" s="52"/>
      <c r="AI35" s="53">
        <v>46157.751388888886</v>
      </c>
      <c r="AJ35" s="53">
        <v>46157.875</v>
      </c>
      <c r="AK35" s="53">
        <v>46157.751388888886</v>
      </c>
      <c r="AL35" s="55">
        <v>0.12361111111111112</v>
      </c>
      <c r="AM35" s="52"/>
      <c r="AN35" s="55">
        <v>0.12361111111111112</v>
      </c>
      <c r="AO35" s="52"/>
      <c r="AP35" s="55">
        <v>0.12361111111111112</v>
      </c>
      <c r="AQ35" s="52"/>
      <c r="AR35" s="52"/>
      <c r="AS35" s="52" t="s">
        <v>3696</v>
      </c>
      <c r="AT35" s="52"/>
      <c r="AU35" s="52"/>
      <c r="AV35" s="52"/>
      <c r="AW35" s="52" t="s">
        <v>503</v>
      </c>
    </row>
    <row r="36" spans="1:49">
      <c r="A36" s="52">
        <v>6011000</v>
      </c>
      <c r="B36" s="52" t="s">
        <v>3723</v>
      </c>
      <c r="C36" s="52" t="s">
        <v>3692</v>
      </c>
      <c r="D36" s="53">
        <v>46157.5625</v>
      </c>
      <c r="E36" s="53">
        <v>46156.68472222222</v>
      </c>
      <c r="F36" s="53">
        <v>46157.525694444441</v>
      </c>
      <c r="G36" s="53">
        <v>46162.52847222222</v>
      </c>
      <c r="H36" s="53">
        <v>46157.529166666667</v>
      </c>
      <c r="I36" s="52" t="s">
        <v>3693</v>
      </c>
      <c r="J36" s="52" t="s">
        <v>3693</v>
      </c>
      <c r="K36" s="52"/>
      <c r="L36" s="52"/>
      <c r="M36" s="55">
        <v>0.42986111111111114</v>
      </c>
      <c r="N36" s="54">
        <v>4.072222222222222</v>
      </c>
      <c r="O36" s="52"/>
      <c r="P36" s="52"/>
      <c r="Q36" s="52"/>
      <c r="R36" s="52"/>
      <c r="S36" s="52"/>
      <c r="T36" s="52" t="s">
        <v>3741</v>
      </c>
      <c r="U36" s="52" t="s">
        <v>3742</v>
      </c>
      <c r="V36" s="52"/>
      <c r="W36" s="52"/>
      <c r="X36" s="52"/>
      <c r="Y36" s="52"/>
      <c r="Z36" s="52" t="s">
        <v>3696</v>
      </c>
      <c r="AA36" s="52" t="s">
        <v>227</v>
      </c>
      <c r="AB36" s="52" t="s">
        <v>79</v>
      </c>
      <c r="AC36" s="52" t="s">
        <v>3720</v>
      </c>
      <c r="AD36" s="52" t="s">
        <v>3715</v>
      </c>
      <c r="AE36" s="52"/>
      <c r="AF36" s="52" t="s">
        <v>3720</v>
      </c>
      <c r="AG36" s="52" t="s">
        <v>3715</v>
      </c>
      <c r="AH36" s="52"/>
      <c r="AI36" s="52"/>
      <c r="AJ36" s="52"/>
      <c r="AK36" s="52"/>
      <c r="AL36" s="55">
        <v>7.9861111111111105E-2</v>
      </c>
      <c r="AM36" s="52"/>
      <c r="AN36" s="52"/>
      <c r="AO36" s="52"/>
      <c r="AP36" s="52"/>
      <c r="AQ36" s="52"/>
      <c r="AR36" s="52"/>
      <c r="AS36" s="52">
        <v>0</v>
      </c>
      <c r="AT36" s="52"/>
      <c r="AU36" s="52"/>
      <c r="AV36" s="52" t="s">
        <v>750</v>
      </c>
      <c r="AW36" s="52"/>
    </row>
    <row r="37" spans="1:49">
      <c r="A37" s="52">
        <v>6011000</v>
      </c>
      <c r="B37" s="52" t="s">
        <v>3723</v>
      </c>
      <c r="C37" s="52" t="s">
        <v>3698</v>
      </c>
      <c r="D37" s="53">
        <v>46157.5625</v>
      </c>
      <c r="E37" s="53">
        <v>46156.68472222222</v>
      </c>
      <c r="F37" s="53">
        <v>46157.526388888888</v>
      </c>
      <c r="G37" s="53">
        <v>46158.05972222222</v>
      </c>
      <c r="H37" s="53">
        <v>46158.145138888889</v>
      </c>
      <c r="I37" s="52"/>
      <c r="J37" s="52" t="s">
        <v>3693</v>
      </c>
      <c r="K37" s="53">
        <v>46158.163888888892</v>
      </c>
      <c r="L37" s="52"/>
      <c r="M37" s="55">
        <v>0.53333333333333333</v>
      </c>
      <c r="N37" s="55">
        <v>0.92986111111111114</v>
      </c>
      <c r="O37" s="52" t="s">
        <v>3576</v>
      </c>
      <c r="P37" s="52" t="s">
        <v>227</v>
      </c>
      <c r="Q37" s="52" t="s">
        <v>1947</v>
      </c>
      <c r="R37" s="52" t="s">
        <v>2478</v>
      </c>
      <c r="S37" s="52" t="s">
        <v>789</v>
      </c>
      <c r="T37" s="52" t="s">
        <v>3741</v>
      </c>
      <c r="U37" s="52" t="s">
        <v>3742</v>
      </c>
      <c r="V37" s="52" t="s">
        <v>1952</v>
      </c>
      <c r="W37" s="52">
        <v>25420775840</v>
      </c>
      <c r="X37" s="52" t="s">
        <v>73</v>
      </c>
      <c r="Y37" s="52"/>
      <c r="Z37" s="52" t="s">
        <v>3696</v>
      </c>
      <c r="AA37" s="52" t="s">
        <v>3710</v>
      </c>
      <c r="AB37" s="52"/>
      <c r="AC37" s="52" t="s">
        <v>3720</v>
      </c>
      <c r="AD37" s="52" t="s">
        <v>3715</v>
      </c>
      <c r="AE37" s="52" t="s">
        <v>79</v>
      </c>
      <c r="AF37" s="52" t="s">
        <v>3737</v>
      </c>
      <c r="AG37" s="52" t="s">
        <v>3704</v>
      </c>
      <c r="AH37" s="52"/>
      <c r="AI37" s="53">
        <v>46157.529166666667</v>
      </c>
      <c r="AJ37" s="53">
        <v>46157.609027777777</v>
      </c>
      <c r="AK37" s="53">
        <v>46157.529166666667</v>
      </c>
      <c r="AL37" s="55">
        <v>0.1111111111111111</v>
      </c>
      <c r="AM37" s="52"/>
      <c r="AN37" s="55">
        <v>7.9861111111111105E-2</v>
      </c>
      <c r="AO37" s="52"/>
      <c r="AP37" s="55">
        <v>0.1111111111111111</v>
      </c>
      <c r="AQ37" s="52"/>
      <c r="AR37" s="52"/>
      <c r="AS37" s="52" t="s">
        <v>3696</v>
      </c>
      <c r="AT37" s="52"/>
      <c r="AU37" s="52"/>
      <c r="AV37" s="52"/>
      <c r="AW37" s="52"/>
    </row>
    <row r="38" spans="1:49">
      <c r="A38" s="52">
        <v>6011000</v>
      </c>
      <c r="B38" s="52" t="s">
        <v>3723</v>
      </c>
      <c r="C38" s="52" t="s">
        <v>3698</v>
      </c>
      <c r="D38" s="53">
        <v>46157.5625</v>
      </c>
      <c r="E38" s="53">
        <v>46156.68472222222</v>
      </c>
      <c r="F38" s="53">
        <v>46157.526388888888</v>
      </c>
      <c r="G38" s="53">
        <v>46158.05972222222</v>
      </c>
      <c r="H38" s="53">
        <v>46158.145138888889</v>
      </c>
      <c r="I38" s="52"/>
      <c r="J38" s="52" t="s">
        <v>3693</v>
      </c>
      <c r="K38" s="53">
        <v>46158.163888888892</v>
      </c>
      <c r="L38" s="52"/>
      <c r="M38" s="55">
        <v>0.53333333333333333</v>
      </c>
      <c r="N38" s="55">
        <v>0.92986111111111114</v>
      </c>
      <c r="O38" s="52" t="s">
        <v>3576</v>
      </c>
      <c r="P38" s="52" t="s">
        <v>227</v>
      </c>
      <c r="Q38" s="52" t="s">
        <v>1947</v>
      </c>
      <c r="R38" s="52" t="s">
        <v>2478</v>
      </c>
      <c r="S38" s="52" t="s">
        <v>789</v>
      </c>
      <c r="T38" s="52" t="s">
        <v>3741</v>
      </c>
      <c r="U38" s="52" t="s">
        <v>3742</v>
      </c>
      <c r="V38" s="52" t="s">
        <v>1952</v>
      </c>
      <c r="W38" s="52">
        <v>25420775840</v>
      </c>
      <c r="X38" s="52" t="s">
        <v>73</v>
      </c>
      <c r="Y38" s="52"/>
      <c r="Z38" s="52" t="s">
        <v>3696</v>
      </c>
      <c r="AA38" s="52" t="s">
        <v>3710</v>
      </c>
      <c r="AB38" s="52"/>
      <c r="AC38" s="52" t="s">
        <v>3720</v>
      </c>
      <c r="AD38" s="52" t="s">
        <v>3715</v>
      </c>
      <c r="AE38" s="52"/>
      <c r="AF38" s="52" t="s">
        <v>3737</v>
      </c>
      <c r="AG38" s="52" t="s">
        <v>3704</v>
      </c>
      <c r="AH38" s="52"/>
      <c r="AI38" s="53">
        <v>46157.529166666667</v>
      </c>
      <c r="AJ38" s="53">
        <v>46157.609027777777</v>
      </c>
      <c r="AK38" s="53">
        <v>46157.529166666667</v>
      </c>
      <c r="AL38" s="55">
        <v>0.1111111111111111</v>
      </c>
      <c r="AM38" s="52"/>
      <c r="AN38" s="55">
        <v>7.9861111111111105E-2</v>
      </c>
      <c r="AO38" s="52"/>
      <c r="AP38" s="55">
        <v>0.1111111111111111</v>
      </c>
      <c r="AQ38" s="52"/>
      <c r="AR38" s="52"/>
      <c r="AS38" s="52" t="s">
        <v>3696</v>
      </c>
      <c r="AT38" s="52"/>
      <c r="AU38" s="52"/>
      <c r="AV38" s="52"/>
      <c r="AW38" s="52" t="s">
        <v>750</v>
      </c>
    </row>
    <row r="39" spans="1:49">
      <c r="A39" s="52">
        <v>6011001</v>
      </c>
      <c r="B39" s="52" t="s">
        <v>3723</v>
      </c>
      <c r="C39" s="52" t="s">
        <v>3692</v>
      </c>
      <c r="D39" s="53">
        <v>46157.604166666664</v>
      </c>
      <c r="E39" s="53">
        <v>46156.68472222222</v>
      </c>
      <c r="F39" s="53">
        <v>46157.511111111111</v>
      </c>
      <c r="G39" s="53">
        <v>46162.958333333336</v>
      </c>
      <c r="H39" s="52"/>
      <c r="I39" s="52" t="s">
        <v>3693</v>
      </c>
      <c r="J39" s="52" t="s">
        <v>3693</v>
      </c>
      <c r="K39" s="53">
        <v>46158.099305555559</v>
      </c>
      <c r="L39" s="52"/>
      <c r="M39" s="55">
        <v>0.42986111111111114</v>
      </c>
      <c r="N39" s="54">
        <v>4.072222222222222</v>
      </c>
      <c r="O39" s="52"/>
      <c r="P39" s="52"/>
      <c r="Q39" s="52"/>
      <c r="R39" s="52"/>
      <c r="S39" s="52"/>
      <c r="T39" s="52" t="s">
        <v>3741</v>
      </c>
      <c r="U39" s="52" t="s">
        <v>3743</v>
      </c>
      <c r="V39" s="52"/>
      <c r="W39" s="52"/>
      <c r="X39" s="52"/>
      <c r="Y39" s="52"/>
      <c r="Z39" s="52" t="s">
        <v>3696</v>
      </c>
      <c r="AA39" s="52" t="s">
        <v>227</v>
      </c>
      <c r="AB39" s="52" t="s">
        <v>79</v>
      </c>
      <c r="AC39" s="52" t="s">
        <v>3720</v>
      </c>
      <c r="AD39" s="52" t="s">
        <v>3715</v>
      </c>
      <c r="AE39" s="52"/>
      <c r="AF39" s="52" t="s">
        <v>3737</v>
      </c>
      <c r="AG39" s="52" t="s">
        <v>3704</v>
      </c>
      <c r="AH39" s="52"/>
      <c r="AI39" s="52"/>
      <c r="AJ39" s="52"/>
      <c r="AK39" s="52"/>
      <c r="AL39" s="55">
        <v>6.3194444444444442E-2</v>
      </c>
      <c r="AM39" s="52"/>
      <c r="AN39" s="52"/>
      <c r="AO39" s="52"/>
      <c r="AP39" s="52"/>
      <c r="AQ39" s="52"/>
      <c r="AR39" s="52"/>
      <c r="AS39" s="52">
        <v>0</v>
      </c>
      <c r="AT39" s="52"/>
      <c r="AU39" s="52"/>
      <c r="AV39" s="52" t="s">
        <v>750</v>
      </c>
      <c r="AW39" s="52"/>
    </row>
    <row r="40" spans="1:49">
      <c r="A40" s="52">
        <v>6011001</v>
      </c>
      <c r="B40" s="52" t="s">
        <v>3723</v>
      </c>
      <c r="C40" s="52" t="s">
        <v>3698</v>
      </c>
      <c r="D40" s="53">
        <v>46157.604166666664</v>
      </c>
      <c r="E40" s="53">
        <v>46156.68472222222</v>
      </c>
      <c r="F40" s="53">
        <v>46157.515277777777</v>
      </c>
      <c r="G40" s="53">
        <v>46162.958333333336</v>
      </c>
      <c r="H40" s="53">
        <v>46157.783333333333</v>
      </c>
      <c r="I40" s="52"/>
      <c r="J40" s="52" t="s">
        <v>3693</v>
      </c>
      <c r="K40" s="53">
        <v>46158.099305555559</v>
      </c>
      <c r="L40" s="52"/>
      <c r="M40" s="54">
        <v>5.4430555555555555</v>
      </c>
      <c r="N40" s="55">
        <v>0.94097222222222221</v>
      </c>
      <c r="O40" s="52" t="s">
        <v>3567</v>
      </c>
      <c r="P40" s="52" t="s">
        <v>227</v>
      </c>
      <c r="Q40" s="52" t="s">
        <v>1186</v>
      </c>
      <c r="R40" s="52" t="s">
        <v>3570</v>
      </c>
      <c r="S40" s="52" t="s">
        <v>789</v>
      </c>
      <c r="T40" s="52" t="s">
        <v>3741</v>
      </c>
      <c r="U40" s="52" t="s">
        <v>3743</v>
      </c>
      <c r="V40" s="52" t="s">
        <v>3744</v>
      </c>
      <c r="W40" s="52">
        <v>72206799987</v>
      </c>
      <c r="X40" s="52" t="s">
        <v>73</v>
      </c>
      <c r="Y40" s="52" t="s">
        <v>3745</v>
      </c>
      <c r="Z40" s="52" t="s">
        <v>3696</v>
      </c>
      <c r="AA40" s="52" t="s">
        <v>3710</v>
      </c>
      <c r="AB40" s="52"/>
      <c r="AC40" s="52" t="s">
        <v>3720</v>
      </c>
      <c r="AD40" s="52" t="s">
        <v>3715</v>
      </c>
      <c r="AE40" s="52" t="s">
        <v>79</v>
      </c>
      <c r="AF40" s="52" t="s">
        <v>3737</v>
      </c>
      <c r="AG40" s="52" t="s">
        <v>3704</v>
      </c>
      <c r="AH40" s="52"/>
      <c r="AI40" s="53">
        <v>46157.511805555558</v>
      </c>
      <c r="AJ40" s="53">
        <v>46157.574999999997</v>
      </c>
      <c r="AK40" s="53">
        <v>46157.511805555558</v>
      </c>
      <c r="AL40" s="55">
        <v>7.2916666666666671E-2</v>
      </c>
      <c r="AM40" s="52"/>
      <c r="AN40" s="55">
        <v>6.3194444444444442E-2</v>
      </c>
      <c r="AO40" s="52"/>
      <c r="AP40" s="55">
        <v>7.2916666666666671E-2</v>
      </c>
      <c r="AQ40" s="52"/>
      <c r="AR40" s="52"/>
      <c r="AS40" s="52" t="s">
        <v>3696</v>
      </c>
      <c r="AT40" s="52"/>
      <c r="AU40" s="52"/>
      <c r="AV40" s="52"/>
      <c r="AW40" s="52"/>
    </row>
    <row r="41" spans="1:49">
      <c r="A41" s="52">
        <v>6011001</v>
      </c>
      <c r="B41" s="52" t="s">
        <v>3723</v>
      </c>
      <c r="C41" s="52" t="s">
        <v>3698</v>
      </c>
      <c r="D41" s="53">
        <v>46157.604166666664</v>
      </c>
      <c r="E41" s="53">
        <v>46156.68472222222</v>
      </c>
      <c r="F41" s="53">
        <v>46157.515277777777</v>
      </c>
      <c r="G41" s="53">
        <v>46162.958333333336</v>
      </c>
      <c r="H41" s="53">
        <v>46157.783333333333</v>
      </c>
      <c r="I41" s="52"/>
      <c r="J41" s="52" t="s">
        <v>3693</v>
      </c>
      <c r="K41" s="53">
        <v>46158.099305555559</v>
      </c>
      <c r="L41" s="52"/>
      <c r="M41" s="54">
        <v>5.4430555555555555</v>
      </c>
      <c r="N41" s="55">
        <v>0.94097222222222221</v>
      </c>
      <c r="O41" s="52" t="s">
        <v>3567</v>
      </c>
      <c r="P41" s="52" t="s">
        <v>227</v>
      </c>
      <c r="Q41" s="52" t="s">
        <v>1186</v>
      </c>
      <c r="R41" s="52" t="s">
        <v>3570</v>
      </c>
      <c r="S41" s="52" t="s">
        <v>789</v>
      </c>
      <c r="T41" s="52" t="s">
        <v>3741</v>
      </c>
      <c r="U41" s="52" t="s">
        <v>3743</v>
      </c>
      <c r="V41" s="52" t="s">
        <v>3744</v>
      </c>
      <c r="W41" s="52">
        <v>72206799987</v>
      </c>
      <c r="X41" s="52" t="s">
        <v>73</v>
      </c>
      <c r="Y41" s="52" t="s">
        <v>3745</v>
      </c>
      <c r="Z41" s="52" t="s">
        <v>3696</v>
      </c>
      <c r="AA41" s="52" t="s">
        <v>3710</v>
      </c>
      <c r="AB41" s="52"/>
      <c r="AC41" s="52" t="s">
        <v>3720</v>
      </c>
      <c r="AD41" s="52" t="s">
        <v>3715</v>
      </c>
      <c r="AE41" s="52"/>
      <c r="AF41" s="52" t="s">
        <v>3737</v>
      </c>
      <c r="AG41" s="52" t="s">
        <v>3704</v>
      </c>
      <c r="AH41" s="52"/>
      <c r="AI41" s="53">
        <v>46157.511805555558</v>
      </c>
      <c r="AJ41" s="53">
        <v>46157.574999999997</v>
      </c>
      <c r="AK41" s="53">
        <v>46157.511805555558</v>
      </c>
      <c r="AL41" s="55">
        <v>7.2916666666666671E-2</v>
      </c>
      <c r="AM41" s="52"/>
      <c r="AN41" s="55">
        <v>6.3194444444444442E-2</v>
      </c>
      <c r="AO41" s="52"/>
      <c r="AP41" s="55">
        <v>7.2916666666666671E-2</v>
      </c>
      <c r="AQ41" s="52"/>
      <c r="AR41" s="52"/>
      <c r="AS41" s="52" t="s">
        <v>3696</v>
      </c>
      <c r="AT41" s="52"/>
      <c r="AU41" s="52"/>
      <c r="AV41" s="52"/>
      <c r="AW41" s="52" t="s">
        <v>750</v>
      </c>
    </row>
    <row r="42" spans="1:49">
      <c r="A42" s="52">
        <v>6011002</v>
      </c>
      <c r="B42" s="52" t="s">
        <v>3716</v>
      </c>
      <c r="C42" s="52" t="s">
        <v>3692</v>
      </c>
      <c r="D42" s="53">
        <v>46157.75</v>
      </c>
      <c r="E42" s="53">
        <v>46156.68472222222</v>
      </c>
      <c r="F42" s="53">
        <v>46158.370138888888</v>
      </c>
      <c r="G42" s="53">
        <v>46161.958333333336</v>
      </c>
      <c r="H42" s="52"/>
      <c r="I42" s="52" t="s">
        <v>3693</v>
      </c>
      <c r="J42" s="52" t="s">
        <v>3694</v>
      </c>
      <c r="K42" s="53">
        <v>46159.021527777775</v>
      </c>
      <c r="L42" s="52"/>
      <c r="M42" s="55">
        <v>0.42986111111111114</v>
      </c>
      <c r="N42" s="54">
        <v>3.0722222222222224</v>
      </c>
      <c r="O42" s="52"/>
      <c r="P42" s="52"/>
      <c r="Q42" s="52"/>
      <c r="R42" s="52"/>
      <c r="S42" s="52"/>
      <c r="T42" s="52" t="s">
        <v>3741</v>
      </c>
      <c r="U42" s="52" t="s">
        <v>3746</v>
      </c>
      <c r="V42" s="52"/>
      <c r="W42" s="52"/>
      <c r="X42" s="52"/>
      <c r="Y42" s="52"/>
      <c r="Z42" s="52" t="s">
        <v>3696</v>
      </c>
      <c r="AA42" s="52" t="s">
        <v>171</v>
      </c>
      <c r="AB42" s="52" t="s">
        <v>79</v>
      </c>
      <c r="AC42" s="52" t="s">
        <v>3720</v>
      </c>
      <c r="AD42" s="52" t="s">
        <v>3715</v>
      </c>
      <c r="AE42" s="52"/>
      <c r="AF42" s="52" t="s">
        <v>3737</v>
      </c>
      <c r="AG42" s="52" t="s">
        <v>3704</v>
      </c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>
        <v>0</v>
      </c>
      <c r="AT42" s="52"/>
      <c r="AU42" s="52"/>
      <c r="AV42" s="52" t="s">
        <v>750</v>
      </c>
      <c r="AW42" s="52"/>
    </row>
    <row r="43" spans="1:49">
      <c r="A43" s="52">
        <v>6011002</v>
      </c>
      <c r="B43" s="52" t="s">
        <v>3716</v>
      </c>
      <c r="C43" s="52" t="s">
        <v>3698</v>
      </c>
      <c r="D43" s="53">
        <v>46157.75</v>
      </c>
      <c r="E43" s="53">
        <v>46156.68472222222</v>
      </c>
      <c r="F43" s="53">
        <v>46158.395138888889</v>
      </c>
      <c r="G43" s="53">
        <v>46161.958333333336</v>
      </c>
      <c r="H43" s="52"/>
      <c r="I43" s="52"/>
      <c r="J43" s="52" t="s">
        <v>3694</v>
      </c>
      <c r="K43" s="53">
        <v>46159.021527777775</v>
      </c>
      <c r="L43" s="52"/>
      <c r="M43" s="54">
        <v>3.5631944444444446</v>
      </c>
      <c r="N43" s="55">
        <v>6.1111111111111109E-2</v>
      </c>
      <c r="O43" s="52" t="s">
        <v>745</v>
      </c>
      <c r="P43" s="52" t="s">
        <v>171</v>
      </c>
      <c r="Q43" s="52" t="s">
        <v>744</v>
      </c>
      <c r="R43" s="52" t="s">
        <v>753</v>
      </c>
      <c r="S43" s="52" t="s">
        <v>69</v>
      </c>
      <c r="T43" s="52" t="s">
        <v>3741</v>
      </c>
      <c r="U43" s="52" t="s">
        <v>3746</v>
      </c>
      <c r="V43" s="52" t="s">
        <v>3747</v>
      </c>
      <c r="W43" s="52">
        <v>54174724253</v>
      </c>
      <c r="X43" s="52" t="s">
        <v>73</v>
      </c>
      <c r="Y43" s="52"/>
      <c r="Z43" s="52" t="s">
        <v>3696</v>
      </c>
      <c r="AA43" s="52" t="s">
        <v>3710</v>
      </c>
      <c r="AB43" s="52"/>
      <c r="AC43" s="52" t="s">
        <v>3720</v>
      </c>
      <c r="AD43" s="52" t="s">
        <v>3715</v>
      </c>
      <c r="AE43" s="52" t="s">
        <v>79</v>
      </c>
      <c r="AF43" s="52" t="s">
        <v>3737</v>
      </c>
      <c r="AG43" s="52" t="s">
        <v>3704</v>
      </c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 t="s">
        <v>3696</v>
      </c>
      <c r="AT43" s="52"/>
      <c r="AU43" s="52"/>
      <c r="AV43" s="52"/>
      <c r="AW43" s="52"/>
    </row>
    <row r="44" spans="1:49">
      <c r="A44" s="52">
        <v>6011002</v>
      </c>
      <c r="B44" s="52" t="s">
        <v>3716</v>
      </c>
      <c r="C44" s="52" t="s">
        <v>3698</v>
      </c>
      <c r="D44" s="53">
        <v>46157.75</v>
      </c>
      <c r="E44" s="53">
        <v>46156.68472222222</v>
      </c>
      <c r="F44" s="53">
        <v>46158.395138888889</v>
      </c>
      <c r="G44" s="53">
        <v>46161.958333333336</v>
      </c>
      <c r="H44" s="52"/>
      <c r="I44" s="52"/>
      <c r="J44" s="52" t="s">
        <v>3694</v>
      </c>
      <c r="K44" s="53">
        <v>46159.021527777775</v>
      </c>
      <c r="L44" s="52"/>
      <c r="M44" s="54">
        <v>3.5631944444444446</v>
      </c>
      <c r="N44" s="55">
        <v>6.1111111111111109E-2</v>
      </c>
      <c r="O44" s="52" t="s">
        <v>745</v>
      </c>
      <c r="P44" s="52" t="s">
        <v>171</v>
      </c>
      <c r="Q44" s="52" t="s">
        <v>744</v>
      </c>
      <c r="R44" s="52" t="s">
        <v>753</v>
      </c>
      <c r="S44" s="52" t="s">
        <v>69</v>
      </c>
      <c r="T44" s="52" t="s">
        <v>3741</v>
      </c>
      <c r="U44" s="52" t="s">
        <v>3746</v>
      </c>
      <c r="V44" s="52" t="s">
        <v>3747</v>
      </c>
      <c r="W44" s="52">
        <v>54174724253</v>
      </c>
      <c r="X44" s="52" t="s">
        <v>73</v>
      </c>
      <c r="Y44" s="52"/>
      <c r="Z44" s="52" t="s">
        <v>3696</v>
      </c>
      <c r="AA44" s="52" t="s">
        <v>3710</v>
      </c>
      <c r="AB44" s="52"/>
      <c r="AC44" s="52" t="s">
        <v>3720</v>
      </c>
      <c r="AD44" s="52" t="s">
        <v>3715</v>
      </c>
      <c r="AE44" s="52"/>
      <c r="AF44" s="52" t="s">
        <v>3737</v>
      </c>
      <c r="AG44" s="52" t="s">
        <v>3704</v>
      </c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 t="s">
        <v>3696</v>
      </c>
      <c r="AT44" s="52"/>
      <c r="AU44" s="52"/>
      <c r="AV44" s="52"/>
      <c r="AW44" s="52" t="s">
        <v>750</v>
      </c>
    </row>
    <row r="45" spans="1:49">
      <c r="A45" s="52">
        <v>6011009</v>
      </c>
      <c r="B45" s="52" t="s">
        <v>3723</v>
      </c>
      <c r="C45" s="52" t="s">
        <v>3692</v>
      </c>
      <c r="D45" s="53">
        <v>46157.25</v>
      </c>
      <c r="E45" s="53">
        <v>46156.68472222222</v>
      </c>
      <c r="F45" s="53">
        <v>46157.375</v>
      </c>
      <c r="G45" s="53">
        <v>46161.826388888891</v>
      </c>
      <c r="H45" s="53">
        <v>46157.37222222222</v>
      </c>
      <c r="I45" s="52" t="s">
        <v>3693</v>
      </c>
      <c r="J45" s="52" t="s">
        <v>3693</v>
      </c>
      <c r="K45" s="52"/>
      <c r="L45" s="52"/>
      <c r="M45" s="55">
        <v>0.4236111111111111</v>
      </c>
      <c r="N45" s="54">
        <v>3.370138888888889</v>
      </c>
      <c r="O45" s="52"/>
      <c r="P45" s="52"/>
      <c r="Q45" s="52"/>
      <c r="R45" s="52"/>
      <c r="S45" s="52"/>
      <c r="T45" s="52" t="s">
        <v>3748</v>
      </c>
      <c r="U45" s="52" t="s">
        <v>3749</v>
      </c>
      <c r="V45" s="52"/>
      <c r="W45" s="52"/>
      <c r="X45" s="52"/>
      <c r="Y45" s="52"/>
      <c r="Z45" s="52" t="s">
        <v>3696</v>
      </c>
      <c r="AA45" s="52" t="s">
        <v>724</v>
      </c>
      <c r="AB45" s="52" t="s">
        <v>79</v>
      </c>
      <c r="AC45" s="52" t="s">
        <v>3720</v>
      </c>
      <c r="AD45" s="52" t="s">
        <v>3715</v>
      </c>
      <c r="AE45" s="52"/>
      <c r="AF45" s="52" t="s">
        <v>3720</v>
      </c>
      <c r="AG45" s="52" t="s">
        <v>3715</v>
      </c>
      <c r="AH45" s="52"/>
      <c r="AI45" s="52"/>
      <c r="AJ45" s="52"/>
      <c r="AK45" s="52"/>
      <c r="AL45" s="55">
        <v>8.4722222222222227E-2</v>
      </c>
      <c r="AM45" s="52"/>
      <c r="AN45" s="52"/>
      <c r="AO45" s="52"/>
      <c r="AP45" s="52"/>
      <c r="AQ45" s="52"/>
      <c r="AR45" s="52"/>
      <c r="AS45" s="52">
        <v>0</v>
      </c>
      <c r="AT45" s="52"/>
      <c r="AU45" s="52"/>
      <c r="AV45" s="52" t="s">
        <v>412</v>
      </c>
      <c r="AW45" s="52"/>
    </row>
    <row r="46" spans="1:49">
      <c r="A46" s="52">
        <v>6011009</v>
      </c>
      <c r="B46" s="52" t="s">
        <v>3723</v>
      </c>
      <c r="C46" s="52" t="s">
        <v>3698</v>
      </c>
      <c r="D46" s="53">
        <v>46157.25</v>
      </c>
      <c r="E46" s="53">
        <v>46156.68472222222</v>
      </c>
      <c r="F46" s="53">
        <v>46157.395138888889</v>
      </c>
      <c r="G46" s="53">
        <v>46157.863888888889</v>
      </c>
      <c r="H46" s="53">
        <v>46157.595138888886</v>
      </c>
      <c r="I46" s="52"/>
      <c r="J46" s="52" t="s">
        <v>3693</v>
      </c>
      <c r="K46" s="53">
        <v>46157.928472222222</v>
      </c>
      <c r="L46" s="52"/>
      <c r="M46" s="55">
        <v>0.46875</v>
      </c>
      <c r="N46" s="54">
        <v>1.0611111111111111</v>
      </c>
      <c r="O46" s="52" t="s">
        <v>3548</v>
      </c>
      <c r="P46" s="52" t="s">
        <v>724</v>
      </c>
      <c r="Q46" s="52" t="s">
        <v>3257</v>
      </c>
      <c r="R46" s="52" t="s">
        <v>3553</v>
      </c>
      <c r="S46" s="52" t="s">
        <v>789</v>
      </c>
      <c r="T46" s="52" t="s">
        <v>3748</v>
      </c>
      <c r="U46" s="52" t="s">
        <v>3749</v>
      </c>
      <c r="V46" s="52" t="s">
        <v>3750</v>
      </c>
      <c r="W46" s="52">
        <v>93406576915</v>
      </c>
      <c r="X46" s="52" t="s">
        <v>73</v>
      </c>
      <c r="Y46" s="52"/>
      <c r="Z46" s="52" t="s">
        <v>3696</v>
      </c>
      <c r="AA46" s="52" t="s">
        <v>3710</v>
      </c>
      <c r="AB46" s="52"/>
      <c r="AC46" s="52" t="s">
        <v>3720</v>
      </c>
      <c r="AD46" s="52" t="s">
        <v>3715</v>
      </c>
      <c r="AE46" s="52" t="s">
        <v>79</v>
      </c>
      <c r="AF46" s="52" t="s">
        <v>3751</v>
      </c>
      <c r="AG46" s="52" t="s">
        <v>3704</v>
      </c>
      <c r="AH46" s="52"/>
      <c r="AI46" s="53">
        <v>46157.37222222222</v>
      </c>
      <c r="AJ46" s="53">
        <v>46157.456944444442</v>
      </c>
      <c r="AK46" s="53">
        <v>46157.37222222222</v>
      </c>
      <c r="AL46" s="55">
        <v>0.12013888888888889</v>
      </c>
      <c r="AM46" s="52"/>
      <c r="AN46" s="55">
        <v>8.4722222222222227E-2</v>
      </c>
      <c r="AO46" s="52"/>
      <c r="AP46" s="55">
        <v>0.12013888888888889</v>
      </c>
      <c r="AQ46" s="52"/>
      <c r="AR46" s="52"/>
      <c r="AS46" s="52" t="s">
        <v>3696</v>
      </c>
      <c r="AT46" s="52"/>
      <c r="AU46" s="52"/>
      <c r="AV46" s="52"/>
      <c r="AW46" s="52"/>
    </row>
    <row r="47" spans="1:49">
      <c r="A47" s="52">
        <v>6011009</v>
      </c>
      <c r="B47" s="52" t="s">
        <v>3723</v>
      </c>
      <c r="C47" s="52" t="s">
        <v>3698</v>
      </c>
      <c r="D47" s="53">
        <v>46157.25</v>
      </c>
      <c r="E47" s="53">
        <v>46156.68472222222</v>
      </c>
      <c r="F47" s="53">
        <v>46157.395138888889</v>
      </c>
      <c r="G47" s="53">
        <v>46157.863888888889</v>
      </c>
      <c r="H47" s="53">
        <v>46157.595138888886</v>
      </c>
      <c r="I47" s="52"/>
      <c r="J47" s="52" t="s">
        <v>3693</v>
      </c>
      <c r="K47" s="53">
        <v>46157.928472222222</v>
      </c>
      <c r="L47" s="52"/>
      <c r="M47" s="55">
        <v>0.46875</v>
      </c>
      <c r="N47" s="54">
        <v>1.0611111111111111</v>
      </c>
      <c r="O47" s="52" t="s">
        <v>3548</v>
      </c>
      <c r="P47" s="52" t="s">
        <v>724</v>
      </c>
      <c r="Q47" s="52" t="s">
        <v>3257</v>
      </c>
      <c r="R47" s="52" t="s">
        <v>3553</v>
      </c>
      <c r="S47" s="52" t="s">
        <v>789</v>
      </c>
      <c r="T47" s="52" t="s">
        <v>3748</v>
      </c>
      <c r="U47" s="52" t="s">
        <v>3749</v>
      </c>
      <c r="V47" s="52" t="s">
        <v>3750</v>
      </c>
      <c r="W47" s="52">
        <v>93406576915</v>
      </c>
      <c r="X47" s="52" t="s">
        <v>73</v>
      </c>
      <c r="Y47" s="52"/>
      <c r="Z47" s="52" t="s">
        <v>3696</v>
      </c>
      <c r="AA47" s="52" t="s">
        <v>3710</v>
      </c>
      <c r="AB47" s="52"/>
      <c r="AC47" s="52" t="s">
        <v>3720</v>
      </c>
      <c r="AD47" s="52" t="s">
        <v>3715</v>
      </c>
      <c r="AE47" s="52"/>
      <c r="AF47" s="52" t="s">
        <v>3751</v>
      </c>
      <c r="AG47" s="52" t="s">
        <v>3704</v>
      </c>
      <c r="AH47" s="52"/>
      <c r="AI47" s="53">
        <v>46157.37222222222</v>
      </c>
      <c r="AJ47" s="53">
        <v>46157.456944444442</v>
      </c>
      <c r="AK47" s="53">
        <v>46157.37222222222</v>
      </c>
      <c r="AL47" s="55">
        <v>0.12013888888888889</v>
      </c>
      <c r="AM47" s="52"/>
      <c r="AN47" s="55">
        <v>8.4722222222222227E-2</v>
      </c>
      <c r="AO47" s="52"/>
      <c r="AP47" s="55">
        <v>0.12013888888888889</v>
      </c>
      <c r="AQ47" s="52"/>
      <c r="AR47" s="52"/>
      <c r="AS47" s="52" t="s">
        <v>3696</v>
      </c>
      <c r="AT47" s="52"/>
      <c r="AU47" s="52"/>
      <c r="AV47" s="52"/>
      <c r="AW47" s="52" t="s">
        <v>412</v>
      </c>
    </row>
    <row r="48" spans="1:49">
      <c r="A48" s="52">
        <v>6011010</v>
      </c>
      <c r="B48" s="52" t="s">
        <v>3716</v>
      </c>
      <c r="C48" s="52" t="s">
        <v>3692</v>
      </c>
      <c r="D48" s="53">
        <v>46157.458333333336</v>
      </c>
      <c r="E48" s="53">
        <v>46156.68472222222</v>
      </c>
      <c r="F48" s="53">
        <v>46156.824999999997</v>
      </c>
      <c r="G48" s="53">
        <v>46161.25</v>
      </c>
      <c r="H48" s="52"/>
      <c r="I48" s="52" t="s">
        <v>3693</v>
      </c>
      <c r="J48" s="52" t="s">
        <v>3693</v>
      </c>
      <c r="K48" s="53">
        <v>46157.863194444442</v>
      </c>
      <c r="L48" s="52"/>
      <c r="M48" s="55">
        <v>0.4236111111111111</v>
      </c>
      <c r="N48" s="54">
        <v>2.370138888888889</v>
      </c>
      <c r="O48" s="52"/>
      <c r="P48" s="52"/>
      <c r="Q48" s="52"/>
      <c r="R48" s="52"/>
      <c r="S48" s="52"/>
      <c r="T48" s="52" t="s">
        <v>3752</v>
      </c>
      <c r="U48" s="52" t="s">
        <v>3753</v>
      </c>
      <c r="V48" s="52"/>
      <c r="W48" s="52"/>
      <c r="X48" s="52"/>
      <c r="Y48" s="52"/>
      <c r="Z48" s="52" t="s">
        <v>3696</v>
      </c>
      <c r="AA48" s="52" t="s">
        <v>408</v>
      </c>
      <c r="AB48" s="52" t="s">
        <v>79</v>
      </c>
      <c r="AC48" s="52" t="s">
        <v>3720</v>
      </c>
      <c r="AD48" s="52" t="s">
        <v>3715</v>
      </c>
      <c r="AE48" s="52"/>
      <c r="AF48" s="52" t="s">
        <v>3751</v>
      </c>
      <c r="AG48" s="52" t="s">
        <v>3704</v>
      </c>
      <c r="AH48" s="52"/>
      <c r="AI48" s="52"/>
      <c r="AJ48" s="52"/>
      <c r="AK48" s="52"/>
      <c r="AL48" s="55">
        <v>0.49861111111111112</v>
      </c>
      <c r="AM48" s="52"/>
      <c r="AN48" s="52"/>
      <c r="AO48" s="52"/>
      <c r="AP48" s="52"/>
      <c r="AQ48" s="52"/>
      <c r="AR48" s="52"/>
      <c r="AS48" s="52">
        <v>0</v>
      </c>
      <c r="AT48" s="52"/>
      <c r="AU48" s="52"/>
      <c r="AV48" s="52" t="s">
        <v>412</v>
      </c>
      <c r="AW48" s="52"/>
    </row>
    <row r="49" spans="1:49">
      <c r="A49" s="52">
        <v>6011010</v>
      </c>
      <c r="B49" s="52" t="s">
        <v>3716</v>
      </c>
      <c r="C49" s="52" t="s">
        <v>3698</v>
      </c>
      <c r="D49" s="53">
        <v>46157.458333333336</v>
      </c>
      <c r="E49" s="53">
        <v>46156.68472222222</v>
      </c>
      <c r="F49" s="53">
        <v>46156.895138888889</v>
      </c>
      <c r="G49" s="53">
        <v>46161.25</v>
      </c>
      <c r="H49" s="52"/>
      <c r="I49" s="52"/>
      <c r="J49" s="52" t="s">
        <v>3693</v>
      </c>
      <c r="K49" s="53">
        <v>46157.863194444442</v>
      </c>
      <c r="L49" s="52"/>
      <c r="M49" s="54">
        <v>4.3548611111111111</v>
      </c>
      <c r="N49" s="54">
        <v>1.5611111111111111</v>
      </c>
      <c r="O49" s="52" t="s">
        <v>3754</v>
      </c>
      <c r="P49" s="52" t="s">
        <v>408</v>
      </c>
      <c r="Q49" s="52" t="s">
        <v>3755</v>
      </c>
      <c r="R49" s="52" t="s">
        <v>416</v>
      </c>
      <c r="S49" s="52" t="s">
        <v>3756</v>
      </c>
      <c r="T49" s="52" t="s">
        <v>3752</v>
      </c>
      <c r="U49" s="52" t="s">
        <v>3753</v>
      </c>
      <c r="V49" s="52" t="s">
        <v>417</v>
      </c>
      <c r="W49" s="52">
        <v>4072578290</v>
      </c>
      <c r="X49" s="52" t="s">
        <v>73</v>
      </c>
      <c r="Y49" s="52">
        <v>2</v>
      </c>
      <c r="Z49" s="52" t="s">
        <v>3696</v>
      </c>
      <c r="AA49" s="52" t="s">
        <v>3710</v>
      </c>
      <c r="AB49" s="52"/>
      <c r="AC49" s="52" t="s">
        <v>3720</v>
      </c>
      <c r="AD49" s="52" t="s">
        <v>3715</v>
      </c>
      <c r="AE49" s="52" t="s">
        <v>79</v>
      </c>
      <c r="AF49" s="52" t="s">
        <v>3751</v>
      </c>
      <c r="AG49" s="52" t="s">
        <v>3704</v>
      </c>
      <c r="AH49" s="52"/>
      <c r="AI49" s="53">
        <v>46156.92083333333</v>
      </c>
      <c r="AJ49" s="53">
        <v>46157.419444444444</v>
      </c>
      <c r="AK49" s="53">
        <v>46156.92083333333</v>
      </c>
      <c r="AL49" s="55">
        <v>0.54166666666666663</v>
      </c>
      <c r="AM49" s="52"/>
      <c r="AN49" s="55">
        <v>0.49861111111111112</v>
      </c>
      <c r="AO49" s="52"/>
      <c r="AP49" s="55">
        <v>0.54166666666666663</v>
      </c>
      <c r="AQ49" s="52"/>
      <c r="AR49" s="52"/>
      <c r="AS49" s="52" t="s">
        <v>3696</v>
      </c>
      <c r="AT49" s="52"/>
      <c r="AU49" s="52"/>
      <c r="AV49" s="52"/>
      <c r="AW49" s="52"/>
    </row>
    <row r="50" spans="1:49">
      <c r="A50" s="52">
        <v>6011010</v>
      </c>
      <c r="B50" s="52" t="s">
        <v>3716</v>
      </c>
      <c r="C50" s="52" t="s">
        <v>3698</v>
      </c>
      <c r="D50" s="53">
        <v>46157.458333333336</v>
      </c>
      <c r="E50" s="53">
        <v>46156.68472222222</v>
      </c>
      <c r="F50" s="53">
        <v>46156.895138888889</v>
      </c>
      <c r="G50" s="53">
        <v>46161.25</v>
      </c>
      <c r="H50" s="52"/>
      <c r="I50" s="52"/>
      <c r="J50" s="52" t="s">
        <v>3693</v>
      </c>
      <c r="K50" s="53">
        <v>46157.863194444442</v>
      </c>
      <c r="L50" s="52"/>
      <c r="M50" s="54">
        <v>4.3548611111111111</v>
      </c>
      <c r="N50" s="54">
        <v>1.5611111111111111</v>
      </c>
      <c r="O50" s="52" t="s">
        <v>3754</v>
      </c>
      <c r="P50" s="52" t="s">
        <v>408</v>
      </c>
      <c r="Q50" s="52" t="s">
        <v>3755</v>
      </c>
      <c r="R50" s="52" t="s">
        <v>416</v>
      </c>
      <c r="S50" s="52" t="s">
        <v>3756</v>
      </c>
      <c r="T50" s="52" t="s">
        <v>3752</v>
      </c>
      <c r="U50" s="52" t="s">
        <v>3753</v>
      </c>
      <c r="V50" s="52" t="s">
        <v>417</v>
      </c>
      <c r="W50" s="52">
        <v>4072578290</v>
      </c>
      <c r="X50" s="52" t="s">
        <v>73</v>
      </c>
      <c r="Y50" s="52">
        <v>2</v>
      </c>
      <c r="Z50" s="52" t="s">
        <v>3696</v>
      </c>
      <c r="AA50" s="52" t="s">
        <v>3710</v>
      </c>
      <c r="AB50" s="52"/>
      <c r="AC50" s="52" t="s">
        <v>3720</v>
      </c>
      <c r="AD50" s="52" t="s">
        <v>3715</v>
      </c>
      <c r="AE50" s="52"/>
      <c r="AF50" s="52" t="s">
        <v>3751</v>
      </c>
      <c r="AG50" s="52" t="s">
        <v>3704</v>
      </c>
      <c r="AH50" s="52"/>
      <c r="AI50" s="53">
        <v>46156.92083333333</v>
      </c>
      <c r="AJ50" s="53">
        <v>46157.419444444444</v>
      </c>
      <c r="AK50" s="53">
        <v>46156.92083333333</v>
      </c>
      <c r="AL50" s="55">
        <v>0.54166666666666663</v>
      </c>
      <c r="AM50" s="52"/>
      <c r="AN50" s="55">
        <v>0.49861111111111112</v>
      </c>
      <c r="AO50" s="52"/>
      <c r="AP50" s="55">
        <v>0.54166666666666663</v>
      </c>
      <c r="AQ50" s="52"/>
      <c r="AR50" s="52"/>
      <c r="AS50" s="52" t="s">
        <v>3696</v>
      </c>
      <c r="AT50" s="52"/>
      <c r="AU50" s="52"/>
      <c r="AV50" s="52"/>
      <c r="AW50" s="52" t="s">
        <v>412</v>
      </c>
    </row>
    <row r="51" spans="1:49">
      <c r="A51" s="52">
        <v>6011010</v>
      </c>
      <c r="B51" s="52" t="s">
        <v>3716</v>
      </c>
      <c r="C51" s="52" t="s">
        <v>3698</v>
      </c>
      <c r="D51" s="53">
        <v>46157.458333333336</v>
      </c>
      <c r="E51" s="53">
        <v>46156.68472222222</v>
      </c>
      <c r="F51" s="53">
        <v>46157.678472222222</v>
      </c>
      <c r="G51" s="53">
        <v>46161.25</v>
      </c>
      <c r="H51" s="52"/>
      <c r="I51" s="52"/>
      <c r="J51" s="52" t="s">
        <v>3693</v>
      </c>
      <c r="K51" s="53">
        <v>46157.863194444442</v>
      </c>
      <c r="L51" s="52"/>
      <c r="M51" s="54">
        <v>3.5715277777777779</v>
      </c>
      <c r="N51" s="55">
        <v>0.77777777777777779</v>
      </c>
      <c r="O51" s="52" t="s">
        <v>407</v>
      </c>
      <c r="P51" s="52" t="s">
        <v>408</v>
      </c>
      <c r="Q51" s="52" t="s">
        <v>406</v>
      </c>
      <c r="R51" s="52" t="s">
        <v>416</v>
      </c>
      <c r="S51" s="52" t="s">
        <v>69</v>
      </c>
      <c r="T51" s="52" t="s">
        <v>3752</v>
      </c>
      <c r="U51" s="52" t="s">
        <v>3695</v>
      </c>
      <c r="V51" s="52" t="s">
        <v>417</v>
      </c>
      <c r="W51" s="52">
        <v>4072578290</v>
      </c>
      <c r="X51" s="52" t="s">
        <v>73</v>
      </c>
      <c r="Y51" s="52"/>
      <c r="Z51" s="52" t="s">
        <v>3696</v>
      </c>
      <c r="AA51" s="52" t="s">
        <v>3710</v>
      </c>
      <c r="AB51" s="52"/>
      <c r="AC51" s="52" t="s">
        <v>3720</v>
      </c>
      <c r="AD51" s="52" t="s">
        <v>3715</v>
      </c>
      <c r="AE51" s="52" t="s">
        <v>79</v>
      </c>
      <c r="AF51" s="52" t="s">
        <v>3751</v>
      </c>
      <c r="AG51" s="52" t="s">
        <v>3704</v>
      </c>
      <c r="AH51" s="52"/>
      <c r="AI51" s="53">
        <v>46156.92083333333</v>
      </c>
      <c r="AJ51" s="53">
        <v>46157.419444444444</v>
      </c>
      <c r="AK51" s="53">
        <v>46156.92083333333</v>
      </c>
      <c r="AL51" s="52"/>
      <c r="AM51" s="52"/>
      <c r="AN51" s="55">
        <v>0.49861111111111112</v>
      </c>
      <c r="AO51" s="52"/>
      <c r="AP51" s="52"/>
      <c r="AQ51" s="52"/>
      <c r="AR51" s="52"/>
      <c r="AS51" s="52" t="s">
        <v>3696</v>
      </c>
      <c r="AT51" s="52"/>
      <c r="AU51" s="52"/>
      <c r="AV51" s="52"/>
      <c r="AW51" s="52"/>
    </row>
    <row r="52" spans="1:49">
      <c r="A52" s="52">
        <v>6011010</v>
      </c>
      <c r="B52" s="52" t="s">
        <v>3716</v>
      </c>
      <c r="C52" s="52" t="s">
        <v>3698</v>
      </c>
      <c r="D52" s="53">
        <v>46157.458333333336</v>
      </c>
      <c r="E52" s="53">
        <v>46156.68472222222</v>
      </c>
      <c r="F52" s="53">
        <v>46157.678472222222</v>
      </c>
      <c r="G52" s="53">
        <v>46161.25</v>
      </c>
      <c r="H52" s="52"/>
      <c r="I52" s="52"/>
      <c r="J52" s="52" t="s">
        <v>3693</v>
      </c>
      <c r="K52" s="53">
        <v>46157.863194444442</v>
      </c>
      <c r="L52" s="52"/>
      <c r="M52" s="54">
        <v>3.5715277777777779</v>
      </c>
      <c r="N52" s="55">
        <v>0.77777777777777779</v>
      </c>
      <c r="O52" s="52" t="s">
        <v>407</v>
      </c>
      <c r="P52" s="52" t="s">
        <v>408</v>
      </c>
      <c r="Q52" s="52" t="s">
        <v>406</v>
      </c>
      <c r="R52" s="52" t="s">
        <v>416</v>
      </c>
      <c r="S52" s="52" t="s">
        <v>69</v>
      </c>
      <c r="T52" s="52" t="s">
        <v>3752</v>
      </c>
      <c r="U52" s="52" t="s">
        <v>3695</v>
      </c>
      <c r="V52" s="52" t="s">
        <v>417</v>
      </c>
      <c r="W52" s="52">
        <v>4072578290</v>
      </c>
      <c r="X52" s="52" t="s">
        <v>73</v>
      </c>
      <c r="Y52" s="52"/>
      <c r="Z52" s="52" t="s">
        <v>3696</v>
      </c>
      <c r="AA52" s="52" t="s">
        <v>3710</v>
      </c>
      <c r="AB52" s="52"/>
      <c r="AC52" s="52" t="s">
        <v>3720</v>
      </c>
      <c r="AD52" s="52" t="s">
        <v>3715</v>
      </c>
      <c r="AE52" s="52"/>
      <c r="AF52" s="52" t="s">
        <v>3751</v>
      </c>
      <c r="AG52" s="52" t="s">
        <v>3704</v>
      </c>
      <c r="AH52" s="52"/>
      <c r="AI52" s="53">
        <v>46156.92083333333</v>
      </c>
      <c r="AJ52" s="53">
        <v>46157.419444444444</v>
      </c>
      <c r="AK52" s="53">
        <v>46156.92083333333</v>
      </c>
      <c r="AL52" s="52"/>
      <c r="AM52" s="52"/>
      <c r="AN52" s="55">
        <v>0.49861111111111112</v>
      </c>
      <c r="AO52" s="52"/>
      <c r="AP52" s="52"/>
      <c r="AQ52" s="52"/>
      <c r="AR52" s="52"/>
      <c r="AS52" s="52" t="s">
        <v>3696</v>
      </c>
      <c r="AT52" s="52"/>
      <c r="AU52" s="52"/>
      <c r="AV52" s="52"/>
      <c r="AW52" s="52" t="s">
        <v>412</v>
      </c>
    </row>
    <row r="53" spans="1:49">
      <c r="A53" s="52">
        <v>6011289</v>
      </c>
      <c r="B53" s="52" t="s">
        <v>3723</v>
      </c>
      <c r="C53" s="52" t="s">
        <v>3692</v>
      </c>
      <c r="D53" s="53">
        <v>46154.458333333336</v>
      </c>
      <c r="E53" s="53">
        <v>46153.586805555555</v>
      </c>
      <c r="F53" s="53">
        <v>46154.535416666666</v>
      </c>
      <c r="G53" s="53">
        <v>46155.25</v>
      </c>
      <c r="H53" s="53">
        <v>46154.9</v>
      </c>
      <c r="I53" s="52" t="s">
        <v>3693</v>
      </c>
      <c r="J53" s="52" t="s">
        <v>3693</v>
      </c>
      <c r="K53" s="53">
        <v>46154.9</v>
      </c>
      <c r="L53" s="52" t="s">
        <v>3735</v>
      </c>
      <c r="M53" s="55">
        <v>0.14583333333333334</v>
      </c>
      <c r="N53" s="54">
        <v>3.3520833333333333</v>
      </c>
      <c r="O53" s="52"/>
      <c r="P53" s="52"/>
      <c r="Q53" s="52"/>
      <c r="R53" s="52"/>
      <c r="S53" s="52"/>
      <c r="T53" s="52" t="s">
        <v>3695</v>
      </c>
      <c r="U53" s="52" t="s">
        <v>3757</v>
      </c>
      <c r="V53" s="52"/>
      <c r="W53" s="52"/>
      <c r="X53" s="52"/>
      <c r="Y53" s="52"/>
      <c r="Z53" s="52" t="s">
        <v>3696</v>
      </c>
      <c r="AA53" s="52" t="s">
        <v>440</v>
      </c>
      <c r="AB53" s="52" t="s">
        <v>79</v>
      </c>
      <c r="AC53" s="52" t="s">
        <v>3720</v>
      </c>
      <c r="AD53" s="52" t="s">
        <v>3715</v>
      </c>
      <c r="AE53" s="52"/>
      <c r="AF53" s="52" t="s">
        <v>3714</v>
      </c>
      <c r="AG53" s="52" t="s">
        <v>3715</v>
      </c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>
        <v>0</v>
      </c>
      <c r="AT53" s="52"/>
      <c r="AU53" s="52"/>
      <c r="AV53" s="52" t="s">
        <v>984</v>
      </c>
      <c r="AW53" s="52"/>
    </row>
    <row r="54" spans="1:49">
      <c r="A54" s="52">
        <v>6011289</v>
      </c>
      <c r="B54" s="52" t="s">
        <v>3723</v>
      </c>
      <c r="C54" s="52" t="s">
        <v>3698</v>
      </c>
      <c r="D54" s="53">
        <v>46154.458333333336</v>
      </c>
      <c r="E54" s="53">
        <v>46153.586805555555</v>
      </c>
      <c r="F54" s="53">
        <v>46154.73541666667</v>
      </c>
      <c r="G54" s="53">
        <v>46155.25</v>
      </c>
      <c r="H54" s="53">
        <v>46155.859027777777</v>
      </c>
      <c r="I54" s="52"/>
      <c r="J54" s="52" t="s">
        <v>3693</v>
      </c>
      <c r="K54" s="53">
        <v>46154.9</v>
      </c>
      <c r="L54" s="52"/>
      <c r="M54" s="55">
        <v>0.51458333333333328</v>
      </c>
      <c r="N54" s="54">
        <v>3.7208333333333332</v>
      </c>
      <c r="O54" s="52" t="s">
        <v>3020</v>
      </c>
      <c r="P54" s="52" t="s">
        <v>440</v>
      </c>
      <c r="Q54" s="52" t="s">
        <v>1574</v>
      </c>
      <c r="R54" s="52" t="s">
        <v>1580</v>
      </c>
      <c r="S54" s="52" t="s">
        <v>789</v>
      </c>
      <c r="T54" s="52" t="s">
        <v>3695</v>
      </c>
      <c r="U54" s="52" t="s">
        <v>3757</v>
      </c>
      <c r="V54" s="52" t="s">
        <v>1581</v>
      </c>
      <c r="W54" s="52">
        <v>4028355907</v>
      </c>
      <c r="X54" s="52" t="s">
        <v>73</v>
      </c>
      <c r="Y54" s="52"/>
      <c r="Z54" s="52" t="s">
        <v>3696</v>
      </c>
      <c r="AA54" s="52" t="s">
        <v>3710</v>
      </c>
      <c r="AB54" s="52"/>
      <c r="AC54" s="52" t="s">
        <v>3720</v>
      </c>
      <c r="AD54" s="52" t="s">
        <v>3715</v>
      </c>
      <c r="AE54" s="52" t="s">
        <v>79</v>
      </c>
      <c r="AF54" s="52" t="s">
        <v>3714</v>
      </c>
      <c r="AG54" s="52" t="s">
        <v>3715</v>
      </c>
      <c r="AH54" s="52"/>
      <c r="AI54" s="52"/>
      <c r="AJ54" s="52"/>
      <c r="AK54" s="52"/>
      <c r="AL54" s="55">
        <v>0.95833333333333337</v>
      </c>
      <c r="AM54" s="52"/>
      <c r="AN54" s="52"/>
      <c r="AO54" s="55">
        <v>0.95833333333333337</v>
      </c>
      <c r="AP54" s="55">
        <v>0.95833333333333337</v>
      </c>
      <c r="AQ54" s="52"/>
      <c r="AR54" s="52"/>
      <c r="AS54" s="52" t="s">
        <v>3696</v>
      </c>
      <c r="AT54" s="52"/>
      <c r="AU54" s="52"/>
      <c r="AV54" s="52"/>
      <c r="AW54" s="52"/>
    </row>
    <row r="55" spans="1:49">
      <c r="A55" s="52">
        <v>6011289</v>
      </c>
      <c r="B55" s="52" t="s">
        <v>3723</v>
      </c>
      <c r="C55" s="52" t="s">
        <v>3698</v>
      </c>
      <c r="D55" s="53">
        <v>46154.458333333336</v>
      </c>
      <c r="E55" s="53">
        <v>46153.586805555555</v>
      </c>
      <c r="F55" s="53">
        <v>46154.73541666667</v>
      </c>
      <c r="G55" s="53">
        <v>46155.25</v>
      </c>
      <c r="H55" s="53">
        <v>46155.859027777777</v>
      </c>
      <c r="I55" s="52"/>
      <c r="J55" s="52" t="s">
        <v>3693</v>
      </c>
      <c r="K55" s="53">
        <v>46154.9</v>
      </c>
      <c r="L55" s="52"/>
      <c r="M55" s="55">
        <v>0.51458333333333328</v>
      </c>
      <c r="N55" s="54">
        <v>3.7208333333333332</v>
      </c>
      <c r="O55" s="52" t="s">
        <v>3020</v>
      </c>
      <c r="P55" s="52" t="s">
        <v>440</v>
      </c>
      <c r="Q55" s="52" t="s">
        <v>1574</v>
      </c>
      <c r="R55" s="52" t="s">
        <v>1580</v>
      </c>
      <c r="S55" s="52" t="s">
        <v>789</v>
      </c>
      <c r="T55" s="52" t="s">
        <v>3695</v>
      </c>
      <c r="U55" s="52" t="s">
        <v>3757</v>
      </c>
      <c r="V55" s="52" t="s">
        <v>1581</v>
      </c>
      <c r="W55" s="52">
        <v>4028355907</v>
      </c>
      <c r="X55" s="52" t="s">
        <v>73</v>
      </c>
      <c r="Y55" s="52"/>
      <c r="Z55" s="52" t="s">
        <v>3696</v>
      </c>
      <c r="AA55" s="52" t="s">
        <v>3710</v>
      </c>
      <c r="AB55" s="52"/>
      <c r="AC55" s="52" t="s">
        <v>3720</v>
      </c>
      <c r="AD55" s="52" t="s">
        <v>3715</v>
      </c>
      <c r="AE55" s="52"/>
      <c r="AF55" s="52" t="s">
        <v>3714</v>
      </c>
      <c r="AG55" s="52" t="s">
        <v>3715</v>
      </c>
      <c r="AH55" s="52"/>
      <c r="AI55" s="52"/>
      <c r="AJ55" s="52"/>
      <c r="AK55" s="52"/>
      <c r="AL55" s="55">
        <v>0.95833333333333337</v>
      </c>
      <c r="AM55" s="52"/>
      <c r="AN55" s="52"/>
      <c r="AO55" s="55">
        <v>0.95833333333333337</v>
      </c>
      <c r="AP55" s="55">
        <v>0.95833333333333337</v>
      </c>
      <c r="AQ55" s="52"/>
      <c r="AR55" s="52"/>
      <c r="AS55" s="52" t="s">
        <v>3696</v>
      </c>
      <c r="AT55" s="52"/>
      <c r="AU55" s="52"/>
      <c r="AV55" s="52"/>
      <c r="AW55" s="52" t="s">
        <v>984</v>
      </c>
    </row>
    <row r="56" spans="1:49">
      <c r="A56" s="52">
        <v>6011290</v>
      </c>
      <c r="B56" s="52" t="s">
        <v>3691</v>
      </c>
      <c r="C56" s="52" t="s">
        <v>3692</v>
      </c>
      <c r="D56" s="53">
        <v>46154.583333333336</v>
      </c>
      <c r="E56" s="53">
        <v>46153.586805555555</v>
      </c>
      <c r="F56" s="52"/>
      <c r="G56" s="52"/>
      <c r="H56" s="52"/>
      <c r="I56" s="52" t="s">
        <v>3693</v>
      </c>
      <c r="J56" s="52" t="s">
        <v>3694</v>
      </c>
      <c r="K56" s="52"/>
      <c r="L56" s="52"/>
      <c r="M56" s="54">
        <v>13.145833333333334</v>
      </c>
      <c r="N56" s="54">
        <v>3.3520833333333333</v>
      </c>
      <c r="O56" s="52"/>
      <c r="P56" s="52"/>
      <c r="Q56" s="52"/>
      <c r="R56" s="52"/>
      <c r="S56" s="52"/>
      <c r="T56" s="52" t="s">
        <v>3695</v>
      </c>
      <c r="U56" s="52" t="s">
        <v>3695</v>
      </c>
      <c r="V56" s="52"/>
      <c r="W56" s="52"/>
      <c r="X56" s="52"/>
      <c r="Y56" s="52"/>
      <c r="Z56" s="52" t="s">
        <v>3696</v>
      </c>
      <c r="AA56" s="52" t="s">
        <v>282</v>
      </c>
      <c r="AB56" s="52" t="s">
        <v>79</v>
      </c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>
        <v>0</v>
      </c>
      <c r="AT56" s="52"/>
      <c r="AU56" s="52"/>
      <c r="AV56" s="52" t="s">
        <v>984</v>
      </c>
      <c r="AW56" s="52"/>
    </row>
    <row r="57" spans="1:49">
      <c r="A57" s="52">
        <v>6011290</v>
      </c>
      <c r="B57" s="52" t="s">
        <v>3691</v>
      </c>
      <c r="C57" s="52" t="s">
        <v>3698</v>
      </c>
      <c r="D57" s="53">
        <v>46154.583333333336</v>
      </c>
      <c r="E57" s="53">
        <v>46153.586805555555</v>
      </c>
      <c r="F57" s="52"/>
      <c r="G57" s="52"/>
      <c r="H57" s="52"/>
      <c r="I57" s="52"/>
      <c r="J57" s="52" t="s">
        <v>3694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 t="s">
        <v>3696</v>
      </c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>
        <v>0</v>
      </c>
      <c r="AT57" s="52"/>
      <c r="AU57" s="52"/>
      <c r="AV57" s="52"/>
      <c r="AW57" s="52"/>
    </row>
    <row r="58" spans="1:49">
      <c r="A58" s="52">
        <v>6011291</v>
      </c>
      <c r="B58" s="52" t="s">
        <v>3723</v>
      </c>
      <c r="C58" s="52" t="s">
        <v>3692</v>
      </c>
      <c r="D58" s="53">
        <v>46154.791666666664</v>
      </c>
      <c r="E58" s="53">
        <v>46153.586805555555</v>
      </c>
      <c r="F58" s="53">
        <v>46154.786805555559</v>
      </c>
      <c r="G58" s="53">
        <v>46157.25</v>
      </c>
      <c r="H58" s="53">
        <v>46155.220833333333</v>
      </c>
      <c r="I58" s="52" t="s">
        <v>3693</v>
      </c>
      <c r="J58" s="52" t="s">
        <v>3693</v>
      </c>
      <c r="K58" s="53">
        <v>46155.220833333333</v>
      </c>
      <c r="L58" s="52" t="s">
        <v>3735</v>
      </c>
      <c r="M58" s="54">
        <v>2.4583333333333335</v>
      </c>
      <c r="N58" s="54">
        <v>3.6645833333333333</v>
      </c>
      <c r="O58" s="52"/>
      <c r="P58" s="52"/>
      <c r="Q58" s="52"/>
      <c r="R58" s="52"/>
      <c r="S58" s="52"/>
      <c r="T58" s="52" t="s">
        <v>3695</v>
      </c>
      <c r="U58" s="52" t="s">
        <v>3758</v>
      </c>
      <c r="V58" s="52"/>
      <c r="W58" s="52"/>
      <c r="X58" s="52"/>
      <c r="Y58" s="52"/>
      <c r="Z58" s="52" t="s">
        <v>3696</v>
      </c>
      <c r="AA58" s="52" t="s">
        <v>836</v>
      </c>
      <c r="AB58" s="52" t="s">
        <v>79</v>
      </c>
      <c r="AC58" s="52" t="s">
        <v>3720</v>
      </c>
      <c r="AD58" s="52" t="s">
        <v>3715</v>
      </c>
      <c r="AE58" s="52"/>
      <c r="AF58" s="52" t="s">
        <v>3714</v>
      </c>
      <c r="AG58" s="52" t="s">
        <v>3715</v>
      </c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>
        <v>0</v>
      </c>
      <c r="AT58" s="52"/>
      <c r="AU58" s="52"/>
      <c r="AV58" s="52" t="s">
        <v>3107</v>
      </c>
      <c r="AW58" s="52"/>
    </row>
    <row r="59" spans="1:49">
      <c r="A59" s="52">
        <v>6011291</v>
      </c>
      <c r="B59" s="52" t="s">
        <v>3723</v>
      </c>
      <c r="C59" s="52" t="s">
        <v>3698</v>
      </c>
      <c r="D59" s="53">
        <v>46154.791666666664</v>
      </c>
      <c r="E59" s="53">
        <v>46153.586805555555</v>
      </c>
      <c r="F59" s="53">
        <v>46154.808333333334</v>
      </c>
      <c r="G59" s="53">
        <v>46157.25</v>
      </c>
      <c r="H59" s="53">
        <v>46155.853472222225</v>
      </c>
      <c r="I59" s="52"/>
      <c r="J59" s="52" t="s">
        <v>3693</v>
      </c>
      <c r="K59" s="53">
        <v>46155.220833333333</v>
      </c>
      <c r="L59" s="52"/>
      <c r="M59" s="54">
        <v>2.4416666666666669</v>
      </c>
      <c r="N59" s="54">
        <v>3.6479166666666667</v>
      </c>
      <c r="O59" s="52" t="s">
        <v>3104</v>
      </c>
      <c r="P59" s="52" t="s">
        <v>836</v>
      </c>
      <c r="Q59" s="52" t="s">
        <v>3103</v>
      </c>
      <c r="R59" s="52" t="s">
        <v>3108</v>
      </c>
      <c r="S59" s="52" t="s">
        <v>789</v>
      </c>
      <c r="T59" s="52" t="s">
        <v>3695</v>
      </c>
      <c r="U59" s="52" t="s">
        <v>3758</v>
      </c>
      <c r="V59" s="52" t="s">
        <v>3109</v>
      </c>
      <c r="W59" s="52">
        <v>5418571931</v>
      </c>
      <c r="X59" s="52" t="s">
        <v>73</v>
      </c>
      <c r="Y59" s="52"/>
      <c r="Z59" s="52" t="s">
        <v>3696</v>
      </c>
      <c r="AA59" s="52" t="s">
        <v>3710</v>
      </c>
      <c r="AB59" s="52"/>
      <c r="AC59" s="52" t="s">
        <v>3720</v>
      </c>
      <c r="AD59" s="52" t="s">
        <v>3715</v>
      </c>
      <c r="AE59" s="52" t="s">
        <v>79</v>
      </c>
      <c r="AF59" s="52" t="s">
        <v>3714</v>
      </c>
      <c r="AG59" s="52" t="s">
        <v>3715</v>
      </c>
      <c r="AH59" s="52"/>
      <c r="AI59" s="52"/>
      <c r="AJ59" s="52"/>
      <c r="AK59" s="52"/>
      <c r="AL59" s="55">
        <v>0.63194444444444442</v>
      </c>
      <c r="AM59" s="52"/>
      <c r="AN59" s="52"/>
      <c r="AO59" s="55">
        <v>0.63194444444444442</v>
      </c>
      <c r="AP59" s="55">
        <v>0.63194444444444442</v>
      </c>
      <c r="AQ59" s="52"/>
      <c r="AR59" s="52"/>
      <c r="AS59" s="52" t="s">
        <v>3696</v>
      </c>
      <c r="AT59" s="52"/>
      <c r="AU59" s="52"/>
      <c r="AV59" s="52"/>
      <c r="AW59" s="52"/>
    </row>
    <row r="60" spans="1:49">
      <c r="A60" s="52">
        <v>6011291</v>
      </c>
      <c r="B60" s="52" t="s">
        <v>3723</v>
      </c>
      <c r="C60" s="52" t="s">
        <v>3698</v>
      </c>
      <c r="D60" s="53">
        <v>46154.791666666664</v>
      </c>
      <c r="E60" s="53">
        <v>46153.586805555555</v>
      </c>
      <c r="F60" s="53">
        <v>46154.808333333334</v>
      </c>
      <c r="G60" s="53">
        <v>46157.25</v>
      </c>
      <c r="H60" s="53">
        <v>46155.853472222225</v>
      </c>
      <c r="I60" s="52"/>
      <c r="J60" s="52" t="s">
        <v>3693</v>
      </c>
      <c r="K60" s="53">
        <v>46155.220833333333</v>
      </c>
      <c r="L60" s="52"/>
      <c r="M60" s="54">
        <v>2.4416666666666669</v>
      </c>
      <c r="N60" s="54">
        <v>3.6479166666666667</v>
      </c>
      <c r="O60" s="52" t="s">
        <v>3104</v>
      </c>
      <c r="P60" s="52" t="s">
        <v>836</v>
      </c>
      <c r="Q60" s="52" t="s">
        <v>3103</v>
      </c>
      <c r="R60" s="52" t="s">
        <v>3108</v>
      </c>
      <c r="S60" s="52" t="s">
        <v>789</v>
      </c>
      <c r="T60" s="52" t="s">
        <v>3695</v>
      </c>
      <c r="U60" s="52" t="s">
        <v>3758</v>
      </c>
      <c r="V60" s="52" t="s">
        <v>3109</v>
      </c>
      <c r="W60" s="52">
        <v>5418571931</v>
      </c>
      <c r="X60" s="52" t="s">
        <v>73</v>
      </c>
      <c r="Y60" s="52"/>
      <c r="Z60" s="52" t="s">
        <v>3696</v>
      </c>
      <c r="AA60" s="52" t="s">
        <v>3710</v>
      </c>
      <c r="AB60" s="52"/>
      <c r="AC60" s="52" t="s">
        <v>3720</v>
      </c>
      <c r="AD60" s="52" t="s">
        <v>3715</v>
      </c>
      <c r="AE60" s="52"/>
      <c r="AF60" s="52" t="s">
        <v>3714</v>
      </c>
      <c r="AG60" s="52" t="s">
        <v>3715</v>
      </c>
      <c r="AH60" s="52"/>
      <c r="AI60" s="52"/>
      <c r="AJ60" s="52"/>
      <c r="AK60" s="52"/>
      <c r="AL60" s="55">
        <v>0.63194444444444442</v>
      </c>
      <c r="AM60" s="52"/>
      <c r="AN60" s="52"/>
      <c r="AO60" s="55">
        <v>0.63194444444444442</v>
      </c>
      <c r="AP60" s="55">
        <v>0.63194444444444442</v>
      </c>
      <c r="AQ60" s="52"/>
      <c r="AR60" s="52"/>
      <c r="AS60" s="52" t="s">
        <v>3696</v>
      </c>
      <c r="AT60" s="52"/>
      <c r="AU60" s="52"/>
      <c r="AV60" s="52"/>
      <c r="AW60" s="52" t="s">
        <v>3107</v>
      </c>
    </row>
    <row r="61" spans="1:49">
      <c r="A61" s="52">
        <v>6011294</v>
      </c>
      <c r="B61" s="52" t="s">
        <v>3723</v>
      </c>
      <c r="C61" s="52" t="s">
        <v>3692</v>
      </c>
      <c r="D61" s="53">
        <v>46154.625</v>
      </c>
      <c r="E61" s="53">
        <v>46153.586805555555</v>
      </c>
      <c r="F61" s="53">
        <v>46154.945833333331</v>
      </c>
      <c r="G61" s="53">
        <v>46161.333333333336</v>
      </c>
      <c r="H61" s="52"/>
      <c r="I61" s="52" t="s">
        <v>3693</v>
      </c>
      <c r="J61" s="52" t="s">
        <v>3693</v>
      </c>
      <c r="K61" s="53">
        <v>46157.103472222225</v>
      </c>
      <c r="L61" s="52"/>
      <c r="M61" s="54">
        <v>3.5097222222222224</v>
      </c>
      <c r="N61" s="55">
        <v>0.63263888888888886</v>
      </c>
      <c r="O61" s="52"/>
      <c r="P61" s="52"/>
      <c r="Q61" s="52"/>
      <c r="R61" s="52"/>
      <c r="S61" s="52"/>
      <c r="T61" s="52" t="s">
        <v>3759</v>
      </c>
      <c r="U61" s="52" t="s">
        <v>3760</v>
      </c>
      <c r="V61" s="52"/>
      <c r="W61" s="52"/>
      <c r="X61" s="52"/>
      <c r="Y61" s="52"/>
      <c r="Z61" s="52" t="s">
        <v>3696</v>
      </c>
      <c r="AA61" s="52" t="s">
        <v>836</v>
      </c>
      <c r="AB61" s="52" t="s">
        <v>79</v>
      </c>
      <c r="AC61" s="52" t="s">
        <v>3720</v>
      </c>
      <c r="AD61" s="52" t="s">
        <v>3715</v>
      </c>
      <c r="AE61" s="52"/>
      <c r="AF61" s="52" t="s">
        <v>3761</v>
      </c>
      <c r="AG61" s="52" t="s">
        <v>3762</v>
      </c>
      <c r="AH61" s="52"/>
      <c r="AI61" s="52"/>
      <c r="AJ61" s="52"/>
      <c r="AK61" s="52"/>
      <c r="AL61" s="55">
        <v>1.0416666666666666E-2</v>
      </c>
      <c r="AM61" s="52"/>
      <c r="AN61" s="52"/>
      <c r="AO61" s="52"/>
      <c r="AP61" s="52"/>
      <c r="AQ61" s="52"/>
      <c r="AR61" s="52"/>
      <c r="AS61" s="52">
        <v>0</v>
      </c>
      <c r="AT61" s="52"/>
      <c r="AU61" s="52"/>
      <c r="AV61" s="52" t="s">
        <v>119</v>
      </c>
      <c r="AW61" s="52"/>
    </row>
    <row r="62" spans="1:49">
      <c r="A62" s="52">
        <v>6011294</v>
      </c>
      <c r="B62" s="52" t="s">
        <v>3723</v>
      </c>
      <c r="C62" s="52" t="s">
        <v>3698</v>
      </c>
      <c r="D62" s="53">
        <v>46154.625</v>
      </c>
      <c r="E62" s="53">
        <v>46153.586805555555</v>
      </c>
      <c r="F62" s="53">
        <v>46154.951388888891</v>
      </c>
      <c r="G62" s="53">
        <v>46161.333333333336</v>
      </c>
      <c r="H62" s="53">
        <v>46155.94027777778</v>
      </c>
      <c r="I62" s="52"/>
      <c r="J62" s="52" t="s">
        <v>3693</v>
      </c>
      <c r="K62" s="53">
        <v>46157.103472222225</v>
      </c>
      <c r="L62" s="52"/>
      <c r="M62" s="54">
        <v>6.3819444444444446</v>
      </c>
      <c r="N62" s="54">
        <v>3.504861111111111</v>
      </c>
      <c r="O62" s="52" t="s">
        <v>3151</v>
      </c>
      <c r="P62" s="52" t="s">
        <v>836</v>
      </c>
      <c r="Q62" s="52" t="s">
        <v>2926</v>
      </c>
      <c r="R62" s="52" t="s">
        <v>2933</v>
      </c>
      <c r="S62" s="52" t="s">
        <v>789</v>
      </c>
      <c r="T62" s="52" t="s">
        <v>3759</v>
      </c>
      <c r="U62" s="52" t="s">
        <v>3760</v>
      </c>
      <c r="V62" s="52" t="s">
        <v>2934</v>
      </c>
      <c r="W62" s="52">
        <v>30077436806</v>
      </c>
      <c r="X62" s="52" t="s">
        <v>73</v>
      </c>
      <c r="Y62" s="52"/>
      <c r="Z62" s="52" t="s">
        <v>3696</v>
      </c>
      <c r="AA62" s="52" t="s">
        <v>3710</v>
      </c>
      <c r="AB62" s="52"/>
      <c r="AC62" s="52" t="s">
        <v>3720</v>
      </c>
      <c r="AD62" s="52" t="s">
        <v>3715</v>
      </c>
      <c r="AE62" s="52" t="s">
        <v>79</v>
      </c>
      <c r="AF62" s="52" t="s">
        <v>3761</v>
      </c>
      <c r="AG62" s="52" t="s">
        <v>3762</v>
      </c>
      <c r="AH62" s="52"/>
      <c r="AI62" s="53">
        <v>46154.959722222222</v>
      </c>
      <c r="AJ62" s="53">
        <v>46154.970138888886</v>
      </c>
      <c r="AK62" s="53">
        <v>46154.959722222222</v>
      </c>
      <c r="AL62" s="55">
        <v>0.23055555555555557</v>
      </c>
      <c r="AM62" s="52"/>
      <c r="AN62" s="55">
        <v>1.0416666666666666E-2</v>
      </c>
      <c r="AO62" s="52"/>
      <c r="AP62" s="55">
        <v>0.23055555555555557</v>
      </c>
      <c r="AQ62" s="52"/>
      <c r="AR62" s="52"/>
      <c r="AS62" s="52" t="s">
        <v>3696</v>
      </c>
      <c r="AT62" s="52"/>
      <c r="AU62" s="52"/>
      <c r="AV62" s="52"/>
      <c r="AW62" s="52"/>
    </row>
    <row r="63" spans="1:49">
      <c r="A63" s="52">
        <v>6011294</v>
      </c>
      <c r="B63" s="52" t="s">
        <v>3723</v>
      </c>
      <c r="C63" s="52" t="s">
        <v>3698</v>
      </c>
      <c r="D63" s="53">
        <v>46154.625</v>
      </c>
      <c r="E63" s="53">
        <v>46153.586805555555</v>
      </c>
      <c r="F63" s="53">
        <v>46154.951388888891</v>
      </c>
      <c r="G63" s="53">
        <v>46161.333333333336</v>
      </c>
      <c r="H63" s="53">
        <v>46155.94027777778</v>
      </c>
      <c r="I63" s="52"/>
      <c r="J63" s="52" t="s">
        <v>3693</v>
      </c>
      <c r="K63" s="53">
        <v>46157.103472222225</v>
      </c>
      <c r="L63" s="52"/>
      <c r="M63" s="54">
        <v>6.3819444444444446</v>
      </c>
      <c r="N63" s="54">
        <v>3.504861111111111</v>
      </c>
      <c r="O63" s="52" t="s">
        <v>3151</v>
      </c>
      <c r="P63" s="52" t="s">
        <v>836</v>
      </c>
      <c r="Q63" s="52" t="s">
        <v>2926</v>
      </c>
      <c r="R63" s="52" t="s">
        <v>2933</v>
      </c>
      <c r="S63" s="52" t="s">
        <v>789</v>
      </c>
      <c r="T63" s="52" t="s">
        <v>3759</v>
      </c>
      <c r="U63" s="52" t="s">
        <v>3760</v>
      </c>
      <c r="V63" s="52" t="s">
        <v>2934</v>
      </c>
      <c r="W63" s="52">
        <v>30077436806</v>
      </c>
      <c r="X63" s="52" t="s">
        <v>73</v>
      </c>
      <c r="Y63" s="52"/>
      <c r="Z63" s="52" t="s">
        <v>3696</v>
      </c>
      <c r="AA63" s="52" t="s">
        <v>3710</v>
      </c>
      <c r="AB63" s="52"/>
      <c r="AC63" s="52" t="s">
        <v>3720</v>
      </c>
      <c r="AD63" s="52" t="s">
        <v>3715</v>
      </c>
      <c r="AE63" s="52"/>
      <c r="AF63" s="52" t="s">
        <v>3761</v>
      </c>
      <c r="AG63" s="52" t="s">
        <v>3762</v>
      </c>
      <c r="AH63" s="52"/>
      <c r="AI63" s="53">
        <v>46154.959722222222</v>
      </c>
      <c r="AJ63" s="53">
        <v>46154.970138888886</v>
      </c>
      <c r="AK63" s="53">
        <v>46154.959722222222</v>
      </c>
      <c r="AL63" s="55">
        <v>0.23055555555555557</v>
      </c>
      <c r="AM63" s="52"/>
      <c r="AN63" s="55">
        <v>1.0416666666666666E-2</v>
      </c>
      <c r="AO63" s="52"/>
      <c r="AP63" s="55">
        <v>0.23055555555555557</v>
      </c>
      <c r="AQ63" s="52"/>
      <c r="AR63" s="52"/>
      <c r="AS63" s="52" t="s">
        <v>3696</v>
      </c>
      <c r="AT63" s="52"/>
      <c r="AU63" s="52"/>
      <c r="AV63" s="52"/>
      <c r="AW63" s="52" t="s">
        <v>119</v>
      </c>
    </row>
    <row r="64" spans="1:49">
      <c r="A64" s="52">
        <v>6011532</v>
      </c>
      <c r="B64" s="52" t="s">
        <v>3691</v>
      </c>
      <c r="C64" s="52" t="s">
        <v>3692</v>
      </c>
      <c r="D64" s="53">
        <v>46155.666666666664</v>
      </c>
      <c r="E64" s="53">
        <v>46155.323611111111</v>
      </c>
      <c r="F64" s="52"/>
      <c r="G64" s="52"/>
      <c r="H64" s="52"/>
      <c r="I64" s="52" t="s">
        <v>3693</v>
      </c>
      <c r="J64" s="52" t="s">
        <v>3694</v>
      </c>
      <c r="K64" s="52"/>
      <c r="L64" s="52"/>
      <c r="M64" s="54">
        <v>4.6111111111111107</v>
      </c>
      <c r="N64" s="54">
        <v>5.1826388888888886</v>
      </c>
      <c r="O64" s="52"/>
      <c r="P64" s="52"/>
      <c r="Q64" s="52"/>
      <c r="R64" s="52"/>
      <c r="S64" s="52"/>
      <c r="T64" s="52" t="s">
        <v>3695</v>
      </c>
      <c r="U64" s="52" t="s">
        <v>3695</v>
      </c>
      <c r="V64" s="52"/>
      <c r="W64" s="52"/>
      <c r="X64" s="52"/>
      <c r="Y64" s="52"/>
      <c r="Z64" s="52" t="s">
        <v>3696</v>
      </c>
      <c r="AA64" s="52" t="s">
        <v>102</v>
      </c>
      <c r="AB64" s="52" t="s">
        <v>79</v>
      </c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>
        <v>0</v>
      </c>
      <c r="AT64" s="52"/>
      <c r="AU64" s="52"/>
      <c r="AV64" s="52" t="s">
        <v>94</v>
      </c>
      <c r="AW64" s="52"/>
    </row>
    <row r="65" spans="1:49">
      <c r="A65" s="52">
        <v>6011532</v>
      </c>
      <c r="B65" s="52" t="s">
        <v>3691</v>
      </c>
      <c r="C65" s="52" t="s">
        <v>3698</v>
      </c>
      <c r="D65" s="53">
        <v>46155.666666666664</v>
      </c>
      <c r="E65" s="53">
        <v>46155.323611111111</v>
      </c>
      <c r="F65" s="52"/>
      <c r="G65" s="52"/>
      <c r="H65" s="52"/>
      <c r="I65" s="52"/>
      <c r="J65" s="52" t="s">
        <v>3694</v>
      </c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 t="s">
        <v>3696</v>
      </c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>
        <v>0</v>
      </c>
      <c r="AT65" s="52"/>
      <c r="AU65" s="52"/>
      <c r="AV65" s="52"/>
      <c r="AW65" s="52"/>
    </row>
    <row r="66" spans="1:49">
      <c r="A66" s="52">
        <v>6011535</v>
      </c>
      <c r="B66" s="52" t="s">
        <v>3691</v>
      </c>
      <c r="C66" s="52" t="s">
        <v>3692</v>
      </c>
      <c r="D66" s="53">
        <v>46154.5</v>
      </c>
      <c r="E66" s="53">
        <v>46155.390277777777</v>
      </c>
      <c r="F66" s="52"/>
      <c r="G66" s="52"/>
      <c r="H66" s="52"/>
      <c r="I66" s="52" t="s">
        <v>3693</v>
      </c>
      <c r="J66" s="52" t="s">
        <v>3694</v>
      </c>
      <c r="K66" s="52"/>
      <c r="L66" s="52"/>
      <c r="M66" s="54">
        <v>1.1208333333333333</v>
      </c>
      <c r="N66" s="54">
        <v>1.6729166666666666</v>
      </c>
      <c r="O66" s="52"/>
      <c r="P66" s="52"/>
      <c r="Q66" s="52"/>
      <c r="R66" s="52"/>
      <c r="S66" s="52"/>
      <c r="T66" s="52" t="s">
        <v>3695</v>
      </c>
      <c r="U66" s="52" t="s">
        <v>3695</v>
      </c>
      <c r="V66" s="52"/>
      <c r="W66" s="52"/>
      <c r="X66" s="52"/>
      <c r="Y66" s="52"/>
      <c r="Z66" s="52" t="s">
        <v>3696</v>
      </c>
      <c r="AA66" s="52" t="s">
        <v>227</v>
      </c>
      <c r="AB66" s="52" t="s">
        <v>79</v>
      </c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>
        <v>0</v>
      </c>
      <c r="AT66" s="52"/>
      <c r="AU66" s="52"/>
      <c r="AV66" s="52" t="s">
        <v>3734</v>
      </c>
      <c r="AW66" s="52"/>
    </row>
    <row r="67" spans="1:49">
      <c r="A67" s="52">
        <v>6011535</v>
      </c>
      <c r="B67" s="52" t="s">
        <v>3691</v>
      </c>
      <c r="C67" s="52" t="s">
        <v>3698</v>
      </c>
      <c r="D67" s="53">
        <v>46154.5</v>
      </c>
      <c r="E67" s="53">
        <v>46155.390277777777</v>
      </c>
      <c r="F67" s="52"/>
      <c r="G67" s="52"/>
      <c r="H67" s="52"/>
      <c r="I67" s="52"/>
      <c r="J67" s="52" t="s">
        <v>3694</v>
      </c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 t="s">
        <v>3696</v>
      </c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>
        <v>0</v>
      </c>
      <c r="AT67" s="52"/>
      <c r="AU67" s="52"/>
      <c r="AV67" s="52"/>
      <c r="AW67" s="52"/>
    </row>
    <row r="68" spans="1:49">
      <c r="A68" s="52">
        <v>6011546</v>
      </c>
      <c r="B68" s="52" t="s">
        <v>3716</v>
      </c>
      <c r="C68" s="52" t="s">
        <v>3692</v>
      </c>
      <c r="D68" s="53">
        <v>46157.583333333336</v>
      </c>
      <c r="E68" s="53">
        <v>46156.68472222222</v>
      </c>
      <c r="F68" s="53">
        <v>46157.753472222219</v>
      </c>
      <c r="G68" s="53">
        <v>46161.25</v>
      </c>
      <c r="H68" s="52"/>
      <c r="I68" s="52" t="s">
        <v>3693</v>
      </c>
      <c r="J68" s="52" t="s">
        <v>3694</v>
      </c>
      <c r="K68" s="53">
        <v>46159.48333333333</v>
      </c>
      <c r="L68" s="52"/>
      <c r="M68" s="54">
        <v>1.9284722222222221</v>
      </c>
      <c r="N68" s="55">
        <v>0.86527777777777781</v>
      </c>
      <c r="O68" s="52"/>
      <c r="P68" s="52"/>
      <c r="Q68" s="52"/>
      <c r="R68" s="52"/>
      <c r="S68" s="52"/>
      <c r="T68" s="52" t="s">
        <v>3763</v>
      </c>
      <c r="U68" s="52" t="s">
        <v>3764</v>
      </c>
      <c r="V68" s="52"/>
      <c r="W68" s="52"/>
      <c r="X68" s="52"/>
      <c r="Y68" s="52"/>
      <c r="Z68" s="52" t="s">
        <v>3696</v>
      </c>
      <c r="AA68" s="52" t="s">
        <v>72</v>
      </c>
      <c r="AB68" s="52" t="s">
        <v>79</v>
      </c>
      <c r="AC68" s="52" t="s">
        <v>3720</v>
      </c>
      <c r="AD68" s="52" t="s">
        <v>3715</v>
      </c>
      <c r="AE68" s="52"/>
      <c r="AF68" s="52" t="s">
        <v>3765</v>
      </c>
      <c r="AG68" s="52" t="s">
        <v>3766</v>
      </c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>
        <v>0</v>
      </c>
      <c r="AT68" s="52"/>
      <c r="AU68" s="52"/>
      <c r="AV68" s="52" t="s">
        <v>513</v>
      </c>
      <c r="AW68" s="52"/>
    </row>
    <row r="69" spans="1:49">
      <c r="A69" s="52">
        <v>6011546</v>
      </c>
      <c r="B69" s="52" t="s">
        <v>3716</v>
      </c>
      <c r="C69" s="52" t="s">
        <v>3698</v>
      </c>
      <c r="D69" s="53">
        <v>46157.583333333336</v>
      </c>
      <c r="E69" s="53">
        <v>46156.68472222222</v>
      </c>
      <c r="F69" s="53">
        <v>46157.80972222222</v>
      </c>
      <c r="G69" s="53">
        <v>46161.25</v>
      </c>
      <c r="H69" s="52"/>
      <c r="I69" s="52"/>
      <c r="J69" s="52" t="s">
        <v>3694</v>
      </c>
      <c r="K69" s="53">
        <v>46159.48333333333</v>
      </c>
      <c r="L69" s="52"/>
      <c r="M69" s="54">
        <v>3.4402777777777778</v>
      </c>
      <c r="N69" s="55">
        <v>0.64652777777777781</v>
      </c>
      <c r="O69" s="52" t="s">
        <v>509</v>
      </c>
      <c r="P69" s="52" t="s">
        <v>72</v>
      </c>
      <c r="Q69" s="52" t="s">
        <v>508</v>
      </c>
      <c r="R69" s="52" t="s">
        <v>516</v>
      </c>
      <c r="S69" s="52" t="s">
        <v>69</v>
      </c>
      <c r="T69" s="52" t="s">
        <v>3763</v>
      </c>
      <c r="U69" s="52" t="s">
        <v>3764</v>
      </c>
      <c r="V69" s="52" t="s">
        <v>517</v>
      </c>
      <c r="W69" s="52">
        <v>7563938923</v>
      </c>
      <c r="X69" s="52" t="s">
        <v>73</v>
      </c>
      <c r="Y69" s="52"/>
      <c r="Z69" s="52" t="s">
        <v>3696</v>
      </c>
      <c r="AA69" s="52" t="s">
        <v>3710</v>
      </c>
      <c r="AB69" s="52"/>
      <c r="AC69" s="52" t="s">
        <v>3720</v>
      </c>
      <c r="AD69" s="52" t="s">
        <v>3715</v>
      </c>
      <c r="AE69" s="52" t="s">
        <v>79</v>
      </c>
      <c r="AF69" s="52" t="s">
        <v>3765</v>
      </c>
      <c r="AG69" s="52" t="s">
        <v>3766</v>
      </c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 t="s">
        <v>3696</v>
      </c>
      <c r="AT69" s="52"/>
      <c r="AU69" s="52"/>
      <c r="AV69" s="52"/>
      <c r="AW69" s="52"/>
    </row>
    <row r="70" spans="1:49">
      <c r="A70" s="52">
        <v>6011546</v>
      </c>
      <c r="B70" s="52" t="s">
        <v>3716</v>
      </c>
      <c r="C70" s="52" t="s">
        <v>3698</v>
      </c>
      <c r="D70" s="53">
        <v>46157.583333333336</v>
      </c>
      <c r="E70" s="53">
        <v>46156.68472222222</v>
      </c>
      <c r="F70" s="53">
        <v>46157.80972222222</v>
      </c>
      <c r="G70" s="53">
        <v>46161.25</v>
      </c>
      <c r="H70" s="52"/>
      <c r="I70" s="52"/>
      <c r="J70" s="52" t="s">
        <v>3694</v>
      </c>
      <c r="K70" s="53">
        <v>46159.48333333333</v>
      </c>
      <c r="L70" s="52"/>
      <c r="M70" s="54">
        <v>3.4402777777777778</v>
      </c>
      <c r="N70" s="55">
        <v>0.64652777777777781</v>
      </c>
      <c r="O70" s="52" t="s">
        <v>509</v>
      </c>
      <c r="P70" s="52" t="s">
        <v>72</v>
      </c>
      <c r="Q70" s="52" t="s">
        <v>508</v>
      </c>
      <c r="R70" s="52" t="s">
        <v>516</v>
      </c>
      <c r="S70" s="52" t="s">
        <v>69</v>
      </c>
      <c r="T70" s="52" t="s">
        <v>3763</v>
      </c>
      <c r="U70" s="52" t="s">
        <v>3764</v>
      </c>
      <c r="V70" s="52" t="s">
        <v>517</v>
      </c>
      <c r="W70" s="52">
        <v>7563938923</v>
      </c>
      <c r="X70" s="52" t="s">
        <v>73</v>
      </c>
      <c r="Y70" s="52"/>
      <c r="Z70" s="52" t="s">
        <v>3696</v>
      </c>
      <c r="AA70" s="52" t="s">
        <v>3710</v>
      </c>
      <c r="AB70" s="52"/>
      <c r="AC70" s="52" t="s">
        <v>3720</v>
      </c>
      <c r="AD70" s="52" t="s">
        <v>3715</v>
      </c>
      <c r="AE70" s="52"/>
      <c r="AF70" s="52" t="s">
        <v>3765</v>
      </c>
      <c r="AG70" s="52" t="s">
        <v>3766</v>
      </c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 t="s">
        <v>3696</v>
      </c>
      <c r="AT70" s="52"/>
      <c r="AU70" s="52"/>
      <c r="AV70" s="52"/>
      <c r="AW70" s="52" t="s">
        <v>513</v>
      </c>
    </row>
    <row r="71" spans="1:49">
      <c r="A71" s="52">
        <v>6011807</v>
      </c>
      <c r="B71" s="52" t="s">
        <v>3723</v>
      </c>
      <c r="C71" s="52" t="s">
        <v>3692</v>
      </c>
      <c r="D71" s="53">
        <v>46154.541666666664</v>
      </c>
      <c r="E71" s="53">
        <v>46153.586805555555</v>
      </c>
      <c r="F71" s="53">
        <v>46154.67291666667</v>
      </c>
      <c r="G71" s="53">
        <v>46156.208333333336</v>
      </c>
      <c r="H71" s="53">
        <v>46155.119444444441</v>
      </c>
      <c r="I71" s="52" t="s">
        <v>3693</v>
      </c>
      <c r="J71" s="52" t="s">
        <v>3693</v>
      </c>
      <c r="K71" s="53">
        <v>46155.119444444441</v>
      </c>
      <c r="L71" s="52" t="s">
        <v>3735</v>
      </c>
      <c r="M71" s="55">
        <v>0.3527777777777778</v>
      </c>
      <c r="N71" s="54">
        <v>2.6006944444444446</v>
      </c>
      <c r="O71" s="52"/>
      <c r="P71" s="52"/>
      <c r="Q71" s="52"/>
      <c r="R71" s="52"/>
      <c r="S71" s="52"/>
      <c r="T71" s="52" t="s">
        <v>3767</v>
      </c>
      <c r="U71" s="52" t="s">
        <v>3768</v>
      </c>
      <c r="V71" s="52"/>
      <c r="W71" s="52"/>
      <c r="X71" s="52"/>
      <c r="Y71" s="52"/>
      <c r="Z71" s="52" t="s">
        <v>3696</v>
      </c>
      <c r="AA71" s="52" t="s">
        <v>260</v>
      </c>
      <c r="AB71" s="52" t="s">
        <v>140</v>
      </c>
      <c r="AC71" s="52" t="s">
        <v>3703</v>
      </c>
      <c r="AD71" s="52" t="s">
        <v>3704</v>
      </c>
      <c r="AE71" s="52"/>
      <c r="AF71" s="52" t="s">
        <v>3769</v>
      </c>
      <c r="AG71" s="52" t="s">
        <v>3770</v>
      </c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>
        <v>0</v>
      </c>
      <c r="AT71" s="52"/>
      <c r="AU71" s="52"/>
      <c r="AV71" s="52" t="s">
        <v>3074</v>
      </c>
      <c r="AW71" s="52"/>
    </row>
    <row r="72" spans="1:49">
      <c r="A72" s="52">
        <v>6011807</v>
      </c>
      <c r="B72" s="52" t="s">
        <v>3723</v>
      </c>
      <c r="C72" s="52" t="s">
        <v>3698</v>
      </c>
      <c r="D72" s="53">
        <v>46154.541666666664</v>
      </c>
      <c r="E72" s="53">
        <v>46153.586805555555</v>
      </c>
      <c r="F72" s="53">
        <v>46154.720833333333</v>
      </c>
      <c r="G72" s="53">
        <v>46156.208333333336</v>
      </c>
      <c r="H72" s="53">
        <v>46155.37777777778</v>
      </c>
      <c r="I72" s="52"/>
      <c r="J72" s="52" t="s">
        <v>3693</v>
      </c>
      <c r="K72" s="53">
        <v>46155.119444444441</v>
      </c>
      <c r="L72" s="52"/>
      <c r="M72" s="54">
        <v>1.4875</v>
      </c>
      <c r="N72" s="54">
        <v>3.7354166666666666</v>
      </c>
      <c r="O72" s="52" t="s">
        <v>3070</v>
      </c>
      <c r="P72" s="52" t="s">
        <v>260</v>
      </c>
      <c r="Q72" s="52" t="s">
        <v>3069</v>
      </c>
      <c r="R72" s="52" t="s">
        <v>3076</v>
      </c>
      <c r="S72" s="52" t="s">
        <v>789</v>
      </c>
      <c r="T72" s="52" t="s">
        <v>3767</v>
      </c>
      <c r="U72" s="52" t="s">
        <v>3768</v>
      </c>
      <c r="V72" s="52" t="s">
        <v>3771</v>
      </c>
      <c r="W72" s="52">
        <v>6403240960</v>
      </c>
      <c r="X72" s="52" t="s">
        <v>73</v>
      </c>
      <c r="Y72" s="52"/>
      <c r="Z72" s="52" t="s">
        <v>3696</v>
      </c>
      <c r="AA72" s="52" t="s">
        <v>3710</v>
      </c>
      <c r="AB72" s="52"/>
      <c r="AC72" s="52" t="s">
        <v>3703</v>
      </c>
      <c r="AD72" s="52" t="s">
        <v>3704</v>
      </c>
      <c r="AE72" s="52" t="s">
        <v>140</v>
      </c>
      <c r="AF72" s="52" t="s">
        <v>3769</v>
      </c>
      <c r="AG72" s="52" t="s">
        <v>3770</v>
      </c>
      <c r="AH72" s="52"/>
      <c r="AI72" s="52"/>
      <c r="AJ72" s="52"/>
      <c r="AK72" s="52"/>
      <c r="AL72" s="55">
        <v>1.3888888888888888E-2</v>
      </c>
      <c r="AM72" s="52"/>
      <c r="AN72" s="52"/>
      <c r="AO72" s="55">
        <v>1.3888888888888888E-2</v>
      </c>
      <c r="AP72" s="55">
        <v>1.3888888888888888E-2</v>
      </c>
      <c r="AQ72" s="52"/>
      <c r="AR72" s="52"/>
      <c r="AS72" s="52" t="s">
        <v>3696</v>
      </c>
      <c r="AT72" s="52"/>
      <c r="AU72" s="52"/>
      <c r="AV72" s="52"/>
      <c r="AW72" s="52"/>
    </row>
    <row r="73" spans="1:49">
      <c r="A73" s="52">
        <v>6011807</v>
      </c>
      <c r="B73" s="52" t="s">
        <v>3723</v>
      </c>
      <c r="C73" s="52" t="s">
        <v>3698</v>
      </c>
      <c r="D73" s="53">
        <v>46154.541666666664</v>
      </c>
      <c r="E73" s="53">
        <v>46153.586805555555</v>
      </c>
      <c r="F73" s="53">
        <v>46154.720833333333</v>
      </c>
      <c r="G73" s="53">
        <v>46156.208333333336</v>
      </c>
      <c r="H73" s="53">
        <v>46155.37777777778</v>
      </c>
      <c r="I73" s="52"/>
      <c r="J73" s="52" t="s">
        <v>3693</v>
      </c>
      <c r="K73" s="53">
        <v>46155.119444444441</v>
      </c>
      <c r="L73" s="52"/>
      <c r="M73" s="54">
        <v>1.4875</v>
      </c>
      <c r="N73" s="54">
        <v>3.7354166666666666</v>
      </c>
      <c r="O73" s="52" t="s">
        <v>3070</v>
      </c>
      <c r="P73" s="52" t="s">
        <v>260</v>
      </c>
      <c r="Q73" s="52" t="s">
        <v>3069</v>
      </c>
      <c r="R73" s="52" t="s">
        <v>3076</v>
      </c>
      <c r="S73" s="52" t="s">
        <v>789</v>
      </c>
      <c r="T73" s="52" t="s">
        <v>3767</v>
      </c>
      <c r="U73" s="52" t="s">
        <v>3768</v>
      </c>
      <c r="V73" s="52" t="s">
        <v>3771</v>
      </c>
      <c r="W73" s="52">
        <v>6403240960</v>
      </c>
      <c r="X73" s="52" t="s">
        <v>73</v>
      </c>
      <c r="Y73" s="52"/>
      <c r="Z73" s="52" t="s">
        <v>3696</v>
      </c>
      <c r="AA73" s="52" t="s">
        <v>3710</v>
      </c>
      <c r="AB73" s="52"/>
      <c r="AC73" s="52" t="s">
        <v>3703</v>
      </c>
      <c r="AD73" s="52" t="s">
        <v>3704</v>
      </c>
      <c r="AE73" s="52"/>
      <c r="AF73" s="52" t="s">
        <v>3769</v>
      </c>
      <c r="AG73" s="52" t="s">
        <v>3770</v>
      </c>
      <c r="AH73" s="52"/>
      <c r="AI73" s="52"/>
      <c r="AJ73" s="52"/>
      <c r="AK73" s="52"/>
      <c r="AL73" s="55">
        <v>1.3888888888888888E-2</v>
      </c>
      <c r="AM73" s="52"/>
      <c r="AN73" s="52"/>
      <c r="AO73" s="55">
        <v>1.3888888888888888E-2</v>
      </c>
      <c r="AP73" s="55">
        <v>1.3888888888888888E-2</v>
      </c>
      <c r="AQ73" s="52"/>
      <c r="AR73" s="52"/>
      <c r="AS73" s="52" t="s">
        <v>3696</v>
      </c>
      <c r="AT73" s="52"/>
      <c r="AU73" s="52"/>
      <c r="AV73" s="52"/>
      <c r="AW73" s="52" t="s">
        <v>3074</v>
      </c>
    </row>
    <row r="74" spans="1:49">
      <c r="A74" s="52">
        <v>6011813</v>
      </c>
      <c r="B74" s="52" t="s">
        <v>3691</v>
      </c>
      <c r="C74" s="52" t="s">
        <v>3692</v>
      </c>
      <c r="D74" s="53">
        <v>46157.833333333336</v>
      </c>
      <c r="E74" s="53">
        <v>46156.68472222222</v>
      </c>
      <c r="F74" s="52"/>
      <c r="G74" s="52"/>
      <c r="H74" s="52"/>
      <c r="I74" s="52" t="s">
        <v>3693</v>
      </c>
      <c r="J74" s="52" t="s">
        <v>3694</v>
      </c>
      <c r="K74" s="52"/>
      <c r="L74" s="52"/>
      <c r="M74" s="54">
        <v>3.5951388888888891</v>
      </c>
      <c r="N74" s="54">
        <v>1.1986111111111111</v>
      </c>
      <c r="O74" s="52"/>
      <c r="P74" s="52"/>
      <c r="Q74" s="52"/>
      <c r="R74" s="52"/>
      <c r="S74" s="52"/>
      <c r="T74" s="52" t="s">
        <v>3695</v>
      </c>
      <c r="U74" s="52" t="s">
        <v>3695</v>
      </c>
      <c r="V74" s="52"/>
      <c r="W74" s="52"/>
      <c r="X74" s="52"/>
      <c r="Y74" s="52"/>
      <c r="Z74" s="52" t="s">
        <v>3696</v>
      </c>
      <c r="AA74" s="52" t="s">
        <v>102</v>
      </c>
      <c r="AB74" s="52" t="s">
        <v>140</v>
      </c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>
        <v>0</v>
      </c>
      <c r="AT74" s="52"/>
      <c r="AU74" s="52"/>
      <c r="AV74" s="52" t="s">
        <v>163</v>
      </c>
      <c r="AW74" s="52"/>
    </row>
    <row r="75" spans="1:49">
      <c r="A75" s="52">
        <v>6011813</v>
      </c>
      <c r="B75" s="52" t="s">
        <v>3691</v>
      </c>
      <c r="C75" s="52" t="s">
        <v>3698</v>
      </c>
      <c r="D75" s="53">
        <v>46157.833333333336</v>
      </c>
      <c r="E75" s="53">
        <v>46156.68472222222</v>
      </c>
      <c r="F75" s="52"/>
      <c r="G75" s="52"/>
      <c r="H75" s="52"/>
      <c r="I75" s="52"/>
      <c r="J75" s="52" t="s">
        <v>3694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 t="s">
        <v>3696</v>
      </c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>
        <v>0</v>
      </c>
      <c r="AT75" s="52"/>
      <c r="AU75" s="52"/>
      <c r="AV75" s="52"/>
      <c r="AW75" s="52"/>
    </row>
    <row r="76" spans="1:49">
      <c r="A76" s="52">
        <v>6011814</v>
      </c>
      <c r="B76" s="52" t="s">
        <v>3716</v>
      </c>
      <c r="C76" s="52" t="s">
        <v>3717</v>
      </c>
      <c r="D76" s="53">
        <v>46157.625</v>
      </c>
      <c r="E76" s="53">
        <v>46156.68472222222</v>
      </c>
      <c r="F76" s="53">
        <v>46156.806250000001</v>
      </c>
      <c r="G76" s="53">
        <v>46164.25</v>
      </c>
      <c r="H76" s="52"/>
      <c r="I76" s="52" t="s">
        <v>3693</v>
      </c>
      <c r="J76" s="52" t="s">
        <v>3693</v>
      </c>
      <c r="K76" s="53">
        <v>46159.662499999999</v>
      </c>
      <c r="L76" s="52"/>
      <c r="M76" s="54">
        <v>3.5951388888888891</v>
      </c>
      <c r="N76" s="54">
        <v>2.1986111111111111</v>
      </c>
      <c r="O76" s="52"/>
      <c r="P76" s="52"/>
      <c r="Q76" s="52"/>
      <c r="R76" s="52"/>
      <c r="S76" s="52"/>
      <c r="T76" s="52" t="s">
        <v>3772</v>
      </c>
      <c r="U76" s="52" t="s">
        <v>3773</v>
      </c>
      <c r="V76" s="52"/>
      <c r="W76" s="52"/>
      <c r="X76" s="52"/>
      <c r="Y76" s="52"/>
      <c r="Z76" s="52" t="s">
        <v>3696</v>
      </c>
      <c r="AA76" s="52" t="s">
        <v>114</v>
      </c>
      <c r="AB76" s="52" t="s">
        <v>140</v>
      </c>
      <c r="AC76" s="52" t="s">
        <v>3703</v>
      </c>
      <c r="AD76" s="52" t="s">
        <v>3704</v>
      </c>
      <c r="AE76" s="52"/>
      <c r="AF76" s="52" t="s">
        <v>3774</v>
      </c>
      <c r="AG76" s="52" t="s">
        <v>3775</v>
      </c>
      <c r="AH76" s="52"/>
      <c r="AI76" s="52"/>
      <c r="AJ76" s="52"/>
      <c r="AK76" s="52"/>
      <c r="AL76" s="55">
        <v>0.55555555555555558</v>
      </c>
      <c r="AM76" s="52"/>
      <c r="AN76" s="52"/>
      <c r="AO76" s="52"/>
      <c r="AP76" s="52"/>
      <c r="AQ76" s="52"/>
      <c r="AR76" s="52"/>
      <c r="AS76" s="52">
        <v>0</v>
      </c>
      <c r="AT76" s="52"/>
      <c r="AU76" s="52"/>
      <c r="AV76" s="52" t="s">
        <v>163</v>
      </c>
      <c r="AW76" s="52"/>
    </row>
    <row r="77" spans="1:49">
      <c r="A77" s="52">
        <v>6011814</v>
      </c>
      <c r="B77" s="52" t="s">
        <v>3716</v>
      </c>
      <c r="C77" s="52" t="s">
        <v>3698</v>
      </c>
      <c r="D77" s="53">
        <v>46157.625</v>
      </c>
      <c r="E77" s="53">
        <v>46156.68472222222</v>
      </c>
      <c r="F77" s="53">
        <v>46157.70208333333</v>
      </c>
      <c r="G77" s="53">
        <v>46160.863194444442</v>
      </c>
      <c r="H77" s="52"/>
      <c r="I77" s="52"/>
      <c r="J77" s="52" t="s">
        <v>3693</v>
      </c>
      <c r="K77" s="53">
        <v>46159.981944444444</v>
      </c>
      <c r="L77" s="52"/>
      <c r="M77" s="54">
        <v>3.161111111111111</v>
      </c>
      <c r="N77" s="55">
        <v>0.75416666666666665</v>
      </c>
      <c r="O77" s="52" t="s">
        <v>3776</v>
      </c>
      <c r="P77" s="52" t="s">
        <v>114</v>
      </c>
      <c r="Q77" s="52" t="s">
        <v>3777</v>
      </c>
      <c r="R77" s="52" t="s">
        <v>3778</v>
      </c>
      <c r="S77" s="52" t="s">
        <v>3756</v>
      </c>
      <c r="T77" s="52" t="s">
        <v>3772</v>
      </c>
      <c r="U77" s="52" t="s">
        <v>3773</v>
      </c>
      <c r="V77" s="52" t="s">
        <v>3779</v>
      </c>
      <c r="W77" s="52">
        <v>3076391429</v>
      </c>
      <c r="X77" s="52" t="s">
        <v>73</v>
      </c>
      <c r="Y77" s="52"/>
      <c r="Z77" s="52" t="s">
        <v>3696</v>
      </c>
      <c r="AA77" s="52" t="s">
        <v>3710</v>
      </c>
      <c r="AB77" s="52"/>
      <c r="AC77" s="52" t="s">
        <v>3703</v>
      </c>
      <c r="AD77" s="52" t="s">
        <v>3704</v>
      </c>
      <c r="AE77" s="52" t="s">
        <v>140</v>
      </c>
      <c r="AF77" s="52" t="s">
        <v>3774</v>
      </c>
      <c r="AG77" s="52" t="s">
        <v>3775</v>
      </c>
      <c r="AH77" s="52"/>
      <c r="AI77" s="53">
        <v>46156.819444444445</v>
      </c>
      <c r="AJ77" s="53">
        <v>46157.375</v>
      </c>
      <c r="AK77" s="53">
        <v>46156.819444444445</v>
      </c>
      <c r="AL77" s="55">
        <v>0.55555555555555558</v>
      </c>
      <c r="AM77" s="52"/>
      <c r="AN77" s="55">
        <v>0.55555555555555558</v>
      </c>
      <c r="AO77" s="52"/>
      <c r="AP77" s="55">
        <v>0.55555555555555558</v>
      </c>
      <c r="AQ77" s="52"/>
      <c r="AR77" s="52"/>
      <c r="AS77" s="52" t="s">
        <v>3696</v>
      </c>
      <c r="AT77" s="52"/>
      <c r="AU77" s="52"/>
      <c r="AV77" s="52"/>
      <c r="AW77" s="52"/>
    </row>
    <row r="78" spans="1:49">
      <c r="A78" s="52">
        <v>6011814</v>
      </c>
      <c r="B78" s="52" t="s">
        <v>3716</v>
      </c>
      <c r="C78" s="52" t="s">
        <v>3698</v>
      </c>
      <c r="D78" s="53">
        <v>46157.625</v>
      </c>
      <c r="E78" s="53">
        <v>46156.68472222222</v>
      </c>
      <c r="F78" s="53">
        <v>46157.70208333333</v>
      </c>
      <c r="G78" s="53">
        <v>46160.863194444442</v>
      </c>
      <c r="H78" s="52"/>
      <c r="I78" s="52"/>
      <c r="J78" s="52" t="s">
        <v>3693</v>
      </c>
      <c r="K78" s="53">
        <v>46159.981944444444</v>
      </c>
      <c r="L78" s="52"/>
      <c r="M78" s="54">
        <v>3.161111111111111</v>
      </c>
      <c r="N78" s="55">
        <v>0.75416666666666665</v>
      </c>
      <c r="O78" s="52" t="s">
        <v>3776</v>
      </c>
      <c r="P78" s="52" t="s">
        <v>114</v>
      </c>
      <c r="Q78" s="52" t="s">
        <v>3777</v>
      </c>
      <c r="R78" s="52" t="s">
        <v>3778</v>
      </c>
      <c r="S78" s="52" t="s">
        <v>3756</v>
      </c>
      <c r="T78" s="52" t="s">
        <v>3772</v>
      </c>
      <c r="U78" s="52" t="s">
        <v>3773</v>
      </c>
      <c r="V78" s="52" t="s">
        <v>3779</v>
      </c>
      <c r="W78" s="52">
        <v>3076391429</v>
      </c>
      <c r="X78" s="52" t="s">
        <v>73</v>
      </c>
      <c r="Y78" s="52"/>
      <c r="Z78" s="52" t="s">
        <v>3696</v>
      </c>
      <c r="AA78" s="52" t="s">
        <v>3710</v>
      </c>
      <c r="AB78" s="52"/>
      <c r="AC78" s="52" t="s">
        <v>3703</v>
      </c>
      <c r="AD78" s="52" t="s">
        <v>3704</v>
      </c>
      <c r="AE78" s="52"/>
      <c r="AF78" s="52" t="s">
        <v>3774</v>
      </c>
      <c r="AG78" s="52" t="s">
        <v>3775</v>
      </c>
      <c r="AH78" s="52"/>
      <c r="AI78" s="53">
        <v>46156.819444444445</v>
      </c>
      <c r="AJ78" s="53">
        <v>46157.375</v>
      </c>
      <c r="AK78" s="53">
        <v>46156.819444444445</v>
      </c>
      <c r="AL78" s="55">
        <v>0.55555555555555558</v>
      </c>
      <c r="AM78" s="52"/>
      <c r="AN78" s="55">
        <v>0.55555555555555558</v>
      </c>
      <c r="AO78" s="52"/>
      <c r="AP78" s="55">
        <v>0.55555555555555558</v>
      </c>
      <c r="AQ78" s="52"/>
      <c r="AR78" s="52"/>
      <c r="AS78" s="52" t="s">
        <v>3696</v>
      </c>
      <c r="AT78" s="52"/>
      <c r="AU78" s="52"/>
      <c r="AV78" s="52"/>
      <c r="AW78" s="52" t="s">
        <v>163</v>
      </c>
    </row>
    <row r="79" spans="1:49">
      <c r="A79" s="52">
        <v>6011814</v>
      </c>
      <c r="B79" s="52" t="s">
        <v>3716</v>
      </c>
      <c r="C79" s="52" t="s">
        <v>3698</v>
      </c>
      <c r="D79" s="53">
        <v>46157.625</v>
      </c>
      <c r="E79" s="53">
        <v>46156.68472222222</v>
      </c>
      <c r="F79" s="53">
        <v>46156.900694444441</v>
      </c>
      <c r="G79" s="53">
        <v>46160.863194444442</v>
      </c>
      <c r="H79" s="52"/>
      <c r="I79" s="52"/>
      <c r="J79" s="52" t="s">
        <v>3693</v>
      </c>
      <c r="K79" s="53">
        <v>46159.981944444444</v>
      </c>
      <c r="L79" s="52"/>
      <c r="M79" s="54">
        <v>3.9624999999999999</v>
      </c>
      <c r="N79" s="54">
        <v>1.5555555555555556</v>
      </c>
      <c r="O79" s="52" t="s">
        <v>3780</v>
      </c>
      <c r="P79" s="52" t="s">
        <v>114</v>
      </c>
      <c r="Q79" s="52" t="s">
        <v>3777</v>
      </c>
      <c r="R79" s="52" t="s">
        <v>3778</v>
      </c>
      <c r="S79" s="52" t="s">
        <v>3756</v>
      </c>
      <c r="T79" s="52" t="s">
        <v>3772</v>
      </c>
      <c r="U79" s="52" t="s">
        <v>3758</v>
      </c>
      <c r="V79" s="52" t="s">
        <v>3779</v>
      </c>
      <c r="W79" s="52">
        <v>3076391429</v>
      </c>
      <c r="X79" s="52" t="s">
        <v>73</v>
      </c>
      <c r="Y79" s="52"/>
      <c r="Z79" s="52" t="s">
        <v>3696</v>
      </c>
      <c r="AA79" s="52" t="s">
        <v>3710</v>
      </c>
      <c r="AB79" s="52"/>
      <c r="AC79" s="52" t="s">
        <v>3703</v>
      </c>
      <c r="AD79" s="52" t="s">
        <v>3704</v>
      </c>
      <c r="AE79" s="52" t="s">
        <v>140</v>
      </c>
      <c r="AF79" s="52" t="s">
        <v>3774</v>
      </c>
      <c r="AG79" s="52" t="s">
        <v>3775</v>
      </c>
      <c r="AH79" s="52"/>
      <c r="AI79" s="53">
        <v>46156.819444444445</v>
      </c>
      <c r="AJ79" s="53">
        <v>46157.375</v>
      </c>
      <c r="AK79" s="53">
        <v>46156.819444444445</v>
      </c>
      <c r="AL79" s="55">
        <v>0.47430555555555554</v>
      </c>
      <c r="AM79" s="52"/>
      <c r="AN79" s="55">
        <v>0.55555555555555558</v>
      </c>
      <c r="AO79" s="52"/>
      <c r="AP79" s="55">
        <v>0.47430555555555554</v>
      </c>
      <c r="AQ79" s="52"/>
      <c r="AR79" s="52"/>
      <c r="AS79" s="52" t="s">
        <v>3696</v>
      </c>
      <c r="AT79" s="52"/>
      <c r="AU79" s="52"/>
      <c r="AV79" s="52"/>
      <c r="AW79" s="52"/>
    </row>
    <row r="80" spans="1:49">
      <c r="A80" s="52">
        <v>6011814</v>
      </c>
      <c r="B80" s="52" t="s">
        <v>3716</v>
      </c>
      <c r="C80" s="52" t="s">
        <v>3698</v>
      </c>
      <c r="D80" s="53">
        <v>46157.625</v>
      </c>
      <c r="E80" s="53">
        <v>46156.68472222222</v>
      </c>
      <c r="F80" s="53">
        <v>46156.900694444441</v>
      </c>
      <c r="G80" s="53">
        <v>46160.863194444442</v>
      </c>
      <c r="H80" s="52"/>
      <c r="I80" s="52"/>
      <c r="J80" s="52" t="s">
        <v>3693</v>
      </c>
      <c r="K80" s="53">
        <v>46159.981944444444</v>
      </c>
      <c r="L80" s="52"/>
      <c r="M80" s="54">
        <v>3.9624999999999999</v>
      </c>
      <c r="N80" s="54">
        <v>1.5555555555555556</v>
      </c>
      <c r="O80" s="52" t="s">
        <v>3780</v>
      </c>
      <c r="P80" s="52" t="s">
        <v>114</v>
      </c>
      <c r="Q80" s="52" t="s">
        <v>3777</v>
      </c>
      <c r="R80" s="52" t="s">
        <v>3778</v>
      </c>
      <c r="S80" s="52" t="s">
        <v>3756</v>
      </c>
      <c r="T80" s="52" t="s">
        <v>3772</v>
      </c>
      <c r="U80" s="52" t="s">
        <v>3758</v>
      </c>
      <c r="V80" s="52" t="s">
        <v>3779</v>
      </c>
      <c r="W80" s="52">
        <v>3076391429</v>
      </c>
      <c r="X80" s="52" t="s">
        <v>73</v>
      </c>
      <c r="Y80" s="52"/>
      <c r="Z80" s="52" t="s">
        <v>3696</v>
      </c>
      <c r="AA80" s="52" t="s">
        <v>3710</v>
      </c>
      <c r="AB80" s="52"/>
      <c r="AC80" s="52" t="s">
        <v>3703</v>
      </c>
      <c r="AD80" s="52" t="s">
        <v>3704</v>
      </c>
      <c r="AE80" s="52"/>
      <c r="AF80" s="52" t="s">
        <v>3774</v>
      </c>
      <c r="AG80" s="52" t="s">
        <v>3775</v>
      </c>
      <c r="AH80" s="52"/>
      <c r="AI80" s="53">
        <v>46156.819444444445</v>
      </c>
      <c r="AJ80" s="53">
        <v>46157.375</v>
      </c>
      <c r="AK80" s="53">
        <v>46156.819444444445</v>
      </c>
      <c r="AL80" s="55">
        <v>0.47430555555555554</v>
      </c>
      <c r="AM80" s="52"/>
      <c r="AN80" s="55">
        <v>0.55555555555555558</v>
      </c>
      <c r="AO80" s="52"/>
      <c r="AP80" s="55">
        <v>0.47430555555555554</v>
      </c>
      <c r="AQ80" s="52"/>
      <c r="AR80" s="52"/>
      <c r="AS80" s="52" t="s">
        <v>3696</v>
      </c>
      <c r="AT80" s="52"/>
      <c r="AU80" s="52"/>
      <c r="AV80" s="52"/>
      <c r="AW80" s="52" t="s">
        <v>163</v>
      </c>
    </row>
    <row r="81" spans="1:49">
      <c r="A81" s="52">
        <v>6011814</v>
      </c>
      <c r="B81" s="52" t="s">
        <v>3716</v>
      </c>
      <c r="C81" s="52" t="s">
        <v>3698</v>
      </c>
      <c r="D81" s="53">
        <v>46157.625</v>
      </c>
      <c r="E81" s="53">
        <v>46156.68472222222</v>
      </c>
      <c r="F81" s="53">
        <v>46157.726388888892</v>
      </c>
      <c r="G81" s="53">
        <v>46160.863194444442</v>
      </c>
      <c r="H81" s="52"/>
      <c r="I81" s="52"/>
      <c r="J81" s="52" t="s">
        <v>3693</v>
      </c>
      <c r="K81" s="53">
        <v>46159.981944444444</v>
      </c>
      <c r="L81" s="52"/>
      <c r="M81" s="54">
        <v>3.1368055555555556</v>
      </c>
      <c r="N81" s="55">
        <v>0.72986111111111107</v>
      </c>
      <c r="O81" s="52" t="s">
        <v>3781</v>
      </c>
      <c r="P81" s="52" t="s">
        <v>114</v>
      </c>
      <c r="Q81" s="52" t="s">
        <v>535</v>
      </c>
      <c r="R81" s="52" t="s">
        <v>541</v>
      </c>
      <c r="S81" s="52" t="s">
        <v>3756</v>
      </c>
      <c r="T81" s="52" t="s">
        <v>3772</v>
      </c>
      <c r="U81" s="52" t="s">
        <v>3782</v>
      </c>
      <c r="V81" s="52" t="s">
        <v>542</v>
      </c>
      <c r="W81" s="52">
        <v>1278612890</v>
      </c>
      <c r="X81" s="52" t="s">
        <v>73</v>
      </c>
      <c r="Y81" s="52"/>
      <c r="Z81" s="52" t="s">
        <v>3696</v>
      </c>
      <c r="AA81" s="52" t="s">
        <v>3710</v>
      </c>
      <c r="AB81" s="52"/>
      <c r="AC81" s="52" t="s">
        <v>3703</v>
      </c>
      <c r="AD81" s="52" t="s">
        <v>3704</v>
      </c>
      <c r="AE81" s="52" t="s">
        <v>140</v>
      </c>
      <c r="AF81" s="52" t="s">
        <v>3774</v>
      </c>
      <c r="AG81" s="52" t="s">
        <v>3775</v>
      </c>
      <c r="AH81" s="52"/>
      <c r="AI81" s="53">
        <v>46156.819444444445</v>
      </c>
      <c r="AJ81" s="53">
        <v>46157.375</v>
      </c>
      <c r="AK81" s="53">
        <v>46156.819444444445</v>
      </c>
      <c r="AL81" s="55">
        <v>6.9444444444444441E-3</v>
      </c>
      <c r="AM81" s="52"/>
      <c r="AN81" s="55">
        <v>0.55555555555555558</v>
      </c>
      <c r="AO81" s="52"/>
      <c r="AP81" s="55">
        <v>6.9444444444444441E-3</v>
      </c>
      <c r="AQ81" s="52"/>
      <c r="AR81" s="52"/>
      <c r="AS81" s="52" t="s">
        <v>3696</v>
      </c>
      <c r="AT81" s="52"/>
      <c r="AU81" s="52"/>
      <c r="AV81" s="52"/>
      <c r="AW81" s="52"/>
    </row>
    <row r="82" spans="1:49">
      <c r="A82" s="52">
        <v>6011814</v>
      </c>
      <c r="B82" s="52" t="s">
        <v>3716</v>
      </c>
      <c r="C82" s="52" t="s">
        <v>3698</v>
      </c>
      <c r="D82" s="53">
        <v>46157.625</v>
      </c>
      <c r="E82" s="53">
        <v>46156.68472222222</v>
      </c>
      <c r="F82" s="53">
        <v>46157.726388888892</v>
      </c>
      <c r="G82" s="53">
        <v>46160.863194444442</v>
      </c>
      <c r="H82" s="52"/>
      <c r="I82" s="52"/>
      <c r="J82" s="52" t="s">
        <v>3693</v>
      </c>
      <c r="K82" s="53">
        <v>46159.981944444444</v>
      </c>
      <c r="L82" s="52"/>
      <c r="M82" s="54">
        <v>3.1368055555555556</v>
      </c>
      <c r="N82" s="55">
        <v>0.72986111111111107</v>
      </c>
      <c r="O82" s="52" t="s">
        <v>3781</v>
      </c>
      <c r="P82" s="52" t="s">
        <v>114</v>
      </c>
      <c r="Q82" s="52" t="s">
        <v>535</v>
      </c>
      <c r="R82" s="52" t="s">
        <v>541</v>
      </c>
      <c r="S82" s="52" t="s">
        <v>3756</v>
      </c>
      <c r="T82" s="52" t="s">
        <v>3772</v>
      </c>
      <c r="U82" s="52" t="s">
        <v>3782</v>
      </c>
      <c r="V82" s="52" t="s">
        <v>542</v>
      </c>
      <c r="W82" s="52">
        <v>1278612890</v>
      </c>
      <c r="X82" s="52" t="s">
        <v>73</v>
      </c>
      <c r="Y82" s="52"/>
      <c r="Z82" s="52" t="s">
        <v>3696</v>
      </c>
      <c r="AA82" s="52" t="s">
        <v>3710</v>
      </c>
      <c r="AB82" s="52"/>
      <c r="AC82" s="52" t="s">
        <v>3703</v>
      </c>
      <c r="AD82" s="52" t="s">
        <v>3704</v>
      </c>
      <c r="AE82" s="52"/>
      <c r="AF82" s="52" t="s">
        <v>3774</v>
      </c>
      <c r="AG82" s="52" t="s">
        <v>3775</v>
      </c>
      <c r="AH82" s="52"/>
      <c r="AI82" s="53">
        <v>46156.819444444445</v>
      </c>
      <c r="AJ82" s="53">
        <v>46157.375</v>
      </c>
      <c r="AK82" s="53">
        <v>46156.819444444445</v>
      </c>
      <c r="AL82" s="55">
        <v>6.9444444444444441E-3</v>
      </c>
      <c r="AM82" s="52"/>
      <c r="AN82" s="55">
        <v>0.55555555555555558</v>
      </c>
      <c r="AO82" s="52"/>
      <c r="AP82" s="55">
        <v>6.9444444444444441E-3</v>
      </c>
      <c r="AQ82" s="52"/>
      <c r="AR82" s="52"/>
      <c r="AS82" s="52" t="s">
        <v>3696</v>
      </c>
      <c r="AT82" s="52"/>
      <c r="AU82" s="52"/>
      <c r="AV82" s="52"/>
      <c r="AW82" s="52" t="s">
        <v>163</v>
      </c>
    </row>
    <row r="83" spans="1:49">
      <c r="A83" s="52">
        <v>6011814</v>
      </c>
      <c r="B83" s="52" t="s">
        <v>3716</v>
      </c>
      <c r="C83" s="52" t="s">
        <v>3698</v>
      </c>
      <c r="D83" s="53">
        <v>46157.625</v>
      </c>
      <c r="E83" s="53">
        <v>46156.68472222222</v>
      </c>
      <c r="F83" s="53">
        <v>46157.775694444441</v>
      </c>
      <c r="G83" s="53">
        <v>46160.863194444442</v>
      </c>
      <c r="H83" s="52"/>
      <c r="I83" s="52"/>
      <c r="J83" s="52" t="s">
        <v>3693</v>
      </c>
      <c r="K83" s="53">
        <v>46159.981944444444</v>
      </c>
      <c r="L83" s="52"/>
      <c r="M83" s="54">
        <v>3.0874999999999999</v>
      </c>
      <c r="N83" s="55">
        <v>0.68055555555555558</v>
      </c>
      <c r="O83" s="52" t="s">
        <v>536</v>
      </c>
      <c r="P83" s="52" t="s">
        <v>114</v>
      </c>
      <c r="Q83" s="52" t="s">
        <v>535</v>
      </c>
      <c r="R83" s="52" t="s">
        <v>541</v>
      </c>
      <c r="S83" s="52" t="s">
        <v>69</v>
      </c>
      <c r="T83" s="52" t="s">
        <v>3783</v>
      </c>
      <c r="U83" s="52" t="s">
        <v>3784</v>
      </c>
      <c r="V83" s="52" t="s">
        <v>542</v>
      </c>
      <c r="W83" s="52">
        <v>1278612890</v>
      </c>
      <c r="X83" s="52" t="s">
        <v>73</v>
      </c>
      <c r="Y83" s="52"/>
      <c r="Z83" s="52" t="s">
        <v>3696</v>
      </c>
      <c r="AA83" s="52" t="s">
        <v>3710</v>
      </c>
      <c r="AB83" s="52"/>
      <c r="AC83" s="52" t="s">
        <v>3703</v>
      </c>
      <c r="AD83" s="52" t="s">
        <v>3704</v>
      </c>
      <c r="AE83" s="52" t="s">
        <v>140</v>
      </c>
      <c r="AF83" s="52" t="s">
        <v>3774</v>
      </c>
      <c r="AG83" s="52" t="s">
        <v>3775</v>
      </c>
      <c r="AH83" s="52"/>
      <c r="AI83" s="53">
        <v>46156.819444444445</v>
      </c>
      <c r="AJ83" s="53">
        <v>46157.375</v>
      </c>
      <c r="AK83" s="53">
        <v>46156.819444444445</v>
      </c>
      <c r="AL83" s="55">
        <v>0.47222222222222221</v>
      </c>
      <c r="AM83" s="52"/>
      <c r="AN83" s="55">
        <v>0.55555555555555558</v>
      </c>
      <c r="AO83" s="52"/>
      <c r="AP83" s="55">
        <v>0.47222222222222221</v>
      </c>
      <c r="AQ83" s="52"/>
      <c r="AR83" s="52"/>
      <c r="AS83" s="52" t="s">
        <v>3696</v>
      </c>
      <c r="AT83" s="52"/>
      <c r="AU83" s="52"/>
      <c r="AV83" s="52"/>
      <c r="AW83" s="52"/>
    </row>
    <row r="84" spans="1:49">
      <c r="A84" s="52">
        <v>6011814</v>
      </c>
      <c r="B84" s="52" t="s">
        <v>3716</v>
      </c>
      <c r="C84" s="52" t="s">
        <v>3698</v>
      </c>
      <c r="D84" s="53">
        <v>46157.625</v>
      </c>
      <c r="E84" s="53">
        <v>46156.68472222222</v>
      </c>
      <c r="F84" s="53">
        <v>46157.775694444441</v>
      </c>
      <c r="G84" s="53">
        <v>46160.863194444442</v>
      </c>
      <c r="H84" s="52"/>
      <c r="I84" s="52"/>
      <c r="J84" s="52" t="s">
        <v>3693</v>
      </c>
      <c r="K84" s="53">
        <v>46159.981944444444</v>
      </c>
      <c r="L84" s="52"/>
      <c r="M84" s="54">
        <v>3.0874999999999999</v>
      </c>
      <c r="N84" s="55">
        <v>0.68055555555555558</v>
      </c>
      <c r="O84" s="52" t="s">
        <v>536</v>
      </c>
      <c r="P84" s="52" t="s">
        <v>114</v>
      </c>
      <c r="Q84" s="52" t="s">
        <v>535</v>
      </c>
      <c r="R84" s="52" t="s">
        <v>541</v>
      </c>
      <c r="S84" s="52" t="s">
        <v>69</v>
      </c>
      <c r="T84" s="52" t="s">
        <v>3783</v>
      </c>
      <c r="U84" s="52" t="s">
        <v>3784</v>
      </c>
      <c r="V84" s="52" t="s">
        <v>542</v>
      </c>
      <c r="W84" s="52">
        <v>1278612890</v>
      </c>
      <c r="X84" s="52" t="s">
        <v>73</v>
      </c>
      <c r="Y84" s="52"/>
      <c r="Z84" s="52" t="s">
        <v>3696</v>
      </c>
      <c r="AA84" s="52" t="s">
        <v>3710</v>
      </c>
      <c r="AB84" s="52"/>
      <c r="AC84" s="52" t="s">
        <v>3703</v>
      </c>
      <c r="AD84" s="52" t="s">
        <v>3704</v>
      </c>
      <c r="AE84" s="52"/>
      <c r="AF84" s="52" t="s">
        <v>3774</v>
      </c>
      <c r="AG84" s="52" t="s">
        <v>3775</v>
      </c>
      <c r="AH84" s="52"/>
      <c r="AI84" s="53">
        <v>46156.819444444445</v>
      </c>
      <c r="AJ84" s="53">
        <v>46157.375</v>
      </c>
      <c r="AK84" s="53">
        <v>46156.819444444445</v>
      </c>
      <c r="AL84" s="55">
        <v>0.47222222222222221</v>
      </c>
      <c r="AM84" s="52"/>
      <c r="AN84" s="55">
        <v>0.55555555555555558</v>
      </c>
      <c r="AO84" s="52"/>
      <c r="AP84" s="55">
        <v>0.47222222222222221</v>
      </c>
      <c r="AQ84" s="52"/>
      <c r="AR84" s="52"/>
      <c r="AS84" s="52" t="s">
        <v>3696</v>
      </c>
      <c r="AT84" s="52"/>
      <c r="AU84" s="52"/>
      <c r="AV84" s="52"/>
      <c r="AW84" s="52" t="s">
        <v>163</v>
      </c>
    </row>
    <row r="85" spans="1:49">
      <c r="A85" s="52">
        <v>6011817</v>
      </c>
      <c r="B85" s="52" t="s">
        <v>3716</v>
      </c>
      <c r="C85" s="52" t="s">
        <v>3692</v>
      </c>
      <c r="D85" s="53">
        <v>46155.833333333336</v>
      </c>
      <c r="E85" s="53">
        <v>46154.676388888889</v>
      </c>
      <c r="F85" s="53">
        <v>46156.992361111108</v>
      </c>
      <c r="G85" s="53">
        <v>46163.25</v>
      </c>
      <c r="H85" s="52"/>
      <c r="I85" s="52" t="s">
        <v>3693</v>
      </c>
      <c r="J85" s="52" t="s">
        <v>3694</v>
      </c>
      <c r="K85" s="53">
        <v>46159.122916666667</v>
      </c>
      <c r="L85" s="52"/>
      <c r="M85" s="54">
        <v>4.416666666666667</v>
      </c>
      <c r="N85" s="54">
        <v>2.6229166666666668</v>
      </c>
      <c r="O85" s="52"/>
      <c r="P85" s="52"/>
      <c r="Q85" s="52"/>
      <c r="R85" s="52"/>
      <c r="S85" s="52"/>
      <c r="T85" s="52" t="s">
        <v>3785</v>
      </c>
      <c r="U85" s="52" t="s">
        <v>3786</v>
      </c>
      <c r="V85" s="52"/>
      <c r="W85" s="52"/>
      <c r="X85" s="52"/>
      <c r="Y85" s="52"/>
      <c r="Z85" s="52" t="s">
        <v>3696</v>
      </c>
      <c r="AA85" s="52" t="s">
        <v>89</v>
      </c>
      <c r="AB85" s="52" t="s">
        <v>140</v>
      </c>
      <c r="AC85" s="52" t="s">
        <v>3703</v>
      </c>
      <c r="AD85" s="52" t="s">
        <v>3704</v>
      </c>
      <c r="AE85" s="52"/>
      <c r="AF85" s="52" t="s">
        <v>3787</v>
      </c>
      <c r="AG85" s="52" t="s">
        <v>3788</v>
      </c>
      <c r="AH85" s="52"/>
      <c r="AI85" s="52"/>
      <c r="AJ85" s="52"/>
      <c r="AK85" s="52"/>
      <c r="AL85" s="55">
        <v>5.5555555555555552E-2</v>
      </c>
      <c r="AM85" s="52"/>
      <c r="AN85" s="52"/>
      <c r="AO85" s="52"/>
      <c r="AP85" s="52"/>
      <c r="AQ85" s="52"/>
      <c r="AR85" s="52"/>
      <c r="AS85" s="52">
        <v>0</v>
      </c>
      <c r="AT85" s="52"/>
      <c r="AU85" s="52"/>
      <c r="AV85" s="52" t="s">
        <v>163</v>
      </c>
      <c r="AW85" s="52"/>
    </row>
    <row r="86" spans="1:49">
      <c r="A86" s="52">
        <v>6011817</v>
      </c>
      <c r="B86" s="52" t="s">
        <v>3716</v>
      </c>
      <c r="C86" s="52" t="s">
        <v>3698</v>
      </c>
      <c r="D86" s="53">
        <v>46155.833333333336</v>
      </c>
      <c r="E86" s="53">
        <v>46154.676388888889</v>
      </c>
      <c r="F86" s="53">
        <v>46157.036111111112</v>
      </c>
      <c r="G86" s="53">
        <v>46163.25</v>
      </c>
      <c r="H86" s="52"/>
      <c r="I86" s="52"/>
      <c r="J86" s="52" t="s">
        <v>3694</v>
      </c>
      <c r="K86" s="53">
        <v>46159.122916666667</v>
      </c>
      <c r="L86" s="52"/>
      <c r="M86" s="54">
        <v>6.2138888888888886</v>
      </c>
      <c r="N86" s="54">
        <v>1.4201388888888888</v>
      </c>
      <c r="O86" s="52" t="s">
        <v>239</v>
      </c>
      <c r="P86" s="52" t="s">
        <v>89</v>
      </c>
      <c r="Q86" s="52" t="s">
        <v>238</v>
      </c>
      <c r="R86" s="52" t="s">
        <v>246</v>
      </c>
      <c r="S86" s="52" t="s">
        <v>69</v>
      </c>
      <c r="T86" s="52" t="s">
        <v>3785</v>
      </c>
      <c r="U86" s="52" t="s">
        <v>3786</v>
      </c>
      <c r="V86" s="52" t="s">
        <v>247</v>
      </c>
      <c r="W86" s="52">
        <v>3435376996</v>
      </c>
      <c r="X86" s="52" t="s">
        <v>73</v>
      </c>
      <c r="Y86" s="52"/>
      <c r="Z86" s="52" t="s">
        <v>3696</v>
      </c>
      <c r="AA86" s="52" t="s">
        <v>3710</v>
      </c>
      <c r="AB86" s="52"/>
      <c r="AC86" s="52" t="s">
        <v>3703</v>
      </c>
      <c r="AD86" s="52" t="s">
        <v>3704</v>
      </c>
      <c r="AE86" s="52" t="s">
        <v>140</v>
      </c>
      <c r="AF86" s="52" t="s">
        <v>3787</v>
      </c>
      <c r="AG86" s="52" t="s">
        <v>3788</v>
      </c>
      <c r="AH86" s="52"/>
      <c r="AI86" s="53">
        <v>46156.994444444441</v>
      </c>
      <c r="AJ86" s="53">
        <v>46157.05</v>
      </c>
      <c r="AK86" s="53">
        <v>46156.994444444441</v>
      </c>
      <c r="AL86" s="55">
        <v>5.5555555555555552E-2</v>
      </c>
      <c r="AM86" s="52"/>
      <c r="AN86" s="55">
        <v>5.5555555555555552E-2</v>
      </c>
      <c r="AO86" s="52"/>
      <c r="AP86" s="55">
        <v>5.5555555555555552E-2</v>
      </c>
      <c r="AQ86" s="52"/>
      <c r="AR86" s="52"/>
      <c r="AS86" s="52" t="s">
        <v>3696</v>
      </c>
      <c r="AT86" s="52"/>
      <c r="AU86" s="52"/>
      <c r="AV86" s="52"/>
      <c r="AW86" s="52"/>
    </row>
    <row r="87" spans="1:49">
      <c r="A87" s="52">
        <v>6011817</v>
      </c>
      <c r="B87" s="52" t="s">
        <v>3716</v>
      </c>
      <c r="C87" s="52" t="s">
        <v>3698</v>
      </c>
      <c r="D87" s="53">
        <v>46155.833333333336</v>
      </c>
      <c r="E87" s="53">
        <v>46154.676388888889</v>
      </c>
      <c r="F87" s="53">
        <v>46157.036111111112</v>
      </c>
      <c r="G87" s="53">
        <v>46163.25</v>
      </c>
      <c r="H87" s="52"/>
      <c r="I87" s="52"/>
      <c r="J87" s="52" t="s">
        <v>3694</v>
      </c>
      <c r="K87" s="53">
        <v>46159.122916666667</v>
      </c>
      <c r="L87" s="52"/>
      <c r="M87" s="54">
        <v>6.2138888888888886</v>
      </c>
      <c r="N87" s="54">
        <v>1.4201388888888888</v>
      </c>
      <c r="O87" s="52" t="s">
        <v>239</v>
      </c>
      <c r="P87" s="52" t="s">
        <v>89</v>
      </c>
      <c r="Q87" s="52" t="s">
        <v>238</v>
      </c>
      <c r="R87" s="52" t="s">
        <v>246</v>
      </c>
      <c r="S87" s="52" t="s">
        <v>69</v>
      </c>
      <c r="T87" s="52" t="s">
        <v>3785</v>
      </c>
      <c r="U87" s="52" t="s">
        <v>3786</v>
      </c>
      <c r="V87" s="52" t="s">
        <v>247</v>
      </c>
      <c r="W87" s="52">
        <v>3435376996</v>
      </c>
      <c r="X87" s="52" t="s">
        <v>73</v>
      </c>
      <c r="Y87" s="52"/>
      <c r="Z87" s="52" t="s">
        <v>3696</v>
      </c>
      <c r="AA87" s="52" t="s">
        <v>3710</v>
      </c>
      <c r="AB87" s="52"/>
      <c r="AC87" s="52" t="s">
        <v>3703</v>
      </c>
      <c r="AD87" s="52" t="s">
        <v>3704</v>
      </c>
      <c r="AE87" s="52"/>
      <c r="AF87" s="52" t="s">
        <v>3787</v>
      </c>
      <c r="AG87" s="52" t="s">
        <v>3788</v>
      </c>
      <c r="AH87" s="52"/>
      <c r="AI87" s="53">
        <v>46156.994444444441</v>
      </c>
      <c r="AJ87" s="53">
        <v>46157.05</v>
      </c>
      <c r="AK87" s="53">
        <v>46156.994444444441</v>
      </c>
      <c r="AL87" s="55">
        <v>5.5555555555555552E-2</v>
      </c>
      <c r="AM87" s="52"/>
      <c r="AN87" s="55">
        <v>5.5555555555555552E-2</v>
      </c>
      <c r="AO87" s="52"/>
      <c r="AP87" s="55">
        <v>5.5555555555555552E-2</v>
      </c>
      <c r="AQ87" s="52"/>
      <c r="AR87" s="52"/>
      <c r="AS87" s="52" t="s">
        <v>3696</v>
      </c>
      <c r="AT87" s="52"/>
      <c r="AU87" s="52"/>
      <c r="AV87" s="52"/>
      <c r="AW87" s="52" t="s">
        <v>163</v>
      </c>
    </row>
    <row r="88" spans="1:49">
      <c r="A88" s="52">
        <v>6011818</v>
      </c>
      <c r="B88" s="52" t="s">
        <v>3716</v>
      </c>
      <c r="C88" s="52" t="s">
        <v>3692</v>
      </c>
      <c r="D88" s="53">
        <v>46155.75</v>
      </c>
      <c r="E88" s="53">
        <v>46154.684027777781</v>
      </c>
      <c r="F88" s="53">
        <v>46155.709722222222</v>
      </c>
      <c r="G88" s="53">
        <v>46161.25</v>
      </c>
      <c r="H88" s="52"/>
      <c r="I88" s="52" t="s">
        <v>3693</v>
      </c>
      <c r="J88" s="52" t="s">
        <v>3693</v>
      </c>
      <c r="K88" s="53">
        <v>46158.85</v>
      </c>
      <c r="L88" s="52"/>
      <c r="M88" s="54">
        <v>4.5</v>
      </c>
      <c r="N88" s="54">
        <v>2.7062499999999998</v>
      </c>
      <c r="O88" s="52"/>
      <c r="P88" s="52"/>
      <c r="Q88" s="52"/>
      <c r="R88" s="52"/>
      <c r="S88" s="52"/>
      <c r="T88" s="52" t="s">
        <v>3695</v>
      </c>
      <c r="U88" s="52" t="s">
        <v>3695</v>
      </c>
      <c r="V88" s="52"/>
      <c r="W88" s="52"/>
      <c r="X88" s="52"/>
      <c r="Y88" s="52"/>
      <c r="Z88" s="52" t="s">
        <v>3696</v>
      </c>
      <c r="AA88" s="52" t="s">
        <v>184</v>
      </c>
      <c r="AB88" s="52" t="s">
        <v>140</v>
      </c>
      <c r="AC88" s="52" t="s">
        <v>3703</v>
      </c>
      <c r="AD88" s="52" t="s">
        <v>3704</v>
      </c>
      <c r="AE88" s="52"/>
      <c r="AF88" s="52" t="s">
        <v>3774</v>
      </c>
      <c r="AG88" s="52" t="s">
        <v>3775</v>
      </c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>
        <v>0</v>
      </c>
      <c r="AT88" s="52"/>
      <c r="AU88" s="52"/>
      <c r="AV88" s="52" t="s">
        <v>163</v>
      </c>
      <c r="AW88" s="52"/>
    </row>
    <row r="89" spans="1:49">
      <c r="A89" s="52">
        <v>6011818</v>
      </c>
      <c r="B89" s="52" t="s">
        <v>3716</v>
      </c>
      <c r="C89" s="52" t="s">
        <v>3698</v>
      </c>
      <c r="D89" s="53">
        <v>46155.75</v>
      </c>
      <c r="E89" s="53">
        <v>46154.684027777781</v>
      </c>
      <c r="F89" s="53">
        <v>46156.222916666666</v>
      </c>
      <c r="G89" s="53">
        <v>46160.25</v>
      </c>
      <c r="H89" s="52"/>
      <c r="I89" s="52"/>
      <c r="J89" s="52" t="s">
        <v>3693</v>
      </c>
      <c r="K89" s="52"/>
      <c r="L89" s="52"/>
      <c r="M89" s="54">
        <v>4.0270833333333336</v>
      </c>
      <c r="N89" s="54">
        <v>2.2333333333333334</v>
      </c>
      <c r="O89" s="52" t="s">
        <v>3789</v>
      </c>
      <c r="P89" s="52" t="s">
        <v>184</v>
      </c>
      <c r="Q89" s="52" t="s">
        <v>182</v>
      </c>
      <c r="R89" s="52" t="s">
        <v>190</v>
      </c>
      <c r="S89" s="52" t="s">
        <v>3756</v>
      </c>
      <c r="T89" s="52" t="s">
        <v>3695</v>
      </c>
      <c r="U89" s="52" t="s">
        <v>3695</v>
      </c>
      <c r="V89" s="52" t="s">
        <v>3790</v>
      </c>
      <c r="W89" s="52">
        <v>15793709851</v>
      </c>
      <c r="X89" s="52" t="s">
        <v>73</v>
      </c>
      <c r="Y89" s="52"/>
      <c r="Z89" s="52" t="s">
        <v>3696</v>
      </c>
      <c r="AA89" s="52" t="s">
        <v>3710</v>
      </c>
      <c r="AB89" s="52"/>
      <c r="AC89" s="52" t="s">
        <v>3703</v>
      </c>
      <c r="AD89" s="52" t="s">
        <v>3704</v>
      </c>
      <c r="AE89" s="52" t="s">
        <v>140</v>
      </c>
      <c r="AF89" s="52" t="s">
        <v>3774</v>
      </c>
      <c r="AG89" s="52" t="s">
        <v>3775</v>
      </c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 t="s">
        <v>3696</v>
      </c>
      <c r="AT89" s="52"/>
      <c r="AU89" s="52"/>
      <c r="AV89" s="52"/>
      <c r="AW89" s="52"/>
    </row>
    <row r="90" spans="1:49">
      <c r="A90" s="52">
        <v>6011818</v>
      </c>
      <c r="B90" s="52" t="s">
        <v>3716</v>
      </c>
      <c r="C90" s="52" t="s">
        <v>3698</v>
      </c>
      <c r="D90" s="53">
        <v>46155.75</v>
      </c>
      <c r="E90" s="53">
        <v>46154.684027777781</v>
      </c>
      <c r="F90" s="53">
        <v>46156.222916666666</v>
      </c>
      <c r="G90" s="53">
        <v>46160.25</v>
      </c>
      <c r="H90" s="52"/>
      <c r="I90" s="52"/>
      <c r="J90" s="52" t="s">
        <v>3693</v>
      </c>
      <c r="K90" s="52"/>
      <c r="L90" s="52"/>
      <c r="M90" s="54">
        <v>4.0270833333333336</v>
      </c>
      <c r="N90" s="54">
        <v>2.2333333333333334</v>
      </c>
      <c r="O90" s="52" t="s">
        <v>3789</v>
      </c>
      <c r="P90" s="52" t="s">
        <v>184</v>
      </c>
      <c r="Q90" s="52" t="s">
        <v>182</v>
      </c>
      <c r="R90" s="52" t="s">
        <v>190</v>
      </c>
      <c r="S90" s="52" t="s">
        <v>3756</v>
      </c>
      <c r="T90" s="52" t="s">
        <v>3695</v>
      </c>
      <c r="U90" s="52" t="s">
        <v>3695</v>
      </c>
      <c r="V90" s="52" t="s">
        <v>3790</v>
      </c>
      <c r="W90" s="52">
        <v>15793709851</v>
      </c>
      <c r="X90" s="52" t="s">
        <v>73</v>
      </c>
      <c r="Y90" s="52"/>
      <c r="Z90" s="52" t="s">
        <v>3696</v>
      </c>
      <c r="AA90" s="52" t="s">
        <v>3710</v>
      </c>
      <c r="AB90" s="52"/>
      <c r="AC90" s="52" t="s">
        <v>3703</v>
      </c>
      <c r="AD90" s="52" t="s">
        <v>3704</v>
      </c>
      <c r="AE90" s="52"/>
      <c r="AF90" s="52" t="s">
        <v>3774</v>
      </c>
      <c r="AG90" s="52" t="s">
        <v>3775</v>
      </c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 t="s">
        <v>3696</v>
      </c>
      <c r="AT90" s="52"/>
      <c r="AU90" s="52"/>
      <c r="AV90" s="52"/>
      <c r="AW90" s="52" t="s">
        <v>163</v>
      </c>
    </row>
    <row r="91" spans="1:49">
      <c r="A91" s="52">
        <v>6011818</v>
      </c>
      <c r="B91" s="52" t="s">
        <v>3716</v>
      </c>
      <c r="C91" s="52" t="s">
        <v>3698</v>
      </c>
      <c r="D91" s="53">
        <v>46155.75</v>
      </c>
      <c r="E91" s="53">
        <v>46154.684027777781</v>
      </c>
      <c r="F91" s="53">
        <v>46156.227083333331</v>
      </c>
      <c r="G91" s="53">
        <v>46160.25</v>
      </c>
      <c r="H91" s="52"/>
      <c r="I91" s="52"/>
      <c r="J91" s="52" t="s">
        <v>3693</v>
      </c>
      <c r="K91" s="52"/>
      <c r="L91" s="52"/>
      <c r="M91" s="54">
        <v>4.0229166666666663</v>
      </c>
      <c r="N91" s="54">
        <v>2.2291666666666665</v>
      </c>
      <c r="O91" s="52" t="s">
        <v>183</v>
      </c>
      <c r="P91" s="52" t="s">
        <v>184</v>
      </c>
      <c r="Q91" s="52" t="s">
        <v>182</v>
      </c>
      <c r="R91" s="52" t="s">
        <v>190</v>
      </c>
      <c r="S91" s="52" t="s">
        <v>69</v>
      </c>
      <c r="T91" s="52" t="s">
        <v>3791</v>
      </c>
      <c r="U91" s="52" t="s">
        <v>3792</v>
      </c>
      <c r="V91" s="52" t="s">
        <v>3790</v>
      </c>
      <c r="W91" s="52">
        <v>15793709851</v>
      </c>
      <c r="X91" s="52" t="s">
        <v>73</v>
      </c>
      <c r="Y91" s="52"/>
      <c r="Z91" s="52" t="s">
        <v>3696</v>
      </c>
      <c r="AA91" s="52" t="s">
        <v>3710</v>
      </c>
      <c r="AB91" s="52"/>
      <c r="AC91" s="52" t="s">
        <v>3703</v>
      </c>
      <c r="AD91" s="52" t="s">
        <v>3704</v>
      </c>
      <c r="AE91" s="52" t="s">
        <v>140</v>
      </c>
      <c r="AF91" s="52" t="s">
        <v>3774</v>
      </c>
      <c r="AG91" s="52" t="s">
        <v>3775</v>
      </c>
      <c r="AH91" s="52"/>
      <c r="AI91" s="52"/>
      <c r="AJ91" s="52"/>
      <c r="AK91" s="52"/>
      <c r="AL91" s="55">
        <v>1.2500000000000001E-2</v>
      </c>
      <c r="AM91" s="52"/>
      <c r="AN91" s="52"/>
      <c r="AO91" s="52"/>
      <c r="AP91" s="55">
        <v>1.2500000000000001E-2</v>
      </c>
      <c r="AQ91" s="52"/>
      <c r="AR91" s="52"/>
      <c r="AS91" s="52" t="s">
        <v>3696</v>
      </c>
      <c r="AT91" s="52"/>
      <c r="AU91" s="52"/>
      <c r="AV91" s="52"/>
      <c r="AW91" s="52"/>
    </row>
    <row r="92" spans="1:49">
      <c r="A92" s="52">
        <v>6011818</v>
      </c>
      <c r="B92" s="52" t="s">
        <v>3716</v>
      </c>
      <c r="C92" s="52" t="s">
        <v>3698</v>
      </c>
      <c r="D92" s="53">
        <v>46155.75</v>
      </c>
      <c r="E92" s="53">
        <v>46154.684027777781</v>
      </c>
      <c r="F92" s="53">
        <v>46156.227083333331</v>
      </c>
      <c r="G92" s="53">
        <v>46160.25</v>
      </c>
      <c r="H92" s="52"/>
      <c r="I92" s="52"/>
      <c r="J92" s="52" t="s">
        <v>3693</v>
      </c>
      <c r="K92" s="52"/>
      <c r="L92" s="52"/>
      <c r="M92" s="54">
        <v>4.0229166666666663</v>
      </c>
      <c r="N92" s="54">
        <v>2.2291666666666665</v>
      </c>
      <c r="O92" s="52" t="s">
        <v>183</v>
      </c>
      <c r="P92" s="52" t="s">
        <v>184</v>
      </c>
      <c r="Q92" s="52" t="s">
        <v>182</v>
      </c>
      <c r="R92" s="52" t="s">
        <v>190</v>
      </c>
      <c r="S92" s="52" t="s">
        <v>69</v>
      </c>
      <c r="T92" s="52" t="s">
        <v>3791</v>
      </c>
      <c r="U92" s="52" t="s">
        <v>3792</v>
      </c>
      <c r="V92" s="52" t="s">
        <v>3790</v>
      </c>
      <c r="W92" s="52">
        <v>15793709851</v>
      </c>
      <c r="X92" s="52" t="s">
        <v>73</v>
      </c>
      <c r="Y92" s="52"/>
      <c r="Z92" s="52" t="s">
        <v>3696</v>
      </c>
      <c r="AA92" s="52" t="s">
        <v>3710</v>
      </c>
      <c r="AB92" s="52"/>
      <c r="AC92" s="52" t="s">
        <v>3703</v>
      </c>
      <c r="AD92" s="52" t="s">
        <v>3704</v>
      </c>
      <c r="AE92" s="52"/>
      <c r="AF92" s="52" t="s">
        <v>3774</v>
      </c>
      <c r="AG92" s="52" t="s">
        <v>3775</v>
      </c>
      <c r="AH92" s="52"/>
      <c r="AI92" s="52"/>
      <c r="AJ92" s="52"/>
      <c r="AK92" s="52"/>
      <c r="AL92" s="55">
        <v>1.2500000000000001E-2</v>
      </c>
      <c r="AM92" s="52"/>
      <c r="AN92" s="52"/>
      <c r="AO92" s="52"/>
      <c r="AP92" s="55">
        <v>1.2500000000000001E-2</v>
      </c>
      <c r="AQ92" s="52"/>
      <c r="AR92" s="52"/>
      <c r="AS92" s="52" t="s">
        <v>3696</v>
      </c>
      <c r="AT92" s="52"/>
      <c r="AU92" s="52"/>
      <c r="AV92" s="52"/>
      <c r="AW92" s="52" t="s">
        <v>163</v>
      </c>
    </row>
    <row r="93" spans="1:49">
      <c r="A93" s="52">
        <v>6011819</v>
      </c>
      <c r="B93" s="52" t="s">
        <v>3716</v>
      </c>
      <c r="C93" s="52" t="s">
        <v>3692</v>
      </c>
      <c r="D93" s="53">
        <v>46155.833333333336</v>
      </c>
      <c r="E93" s="53">
        <v>46154.679861111108</v>
      </c>
      <c r="F93" s="53">
        <v>46155.337500000001</v>
      </c>
      <c r="G93" s="53">
        <v>46161.25</v>
      </c>
      <c r="H93" s="52"/>
      <c r="I93" s="52" t="s">
        <v>3693</v>
      </c>
      <c r="J93" s="52" t="s">
        <v>3694</v>
      </c>
      <c r="K93" s="53">
        <v>46159.426388888889</v>
      </c>
      <c r="L93" s="52"/>
      <c r="M93" s="54">
        <v>6</v>
      </c>
      <c r="N93" s="54">
        <v>2.6229166666666668</v>
      </c>
      <c r="O93" s="52"/>
      <c r="P93" s="52"/>
      <c r="Q93" s="52"/>
      <c r="R93" s="52"/>
      <c r="S93" s="52"/>
      <c r="T93" s="52" t="s">
        <v>3772</v>
      </c>
      <c r="U93" s="52" t="s">
        <v>3793</v>
      </c>
      <c r="V93" s="52"/>
      <c r="W93" s="52"/>
      <c r="X93" s="52"/>
      <c r="Y93" s="52"/>
      <c r="Z93" s="52" t="s">
        <v>3696</v>
      </c>
      <c r="AA93" s="52" t="s">
        <v>89</v>
      </c>
      <c r="AB93" s="52" t="s">
        <v>140</v>
      </c>
      <c r="AC93" s="52" t="s">
        <v>3703</v>
      </c>
      <c r="AD93" s="52" t="s">
        <v>3704</v>
      </c>
      <c r="AE93" s="52"/>
      <c r="AF93" s="52" t="s">
        <v>3774</v>
      </c>
      <c r="AG93" s="52" t="s">
        <v>3775</v>
      </c>
      <c r="AH93" s="52"/>
      <c r="AI93" s="52"/>
      <c r="AJ93" s="52"/>
      <c r="AK93" s="52"/>
      <c r="AL93" s="55">
        <v>6.9444444444444441E-3</v>
      </c>
      <c r="AM93" s="52"/>
      <c r="AN93" s="52"/>
      <c r="AO93" s="52"/>
      <c r="AP93" s="52"/>
      <c r="AQ93" s="52"/>
      <c r="AR93" s="52"/>
      <c r="AS93" s="52">
        <v>0</v>
      </c>
      <c r="AT93" s="52"/>
      <c r="AU93" s="52"/>
      <c r="AV93" s="52" t="s">
        <v>163</v>
      </c>
      <c r="AW93" s="52"/>
    </row>
    <row r="94" spans="1:49">
      <c r="A94" s="52">
        <v>6011819</v>
      </c>
      <c r="B94" s="52" t="s">
        <v>3716</v>
      </c>
      <c r="C94" s="52" t="s">
        <v>3698</v>
      </c>
      <c r="D94" s="53">
        <v>46155.833333333336</v>
      </c>
      <c r="E94" s="53">
        <v>46154.679861111108</v>
      </c>
      <c r="F94" s="53">
        <v>46155.585416666669</v>
      </c>
      <c r="G94" s="53">
        <v>46161.25</v>
      </c>
      <c r="H94" s="52"/>
      <c r="I94" s="52"/>
      <c r="J94" s="52" t="s">
        <v>3694</v>
      </c>
      <c r="K94" s="53">
        <v>46159.426388888889</v>
      </c>
      <c r="L94" s="52"/>
      <c r="M94" s="54">
        <v>5.6645833333333337</v>
      </c>
      <c r="N94" s="54">
        <v>2.8708333333333331</v>
      </c>
      <c r="O94" s="52" t="s">
        <v>159</v>
      </c>
      <c r="P94" s="52" t="s">
        <v>89</v>
      </c>
      <c r="Q94" s="52" t="s">
        <v>158</v>
      </c>
      <c r="R94" s="52" t="s">
        <v>166</v>
      </c>
      <c r="S94" s="52" t="s">
        <v>69</v>
      </c>
      <c r="T94" s="52" t="s">
        <v>3772</v>
      </c>
      <c r="U94" s="52" t="s">
        <v>3793</v>
      </c>
      <c r="V94" s="52" t="s">
        <v>167</v>
      </c>
      <c r="W94" s="52">
        <v>11648900690</v>
      </c>
      <c r="X94" s="52" t="s">
        <v>73</v>
      </c>
      <c r="Y94" s="52"/>
      <c r="Z94" s="52" t="s">
        <v>3696</v>
      </c>
      <c r="AA94" s="52" t="s">
        <v>3710</v>
      </c>
      <c r="AB94" s="52"/>
      <c r="AC94" s="52" t="s">
        <v>3703</v>
      </c>
      <c r="AD94" s="52" t="s">
        <v>3704</v>
      </c>
      <c r="AE94" s="52" t="s">
        <v>140</v>
      </c>
      <c r="AF94" s="52" t="s">
        <v>3774</v>
      </c>
      <c r="AG94" s="52" t="s">
        <v>3775</v>
      </c>
      <c r="AH94" s="52"/>
      <c r="AI94" s="53">
        <v>46155.627083333333</v>
      </c>
      <c r="AJ94" s="53">
        <v>46155.634027777778</v>
      </c>
      <c r="AK94" s="53">
        <v>46155.627083333333</v>
      </c>
      <c r="AL94" s="55">
        <v>6.9444444444444441E-3</v>
      </c>
      <c r="AM94" s="52"/>
      <c r="AN94" s="55">
        <v>6.9444444444444441E-3</v>
      </c>
      <c r="AO94" s="52"/>
      <c r="AP94" s="55">
        <v>6.9444444444444441E-3</v>
      </c>
      <c r="AQ94" s="52"/>
      <c r="AR94" s="52"/>
      <c r="AS94" s="52" t="s">
        <v>3696</v>
      </c>
      <c r="AT94" s="52"/>
      <c r="AU94" s="52"/>
      <c r="AV94" s="52"/>
      <c r="AW94" s="52"/>
    </row>
    <row r="95" spans="1:49">
      <c r="A95" s="52">
        <v>6011819</v>
      </c>
      <c r="B95" s="52" t="s">
        <v>3716</v>
      </c>
      <c r="C95" s="52" t="s">
        <v>3698</v>
      </c>
      <c r="D95" s="53">
        <v>46155.833333333336</v>
      </c>
      <c r="E95" s="53">
        <v>46154.679861111108</v>
      </c>
      <c r="F95" s="53">
        <v>46155.585416666669</v>
      </c>
      <c r="G95" s="53">
        <v>46161.25</v>
      </c>
      <c r="H95" s="52"/>
      <c r="I95" s="52"/>
      <c r="J95" s="52" t="s">
        <v>3694</v>
      </c>
      <c r="K95" s="53">
        <v>46159.426388888889</v>
      </c>
      <c r="L95" s="52"/>
      <c r="M95" s="54">
        <v>5.6645833333333337</v>
      </c>
      <c r="N95" s="54">
        <v>2.8708333333333331</v>
      </c>
      <c r="O95" s="52" t="s">
        <v>159</v>
      </c>
      <c r="P95" s="52" t="s">
        <v>89</v>
      </c>
      <c r="Q95" s="52" t="s">
        <v>158</v>
      </c>
      <c r="R95" s="52" t="s">
        <v>166</v>
      </c>
      <c r="S95" s="52" t="s">
        <v>69</v>
      </c>
      <c r="T95" s="52" t="s">
        <v>3772</v>
      </c>
      <c r="U95" s="52" t="s">
        <v>3793</v>
      </c>
      <c r="V95" s="52" t="s">
        <v>167</v>
      </c>
      <c r="W95" s="52">
        <v>11648900690</v>
      </c>
      <c r="X95" s="52" t="s">
        <v>73</v>
      </c>
      <c r="Y95" s="52"/>
      <c r="Z95" s="52" t="s">
        <v>3696</v>
      </c>
      <c r="AA95" s="52" t="s">
        <v>3710</v>
      </c>
      <c r="AB95" s="52"/>
      <c r="AC95" s="52" t="s">
        <v>3703</v>
      </c>
      <c r="AD95" s="52" t="s">
        <v>3704</v>
      </c>
      <c r="AE95" s="52"/>
      <c r="AF95" s="52" t="s">
        <v>3774</v>
      </c>
      <c r="AG95" s="52" t="s">
        <v>3775</v>
      </c>
      <c r="AH95" s="52"/>
      <c r="AI95" s="53">
        <v>46155.627083333333</v>
      </c>
      <c r="AJ95" s="53">
        <v>46155.634027777778</v>
      </c>
      <c r="AK95" s="53">
        <v>46155.627083333333</v>
      </c>
      <c r="AL95" s="55">
        <v>6.9444444444444441E-3</v>
      </c>
      <c r="AM95" s="52"/>
      <c r="AN95" s="55">
        <v>6.9444444444444441E-3</v>
      </c>
      <c r="AO95" s="52"/>
      <c r="AP95" s="55">
        <v>6.9444444444444441E-3</v>
      </c>
      <c r="AQ95" s="52"/>
      <c r="AR95" s="52"/>
      <c r="AS95" s="52" t="s">
        <v>3696</v>
      </c>
      <c r="AT95" s="52"/>
      <c r="AU95" s="52"/>
      <c r="AV95" s="52"/>
      <c r="AW95" s="52" t="s">
        <v>163</v>
      </c>
    </row>
    <row r="96" spans="1:49">
      <c r="A96" s="52">
        <v>6011820</v>
      </c>
      <c r="B96" s="52" t="s">
        <v>3691</v>
      </c>
      <c r="C96" s="52" t="s">
        <v>3692</v>
      </c>
      <c r="D96" s="53">
        <v>46157.833333333336</v>
      </c>
      <c r="E96" s="53">
        <v>46156.68472222222</v>
      </c>
      <c r="F96" s="52"/>
      <c r="G96" s="52"/>
      <c r="H96" s="52"/>
      <c r="I96" s="52" t="s">
        <v>3693</v>
      </c>
      <c r="J96" s="52" t="s">
        <v>3694</v>
      </c>
      <c r="K96" s="52"/>
      <c r="L96" s="52"/>
      <c r="M96" s="54">
        <v>3.5951388888888891</v>
      </c>
      <c r="N96" s="54">
        <v>2.1986111111111111</v>
      </c>
      <c r="O96" s="52"/>
      <c r="P96" s="52"/>
      <c r="Q96" s="52"/>
      <c r="R96" s="52"/>
      <c r="S96" s="52"/>
      <c r="T96" s="52" t="s">
        <v>3695</v>
      </c>
      <c r="U96" s="52" t="s">
        <v>3695</v>
      </c>
      <c r="V96" s="52"/>
      <c r="W96" s="52"/>
      <c r="X96" s="52"/>
      <c r="Y96" s="52"/>
      <c r="Z96" s="52" t="s">
        <v>3696</v>
      </c>
      <c r="AA96" s="52" t="s">
        <v>102</v>
      </c>
      <c r="AB96" s="52" t="s">
        <v>140</v>
      </c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>
        <v>0</v>
      </c>
      <c r="AT96" s="52"/>
      <c r="AU96" s="52"/>
      <c r="AV96" s="52" t="s">
        <v>163</v>
      </c>
      <c r="AW96" s="52"/>
    </row>
    <row r="97" spans="1:49">
      <c r="A97" s="52">
        <v>6011820</v>
      </c>
      <c r="B97" s="52" t="s">
        <v>3691</v>
      </c>
      <c r="C97" s="52" t="s">
        <v>3698</v>
      </c>
      <c r="D97" s="53">
        <v>46157.833333333336</v>
      </c>
      <c r="E97" s="53">
        <v>46156.68472222222</v>
      </c>
      <c r="F97" s="52"/>
      <c r="G97" s="52"/>
      <c r="H97" s="52"/>
      <c r="I97" s="52"/>
      <c r="J97" s="52" t="s">
        <v>3694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 t="s">
        <v>3696</v>
      </c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>
        <v>0</v>
      </c>
      <c r="AT97" s="52"/>
      <c r="AU97" s="52"/>
      <c r="AV97" s="52"/>
      <c r="AW97" s="52"/>
    </row>
    <row r="98" spans="1:49">
      <c r="A98" s="52">
        <v>6011821</v>
      </c>
      <c r="B98" s="52" t="s">
        <v>3716</v>
      </c>
      <c r="C98" s="52" t="s">
        <v>3692</v>
      </c>
      <c r="D98" s="53">
        <v>46155.833333333336</v>
      </c>
      <c r="E98" s="53">
        <v>46154.677777777775</v>
      </c>
      <c r="F98" s="53">
        <v>46155.337500000001</v>
      </c>
      <c r="G98" s="53">
        <v>46161.25</v>
      </c>
      <c r="H98" s="52"/>
      <c r="I98" s="52" t="s">
        <v>3693</v>
      </c>
      <c r="J98" s="52" t="s">
        <v>3694</v>
      </c>
      <c r="K98" s="53">
        <v>46159.426388888889</v>
      </c>
      <c r="L98" s="52"/>
      <c r="M98" s="54">
        <v>5.416666666666667</v>
      </c>
      <c r="N98" s="54">
        <v>2.6229166666666668</v>
      </c>
      <c r="O98" s="52"/>
      <c r="P98" s="52"/>
      <c r="Q98" s="52"/>
      <c r="R98" s="52"/>
      <c r="S98" s="52"/>
      <c r="T98" s="52" t="s">
        <v>3772</v>
      </c>
      <c r="U98" s="52" t="s">
        <v>3793</v>
      </c>
      <c r="V98" s="52"/>
      <c r="W98" s="52"/>
      <c r="X98" s="52"/>
      <c r="Y98" s="52"/>
      <c r="Z98" s="52" t="s">
        <v>3696</v>
      </c>
      <c r="AA98" s="52" t="s">
        <v>89</v>
      </c>
      <c r="AB98" s="52" t="s">
        <v>140</v>
      </c>
      <c r="AC98" s="52" t="s">
        <v>3703</v>
      </c>
      <c r="AD98" s="52" t="s">
        <v>3704</v>
      </c>
      <c r="AE98" s="52"/>
      <c r="AF98" s="52" t="s">
        <v>3774</v>
      </c>
      <c r="AG98" s="52" t="s">
        <v>3775</v>
      </c>
      <c r="AH98" s="52"/>
      <c r="AI98" s="52"/>
      <c r="AJ98" s="52"/>
      <c r="AK98" s="52"/>
      <c r="AL98" s="55">
        <v>6.9444444444444441E-3</v>
      </c>
      <c r="AM98" s="52"/>
      <c r="AN98" s="52"/>
      <c r="AO98" s="52"/>
      <c r="AP98" s="52"/>
      <c r="AQ98" s="52"/>
      <c r="AR98" s="52"/>
      <c r="AS98" s="52">
        <v>0</v>
      </c>
      <c r="AT98" s="52"/>
      <c r="AU98" s="52"/>
      <c r="AV98" s="52" t="s">
        <v>163</v>
      </c>
      <c r="AW98" s="52"/>
    </row>
    <row r="99" spans="1:49">
      <c r="A99" s="52">
        <v>6011821</v>
      </c>
      <c r="B99" s="52" t="s">
        <v>3716</v>
      </c>
      <c r="C99" s="52" t="s">
        <v>3698</v>
      </c>
      <c r="D99" s="53">
        <v>46155.833333333336</v>
      </c>
      <c r="E99" s="53">
        <v>46154.677777777775</v>
      </c>
      <c r="F99" s="53">
        <v>46155.585416666669</v>
      </c>
      <c r="G99" s="53">
        <v>46161.25</v>
      </c>
      <c r="H99" s="52"/>
      <c r="I99" s="52"/>
      <c r="J99" s="52" t="s">
        <v>3694</v>
      </c>
      <c r="K99" s="53">
        <v>46159.426388888889</v>
      </c>
      <c r="L99" s="52"/>
      <c r="M99" s="54">
        <v>5.6645833333333337</v>
      </c>
      <c r="N99" s="54">
        <v>2.8708333333333331</v>
      </c>
      <c r="O99" s="52" t="s">
        <v>159</v>
      </c>
      <c r="P99" s="52" t="s">
        <v>89</v>
      </c>
      <c r="Q99" s="52" t="s">
        <v>158</v>
      </c>
      <c r="R99" s="52" t="s">
        <v>166</v>
      </c>
      <c r="S99" s="52" t="s">
        <v>69</v>
      </c>
      <c r="T99" s="52" t="s">
        <v>3772</v>
      </c>
      <c r="U99" s="52" t="s">
        <v>3793</v>
      </c>
      <c r="V99" s="52" t="s">
        <v>167</v>
      </c>
      <c r="W99" s="52">
        <v>11648900690</v>
      </c>
      <c r="X99" s="52" t="s">
        <v>73</v>
      </c>
      <c r="Y99" s="52"/>
      <c r="Z99" s="52" t="s">
        <v>3696</v>
      </c>
      <c r="AA99" s="52" t="s">
        <v>3710</v>
      </c>
      <c r="AB99" s="52"/>
      <c r="AC99" s="52" t="s">
        <v>3703</v>
      </c>
      <c r="AD99" s="52" t="s">
        <v>3704</v>
      </c>
      <c r="AE99" s="52" t="s">
        <v>140</v>
      </c>
      <c r="AF99" s="52" t="s">
        <v>3774</v>
      </c>
      <c r="AG99" s="52" t="s">
        <v>3775</v>
      </c>
      <c r="AH99" s="52"/>
      <c r="AI99" s="53">
        <v>46155.627083333333</v>
      </c>
      <c r="AJ99" s="53">
        <v>46155.634027777778</v>
      </c>
      <c r="AK99" s="53">
        <v>46155.627083333333</v>
      </c>
      <c r="AL99" s="55">
        <v>6.9444444444444441E-3</v>
      </c>
      <c r="AM99" s="52"/>
      <c r="AN99" s="55">
        <v>6.9444444444444441E-3</v>
      </c>
      <c r="AO99" s="52"/>
      <c r="AP99" s="55">
        <v>6.9444444444444441E-3</v>
      </c>
      <c r="AQ99" s="52"/>
      <c r="AR99" s="52"/>
      <c r="AS99" s="52" t="s">
        <v>3696</v>
      </c>
      <c r="AT99" s="52"/>
      <c r="AU99" s="52"/>
      <c r="AV99" s="52"/>
      <c r="AW99" s="52"/>
    </row>
    <row r="100" spans="1:49">
      <c r="A100" s="52">
        <v>6011821</v>
      </c>
      <c r="B100" s="52" t="s">
        <v>3716</v>
      </c>
      <c r="C100" s="52" t="s">
        <v>3698</v>
      </c>
      <c r="D100" s="53">
        <v>46155.833333333336</v>
      </c>
      <c r="E100" s="53">
        <v>46154.677777777775</v>
      </c>
      <c r="F100" s="53">
        <v>46155.585416666669</v>
      </c>
      <c r="G100" s="53">
        <v>46161.25</v>
      </c>
      <c r="H100" s="52"/>
      <c r="I100" s="52"/>
      <c r="J100" s="52" t="s">
        <v>3694</v>
      </c>
      <c r="K100" s="53">
        <v>46159.426388888889</v>
      </c>
      <c r="L100" s="52"/>
      <c r="M100" s="54">
        <v>5.6645833333333337</v>
      </c>
      <c r="N100" s="54">
        <v>2.8708333333333331</v>
      </c>
      <c r="O100" s="52" t="s">
        <v>159</v>
      </c>
      <c r="P100" s="52" t="s">
        <v>89</v>
      </c>
      <c r="Q100" s="52" t="s">
        <v>158</v>
      </c>
      <c r="R100" s="52" t="s">
        <v>166</v>
      </c>
      <c r="S100" s="52" t="s">
        <v>69</v>
      </c>
      <c r="T100" s="52" t="s">
        <v>3772</v>
      </c>
      <c r="U100" s="52" t="s">
        <v>3793</v>
      </c>
      <c r="V100" s="52" t="s">
        <v>167</v>
      </c>
      <c r="W100" s="52">
        <v>11648900690</v>
      </c>
      <c r="X100" s="52" t="s">
        <v>73</v>
      </c>
      <c r="Y100" s="52"/>
      <c r="Z100" s="52" t="s">
        <v>3696</v>
      </c>
      <c r="AA100" s="52" t="s">
        <v>3710</v>
      </c>
      <c r="AB100" s="52"/>
      <c r="AC100" s="52" t="s">
        <v>3703</v>
      </c>
      <c r="AD100" s="52" t="s">
        <v>3704</v>
      </c>
      <c r="AE100" s="52"/>
      <c r="AF100" s="52" t="s">
        <v>3774</v>
      </c>
      <c r="AG100" s="52" t="s">
        <v>3775</v>
      </c>
      <c r="AH100" s="52"/>
      <c r="AI100" s="53">
        <v>46155.627083333333</v>
      </c>
      <c r="AJ100" s="53">
        <v>46155.634027777778</v>
      </c>
      <c r="AK100" s="53">
        <v>46155.627083333333</v>
      </c>
      <c r="AL100" s="55">
        <v>6.9444444444444441E-3</v>
      </c>
      <c r="AM100" s="52"/>
      <c r="AN100" s="55">
        <v>6.9444444444444441E-3</v>
      </c>
      <c r="AO100" s="52"/>
      <c r="AP100" s="55">
        <v>6.9444444444444441E-3</v>
      </c>
      <c r="AQ100" s="52"/>
      <c r="AR100" s="52"/>
      <c r="AS100" s="52" t="s">
        <v>3696</v>
      </c>
      <c r="AT100" s="52"/>
      <c r="AU100" s="52"/>
      <c r="AV100" s="52"/>
      <c r="AW100" s="52" t="s">
        <v>163</v>
      </c>
    </row>
    <row r="101" spans="1:49">
      <c r="A101" s="52">
        <v>6012700</v>
      </c>
      <c r="B101" s="52" t="s">
        <v>3691</v>
      </c>
      <c r="C101" s="52" t="s">
        <v>3692</v>
      </c>
      <c r="D101" s="53">
        <v>46160.625</v>
      </c>
      <c r="E101" s="53">
        <v>46157.709027777775</v>
      </c>
      <c r="F101" s="52"/>
      <c r="G101" s="52"/>
      <c r="H101" s="52"/>
      <c r="I101" s="52" t="s">
        <v>3693</v>
      </c>
      <c r="J101" s="52" t="s">
        <v>3694</v>
      </c>
      <c r="K101" s="52"/>
      <c r="L101" s="52"/>
      <c r="M101" s="55">
        <v>0.15277777777777779</v>
      </c>
      <c r="N101" s="54">
        <v>2.6409722222222221</v>
      </c>
      <c r="O101" s="52"/>
      <c r="P101" s="52"/>
      <c r="Q101" s="52"/>
      <c r="R101" s="52"/>
      <c r="S101" s="52"/>
      <c r="T101" s="52" t="s">
        <v>3695</v>
      </c>
      <c r="U101" s="52" t="s">
        <v>3695</v>
      </c>
      <c r="V101" s="52"/>
      <c r="W101" s="52"/>
      <c r="X101" s="52"/>
      <c r="Y101" s="52"/>
      <c r="Z101" s="52" t="s">
        <v>3696</v>
      </c>
      <c r="AA101" s="52" t="s">
        <v>440</v>
      </c>
      <c r="AB101" s="52" t="s">
        <v>79</v>
      </c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>
        <v>0</v>
      </c>
      <c r="AT101" s="52"/>
      <c r="AU101" s="52"/>
      <c r="AV101" s="52" t="s">
        <v>3794</v>
      </c>
      <c r="AW101" s="52"/>
    </row>
    <row r="102" spans="1:49">
      <c r="A102" s="52">
        <v>6012700</v>
      </c>
      <c r="B102" s="52" t="s">
        <v>3691</v>
      </c>
      <c r="C102" s="52" t="s">
        <v>3698</v>
      </c>
      <c r="D102" s="53">
        <v>46160.625</v>
      </c>
      <c r="E102" s="53">
        <v>46157.709027777775</v>
      </c>
      <c r="F102" s="52"/>
      <c r="G102" s="52"/>
      <c r="H102" s="52"/>
      <c r="I102" s="52"/>
      <c r="J102" s="52" t="s">
        <v>3694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 t="s">
        <v>3696</v>
      </c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>
        <v>0</v>
      </c>
      <c r="AT102" s="52"/>
      <c r="AU102" s="52"/>
      <c r="AV102" s="52"/>
      <c r="AW102" s="52"/>
    </row>
    <row r="103" spans="1:49">
      <c r="A103" s="52">
        <v>6012702</v>
      </c>
      <c r="B103" s="52" t="s">
        <v>3691</v>
      </c>
      <c r="C103" s="52" t="s">
        <v>3692</v>
      </c>
      <c r="D103" s="53">
        <v>46154.708333333336</v>
      </c>
      <c r="E103" s="53">
        <v>46153.586805555555</v>
      </c>
      <c r="F103" s="52"/>
      <c r="G103" s="52"/>
      <c r="H103" s="52"/>
      <c r="I103" s="52" t="s">
        <v>3693</v>
      </c>
      <c r="J103" s="52" t="s">
        <v>3694</v>
      </c>
      <c r="K103" s="52"/>
      <c r="L103" s="52"/>
      <c r="M103" s="54">
        <v>3.6013888888888888</v>
      </c>
      <c r="N103" s="54">
        <v>8.1923611111111114</v>
      </c>
      <c r="O103" s="52"/>
      <c r="P103" s="52"/>
      <c r="Q103" s="52"/>
      <c r="R103" s="52"/>
      <c r="S103" s="52"/>
      <c r="T103" s="52" t="s">
        <v>3695</v>
      </c>
      <c r="U103" s="52" t="s">
        <v>3695</v>
      </c>
      <c r="V103" s="52"/>
      <c r="W103" s="52"/>
      <c r="X103" s="52"/>
      <c r="Y103" s="52"/>
      <c r="Z103" s="52" t="s">
        <v>3696</v>
      </c>
      <c r="AA103" s="52" t="s">
        <v>102</v>
      </c>
      <c r="AB103" s="52" t="s">
        <v>79</v>
      </c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>
        <v>0</v>
      </c>
      <c r="AT103" s="52"/>
      <c r="AU103" s="52"/>
      <c r="AV103" s="52" t="s">
        <v>107</v>
      </c>
      <c r="AW103" s="52"/>
    </row>
    <row r="104" spans="1:49">
      <c r="A104" s="52">
        <v>6012702</v>
      </c>
      <c r="B104" s="52" t="s">
        <v>3691</v>
      </c>
      <c r="C104" s="52" t="s">
        <v>3698</v>
      </c>
      <c r="D104" s="53">
        <v>46154.708333333336</v>
      </c>
      <c r="E104" s="53">
        <v>46153.586805555555</v>
      </c>
      <c r="F104" s="52"/>
      <c r="G104" s="52"/>
      <c r="H104" s="52"/>
      <c r="I104" s="52"/>
      <c r="J104" s="52" t="s">
        <v>3694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 t="s">
        <v>3696</v>
      </c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>
        <v>0</v>
      </c>
      <c r="AT104" s="52"/>
      <c r="AU104" s="52"/>
      <c r="AV104" s="52"/>
      <c r="AW104" s="52"/>
    </row>
    <row r="105" spans="1:49">
      <c r="A105" s="52">
        <v>6012703</v>
      </c>
      <c r="B105" s="52" t="s">
        <v>3691</v>
      </c>
      <c r="C105" s="52" t="s">
        <v>3692</v>
      </c>
      <c r="D105" s="53">
        <v>46155.75</v>
      </c>
      <c r="E105" s="53">
        <v>46155.323611111111</v>
      </c>
      <c r="F105" s="52"/>
      <c r="G105" s="52"/>
      <c r="H105" s="52"/>
      <c r="I105" s="52" t="s">
        <v>3693</v>
      </c>
      <c r="J105" s="52" t="s">
        <v>3694</v>
      </c>
      <c r="K105" s="52"/>
      <c r="L105" s="52"/>
      <c r="M105" s="55">
        <v>0.44236111111111109</v>
      </c>
      <c r="N105" s="54">
        <v>11.35138888888889</v>
      </c>
      <c r="O105" s="52"/>
      <c r="P105" s="52"/>
      <c r="Q105" s="52"/>
      <c r="R105" s="52"/>
      <c r="S105" s="52"/>
      <c r="T105" s="52" t="s">
        <v>3695</v>
      </c>
      <c r="U105" s="52" t="s">
        <v>3695</v>
      </c>
      <c r="V105" s="52"/>
      <c r="W105" s="52"/>
      <c r="X105" s="52"/>
      <c r="Y105" s="52"/>
      <c r="Z105" s="52" t="s">
        <v>3696</v>
      </c>
      <c r="AA105" s="52" t="s">
        <v>836</v>
      </c>
      <c r="AB105" s="52" t="s">
        <v>79</v>
      </c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>
        <v>0</v>
      </c>
      <c r="AT105" s="52"/>
      <c r="AU105" s="52"/>
      <c r="AV105" s="52" t="s">
        <v>840</v>
      </c>
      <c r="AW105" s="52"/>
    </row>
    <row r="106" spans="1:49">
      <c r="A106" s="52">
        <v>6012703</v>
      </c>
      <c r="B106" s="52" t="s">
        <v>3691</v>
      </c>
      <c r="C106" s="52" t="s">
        <v>3698</v>
      </c>
      <c r="D106" s="53">
        <v>46155.75</v>
      </c>
      <c r="E106" s="53">
        <v>46155.323611111111</v>
      </c>
      <c r="F106" s="52"/>
      <c r="G106" s="52"/>
      <c r="H106" s="52"/>
      <c r="I106" s="52"/>
      <c r="J106" s="52" t="s">
        <v>3694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 t="s">
        <v>3696</v>
      </c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>
        <v>0</v>
      </c>
      <c r="AT106" s="52"/>
      <c r="AU106" s="52"/>
      <c r="AV106" s="52"/>
      <c r="AW106" s="52"/>
    </row>
    <row r="107" spans="1:49">
      <c r="A107" s="52">
        <v>6012704</v>
      </c>
      <c r="B107" s="52" t="s">
        <v>3691</v>
      </c>
      <c r="C107" s="52" t="s">
        <v>3692</v>
      </c>
      <c r="D107" s="53">
        <v>46155.75</v>
      </c>
      <c r="E107" s="53">
        <v>46155.323611111111</v>
      </c>
      <c r="F107" s="52"/>
      <c r="G107" s="52"/>
      <c r="H107" s="52"/>
      <c r="I107" s="52" t="s">
        <v>3693</v>
      </c>
      <c r="J107" s="52" t="s">
        <v>3694</v>
      </c>
      <c r="K107" s="52"/>
      <c r="L107" s="52"/>
      <c r="M107" s="55">
        <v>0.44236111111111109</v>
      </c>
      <c r="N107" s="54">
        <v>4.3513888888888888</v>
      </c>
      <c r="O107" s="52"/>
      <c r="P107" s="52"/>
      <c r="Q107" s="52"/>
      <c r="R107" s="52"/>
      <c r="S107" s="52"/>
      <c r="T107" s="52" t="s">
        <v>3695</v>
      </c>
      <c r="U107" s="52" t="s">
        <v>3695</v>
      </c>
      <c r="V107" s="52"/>
      <c r="W107" s="52"/>
      <c r="X107" s="52"/>
      <c r="Y107" s="52"/>
      <c r="Z107" s="52" t="s">
        <v>3696</v>
      </c>
      <c r="AA107" s="52" t="s">
        <v>836</v>
      </c>
      <c r="AB107" s="52" t="s">
        <v>79</v>
      </c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>
        <v>0</v>
      </c>
      <c r="AT107" s="52"/>
      <c r="AU107" s="52"/>
      <c r="AV107" s="52" t="s">
        <v>840</v>
      </c>
      <c r="AW107" s="52"/>
    </row>
    <row r="108" spans="1:49">
      <c r="A108" s="52">
        <v>6012704</v>
      </c>
      <c r="B108" s="52" t="s">
        <v>3691</v>
      </c>
      <c r="C108" s="52" t="s">
        <v>3698</v>
      </c>
      <c r="D108" s="53">
        <v>46155.75</v>
      </c>
      <c r="E108" s="53">
        <v>46155.323611111111</v>
      </c>
      <c r="F108" s="52"/>
      <c r="G108" s="52"/>
      <c r="H108" s="52"/>
      <c r="I108" s="52"/>
      <c r="J108" s="52" t="s">
        <v>3694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 t="s">
        <v>3696</v>
      </c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>
        <v>0</v>
      </c>
      <c r="AT108" s="52"/>
      <c r="AU108" s="52"/>
      <c r="AV108" s="52"/>
      <c r="AW108" s="52"/>
    </row>
    <row r="109" spans="1:49">
      <c r="A109" s="52">
        <v>6012705</v>
      </c>
      <c r="B109" s="52" t="s">
        <v>3691</v>
      </c>
      <c r="C109" s="52" t="s">
        <v>3692</v>
      </c>
      <c r="D109" s="53">
        <v>46154.666666666664</v>
      </c>
      <c r="E109" s="53">
        <v>46153.586805555555</v>
      </c>
      <c r="F109" s="52"/>
      <c r="G109" s="52"/>
      <c r="H109" s="52"/>
      <c r="I109" s="52" t="s">
        <v>3693</v>
      </c>
      <c r="J109" s="52" t="s">
        <v>3694</v>
      </c>
      <c r="K109" s="52"/>
      <c r="L109" s="52"/>
      <c r="M109" s="54">
        <v>2.7201388888888891</v>
      </c>
      <c r="N109" s="54">
        <v>7.0736111111111111</v>
      </c>
      <c r="O109" s="52"/>
      <c r="P109" s="52"/>
      <c r="Q109" s="52"/>
      <c r="R109" s="52"/>
      <c r="S109" s="52"/>
      <c r="T109" s="52" t="s">
        <v>3695</v>
      </c>
      <c r="U109" s="52" t="s">
        <v>3695</v>
      </c>
      <c r="V109" s="52"/>
      <c r="W109" s="52"/>
      <c r="X109" s="52"/>
      <c r="Y109" s="52"/>
      <c r="Z109" s="52" t="s">
        <v>3696</v>
      </c>
      <c r="AA109" s="52" t="s">
        <v>102</v>
      </c>
      <c r="AB109" s="52" t="s">
        <v>79</v>
      </c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>
        <v>0</v>
      </c>
      <c r="AT109" s="52"/>
      <c r="AU109" s="52"/>
      <c r="AV109" s="52" t="s">
        <v>3795</v>
      </c>
      <c r="AW109" s="52"/>
    </row>
    <row r="110" spans="1:49">
      <c r="A110" s="52">
        <v>6012705</v>
      </c>
      <c r="B110" s="52" t="s">
        <v>3691</v>
      </c>
      <c r="C110" s="52" t="s">
        <v>3698</v>
      </c>
      <c r="D110" s="53">
        <v>46154.666666666664</v>
      </c>
      <c r="E110" s="53">
        <v>46153.586805555555</v>
      </c>
      <c r="F110" s="52"/>
      <c r="G110" s="52"/>
      <c r="H110" s="52"/>
      <c r="I110" s="52"/>
      <c r="J110" s="52" t="s">
        <v>3694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 t="s">
        <v>3696</v>
      </c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>
        <v>0</v>
      </c>
      <c r="AT110" s="52"/>
      <c r="AU110" s="52"/>
      <c r="AV110" s="52"/>
      <c r="AW110" s="52"/>
    </row>
    <row r="111" spans="1:49">
      <c r="A111" s="52">
        <v>6012708</v>
      </c>
      <c r="B111" s="52" t="s">
        <v>3691</v>
      </c>
      <c r="C111" s="52" t="s">
        <v>3692</v>
      </c>
      <c r="D111" s="53">
        <v>46154.458333333336</v>
      </c>
      <c r="E111" s="53">
        <v>46155.390277777777</v>
      </c>
      <c r="F111" s="52"/>
      <c r="G111" s="52"/>
      <c r="H111" s="52"/>
      <c r="I111" s="52" t="s">
        <v>3693</v>
      </c>
      <c r="J111" s="52" t="s">
        <v>3694</v>
      </c>
      <c r="K111" s="52"/>
      <c r="L111" s="52"/>
      <c r="M111" s="55">
        <v>0.53749999999999998</v>
      </c>
      <c r="N111" s="54">
        <v>1.2562500000000001</v>
      </c>
      <c r="O111" s="52"/>
      <c r="P111" s="52"/>
      <c r="Q111" s="52"/>
      <c r="R111" s="52"/>
      <c r="S111" s="52"/>
      <c r="T111" s="52" t="s">
        <v>3695</v>
      </c>
      <c r="U111" s="52" t="s">
        <v>3695</v>
      </c>
      <c r="V111" s="52"/>
      <c r="W111" s="52"/>
      <c r="X111" s="52"/>
      <c r="Y111" s="52"/>
      <c r="Z111" s="52" t="s">
        <v>3696</v>
      </c>
      <c r="AA111" s="52" t="s">
        <v>227</v>
      </c>
      <c r="AB111" s="52" t="s">
        <v>79</v>
      </c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>
        <v>0</v>
      </c>
      <c r="AT111" s="52"/>
      <c r="AU111" s="52"/>
      <c r="AV111" s="52" t="s">
        <v>2093</v>
      </c>
      <c r="AW111" s="52"/>
    </row>
    <row r="112" spans="1:49">
      <c r="A112" s="52">
        <v>6012708</v>
      </c>
      <c r="B112" s="52" t="s">
        <v>3691</v>
      </c>
      <c r="C112" s="52" t="s">
        <v>3698</v>
      </c>
      <c r="D112" s="53">
        <v>46154.458333333336</v>
      </c>
      <c r="E112" s="53">
        <v>46155.390277777777</v>
      </c>
      <c r="F112" s="52"/>
      <c r="G112" s="52"/>
      <c r="H112" s="52"/>
      <c r="I112" s="52"/>
      <c r="J112" s="52" t="s">
        <v>3694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 t="s">
        <v>3696</v>
      </c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>
        <v>0</v>
      </c>
      <c r="AT112" s="52"/>
      <c r="AU112" s="52"/>
      <c r="AV112" s="52"/>
      <c r="AW112" s="52"/>
    </row>
    <row r="113" spans="1:49">
      <c r="A113" s="52">
        <v>6012709</v>
      </c>
      <c r="B113" s="52" t="s">
        <v>3723</v>
      </c>
      <c r="C113" s="52" t="s">
        <v>3692</v>
      </c>
      <c r="D113" s="53">
        <v>46157.708333333336</v>
      </c>
      <c r="E113" s="53">
        <v>46156.68472222222</v>
      </c>
      <c r="F113" s="53">
        <v>46157.834027777775</v>
      </c>
      <c r="G113" s="53">
        <v>46168.85833333333</v>
      </c>
      <c r="H113" s="53">
        <v>46157.837500000001</v>
      </c>
      <c r="I113" s="52" t="s">
        <v>3693</v>
      </c>
      <c r="J113" s="52" t="s">
        <v>3693</v>
      </c>
      <c r="K113" s="52"/>
      <c r="L113" s="52"/>
      <c r="M113" s="55">
        <v>0.39166666666666666</v>
      </c>
      <c r="N113" s="54">
        <v>10.402083333333334</v>
      </c>
      <c r="O113" s="52"/>
      <c r="P113" s="52"/>
      <c r="Q113" s="52"/>
      <c r="R113" s="52"/>
      <c r="S113" s="52"/>
      <c r="T113" s="52" t="s">
        <v>3796</v>
      </c>
      <c r="U113" s="52" t="s">
        <v>3797</v>
      </c>
      <c r="V113" s="52"/>
      <c r="W113" s="52"/>
      <c r="X113" s="52"/>
      <c r="Y113" s="52"/>
      <c r="Z113" s="52" t="s">
        <v>3696</v>
      </c>
      <c r="AA113" s="52" t="s">
        <v>724</v>
      </c>
      <c r="AB113" s="52" t="s">
        <v>79</v>
      </c>
      <c r="AC113" s="52" t="s">
        <v>3720</v>
      </c>
      <c r="AD113" s="52" t="s">
        <v>3715</v>
      </c>
      <c r="AE113" s="52"/>
      <c r="AF113" s="52" t="s">
        <v>3720</v>
      </c>
      <c r="AG113" s="52" t="s">
        <v>3715</v>
      </c>
      <c r="AH113" s="52"/>
      <c r="AI113" s="52"/>
      <c r="AJ113" s="52"/>
      <c r="AK113" s="52"/>
      <c r="AL113" s="55">
        <v>7.7083333333333337E-2</v>
      </c>
      <c r="AM113" s="52"/>
      <c r="AN113" s="52"/>
      <c r="AO113" s="52"/>
      <c r="AP113" s="52"/>
      <c r="AQ113" s="52"/>
      <c r="AR113" s="52"/>
      <c r="AS113" s="52">
        <v>0</v>
      </c>
      <c r="AT113" s="52"/>
      <c r="AU113" s="52"/>
      <c r="AV113" s="52" t="s">
        <v>3602</v>
      </c>
      <c r="AW113" s="52"/>
    </row>
    <row r="114" spans="1:49">
      <c r="A114" s="52">
        <v>6012709</v>
      </c>
      <c r="B114" s="52" t="s">
        <v>3723</v>
      </c>
      <c r="C114" s="52" t="s">
        <v>3698</v>
      </c>
      <c r="D114" s="53">
        <v>46157.708333333336</v>
      </c>
      <c r="E114" s="53">
        <v>46156.68472222222</v>
      </c>
      <c r="F114" s="53">
        <v>46157.888194444444</v>
      </c>
      <c r="G114" s="53">
        <v>46158.275000000001</v>
      </c>
      <c r="H114" s="53">
        <v>46158.411805555559</v>
      </c>
      <c r="I114" s="52"/>
      <c r="J114" s="52" t="s">
        <v>3693</v>
      </c>
      <c r="K114" s="53">
        <v>46158.680555555555</v>
      </c>
      <c r="L114" s="52"/>
      <c r="M114" s="55">
        <v>0.38680555555555557</v>
      </c>
      <c r="N114" s="55">
        <v>0.56805555555555554</v>
      </c>
      <c r="O114" s="52" t="s">
        <v>3600</v>
      </c>
      <c r="P114" s="52" t="s">
        <v>724</v>
      </c>
      <c r="Q114" s="52" t="s">
        <v>3257</v>
      </c>
      <c r="R114" s="52" t="s">
        <v>3605</v>
      </c>
      <c r="S114" s="52" t="s">
        <v>789</v>
      </c>
      <c r="T114" s="52" t="s">
        <v>3796</v>
      </c>
      <c r="U114" s="52" t="s">
        <v>3797</v>
      </c>
      <c r="V114" s="52" t="s">
        <v>3750</v>
      </c>
      <c r="W114" s="52">
        <v>93406576915</v>
      </c>
      <c r="X114" s="52" t="s">
        <v>73</v>
      </c>
      <c r="Y114" s="52"/>
      <c r="Z114" s="52" t="s">
        <v>3696</v>
      </c>
      <c r="AA114" s="52" t="s">
        <v>3710</v>
      </c>
      <c r="AB114" s="52"/>
      <c r="AC114" s="52" t="s">
        <v>3720</v>
      </c>
      <c r="AD114" s="52" t="s">
        <v>3715</v>
      </c>
      <c r="AE114" s="52" t="s">
        <v>79</v>
      </c>
      <c r="AF114" s="52" t="s">
        <v>3798</v>
      </c>
      <c r="AG114" s="52" t="s">
        <v>3770</v>
      </c>
      <c r="AH114" s="52"/>
      <c r="AI114" s="53">
        <v>46157.837500000001</v>
      </c>
      <c r="AJ114" s="53">
        <v>46157.914583333331</v>
      </c>
      <c r="AK114" s="53">
        <v>46157.837500000001</v>
      </c>
      <c r="AL114" s="55">
        <v>0.49305555555555558</v>
      </c>
      <c r="AM114" s="52"/>
      <c r="AN114" s="55">
        <v>7.7083333333333337E-2</v>
      </c>
      <c r="AO114" s="52"/>
      <c r="AP114" s="55">
        <v>0.49305555555555558</v>
      </c>
      <c r="AQ114" s="52"/>
      <c r="AR114" s="52"/>
      <c r="AS114" s="52" t="s">
        <v>3696</v>
      </c>
      <c r="AT114" s="52"/>
      <c r="AU114" s="52"/>
      <c r="AV114" s="52"/>
      <c r="AW114" s="52"/>
    </row>
    <row r="115" spans="1:49">
      <c r="A115" s="52">
        <v>6012709</v>
      </c>
      <c r="B115" s="52" t="s">
        <v>3723</v>
      </c>
      <c r="C115" s="52" t="s">
        <v>3698</v>
      </c>
      <c r="D115" s="53">
        <v>46157.708333333336</v>
      </c>
      <c r="E115" s="53">
        <v>46156.68472222222</v>
      </c>
      <c r="F115" s="53">
        <v>46157.888194444444</v>
      </c>
      <c r="G115" s="53">
        <v>46158.275000000001</v>
      </c>
      <c r="H115" s="53">
        <v>46158.411805555559</v>
      </c>
      <c r="I115" s="52"/>
      <c r="J115" s="52" t="s">
        <v>3693</v>
      </c>
      <c r="K115" s="53">
        <v>46158.680555555555</v>
      </c>
      <c r="L115" s="52"/>
      <c r="M115" s="55">
        <v>0.38680555555555557</v>
      </c>
      <c r="N115" s="55">
        <v>0.56805555555555554</v>
      </c>
      <c r="O115" s="52" t="s">
        <v>3600</v>
      </c>
      <c r="P115" s="52" t="s">
        <v>724</v>
      </c>
      <c r="Q115" s="52" t="s">
        <v>3257</v>
      </c>
      <c r="R115" s="52" t="s">
        <v>3605</v>
      </c>
      <c r="S115" s="52" t="s">
        <v>789</v>
      </c>
      <c r="T115" s="52" t="s">
        <v>3796</v>
      </c>
      <c r="U115" s="52" t="s">
        <v>3797</v>
      </c>
      <c r="V115" s="52" t="s">
        <v>3750</v>
      </c>
      <c r="W115" s="52">
        <v>93406576915</v>
      </c>
      <c r="X115" s="52" t="s">
        <v>73</v>
      </c>
      <c r="Y115" s="52"/>
      <c r="Z115" s="52" t="s">
        <v>3696</v>
      </c>
      <c r="AA115" s="52" t="s">
        <v>3710</v>
      </c>
      <c r="AB115" s="52"/>
      <c r="AC115" s="52" t="s">
        <v>3720</v>
      </c>
      <c r="AD115" s="52" t="s">
        <v>3715</v>
      </c>
      <c r="AE115" s="52"/>
      <c r="AF115" s="52" t="s">
        <v>3798</v>
      </c>
      <c r="AG115" s="52" t="s">
        <v>3770</v>
      </c>
      <c r="AH115" s="52"/>
      <c r="AI115" s="53">
        <v>46157.837500000001</v>
      </c>
      <c r="AJ115" s="53">
        <v>46157.914583333331</v>
      </c>
      <c r="AK115" s="53">
        <v>46157.837500000001</v>
      </c>
      <c r="AL115" s="55">
        <v>0.49305555555555558</v>
      </c>
      <c r="AM115" s="52"/>
      <c r="AN115" s="55">
        <v>7.7083333333333337E-2</v>
      </c>
      <c r="AO115" s="52"/>
      <c r="AP115" s="55">
        <v>0.49305555555555558</v>
      </c>
      <c r="AQ115" s="52"/>
      <c r="AR115" s="52"/>
      <c r="AS115" s="52" t="s">
        <v>3696</v>
      </c>
      <c r="AT115" s="52"/>
      <c r="AU115" s="52"/>
      <c r="AV115" s="52"/>
      <c r="AW115" s="52" t="s">
        <v>3602</v>
      </c>
    </row>
    <row r="116" spans="1:49">
      <c r="A116" s="52">
        <v>6012845</v>
      </c>
      <c r="B116" s="52" t="s">
        <v>3723</v>
      </c>
      <c r="C116" s="52" t="s">
        <v>3692</v>
      </c>
      <c r="D116" s="53">
        <v>46153.583333333336</v>
      </c>
      <c r="E116" s="53">
        <v>46153.512499999997</v>
      </c>
      <c r="F116" s="53">
        <v>46153.856944444444</v>
      </c>
      <c r="G116" s="53">
        <v>46158.334027777775</v>
      </c>
      <c r="H116" s="52"/>
      <c r="I116" s="52" t="s">
        <v>3693</v>
      </c>
      <c r="J116" s="52" t="s">
        <v>3693</v>
      </c>
      <c r="K116" s="53">
        <v>46157.595833333333</v>
      </c>
      <c r="L116" s="52"/>
      <c r="M116" s="54">
        <v>1.5729166666666667</v>
      </c>
      <c r="N116" s="54">
        <v>2.6958333333333333</v>
      </c>
      <c r="O116" s="52"/>
      <c r="P116" s="52"/>
      <c r="Q116" s="52"/>
      <c r="R116" s="52"/>
      <c r="S116" s="52"/>
      <c r="T116" s="52" t="s">
        <v>3799</v>
      </c>
      <c r="U116" s="52" t="s">
        <v>3800</v>
      </c>
      <c r="V116" s="52"/>
      <c r="W116" s="52"/>
      <c r="X116" s="52"/>
      <c r="Y116" s="52"/>
      <c r="Z116" s="52" t="s">
        <v>3696</v>
      </c>
      <c r="AA116" s="52" t="s">
        <v>216</v>
      </c>
      <c r="AB116" s="52" t="s">
        <v>140</v>
      </c>
      <c r="AC116" s="52" t="s">
        <v>3703</v>
      </c>
      <c r="AD116" s="52" t="s">
        <v>3704</v>
      </c>
      <c r="AE116" s="52"/>
      <c r="AF116" s="52" t="s">
        <v>3801</v>
      </c>
      <c r="AG116" s="52" t="s">
        <v>3706</v>
      </c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>
        <v>0</v>
      </c>
      <c r="AT116" s="52"/>
      <c r="AU116" s="52"/>
      <c r="AV116" s="52" t="s">
        <v>3129</v>
      </c>
      <c r="AW116" s="52"/>
    </row>
    <row r="117" spans="1:49">
      <c r="A117" s="52">
        <v>6012845</v>
      </c>
      <c r="B117" s="52" t="s">
        <v>3723</v>
      </c>
      <c r="C117" s="52" t="s">
        <v>3698</v>
      </c>
      <c r="D117" s="53">
        <v>46153.583333333336</v>
      </c>
      <c r="E117" s="53">
        <v>46153.512499999997</v>
      </c>
      <c r="F117" s="53">
        <v>46153.867361111108</v>
      </c>
      <c r="G117" s="53">
        <v>46157.334027777775</v>
      </c>
      <c r="H117" s="52"/>
      <c r="I117" s="52"/>
      <c r="J117" s="52" t="s">
        <v>3693</v>
      </c>
      <c r="K117" s="53">
        <v>46155.194444444445</v>
      </c>
      <c r="L117" s="52"/>
      <c r="M117" s="54">
        <v>3.4666666666666668</v>
      </c>
      <c r="N117" s="54">
        <v>4.5888888888888886</v>
      </c>
      <c r="O117" s="52" t="s">
        <v>3802</v>
      </c>
      <c r="P117" s="52" t="s">
        <v>216</v>
      </c>
      <c r="Q117" s="52" t="s">
        <v>1552</v>
      </c>
      <c r="R117" s="52"/>
      <c r="S117" s="52" t="s">
        <v>3756</v>
      </c>
      <c r="T117" s="52" t="s">
        <v>3799</v>
      </c>
      <c r="U117" s="52" t="s">
        <v>3800</v>
      </c>
      <c r="V117" s="52" t="s">
        <v>2687</v>
      </c>
      <c r="W117" s="52">
        <v>16520749702</v>
      </c>
      <c r="X117" s="52" t="s">
        <v>73</v>
      </c>
      <c r="Y117" s="52"/>
      <c r="Z117" s="52" t="s">
        <v>3696</v>
      </c>
      <c r="AA117" s="52" t="s">
        <v>3710</v>
      </c>
      <c r="AB117" s="52"/>
      <c r="AC117" s="52" t="s">
        <v>3703</v>
      </c>
      <c r="AD117" s="52" t="s">
        <v>3704</v>
      </c>
      <c r="AE117" s="52" t="s">
        <v>140</v>
      </c>
      <c r="AF117" s="52" t="s">
        <v>3801</v>
      </c>
      <c r="AG117" s="52" t="s">
        <v>3706</v>
      </c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 t="s">
        <v>3696</v>
      </c>
      <c r="AT117" s="52"/>
      <c r="AU117" s="52"/>
      <c r="AV117" s="52"/>
      <c r="AW117" s="52"/>
    </row>
    <row r="118" spans="1:49">
      <c r="A118" s="52">
        <v>6012845</v>
      </c>
      <c r="B118" s="52" t="s">
        <v>3723</v>
      </c>
      <c r="C118" s="52" t="s">
        <v>3698</v>
      </c>
      <c r="D118" s="53">
        <v>46153.583333333336</v>
      </c>
      <c r="E118" s="53">
        <v>46153.512499999997</v>
      </c>
      <c r="F118" s="53">
        <v>46153.867361111108</v>
      </c>
      <c r="G118" s="53">
        <v>46157.334027777775</v>
      </c>
      <c r="H118" s="52"/>
      <c r="I118" s="52"/>
      <c r="J118" s="52" t="s">
        <v>3693</v>
      </c>
      <c r="K118" s="53">
        <v>46155.194444444445</v>
      </c>
      <c r="L118" s="52"/>
      <c r="M118" s="54">
        <v>3.4666666666666668</v>
      </c>
      <c r="N118" s="54">
        <v>4.5888888888888886</v>
      </c>
      <c r="O118" s="52" t="s">
        <v>3802</v>
      </c>
      <c r="P118" s="52" t="s">
        <v>216</v>
      </c>
      <c r="Q118" s="52" t="s">
        <v>1552</v>
      </c>
      <c r="R118" s="52"/>
      <c r="S118" s="52" t="s">
        <v>3756</v>
      </c>
      <c r="T118" s="52" t="s">
        <v>3799</v>
      </c>
      <c r="U118" s="52" t="s">
        <v>3800</v>
      </c>
      <c r="V118" s="52" t="s">
        <v>2687</v>
      </c>
      <c r="W118" s="52">
        <v>16520749702</v>
      </c>
      <c r="X118" s="52" t="s">
        <v>73</v>
      </c>
      <c r="Y118" s="52"/>
      <c r="Z118" s="52" t="s">
        <v>3696</v>
      </c>
      <c r="AA118" s="52" t="s">
        <v>3710</v>
      </c>
      <c r="AB118" s="52"/>
      <c r="AC118" s="52" t="s">
        <v>3703</v>
      </c>
      <c r="AD118" s="52" t="s">
        <v>3704</v>
      </c>
      <c r="AE118" s="52"/>
      <c r="AF118" s="52" t="s">
        <v>3801</v>
      </c>
      <c r="AG118" s="52" t="s">
        <v>3706</v>
      </c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 t="s">
        <v>3696</v>
      </c>
      <c r="AT118" s="52"/>
      <c r="AU118" s="52"/>
      <c r="AV118" s="52"/>
      <c r="AW118" s="52" t="s">
        <v>3129</v>
      </c>
    </row>
    <row r="119" spans="1:49">
      <c r="A119" s="52">
        <v>6012845</v>
      </c>
      <c r="B119" s="52" t="s">
        <v>3723</v>
      </c>
      <c r="C119" s="52" t="s">
        <v>3698</v>
      </c>
      <c r="D119" s="53">
        <v>46153.583333333336</v>
      </c>
      <c r="E119" s="53">
        <v>46153.512499999997</v>
      </c>
      <c r="F119" s="53">
        <v>46154.824305555558</v>
      </c>
      <c r="G119" s="53">
        <v>46157.334027777775</v>
      </c>
      <c r="H119" s="53">
        <v>46157.543055555558</v>
      </c>
      <c r="I119" s="52"/>
      <c r="J119" s="52" t="s">
        <v>3693</v>
      </c>
      <c r="K119" s="53">
        <v>46155.194444444445</v>
      </c>
      <c r="L119" s="52"/>
      <c r="M119" s="54">
        <v>2.5097222222222224</v>
      </c>
      <c r="N119" s="54">
        <v>3.6319444444444446</v>
      </c>
      <c r="O119" s="52" t="s">
        <v>3127</v>
      </c>
      <c r="P119" s="52" t="s">
        <v>216</v>
      </c>
      <c r="Q119" s="52" t="s">
        <v>1552</v>
      </c>
      <c r="R119" s="52"/>
      <c r="S119" s="52" t="s">
        <v>789</v>
      </c>
      <c r="T119" s="52" t="s">
        <v>3803</v>
      </c>
      <c r="U119" s="52" t="s">
        <v>3804</v>
      </c>
      <c r="V119" s="52" t="s">
        <v>2687</v>
      </c>
      <c r="W119" s="52">
        <v>16520749702</v>
      </c>
      <c r="X119" s="52" t="s">
        <v>73</v>
      </c>
      <c r="Y119" s="52"/>
      <c r="Z119" s="52" t="s">
        <v>3696</v>
      </c>
      <c r="AA119" s="52" t="s">
        <v>3710</v>
      </c>
      <c r="AB119" s="52"/>
      <c r="AC119" s="52" t="s">
        <v>3703</v>
      </c>
      <c r="AD119" s="52" t="s">
        <v>3704</v>
      </c>
      <c r="AE119" s="52" t="s">
        <v>140</v>
      </c>
      <c r="AF119" s="52" t="s">
        <v>3801</v>
      </c>
      <c r="AG119" s="52" t="s">
        <v>3706</v>
      </c>
      <c r="AH119" s="52"/>
      <c r="AI119" s="52"/>
      <c r="AJ119" s="52"/>
      <c r="AK119" s="52"/>
      <c r="AL119" s="54">
        <v>2.6388888888888888</v>
      </c>
      <c r="AM119" s="52"/>
      <c r="AN119" s="52"/>
      <c r="AO119" s="52"/>
      <c r="AP119" s="54">
        <v>2.6388888888888888</v>
      </c>
      <c r="AQ119" s="52"/>
      <c r="AR119" s="52"/>
      <c r="AS119" s="52" t="s">
        <v>3696</v>
      </c>
      <c r="AT119" s="52"/>
      <c r="AU119" s="52"/>
      <c r="AV119" s="52"/>
      <c r="AW119" s="52"/>
    </row>
    <row r="120" spans="1:49">
      <c r="A120" s="52">
        <v>6012845</v>
      </c>
      <c r="B120" s="52" t="s">
        <v>3723</v>
      </c>
      <c r="C120" s="52" t="s">
        <v>3698</v>
      </c>
      <c r="D120" s="53">
        <v>46153.583333333336</v>
      </c>
      <c r="E120" s="53">
        <v>46153.512499999997</v>
      </c>
      <c r="F120" s="53">
        <v>46154.824305555558</v>
      </c>
      <c r="G120" s="53">
        <v>46157.334027777775</v>
      </c>
      <c r="H120" s="53">
        <v>46157.543055555558</v>
      </c>
      <c r="I120" s="52"/>
      <c r="J120" s="52" t="s">
        <v>3693</v>
      </c>
      <c r="K120" s="53">
        <v>46155.194444444445</v>
      </c>
      <c r="L120" s="52"/>
      <c r="M120" s="54">
        <v>2.5097222222222224</v>
      </c>
      <c r="N120" s="54">
        <v>3.6319444444444446</v>
      </c>
      <c r="O120" s="52" t="s">
        <v>3127</v>
      </c>
      <c r="P120" s="52" t="s">
        <v>216</v>
      </c>
      <c r="Q120" s="52" t="s">
        <v>1552</v>
      </c>
      <c r="R120" s="52"/>
      <c r="S120" s="52" t="s">
        <v>789</v>
      </c>
      <c r="T120" s="52" t="s">
        <v>3803</v>
      </c>
      <c r="U120" s="52" t="s">
        <v>3804</v>
      </c>
      <c r="V120" s="52" t="s">
        <v>2687</v>
      </c>
      <c r="W120" s="52">
        <v>16520749702</v>
      </c>
      <c r="X120" s="52" t="s">
        <v>73</v>
      </c>
      <c r="Y120" s="52"/>
      <c r="Z120" s="52" t="s">
        <v>3696</v>
      </c>
      <c r="AA120" s="52" t="s">
        <v>3710</v>
      </c>
      <c r="AB120" s="52"/>
      <c r="AC120" s="52" t="s">
        <v>3703</v>
      </c>
      <c r="AD120" s="52" t="s">
        <v>3704</v>
      </c>
      <c r="AE120" s="52"/>
      <c r="AF120" s="52" t="s">
        <v>3801</v>
      </c>
      <c r="AG120" s="52" t="s">
        <v>3706</v>
      </c>
      <c r="AH120" s="52"/>
      <c r="AI120" s="52"/>
      <c r="AJ120" s="52"/>
      <c r="AK120" s="52"/>
      <c r="AL120" s="54">
        <v>2.6388888888888888</v>
      </c>
      <c r="AM120" s="52"/>
      <c r="AN120" s="52"/>
      <c r="AO120" s="52"/>
      <c r="AP120" s="54">
        <v>2.6388888888888888</v>
      </c>
      <c r="AQ120" s="52"/>
      <c r="AR120" s="52"/>
      <c r="AS120" s="52" t="s">
        <v>3696</v>
      </c>
      <c r="AT120" s="52"/>
      <c r="AU120" s="52"/>
      <c r="AV120" s="52"/>
      <c r="AW120" s="52" t="s">
        <v>3129</v>
      </c>
    </row>
    <row r="121" spans="1:49">
      <c r="A121" s="52">
        <v>6012861</v>
      </c>
      <c r="B121" s="52" t="s">
        <v>3716</v>
      </c>
      <c r="C121" s="52" t="s">
        <v>3692</v>
      </c>
      <c r="D121" s="53">
        <v>46157.541666666664</v>
      </c>
      <c r="E121" s="53">
        <v>46156.68472222222</v>
      </c>
      <c r="F121" s="53">
        <v>46157.396527777775</v>
      </c>
      <c r="G121" s="53">
        <v>46160.291666666664</v>
      </c>
      <c r="H121" s="52"/>
      <c r="I121" s="52" t="s">
        <v>3693</v>
      </c>
      <c r="J121" s="52" t="s">
        <v>3694</v>
      </c>
      <c r="K121" s="53">
        <v>46158.51458333333</v>
      </c>
      <c r="L121" s="52"/>
      <c r="M121" s="54">
        <v>1.2597222222222222</v>
      </c>
      <c r="N121" s="55">
        <v>0.5756944444444444</v>
      </c>
      <c r="O121" s="52"/>
      <c r="P121" s="52"/>
      <c r="Q121" s="52"/>
      <c r="R121" s="52"/>
      <c r="S121" s="52"/>
      <c r="T121" s="52" t="s">
        <v>3805</v>
      </c>
      <c r="U121" s="52" t="s">
        <v>3806</v>
      </c>
      <c r="V121" s="52"/>
      <c r="W121" s="52"/>
      <c r="X121" s="52"/>
      <c r="Y121" s="52"/>
      <c r="Z121" s="52" t="s">
        <v>3696</v>
      </c>
      <c r="AA121" s="52" t="s">
        <v>260</v>
      </c>
      <c r="AB121" s="52" t="s">
        <v>140</v>
      </c>
      <c r="AC121" s="52" t="s">
        <v>3703</v>
      </c>
      <c r="AD121" s="52" t="s">
        <v>3704</v>
      </c>
      <c r="AE121" s="52"/>
      <c r="AF121" s="52" t="s">
        <v>3807</v>
      </c>
      <c r="AG121" s="52" t="s">
        <v>3726</v>
      </c>
      <c r="AH121" s="52"/>
      <c r="AI121" s="52"/>
      <c r="AJ121" s="52"/>
      <c r="AK121" s="52"/>
      <c r="AL121" s="55">
        <v>5.2083333333333336E-2</v>
      </c>
      <c r="AM121" s="52"/>
      <c r="AN121" s="52"/>
      <c r="AO121" s="52"/>
      <c r="AP121" s="52"/>
      <c r="AQ121" s="52"/>
      <c r="AR121" s="52"/>
      <c r="AS121" s="52">
        <v>0</v>
      </c>
      <c r="AT121" s="52"/>
      <c r="AU121" s="52"/>
      <c r="AV121" s="52" t="s">
        <v>265</v>
      </c>
      <c r="AW121" s="52"/>
    </row>
    <row r="122" spans="1:49">
      <c r="A122" s="52">
        <v>6012861</v>
      </c>
      <c r="B122" s="52" t="s">
        <v>3716</v>
      </c>
      <c r="C122" s="52" t="s">
        <v>3698</v>
      </c>
      <c r="D122" s="53">
        <v>46157.541666666664</v>
      </c>
      <c r="E122" s="53">
        <v>46156.68472222222</v>
      </c>
      <c r="F122" s="53">
        <v>46157.40625</v>
      </c>
      <c r="G122" s="53">
        <v>46160.291666666664</v>
      </c>
      <c r="H122" s="52"/>
      <c r="I122" s="52"/>
      <c r="J122" s="52" t="s">
        <v>3694</v>
      </c>
      <c r="K122" s="53">
        <v>46158.51458333333</v>
      </c>
      <c r="L122" s="52"/>
      <c r="M122" s="54">
        <v>2.8854166666666665</v>
      </c>
      <c r="N122" s="54">
        <v>1.05</v>
      </c>
      <c r="O122" s="52" t="s">
        <v>259</v>
      </c>
      <c r="P122" s="52" t="s">
        <v>260</v>
      </c>
      <c r="Q122" s="52" t="s">
        <v>258</v>
      </c>
      <c r="R122" s="52" t="s">
        <v>268</v>
      </c>
      <c r="S122" s="52" t="s">
        <v>69</v>
      </c>
      <c r="T122" s="52" t="s">
        <v>3805</v>
      </c>
      <c r="U122" s="52" t="s">
        <v>3806</v>
      </c>
      <c r="V122" s="52" t="s">
        <v>269</v>
      </c>
      <c r="W122" s="52">
        <v>75184044000</v>
      </c>
      <c r="X122" s="52" t="s">
        <v>73</v>
      </c>
      <c r="Y122" s="52"/>
      <c r="Z122" s="52" t="s">
        <v>3696</v>
      </c>
      <c r="AA122" s="52" t="s">
        <v>3710</v>
      </c>
      <c r="AB122" s="52"/>
      <c r="AC122" s="52" t="s">
        <v>3703</v>
      </c>
      <c r="AD122" s="52" t="s">
        <v>3704</v>
      </c>
      <c r="AE122" s="52" t="s">
        <v>140</v>
      </c>
      <c r="AF122" s="52" t="s">
        <v>3807</v>
      </c>
      <c r="AG122" s="52" t="s">
        <v>3726</v>
      </c>
      <c r="AH122" s="52"/>
      <c r="AI122" s="53">
        <v>46157.397916666669</v>
      </c>
      <c r="AJ122" s="53">
        <v>46157.45</v>
      </c>
      <c r="AK122" s="53">
        <v>46157.397916666669</v>
      </c>
      <c r="AL122" s="55">
        <v>5.2083333333333336E-2</v>
      </c>
      <c r="AM122" s="52"/>
      <c r="AN122" s="55">
        <v>5.2083333333333336E-2</v>
      </c>
      <c r="AO122" s="52"/>
      <c r="AP122" s="55">
        <v>5.2083333333333336E-2</v>
      </c>
      <c r="AQ122" s="52"/>
      <c r="AR122" s="52"/>
      <c r="AS122" s="52" t="s">
        <v>3696</v>
      </c>
      <c r="AT122" s="52"/>
      <c r="AU122" s="52"/>
      <c r="AV122" s="52"/>
      <c r="AW122" s="52"/>
    </row>
    <row r="123" spans="1:49">
      <c r="A123" s="52">
        <v>6012861</v>
      </c>
      <c r="B123" s="52" t="s">
        <v>3716</v>
      </c>
      <c r="C123" s="52" t="s">
        <v>3698</v>
      </c>
      <c r="D123" s="53">
        <v>46157.541666666664</v>
      </c>
      <c r="E123" s="53">
        <v>46156.68472222222</v>
      </c>
      <c r="F123" s="53">
        <v>46157.40625</v>
      </c>
      <c r="G123" s="53">
        <v>46160.291666666664</v>
      </c>
      <c r="H123" s="52"/>
      <c r="I123" s="52"/>
      <c r="J123" s="52" t="s">
        <v>3694</v>
      </c>
      <c r="K123" s="53">
        <v>46158.51458333333</v>
      </c>
      <c r="L123" s="52"/>
      <c r="M123" s="54">
        <v>2.8854166666666665</v>
      </c>
      <c r="N123" s="54">
        <v>1.05</v>
      </c>
      <c r="O123" s="52" t="s">
        <v>259</v>
      </c>
      <c r="P123" s="52" t="s">
        <v>260</v>
      </c>
      <c r="Q123" s="52" t="s">
        <v>258</v>
      </c>
      <c r="R123" s="52" t="s">
        <v>268</v>
      </c>
      <c r="S123" s="52" t="s">
        <v>69</v>
      </c>
      <c r="T123" s="52" t="s">
        <v>3805</v>
      </c>
      <c r="U123" s="52" t="s">
        <v>3806</v>
      </c>
      <c r="V123" s="52" t="s">
        <v>269</v>
      </c>
      <c r="W123" s="52">
        <v>75184044000</v>
      </c>
      <c r="X123" s="52" t="s">
        <v>73</v>
      </c>
      <c r="Y123" s="52"/>
      <c r="Z123" s="52" t="s">
        <v>3696</v>
      </c>
      <c r="AA123" s="52" t="s">
        <v>3710</v>
      </c>
      <c r="AB123" s="52"/>
      <c r="AC123" s="52" t="s">
        <v>3703</v>
      </c>
      <c r="AD123" s="52" t="s">
        <v>3704</v>
      </c>
      <c r="AE123" s="52"/>
      <c r="AF123" s="52" t="s">
        <v>3807</v>
      </c>
      <c r="AG123" s="52" t="s">
        <v>3726</v>
      </c>
      <c r="AH123" s="52"/>
      <c r="AI123" s="53">
        <v>46157.397916666669</v>
      </c>
      <c r="AJ123" s="53">
        <v>46157.45</v>
      </c>
      <c r="AK123" s="53">
        <v>46157.397916666669</v>
      </c>
      <c r="AL123" s="55">
        <v>5.2083333333333336E-2</v>
      </c>
      <c r="AM123" s="52"/>
      <c r="AN123" s="55">
        <v>5.2083333333333336E-2</v>
      </c>
      <c r="AO123" s="52"/>
      <c r="AP123" s="55">
        <v>5.2083333333333336E-2</v>
      </c>
      <c r="AQ123" s="52"/>
      <c r="AR123" s="52"/>
      <c r="AS123" s="52" t="s">
        <v>3696</v>
      </c>
      <c r="AT123" s="52"/>
      <c r="AU123" s="52"/>
      <c r="AV123" s="52"/>
      <c r="AW123" s="52" t="s">
        <v>265</v>
      </c>
    </row>
    <row r="124" spans="1:49">
      <c r="A124" s="52">
        <v>6013093</v>
      </c>
      <c r="B124" s="52" t="s">
        <v>3691</v>
      </c>
      <c r="C124" s="52" t="s">
        <v>3692</v>
      </c>
      <c r="D124" s="53">
        <v>46161.0625</v>
      </c>
      <c r="E124" s="53">
        <v>46157.584722222222</v>
      </c>
      <c r="F124" s="52"/>
      <c r="G124" s="52"/>
      <c r="H124" s="52"/>
      <c r="I124" s="52" t="s">
        <v>3693</v>
      </c>
      <c r="J124" s="52" t="s">
        <v>3694</v>
      </c>
      <c r="K124" s="52"/>
      <c r="L124" s="52"/>
      <c r="M124" s="55">
        <v>0.1875</v>
      </c>
      <c r="N124" s="54">
        <v>2.6062500000000002</v>
      </c>
      <c r="O124" s="52"/>
      <c r="P124" s="52"/>
      <c r="Q124" s="52"/>
      <c r="R124" s="52"/>
      <c r="S124" s="52"/>
      <c r="T124" s="52" t="s">
        <v>3695</v>
      </c>
      <c r="U124" s="52" t="s">
        <v>3695</v>
      </c>
      <c r="V124" s="52"/>
      <c r="W124" s="52"/>
      <c r="X124" s="52"/>
      <c r="Y124" s="52"/>
      <c r="Z124" s="52" t="s">
        <v>3696</v>
      </c>
      <c r="AA124" s="52" t="s">
        <v>1912</v>
      </c>
      <c r="AB124" s="52" t="s">
        <v>1918</v>
      </c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>
        <v>0</v>
      </c>
      <c r="AT124" s="52"/>
      <c r="AU124" s="52"/>
      <c r="AV124" s="52" t="s">
        <v>2509</v>
      </c>
      <c r="AW124" s="52"/>
    </row>
    <row r="125" spans="1:49">
      <c r="A125" s="52">
        <v>6013093</v>
      </c>
      <c r="B125" s="52" t="s">
        <v>3691</v>
      </c>
      <c r="C125" s="52" t="s">
        <v>3698</v>
      </c>
      <c r="D125" s="53">
        <v>46161.0625</v>
      </c>
      <c r="E125" s="53">
        <v>46157.584722222222</v>
      </c>
      <c r="F125" s="52"/>
      <c r="G125" s="52"/>
      <c r="H125" s="52"/>
      <c r="I125" s="52"/>
      <c r="J125" s="52" t="s">
        <v>3694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 t="s">
        <v>3696</v>
      </c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>
        <v>0</v>
      </c>
      <c r="AT125" s="52"/>
      <c r="AU125" s="52"/>
      <c r="AV125" s="52"/>
      <c r="AW125" s="52"/>
    </row>
    <row r="126" spans="1:49">
      <c r="A126" s="52">
        <v>6013206</v>
      </c>
      <c r="B126" s="52" t="s">
        <v>3723</v>
      </c>
      <c r="C126" s="52" t="s">
        <v>3692</v>
      </c>
      <c r="D126" s="53">
        <v>46154.708333333336</v>
      </c>
      <c r="E126" s="53">
        <v>46153.702777777777</v>
      </c>
      <c r="F126" s="53">
        <v>46154.880555555559</v>
      </c>
      <c r="G126" s="53">
        <v>46157.1875</v>
      </c>
      <c r="H126" s="53">
        <v>46156.000694444447</v>
      </c>
      <c r="I126" s="52" t="s">
        <v>3693</v>
      </c>
      <c r="J126" s="52" t="s">
        <v>3693</v>
      </c>
      <c r="K126" s="53">
        <v>46156.000694444447</v>
      </c>
      <c r="L126" s="52" t="s">
        <v>3735</v>
      </c>
      <c r="M126" s="54">
        <v>1.2395833333333333</v>
      </c>
      <c r="N126" s="54">
        <v>3.5083333333333333</v>
      </c>
      <c r="O126" s="52"/>
      <c r="P126" s="52"/>
      <c r="Q126" s="52"/>
      <c r="R126" s="52"/>
      <c r="S126" s="52"/>
      <c r="T126" s="52" t="s">
        <v>3695</v>
      </c>
      <c r="U126" s="52" t="s">
        <v>3695</v>
      </c>
      <c r="V126" s="52"/>
      <c r="W126" s="52"/>
      <c r="X126" s="52"/>
      <c r="Y126" s="52"/>
      <c r="Z126" s="52" t="s">
        <v>3696</v>
      </c>
      <c r="AA126" s="52" t="s">
        <v>72</v>
      </c>
      <c r="AB126" s="52" t="s">
        <v>140</v>
      </c>
      <c r="AC126" s="52" t="s">
        <v>3703</v>
      </c>
      <c r="AD126" s="52" t="s">
        <v>3704</v>
      </c>
      <c r="AE126" s="52"/>
      <c r="AF126" s="52" t="s">
        <v>3808</v>
      </c>
      <c r="AG126" s="52" t="s">
        <v>3715</v>
      </c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>
        <v>0</v>
      </c>
      <c r="AT126" s="52"/>
      <c r="AU126" s="52"/>
      <c r="AV126" s="52" t="s">
        <v>2099</v>
      </c>
      <c r="AW126" s="52"/>
    </row>
    <row r="127" spans="1:49">
      <c r="A127" s="52">
        <v>6013206</v>
      </c>
      <c r="B127" s="52" t="s">
        <v>3723</v>
      </c>
      <c r="C127" s="52" t="s">
        <v>3698</v>
      </c>
      <c r="D127" s="53">
        <v>46154.708333333336</v>
      </c>
      <c r="E127" s="53">
        <v>46153.702777777777</v>
      </c>
      <c r="F127" s="53">
        <v>46155.063194444447</v>
      </c>
      <c r="G127" s="53">
        <v>46156.1875</v>
      </c>
      <c r="H127" s="52"/>
      <c r="I127" s="52"/>
      <c r="J127" s="52" t="s">
        <v>3693</v>
      </c>
      <c r="K127" s="52"/>
      <c r="L127" s="52"/>
      <c r="M127" s="54">
        <v>1.1243055555555554</v>
      </c>
      <c r="N127" s="54">
        <v>3.3930555555555557</v>
      </c>
      <c r="O127" s="52" t="s">
        <v>3809</v>
      </c>
      <c r="P127" s="52" t="s">
        <v>72</v>
      </c>
      <c r="Q127" s="52" t="s">
        <v>3160</v>
      </c>
      <c r="R127" s="52"/>
      <c r="S127" s="52" t="s">
        <v>3756</v>
      </c>
      <c r="T127" s="52" t="s">
        <v>3695</v>
      </c>
      <c r="U127" s="52" t="s">
        <v>3695</v>
      </c>
      <c r="V127" s="52" t="s">
        <v>3165</v>
      </c>
      <c r="W127" s="52">
        <v>582966973</v>
      </c>
      <c r="X127" s="52" t="s">
        <v>73</v>
      </c>
      <c r="Y127" s="52" t="s">
        <v>3810</v>
      </c>
      <c r="Z127" s="52" t="s">
        <v>3696</v>
      </c>
      <c r="AA127" s="52" t="s">
        <v>3710</v>
      </c>
      <c r="AB127" s="52"/>
      <c r="AC127" s="52" t="s">
        <v>3703</v>
      </c>
      <c r="AD127" s="52" t="s">
        <v>3704</v>
      </c>
      <c r="AE127" s="52" t="s">
        <v>140</v>
      </c>
      <c r="AF127" s="52" t="s">
        <v>3808</v>
      </c>
      <c r="AG127" s="52" t="s">
        <v>3715</v>
      </c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 t="s">
        <v>3696</v>
      </c>
      <c r="AT127" s="52"/>
      <c r="AU127" s="52"/>
      <c r="AV127" s="52"/>
      <c r="AW127" s="52"/>
    </row>
    <row r="128" spans="1:49">
      <c r="A128" s="52">
        <v>6013206</v>
      </c>
      <c r="B128" s="52" t="s">
        <v>3723</v>
      </c>
      <c r="C128" s="52" t="s">
        <v>3698</v>
      </c>
      <c r="D128" s="53">
        <v>46154.708333333336</v>
      </c>
      <c r="E128" s="53">
        <v>46153.702777777777</v>
      </c>
      <c r="F128" s="53">
        <v>46155.063194444447</v>
      </c>
      <c r="G128" s="53">
        <v>46156.1875</v>
      </c>
      <c r="H128" s="52"/>
      <c r="I128" s="52"/>
      <c r="J128" s="52" t="s">
        <v>3693</v>
      </c>
      <c r="K128" s="52"/>
      <c r="L128" s="52"/>
      <c r="M128" s="54">
        <v>1.1243055555555554</v>
      </c>
      <c r="N128" s="54">
        <v>3.3930555555555557</v>
      </c>
      <c r="O128" s="52" t="s">
        <v>3809</v>
      </c>
      <c r="P128" s="52" t="s">
        <v>72</v>
      </c>
      <c r="Q128" s="52" t="s">
        <v>3160</v>
      </c>
      <c r="R128" s="52"/>
      <c r="S128" s="52" t="s">
        <v>3756</v>
      </c>
      <c r="T128" s="52" t="s">
        <v>3695</v>
      </c>
      <c r="U128" s="52" t="s">
        <v>3695</v>
      </c>
      <c r="V128" s="52" t="s">
        <v>3165</v>
      </c>
      <c r="W128" s="52">
        <v>582966973</v>
      </c>
      <c r="X128" s="52" t="s">
        <v>73</v>
      </c>
      <c r="Y128" s="52" t="s">
        <v>3810</v>
      </c>
      <c r="Z128" s="52" t="s">
        <v>3696</v>
      </c>
      <c r="AA128" s="52" t="s">
        <v>3710</v>
      </c>
      <c r="AB128" s="52"/>
      <c r="AC128" s="52" t="s">
        <v>3703</v>
      </c>
      <c r="AD128" s="52" t="s">
        <v>3704</v>
      </c>
      <c r="AE128" s="52"/>
      <c r="AF128" s="52" t="s">
        <v>3808</v>
      </c>
      <c r="AG128" s="52" t="s">
        <v>3715</v>
      </c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 t="s">
        <v>3696</v>
      </c>
      <c r="AT128" s="52"/>
      <c r="AU128" s="52"/>
      <c r="AV128" s="52"/>
      <c r="AW128" s="52" t="s">
        <v>2099</v>
      </c>
    </row>
    <row r="129" spans="1:49">
      <c r="A129" s="52">
        <v>6013206</v>
      </c>
      <c r="B129" s="52" t="s">
        <v>3723</v>
      </c>
      <c r="C129" s="52" t="s">
        <v>3698</v>
      </c>
      <c r="D129" s="53">
        <v>46154.708333333336</v>
      </c>
      <c r="E129" s="53">
        <v>46153.702777777777</v>
      </c>
      <c r="F129" s="53">
        <v>46155.095138888886</v>
      </c>
      <c r="G129" s="53">
        <v>46156.1875</v>
      </c>
      <c r="H129" s="53">
        <v>46156.634027777778</v>
      </c>
      <c r="I129" s="52"/>
      <c r="J129" s="52" t="s">
        <v>3693</v>
      </c>
      <c r="K129" s="52"/>
      <c r="L129" s="52"/>
      <c r="M129" s="54">
        <v>1.0923611111111111</v>
      </c>
      <c r="N129" s="54">
        <v>3.3611111111111112</v>
      </c>
      <c r="O129" s="52" t="s">
        <v>3161</v>
      </c>
      <c r="P129" s="52" t="s">
        <v>72</v>
      </c>
      <c r="Q129" s="52" t="s">
        <v>3160</v>
      </c>
      <c r="R129" s="52"/>
      <c r="S129" s="52" t="s">
        <v>789</v>
      </c>
      <c r="T129" s="52" t="s">
        <v>3695</v>
      </c>
      <c r="U129" s="52" t="s">
        <v>3811</v>
      </c>
      <c r="V129" s="52" t="s">
        <v>3165</v>
      </c>
      <c r="W129" s="52">
        <v>582966973</v>
      </c>
      <c r="X129" s="52" t="s">
        <v>73</v>
      </c>
      <c r="Y129" s="52" t="s">
        <v>3810</v>
      </c>
      <c r="Z129" s="52" t="s">
        <v>3696</v>
      </c>
      <c r="AA129" s="52" t="s">
        <v>3710</v>
      </c>
      <c r="AB129" s="52"/>
      <c r="AC129" s="52" t="s">
        <v>3703</v>
      </c>
      <c r="AD129" s="52" t="s">
        <v>3704</v>
      </c>
      <c r="AE129" s="52" t="s">
        <v>140</v>
      </c>
      <c r="AF129" s="52" t="s">
        <v>3808</v>
      </c>
      <c r="AG129" s="52" t="s">
        <v>3715</v>
      </c>
      <c r="AH129" s="52"/>
      <c r="AI129" s="52"/>
      <c r="AJ129" s="52"/>
      <c r="AK129" s="52"/>
      <c r="AL129" s="55">
        <v>0.63124999999999998</v>
      </c>
      <c r="AM129" s="52"/>
      <c r="AN129" s="52"/>
      <c r="AO129" s="52"/>
      <c r="AP129" s="55">
        <v>0.63124999999999998</v>
      </c>
      <c r="AQ129" s="52"/>
      <c r="AR129" s="52"/>
      <c r="AS129" s="52" t="s">
        <v>3696</v>
      </c>
      <c r="AT129" s="52"/>
      <c r="AU129" s="52"/>
      <c r="AV129" s="52"/>
      <c r="AW129" s="52"/>
    </row>
    <row r="130" spans="1:49">
      <c r="A130" s="52">
        <v>6013206</v>
      </c>
      <c r="B130" s="52" t="s">
        <v>3723</v>
      </c>
      <c r="C130" s="52" t="s">
        <v>3698</v>
      </c>
      <c r="D130" s="53">
        <v>46154.708333333336</v>
      </c>
      <c r="E130" s="53">
        <v>46153.702777777777</v>
      </c>
      <c r="F130" s="53">
        <v>46155.095138888886</v>
      </c>
      <c r="G130" s="53">
        <v>46156.1875</v>
      </c>
      <c r="H130" s="53">
        <v>46156.634027777778</v>
      </c>
      <c r="I130" s="52"/>
      <c r="J130" s="52" t="s">
        <v>3693</v>
      </c>
      <c r="K130" s="52"/>
      <c r="L130" s="52"/>
      <c r="M130" s="54">
        <v>1.0923611111111111</v>
      </c>
      <c r="N130" s="54">
        <v>3.3611111111111112</v>
      </c>
      <c r="O130" s="52" t="s">
        <v>3161</v>
      </c>
      <c r="P130" s="52" t="s">
        <v>72</v>
      </c>
      <c r="Q130" s="52" t="s">
        <v>3160</v>
      </c>
      <c r="R130" s="52"/>
      <c r="S130" s="52" t="s">
        <v>789</v>
      </c>
      <c r="T130" s="52" t="s">
        <v>3695</v>
      </c>
      <c r="U130" s="52" t="s">
        <v>3811</v>
      </c>
      <c r="V130" s="52" t="s">
        <v>3165</v>
      </c>
      <c r="W130" s="52">
        <v>582966973</v>
      </c>
      <c r="X130" s="52" t="s">
        <v>73</v>
      </c>
      <c r="Y130" s="52" t="s">
        <v>3810</v>
      </c>
      <c r="Z130" s="52" t="s">
        <v>3696</v>
      </c>
      <c r="AA130" s="52" t="s">
        <v>3710</v>
      </c>
      <c r="AB130" s="52"/>
      <c r="AC130" s="52" t="s">
        <v>3703</v>
      </c>
      <c r="AD130" s="52" t="s">
        <v>3704</v>
      </c>
      <c r="AE130" s="52"/>
      <c r="AF130" s="52" t="s">
        <v>3808</v>
      </c>
      <c r="AG130" s="52" t="s">
        <v>3715</v>
      </c>
      <c r="AH130" s="52"/>
      <c r="AI130" s="52"/>
      <c r="AJ130" s="52"/>
      <c r="AK130" s="52"/>
      <c r="AL130" s="55">
        <v>0.63124999999999998</v>
      </c>
      <c r="AM130" s="52"/>
      <c r="AN130" s="52"/>
      <c r="AO130" s="52"/>
      <c r="AP130" s="55">
        <v>0.63124999999999998</v>
      </c>
      <c r="AQ130" s="52"/>
      <c r="AR130" s="52"/>
      <c r="AS130" s="52" t="s">
        <v>3696</v>
      </c>
      <c r="AT130" s="52"/>
      <c r="AU130" s="52"/>
      <c r="AV130" s="52"/>
      <c r="AW130" s="52" t="s">
        <v>2099</v>
      </c>
    </row>
    <row r="131" spans="1:49">
      <c r="A131" s="52">
        <v>6013215</v>
      </c>
      <c r="B131" s="52" t="s">
        <v>3716</v>
      </c>
      <c r="C131" s="52" t="s">
        <v>3692</v>
      </c>
      <c r="D131" s="53">
        <v>46156.75</v>
      </c>
      <c r="E131" s="53">
        <v>46155.650694444441</v>
      </c>
      <c r="F131" s="53">
        <v>46156.302777777775</v>
      </c>
      <c r="G131" s="53">
        <v>46161.25</v>
      </c>
      <c r="H131" s="52"/>
      <c r="I131" s="52" t="s">
        <v>3693</v>
      </c>
      <c r="J131" s="52" t="s">
        <v>3694</v>
      </c>
      <c r="K131" s="53">
        <v>46159.6875</v>
      </c>
      <c r="L131" s="52"/>
      <c r="M131" s="54">
        <v>3.4263888888888889</v>
      </c>
      <c r="N131" s="55">
        <v>0.63263888888888886</v>
      </c>
      <c r="O131" s="52"/>
      <c r="P131" s="52"/>
      <c r="Q131" s="52"/>
      <c r="R131" s="52"/>
      <c r="S131" s="52"/>
      <c r="T131" s="52" t="s">
        <v>3812</v>
      </c>
      <c r="U131" s="52" t="s">
        <v>3813</v>
      </c>
      <c r="V131" s="52"/>
      <c r="W131" s="52"/>
      <c r="X131" s="52"/>
      <c r="Y131" s="52"/>
      <c r="Z131" s="52" t="s">
        <v>3696</v>
      </c>
      <c r="AA131" s="52" t="s">
        <v>184</v>
      </c>
      <c r="AB131" s="52" t="s">
        <v>140</v>
      </c>
      <c r="AC131" s="52" t="s">
        <v>3703</v>
      </c>
      <c r="AD131" s="52" t="s">
        <v>3704</v>
      </c>
      <c r="AE131" s="52"/>
      <c r="AF131" s="52" t="s">
        <v>3814</v>
      </c>
      <c r="AG131" s="52" t="s">
        <v>3788</v>
      </c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>
        <v>0</v>
      </c>
      <c r="AT131" s="52"/>
      <c r="AU131" s="52"/>
      <c r="AV131" s="52" t="s">
        <v>198</v>
      </c>
      <c r="AW131" s="52"/>
    </row>
    <row r="132" spans="1:49">
      <c r="A132" s="52">
        <v>6013215</v>
      </c>
      <c r="B132" s="52" t="s">
        <v>3716</v>
      </c>
      <c r="C132" s="52" t="s">
        <v>3698</v>
      </c>
      <c r="D132" s="53">
        <v>46156.75</v>
      </c>
      <c r="E132" s="53">
        <v>46155.650694444441</v>
      </c>
      <c r="F132" s="53">
        <v>46157.345833333333</v>
      </c>
      <c r="G132" s="53">
        <v>46161.25</v>
      </c>
      <c r="H132" s="52"/>
      <c r="I132" s="52"/>
      <c r="J132" s="52" t="s">
        <v>3694</v>
      </c>
      <c r="K132" s="53">
        <v>46159.6875</v>
      </c>
      <c r="L132" s="52"/>
      <c r="M132" s="54">
        <v>3.9041666666666668</v>
      </c>
      <c r="N132" s="54">
        <v>1.1104166666666666</v>
      </c>
      <c r="O132" s="52" t="s">
        <v>193</v>
      </c>
      <c r="P132" s="52" t="s">
        <v>184</v>
      </c>
      <c r="Q132" s="52" t="s">
        <v>192</v>
      </c>
      <c r="R132" s="52" t="s">
        <v>201</v>
      </c>
      <c r="S132" s="52" t="s">
        <v>69</v>
      </c>
      <c r="T132" s="52" t="s">
        <v>3812</v>
      </c>
      <c r="U132" s="52" t="s">
        <v>3813</v>
      </c>
      <c r="V132" s="52" t="s">
        <v>202</v>
      </c>
      <c r="W132" s="52">
        <v>27726173866</v>
      </c>
      <c r="X132" s="52" t="s">
        <v>73</v>
      </c>
      <c r="Y132" s="52"/>
      <c r="Z132" s="52" t="s">
        <v>3696</v>
      </c>
      <c r="AA132" s="52" t="s">
        <v>3710</v>
      </c>
      <c r="AB132" s="52"/>
      <c r="AC132" s="52" t="s">
        <v>3703</v>
      </c>
      <c r="AD132" s="52" t="s">
        <v>3704</v>
      </c>
      <c r="AE132" s="52" t="s">
        <v>140</v>
      </c>
      <c r="AF132" s="52" t="s">
        <v>3814</v>
      </c>
      <c r="AG132" s="52" t="s">
        <v>3788</v>
      </c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 t="s">
        <v>3696</v>
      </c>
      <c r="AT132" s="52"/>
      <c r="AU132" s="52"/>
      <c r="AV132" s="52"/>
      <c r="AW132" s="52"/>
    </row>
    <row r="133" spans="1:49">
      <c r="A133" s="52">
        <v>6013215</v>
      </c>
      <c r="B133" s="52" t="s">
        <v>3716</v>
      </c>
      <c r="C133" s="52" t="s">
        <v>3698</v>
      </c>
      <c r="D133" s="53">
        <v>46156.75</v>
      </c>
      <c r="E133" s="53">
        <v>46155.650694444441</v>
      </c>
      <c r="F133" s="53">
        <v>46157.345833333333</v>
      </c>
      <c r="G133" s="53">
        <v>46161.25</v>
      </c>
      <c r="H133" s="52"/>
      <c r="I133" s="52"/>
      <c r="J133" s="52" t="s">
        <v>3694</v>
      </c>
      <c r="K133" s="53">
        <v>46159.6875</v>
      </c>
      <c r="L133" s="52"/>
      <c r="M133" s="54">
        <v>3.9041666666666668</v>
      </c>
      <c r="N133" s="54">
        <v>1.1104166666666666</v>
      </c>
      <c r="O133" s="52" t="s">
        <v>193</v>
      </c>
      <c r="P133" s="52" t="s">
        <v>184</v>
      </c>
      <c r="Q133" s="52" t="s">
        <v>192</v>
      </c>
      <c r="R133" s="52" t="s">
        <v>201</v>
      </c>
      <c r="S133" s="52" t="s">
        <v>69</v>
      </c>
      <c r="T133" s="52" t="s">
        <v>3812</v>
      </c>
      <c r="U133" s="52" t="s">
        <v>3813</v>
      </c>
      <c r="V133" s="52" t="s">
        <v>202</v>
      </c>
      <c r="W133" s="52">
        <v>27726173866</v>
      </c>
      <c r="X133" s="52" t="s">
        <v>73</v>
      </c>
      <c r="Y133" s="52"/>
      <c r="Z133" s="52" t="s">
        <v>3696</v>
      </c>
      <c r="AA133" s="52" t="s">
        <v>3710</v>
      </c>
      <c r="AB133" s="52"/>
      <c r="AC133" s="52" t="s">
        <v>3703</v>
      </c>
      <c r="AD133" s="52" t="s">
        <v>3704</v>
      </c>
      <c r="AE133" s="52"/>
      <c r="AF133" s="52" t="s">
        <v>3814</v>
      </c>
      <c r="AG133" s="52" t="s">
        <v>3788</v>
      </c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 t="s">
        <v>3696</v>
      </c>
      <c r="AT133" s="52"/>
      <c r="AU133" s="52"/>
      <c r="AV133" s="52"/>
      <c r="AW133" s="52" t="s">
        <v>198</v>
      </c>
    </row>
    <row r="134" spans="1:49">
      <c r="A134" s="52">
        <v>6013220</v>
      </c>
      <c r="B134" s="52" t="s">
        <v>3716</v>
      </c>
      <c r="C134" s="52" t="s">
        <v>3692</v>
      </c>
      <c r="D134" s="53">
        <v>46157.833333333336</v>
      </c>
      <c r="E134" s="53">
        <v>46156.68472222222</v>
      </c>
      <c r="F134" s="53">
        <v>46157.788194444445</v>
      </c>
      <c r="G134" s="53">
        <v>46159.343055555553</v>
      </c>
      <c r="H134" s="52"/>
      <c r="I134" s="52" t="s">
        <v>3693</v>
      </c>
      <c r="J134" s="52" t="s">
        <v>3694</v>
      </c>
      <c r="K134" s="53">
        <v>46158.957638888889</v>
      </c>
      <c r="L134" s="52"/>
      <c r="M134" s="54">
        <v>1.1430555555555555</v>
      </c>
      <c r="N134" s="55">
        <v>0.67847222222222225</v>
      </c>
      <c r="O134" s="52"/>
      <c r="P134" s="52"/>
      <c r="Q134" s="52"/>
      <c r="R134" s="52"/>
      <c r="S134" s="52"/>
      <c r="T134" s="52" t="s">
        <v>3815</v>
      </c>
      <c r="U134" s="52" t="s">
        <v>3816</v>
      </c>
      <c r="V134" s="52"/>
      <c r="W134" s="52"/>
      <c r="X134" s="52"/>
      <c r="Y134" s="52"/>
      <c r="Z134" s="52" t="s">
        <v>3696</v>
      </c>
      <c r="AA134" s="52" t="s">
        <v>553</v>
      </c>
      <c r="AB134" s="52" t="s">
        <v>140</v>
      </c>
      <c r="AC134" s="52" t="s">
        <v>3703</v>
      </c>
      <c r="AD134" s="52" t="s">
        <v>3704</v>
      </c>
      <c r="AE134" s="52"/>
      <c r="AF134" s="52" t="s">
        <v>3817</v>
      </c>
      <c r="AG134" s="52" t="s">
        <v>3706</v>
      </c>
      <c r="AH134" s="52"/>
      <c r="AI134" s="52"/>
      <c r="AJ134" s="52"/>
      <c r="AK134" s="52"/>
      <c r="AL134" s="55">
        <v>7.7777777777777779E-2</v>
      </c>
      <c r="AM134" s="52"/>
      <c r="AN134" s="52"/>
      <c r="AO134" s="52"/>
      <c r="AP134" s="52"/>
      <c r="AQ134" s="52"/>
      <c r="AR134" s="52"/>
      <c r="AS134" s="52">
        <v>0</v>
      </c>
      <c r="AT134" s="52"/>
      <c r="AU134" s="52"/>
      <c r="AV134" s="52" t="s">
        <v>557</v>
      </c>
      <c r="AW134" s="52"/>
    </row>
    <row r="135" spans="1:49">
      <c r="A135" s="52">
        <v>6013220</v>
      </c>
      <c r="B135" s="52" t="s">
        <v>3716</v>
      </c>
      <c r="C135" s="52" t="s">
        <v>3698</v>
      </c>
      <c r="D135" s="53">
        <v>46157.833333333336</v>
      </c>
      <c r="E135" s="53">
        <v>46156.68472222222</v>
      </c>
      <c r="F135" s="53">
        <v>46157.95208333333</v>
      </c>
      <c r="G135" s="53">
        <v>46159.343055555553</v>
      </c>
      <c r="H135" s="52"/>
      <c r="I135" s="52"/>
      <c r="J135" s="52" t="s">
        <v>3694</v>
      </c>
      <c r="K135" s="53">
        <v>46158.957638888889</v>
      </c>
      <c r="L135" s="52"/>
      <c r="M135" s="54">
        <v>1.3909722222222223</v>
      </c>
      <c r="N135" s="55">
        <v>0.50416666666666665</v>
      </c>
      <c r="O135" s="52" t="s">
        <v>552</v>
      </c>
      <c r="P135" s="52" t="s">
        <v>553</v>
      </c>
      <c r="Q135" s="52" t="s">
        <v>551</v>
      </c>
      <c r="R135" s="52" t="s">
        <v>560</v>
      </c>
      <c r="S135" s="52" t="s">
        <v>69</v>
      </c>
      <c r="T135" s="52" t="s">
        <v>3815</v>
      </c>
      <c r="U135" s="52" t="s">
        <v>3816</v>
      </c>
      <c r="V135" s="52" t="s">
        <v>561</v>
      </c>
      <c r="W135" s="52">
        <v>13345082675</v>
      </c>
      <c r="X135" s="52" t="s">
        <v>73</v>
      </c>
      <c r="Y135" s="52"/>
      <c r="Z135" s="52" t="s">
        <v>3696</v>
      </c>
      <c r="AA135" s="52" t="s">
        <v>3710</v>
      </c>
      <c r="AB135" s="52"/>
      <c r="AC135" s="52" t="s">
        <v>3703</v>
      </c>
      <c r="AD135" s="52" t="s">
        <v>3704</v>
      </c>
      <c r="AE135" s="52" t="s">
        <v>140</v>
      </c>
      <c r="AF135" s="52" t="s">
        <v>3817</v>
      </c>
      <c r="AG135" s="52" t="s">
        <v>3706</v>
      </c>
      <c r="AH135" s="52"/>
      <c r="AI135" s="53">
        <v>46157.836805555555</v>
      </c>
      <c r="AJ135" s="53">
        <v>46157.914583333331</v>
      </c>
      <c r="AK135" s="53">
        <v>46157.836805555555</v>
      </c>
      <c r="AL135" s="55">
        <v>7.7777777777777779E-2</v>
      </c>
      <c r="AM135" s="52"/>
      <c r="AN135" s="55">
        <v>7.7777777777777779E-2</v>
      </c>
      <c r="AO135" s="52"/>
      <c r="AP135" s="55">
        <v>7.7777777777777779E-2</v>
      </c>
      <c r="AQ135" s="52"/>
      <c r="AR135" s="52"/>
      <c r="AS135" s="52" t="s">
        <v>3696</v>
      </c>
      <c r="AT135" s="52"/>
      <c r="AU135" s="52"/>
      <c r="AV135" s="52"/>
      <c r="AW135" s="52"/>
    </row>
    <row r="136" spans="1:49">
      <c r="A136" s="52">
        <v>6013220</v>
      </c>
      <c r="B136" s="52" t="s">
        <v>3716</v>
      </c>
      <c r="C136" s="52" t="s">
        <v>3698</v>
      </c>
      <c r="D136" s="53">
        <v>46157.833333333336</v>
      </c>
      <c r="E136" s="53">
        <v>46156.68472222222</v>
      </c>
      <c r="F136" s="53">
        <v>46157.95208333333</v>
      </c>
      <c r="G136" s="53">
        <v>46159.343055555553</v>
      </c>
      <c r="H136" s="52"/>
      <c r="I136" s="52"/>
      <c r="J136" s="52" t="s">
        <v>3694</v>
      </c>
      <c r="K136" s="53">
        <v>46158.957638888889</v>
      </c>
      <c r="L136" s="52"/>
      <c r="M136" s="54">
        <v>1.3909722222222223</v>
      </c>
      <c r="N136" s="55">
        <v>0.50416666666666665</v>
      </c>
      <c r="O136" s="52" t="s">
        <v>552</v>
      </c>
      <c r="P136" s="52" t="s">
        <v>553</v>
      </c>
      <c r="Q136" s="52" t="s">
        <v>551</v>
      </c>
      <c r="R136" s="52" t="s">
        <v>560</v>
      </c>
      <c r="S136" s="52" t="s">
        <v>69</v>
      </c>
      <c r="T136" s="52" t="s">
        <v>3815</v>
      </c>
      <c r="U136" s="52" t="s">
        <v>3816</v>
      </c>
      <c r="V136" s="52" t="s">
        <v>561</v>
      </c>
      <c r="W136" s="52">
        <v>13345082675</v>
      </c>
      <c r="X136" s="52" t="s">
        <v>73</v>
      </c>
      <c r="Y136" s="52"/>
      <c r="Z136" s="52" t="s">
        <v>3696</v>
      </c>
      <c r="AA136" s="52" t="s">
        <v>3710</v>
      </c>
      <c r="AB136" s="52"/>
      <c r="AC136" s="52" t="s">
        <v>3703</v>
      </c>
      <c r="AD136" s="52" t="s">
        <v>3704</v>
      </c>
      <c r="AE136" s="52"/>
      <c r="AF136" s="52" t="s">
        <v>3817</v>
      </c>
      <c r="AG136" s="52" t="s">
        <v>3706</v>
      </c>
      <c r="AH136" s="52"/>
      <c r="AI136" s="53">
        <v>46157.836805555555</v>
      </c>
      <c r="AJ136" s="53">
        <v>46157.914583333331</v>
      </c>
      <c r="AK136" s="53">
        <v>46157.836805555555</v>
      </c>
      <c r="AL136" s="55">
        <v>7.7777777777777779E-2</v>
      </c>
      <c r="AM136" s="52"/>
      <c r="AN136" s="55">
        <v>7.7777777777777779E-2</v>
      </c>
      <c r="AO136" s="52"/>
      <c r="AP136" s="55">
        <v>7.7777777777777779E-2</v>
      </c>
      <c r="AQ136" s="52"/>
      <c r="AR136" s="52"/>
      <c r="AS136" s="52" t="s">
        <v>3696</v>
      </c>
      <c r="AT136" s="52"/>
      <c r="AU136" s="52"/>
      <c r="AV136" s="52"/>
      <c r="AW136" s="52" t="s">
        <v>557</v>
      </c>
    </row>
    <row r="137" spans="1:49">
      <c r="A137" s="52">
        <v>6013221</v>
      </c>
      <c r="B137" s="52" t="s">
        <v>3716</v>
      </c>
      <c r="C137" s="52" t="s">
        <v>3692</v>
      </c>
      <c r="D137" s="53">
        <v>46157.541666666664</v>
      </c>
      <c r="E137" s="53">
        <v>46156.68472222222</v>
      </c>
      <c r="F137" s="53">
        <v>46157.431944444441</v>
      </c>
      <c r="G137" s="53">
        <v>46161.25</v>
      </c>
      <c r="H137" s="52"/>
      <c r="I137" s="52" t="s">
        <v>3693</v>
      </c>
      <c r="J137" s="52" t="s">
        <v>3694</v>
      </c>
      <c r="K137" s="53">
        <v>46158.586805555555</v>
      </c>
      <c r="L137" s="52"/>
      <c r="M137" s="55">
        <v>0.3527777777777778</v>
      </c>
      <c r="N137" s="54">
        <v>2.4409722222222223</v>
      </c>
      <c r="O137" s="52"/>
      <c r="P137" s="52"/>
      <c r="Q137" s="52"/>
      <c r="R137" s="52"/>
      <c r="S137" s="52"/>
      <c r="T137" s="52" t="s">
        <v>3818</v>
      </c>
      <c r="U137" s="52" t="s">
        <v>3819</v>
      </c>
      <c r="V137" s="52"/>
      <c r="W137" s="52"/>
      <c r="X137" s="52"/>
      <c r="Y137" s="52"/>
      <c r="Z137" s="52" t="s">
        <v>3696</v>
      </c>
      <c r="AA137" s="52" t="s">
        <v>282</v>
      </c>
      <c r="AB137" s="52" t="s">
        <v>140</v>
      </c>
      <c r="AC137" s="52" t="s">
        <v>3703</v>
      </c>
      <c r="AD137" s="52" t="s">
        <v>3704</v>
      </c>
      <c r="AE137" s="52"/>
      <c r="AF137" s="52" t="s">
        <v>3769</v>
      </c>
      <c r="AG137" s="52" t="s">
        <v>3770</v>
      </c>
      <c r="AH137" s="52"/>
      <c r="AI137" s="52"/>
      <c r="AJ137" s="52"/>
      <c r="AK137" s="52"/>
      <c r="AL137" s="55">
        <v>0.17430555555555555</v>
      </c>
      <c r="AM137" s="52"/>
      <c r="AN137" s="52"/>
      <c r="AO137" s="52"/>
      <c r="AP137" s="52"/>
      <c r="AQ137" s="52"/>
      <c r="AR137" s="52"/>
      <c r="AS137" s="52">
        <v>0</v>
      </c>
      <c r="AT137" s="52"/>
      <c r="AU137" s="52"/>
      <c r="AV137" s="52" t="s">
        <v>286</v>
      </c>
      <c r="AW137" s="52"/>
    </row>
    <row r="138" spans="1:49">
      <c r="A138" s="52">
        <v>6013221</v>
      </c>
      <c r="B138" s="52" t="s">
        <v>3716</v>
      </c>
      <c r="C138" s="52" t="s">
        <v>3698</v>
      </c>
      <c r="D138" s="53">
        <v>46157.541666666664</v>
      </c>
      <c r="E138" s="53">
        <v>46156.68472222222</v>
      </c>
      <c r="F138" s="53">
        <v>46157.59375</v>
      </c>
      <c r="G138" s="53">
        <v>46161.25</v>
      </c>
      <c r="H138" s="52"/>
      <c r="I138" s="52"/>
      <c r="J138" s="52" t="s">
        <v>3694</v>
      </c>
      <c r="K138" s="53">
        <v>46158.586805555555</v>
      </c>
      <c r="L138" s="52"/>
      <c r="M138" s="54">
        <v>3.65625</v>
      </c>
      <c r="N138" s="55">
        <v>0.86250000000000004</v>
      </c>
      <c r="O138" s="52" t="s">
        <v>281</v>
      </c>
      <c r="P138" s="52" t="s">
        <v>282</v>
      </c>
      <c r="Q138" s="52" t="s">
        <v>280</v>
      </c>
      <c r="R138" s="52" t="s">
        <v>289</v>
      </c>
      <c r="S138" s="52" t="s">
        <v>69</v>
      </c>
      <c r="T138" s="52" t="s">
        <v>3818</v>
      </c>
      <c r="U138" s="52" t="s">
        <v>3819</v>
      </c>
      <c r="V138" s="52" t="s">
        <v>3820</v>
      </c>
      <c r="W138" s="52">
        <v>37437295806</v>
      </c>
      <c r="X138" s="52" t="s">
        <v>73</v>
      </c>
      <c r="Y138" s="52" t="s">
        <v>3821</v>
      </c>
      <c r="Z138" s="52" t="s">
        <v>3696</v>
      </c>
      <c r="AA138" s="52" t="s">
        <v>3710</v>
      </c>
      <c r="AB138" s="52"/>
      <c r="AC138" s="52" t="s">
        <v>3703</v>
      </c>
      <c r="AD138" s="52" t="s">
        <v>3704</v>
      </c>
      <c r="AE138" s="52" t="s">
        <v>140</v>
      </c>
      <c r="AF138" s="52" t="s">
        <v>3769</v>
      </c>
      <c r="AG138" s="52" t="s">
        <v>3770</v>
      </c>
      <c r="AH138" s="52"/>
      <c r="AI138" s="53">
        <v>46157.43472222222</v>
      </c>
      <c r="AJ138" s="53">
        <v>46157.609027777777</v>
      </c>
      <c r="AK138" s="53">
        <v>46157.43472222222</v>
      </c>
      <c r="AL138" s="55">
        <v>0.17430555555555555</v>
      </c>
      <c r="AM138" s="52"/>
      <c r="AN138" s="55">
        <v>0.17430555555555555</v>
      </c>
      <c r="AO138" s="52"/>
      <c r="AP138" s="55">
        <v>0.17430555555555555</v>
      </c>
      <c r="AQ138" s="52"/>
      <c r="AR138" s="52"/>
      <c r="AS138" s="52" t="s">
        <v>3696</v>
      </c>
      <c r="AT138" s="52"/>
      <c r="AU138" s="52"/>
      <c r="AV138" s="52"/>
      <c r="AW138" s="52"/>
    </row>
    <row r="139" spans="1:49">
      <c r="A139" s="52">
        <v>6013221</v>
      </c>
      <c r="B139" s="52" t="s">
        <v>3716</v>
      </c>
      <c r="C139" s="52" t="s">
        <v>3698</v>
      </c>
      <c r="D139" s="53">
        <v>46157.541666666664</v>
      </c>
      <c r="E139" s="53">
        <v>46156.68472222222</v>
      </c>
      <c r="F139" s="53">
        <v>46157.59375</v>
      </c>
      <c r="G139" s="53">
        <v>46161.25</v>
      </c>
      <c r="H139" s="52"/>
      <c r="I139" s="52"/>
      <c r="J139" s="52" t="s">
        <v>3694</v>
      </c>
      <c r="K139" s="53">
        <v>46158.586805555555</v>
      </c>
      <c r="L139" s="52"/>
      <c r="M139" s="54">
        <v>3.65625</v>
      </c>
      <c r="N139" s="55">
        <v>0.86250000000000004</v>
      </c>
      <c r="O139" s="52" t="s">
        <v>281</v>
      </c>
      <c r="P139" s="52" t="s">
        <v>282</v>
      </c>
      <c r="Q139" s="52" t="s">
        <v>280</v>
      </c>
      <c r="R139" s="52" t="s">
        <v>289</v>
      </c>
      <c r="S139" s="52" t="s">
        <v>69</v>
      </c>
      <c r="T139" s="52" t="s">
        <v>3818</v>
      </c>
      <c r="U139" s="52" t="s">
        <v>3819</v>
      </c>
      <c r="V139" s="52" t="s">
        <v>3820</v>
      </c>
      <c r="W139" s="52">
        <v>37437295806</v>
      </c>
      <c r="X139" s="52" t="s">
        <v>73</v>
      </c>
      <c r="Y139" s="52" t="s">
        <v>3821</v>
      </c>
      <c r="Z139" s="52" t="s">
        <v>3696</v>
      </c>
      <c r="AA139" s="52" t="s">
        <v>3710</v>
      </c>
      <c r="AB139" s="52"/>
      <c r="AC139" s="52" t="s">
        <v>3703</v>
      </c>
      <c r="AD139" s="52" t="s">
        <v>3704</v>
      </c>
      <c r="AE139" s="52"/>
      <c r="AF139" s="52" t="s">
        <v>3769</v>
      </c>
      <c r="AG139" s="52" t="s">
        <v>3770</v>
      </c>
      <c r="AH139" s="52"/>
      <c r="AI139" s="53">
        <v>46157.43472222222</v>
      </c>
      <c r="AJ139" s="53">
        <v>46157.609027777777</v>
      </c>
      <c r="AK139" s="53">
        <v>46157.43472222222</v>
      </c>
      <c r="AL139" s="55">
        <v>0.17430555555555555</v>
      </c>
      <c r="AM139" s="52"/>
      <c r="AN139" s="55">
        <v>0.17430555555555555</v>
      </c>
      <c r="AO139" s="52"/>
      <c r="AP139" s="55">
        <v>0.17430555555555555</v>
      </c>
      <c r="AQ139" s="52"/>
      <c r="AR139" s="52"/>
      <c r="AS139" s="52" t="s">
        <v>3696</v>
      </c>
      <c r="AT139" s="52"/>
      <c r="AU139" s="52"/>
      <c r="AV139" s="52"/>
      <c r="AW139" s="52" t="s">
        <v>286</v>
      </c>
    </row>
    <row r="140" spans="1:49">
      <c r="A140" s="52">
        <v>6013223</v>
      </c>
      <c r="B140" s="52" t="s">
        <v>3723</v>
      </c>
      <c r="C140" s="52" t="s">
        <v>3692</v>
      </c>
      <c r="D140" s="53">
        <v>46156.375</v>
      </c>
      <c r="E140" s="53">
        <v>46155.650694444441</v>
      </c>
      <c r="F140" s="53">
        <v>46156.67291666667</v>
      </c>
      <c r="G140" s="53">
        <v>46161.25</v>
      </c>
      <c r="H140" s="52"/>
      <c r="I140" s="52" t="s">
        <v>3693</v>
      </c>
      <c r="J140" s="52" t="s">
        <v>3693</v>
      </c>
      <c r="K140" s="53">
        <v>46157.137499999997</v>
      </c>
      <c r="L140" s="52"/>
      <c r="M140" s="55">
        <v>0.54166666666666663</v>
      </c>
      <c r="N140" s="54">
        <v>2.2520833333333332</v>
      </c>
      <c r="O140" s="52"/>
      <c r="P140" s="52"/>
      <c r="Q140" s="52"/>
      <c r="R140" s="52"/>
      <c r="S140" s="52"/>
      <c r="T140" s="52" t="s">
        <v>3822</v>
      </c>
      <c r="U140" s="52" t="s">
        <v>3695</v>
      </c>
      <c r="V140" s="52"/>
      <c r="W140" s="52"/>
      <c r="X140" s="52"/>
      <c r="Y140" s="52"/>
      <c r="Z140" s="52" t="s">
        <v>3696</v>
      </c>
      <c r="AA140" s="52" t="s">
        <v>227</v>
      </c>
      <c r="AB140" s="52" t="s">
        <v>140</v>
      </c>
      <c r="AC140" s="52" t="s">
        <v>3703</v>
      </c>
      <c r="AD140" s="52" t="s">
        <v>3704</v>
      </c>
      <c r="AE140" s="52"/>
      <c r="AF140" s="52" t="s">
        <v>3769</v>
      </c>
      <c r="AG140" s="52" t="s">
        <v>3770</v>
      </c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>
        <v>0</v>
      </c>
      <c r="AT140" s="52"/>
      <c r="AU140" s="52"/>
      <c r="AV140" s="52" t="s">
        <v>286</v>
      </c>
      <c r="AW140" s="52"/>
    </row>
    <row r="141" spans="1:49">
      <c r="A141" s="52">
        <v>6013223</v>
      </c>
      <c r="B141" s="52" t="s">
        <v>3723</v>
      </c>
      <c r="C141" s="52" t="s">
        <v>3698</v>
      </c>
      <c r="D141" s="53">
        <v>46156.375</v>
      </c>
      <c r="E141" s="53">
        <v>46155.650694444441</v>
      </c>
      <c r="F141" s="53">
        <v>46156.675000000003</v>
      </c>
      <c r="G141" s="53">
        <v>46161.25</v>
      </c>
      <c r="H141" s="53">
        <v>46156.838888888888</v>
      </c>
      <c r="I141" s="52"/>
      <c r="J141" s="52" t="s">
        <v>3693</v>
      </c>
      <c r="K141" s="53">
        <v>46157.137499999997</v>
      </c>
      <c r="L141" s="52"/>
      <c r="M141" s="54">
        <v>4.5750000000000002</v>
      </c>
      <c r="N141" s="54">
        <v>1.78125</v>
      </c>
      <c r="O141" s="52" t="s">
        <v>3440</v>
      </c>
      <c r="P141" s="52" t="s">
        <v>227</v>
      </c>
      <c r="Q141" s="52" t="s">
        <v>2057</v>
      </c>
      <c r="R141" s="52" t="s">
        <v>3136</v>
      </c>
      <c r="S141" s="52" t="s">
        <v>789</v>
      </c>
      <c r="T141" s="52" t="s">
        <v>3822</v>
      </c>
      <c r="U141" s="52" t="s">
        <v>3695</v>
      </c>
      <c r="V141" s="52" t="s">
        <v>3823</v>
      </c>
      <c r="W141" s="52">
        <v>44662290821</v>
      </c>
      <c r="X141" s="52" t="s">
        <v>73</v>
      </c>
      <c r="Y141" s="52"/>
      <c r="Z141" s="52" t="s">
        <v>3696</v>
      </c>
      <c r="AA141" s="52" t="s">
        <v>3710</v>
      </c>
      <c r="AB141" s="52"/>
      <c r="AC141" s="52" t="s">
        <v>3703</v>
      </c>
      <c r="AD141" s="52" t="s">
        <v>3704</v>
      </c>
      <c r="AE141" s="52" t="s">
        <v>140</v>
      </c>
      <c r="AF141" s="52" t="s">
        <v>3769</v>
      </c>
      <c r="AG141" s="52" t="s">
        <v>3770</v>
      </c>
      <c r="AH141" s="52"/>
      <c r="AI141" s="52"/>
      <c r="AJ141" s="52"/>
      <c r="AK141" s="52"/>
      <c r="AL141" s="55">
        <v>0.11874999999999999</v>
      </c>
      <c r="AM141" s="52"/>
      <c r="AN141" s="52"/>
      <c r="AO141" s="52"/>
      <c r="AP141" s="55">
        <v>0.11874999999999999</v>
      </c>
      <c r="AQ141" s="52"/>
      <c r="AR141" s="52"/>
      <c r="AS141" s="52" t="s">
        <v>3696</v>
      </c>
      <c r="AT141" s="52"/>
      <c r="AU141" s="52"/>
      <c r="AV141" s="52"/>
      <c r="AW141" s="52"/>
    </row>
    <row r="142" spans="1:49">
      <c r="A142" s="52">
        <v>6013223</v>
      </c>
      <c r="B142" s="52" t="s">
        <v>3723</v>
      </c>
      <c r="C142" s="52" t="s">
        <v>3698</v>
      </c>
      <c r="D142" s="53">
        <v>46156.375</v>
      </c>
      <c r="E142" s="53">
        <v>46155.650694444441</v>
      </c>
      <c r="F142" s="53">
        <v>46156.675000000003</v>
      </c>
      <c r="G142" s="53">
        <v>46161.25</v>
      </c>
      <c r="H142" s="53">
        <v>46156.838888888888</v>
      </c>
      <c r="I142" s="52"/>
      <c r="J142" s="52" t="s">
        <v>3693</v>
      </c>
      <c r="K142" s="53">
        <v>46157.137499999997</v>
      </c>
      <c r="L142" s="52"/>
      <c r="M142" s="54">
        <v>4.5750000000000002</v>
      </c>
      <c r="N142" s="54">
        <v>1.78125</v>
      </c>
      <c r="O142" s="52" t="s">
        <v>3440</v>
      </c>
      <c r="P142" s="52" t="s">
        <v>227</v>
      </c>
      <c r="Q142" s="52" t="s">
        <v>2057</v>
      </c>
      <c r="R142" s="52" t="s">
        <v>3136</v>
      </c>
      <c r="S142" s="52" t="s">
        <v>789</v>
      </c>
      <c r="T142" s="52" t="s">
        <v>3822</v>
      </c>
      <c r="U142" s="52" t="s">
        <v>3695</v>
      </c>
      <c r="V142" s="52" t="s">
        <v>3823</v>
      </c>
      <c r="W142" s="52">
        <v>44662290821</v>
      </c>
      <c r="X142" s="52" t="s">
        <v>73</v>
      </c>
      <c r="Y142" s="52"/>
      <c r="Z142" s="52" t="s">
        <v>3696</v>
      </c>
      <c r="AA142" s="52" t="s">
        <v>3710</v>
      </c>
      <c r="AB142" s="52"/>
      <c r="AC142" s="52" t="s">
        <v>3703</v>
      </c>
      <c r="AD142" s="52" t="s">
        <v>3704</v>
      </c>
      <c r="AE142" s="52"/>
      <c r="AF142" s="52" t="s">
        <v>3769</v>
      </c>
      <c r="AG142" s="52" t="s">
        <v>3770</v>
      </c>
      <c r="AH142" s="52"/>
      <c r="AI142" s="52"/>
      <c r="AJ142" s="52"/>
      <c r="AK142" s="52"/>
      <c r="AL142" s="55">
        <v>0.11874999999999999</v>
      </c>
      <c r="AM142" s="52"/>
      <c r="AN142" s="52"/>
      <c r="AO142" s="52"/>
      <c r="AP142" s="55">
        <v>0.11874999999999999</v>
      </c>
      <c r="AQ142" s="52"/>
      <c r="AR142" s="52"/>
      <c r="AS142" s="52" t="s">
        <v>3696</v>
      </c>
      <c r="AT142" s="52"/>
      <c r="AU142" s="52"/>
      <c r="AV142" s="52"/>
      <c r="AW142" s="52" t="s">
        <v>286</v>
      </c>
    </row>
    <row r="143" spans="1:49">
      <c r="A143" s="52">
        <v>6013223</v>
      </c>
      <c r="B143" s="52" t="s">
        <v>3723</v>
      </c>
      <c r="C143" s="52" t="s">
        <v>3698</v>
      </c>
      <c r="D143" s="53">
        <v>46156.375</v>
      </c>
      <c r="E143" s="53">
        <v>46155.650694444441</v>
      </c>
      <c r="F143" s="53">
        <v>46156.997916666667</v>
      </c>
      <c r="G143" s="53">
        <v>46161.25</v>
      </c>
      <c r="H143" s="53">
        <v>46157.522916666669</v>
      </c>
      <c r="I143" s="52"/>
      <c r="J143" s="52" t="s">
        <v>3693</v>
      </c>
      <c r="K143" s="53">
        <v>46157.137499999997</v>
      </c>
      <c r="L143" s="52"/>
      <c r="M143" s="54">
        <v>4.2520833333333332</v>
      </c>
      <c r="N143" s="54">
        <v>1.4583333333333333</v>
      </c>
      <c r="O143" s="52" t="s">
        <v>3505</v>
      </c>
      <c r="P143" s="52" t="s">
        <v>227</v>
      </c>
      <c r="Q143" s="52" t="s">
        <v>3504</v>
      </c>
      <c r="R143" s="52"/>
      <c r="S143" s="52" t="s">
        <v>789</v>
      </c>
      <c r="T143" s="52" t="s">
        <v>3822</v>
      </c>
      <c r="U143" s="52" t="s">
        <v>3824</v>
      </c>
      <c r="V143" s="52" t="s">
        <v>3825</v>
      </c>
      <c r="W143" s="52">
        <v>36529303987</v>
      </c>
      <c r="X143" s="52" t="s">
        <v>73</v>
      </c>
      <c r="Y143" s="52" t="s">
        <v>3826</v>
      </c>
      <c r="Z143" s="52" t="s">
        <v>3696</v>
      </c>
      <c r="AA143" s="52" t="s">
        <v>3710</v>
      </c>
      <c r="AB143" s="52"/>
      <c r="AC143" s="52" t="s">
        <v>3703</v>
      </c>
      <c r="AD143" s="52" t="s">
        <v>3704</v>
      </c>
      <c r="AE143" s="52" t="s">
        <v>140</v>
      </c>
      <c r="AF143" s="52" t="s">
        <v>3769</v>
      </c>
      <c r="AG143" s="52" t="s">
        <v>3770</v>
      </c>
      <c r="AH143" s="52"/>
      <c r="AI143" s="52"/>
      <c r="AJ143" s="52"/>
      <c r="AK143" s="52"/>
      <c r="AL143" s="55">
        <v>0.21527777777777779</v>
      </c>
      <c r="AM143" s="52"/>
      <c r="AN143" s="52"/>
      <c r="AO143" s="52"/>
      <c r="AP143" s="55">
        <v>0.21527777777777779</v>
      </c>
      <c r="AQ143" s="52"/>
      <c r="AR143" s="52"/>
      <c r="AS143" s="52" t="s">
        <v>3696</v>
      </c>
      <c r="AT143" s="52"/>
      <c r="AU143" s="52"/>
      <c r="AV143" s="52"/>
      <c r="AW143" s="52"/>
    </row>
    <row r="144" spans="1:49">
      <c r="A144" s="52">
        <v>6013223</v>
      </c>
      <c r="B144" s="52" t="s">
        <v>3723</v>
      </c>
      <c r="C144" s="52" t="s">
        <v>3698</v>
      </c>
      <c r="D144" s="53">
        <v>46156.375</v>
      </c>
      <c r="E144" s="53">
        <v>46155.650694444441</v>
      </c>
      <c r="F144" s="53">
        <v>46156.997916666667</v>
      </c>
      <c r="G144" s="53">
        <v>46161.25</v>
      </c>
      <c r="H144" s="53">
        <v>46157.522916666669</v>
      </c>
      <c r="I144" s="52"/>
      <c r="J144" s="52" t="s">
        <v>3693</v>
      </c>
      <c r="K144" s="53">
        <v>46157.137499999997</v>
      </c>
      <c r="L144" s="52"/>
      <c r="M144" s="54">
        <v>4.2520833333333332</v>
      </c>
      <c r="N144" s="54">
        <v>1.4583333333333333</v>
      </c>
      <c r="O144" s="52" t="s">
        <v>3505</v>
      </c>
      <c r="P144" s="52" t="s">
        <v>227</v>
      </c>
      <c r="Q144" s="52" t="s">
        <v>3504</v>
      </c>
      <c r="R144" s="52"/>
      <c r="S144" s="52" t="s">
        <v>789</v>
      </c>
      <c r="T144" s="52" t="s">
        <v>3822</v>
      </c>
      <c r="U144" s="52" t="s">
        <v>3824</v>
      </c>
      <c r="V144" s="52" t="s">
        <v>3825</v>
      </c>
      <c r="W144" s="52">
        <v>36529303987</v>
      </c>
      <c r="X144" s="52" t="s">
        <v>73</v>
      </c>
      <c r="Y144" s="52" t="s">
        <v>3826</v>
      </c>
      <c r="Z144" s="52" t="s">
        <v>3696</v>
      </c>
      <c r="AA144" s="52" t="s">
        <v>3710</v>
      </c>
      <c r="AB144" s="52"/>
      <c r="AC144" s="52" t="s">
        <v>3703</v>
      </c>
      <c r="AD144" s="52" t="s">
        <v>3704</v>
      </c>
      <c r="AE144" s="52"/>
      <c r="AF144" s="52" t="s">
        <v>3769</v>
      </c>
      <c r="AG144" s="52" t="s">
        <v>3770</v>
      </c>
      <c r="AH144" s="52"/>
      <c r="AI144" s="52"/>
      <c r="AJ144" s="52"/>
      <c r="AK144" s="52"/>
      <c r="AL144" s="55">
        <v>0.21527777777777779</v>
      </c>
      <c r="AM144" s="52"/>
      <c r="AN144" s="52"/>
      <c r="AO144" s="52"/>
      <c r="AP144" s="55">
        <v>0.21527777777777779</v>
      </c>
      <c r="AQ144" s="52"/>
      <c r="AR144" s="52"/>
      <c r="AS144" s="52" t="s">
        <v>3696</v>
      </c>
      <c r="AT144" s="52"/>
      <c r="AU144" s="52"/>
      <c r="AV144" s="52"/>
      <c r="AW144" s="52" t="s">
        <v>286</v>
      </c>
    </row>
    <row r="145" spans="1:49">
      <c r="A145" s="52">
        <v>6013224</v>
      </c>
      <c r="B145" s="52" t="s">
        <v>3723</v>
      </c>
      <c r="C145" s="52" t="s">
        <v>3692</v>
      </c>
      <c r="D145" s="53">
        <v>46155.583333333336</v>
      </c>
      <c r="E145" s="53">
        <v>46155.390277777777</v>
      </c>
      <c r="F145" s="53">
        <v>46155.838194444441</v>
      </c>
      <c r="G145" s="53">
        <v>46161.25</v>
      </c>
      <c r="H145" s="52"/>
      <c r="I145" s="52" t="s">
        <v>3693</v>
      </c>
      <c r="J145" s="52" t="s">
        <v>3693</v>
      </c>
      <c r="K145" s="53">
        <v>46157.009722222225</v>
      </c>
      <c r="L145" s="52"/>
      <c r="M145" s="54">
        <v>1.75</v>
      </c>
      <c r="N145" s="54">
        <v>1.04375</v>
      </c>
      <c r="O145" s="52"/>
      <c r="P145" s="52"/>
      <c r="Q145" s="52"/>
      <c r="R145" s="52"/>
      <c r="S145" s="52"/>
      <c r="T145" s="52" t="s">
        <v>3695</v>
      </c>
      <c r="U145" s="52" t="s">
        <v>3695</v>
      </c>
      <c r="V145" s="52"/>
      <c r="W145" s="52"/>
      <c r="X145" s="52"/>
      <c r="Y145" s="52"/>
      <c r="Z145" s="52" t="s">
        <v>3696</v>
      </c>
      <c r="AA145" s="52" t="s">
        <v>227</v>
      </c>
      <c r="AB145" s="52" t="s">
        <v>140</v>
      </c>
      <c r="AC145" s="52" t="s">
        <v>3703</v>
      </c>
      <c r="AD145" s="52" t="s">
        <v>3704</v>
      </c>
      <c r="AE145" s="52"/>
      <c r="AF145" s="52" t="s">
        <v>3827</v>
      </c>
      <c r="AG145" s="52" t="s">
        <v>3726</v>
      </c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>
        <v>0</v>
      </c>
      <c r="AT145" s="52"/>
      <c r="AU145" s="52"/>
      <c r="AV145" s="52" t="s">
        <v>3293</v>
      </c>
      <c r="AW145" s="52"/>
    </row>
    <row r="146" spans="1:49">
      <c r="A146" s="52">
        <v>6013224</v>
      </c>
      <c r="B146" s="52" t="s">
        <v>3723</v>
      </c>
      <c r="C146" s="52" t="s">
        <v>3698</v>
      </c>
      <c r="D146" s="53">
        <v>46155.583333333336</v>
      </c>
      <c r="E146" s="53">
        <v>46155.390277777777</v>
      </c>
      <c r="F146" s="53">
        <v>46155.847916666666</v>
      </c>
      <c r="G146" s="53">
        <v>46161.25</v>
      </c>
      <c r="H146" s="52"/>
      <c r="I146" s="52"/>
      <c r="J146" s="52" t="s">
        <v>3693</v>
      </c>
      <c r="K146" s="52"/>
      <c r="L146" s="52"/>
      <c r="M146" s="54">
        <v>5.4020833333333336</v>
      </c>
      <c r="N146" s="54">
        <v>2.6083333333333334</v>
      </c>
      <c r="O146" s="52" t="s">
        <v>3828</v>
      </c>
      <c r="P146" s="52" t="s">
        <v>227</v>
      </c>
      <c r="Q146" s="52" t="s">
        <v>323</v>
      </c>
      <c r="R146" s="52" t="s">
        <v>1181</v>
      </c>
      <c r="S146" s="52" t="s">
        <v>3756</v>
      </c>
      <c r="T146" s="52" t="s">
        <v>3695</v>
      </c>
      <c r="U146" s="52" t="s">
        <v>3695</v>
      </c>
      <c r="V146" s="52" t="s">
        <v>332</v>
      </c>
      <c r="W146" s="52">
        <v>371751900</v>
      </c>
      <c r="X146" s="52" t="s">
        <v>73</v>
      </c>
      <c r="Y146" s="52"/>
      <c r="Z146" s="52" t="s">
        <v>3696</v>
      </c>
      <c r="AA146" s="52" t="s">
        <v>3710</v>
      </c>
      <c r="AB146" s="52"/>
      <c r="AC146" s="52" t="s">
        <v>3703</v>
      </c>
      <c r="AD146" s="52" t="s">
        <v>3704</v>
      </c>
      <c r="AE146" s="52" t="s">
        <v>140</v>
      </c>
      <c r="AF146" s="52" t="s">
        <v>3827</v>
      </c>
      <c r="AG146" s="52" t="s">
        <v>3726</v>
      </c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 t="s">
        <v>3696</v>
      </c>
      <c r="AT146" s="52"/>
      <c r="AU146" s="52"/>
      <c r="AV146" s="52"/>
      <c r="AW146" s="52"/>
    </row>
    <row r="147" spans="1:49">
      <c r="A147" s="52">
        <v>6013224</v>
      </c>
      <c r="B147" s="52" t="s">
        <v>3723</v>
      </c>
      <c r="C147" s="52" t="s">
        <v>3698</v>
      </c>
      <c r="D147" s="53">
        <v>46155.583333333336</v>
      </c>
      <c r="E147" s="53">
        <v>46155.390277777777</v>
      </c>
      <c r="F147" s="53">
        <v>46155.847916666666</v>
      </c>
      <c r="G147" s="53">
        <v>46161.25</v>
      </c>
      <c r="H147" s="52"/>
      <c r="I147" s="52"/>
      <c r="J147" s="52" t="s">
        <v>3693</v>
      </c>
      <c r="K147" s="52"/>
      <c r="L147" s="52"/>
      <c r="M147" s="54">
        <v>5.4020833333333336</v>
      </c>
      <c r="N147" s="54">
        <v>2.6083333333333334</v>
      </c>
      <c r="O147" s="52" t="s">
        <v>3828</v>
      </c>
      <c r="P147" s="52" t="s">
        <v>227</v>
      </c>
      <c r="Q147" s="52" t="s">
        <v>323</v>
      </c>
      <c r="R147" s="52" t="s">
        <v>1181</v>
      </c>
      <c r="S147" s="52" t="s">
        <v>3756</v>
      </c>
      <c r="T147" s="52" t="s">
        <v>3695</v>
      </c>
      <c r="U147" s="52" t="s">
        <v>3695</v>
      </c>
      <c r="V147" s="52" t="s">
        <v>332</v>
      </c>
      <c r="W147" s="52">
        <v>371751900</v>
      </c>
      <c r="X147" s="52" t="s">
        <v>73</v>
      </c>
      <c r="Y147" s="52"/>
      <c r="Z147" s="52" t="s">
        <v>3696</v>
      </c>
      <c r="AA147" s="52" t="s">
        <v>3710</v>
      </c>
      <c r="AB147" s="52"/>
      <c r="AC147" s="52" t="s">
        <v>3703</v>
      </c>
      <c r="AD147" s="52" t="s">
        <v>3704</v>
      </c>
      <c r="AE147" s="52"/>
      <c r="AF147" s="52" t="s">
        <v>3827</v>
      </c>
      <c r="AG147" s="52" t="s">
        <v>3726</v>
      </c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 t="s">
        <v>3696</v>
      </c>
      <c r="AT147" s="52"/>
      <c r="AU147" s="52"/>
      <c r="AV147" s="52"/>
      <c r="AW147" s="52" t="s">
        <v>3293</v>
      </c>
    </row>
    <row r="148" spans="1:49">
      <c r="A148" s="52">
        <v>6013224</v>
      </c>
      <c r="B148" s="52" t="s">
        <v>3723</v>
      </c>
      <c r="C148" s="52" t="s">
        <v>3698</v>
      </c>
      <c r="D148" s="53">
        <v>46155.583333333336</v>
      </c>
      <c r="E148" s="53">
        <v>46155.390277777777</v>
      </c>
      <c r="F148" s="53">
        <v>46155.869444444441</v>
      </c>
      <c r="G148" s="53">
        <v>46161.25</v>
      </c>
      <c r="H148" s="53">
        <v>46156.506944444445</v>
      </c>
      <c r="I148" s="52"/>
      <c r="J148" s="52" t="s">
        <v>3693</v>
      </c>
      <c r="K148" s="52"/>
      <c r="L148" s="52"/>
      <c r="M148" s="54">
        <v>5.3805555555555555</v>
      </c>
      <c r="N148" s="54">
        <v>2.5868055555555554</v>
      </c>
      <c r="O148" s="52" t="s">
        <v>3299</v>
      </c>
      <c r="P148" s="52" t="s">
        <v>227</v>
      </c>
      <c r="Q148" s="52" t="s">
        <v>323</v>
      </c>
      <c r="R148" s="52" t="s">
        <v>1181</v>
      </c>
      <c r="S148" s="52" t="s">
        <v>789</v>
      </c>
      <c r="T148" s="52" t="s">
        <v>3695</v>
      </c>
      <c r="U148" s="52" t="s">
        <v>3829</v>
      </c>
      <c r="V148" s="52" t="s">
        <v>332</v>
      </c>
      <c r="W148" s="52">
        <v>371751900</v>
      </c>
      <c r="X148" s="52" t="s">
        <v>73</v>
      </c>
      <c r="Y148" s="52"/>
      <c r="Z148" s="52" t="s">
        <v>3696</v>
      </c>
      <c r="AA148" s="52" t="s">
        <v>3710</v>
      </c>
      <c r="AB148" s="52"/>
      <c r="AC148" s="52" t="s">
        <v>3703</v>
      </c>
      <c r="AD148" s="52" t="s">
        <v>3704</v>
      </c>
      <c r="AE148" s="52" t="s">
        <v>140</v>
      </c>
      <c r="AF148" s="52" t="s">
        <v>3827</v>
      </c>
      <c r="AG148" s="52" t="s">
        <v>3726</v>
      </c>
      <c r="AH148" s="52"/>
      <c r="AI148" s="52"/>
      <c r="AJ148" s="52"/>
      <c r="AK148" s="52"/>
      <c r="AL148" s="55">
        <v>1.1805555555555555E-2</v>
      </c>
      <c r="AM148" s="52"/>
      <c r="AN148" s="52"/>
      <c r="AO148" s="52"/>
      <c r="AP148" s="55">
        <v>1.1805555555555555E-2</v>
      </c>
      <c r="AQ148" s="52"/>
      <c r="AR148" s="52"/>
      <c r="AS148" s="52" t="s">
        <v>3696</v>
      </c>
      <c r="AT148" s="52"/>
      <c r="AU148" s="52"/>
      <c r="AV148" s="52"/>
      <c r="AW148" s="52"/>
    </row>
    <row r="149" spans="1:49">
      <c r="A149" s="52">
        <v>6013224</v>
      </c>
      <c r="B149" s="52" t="s">
        <v>3723</v>
      </c>
      <c r="C149" s="52" t="s">
        <v>3698</v>
      </c>
      <c r="D149" s="53">
        <v>46155.583333333336</v>
      </c>
      <c r="E149" s="53">
        <v>46155.390277777777</v>
      </c>
      <c r="F149" s="53">
        <v>46155.869444444441</v>
      </c>
      <c r="G149" s="53">
        <v>46161.25</v>
      </c>
      <c r="H149" s="53">
        <v>46156.506944444445</v>
      </c>
      <c r="I149" s="52"/>
      <c r="J149" s="52" t="s">
        <v>3693</v>
      </c>
      <c r="K149" s="52"/>
      <c r="L149" s="52"/>
      <c r="M149" s="54">
        <v>5.3805555555555555</v>
      </c>
      <c r="N149" s="54">
        <v>2.5868055555555554</v>
      </c>
      <c r="O149" s="52" t="s">
        <v>3299</v>
      </c>
      <c r="P149" s="52" t="s">
        <v>227</v>
      </c>
      <c r="Q149" s="52" t="s">
        <v>323</v>
      </c>
      <c r="R149" s="52" t="s">
        <v>1181</v>
      </c>
      <c r="S149" s="52" t="s">
        <v>789</v>
      </c>
      <c r="T149" s="52" t="s">
        <v>3695</v>
      </c>
      <c r="U149" s="52" t="s">
        <v>3829</v>
      </c>
      <c r="V149" s="52" t="s">
        <v>332</v>
      </c>
      <c r="W149" s="52">
        <v>371751900</v>
      </c>
      <c r="X149" s="52" t="s">
        <v>73</v>
      </c>
      <c r="Y149" s="52"/>
      <c r="Z149" s="52" t="s">
        <v>3696</v>
      </c>
      <c r="AA149" s="52" t="s">
        <v>3710</v>
      </c>
      <c r="AB149" s="52"/>
      <c r="AC149" s="52" t="s">
        <v>3703</v>
      </c>
      <c r="AD149" s="52" t="s">
        <v>3704</v>
      </c>
      <c r="AE149" s="52"/>
      <c r="AF149" s="52" t="s">
        <v>3827</v>
      </c>
      <c r="AG149" s="52" t="s">
        <v>3726</v>
      </c>
      <c r="AH149" s="52"/>
      <c r="AI149" s="52"/>
      <c r="AJ149" s="52"/>
      <c r="AK149" s="52"/>
      <c r="AL149" s="55">
        <v>1.1805555555555555E-2</v>
      </c>
      <c r="AM149" s="52"/>
      <c r="AN149" s="52"/>
      <c r="AO149" s="52"/>
      <c r="AP149" s="55">
        <v>1.1805555555555555E-2</v>
      </c>
      <c r="AQ149" s="52"/>
      <c r="AR149" s="52"/>
      <c r="AS149" s="52" t="s">
        <v>3696</v>
      </c>
      <c r="AT149" s="52"/>
      <c r="AU149" s="52"/>
      <c r="AV149" s="52"/>
      <c r="AW149" s="52" t="s">
        <v>3293</v>
      </c>
    </row>
    <row r="150" spans="1:49">
      <c r="A150" s="52">
        <v>6013225</v>
      </c>
      <c r="B150" s="52" t="s">
        <v>3723</v>
      </c>
      <c r="C150" s="52" t="s">
        <v>3692</v>
      </c>
      <c r="D150" s="53">
        <v>46155.583333333336</v>
      </c>
      <c r="E150" s="53">
        <v>46155.390277777777</v>
      </c>
      <c r="F150" s="53">
        <v>46155.851388888892</v>
      </c>
      <c r="G150" s="53">
        <v>46161.25</v>
      </c>
      <c r="H150" s="52"/>
      <c r="I150" s="52" t="s">
        <v>3693</v>
      </c>
      <c r="J150" s="52" t="s">
        <v>3693</v>
      </c>
      <c r="K150" s="53">
        <v>46156.81527777778</v>
      </c>
      <c r="L150" s="52"/>
      <c r="M150" s="54">
        <v>1.75</v>
      </c>
      <c r="N150" s="54">
        <v>1.04375</v>
      </c>
      <c r="O150" s="52"/>
      <c r="P150" s="52"/>
      <c r="Q150" s="52"/>
      <c r="R150" s="52"/>
      <c r="S150" s="52"/>
      <c r="T150" s="52" t="s">
        <v>3830</v>
      </c>
      <c r="U150" s="52" t="s">
        <v>3831</v>
      </c>
      <c r="V150" s="52"/>
      <c r="W150" s="52"/>
      <c r="X150" s="52"/>
      <c r="Y150" s="52"/>
      <c r="Z150" s="52" t="s">
        <v>3696</v>
      </c>
      <c r="AA150" s="52" t="s">
        <v>227</v>
      </c>
      <c r="AB150" s="52" t="s">
        <v>140</v>
      </c>
      <c r="AC150" s="52" t="s">
        <v>3703</v>
      </c>
      <c r="AD150" s="52" t="s">
        <v>3704</v>
      </c>
      <c r="AE150" s="52"/>
      <c r="AF150" s="52" t="s">
        <v>3827</v>
      </c>
      <c r="AG150" s="52" t="s">
        <v>3726</v>
      </c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>
        <v>0</v>
      </c>
      <c r="AT150" s="52"/>
      <c r="AU150" s="52"/>
      <c r="AV150" s="52" t="s">
        <v>3293</v>
      </c>
      <c r="AW150" s="52"/>
    </row>
    <row r="151" spans="1:49">
      <c r="A151" s="52">
        <v>6013225</v>
      </c>
      <c r="B151" s="52" t="s">
        <v>3723</v>
      </c>
      <c r="C151" s="52" t="s">
        <v>3698</v>
      </c>
      <c r="D151" s="53">
        <v>46155.583333333336</v>
      </c>
      <c r="E151" s="53">
        <v>46155.390277777777</v>
      </c>
      <c r="F151" s="53">
        <v>46155.919444444444</v>
      </c>
      <c r="G151" s="53">
        <v>46161.25</v>
      </c>
      <c r="H151" s="53">
        <v>46155.986805555556</v>
      </c>
      <c r="I151" s="52"/>
      <c r="J151" s="52" t="s">
        <v>3693</v>
      </c>
      <c r="K151" s="53">
        <v>46156.81527777778</v>
      </c>
      <c r="L151" s="52"/>
      <c r="M151" s="54">
        <v>5.3305555555555557</v>
      </c>
      <c r="N151" s="54">
        <v>2.5368055555555555</v>
      </c>
      <c r="O151" s="52" t="s">
        <v>3290</v>
      </c>
      <c r="P151" s="52" t="s">
        <v>227</v>
      </c>
      <c r="Q151" s="52" t="s">
        <v>2290</v>
      </c>
      <c r="R151" s="52" t="s">
        <v>3296</v>
      </c>
      <c r="S151" s="52" t="s">
        <v>789</v>
      </c>
      <c r="T151" s="52" t="s">
        <v>3830</v>
      </c>
      <c r="U151" s="52" t="s">
        <v>3831</v>
      </c>
      <c r="V151" s="52" t="s">
        <v>2294</v>
      </c>
      <c r="W151" s="52">
        <v>9255295837</v>
      </c>
      <c r="X151" s="52" t="s">
        <v>73</v>
      </c>
      <c r="Y151" s="52" t="s">
        <v>3826</v>
      </c>
      <c r="Z151" s="52" t="s">
        <v>3696</v>
      </c>
      <c r="AA151" s="52" t="s">
        <v>3710</v>
      </c>
      <c r="AB151" s="52"/>
      <c r="AC151" s="52" t="s">
        <v>3703</v>
      </c>
      <c r="AD151" s="52" t="s">
        <v>3704</v>
      </c>
      <c r="AE151" s="52" t="s">
        <v>140</v>
      </c>
      <c r="AF151" s="52" t="s">
        <v>3827</v>
      </c>
      <c r="AG151" s="52" t="s">
        <v>3726</v>
      </c>
      <c r="AH151" s="52"/>
      <c r="AI151" s="52"/>
      <c r="AJ151" s="52"/>
      <c r="AK151" s="52"/>
      <c r="AL151" s="55">
        <v>2.361111111111111E-2</v>
      </c>
      <c r="AM151" s="52"/>
      <c r="AN151" s="52"/>
      <c r="AO151" s="52"/>
      <c r="AP151" s="55">
        <v>2.361111111111111E-2</v>
      </c>
      <c r="AQ151" s="52"/>
      <c r="AR151" s="52"/>
      <c r="AS151" s="52" t="s">
        <v>3696</v>
      </c>
      <c r="AT151" s="52"/>
      <c r="AU151" s="52"/>
      <c r="AV151" s="52"/>
      <c r="AW151" s="52"/>
    </row>
    <row r="152" spans="1:49">
      <c r="A152" s="52">
        <v>6013225</v>
      </c>
      <c r="B152" s="52" t="s">
        <v>3723</v>
      </c>
      <c r="C152" s="52" t="s">
        <v>3698</v>
      </c>
      <c r="D152" s="53">
        <v>46155.583333333336</v>
      </c>
      <c r="E152" s="53">
        <v>46155.390277777777</v>
      </c>
      <c r="F152" s="53">
        <v>46155.919444444444</v>
      </c>
      <c r="G152" s="53">
        <v>46161.25</v>
      </c>
      <c r="H152" s="53">
        <v>46155.986805555556</v>
      </c>
      <c r="I152" s="52"/>
      <c r="J152" s="52" t="s">
        <v>3693</v>
      </c>
      <c r="K152" s="53">
        <v>46156.81527777778</v>
      </c>
      <c r="L152" s="52"/>
      <c r="M152" s="54">
        <v>5.3305555555555557</v>
      </c>
      <c r="N152" s="54">
        <v>2.5368055555555555</v>
      </c>
      <c r="O152" s="52" t="s">
        <v>3290</v>
      </c>
      <c r="P152" s="52" t="s">
        <v>227</v>
      </c>
      <c r="Q152" s="52" t="s">
        <v>2290</v>
      </c>
      <c r="R152" s="52" t="s">
        <v>3296</v>
      </c>
      <c r="S152" s="52" t="s">
        <v>789</v>
      </c>
      <c r="T152" s="52" t="s">
        <v>3830</v>
      </c>
      <c r="U152" s="52" t="s">
        <v>3831</v>
      </c>
      <c r="V152" s="52" t="s">
        <v>2294</v>
      </c>
      <c r="W152" s="52">
        <v>9255295837</v>
      </c>
      <c r="X152" s="52" t="s">
        <v>73</v>
      </c>
      <c r="Y152" s="52" t="s">
        <v>3826</v>
      </c>
      <c r="Z152" s="52" t="s">
        <v>3696</v>
      </c>
      <c r="AA152" s="52" t="s">
        <v>3710</v>
      </c>
      <c r="AB152" s="52"/>
      <c r="AC152" s="52" t="s">
        <v>3703</v>
      </c>
      <c r="AD152" s="52" t="s">
        <v>3704</v>
      </c>
      <c r="AE152" s="52"/>
      <c r="AF152" s="52" t="s">
        <v>3827</v>
      </c>
      <c r="AG152" s="52" t="s">
        <v>3726</v>
      </c>
      <c r="AH152" s="52"/>
      <c r="AI152" s="52"/>
      <c r="AJ152" s="52"/>
      <c r="AK152" s="52"/>
      <c r="AL152" s="55">
        <v>2.361111111111111E-2</v>
      </c>
      <c r="AM152" s="52"/>
      <c r="AN152" s="52"/>
      <c r="AO152" s="52"/>
      <c r="AP152" s="55">
        <v>2.361111111111111E-2</v>
      </c>
      <c r="AQ152" s="52"/>
      <c r="AR152" s="52"/>
      <c r="AS152" s="52" t="s">
        <v>3696</v>
      </c>
      <c r="AT152" s="52"/>
      <c r="AU152" s="52"/>
      <c r="AV152" s="52"/>
      <c r="AW152" s="52" t="s">
        <v>3293</v>
      </c>
    </row>
    <row r="153" spans="1:49">
      <c r="A153" s="52">
        <v>6013225</v>
      </c>
      <c r="B153" s="52" t="s">
        <v>3723</v>
      </c>
      <c r="C153" s="52" t="s">
        <v>3698</v>
      </c>
      <c r="D153" s="53">
        <v>46155.583333333336</v>
      </c>
      <c r="E153" s="53">
        <v>46155.390277777777</v>
      </c>
      <c r="F153" s="53">
        <v>46156.026388888888</v>
      </c>
      <c r="G153" s="53">
        <v>46161.25</v>
      </c>
      <c r="H153" s="53">
        <v>46156.62777777778</v>
      </c>
      <c r="I153" s="52"/>
      <c r="J153" s="52" t="s">
        <v>3693</v>
      </c>
      <c r="K153" s="53">
        <v>46156.81527777778</v>
      </c>
      <c r="L153" s="52"/>
      <c r="M153" s="54">
        <v>5.2236111111111114</v>
      </c>
      <c r="N153" s="54">
        <v>2.4298611111111112</v>
      </c>
      <c r="O153" s="52" t="s">
        <v>3317</v>
      </c>
      <c r="P153" s="52" t="s">
        <v>227</v>
      </c>
      <c r="Q153" s="52" t="s">
        <v>3316</v>
      </c>
      <c r="R153" s="52" t="s">
        <v>3296</v>
      </c>
      <c r="S153" s="52" t="s">
        <v>789</v>
      </c>
      <c r="T153" s="52" t="s">
        <v>3830</v>
      </c>
      <c r="U153" s="52" t="s">
        <v>3824</v>
      </c>
      <c r="V153" s="52" t="s">
        <v>3319</v>
      </c>
      <c r="W153" s="52">
        <v>1743578938</v>
      </c>
      <c r="X153" s="52" t="s">
        <v>73</v>
      </c>
      <c r="Y153" s="52" t="s">
        <v>3745</v>
      </c>
      <c r="Z153" s="52" t="s">
        <v>3696</v>
      </c>
      <c r="AA153" s="52" t="s">
        <v>3710</v>
      </c>
      <c r="AB153" s="52"/>
      <c r="AC153" s="52" t="s">
        <v>3703</v>
      </c>
      <c r="AD153" s="52" t="s">
        <v>3704</v>
      </c>
      <c r="AE153" s="52" t="s">
        <v>140</v>
      </c>
      <c r="AF153" s="52" t="s">
        <v>3827</v>
      </c>
      <c r="AG153" s="52" t="s">
        <v>3726</v>
      </c>
      <c r="AH153" s="52"/>
      <c r="AI153" s="52"/>
      <c r="AJ153" s="52"/>
      <c r="AK153" s="52"/>
      <c r="AL153" s="55">
        <v>0.26319444444444445</v>
      </c>
      <c r="AM153" s="52"/>
      <c r="AN153" s="52"/>
      <c r="AO153" s="52"/>
      <c r="AP153" s="55">
        <v>0.26319444444444445</v>
      </c>
      <c r="AQ153" s="52"/>
      <c r="AR153" s="52"/>
      <c r="AS153" s="52" t="s">
        <v>3696</v>
      </c>
      <c r="AT153" s="52"/>
      <c r="AU153" s="52"/>
      <c r="AV153" s="52"/>
      <c r="AW153" s="52"/>
    </row>
    <row r="154" spans="1:49">
      <c r="A154" s="52">
        <v>6013225</v>
      </c>
      <c r="B154" s="52" t="s">
        <v>3723</v>
      </c>
      <c r="C154" s="52" t="s">
        <v>3698</v>
      </c>
      <c r="D154" s="53">
        <v>46155.583333333336</v>
      </c>
      <c r="E154" s="53">
        <v>46155.390277777777</v>
      </c>
      <c r="F154" s="53">
        <v>46156.026388888888</v>
      </c>
      <c r="G154" s="53">
        <v>46161.25</v>
      </c>
      <c r="H154" s="53">
        <v>46156.62777777778</v>
      </c>
      <c r="I154" s="52"/>
      <c r="J154" s="52" t="s">
        <v>3693</v>
      </c>
      <c r="K154" s="53">
        <v>46156.81527777778</v>
      </c>
      <c r="L154" s="52"/>
      <c r="M154" s="54">
        <v>5.2236111111111114</v>
      </c>
      <c r="N154" s="54">
        <v>2.4298611111111112</v>
      </c>
      <c r="O154" s="52" t="s">
        <v>3317</v>
      </c>
      <c r="P154" s="52" t="s">
        <v>227</v>
      </c>
      <c r="Q154" s="52" t="s">
        <v>3316</v>
      </c>
      <c r="R154" s="52" t="s">
        <v>3296</v>
      </c>
      <c r="S154" s="52" t="s">
        <v>789</v>
      </c>
      <c r="T154" s="52" t="s">
        <v>3830</v>
      </c>
      <c r="U154" s="52" t="s">
        <v>3824</v>
      </c>
      <c r="V154" s="52" t="s">
        <v>3319</v>
      </c>
      <c r="W154" s="52">
        <v>1743578938</v>
      </c>
      <c r="X154" s="52" t="s">
        <v>73</v>
      </c>
      <c r="Y154" s="52" t="s">
        <v>3745</v>
      </c>
      <c r="Z154" s="52" t="s">
        <v>3696</v>
      </c>
      <c r="AA154" s="52" t="s">
        <v>3710</v>
      </c>
      <c r="AB154" s="52"/>
      <c r="AC154" s="52" t="s">
        <v>3703</v>
      </c>
      <c r="AD154" s="52" t="s">
        <v>3704</v>
      </c>
      <c r="AE154" s="52"/>
      <c r="AF154" s="52" t="s">
        <v>3827</v>
      </c>
      <c r="AG154" s="52" t="s">
        <v>3726</v>
      </c>
      <c r="AH154" s="52"/>
      <c r="AI154" s="52"/>
      <c r="AJ154" s="52"/>
      <c r="AK154" s="52"/>
      <c r="AL154" s="55">
        <v>0.26319444444444445</v>
      </c>
      <c r="AM154" s="52"/>
      <c r="AN154" s="52"/>
      <c r="AO154" s="52"/>
      <c r="AP154" s="55">
        <v>0.26319444444444445</v>
      </c>
      <c r="AQ154" s="52"/>
      <c r="AR154" s="52"/>
      <c r="AS154" s="52" t="s">
        <v>3696</v>
      </c>
      <c r="AT154" s="52"/>
      <c r="AU154" s="52"/>
      <c r="AV154" s="52"/>
      <c r="AW154" s="52" t="s">
        <v>3293</v>
      </c>
    </row>
    <row r="155" spans="1:49">
      <c r="A155" s="52">
        <v>6013226</v>
      </c>
      <c r="B155" s="52" t="s">
        <v>3723</v>
      </c>
      <c r="C155" s="52" t="s">
        <v>3692</v>
      </c>
      <c r="D155" s="53">
        <v>46156.5</v>
      </c>
      <c r="E155" s="53">
        <v>46156.412499999999</v>
      </c>
      <c r="F155" s="53">
        <v>46156.659722222219</v>
      </c>
      <c r="G155" s="53">
        <v>46161.333333333336</v>
      </c>
      <c r="H155" s="52"/>
      <c r="I155" s="52" t="s">
        <v>3693</v>
      </c>
      <c r="J155" s="52" t="s">
        <v>3693</v>
      </c>
      <c r="K155" s="53">
        <v>46157.907638888886</v>
      </c>
      <c r="L155" s="52"/>
      <c r="M155" s="54">
        <v>1.4270833333333333</v>
      </c>
      <c r="N155" s="55">
        <v>0.40833333333333333</v>
      </c>
      <c r="O155" s="52"/>
      <c r="P155" s="52"/>
      <c r="Q155" s="52"/>
      <c r="R155" s="52"/>
      <c r="S155" s="52"/>
      <c r="T155" s="52" t="s">
        <v>3832</v>
      </c>
      <c r="U155" s="52" t="s">
        <v>3833</v>
      </c>
      <c r="V155" s="52"/>
      <c r="W155" s="52"/>
      <c r="X155" s="52"/>
      <c r="Y155" s="52"/>
      <c r="Z155" s="52" t="s">
        <v>3696</v>
      </c>
      <c r="AA155" s="52" t="s">
        <v>216</v>
      </c>
      <c r="AB155" s="52" t="s">
        <v>140</v>
      </c>
      <c r="AC155" s="52" t="s">
        <v>3703</v>
      </c>
      <c r="AD155" s="52" t="s">
        <v>3704</v>
      </c>
      <c r="AE155" s="52"/>
      <c r="AF155" s="52" t="s">
        <v>3705</v>
      </c>
      <c r="AG155" s="52" t="s">
        <v>3706</v>
      </c>
      <c r="AH155" s="52"/>
      <c r="AI155" s="52"/>
      <c r="AJ155" s="52"/>
      <c r="AK155" s="52"/>
      <c r="AL155" s="55">
        <v>1.3888888888888889E-3</v>
      </c>
      <c r="AM155" s="52"/>
      <c r="AN155" s="52"/>
      <c r="AO155" s="52"/>
      <c r="AP155" s="52"/>
      <c r="AQ155" s="52"/>
      <c r="AR155" s="52"/>
      <c r="AS155" s="52">
        <v>0</v>
      </c>
      <c r="AT155" s="52"/>
      <c r="AU155" s="52"/>
      <c r="AV155" s="52" t="s">
        <v>3436</v>
      </c>
      <c r="AW155" s="52"/>
    </row>
    <row r="156" spans="1:49">
      <c r="A156" s="52">
        <v>6013226</v>
      </c>
      <c r="B156" s="52" t="s">
        <v>3723</v>
      </c>
      <c r="C156" s="52" t="s">
        <v>3698</v>
      </c>
      <c r="D156" s="53">
        <v>46156.5</v>
      </c>
      <c r="E156" s="53">
        <v>46156.412499999999</v>
      </c>
      <c r="F156" s="53">
        <v>46156.666666666664</v>
      </c>
      <c r="G156" s="53">
        <v>46161.333333333336</v>
      </c>
      <c r="H156" s="53">
        <v>46157.709027777775</v>
      </c>
      <c r="I156" s="52"/>
      <c r="J156" s="52" t="s">
        <v>3693</v>
      </c>
      <c r="K156" s="53">
        <v>46157.907638888886</v>
      </c>
      <c r="L156" s="52"/>
      <c r="M156" s="54">
        <v>4.666666666666667</v>
      </c>
      <c r="N156" s="54">
        <v>1.7895833333333333</v>
      </c>
      <c r="O156" s="52" t="s">
        <v>3433</v>
      </c>
      <c r="P156" s="52" t="s">
        <v>216</v>
      </c>
      <c r="Q156" s="52" t="s">
        <v>2697</v>
      </c>
      <c r="R156" s="52"/>
      <c r="S156" s="52" t="s">
        <v>789</v>
      </c>
      <c r="T156" s="52" t="s">
        <v>3832</v>
      </c>
      <c r="U156" s="52" t="s">
        <v>3833</v>
      </c>
      <c r="V156" s="52" t="s">
        <v>2026</v>
      </c>
      <c r="W156" s="52">
        <v>11829277774</v>
      </c>
      <c r="X156" s="52" t="s">
        <v>73</v>
      </c>
      <c r="Y156" s="52"/>
      <c r="Z156" s="52" t="s">
        <v>3696</v>
      </c>
      <c r="AA156" s="52" t="s">
        <v>3710</v>
      </c>
      <c r="AB156" s="52"/>
      <c r="AC156" s="52" t="s">
        <v>3703</v>
      </c>
      <c r="AD156" s="52" t="s">
        <v>3704</v>
      </c>
      <c r="AE156" s="52" t="s">
        <v>140</v>
      </c>
      <c r="AF156" s="52" t="s">
        <v>3705</v>
      </c>
      <c r="AG156" s="52" t="s">
        <v>3706</v>
      </c>
      <c r="AH156" s="52"/>
      <c r="AI156" s="53">
        <v>46156.688888888886</v>
      </c>
      <c r="AJ156" s="53">
        <v>46156.69027777778</v>
      </c>
      <c r="AK156" s="53">
        <v>46156.688888888886</v>
      </c>
      <c r="AL156" s="55">
        <v>1.1805555555555555E-2</v>
      </c>
      <c r="AM156" s="52"/>
      <c r="AN156" s="55">
        <v>1.3888888888888889E-3</v>
      </c>
      <c r="AO156" s="52"/>
      <c r="AP156" s="55">
        <v>1.1805555555555555E-2</v>
      </c>
      <c r="AQ156" s="52"/>
      <c r="AR156" s="52"/>
      <c r="AS156" s="52" t="s">
        <v>3696</v>
      </c>
      <c r="AT156" s="52"/>
      <c r="AU156" s="52"/>
      <c r="AV156" s="52"/>
      <c r="AW156" s="52"/>
    </row>
    <row r="157" spans="1:49">
      <c r="A157" s="52">
        <v>6013226</v>
      </c>
      <c r="B157" s="52" t="s">
        <v>3723</v>
      </c>
      <c r="C157" s="52" t="s">
        <v>3698</v>
      </c>
      <c r="D157" s="53">
        <v>46156.5</v>
      </c>
      <c r="E157" s="53">
        <v>46156.412499999999</v>
      </c>
      <c r="F157" s="53">
        <v>46156.666666666664</v>
      </c>
      <c r="G157" s="53">
        <v>46161.333333333336</v>
      </c>
      <c r="H157" s="53">
        <v>46157.709027777775</v>
      </c>
      <c r="I157" s="52"/>
      <c r="J157" s="52" t="s">
        <v>3693</v>
      </c>
      <c r="K157" s="53">
        <v>46157.907638888886</v>
      </c>
      <c r="L157" s="52"/>
      <c r="M157" s="54">
        <v>4.666666666666667</v>
      </c>
      <c r="N157" s="54">
        <v>1.7895833333333333</v>
      </c>
      <c r="O157" s="52" t="s">
        <v>3433</v>
      </c>
      <c r="P157" s="52" t="s">
        <v>216</v>
      </c>
      <c r="Q157" s="52" t="s">
        <v>2697</v>
      </c>
      <c r="R157" s="52"/>
      <c r="S157" s="52" t="s">
        <v>789</v>
      </c>
      <c r="T157" s="52" t="s">
        <v>3832</v>
      </c>
      <c r="U157" s="52" t="s">
        <v>3833</v>
      </c>
      <c r="V157" s="52" t="s">
        <v>2026</v>
      </c>
      <c r="W157" s="52">
        <v>11829277774</v>
      </c>
      <c r="X157" s="52" t="s">
        <v>73</v>
      </c>
      <c r="Y157" s="52"/>
      <c r="Z157" s="52" t="s">
        <v>3696</v>
      </c>
      <c r="AA157" s="52" t="s">
        <v>3710</v>
      </c>
      <c r="AB157" s="52"/>
      <c r="AC157" s="52" t="s">
        <v>3703</v>
      </c>
      <c r="AD157" s="52" t="s">
        <v>3704</v>
      </c>
      <c r="AE157" s="52"/>
      <c r="AF157" s="52" t="s">
        <v>3705</v>
      </c>
      <c r="AG157" s="52" t="s">
        <v>3706</v>
      </c>
      <c r="AH157" s="52"/>
      <c r="AI157" s="53">
        <v>46156.688888888886</v>
      </c>
      <c r="AJ157" s="53">
        <v>46156.69027777778</v>
      </c>
      <c r="AK157" s="53">
        <v>46156.688888888886</v>
      </c>
      <c r="AL157" s="55">
        <v>1.1805555555555555E-2</v>
      </c>
      <c r="AM157" s="52"/>
      <c r="AN157" s="55">
        <v>1.3888888888888889E-3</v>
      </c>
      <c r="AO157" s="52"/>
      <c r="AP157" s="55">
        <v>1.1805555555555555E-2</v>
      </c>
      <c r="AQ157" s="52"/>
      <c r="AR157" s="52"/>
      <c r="AS157" s="52" t="s">
        <v>3696</v>
      </c>
      <c r="AT157" s="52"/>
      <c r="AU157" s="52"/>
      <c r="AV157" s="52"/>
      <c r="AW157" s="52" t="s">
        <v>3436</v>
      </c>
    </row>
    <row r="158" spans="1:49">
      <c r="A158" s="52">
        <v>6013427</v>
      </c>
      <c r="B158" s="52" t="s">
        <v>3723</v>
      </c>
      <c r="C158" s="52" t="s">
        <v>3692</v>
      </c>
      <c r="D158" s="53">
        <v>46153.583333333336</v>
      </c>
      <c r="E158" s="53">
        <v>46153.512499999997</v>
      </c>
      <c r="F158" s="53">
        <v>46153.856944444444</v>
      </c>
      <c r="G158" s="53">
        <v>46158.334027777775</v>
      </c>
      <c r="H158" s="52"/>
      <c r="I158" s="52" t="s">
        <v>3693</v>
      </c>
      <c r="J158" s="52" t="s">
        <v>3693</v>
      </c>
      <c r="K158" s="53">
        <v>46157.595833333333</v>
      </c>
      <c r="L158" s="52" t="s">
        <v>3735</v>
      </c>
      <c r="M158" s="54">
        <v>1.4270833333333333</v>
      </c>
      <c r="N158" s="54">
        <v>2.5499999999999998</v>
      </c>
      <c r="O158" s="52"/>
      <c r="P158" s="52"/>
      <c r="Q158" s="52"/>
      <c r="R158" s="52"/>
      <c r="S158" s="52"/>
      <c r="T158" s="52" t="s">
        <v>3799</v>
      </c>
      <c r="U158" s="52" t="s">
        <v>3800</v>
      </c>
      <c r="V158" s="52"/>
      <c r="W158" s="52"/>
      <c r="X158" s="52"/>
      <c r="Y158" s="52"/>
      <c r="Z158" s="52" t="s">
        <v>3696</v>
      </c>
      <c r="AA158" s="52" t="s">
        <v>216</v>
      </c>
      <c r="AB158" s="52" t="s">
        <v>140</v>
      </c>
      <c r="AC158" s="52" t="s">
        <v>3703</v>
      </c>
      <c r="AD158" s="52" t="s">
        <v>3704</v>
      </c>
      <c r="AE158" s="52"/>
      <c r="AF158" s="52" t="s">
        <v>3801</v>
      </c>
      <c r="AG158" s="52" t="s">
        <v>3706</v>
      </c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>
        <v>0</v>
      </c>
      <c r="AT158" s="52"/>
      <c r="AU158" s="52"/>
      <c r="AV158" s="52" t="s">
        <v>350</v>
      </c>
      <c r="AW158" s="52"/>
    </row>
    <row r="159" spans="1:49">
      <c r="A159" s="52">
        <v>6013427</v>
      </c>
      <c r="B159" s="52" t="s">
        <v>3723</v>
      </c>
      <c r="C159" s="52" t="s">
        <v>3698</v>
      </c>
      <c r="D159" s="53">
        <v>46153.583333333336</v>
      </c>
      <c r="E159" s="53">
        <v>46153.512499999997</v>
      </c>
      <c r="F159" s="53">
        <v>46153.867361111108</v>
      </c>
      <c r="G159" s="53">
        <v>46157.334027777775</v>
      </c>
      <c r="H159" s="52"/>
      <c r="I159" s="52"/>
      <c r="J159" s="52" t="s">
        <v>3693</v>
      </c>
      <c r="K159" s="53">
        <v>46155.194444444445</v>
      </c>
      <c r="L159" s="52"/>
      <c r="M159" s="54">
        <v>3.4666666666666668</v>
      </c>
      <c r="N159" s="54">
        <v>4.5888888888888886</v>
      </c>
      <c r="O159" s="52" t="s">
        <v>3802</v>
      </c>
      <c r="P159" s="52" t="s">
        <v>216</v>
      </c>
      <c r="Q159" s="52" t="s">
        <v>1552</v>
      </c>
      <c r="R159" s="52"/>
      <c r="S159" s="52" t="s">
        <v>3756</v>
      </c>
      <c r="T159" s="52" t="s">
        <v>3799</v>
      </c>
      <c r="U159" s="52" t="s">
        <v>3800</v>
      </c>
      <c r="V159" s="52" t="s">
        <v>2687</v>
      </c>
      <c r="W159" s="52">
        <v>16520749702</v>
      </c>
      <c r="X159" s="52" t="s">
        <v>73</v>
      </c>
      <c r="Y159" s="52"/>
      <c r="Z159" s="52" t="s">
        <v>3696</v>
      </c>
      <c r="AA159" s="52" t="s">
        <v>3710</v>
      </c>
      <c r="AB159" s="52"/>
      <c r="AC159" s="52" t="s">
        <v>3703</v>
      </c>
      <c r="AD159" s="52" t="s">
        <v>3704</v>
      </c>
      <c r="AE159" s="52" t="s">
        <v>140</v>
      </c>
      <c r="AF159" s="52" t="s">
        <v>3801</v>
      </c>
      <c r="AG159" s="52" t="s">
        <v>3706</v>
      </c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 t="s">
        <v>3696</v>
      </c>
      <c r="AT159" s="52"/>
      <c r="AU159" s="52"/>
      <c r="AV159" s="52"/>
      <c r="AW159" s="52"/>
    </row>
    <row r="160" spans="1:49">
      <c r="A160" s="52">
        <v>6013427</v>
      </c>
      <c r="B160" s="52" t="s">
        <v>3723</v>
      </c>
      <c r="C160" s="52" t="s">
        <v>3698</v>
      </c>
      <c r="D160" s="53">
        <v>46153.583333333336</v>
      </c>
      <c r="E160" s="53">
        <v>46153.512499999997</v>
      </c>
      <c r="F160" s="53">
        <v>46153.867361111108</v>
      </c>
      <c r="G160" s="53">
        <v>46157.334027777775</v>
      </c>
      <c r="H160" s="52"/>
      <c r="I160" s="52"/>
      <c r="J160" s="52" t="s">
        <v>3693</v>
      </c>
      <c r="K160" s="53">
        <v>46155.194444444445</v>
      </c>
      <c r="L160" s="52"/>
      <c r="M160" s="54">
        <v>3.4666666666666668</v>
      </c>
      <c r="N160" s="54">
        <v>4.5888888888888886</v>
      </c>
      <c r="O160" s="52" t="s">
        <v>3802</v>
      </c>
      <c r="P160" s="52" t="s">
        <v>216</v>
      </c>
      <c r="Q160" s="52" t="s">
        <v>1552</v>
      </c>
      <c r="R160" s="52"/>
      <c r="S160" s="52" t="s">
        <v>3756</v>
      </c>
      <c r="T160" s="52" t="s">
        <v>3799</v>
      </c>
      <c r="U160" s="52" t="s">
        <v>3800</v>
      </c>
      <c r="V160" s="52" t="s">
        <v>2687</v>
      </c>
      <c r="W160" s="52">
        <v>16520749702</v>
      </c>
      <c r="X160" s="52" t="s">
        <v>73</v>
      </c>
      <c r="Y160" s="52"/>
      <c r="Z160" s="52" t="s">
        <v>3696</v>
      </c>
      <c r="AA160" s="52" t="s">
        <v>3710</v>
      </c>
      <c r="AB160" s="52"/>
      <c r="AC160" s="52" t="s">
        <v>3703</v>
      </c>
      <c r="AD160" s="52" t="s">
        <v>3704</v>
      </c>
      <c r="AE160" s="52"/>
      <c r="AF160" s="52" t="s">
        <v>3801</v>
      </c>
      <c r="AG160" s="52" t="s">
        <v>3706</v>
      </c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 t="s">
        <v>3696</v>
      </c>
      <c r="AT160" s="52"/>
      <c r="AU160" s="52"/>
      <c r="AV160" s="52"/>
      <c r="AW160" s="52" t="s">
        <v>350</v>
      </c>
    </row>
    <row r="161" spans="1:49">
      <c r="A161" s="52">
        <v>6013427</v>
      </c>
      <c r="B161" s="52" t="s">
        <v>3723</v>
      </c>
      <c r="C161" s="52" t="s">
        <v>3698</v>
      </c>
      <c r="D161" s="53">
        <v>46153.583333333336</v>
      </c>
      <c r="E161" s="53">
        <v>46153.512499999997</v>
      </c>
      <c r="F161" s="53">
        <v>46154.824305555558</v>
      </c>
      <c r="G161" s="53">
        <v>46157.334027777775</v>
      </c>
      <c r="H161" s="53">
        <v>46157.543055555558</v>
      </c>
      <c r="I161" s="52"/>
      <c r="J161" s="52" t="s">
        <v>3693</v>
      </c>
      <c r="K161" s="53">
        <v>46155.194444444445</v>
      </c>
      <c r="L161" s="52"/>
      <c r="M161" s="54">
        <v>2.5097222222222224</v>
      </c>
      <c r="N161" s="54">
        <v>3.6319444444444446</v>
      </c>
      <c r="O161" s="52" t="s">
        <v>3127</v>
      </c>
      <c r="P161" s="52" t="s">
        <v>216</v>
      </c>
      <c r="Q161" s="52" t="s">
        <v>1552</v>
      </c>
      <c r="R161" s="52"/>
      <c r="S161" s="52" t="s">
        <v>789</v>
      </c>
      <c r="T161" s="52" t="s">
        <v>3803</v>
      </c>
      <c r="U161" s="52" t="s">
        <v>3804</v>
      </c>
      <c r="V161" s="52" t="s">
        <v>2687</v>
      </c>
      <c r="W161" s="52">
        <v>16520749702</v>
      </c>
      <c r="X161" s="52" t="s">
        <v>73</v>
      </c>
      <c r="Y161" s="52"/>
      <c r="Z161" s="52" t="s">
        <v>3696</v>
      </c>
      <c r="AA161" s="52" t="s">
        <v>3710</v>
      </c>
      <c r="AB161" s="52"/>
      <c r="AC161" s="52" t="s">
        <v>3703</v>
      </c>
      <c r="AD161" s="52" t="s">
        <v>3704</v>
      </c>
      <c r="AE161" s="52" t="s">
        <v>140</v>
      </c>
      <c r="AF161" s="52" t="s">
        <v>3801</v>
      </c>
      <c r="AG161" s="52" t="s">
        <v>3706</v>
      </c>
      <c r="AH161" s="52"/>
      <c r="AI161" s="52"/>
      <c r="AJ161" s="52"/>
      <c r="AK161" s="52"/>
      <c r="AL161" s="54">
        <v>2.6388888888888888</v>
      </c>
      <c r="AM161" s="52"/>
      <c r="AN161" s="52"/>
      <c r="AO161" s="52"/>
      <c r="AP161" s="54">
        <v>2.6388888888888888</v>
      </c>
      <c r="AQ161" s="52"/>
      <c r="AR161" s="52"/>
      <c r="AS161" s="52" t="s">
        <v>3696</v>
      </c>
      <c r="AT161" s="52"/>
      <c r="AU161" s="52"/>
      <c r="AV161" s="52"/>
      <c r="AW161" s="52"/>
    </row>
    <row r="162" spans="1:49">
      <c r="A162" s="52">
        <v>6013427</v>
      </c>
      <c r="B162" s="52" t="s">
        <v>3723</v>
      </c>
      <c r="C162" s="52" t="s">
        <v>3698</v>
      </c>
      <c r="D162" s="53">
        <v>46153.583333333336</v>
      </c>
      <c r="E162" s="53">
        <v>46153.512499999997</v>
      </c>
      <c r="F162" s="53">
        <v>46154.824305555558</v>
      </c>
      <c r="G162" s="53">
        <v>46157.334027777775</v>
      </c>
      <c r="H162" s="53">
        <v>46157.543055555558</v>
      </c>
      <c r="I162" s="52"/>
      <c r="J162" s="52" t="s">
        <v>3693</v>
      </c>
      <c r="K162" s="53">
        <v>46155.194444444445</v>
      </c>
      <c r="L162" s="52"/>
      <c r="M162" s="54">
        <v>2.5097222222222224</v>
      </c>
      <c r="N162" s="54">
        <v>3.6319444444444446</v>
      </c>
      <c r="O162" s="52" t="s">
        <v>3127</v>
      </c>
      <c r="P162" s="52" t="s">
        <v>216</v>
      </c>
      <c r="Q162" s="52" t="s">
        <v>1552</v>
      </c>
      <c r="R162" s="52"/>
      <c r="S162" s="52" t="s">
        <v>789</v>
      </c>
      <c r="T162" s="52" t="s">
        <v>3803</v>
      </c>
      <c r="U162" s="52" t="s">
        <v>3804</v>
      </c>
      <c r="V162" s="52" t="s">
        <v>2687</v>
      </c>
      <c r="W162" s="52">
        <v>16520749702</v>
      </c>
      <c r="X162" s="52" t="s">
        <v>73</v>
      </c>
      <c r="Y162" s="52"/>
      <c r="Z162" s="52" t="s">
        <v>3696</v>
      </c>
      <c r="AA162" s="52" t="s">
        <v>3710</v>
      </c>
      <c r="AB162" s="52"/>
      <c r="AC162" s="52" t="s">
        <v>3703</v>
      </c>
      <c r="AD162" s="52" t="s">
        <v>3704</v>
      </c>
      <c r="AE162" s="52"/>
      <c r="AF162" s="52" t="s">
        <v>3801</v>
      </c>
      <c r="AG162" s="52" t="s">
        <v>3706</v>
      </c>
      <c r="AH162" s="52"/>
      <c r="AI162" s="52"/>
      <c r="AJ162" s="52"/>
      <c r="AK162" s="52"/>
      <c r="AL162" s="54">
        <v>2.6388888888888888</v>
      </c>
      <c r="AM162" s="52"/>
      <c r="AN162" s="52"/>
      <c r="AO162" s="52"/>
      <c r="AP162" s="54">
        <v>2.6388888888888888</v>
      </c>
      <c r="AQ162" s="52"/>
      <c r="AR162" s="52"/>
      <c r="AS162" s="52" t="s">
        <v>3696</v>
      </c>
      <c r="AT162" s="52"/>
      <c r="AU162" s="52"/>
      <c r="AV162" s="52"/>
      <c r="AW162" s="52" t="s">
        <v>350</v>
      </c>
    </row>
    <row r="163" spans="1:49">
      <c r="A163" s="52">
        <v>6013428</v>
      </c>
      <c r="B163" s="52" t="s">
        <v>3723</v>
      </c>
      <c r="C163" s="52" t="s">
        <v>3692</v>
      </c>
      <c r="D163" s="53">
        <v>46156.416666666664</v>
      </c>
      <c r="E163" s="53">
        <v>46155.650694444441</v>
      </c>
      <c r="F163" s="53">
        <v>46156.347222222219</v>
      </c>
      <c r="G163" s="53">
        <v>46160.25</v>
      </c>
      <c r="H163" s="52"/>
      <c r="I163" s="52" t="s">
        <v>3693</v>
      </c>
      <c r="J163" s="52" t="s">
        <v>3693</v>
      </c>
      <c r="K163" s="52"/>
      <c r="L163" s="52"/>
      <c r="M163" s="55">
        <v>0.15277777777777779</v>
      </c>
      <c r="N163" s="54">
        <v>1.7659722222222223</v>
      </c>
      <c r="O163" s="52"/>
      <c r="P163" s="52"/>
      <c r="Q163" s="52"/>
      <c r="R163" s="52"/>
      <c r="S163" s="52"/>
      <c r="T163" s="52" t="s">
        <v>3695</v>
      </c>
      <c r="U163" s="52" t="s">
        <v>3695</v>
      </c>
      <c r="V163" s="52"/>
      <c r="W163" s="52"/>
      <c r="X163" s="52"/>
      <c r="Y163" s="52"/>
      <c r="Z163" s="52" t="s">
        <v>3696</v>
      </c>
      <c r="AA163" s="52" t="s">
        <v>1246</v>
      </c>
      <c r="AB163" s="52" t="s">
        <v>79</v>
      </c>
      <c r="AC163" s="52" t="s">
        <v>3720</v>
      </c>
      <c r="AD163" s="52" t="s">
        <v>3715</v>
      </c>
      <c r="AE163" s="52"/>
      <c r="AF163" s="52" t="s">
        <v>3834</v>
      </c>
      <c r="AG163" s="52" t="s">
        <v>3770</v>
      </c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>
        <v>0</v>
      </c>
      <c r="AT163" s="52"/>
      <c r="AU163" s="52"/>
      <c r="AV163" s="52" t="s">
        <v>1250</v>
      </c>
      <c r="AW163" s="52"/>
    </row>
    <row r="164" spans="1:49">
      <c r="A164" s="52">
        <v>6013428</v>
      </c>
      <c r="B164" s="52" t="s">
        <v>3723</v>
      </c>
      <c r="C164" s="52" t="s">
        <v>3698</v>
      </c>
      <c r="D164" s="53">
        <v>46156.416666666664</v>
      </c>
      <c r="E164" s="53">
        <v>46155.650694444441</v>
      </c>
      <c r="F164" s="53">
        <v>46156.374305555553</v>
      </c>
      <c r="G164" s="53">
        <v>46160.25</v>
      </c>
      <c r="H164" s="52"/>
      <c r="I164" s="52"/>
      <c r="J164" s="52" t="s">
        <v>3693</v>
      </c>
      <c r="K164" s="52"/>
      <c r="L164" s="52"/>
      <c r="M164" s="54">
        <v>3.8756944444444446</v>
      </c>
      <c r="N164" s="54">
        <v>2.0819444444444444</v>
      </c>
      <c r="O164" s="52" t="s">
        <v>3835</v>
      </c>
      <c r="P164" s="52" t="s">
        <v>1246</v>
      </c>
      <c r="Q164" s="52" t="s">
        <v>1244</v>
      </c>
      <c r="R164" s="52" t="s">
        <v>3184</v>
      </c>
      <c r="S164" s="52" t="s">
        <v>3756</v>
      </c>
      <c r="T164" s="52" t="s">
        <v>3695</v>
      </c>
      <c r="U164" s="52" t="s">
        <v>3695</v>
      </c>
      <c r="V164" s="52" t="s">
        <v>1960</v>
      </c>
      <c r="W164" s="52">
        <v>23227296802</v>
      </c>
      <c r="X164" s="52" t="s">
        <v>73</v>
      </c>
      <c r="Y164" s="52" t="s">
        <v>3738</v>
      </c>
      <c r="Z164" s="52" t="s">
        <v>3696</v>
      </c>
      <c r="AA164" s="52" t="s">
        <v>3710</v>
      </c>
      <c r="AB164" s="52"/>
      <c r="AC164" s="52" t="s">
        <v>3720</v>
      </c>
      <c r="AD164" s="52" t="s">
        <v>3715</v>
      </c>
      <c r="AE164" s="52" t="s">
        <v>79</v>
      </c>
      <c r="AF164" s="52" t="s">
        <v>3834</v>
      </c>
      <c r="AG164" s="52" t="s">
        <v>3770</v>
      </c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 t="s">
        <v>3696</v>
      </c>
      <c r="AT164" s="52"/>
      <c r="AU164" s="52"/>
      <c r="AV164" s="52"/>
      <c r="AW164" s="52"/>
    </row>
    <row r="165" spans="1:49">
      <c r="A165" s="52">
        <v>6013428</v>
      </c>
      <c r="B165" s="52" t="s">
        <v>3723</v>
      </c>
      <c r="C165" s="52" t="s">
        <v>3698</v>
      </c>
      <c r="D165" s="53">
        <v>46156.416666666664</v>
      </c>
      <c r="E165" s="53">
        <v>46155.650694444441</v>
      </c>
      <c r="F165" s="53">
        <v>46156.374305555553</v>
      </c>
      <c r="G165" s="53">
        <v>46160.25</v>
      </c>
      <c r="H165" s="52"/>
      <c r="I165" s="52"/>
      <c r="J165" s="52" t="s">
        <v>3693</v>
      </c>
      <c r="K165" s="52"/>
      <c r="L165" s="52"/>
      <c r="M165" s="54">
        <v>3.8756944444444446</v>
      </c>
      <c r="N165" s="54">
        <v>2.0819444444444444</v>
      </c>
      <c r="O165" s="52" t="s">
        <v>3835</v>
      </c>
      <c r="P165" s="52" t="s">
        <v>1246</v>
      </c>
      <c r="Q165" s="52" t="s">
        <v>1244</v>
      </c>
      <c r="R165" s="52" t="s">
        <v>3184</v>
      </c>
      <c r="S165" s="52" t="s">
        <v>3756</v>
      </c>
      <c r="T165" s="52" t="s">
        <v>3695</v>
      </c>
      <c r="U165" s="52" t="s">
        <v>3695</v>
      </c>
      <c r="V165" s="52" t="s">
        <v>1960</v>
      </c>
      <c r="W165" s="52">
        <v>23227296802</v>
      </c>
      <c r="X165" s="52" t="s">
        <v>73</v>
      </c>
      <c r="Y165" s="52" t="s">
        <v>3738</v>
      </c>
      <c r="Z165" s="52" t="s">
        <v>3696</v>
      </c>
      <c r="AA165" s="52" t="s">
        <v>3710</v>
      </c>
      <c r="AB165" s="52"/>
      <c r="AC165" s="52" t="s">
        <v>3720</v>
      </c>
      <c r="AD165" s="52" t="s">
        <v>3715</v>
      </c>
      <c r="AE165" s="52"/>
      <c r="AF165" s="52" t="s">
        <v>3834</v>
      </c>
      <c r="AG165" s="52" t="s">
        <v>3770</v>
      </c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 t="s">
        <v>3696</v>
      </c>
      <c r="AT165" s="52"/>
      <c r="AU165" s="52"/>
      <c r="AV165" s="52"/>
      <c r="AW165" s="52" t="s">
        <v>1250</v>
      </c>
    </row>
    <row r="166" spans="1:49">
      <c r="A166" s="52">
        <v>6013428</v>
      </c>
      <c r="B166" s="52" t="s">
        <v>3723</v>
      </c>
      <c r="C166" s="52" t="s">
        <v>3698</v>
      </c>
      <c r="D166" s="53">
        <v>46156.416666666664</v>
      </c>
      <c r="E166" s="53">
        <v>46155.650694444441</v>
      </c>
      <c r="F166" s="53">
        <v>46156.402083333334</v>
      </c>
      <c r="G166" s="53">
        <v>46160.25</v>
      </c>
      <c r="H166" s="53">
        <v>46156.727083333331</v>
      </c>
      <c r="I166" s="52"/>
      <c r="J166" s="52" t="s">
        <v>3693</v>
      </c>
      <c r="K166" s="52"/>
      <c r="L166" s="52"/>
      <c r="M166" s="54">
        <v>3.8479166666666669</v>
      </c>
      <c r="N166" s="54">
        <v>2.0541666666666667</v>
      </c>
      <c r="O166" s="52" t="s">
        <v>3372</v>
      </c>
      <c r="P166" s="52" t="s">
        <v>1246</v>
      </c>
      <c r="Q166" s="52" t="s">
        <v>1244</v>
      </c>
      <c r="R166" s="52" t="s">
        <v>3184</v>
      </c>
      <c r="S166" s="52" t="s">
        <v>789</v>
      </c>
      <c r="T166" s="52" t="s">
        <v>3836</v>
      </c>
      <c r="U166" s="52" t="s">
        <v>3837</v>
      </c>
      <c r="V166" s="52" t="s">
        <v>3838</v>
      </c>
      <c r="W166" s="52">
        <v>3015400983</v>
      </c>
      <c r="X166" s="52" t="s">
        <v>73</v>
      </c>
      <c r="Y166" s="52" t="s">
        <v>3738</v>
      </c>
      <c r="Z166" s="52" t="s">
        <v>3696</v>
      </c>
      <c r="AA166" s="52" t="s">
        <v>3710</v>
      </c>
      <c r="AB166" s="52"/>
      <c r="AC166" s="52" t="s">
        <v>3720</v>
      </c>
      <c r="AD166" s="52" t="s">
        <v>3715</v>
      </c>
      <c r="AE166" s="52" t="s">
        <v>79</v>
      </c>
      <c r="AF166" s="52" t="s">
        <v>3834</v>
      </c>
      <c r="AG166" s="52" t="s">
        <v>3770</v>
      </c>
      <c r="AH166" s="52"/>
      <c r="AI166" s="52"/>
      <c r="AJ166" s="52"/>
      <c r="AK166" s="52"/>
      <c r="AL166" s="55">
        <v>0.16111111111111112</v>
      </c>
      <c r="AM166" s="52"/>
      <c r="AN166" s="52"/>
      <c r="AO166" s="52"/>
      <c r="AP166" s="55">
        <v>0.16111111111111112</v>
      </c>
      <c r="AQ166" s="52"/>
      <c r="AR166" s="52"/>
      <c r="AS166" s="52" t="s">
        <v>3696</v>
      </c>
      <c r="AT166" s="52"/>
      <c r="AU166" s="52"/>
      <c r="AV166" s="52"/>
      <c r="AW166" s="52"/>
    </row>
    <row r="167" spans="1:49">
      <c r="A167" s="52">
        <v>6013428</v>
      </c>
      <c r="B167" s="52" t="s">
        <v>3723</v>
      </c>
      <c r="C167" s="52" t="s">
        <v>3698</v>
      </c>
      <c r="D167" s="53">
        <v>46156.416666666664</v>
      </c>
      <c r="E167" s="53">
        <v>46155.650694444441</v>
      </c>
      <c r="F167" s="53">
        <v>46156.402083333334</v>
      </c>
      <c r="G167" s="53">
        <v>46160.25</v>
      </c>
      <c r="H167" s="53">
        <v>46156.727083333331</v>
      </c>
      <c r="I167" s="52"/>
      <c r="J167" s="52" t="s">
        <v>3693</v>
      </c>
      <c r="K167" s="52"/>
      <c r="L167" s="52"/>
      <c r="M167" s="54">
        <v>3.8479166666666669</v>
      </c>
      <c r="N167" s="54">
        <v>2.0541666666666667</v>
      </c>
      <c r="O167" s="52" t="s">
        <v>3372</v>
      </c>
      <c r="P167" s="52" t="s">
        <v>1246</v>
      </c>
      <c r="Q167" s="52" t="s">
        <v>1244</v>
      </c>
      <c r="R167" s="52" t="s">
        <v>3184</v>
      </c>
      <c r="S167" s="52" t="s">
        <v>789</v>
      </c>
      <c r="T167" s="52" t="s">
        <v>3836</v>
      </c>
      <c r="U167" s="52" t="s">
        <v>3837</v>
      </c>
      <c r="V167" s="52" t="s">
        <v>3838</v>
      </c>
      <c r="W167" s="52">
        <v>3015400983</v>
      </c>
      <c r="X167" s="52" t="s">
        <v>73</v>
      </c>
      <c r="Y167" s="52" t="s">
        <v>3738</v>
      </c>
      <c r="Z167" s="52" t="s">
        <v>3696</v>
      </c>
      <c r="AA167" s="52" t="s">
        <v>3710</v>
      </c>
      <c r="AB167" s="52"/>
      <c r="AC167" s="52" t="s">
        <v>3720</v>
      </c>
      <c r="AD167" s="52" t="s">
        <v>3715</v>
      </c>
      <c r="AE167" s="52"/>
      <c r="AF167" s="52" t="s">
        <v>3834</v>
      </c>
      <c r="AG167" s="52" t="s">
        <v>3770</v>
      </c>
      <c r="AH167" s="52"/>
      <c r="AI167" s="52"/>
      <c r="AJ167" s="52"/>
      <c r="AK167" s="52"/>
      <c r="AL167" s="55">
        <v>0.16111111111111112</v>
      </c>
      <c r="AM167" s="52"/>
      <c r="AN167" s="52"/>
      <c r="AO167" s="52"/>
      <c r="AP167" s="55">
        <v>0.16111111111111112</v>
      </c>
      <c r="AQ167" s="52"/>
      <c r="AR167" s="52"/>
      <c r="AS167" s="52" t="s">
        <v>3696</v>
      </c>
      <c r="AT167" s="52"/>
      <c r="AU167" s="52"/>
      <c r="AV167" s="52"/>
      <c r="AW167" s="52" t="s">
        <v>1250</v>
      </c>
    </row>
    <row r="168" spans="1:49">
      <c r="A168" s="52">
        <v>6013514</v>
      </c>
      <c r="B168" s="52" t="s">
        <v>3691</v>
      </c>
      <c r="C168" s="52" t="s">
        <v>3692</v>
      </c>
      <c r="D168" s="53">
        <v>46157.375</v>
      </c>
      <c r="E168" s="53">
        <v>46156.68472222222</v>
      </c>
      <c r="F168" s="52"/>
      <c r="G168" s="52"/>
      <c r="H168" s="52"/>
      <c r="I168" s="52" t="s">
        <v>3693</v>
      </c>
      <c r="J168" s="52" t="s">
        <v>3694</v>
      </c>
      <c r="K168" s="52"/>
      <c r="L168" s="52"/>
      <c r="M168" s="55">
        <v>6.25E-2</v>
      </c>
      <c r="N168" s="54">
        <v>8.8979166666666671</v>
      </c>
      <c r="O168" s="52"/>
      <c r="P168" s="52"/>
      <c r="Q168" s="52"/>
      <c r="R168" s="52"/>
      <c r="S168" s="52"/>
      <c r="T168" s="52" t="s">
        <v>3695</v>
      </c>
      <c r="U168" s="52" t="s">
        <v>3695</v>
      </c>
      <c r="V168" s="52"/>
      <c r="W168" s="52"/>
      <c r="X168" s="52"/>
      <c r="Y168" s="52"/>
      <c r="Z168" s="52" t="s">
        <v>3696</v>
      </c>
      <c r="AA168" s="52" t="s">
        <v>836</v>
      </c>
      <c r="AB168" s="52" t="s">
        <v>140</v>
      </c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>
        <v>0</v>
      </c>
      <c r="AT168" s="52"/>
      <c r="AU168" s="52"/>
      <c r="AV168" s="52" t="s">
        <v>840</v>
      </c>
      <c r="AW168" s="52"/>
    </row>
    <row r="169" spans="1:49">
      <c r="A169" s="52">
        <v>6013514</v>
      </c>
      <c r="B169" s="52" t="s">
        <v>3691</v>
      </c>
      <c r="C169" s="52" t="s">
        <v>3698</v>
      </c>
      <c r="D169" s="53">
        <v>46157.375</v>
      </c>
      <c r="E169" s="53">
        <v>46156.68472222222</v>
      </c>
      <c r="F169" s="52"/>
      <c r="G169" s="52"/>
      <c r="H169" s="52"/>
      <c r="I169" s="52"/>
      <c r="J169" s="52" t="s">
        <v>3694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 t="s">
        <v>3696</v>
      </c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>
        <v>0</v>
      </c>
      <c r="AT169" s="52"/>
      <c r="AU169" s="52"/>
      <c r="AV169" s="52"/>
      <c r="AW169" s="52"/>
    </row>
    <row r="170" spans="1:49">
      <c r="A170" s="52">
        <v>6013549</v>
      </c>
      <c r="B170" s="52" t="s">
        <v>3723</v>
      </c>
      <c r="C170" s="52" t="s">
        <v>3692</v>
      </c>
      <c r="D170" s="53">
        <v>46153.5</v>
      </c>
      <c r="E170" s="53">
        <v>46153.512499999997</v>
      </c>
      <c r="F170" s="53">
        <v>46153.642361111109</v>
      </c>
      <c r="G170" s="53">
        <v>46157.333333333336</v>
      </c>
      <c r="H170" s="52"/>
      <c r="I170" s="52" t="s">
        <v>3693</v>
      </c>
      <c r="J170" s="52" t="s">
        <v>3693</v>
      </c>
      <c r="K170" s="53">
        <v>46155.680555555555</v>
      </c>
      <c r="L170" s="52"/>
      <c r="M170" s="54">
        <v>1.4270833333333333</v>
      </c>
      <c r="N170" s="54">
        <v>2.5499999999999998</v>
      </c>
      <c r="O170" s="52"/>
      <c r="P170" s="52"/>
      <c r="Q170" s="52"/>
      <c r="R170" s="52"/>
      <c r="S170" s="52"/>
      <c r="T170" s="52" t="s">
        <v>3839</v>
      </c>
      <c r="U170" s="52" t="s">
        <v>3840</v>
      </c>
      <c r="V170" s="52"/>
      <c r="W170" s="52"/>
      <c r="X170" s="52"/>
      <c r="Y170" s="52"/>
      <c r="Z170" s="52" t="s">
        <v>3696</v>
      </c>
      <c r="AA170" s="52" t="s">
        <v>216</v>
      </c>
      <c r="AB170" s="52" t="s">
        <v>140</v>
      </c>
      <c r="AC170" s="52" t="s">
        <v>3703</v>
      </c>
      <c r="AD170" s="52" t="s">
        <v>3704</v>
      </c>
      <c r="AE170" s="52"/>
      <c r="AF170" s="52" t="s">
        <v>3705</v>
      </c>
      <c r="AG170" s="52" t="s">
        <v>3706</v>
      </c>
      <c r="AH170" s="52"/>
      <c r="AI170" s="52"/>
      <c r="AJ170" s="52"/>
      <c r="AK170" s="52"/>
      <c r="AL170" s="55">
        <v>0.23541666666666666</v>
      </c>
      <c r="AM170" s="52"/>
      <c r="AN170" s="52"/>
      <c r="AO170" s="52"/>
      <c r="AP170" s="52"/>
      <c r="AQ170" s="52"/>
      <c r="AR170" s="52"/>
      <c r="AS170" s="52">
        <v>0</v>
      </c>
      <c r="AT170" s="52"/>
      <c r="AU170" s="52"/>
      <c r="AV170" s="52" t="s">
        <v>403</v>
      </c>
      <c r="AW170" s="52"/>
    </row>
    <row r="171" spans="1:49">
      <c r="A171" s="52">
        <v>6013549</v>
      </c>
      <c r="B171" s="52" t="s">
        <v>3723</v>
      </c>
      <c r="C171" s="52" t="s">
        <v>3698</v>
      </c>
      <c r="D171" s="53">
        <v>46153.5</v>
      </c>
      <c r="E171" s="53">
        <v>46153.512499999997</v>
      </c>
      <c r="F171" s="53">
        <v>46153.642361111109</v>
      </c>
      <c r="G171" s="53">
        <v>46157.333333333336</v>
      </c>
      <c r="H171" s="53">
        <v>46155.649305555555</v>
      </c>
      <c r="I171" s="52"/>
      <c r="J171" s="52" t="s">
        <v>3693</v>
      </c>
      <c r="K171" s="53">
        <v>46155.680555555555</v>
      </c>
      <c r="L171" s="52"/>
      <c r="M171" s="54">
        <v>3.6909722222222223</v>
      </c>
      <c r="N171" s="54">
        <v>4.8138888888888891</v>
      </c>
      <c r="O171" s="52" t="s">
        <v>2837</v>
      </c>
      <c r="P171" s="52" t="s">
        <v>216</v>
      </c>
      <c r="Q171" s="52" t="s">
        <v>2836</v>
      </c>
      <c r="R171" s="52"/>
      <c r="S171" s="52" t="s">
        <v>789</v>
      </c>
      <c r="T171" s="52" t="s">
        <v>3839</v>
      </c>
      <c r="U171" s="52" t="s">
        <v>3840</v>
      </c>
      <c r="V171" s="52" t="s">
        <v>2839</v>
      </c>
      <c r="W171" s="52">
        <v>9481034771</v>
      </c>
      <c r="X171" s="52" t="s">
        <v>73</v>
      </c>
      <c r="Y171" s="52"/>
      <c r="Z171" s="52" t="s">
        <v>3696</v>
      </c>
      <c r="AA171" s="52" t="s">
        <v>3710</v>
      </c>
      <c r="AB171" s="52"/>
      <c r="AC171" s="52" t="s">
        <v>3703</v>
      </c>
      <c r="AD171" s="52" t="s">
        <v>3704</v>
      </c>
      <c r="AE171" s="52" t="s">
        <v>140</v>
      </c>
      <c r="AF171" s="52" t="s">
        <v>3705</v>
      </c>
      <c r="AG171" s="52" t="s">
        <v>3706</v>
      </c>
      <c r="AH171" s="52"/>
      <c r="AI171" s="53">
        <v>46153.651388888888</v>
      </c>
      <c r="AJ171" s="53">
        <v>46153.886805555558</v>
      </c>
      <c r="AK171" s="53">
        <v>46153.651388888888</v>
      </c>
      <c r="AL171" s="54">
        <v>1.2763888888888888</v>
      </c>
      <c r="AM171" s="52"/>
      <c r="AN171" s="55">
        <v>0.23541666666666666</v>
      </c>
      <c r="AO171" s="52"/>
      <c r="AP171" s="54">
        <v>1.2763888888888888</v>
      </c>
      <c r="AQ171" s="52"/>
      <c r="AR171" s="52"/>
      <c r="AS171" s="52" t="s">
        <v>3696</v>
      </c>
      <c r="AT171" s="52"/>
      <c r="AU171" s="52"/>
      <c r="AV171" s="52"/>
      <c r="AW171" s="52"/>
    </row>
    <row r="172" spans="1:49">
      <c r="A172" s="52">
        <v>6013549</v>
      </c>
      <c r="B172" s="52" t="s">
        <v>3723</v>
      </c>
      <c r="C172" s="52" t="s">
        <v>3698</v>
      </c>
      <c r="D172" s="53">
        <v>46153.5</v>
      </c>
      <c r="E172" s="53">
        <v>46153.512499999997</v>
      </c>
      <c r="F172" s="53">
        <v>46153.642361111109</v>
      </c>
      <c r="G172" s="53">
        <v>46157.333333333336</v>
      </c>
      <c r="H172" s="53">
        <v>46155.649305555555</v>
      </c>
      <c r="I172" s="52"/>
      <c r="J172" s="52" t="s">
        <v>3693</v>
      </c>
      <c r="K172" s="53">
        <v>46155.680555555555</v>
      </c>
      <c r="L172" s="52"/>
      <c r="M172" s="54">
        <v>3.6909722222222223</v>
      </c>
      <c r="N172" s="54">
        <v>4.8138888888888891</v>
      </c>
      <c r="O172" s="52" t="s">
        <v>2837</v>
      </c>
      <c r="P172" s="52" t="s">
        <v>216</v>
      </c>
      <c r="Q172" s="52" t="s">
        <v>2836</v>
      </c>
      <c r="R172" s="52"/>
      <c r="S172" s="52" t="s">
        <v>789</v>
      </c>
      <c r="T172" s="52" t="s">
        <v>3839</v>
      </c>
      <c r="U172" s="52" t="s">
        <v>3840</v>
      </c>
      <c r="V172" s="52" t="s">
        <v>2839</v>
      </c>
      <c r="W172" s="52">
        <v>9481034771</v>
      </c>
      <c r="X172" s="52" t="s">
        <v>73</v>
      </c>
      <c r="Y172" s="52"/>
      <c r="Z172" s="52" t="s">
        <v>3696</v>
      </c>
      <c r="AA172" s="52" t="s">
        <v>3710</v>
      </c>
      <c r="AB172" s="52"/>
      <c r="AC172" s="52" t="s">
        <v>3703</v>
      </c>
      <c r="AD172" s="52" t="s">
        <v>3704</v>
      </c>
      <c r="AE172" s="52"/>
      <c r="AF172" s="52" t="s">
        <v>3705</v>
      </c>
      <c r="AG172" s="52" t="s">
        <v>3706</v>
      </c>
      <c r="AH172" s="52"/>
      <c r="AI172" s="53">
        <v>46153.651388888888</v>
      </c>
      <c r="AJ172" s="53">
        <v>46153.886805555558</v>
      </c>
      <c r="AK172" s="53">
        <v>46153.651388888888</v>
      </c>
      <c r="AL172" s="54">
        <v>1.2763888888888888</v>
      </c>
      <c r="AM172" s="52"/>
      <c r="AN172" s="55">
        <v>0.23541666666666666</v>
      </c>
      <c r="AO172" s="52"/>
      <c r="AP172" s="54">
        <v>1.2763888888888888</v>
      </c>
      <c r="AQ172" s="52"/>
      <c r="AR172" s="52"/>
      <c r="AS172" s="52" t="s">
        <v>3696</v>
      </c>
      <c r="AT172" s="52"/>
      <c r="AU172" s="52"/>
      <c r="AV172" s="52"/>
      <c r="AW172" s="52" t="s">
        <v>403</v>
      </c>
    </row>
    <row r="173" spans="1:49">
      <c r="A173" s="52">
        <v>6013550</v>
      </c>
      <c r="B173" s="52" t="s">
        <v>3716</v>
      </c>
      <c r="C173" s="52" t="s">
        <v>3692</v>
      </c>
      <c r="D173" s="53">
        <v>46156.416666666664</v>
      </c>
      <c r="E173" s="53">
        <v>46155.390277777777</v>
      </c>
      <c r="F173" s="53">
        <v>46156.586805555555</v>
      </c>
      <c r="G173" s="53">
        <v>46162.333333333336</v>
      </c>
      <c r="H173" s="52"/>
      <c r="I173" s="52" t="s">
        <v>3693</v>
      </c>
      <c r="J173" s="52" t="s">
        <v>3693</v>
      </c>
      <c r="K173" s="53">
        <v>46158.51458333333</v>
      </c>
      <c r="L173" s="52"/>
      <c r="M173" s="54">
        <v>1.4270833333333333</v>
      </c>
      <c r="N173" s="54">
        <v>1.45</v>
      </c>
      <c r="O173" s="52"/>
      <c r="P173" s="52"/>
      <c r="Q173" s="52"/>
      <c r="R173" s="52"/>
      <c r="S173" s="52"/>
      <c r="T173" s="52" t="s">
        <v>3841</v>
      </c>
      <c r="U173" s="52" t="s">
        <v>3842</v>
      </c>
      <c r="V173" s="52"/>
      <c r="W173" s="52"/>
      <c r="X173" s="52"/>
      <c r="Y173" s="52"/>
      <c r="Z173" s="52" t="s">
        <v>3696</v>
      </c>
      <c r="AA173" s="52" t="s">
        <v>216</v>
      </c>
      <c r="AB173" s="52" t="s">
        <v>140</v>
      </c>
      <c r="AC173" s="52" t="s">
        <v>3703</v>
      </c>
      <c r="AD173" s="52" t="s">
        <v>3704</v>
      </c>
      <c r="AE173" s="52"/>
      <c r="AF173" s="52" t="s">
        <v>3705</v>
      </c>
      <c r="AG173" s="52" t="s">
        <v>3706</v>
      </c>
      <c r="AH173" s="52"/>
      <c r="AI173" s="52"/>
      <c r="AJ173" s="52"/>
      <c r="AK173" s="52"/>
      <c r="AL173" s="55">
        <v>0.24374999999999999</v>
      </c>
      <c r="AM173" s="52"/>
      <c r="AN173" s="52"/>
      <c r="AO173" s="52"/>
      <c r="AP173" s="52"/>
      <c r="AQ173" s="52"/>
      <c r="AR173" s="52"/>
      <c r="AS173" s="52">
        <v>0</v>
      </c>
      <c r="AT173" s="52"/>
      <c r="AU173" s="52"/>
      <c r="AV173" s="52" t="s">
        <v>403</v>
      </c>
      <c r="AW173" s="52"/>
    </row>
    <row r="174" spans="1:49">
      <c r="A174" s="52">
        <v>6013550</v>
      </c>
      <c r="B174" s="52" t="s">
        <v>3716</v>
      </c>
      <c r="C174" s="52" t="s">
        <v>3698</v>
      </c>
      <c r="D174" s="53">
        <v>46156.416666666664</v>
      </c>
      <c r="E174" s="53">
        <v>46155.390277777777</v>
      </c>
      <c r="F174" s="53">
        <v>46156.597222222219</v>
      </c>
      <c r="G174" s="53">
        <v>46161.333333333336</v>
      </c>
      <c r="H174" s="52"/>
      <c r="I174" s="52"/>
      <c r="J174" s="52" t="s">
        <v>3693</v>
      </c>
      <c r="K174" s="53">
        <v>46157.874305555553</v>
      </c>
      <c r="L174" s="52"/>
      <c r="M174" s="54">
        <v>4.7361111111111107</v>
      </c>
      <c r="N174" s="54">
        <v>1.8590277777777777</v>
      </c>
      <c r="O174" s="52" t="s">
        <v>3843</v>
      </c>
      <c r="P174" s="52" t="s">
        <v>216</v>
      </c>
      <c r="Q174" s="52" t="s">
        <v>518</v>
      </c>
      <c r="R174" s="52" t="s">
        <v>523</v>
      </c>
      <c r="S174" s="52" t="s">
        <v>3756</v>
      </c>
      <c r="T174" s="52" t="s">
        <v>3841</v>
      </c>
      <c r="U174" s="52" t="s">
        <v>3842</v>
      </c>
      <c r="V174" s="52" t="s">
        <v>3844</v>
      </c>
      <c r="W174" s="52">
        <v>9965811709</v>
      </c>
      <c r="X174" s="52" t="s">
        <v>73</v>
      </c>
      <c r="Y174" s="52" t="s">
        <v>3845</v>
      </c>
      <c r="Z174" s="52" t="s">
        <v>3696</v>
      </c>
      <c r="AA174" s="52" t="s">
        <v>3710</v>
      </c>
      <c r="AB174" s="52"/>
      <c r="AC174" s="52" t="s">
        <v>3703</v>
      </c>
      <c r="AD174" s="52" t="s">
        <v>3704</v>
      </c>
      <c r="AE174" s="52" t="s">
        <v>140</v>
      </c>
      <c r="AF174" s="52" t="s">
        <v>3705</v>
      </c>
      <c r="AG174" s="52" t="s">
        <v>3706</v>
      </c>
      <c r="AH174" s="52"/>
      <c r="AI174" s="53">
        <v>46156.625694444447</v>
      </c>
      <c r="AJ174" s="53">
        <v>46156.869444444441</v>
      </c>
      <c r="AK174" s="53">
        <v>46156.625694444447</v>
      </c>
      <c r="AL174" s="55">
        <v>0.24374999999999999</v>
      </c>
      <c r="AM174" s="52"/>
      <c r="AN174" s="55">
        <v>0.24374999999999999</v>
      </c>
      <c r="AO174" s="52"/>
      <c r="AP174" s="55">
        <v>0.24374999999999999</v>
      </c>
      <c r="AQ174" s="52"/>
      <c r="AR174" s="52"/>
      <c r="AS174" s="52" t="s">
        <v>3696</v>
      </c>
      <c r="AT174" s="52"/>
      <c r="AU174" s="52"/>
      <c r="AV174" s="52"/>
      <c r="AW174" s="52"/>
    </row>
    <row r="175" spans="1:49">
      <c r="A175" s="52">
        <v>6013550</v>
      </c>
      <c r="B175" s="52" t="s">
        <v>3716</v>
      </c>
      <c r="C175" s="52" t="s">
        <v>3698</v>
      </c>
      <c r="D175" s="53">
        <v>46156.416666666664</v>
      </c>
      <c r="E175" s="53">
        <v>46155.390277777777</v>
      </c>
      <c r="F175" s="53">
        <v>46156.597222222219</v>
      </c>
      <c r="G175" s="53">
        <v>46161.333333333336</v>
      </c>
      <c r="H175" s="52"/>
      <c r="I175" s="52"/>
      <c r="J175" s="52" t="s">
        <v>3693</v>
      </c>
      <c r="K175" s="53">
        <v>46157.874305555553</v>
      </c>
      <c r="L175" s="52"/>
      <c r="M175" s="54">
        <v>4.7361111111111107</v>
      </c>
      <c r="N175" s="54">
        <v>1.8590277777777777</v>
      </c>
      <c r="O175" s="52" t="s">
        <v>3843</v>
      </c>
      <c r="P175" s="52" t="s">
        <v>216</v>
      </c>
      <c r="Q175" s="52" t="s">
        <v>518</v>
      </c>
      <c r="R175" s="52" t="s">
        <v>523</v>
      </c>
      <c r="S175" s="52" t="s">
        <v>3756</v>
      </c>
      <c r="T175" s="52" t="s">
        <v>3841</v>
      </c>
      <c r="U175" s="52" t="s">
        <v>3842</v>
      </c>
      <c r="V175" s="52" t="s">
        <v>3844</v>
      </c>
      <c r="W175" s="52">
        <v>9965811709</v>
      </c>
      <c r="X175" s="52" t="s">
        <v>73</v>
      </c>
      <c r="Y175" s="52" t="s">
        <v>3845</v>
      </c>
      <c r="Z175" s="52" t="s">
        <v>3696</v>
      </c>
      <c r="AA175" s="52" t="s">
        <v>3710</v>
      </c>
      <c r="AB175" s="52"/>
      <c r="AC175" s="52" t="s">
        <v>3703</v>
      </c>
      <c r="AD175" s="52" t="s">
        <v>3704</v>
      </c>
      <c r="AE175" s="52"/>
      <c r="AF175" s="52" t="s">
        <v>3705</v>
      </c>
      <c r="AG175" s="52" t="s">
        <v>3706</v>
      </c>
      <c r="AH175" s="52"/>
      <c r="AI175" s="53">
        <v>46156.625694444447</v>
      </c>
      <c r="AJ175" s="53">
        <v>46156.869444444441</v>
      </c>
      <c r="AK175" s="53">
        <v>46156.625694444447</v>
      </c>
      <c r="AL175" s="55">
        <v>0.24374999999999999</v>
      </c>
      <c r="AM175" s="52"/>
      <c r="AN175" s="55">
        <v>0.24374999999999999</v>
      </c>
      <c r="AO175" s="52"/>
      <c r="AP175" s="55">
        <v>0.24374999999999999</v>
      </c>
      <c r="AQ175" s="52"/>
      <c r="AR175" s="52"/>
      <c r="AS175" s="52" t="s">
        <v>3696</v>
      </c>
      <c r="AT175" s="52"/>
      <c r="AU175" s="52"/>
      <c r="AV175" s="52"/>
      <c r="AW175" s="52" t="s">
        <v>403</v>
      </c>
    </row>
    <row r="176" spans="1:49">
      <c r="A176" s="52">
        <v>6013550</v>
      </c>
      <c r="B176" s="52" t="s">
        <v>3716</v>
      </c>
      <c r="C176" s="52" t="s">
        <v>3698</v>
      </c>
      <c r="D176" s="53">
        <v>46156.416666666664</v>
      </c>
      <c r="E176" s="53">
        <v>46155.390277777777</v>
      </c>
      <c r="F176" s="53">
        <v>46157.761111111111</v>
      </c>
      <c r="G176" s="53">
        <v>46161.333333333336</v>
      </c>
      <c r="H176" s="52"/>
      <c r="I176" s="52"/>
      <c r="J176" s="52" t="s">
        <v>3693</v>
      </c>
      <c r="K176" s="53">
        <v>46157.874305555553</v>
      </c>
      <c r="L176" s="52"/>
      <c r="M176" s="54">
        <v>3.5722222222222224</v>
      </c>
      <c r="N176" s="55">
        <v>0.69513888888888886</v>
      </c>
      <c r="O176" s="52" t="s">
        <v>519</v>
      </c>
      <c r="P176" s="52" t="s">
        <v>216</v>
      </c>
      <c r="Q176" s="52" t="s">
        <v>518</v>
      </c>
      <c r="R176" s="52" t="s">
        <v>523</v>
      </c>
      <c r="S176" s="52" t="s">
        <v>69</v>
      </c>
      <c r="T176" s="52" t="s">
        <v>3841</v>
      </c>
      <c r="U176" s="52" t="s">
        <v>3846</v>
      </c>
      <c r="V176" s="52" t="s">
        <v>3844</v>
      </c>
      <c r="W176" s="52">
        <v>9965811709</v>
      </c>
      <c r="X176" s="52" t="s">
        <v>73</v>
      </c>
      <c r="Y176" s="52" t="s">
        <v>3845</v>
      </c>
      <c r="Z176" s="52" t="s">
        <v>3696</v>
      </c>
      <c r="AA176" s="52" t="s">
        <v>3710</v>
      </c>
      <c r="AB176" s="52"/>
      <c r="AC176" s="52" t="s">
        <v>3703</v>
      </c>
      <c r="AD176" s="52" t="s">
        <v>3704</v>
      </c>
      <c r="AE176" s="52" t="s">
        <v>140</v>
      </c>
      <c r="AF176" s="52" t="s">
        <v>3705</v>
      </c>
      <c r="AG176" s="52" t="s">
        <v>3706</v>
      </c>
      <c r="AH176" s="52"/>
      <c r="AI176" s="53">
        <v>46156.625694444447</v>
      </c>
      <c r="AJ176" s="53">
        <v>46156.869444444441</v>
      </c>
      <c r="AK176" s="53">
        <v>46156.625694444447</v>
      </c>
      <c r="AL176" s="55">
        <v>1.8055555555555554E-2</v>
      </c>
      <c r="AM176" s="52"/>
      <c r="AN176" s="55">
        <v>0.24374999999999999</v>
      </c>
      <c r="AO176" s="52"/>
      <c r="AP176" s="55">
        <v>1.8055555555555554E-2</v>
      </c>
      <c r="AQ176" s="52"/>
      <c r="AR176" s="52"/>
      <c r="AS176" s="52" t="s">
        <v>3696</v>
      </c>
      <c r="AT176" s="52"/>
      <c r="AU176" s="52"/>
      <c r="AV176" s="52"/>
      <c r="AW176" s="52"/>
    </row>
    <row r="177" spans="1:49">
      <c r="A177" s="52">
        <v>6013550</v>
      </c>
      <c r="B177" s="52" t="s">
        <v>3716</v>
      </c>
      <c r="C177" s="52" t="s">
        <v>3698</v>
      </c>
      <c r="D177" s="53">
        <v>46156.416666666664</v>
      </c>
      <c r="E177" s="53">
        <v>46155.390277777777</v>
      </c>
      <c r="F177" s="53">
        <v>46157.761111111111</v>
      </c>
      <c r="G177" s="53">
        <v>46161.333333333336</v>
      </c>
      <c r="H177" s="52"/>
      <c r="I177" s="52"/>
      <c r="J177" s="52" t="s">
        <v>3693</v>
      </c>
      <c r="K177" s="53">
        <v>46157.874305555553</v>
      </c>
      <c r="L177" s="52"/>
      <c r="M177" s="54">
        <v>3.5722222222222224</v>
      </c>
      <c r="N177" s="55">
        <v>0.69513888888888886</v>
      </c>
      <c r="O177" s="52" t="s">
        <v>519</v>
      </c>
      <c r="P177" s="52" t="s">
        <v>216</v>
      </c>
      <c r="Q177" s="52" t="s">
        <v>518</v>
      </c>
      <c r="R177" s="52" t="s">
        <v>523</v>
      </c>
      <c r="S177" s="52" t="s">
        <v>69</v>
      </c>
      <c r="T177" s="52" t="s">
        <v>3841</v>
      </c>
      <c r="U177" s="52" t="s">
        <v>3846</v>
      </c>
      <c r="V177" s="52" t="s">
        <v>3844</v>
      </c>
      <c r="W177" s="52">
        <v>9965811709</v>
      </c>
      <c r="X177" s="52" t="s">
        <v>73</v>
      </c>
      <c r="Y177" s="52" t="s">
        <v>3845</v>
      </c>
      <c r="Z177" s="52" t="s">
        <v>3696</v>
      </c>
      <c r="AA177" s="52" t="s">
        <v>3710</v>
      </c>
      <c r="AB177" s="52"/>
      <c r="AC177" s="52" t="s">
        <v>3703</v>
      </c>
      <c r="AD177" s="52" t="s">
        <v>3704</v>
      </c>
      <c r="AE177" s="52"/>
      <c r="AF177" s="52" t="s">
        <v>3705</v>
      </c>
      <c r="AG177" s="52" t="s">
        <v>3706</v>
      </c>
      <c r="AH177" s="52"/>
      <c r="AI177" s="53">
        <v>46156.625694444447</v>
      </c>
      <c r="AJ177" s="53">
        <v>46156.869444444441</v>
      </c>
      <c r="AK177" s="53">
        <v>46156.625694444447</v>
      </c>
      <c r="AL177" s="55">
        <v>1.8055555555555554E-2</v>
      </c>
      <c r="AM177" s="52"/>
      <c r="AN177" s="55">
        <v>0.24374999999999999</v>
      </c>
      <c r="AO177" s="52"/>
      <c r="AP177" s="55">
        <v>1.8055555555555554E-2</v>
      </c>
      <c r="AQ177" s="52"/>
      <c r="AR177" s="52"/>
      <c r="AS177" s="52" t="s">
        <v>3696</v>
      </c>
      <c r="AT177" s="52"/>
      <c r="AU177" s="52"/>
      <c r="AV177" s="52"/>
      <c r="AW177" s="52" t="s">
        <v>403</v>
      </c>
    </row>
    <row r="178" spans="1:49">
      <c r="A178" s="52">
        <v>6013834</v>
      </c>
      <c r="B178" s="52" t="s">
        <v>3723</v>
      </c>
      <c r="C178" s="52" t="s">
        <v>3692</v>
      </c>
      <c r="D178" s="53">
        <v>46156.416666666664</v>
      </c>
      <c r="E178" s="53">
        <v>46155.650694444441</v>
      </c>
      <c r="F178" s="53">
        <v>46156.688888888886</v>
      </c>
      <c r="G178" s="53">
        <v>46159.344444444447</v>
      </c>
      <c r="H178" s="53">
        <v>46156.691666666666</v>
      </c>
      <c r="I178" s="52" t="s">
        <v>3693</v>
      </c>
      <c r="J178" s="52" t="s">
        <v>3693</v>
      </c>
      <c r="K178" s="52"/>
      <c r="L178" s="52"/>
      <c r="M178" s="55">
        <v>0.13958333333333334</v>
      </c>
      <c r="N178" s="54">
        <v>1.6958333333333333</v>
      </c>
      <c r="O178" s="52"/>
      <c r="P178" s="52"/>
      <c r="Q178" s="52"/>
      <c r="R178" s="52"/>
      <c r="S178" s="52"/>
      <c r="T178" s="52" t="s">
        <v>3695</v>
      </c>
      <c r="U178" s="52" t="s">
        <v>3847</v>
      </c>
      <c r="V178" s="52"/>
      <c r="W178" s="52"/>
      <c r="X178" s="52"/>
      <c r="Y178" s="52"/>
      <c r="Z178" s="52" t="s">
        <v>3696</v>
      </c>
      <c r="AA178" s="52" t="s">
        <v>227</v>
      </c>
      <c r="AB178" s="52" t="s">
        <v>79</v>
      </c>
      <c r="AC178" s="52" t="s">
        <v>3720</v>
      </c>
      <c r="AD178" s="52" t="s">
        <v>3715</v>
      </c>
      <c r="AE178" s="52"/>
      <c r="AF178" s="52" t="s">
        <v>3720</v>
      </c>
      <c r="AG178" s="52" t="s">
        <v>3715</v>
      </c>
      <c r="AH178" s="52"/>
      <c r="AI178" s="52"/>
      <c r="AJ178" s="52"/>
      <c r="AK178" s="52"/>
      <c r="AL178" s="55">
        <v>1.8055555555555554E-2</v>
      </c>
      <c r="AM178" s="52"/>
      <c r="AN178" s="52"/>
      <c r="AO178" s="52"/>
      <c r="AP178" s="52"/>
      <c r="AQ178" s="52"/>
      <c r="AR178" s="52"/>
      <c r="AS178" s="52">
        <v>0</v>
      </c>
      <c r="AT178" s="52"/>
      <c r="AU178" s="52"/>
      <c r="AV178" s="52" t="s">
        <v>3074</v>
      </c>
      <c r="AW178" s="52"/>
    </row>
    <row r="179" spans="1:49">
      <c r="A179" s="52">
        <v>6013834</v>
      </c>
      <c r="B179" s="52" t="s">
        <v>3723</v>
      </c>
      <c r="C179" s="52" t="s">
        <v>3698</v>
      </c>
      <c r="D179" s="53">
        <v>46156.416666666664</v>
      </c>
      <c r="E179" s="53">
        <v>46155.650694444441</v>
      </c>
      <c r="F179" s="53">
        <v>46156.69027777778</v>
      </c>
      <c r="G179" s="53">
        <v>46157.373611111114</v>
      </c>
      <c r="H179" s="53">
        <v>46156.777777777781</v>
      </c>
      <c r="I179" s="52"/>
      <c r="J179" s="52" t="s">
        <v>3693</v>
      </c>
      <c r="K179" s="53">
        <v>46157.378472222219</v>
      </c>
      <c r="L179" s="52"/>
      <c r="M179" s="55">
        <v>0.68333333333333335</v>
      </c>
      <c r="N179" s="54">
        <v>1.7659722222222223</v>
      </c>
      <c r="O179" s="52" t="s">
        <v>3446</v>
      </c>
      <c r="P179" s="52" t="s">
        <v>227</v>
      </c>
      <c r="Q179" s="52" t="s">
        <v>1657</v>
      </c>
      <c r="R179" s="52" t="s">
        <v>1663</v>
      </c>
      <c r="S179" s="52" t="s">
        <v>789</v>
      </c>
      <c r="T179" s="52" t="s">
        <v>3695</v>
      </c>
      <c r="U179" s="52" t="s">
        <v>3847</v>
      </c>
      <c r="V179" s="52" t="s">
        <v>1664</v>
      </c>
      <c r="W179" s="52">
        <v>18192769968</v>
      </c>
      <c r="X179" s="52" t="s">
        <v>73</v>
      </c>
      <c r="Y179" s="52"/>
      <c r="Z179" s="52" t="s">
        <v>3696</v>
      </c>
      <c r="AA179" s="52" t="s">
        <v>3710</v>
      </c>
      <c r="AB179" s="52"/>
      <c r="AC179" s="52" t="s">
        <v>3720</v>
      </c>
      <c r="AD179" s="52" t="s">
        <v>3715</v>
      </c>
      <c r="AE179" s="52" t="s">
        <v>79</v>
      </c>
      <c r="AF179" s="52" t="s">
        <v>3848</v>
      </c>
      <c r="AG179" s="52" t="s">
        <v>3770</v>
      </c>
      <c r="AH179" s="52"/>
      <c r="AI179" s="53">
        <v>46156.691666666666</v>
      </c>
      <c r="AJ179" s="53">
        <v>46156.709722222222</v>
      </c>
      <c r="AK179" s="53">
        <v>46156.691666666666</v>
      </c>
      <c r="AL179" s="55">
        <v>2.1527777777777778E-2</v>
      </c>
      <c r="AM179" s="52"/>
      <c r="AN179" s="55">
        <v>1.8055555555555554E-2</v>
      </c>
      <c r="AO179" s="52"/>
      <c r="AP179" s="55">
        <v>2.1527777777777778E-2</v>
      </c>
      <c r="AQ179" s="52"/>
      <c r="AR179" s="52"/>
      <c r="AS179" s="52" t="s">
        <v>3696</v>
      </c>
      <c r="AT179" s="52"/>
      <c r="AU179" s="52"/>
      <c r="AV179" s="52"/>
      <c r="AW179" s="52"/>
    </row>
    <row r="180" spans="1:49">
      <c r="A180" s="52">
        <v>6013834</v>
      </c>
      <c r="B180" s="52" t="s">
        <v>3723</v>
      </c>
      <c r="C180" s="52" t="s">
        <v>3698</v>
      </c>
      <c r="D180" s="53">
        <v>46156.416666666664</v>
      </c>
      <c r="E180" s="53">
        <v>46155.650694444441</v>
      </c>
      <c r="F180" s="53">
        <v>46156.69027777778</v>
      </c>
      <c r="G180" s="53">
        <v>46157.373611111114</v>
      </c>
      <c r="H180" s="53">
        <v>46156.777777777781</v>
      </c>
      <c r="I180" s="52"/>
      <c r="J180" s="52" t="s">
        <v>3693</v>
      </c>
      <c r="K180" s="53">
        <v>46157.378472222219</v>
      </c>
      <c r="L180" s="52"/>
      <c r="M180" s="55">
        <v>0.68333333333333335</v>
      </c>
      <c r="N180" s="54">
        <v>1.7659722222222223</v>
      </c>
      <c r="O180" s="52" t="s">
        <v>3446</v>
      </c>
      <c r="P180" s="52" t="s">
        <v>227</v>
      </c>
      <c r="Q180" s="52" t="s">
        <v>1657</v>
      </c>
      <c r="R180" s="52" t="s">
        <v>1663</v>
      </c>
      <c r="S180" s="52" t="s">
        <v>789</v>
      </c>
      <c r="T180" s="52" t="s">
        <v>3695</v>
      </c>
      <c r="U180" s="52" t="s">
        <v>3847</v>
      </c>
      <c r="V180" s="52" t="s">
        <v>1664</v>
      </c>
      <c r="W180" s="52">
        <v>18192769968</v>
      </c>
      <c r="X180" s="52" t="s">
        <v>73</v>
      </c>
      <c r="Y180" s="52"/>
      <c r="Z180" s="52" t="s">
        <v>3696</v>
      </c>
      <c r="AA180" s="52" t="s">
        <v>3710</v>
      </c>
      <c r="AB180" s="52"/>
      <c r="AC180" s="52" t="s">
        <v>3720</v>
      </c>
      <c r="AD180" s="52" t="s">
        <v>3715</v>
      </c>
      <c r="AE180" s="52"/>
      <c r="AF180" s="52" t="s">
        <v>3848</v>
      </c>
      <c r="AG180" s="52" t="s">
        <v>3770</v>
      </c>
      <c r="AH180" s="52"/>
      <c r="AI180" s="53">
        <v>46156.691666666666</v>
      </c>
      <c r="AJ180" s="53">
        <v>46156.709722222222</v>
      </c>
      <c r="AK180" s="53">
        <v>46156.691666666666</v>
      </c>
      <c r="AL180" s="55">
        <v>2.1527777777777778E-2</v>
      </c>
      <c r="AM180" s="52"/>
      <c r="AN180" s="55">
        <v>1.8055555555555554E-2</v>
      </c>
      <c r="AO180" s="52"/>
      <c r="AP180" s="55">
        <v>2.1527777777777778E-2</v>
      </c>
      <c r="AQ180" s="52"/>
      <c r="AR180" s="52"/>
      <c r="AS180" s="52" t="s">
        <v>3696</v>
      </c>
      <c r="AT180" s="52"/>
      <c r="AU180" s="52"/>
      <c r="AV180" s="52"/>
      <c r="AW180" s="52" t="s">
        <v>3074</v>
      </c>
    </row>
    <row r="181" spans="1:49">
      <c r="A181" s="52">
        <v>6013916</v>
      </c>
      <c r="B181" s="52" t="s">
        <v>3723</v>
      </c>
      <c r="C181" s="52" t="s">
        <v>3692</v>
      </c>
      <c r="D181" s="53">
        <v>46154.25</v>
      </c>
      <c r="E181" s="53">
        <v>46153.586805555555</v>
      </c>
      <c r="F181" s="53">
        <v>46154.793055555558</v>
      </c>
      <c r="G181" s="53">
        <v>46156.791666666664</v>
      </c>
      <c r="H181" s="53">
        <v>46155.913194444445</v>
      </c>
      <c r="I181" s="52" t="s">
        <v>3693</v>
      </c>
      <c r="J181" s="52" t="s">
        <v>3693</v>
      </c>
      <c r="K181" s="53">
        <v>46155.913194444445</v>
      </c>
      <c r="L181" s="52" t="s">
        <v>3735</v>
      </c>
      <c r="M181" s="54">
        <v>1.2916666666666667</v>
      </c>
      <c r="N181" s="54">
        <v>2.9562499999999998</v>
      </c>
      <c r="O181" s="52"/>
      <c r="P181" s="52"/>
      <c r="Q181" s="52"/>
      <c r="R181" s="52"/>
      <c r="S181" s="52"/>
      <c r="T181" s="52" t="s">
        <v>3849</v>
      </c>
      <c r="U181" s="52" t="s">
        <v>3850</v>
      </c>
      <c r="V181" s="52"/>
      <c r="W181" s="52"/>
      <c r="X181" s="52"/>
      <c r="Y181" s="52"/>
      <c r="Z181" s="52" t="s">
        <v>3696</v>
      </c>
      <c r="AA181" s="52" t="s">
        <v>171</v>
      </c>
      <c r="AB181" s="52" t="s">
        <v>140</v>
      </c>
      <c r="AC181" s="52" t="s">
        <v>3703</v>
      </c>
      <c r="AD181" s="52" t="s">
        <v>3704</v>
      </c>
      <c r="AE181" s="52"/>
      <c r="AF181" s="52" t="s">
        <v>3851</v>
      </c>
      <c r="AG181" s="52" t="s">
        <v>3715</v>
      </c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>
        <v>0</v>
      </c>
      <c r="AT181" s="52"/>
      <c r="AU181" s="52"/>
      <c r="AV181" s="52" t="s">
        <v>1493</v>
      </c>
      <c r="AW181" s="52"/>
    </row>
    <row r="182" spans="1:49">
      <c r="A182" s="52">
        <v>6013916</v>
      </c>
      <c r="B182" s="52" t="s">
        <v>3723</v>
      </c>
      <c r="C182" s="52" t="s">
        <v>3698</v>
      </c>
      <c r="D182" s="53">
        <v>46154.25</v>
      </c>
      <c r="E182" s="53">
        <v>46153.586805555555</v>
      </c>
      <c r="F182" s="53">
        <v>46155.438194444447</v>
      </c>
      <c r="G182" s="53">
        <v>46156.791666666664</v>
      </c>
      <c r="H182" s="53">
        <v>46157.411805555559</v>
      </c>
      <c r="I182" s="52"/>
      <c r="J182" s="52" t="s">
        <v>3693</v>
      </c>
      <c r="K182" s="53">
        <v>46155.913194444445</v>
      </c>
      <c r="L182" s="52"/>
      <c r="M182" s="54">
        <v>1.3534722222222222</v>
      </c>
      <c r="N182" s="54">
        <v>3.0180555555555557</v>
      </c>
      <c r="O182" s="52" t="s">
        <v>3111</v>
      </c>
      <c r="P182" s="52" t="s">
        <v>171</v>
      </c>
      <c r="Q182" s="52" t="s">
        <v>3110</v>
      </c>
      <c r="R182" s="52" t="s">
        <v>3116</v>
      </c>
      <c r="S182" s="52" t="s">
        <v>789</v>
      </c>
      <c r="T182" s="52" t="s">
        <v>3849</v>
      </c>
      <c r="U182" s="52" t="s">
        <v>3850</v>
      </c>
      <c r="V182" s="52" t="s">
        <v>3117</v>
      </c>
      <c r="W182" s="52">
        <v>11287266886</v>
      </c>
      <c r="X182" s="52" t="s">
        <v>73</v>
      </c>
      <c r="Y182" s="52"/>
      <c r="Z182" s="52" t="s">
        <v>3696</v>
      </c>
      <c r="AA182" s="52" t="s">
        <v>3710</v>
      </c>
      <c r="AB182" s="52"/>
      <c r="AC182" s="52" t="s">
        <v>3703</v>
      </c>
      <c r="AD182" s="52" t="s">
        <v>3704</v>
      </c>
      <c r="AE182" s="52" t="s">
        <v>140</v>
      </c>
      <c r="AF182" s="52" t="s">
        <v>3851</v>
      </c>
      <c r="AG182" s="52" t="s">
        <v>3715</v>
      </c>
      <c r="AH182" s="52"/>
      <c r="AI182" s="52"/>
      <c r="AJ182" s="52"/>
      <c r="AK182" s="52"/>
      <c r="AL182" s="55">
        <v>0.11666666666666667</v>
      </c>
      <c r="AM182" s="52"/>
      <c r="AN182" s="52"/>
      <c r="AO182" s="55">
        <v>0.11666666666666667</v>
      </c>
      <c r="AP182" s="55">
        <v>0.11666666666666667</v>
      </c>
      <c r="AQ182" s="52"/>
      <c r="AR182" s="52"/>
      <c r="AS182" s="52" t="s">
        <v>3696</v>
      </c>
      <c r="AT182" s="52"/>
      <c r="AU182" s="52"/>
      <c r="AV182" s="52"/>
      <c r="AW182" s="52"/>
    </row>
    <row r="183" spans="1:49">
      <c r="A183" s="52">
        <v>6013916</v>
      </c>
      <c r="B183" s="52" t="s">
        <v>3723</v>
      </c>
      <c r="C183" s="52" t="s">
        <v>3698</v>
      </c>
      <c r="D183" s="53">
        <v>46154.25</v>
      </c>
      <c r="E183" s="53">
        <v>46153.586805555555</v>
      </c>
      <c r="F183" s="53">
        <v>46155.438194444447</v>
      </c>
      <c r="G183" s="53">
        <v>46156.791666666664</v>
      </c>
      <c r="H183" s="53">
        <v>46157.411805555559</v>
      </c>
      <c r="I183" s="52"/>
      <c r="J183" s="52" t="s">
        <v>3693</v>
      </c>
      <c r="K183" s="53">
        <v>46155.913194444445</v>
      </c>
      <c r="L183" s="52"/>
      <c r="M183" s="54">
        <v>1.3534722222222222</v>
      </c>
      <c r="N183" s="54">
        <v>3.0180555555555557</v>
      </c>
      <c r="O183" s="52" t="s">
        <v>3111</v>
      </c>
      <c r="P183" s="52" t="s">
        <v>171</v>
      </c>
      <c r="Q183" s="52" t="s">
        <v>3110</v>
      </c>
      <c r="R183" s="52" t="s">
        <v>3116</v>
      </c>
      <c r="S183" s="52" t="s">
        <v>789</v>
      </c>
      <c r="T183" s="52" t="s">
        <v>3849</v>
      </c>
      <c r="U183" s="52" t="s">
        <v>3850</v>
      </c>
      <c r="V183" s="52" t="s">
        <v>3117</v>
      </c>
      <c r="W183" s="52">
        <v>11287266886</v>
      </c>
      <c r="X183" s="52" t="s">
        <v>73</v>
      </c>
      <c r="Y183" s="52"/>
      <c r="Z183" s="52" t="s">
        <v>3696</v>
      </c>
      <c r="AA183" s="52" t="s">
        <v>3710</v>
      </c>
      <c r="AB183" s="52"/>
      <c r="AC183" s="52" t="s">
        <v>3703</v>
      </c>
      <c r="AD183" s="52" t="s">
        <v>3704</v>
      </c>
      <c r="AE183" s="52"/>
      <c r="AF183" s="52" t="s">
        <v>3851</v>
      </c>
      <c r="AG183" s="52" t="s">
        <v>3715</v>
      </c>
      <c r="AH183" s="52"/>
      <c r="AI183" s="52"/>
      <c r="AJ183" s="52"/>
      <c r="AK183" s="52"/>
      <c r="AL183" s="55">
        <v>0.11666666666666667</v>
      </c>
      <c r="AM183" s="52"/>
      <c r="AN183" s="52"/>
      <c r="AO183" s="55">
        <v>0.11666666666666667</v>
      </c>
      <c r="AP183" s="55">
        <v>0.11666666666666667</v>
      </c>
      <c r="AQ183" s="52"/>
      <c r="AR183" s="52"/>
      <c r="AS183" s="52" t="s">
        <v>3696</v>
      </c>
      <c r="AT183" s="52"/>
      <c r="AU183" s="52"/>
      <c r="AV183" s="52"/>
      <c r="AW183" s="52" t="s">
        <v>1493</v>
      </c>
    </row>
    <row r="184" spans="1:49">
      <c r="A184" s="52">
        <v>6013934</v>
      </c>
      <c r="B184" s="52" t="s">
        <v>3723</v>
      </c>
      <c r="C184" s="52" t="s">
        <v>3692</v>
      </c>
      <c r="D184" s="53">
        <v>46156.75</v>
      </c>
      <c r="E184" s="53">
        <v>46155.650694444441</v>
      </c>
      <c r="F184" s="53">
        <v>46156.638888888891</v>
      </c>
      <c r="G184" s="53">
        <v>46163.25</v>
      </c>
      <c r="H184" s="52"/>
      <c r="I184" s="52" t="s">
        <v>3693</v>
      </c>
      <c r="J184" s="52" t="s">
        <v>3693</v>
      </c>
      <c r="K184" s="53">
        <v>46159.591666666667</v>
      </c>
      <c r="L184" s="52"/>
      <c r="M184" s="54">
        <v>4.333333333333333</v>
      </c>
      <c r="N184" s="55">
        <v>0.46041666666666664</v>
      </c>
      <c r="O184" s="52"/>
      <c r="P184" s="52"/>
      <c r="Q184" s="52"/>
      <c r="R184" s="52"/>
      <c r="S184" s="52"/>
      <c r="T184" s="52" t="s">
        <v>3852</v>
      </c>
      <c r="U184" s="52" t="s">
        <v>3695</v>
      </c>
      <c r="V184" s="52"/>
      <c r="W184" s="52"/>
      <c r="X184" s="52"/>
      <c r="Y184" s="52"/>
      <c r="Z184" s="52" t="s">
        <v>3696</v>
      </c>
      <c r="AA184" s="52" t="s">
        <v>89</v>
      </c>
      <c r="AB184" s="52" t="s">
        <v>79</v>
      </c>
      <c r="AC184" s="52" t="s">
        <v>3720</v>
      </c>
      <c r="AD184" s="52" t="s">
        <v>3715</v>
      </c>
      <c r="AE184" s="52"/>
      <c r="AF184" s="52" t="s">
        <v>3814</v>
      </c>
      <c r="AG184" s="52" t="s">
        <v>3788</v>
      </c>
      <c r="AH184" s="52"/>
      <c r="AI184" s="52"/>
      <c r="AJ184" s="52"/>
      <c r="AK184" s="52"/>
      <c r="AL184" s="55">
        <v>0.61527777777777781</v>
      </c>
      <c r="AM184" s="52"/>
      <c r="AN184" s="52"/>
      <c r="AO184" s="52"/>
      <c r="AP184" s="52"/>
      <c r="AQ184" s="52"/>
      <c r="AR184" s="52"/>
      <c r="AS184" s="52">
        <v>0</v>
      </c>
      <c r="AT184" s="52"/>
      <c r="AU184" s="52"/>
      <c r="AV184" s="52" t="s">
        <v>2007</v>
      </c>
      <c r="AW184" s="52"/>
    </row>
    <row r="185" spans="1:49">
      <c r="A185" s="52">
        <v>6013934</v>
      </c>
      <c r="B185" s="52" t="s">
        <v>3723</v>
      </c>
      <c r="C185" s="52" t="s">
        <v>3698</v>
      </c>
      <c r="D185" s="53">
        <v>46156.75</v>
      </c>
      <c r="E185" s="53">
        <v>46155.650694444441</v>
      </c>
      <c r="F185" s="53">
        <v>46156.657638888886</v>
      </c>
      <c r="G185" s="53">
        <v>46163.25</v>
      </c>
      <c r="H185" s="52"/>
      <c r="I185" s="52"/>
      <c r="J185" s="52" t="s">
        <v>3693</v>
      </c>
      <c r="K185" s="53">
        <v>46159.591666666667</v>
      </c>
      <c r="L185" s="52"/>
      <c r="M185" s="54">
        <v>6.5923611111111109</v>
      </c>
      <c r="N185" s="54">
        <v>1.7986111111111112</v>
      </c>
      <c r="O185" s="52" t="s">
        <v>3853</v>
      </c>
      <c r="P185" s="52" t="s">
        <v>89</v>
      </c>
      <c r="Q185" s="52" t="s">
        <v>270</v>
      </c>
      <c r="R185" s="52" t="s">
        <v>278</v>
      </c>
      <c r="S185" s="52" t="s">
        <v>3756</v>
      </c>
      <c r="T185" s="52" t="s">
        <v>3852</v>
      </c>
      <c r="U185" s="52" t="s">
        <v>3695</v>
      </c>
      <c r="V185" s="52" t="s">
        <v>3854</v>
      </c>
      <c r="W185" s="52">
        <v>81933061987</v>
      </c>
      <c r="X185" s="52" t="s">
        <v>73</v>
      </c>
      <c r="Y185" s="52"/>
      <c r="Z185" s="52" t="s">
        <v>3696</v>
      </c>
      <c r="AA185" s="52" t="s">
        <v>3710</v>
      </c>
      <c r="AB185" s="52"/>
      <c r="AC185" s="52" t="s">
        <v>3720</v>
      </c>
      <c r="AD185" s="52" t="s">
        <v>3715</v>
      </c>
      <c r="AE185" s="52" t="s">
        <v>79</v>
      </c>
      <c r="AF185" s="52" t="s">
        <v>3814</v>
      </c>
      <c r="AG185" s="52" t="s">
        <v>3788</v>
      </c>
      <c r="AH185" s="52"/>
      <c r="AI185" s="53">
        <v>46156.794444444444</v>
      </c>
      <c r="AJ185" s="53">
        <v>46157.409722222219</v>
      </c>
      <c r="AK185" s="53">
        <v>46156.794444444444</v>
      </c>
      <c r="AL185" s="55">
        <v>0.61527777777777781</v>
      </c>
      <c r="AM185" s="52"/>
      <c r="AN185" s="55">
        <v>0.61527777777777781</v>
      </c>
      <c r="AO185" s="52"/>
      <c r="AP185" s="55">
        <v>0.61527777777777781</v>
      </c>
      <c r="AQ185" s="52"/>
      <c r="AR185" s="52"/>
      <c r="AS185" s="52" t="s">
        <v>3696</v>
      </c>
      <c r="AT185" s="52"/>
      <c r="AU185" s="52"/>
      <c r="AV185" s="52"/>
      <c r="AW185" s="52"/>
    </row>
    <row r="186" spans="1:49">
      <c r="A186" s="52">
        <v>6013934</v>
      </c>
      <c r="B186" s="52" t="s">
        <v>3723</v>
      </c>
      <c r="C186" s="52" t="s">
        <v>3698</v>
      </c>
      <c r="D186" s="53">
        <v>46156.75</v>
      </c>
      <c r="E186" s="53">
        <v>46155.650694444441</v>
      </c>
      <c r="F186" s="53">
        <v>46156.657638888886</v>
      </c>
      <c r="G186" s="53">
        <v>46163.25</v>
      </c>
      <c r="H186" s="52"/>
      <c r="I186" s="52"/>
      <c r="J186" s="52" t="s">
        <v>3693</v>
      </c>
      <c r="K186" s="53">
        <v>46159.591666666667</v>
      </c>
      <c r="L186" s="52"/>
      <c r="M186" s="54">
        <v>6.5923611111111109</v>
      </c>
      <c r="N186" s="54">
        <v>1.7986111111111112</v>
      </c>
      <c r="O186" s="52" t="s">
        <v>3853</v>
      </c>
      <c r="P186" s="52" t="s">
        <v>89</v>
      </c>
      <c r="Q186" s="52" t="s">
        <v>270</v>
      </c>
      <c r="R186" s="52" t="s">
        <v>278</v>
      </c>
      <c r="S186" s="52" t="s">
        <v>3756</v>
      </c>
      <c r="T186" s="52" t="s">
        <v>3852</v>
      </c>
      <c r="U186" s="52" t="s">
        <v>3695</v>
      </c>
      <c r="V186" s="52" t="s">
        <v>3854</v>
      </c>
      <c r="W186" s="52">
        <v>81933061987</v>
      </c>
      <c r="X186" s="52" t="s">
        <v>73</v>
      </c>
      <c r="Y186" s="52"/>
      <c r="Z186" s="52" t="s">
        <v>3696</v>
      </c>
      <c r="AA186" s="52" t="s">
        <v>3710</v>
      </c>
      <c r="AB186" s="52"/>
      <c r="AC186" s="52" t="s">
        <v>3720</v>
      </c>
      <c r="AD186" s="52" t="s">
        <v>3715</v>
      </c>
      <c r="AE186" s="52"/>
      <c r="AF186" s="52" t="s">
        <v>3814</v>
      </c>
      <c r="AG186" s="52" t="s">
        <v>3788</v>
      </c>
      <c r="AH186" s="52"/>
      <c r="AI186" s="53">
        <v>46156.794444444444</v>
      </c>
      <c r="AJ186" s="53">
        <v>46157.409722222219</v>
      </c>
      <c r="AK186" s="53">
        <v>46156.794444444444</v>
      </c>
      <c r="AL186" s="55">
        <v>0.61527777777777781</v>
      </c>
      <c r="AM186" s="52"/>
      <c r="AN186" s="55">
        <v>0.61527777777777781</v>
      </c>
      <c r="AO186" s="52"/>
      <c r="AP186" s="55">
        <v>0.61527777777777781</v>
      </c>
      <c r="AQ186" s="52"/>
      <c r="AR186" s="52"/>
      <c r="AS186" s="52" t="s">
        <v>3696</v>
      </c>
      <c r="AT186" s="52"/>
      <c r="AU186" s="52"/>
      <c r="AV186" s="52"/>
      <c r="AW186" s="52" t="s">
        <v>2007</v>
      </c>
    </row>
    <row r="187" spans="1:49">
      <c r="A187" s="52">
        <v>6013934</v>
      </c>
      <c r="B187" s="52" t="s">
        <v>3723</v>
      </c>
      <c r="C187" s="52" t="s">
        <v>3698</v>
      </c>
      <c r="D187" s="53">
        <v>46156.75</v>
      </c>
      <c r="E187" s="53">
        <v>46155.650694444441</v>
      </c>
      <c r="F187" s="53">
        <v>46157.662499999999</v>
      </c>
      <c r="G187" s="53">
        <v>46163.25</v>
      </c>
      <c r="H187" s="52"/>
      <c r="I187" s="52"/>
      <c r="J187" s="52" t="s">
        <v>3693</v>
      </c>
      <c r="K187" s="53">
        <v>46159.591666666667</v>
      </c>
      <c r="L187" s="52"/>
      <c r="M187" s="54">
        <v>5.5875000000000004</v>
      </c>
      <c r="N187" s="55">
        <v>0.79374999999999996</v>
      </c>
      <c r="O187" s="52" t="s">
        <v>3855</v>
      </c>
      <c r="P187" s="52" t="s">
        <v>89</v>
      </c>
      <c r="Q187" s="52" t="s">
        <v>589</v>
      </c>
      <c r="R187" s="52" t="s">
        <v>597</v>
      </c>
      <c r="S187" s="52" t="s">
        <v>3756</v>
      </c>
      <c r="T187" s="52" t="s">
        <v>3856</v>
      </c>
      <c r="U187" s="52" t="s">
        <v>3857</v>
      </c>
      <c r="V187" s="52" t="s">
        <v>598</v>
      </c>
      <c r="W187" s="52">
        <v>95993851015</v>
      </c>
      <c r="X187" s="52" t="s">
        <v>73</v>
      </c>
      <c r="Y187" s="52" t="s">
        <v>3826</v>
      </c>
      <c r="Z187" s="52" t="s">
        <v>3696</v>
      </c>
      <c r="AA187" s="52" t="s">
        <v>3710</v>
      </c>
      <c r="AB187" s="52"/>
      <c r="AC187" s="52" t="s">
        <v>3720</v>
      </c>
      <c r="AD187" s="52" t="s">
        <v>3715</v>
      </c>
      <c r="AE187" s="52" t="s">
        <v>79</v>
      </c>
      <c r="AF187" s="52" t="s">
        <v>3814</v>
      </c>
      <c r="AG187" s="52" t="s">
        <v>3788</v>
      </c>
      <c r="AH187" s="52"/>
      <c r="AI187" s="53">
        <v>46156.794444444444</v>
      </c>
      <c r="AJ187" s="53">
        <v>46157.409722222219</v>
      </c>
      <c r="AK187" s="53">
        <v>46156.794444444444</v>
      </c>
      <c r="AL187" s="55">
        <v>0.14583333333333334</v>
      </c>
      <c r="AM187" s="52"/>
      <c r="AN187" s="55">
        <v>0.61527777777777781</v>
      </c>
      <c r="AO187" s="52"/>
      <c r="AP187" s="55">
        <v>0.14583333333333334</v>
      </c>
      <c r="AQ187" s="52"/>
      <c r="AR187" s="52"/>
      <c r="AS187" s="52" t="s">
        <v>3696</v>
      </c>
      <c r="AT187" s="52"/>
      <c r="AU187" s="52"/>
      <c r="AV187" s="52"/>
      <c r="AW187" s="52"/>
    </row>
    <row r="188" spans="1:49">
      <c r="A188" s="52">
        <v>6013934</v>
      </c>
      <c r="B188" s="52" t="s">
        <v>3723</v>
      </c>
      <c r="C188" s="52" t="s">
        <v>3698</v>
      </c>
      <c r="D188" s="53">
        <v>46156.75</v>
      </c>
      <c r="E188" s="53">
        <v>46155.650694444441</v>
      </c>
      <c r="F188" s="53">
        <v>46157.662499999999</v>
      </c>
      <c r="G188" s="53">
        <v>46163.25</v>
      </c>
      <c r="H188" s="52"/>
      <c r="I188" s="52"/>
      <c r="J188" s="52" t="s">
        <v>3693</v>
      </c>
      <c r="K188" s="53">
        <v>46159.591666666667</v>
      </c>
      <c r="L188" s="52"/>
      <c r="M188" s="54">
        <v>5.5875000000000004</v>
      </c>
      <c r="N188" s="55">
        <v>0.79374999999999996</v>
      </c>
      <c r="O188" s="52" t="s">
        <v>3855</v>
      </c>
      <c r="P188" s="52" t="s">
        <v>89</v>
      </c>
      <c r="Q188" s="52" t="s">
        <v>589</v>
      </c>
      <c r="R188" s="52" t="s">
        <v>597</v>
      </c>
      <c r="S188" s="52" t="s">
        <v>3756</v>
      </c>
      <c r="T188" s="52" t="s">
        <v>3856</v>
      </c>
      <c r="U188" s="52" t="s">
        <v>3857</v>
      </c>
      <c r="V188" s="52" t="s">
        <v>598</v>
      </c>
      <c r="W188" s="52">
        <v>95993851015</v>
      </c>
      <c r="X188" s="52" t="s">
        <v>73</v>
      </c>
      <c r="Y188" s="52" t="s">
        <v>3826</v>
      </c>
      <c r="Z188" s="52" t="s">
        <v>3696</v>
      </c>
      <c r="AA188" s="52" t="s">
        <v>3710</v>
      </c>
      <c r="AB188" s="52"/>
      <c r="AC188" s="52" t="s">
        <v>3720</v>
      </c>
      <c r="AD188" s="52" t="s">
        <v>3715</v>
      </c>
      <c r="AE188" s="52"/>
      <c r="AF188" s="52" t="s">
        <v>3814</v>
      </c>
      <c r="AG188" s="52" t="s">
        <v>3788</v>
      </c>
      <c r="AH188" s="52"/>
      <c r="AI188" s="53">
        <v>46156.794444444444</v>
      </c>
      <c r="AJ188" s="53">
        <v>46157.409722222219</v>
      </c>
      <c r="AK188" s="53">
        <v>46156.794444444444</v>
      </c>
      <c r="AL188" s="55">
        <v>0.14583333333333334</v>
      </c>
      <c r="AM188" s="52"/>
      <c r="AN188" s="55">
        <v>0.61527777777777781</v>
      </c>
      <c r="AO188" s="52"/>
      <c r="AP188" s="55">
        <v>0.14583333333333334</v>
      </c>
      <c r="AQ188" s="52"/>
      <c r="AR188" s="52"/>
      <c r="AS188" s="52" t="s">
        <v>3696</v>
      </c>
      <c r="AT188" s="52"/>
      <c r="AU188" s="52"/>
      <c r="AV188" s="52"/>
      <c r="AW188" s="52" t="s">
        <v>2007</v>
      </c>
    </row>
    <row r="189" spans="1:49">
      <c r="A189" s="52">
        <v>6013942</v>
      </c>
      <c r="B189" s="52" t="s">
        <v>3699</v>
      </c>
      <c r="C189" s="52" t="s">
        <v>3692</v>
      </c>
      <c r="D189" s="53">
        <v>46156.666666666664</v>
      </c>
      <c r="E189" s="53">
        <v>46156.657638888886</v>
      </c>
      <c r="F189" s="53">
        <v>46156.695138888892</v>
      </c>
      <c r="G189" s="53">
        <v>46156.727083333331</v>
      </c>
      <c r="H189" s="53">
        <v>46156.747916666667</v>
      </c>
      <c r="I189" s="52" t="s">
        <v>3693</v>
      </c>
      <c r="J189" s="52" t="s">
        <v>3693</v>
      </c>
      <c r="K189" s="53">
        <v>46156.747916666667</v>
      </c>
      <c r="L189" s="52" t="s">
        <v>3700</v>
      </c>
      <c r="M189" s="55">
        <v>0.16666666666666666</v>
      </c>
      <c r="N189" s="54">
        <v>1.7895833333333333</v>
      </c>
      <c r="O189" s="52"/>
      <c r="P189" s="52"/>
      <c r="Q189" s="52"/>
      <c r="R189" s="52"/>
      <c r="S189" s="52"/>
      <c r="T189" s="52" t="s">
        <v>3858</v>
      </c>
      <c r="U189" s="52" t="s">
        <v>3859</v>
      </c>
      <c r="V189" s="52"/>
      <c r="W189" s="52"/>
      <c r="X189" s="52"/>
      <c r="Y189" s="52"/>
      <c r="Z189" s="52" t="s">
        <v>3696</v>
      </c>
      <c r="AA189" s="52" t="s">
        <v>227</v>
      </c>
      <c r="AB189" s="52" t="s">
        <v>2300</v>
      </c>
      <c r="AC189" s="52" t="s">
        <v>3703</v>
      </c>
      <c r="AD189" s="52" t="s">
        <v>3704</v>
      </c>
      <c r="AE189" s="52"/>
      <c r="AF189" s="52" t="s">
        <v>3860</v>
      </c>
      <c r="AG189" s="52" t="s">
        <v>3704</v>
      </c>
      <c r="AH189" s="52"/>
      <c r="AI189" s="52"/>
      <c r="AJ189" s="52"/>
      <c r="AK189" s="52"/>
      <c r="AL189" s="55">
        <v>4.1666666666666666E-3</v>
      </c>
      <c r="AM189" s="52"/>
      <c r="AN189" s="52"/>
      <c r="AO189" s="52"/>
      <c r="AP189" s="52"/>
      <c r="AQ189" s="52"/>
      <c r="AR189" s="52"/>
      <c r="AS189" s="52">
        <v>0</v>
      </c>
      <c r="AT189" s="52"/>
      <c r="AU189" s="52"/>
      <c r="AV189" s="52" t="s">
        <v>1740</v>
      </c>
      <c r="AW189" s="52"/>
    </row>
    <row r="190" spans="1:49">
      <c r="A190" s="52">
        <v>6013942</v>
      </c>
      <c r="B190" s="52" t="s">
        <v>3699</v>
      </c>
      <c r="C190" s="52" t="s">
        <v>3698</v>
      </c>
      <c r="D190" s="53">
        <v>46156.666666666664</v>
      </c>
      <c r="E190" s="53">
        <v>46156.657638888886</v>
      </c>
      <c r="F190" s="53">
        <v>46156.696527777778</v>
      </c>
      <c r="G190" s="53">
        <v>46156.727083333331</v>
      </c>
      <c r="H190" s="53">
        <v>46156.765972222223</v>
      </c>
      <c r="I190" s="52"/>
      <c r="J190" s="52" t="s">
        <v>3693</v>
      </c>
      <c r="K190" s="53">
        <v>46156.747916666667</v>
      </c>
      <c r="L190" s="52"/>
      <c r="M190" s="55">
        <v>3.0555555555555555E-2</v>
      </c>
      <c r="N190" s="54">
        <v>1.7597222222222222</v>
      </c>
      <c r="O190" s="52" t="s">
        <v>3458</v>
      </c>
      <c r="P190" s="52" t="s">
        <v>227</v>
      </c>
      <c r="Q190" s="52" t="s">
        <v>2233</v>
      </c>
      <c r="R190" s="52" t="s">
        <v>2539</v>
      </c>
      <c r="S190" s="52" t="s">
        <v>789</v>
      </c>
      <c r="T190" s="52" t="s">
        <v>3858</v>
      </c>
      <c r="U190" s="52" t="s">
        <v>3859</v>
      </c>
      <c r="V190" s="52" t="s">
        <v>2236</v>
      </c>
      <c r="W190" s="52">
        <v>6372863839</v>
      </c>
      <c r="X190" s="52" t="s">
        <v>2699</v>
      </c>
      <c r="Y190" s="52"/>
      <c r="Z190" s="52" t="s">
        <v>3696</v>
      </c>
      <c r="AA190" s="52" t="s">
        <v>3710</v>
      </c>
      <c r="AB190" s="52"/>
      <c r="AC190" s="52" t="s">
        <v>3703</v>
      </c>
      <c r="AD190" s="52" t="s">
        <v>3704</v>
      </c>
      <c r="AE190" s="52" t="s">
        <v>2300</v>
      </c>
      <c r="AF190" s="52" t="s">
        <v>3860</v>
      </c>
      <c r="AG190" s="52" t="s">
        <v>3704</v>
      </c>
      <c r="AH190" s="52"/>
      <c r="AI190" s="53">
        <v>46156.696527777778</v>
      </c>
      <c r="AJ190" s="53">
        <v>46156.700694444444</v>
      </c>
      <c r="AK190" s="53">
        <v>46156.696527777778</v>
      </c>
      <c r="AL190" s="55">
        <v>2.2222222222222223E-2</v>
      </c>
      <c r="AM190" s="52"/>
      <c r="AN190" s="55">
        <v>4.1666666666666666E-3</v>
      </c>
      <c r="AO190" s="55">
        <v>1.8055555555555554E-2</v>
      </c>
      <c r="AP190" s="55">
        <v>2.2222222222222223E-2</v>
      </c>
      <c r="AQ190" s="52"/>
      <c r="AR190" s="52"/>
      <c r="AS190" s="52" t="s">
        <v>3696</v>
      </c>
      <c r="AT190" s="52"/>
      <c r="AU190" s="52"/>
      <c r="AV190" s="52"/>
      <c r="AW190" s="52"/>
    </row>
    <row r="191" spans="1:49">
      <c r="A191" s="52">
        <v>6013942</v>
      </c>
      <c r="B191" s="52" t="s">
        <v>3699</v>
      </c>
      <c r="C191" s="52" t="s">
        <v>3698</v>
      </c>
      <c r="D191" s="53">
        <v>46156.666666666664</v>
      </c>
      <c r="E191" s="53">
        <v>46156.657638888886</v>
      </c>
      <c r="F191" s="53">
        <v>46156.696527777778</v>
      </c>
      <c r="G191" s="53">
        <v>46156.727083333331</v>
      </c>
      <c r="H191" s="53">
        <v>46156.765972222223</v>
      </c>
      <c r="I191" s="52"/>
      <c r="J191" s="52" t="s">
        <v>3693</v>
      </c>
      <c r="K191" s="53">
        <v>46156.747916666667</v>
      </c>
      <c r="L191" s="52"/>
      <c r="M191" s="55">
        <v>3.0555555555555555E-2</v>
      </c>
      <c r="N191" s="54">
        <v>1.7597222222222222</v>
      </c>
      <c r="O191" s="52" t="s">
        <v>3458</v>
      </c>
      <c r="P191" s="52" t="s">
        <v>227</v>
      </c>
      <c r="Q191" s="52" t="s">
        <v>2233</v>
      </c>
      <c r="R191" s="52" t="s">
        <v>2539</v>
      </c>
      <c r="S191" s="52" t="s">
        <v>789</v>
      </c>
      <c r="T191" s="52" t="s">
        <v>3858</v>
      </c>
      <c r="U191" s="52" t="s">
        <v>3859</v>
      </c>
      <c r="V191" s="52" t="s">
        <v>2236</v>
      </c>
      <c r="W191" s="52">
        <v>6372863839</v>
      </c>
      <c r="X191" s="52" t="s">
        <v>2699</v>
      </c>
      <c r="Y191" s="52"/>
      <c r="Z191" s="52" t="s">
        <v>3696</v>
      </c>
      <c r="AA191" s="52" t="s">
        <v>3710</v>
      </c>
      <c r="AB191" s="52"/>
      <c r="AC191" s="52" t="s">
        <v>3703</v>
      </c>
      <c r="AD191" s="52" t="s">
        <v>3704</v>
      </c>
      <c r="AE191" s="52"/>
      <c r="AF191" s="52" t="s">
        <v>3860</v>
      </c>
      <c r="AG191" s="52" t="s">
        <v>3704</v>
      </c>
      <c r="AH191" s="52"/>
      <c r="AI191" s="53">
        <v>46156.696527777778</v>
      </c>
      <c r="AJ191" s="53">
        <v>46156.700694444444</v>
      </c>
      <c r="AK191" s="53">
        <v>46156.696527777778</v>
      </c>
      <c r="AL191" s="55">
        <v>2.2222222222222223E-2</v>
      </c>
      <c r="AM191" s="52"/>
      <c r="AN191" s="55">
        <v>4.1666666666666666E-3</v>
      </c>
      <c r="AO191" s="55">
        <v>1.8055555555555554E-2</v>
      </c>
      <c r="AP191" s="55">
        <v>2.2222222222222223E-2</v>
      </c>
      <c r="AQ191" s="52"/>
      <c r="AR191" s="52"/>
      <c r="AS191" s="52" t="s">
        <v>3696</v>
      </c>
      <c r="AT191" s="52"/>
      <c r="AU191" s="52"/>
      <c r="AV191" s="52"/>
      <c r="AW191" s="52" t="s">
        <v>1740</v>
      </c>
    </row>
    <row r="192" spans="1:49">
      <c r="A192" s="52">
        <v>6013943</v>
      </c>
      <c r="B192" s="52" t="s">
        <v>3723</v>
      </c>
      <c r="C192" s="52" t="s">
        <v>3692</v>
      </c>
      <c r="D192" s="53">
        <v>46157.458333333336</v>
      </c>
      <c r="E192" s="53">
        <v>46156.68472222222</v>
      </c>
      <c r="F192" s="53">
        <v>46157.513888888891</v>
      </c>
      <c r="G192" s="53">
        <v>46162.291666666664</v>
      </c>
      <c r="H192" s="52"/>
      <c r="I192" s="52" t="s">
        <v>3693</v>
      </c>
      <c r="J192" s="52" t="s">
        <v>3693</v>
      </c>
      <c r="K192" s="53">
        <v>46158.17083333333</v>
      </c>
      <c r="L192" s="52"/>
      <c r="M192" s="55">
        <v>0.44236111111111109</v>
      </c>
      <c r="N192" s="54">
        <v>3.3930555555555557</v>
      </c>
      <c r="O192" s="52"/>
      <c r="P192" s="52"/>
      <c r="Q192" s="52"/>
      <c r="R192" s="52"/>
      <c r="S192" s="52"/>
      <c r="T192" s="52" t="s">
        <v>3861</v>
      </c>
      <c r="U192" s="52" t="s">
        <v>3862</v>
      </c>
      <c r="V192" s="52"/>
      <c r="W192" s="52"/>
      <c r="X192" s="52"/>
      <c r="Y192" s="52"/>
      <c r="Z192" s="52" t="s">
        <v>3696</v>
      </c>
      <c r="AA192" s="52" t="s">
        <v>227</v>
      </c>
      <c r="AB192" s="52" t="s">
        <v>79</v>
      </c>
      <c r="AC192" s="52" t="s">
        <v>3720</v>
      </c>
      <c r="AD192" s="52" t="s">
        <v>3715</v>
      </c>
      <c r="AE192" s="52"/>
      <c r="AF192" s="52" t="s">
        <v>3703</v>
      </c>
      <c r="AG192" s="52" t="s">
        <v>3704</v>
      </c>
      <c r="AH192" s="52"/>
      <c r="AI192" s="52"/>
      <c r="AJ192" s="52"/>
      <c r="AK192" s="52"/>
      <c r="AL192" s="55">
        <v>0.11666666666666667</v>
      </c>
      <c r="AM192" s="52"/>
      <c r="AN192" s="52"/>
      <c r="AO192" s="52"/>
      <c r="AP192" s="52"/>
      <c r="AQ192" s="52"/>
      <c r="AR192" s="52"/>
      <c r="AS192" s="52">
        <v>0</v>
      </c>
      <c r="AT192" s="52"/>
      <c r="AU192" s="52"/>
      <c r="AV192" s="52" t="s">
        <v>2300</v>
      </c>
      <c r="AW192" s="52"/>
    </row>
    <row r="193" spans="1:49">
      <c r="A193" s="52">
        <v>6013943</v>
      </c>
      <c r="B193" s="52" t="s">
        <v>3723</v>
      </c>
      <c r="C193" s="52" t="s">
        <v>3698</v>
      </c>
      <c r="D193" s="53">
        <v>46157.458333333336</v>
      </c>
      <c r="E193" s="53">
        <v>46156.68472222222</v>
      </c>
      <c r="F193" s="53">
        <v>46157.51458333333</v>
      </c>
      <c r="G193" s="53">
        <v>46162.291666666664</v>
      </c>
      <c r="H193" s="53">
        <v>46158.145833333336</v>
      </c>
      <c r="I193" s="52"/>
      <c r="J193" s="52" t="s">
        <v>3693</v>
      </c>
      <c r="K193" s="53">
        <v>46158.17083333333</v>
      </c>
      <c r="L193" s="52"/>
      <c r="M193" s="54">
        <v>4.7770833333333336</v>
      </c>
      <c r="N193" s="55">
        <v>0.94166666666666665</v>
      </c>
      <c r="O193" s="52" t="s">
        <v>3574</v>
      </c>
      <c r="P193" s="52" t="s">
        <v>227</v>
      </c>
      <c r="Q193" s="52" t="s">
        <v>1808</v>
      </c>
      <c r="R193" s="52" t="s">
        <v>1185</v>
      </c>
      <c r="S193" s="52" t="s">
        <v>789</v>
      </c>
      <c r="T193" s="52" t="s">
        <v>3861</v>
      </c>
      <c r="U193" s="52" t="s">
        <v>3862</v>
      </c>
      <c r="V193" s="52" t="s">
        <v>3863</v>
      </c>
      <c r="W193" s="52">
        <v>31273872886</v>
      </c>
      <c r="X193" s="52" t="s">
        <v>73</v>
      </c>
      <c r="Y193" s="52"/>
      <c r="Z193" s="52" t="s">
        <v>3696</v>
      </c>
      <c r="AA193" s="52" t="s">
        <v>3710</v>
      </c>
      <c r="AB193" s="52"/>
      <c r="AC193" s="52" t="s">
        <v>3720</v>
      </c>
      <c r="AD193" s="52" t="s">
        <v>3715</v>
      </c>
      <c r="AE193" s="52" t="s">
        <v>79</v>
      </c>
      <c r="AF193" s="52" t="s">
        <v>3703</v>
      </c>
      <c r="AG193" s="52" t="s">
        <v>3704</v>
      </c>
      <c r="AH193" s="52"/>
      <c r="AI193" s="53">
        <v>46157.51666666667</v>
      </c>
      <c r="AJ193" s="53">
        <v>46157.633333333331</v>
      </c>
      <c r="AK193" s="53">
        <v>46157.51666666667</v>
      </c>
      <c r="AL193" s="55">
        <v>0.11666666666666667</v>
      </c>
      <c r="AM193" s="52"/>
      <c r="AN193" s="55">
        <v>0.11666666666666667</v>
      </c>
      <c r="AO193" s="52"/>
      <c r="AP193" s="55">
        <v>0.11666666666666667</v>
      </c>
      <c r="AQ193" s="52"/>
      <c r="AR193" s="52"/>
      <c r="AS193" s="52" t="s">
        <v>3696</v>
      </c>
      <c r="AT193" s="52"/>
      <c r="AU193" s="52"/>
      <c r="AV193" s="52"/>
      <c r="AW193" s="52"/>
    </row>
    <row r="194" spans="1:49">
      <c r="A194" s="52">
        <v>6013943</v>
      </c>
      <c r="B194" s="52" t="s">
        <v>3723</v>
      </c>
      <c r="C194" s="52" t="s">
        <v>3698</v>
      </c>
      <c r="D194" s="53">
        <v>46157.458333333336</v>
      </c>
      <c r="E194" s="53">
        <v>46156.68472222222</v>
      </c>
      <c r="F194" s="53">
        <v>46157.51458333333</v>
      </c>
      <c r="G194" s="53">
        <v>46162.291666666664</v>
      </c>
      <c r="H194" s="53">
        <v>46158.145833333336</v>
      </c>
      <c r="I194" s="52"/>
      <c r="J194" s="52" t="s">
        <v>3693</v>
      </c>
      <c r="K194" s="53">
        <v>46158.17083333333</v>
      </c>
      <c r="L194" s="52"/>
      <c r="M194" s="54">
        <v>4.7770833333333336</v>
      </c>
      <c r="N194" s="55">
        <v>0.94166666666666665</v>
      </c>
      <c r="O194" s="52" t="s">
        <v>3574</v>
      </c>
      <c r="P194" s="52" t="s">
        <v>227</v>
      </c>
      <c r="Q194" s="52" t="s">
        <v>1808</v>
      </c>
      <c r="R194" s="52" t="s">
        <v>1185</v>
      </c>
      <c r="S194" s="52" t="s">
        <v>789</v>
      </c>
      <c r="T194" s="52" t="s">
        <v>3861</v>
      </c>
      <c r="U194" s="52" t="s">
        <v>3862</v>
      </c>
      <c r="V194" s="52" t="s">
        <v>3863</v>
      </c>
      <c r="W194" s="52">
        <v>31273872886</v>
      </c>
      <c r="X194" s="52" t="s">
        <v>73</v>
      </c>
      <c r="Y194" s="52"/>
      <c r="Z194" s="52" t="s">
        <v>3696</v>
      </c>
      <c r="AA194" s="52" t="s">
        <v>3710</v>
      </c>
      <c r="AB194" s="52"/>
      <c r="AC194" s="52" t="s">
        <v>3720</v>
      </c>
      <c r="AD194" s="52" t="s">
        <v>3715</v>
      </c>
      <c r="AE194" s="52"/>
      <c r="AF194" s="52" t="s">
        <v>3703</v>
      </c>
      <c r="AG194" s="52" t="s">
        <v>3704</v>
      </c>
      <c r="AH194" s="52"/>
      <c r="AI194" s="53">
        <v>46157.51666666667</v>
      </c>
      <c r="AJ194" s="53">
        <v>46157.633333333331</v>
      </c>
      <c r="AK194" s="53">
        <v>46157.51666666667</v>
      </c>
      <c r="AL194" s="55">
        <v>0.11666666666666667</v>
      </c>
      <c r="AM194" s="52"/>
      <c r="AN194" s="55">
        <v>0.11666666666666667</v>
      </c>
      <c r="AO194" s="52"/>
      <c r="AP194" s="55">
        <v>0.11666666666666667</v>
      </c>
      <c r="AQ194" s="52"/>
      <c r="AR194" s="52"/>
      <c r="AS194" s="52" t="s">
        <v>3696</v>
      </c>
      <c r="AT194" s="52"/>
      <c r="AU194" s="52"/>
      <c r="AV194" s="52"/>
      <c r="AW194" s="52" t="s">
        <v>2300</v>
      </c>
    </row>
    <row r="195" spans="1:49">
      <c r="A195" s="52">
        <v>6013977</v>
      </c>
      <c r="B195" s="52" t="s">
        <v>3699</v>
      </c>
      <c r="C195" s="52" t="s">
        <v>3692</v>
      </c>
      <c r="D195" s="53">
        <v>46155.583333333336</v>
      </c>
      <c r="E195" s="53">
        <v>46155.323611111111</v>
      </c>
      <c r="F195" s="53">
        <v>46155.674305555556</v>
      </c>
      <c r="G195" s="53">
        <v>46156.25</v>
      </c>
      <c r="H195" s="53">
        <v>46156.258333333331</v>
      </c>
      <c r="I195" s="52" t="s">
        <v>3693</v>
      </c>
      <c r="J195" s="52" t="s">
        <v>3693</v>
      </c>
      <c r="K195" s="53">
        <v>46156.258333333331</v>
      </c>
      <c r="L195" s="52" t="s">
        <v>3711</v>
      </c>
      <c r="M195" s="55">
        <v>0.14583333333333334</v>
      </c>
      <c r="N195" s="54">
        <v>2.3520833333333333</v>
      </c>
      <c r="O195" s="52"/>
      <c r="P195" s="52"/>
      <c r="Q195" s="52"/>
      <c r="R195" s="52"/>
      <c r="S195" s="52"/>
      <c r="T195" s="52" t="s">
        <v>3864</v>
      </c>
      <c r="U195" s="52" t="s">
        <v>3865</v>
      </c>
      <c r="V195" s="52"/>
      <c r="W195" s="52"/>
      <c r="X195" s="52"/>
      <c r="Y195" s="52"/>
      <c r="Z195" s="52" t="s">
        <v>3696</v>
      </c>
      <c r="AA195" s="52" t="s">
        <v>260</v>
      </c>
      <c r="AB195" s="52" t="s">
        <v>79</v>
      </c>
      <c r="AC195" s="52" t="s">
        <v>3720</v>
      </c>
      <c r="AD195" s="52" t="s">
        <v>3715</v>
      </c>
      <c r="AE195" s="52"/>
      <c r="AF195" s="52" t="s">
        <v>3714</v>
      </c>
      <c r="AG195" s="52" t="s">
        <v>3715</v>
      </c>
      <c r="AH195" s="52"/>
      <c r="AI195" s="52"/>
      <c r="AJ195" s="52"/>
      <c r="AK195" s="52"/>
      <c r="AL195" s="55">
        <v>3.4027777777777775E-2</v>
      </c>
      <c r="AM195" s="52"/>
      <c r="AN195" s="52"/>
      <c r="AO195" s="52"/>
      <c r="AP195" s="52"/>
      <c r="AQ195" s="52"/>
      <c r="AR195" s="52"/>
      <c r="AS195" s="52">
        <v>0</v>
      </c>
      <c r="AT195" s="52"/>
      <c r="AU195" s="52"/>
      <c r="AV195" s="52" t="s">
        <v>984</v>
      </c>
      <c r="AW195" s="52"/>
    </row>
    <row r="196" spans="1:49">
      <c r="A196" s="52">
        <v>6013977</v>
      </c>
      <c r="B196" s="52" t="s">
        <v>3699</v>
      </c>
      <c r="C196" s="52" t="s">
        <v>3698</v>
      </c>
      <c r="D196" s="53">
        <v>46155.583333333336</v>
      </c>
      <c r="E196" s="53">
        <v>46155.323611111111</v>
      </c>
      <c r="F196" s="53">
        <v>46155.695833333331</v>
      </c>
      <c r="G196" s="53">
        <v>46156.25</v>
      </c>
      <c r="H196" s="53">
        <v>46156.839583333334</v>
      </c>
      <c r="I196" s="52"/>
      <c r="J196" s="52" t="s">
        <v>3693</v>
      </c>
      <c r="K196" s="53">
        <v>46156.258333333331</v>
      </c>
      <c r="L196" s="52"/>
      <c r="M196" s="55">
        <v>0.5541666666666667</v>
      </c>
      <c r="N196" s="54">
        <v>2.7604166666666665</v>
      </c>
      <c r="O196" s="52" t="s">
        <v>3235</v>
      </c>
      <c r="P196" s="52" t="s">
        <v>260</v>
      </c>
      <c r="Q196" s="52" t="s">
        <v>3234</v>
      </c>
      <c r="R196" s="52" t="s">
        <v>3237</v>
      </c>
      <c r="S196" s="52" t="s">
        <v>789</v>
      </c>
      <c r="T196" s="52" t="s">
        <v>3864</v>
      </c>
      <c r="U196" s="52" t="s">
        <v>3865</v>
      </c>
      <c r="V196" s="52" t="s">
        <v>3238</v>
      </c>
      <c r="W196" s="52">
        <v>2125699966</v>
      </c>
      <c r="X196" s="52" t="s">
        <v>73</v>
      </c>
      <c r="Y196" s="52"/>
      <c r="Z196" s="52" t="s">
        <v>3696</v>
      </c>
      <c r="AA196" s="52" t="s">
        <v>3710</v>
      </c>
      <c r="AB196" s="52"/>
      <c r="AC196" s="52" t="s">
        <v>3720</v>
      </c>
      <c r="AD196" s="52" t="s">
        <v>3715</v>
      </c>
      <c r="AE196" s="52" t="s">
        <v>79</v>
      </c>
      <c r="AF196" s="52" t="s">
        <v>3714</v>
      </c>
      <c r="AG196" s="52" t="s">
        <v>3715</v>
      </c>
      <c r="AH196" s="52"/>
      <c r="AI196" s="53">
        <v>46155.933333333334</v>
      </c>
      <c r="AJ196" s="53">
        <v>46155.967361111114</v>
      </c>
      <c r="AK196" s="53">
        <v>46155.933333333334</v>
      </c>
      <c r="AL196" s="55">
        <v>0.61527777777777781</v>
      </c>
      <c r="AM196" s="52"/>
      <c r="AN196" s="55">
        <v>3.4027777777777775E-2</v>
      </c>
      <c r="AO196" s="55">
        <v>0.58125000000000004</v>
      </c>
      <c r="AP196" s="55">
        <v>0.61527777777777781</v>
      </c>
      <c r="AQ196" s="52"/>
      <c r="AR196" s="52"/>
      <c r="AS196" s="52" t="s">
        <v>3696</v>
      </c>
      <c r="AT196" s="52"/>
      <c r="AU196" s="52"/>
      <c r="AV196" s="52"/>
      <c r="AW196" s="52"/>
    </row>
    <row r="197" spans="1:49">
      <c r="A197" s="52">
        <v>6013977</v>
      </c>
      <c r="B197" s="52" t="s">
        <v>3699</v>
      </c>
      <c r="C197" s="52" t="s">
        <v>3698</v>
      </c>
      <c r="D197" s="53">
        <v>46155.583333333336</v>
      </c>
      <c r="E197" s="53">
        <v>46155.323611111111</v>
      </c>
      <c r="F197" s="53">
        <v>46155.695833333331</v>
      </c>
      <c r="G197" s="53">
        <v>46156.25</v>
      </c>
      <c r="H197" s="53">
        <v>46156.839583333334</v>
      </c>
      <c r="I197" s="52"/>
      <c r="J197" s="52" t="s">
        <v>3693</v>
      </c>
      <c r="K197" s="53">
        <v>46156.258333333331</v>
      </c>
      <c r="L197" s="52"/>
      <c r="M197" s="55">
        <v>0.5541666666666667</v>
      </c>
      <c r="N197" s="54">
        <v>2.7604166666666665</v>
      </c>
      <c r="O197" s="52" t="s">
        <v>3235</v>
      </c>
      <c r="P197" s="52" t="s">
        <v>260</v>
      </c>
      <c r="Q197" s="52" t="s">
        <v>3234</v>
      </c>
      <c r="R197" s="52" t="s">
        <v>3237</v>
      </c>
      <c r="S197" s="52" t="s">
        <v>789</v>
      </c>
      <c r="T197" s="52" t="s">
        <v>3864</v>
      </c>
      <c r="U197" s="52" t="s">
        <v>3865</v>
      </c>
      <c r="V197" s="52" t="s">
        <v>3238</v>
      </c>
      <c r="W197" s="52">
        <v>2125699966</v>
      </c>
      <c r="X197" s="52" t="s">
        <v>73</v>
      </c>
      <c r="Y197" s="52"/>
      <c r="Z197" s="52" t="s">
        <v>3696</v>
      </c>
      <c r="AA197" s="52" t="s">
        <v>3710</v>
      </c>
      <c r="AB197" s="52"/>
      <c r="AC197" s="52" t="s">
        <v>3720</v>
      </c>
      <c r="AD197" s="52" t="s">
        <v>3715</v>
      </c>
      <c r="AE197" s="52"/>
      <c r="AF197" s="52" t="s">
        <v>3714</v>
      </c>
      <c r="AG197" s="52" t="s">
        <v>3715</v>
      </c>
      <c r="AH197" s="52"/>
      <c r="AI197" s="53">
        <v>46155.933333333334</v>
      </c>
      <c r="AJ197" s="53">
        <v>46155.967361111114</v>
      </c>
      <c r="AK197" s="53">
        <v>46155.933333333334</v>
      </c>
      <c r="AL197" s="55">
        <v>0.61527777777777781</v>
      </c>
      <c r="AM197" s="52"/>
      <c r="AN197" s="55">
        <v>3.4027777777777775E-2</v>
      </c>
      <c r="AO197" s="55">
        <v>0.58125000000000004</v>
      </c>
      <c r="AP197" s="55">
        <v>0.61527777777777781</v>
      </c>
      <c r="AQ197" s="52"/>
      <c r="AR197" s="52"/>
      <c r="AS197" s="52" t="s">
        <v>3696</v>
      </c>
      <c r="AT197" s="52"/>
      <c r="AU197" s="52"/>
      <c r="AV197" s="52"/>
      <c r="AW197" s="52" t="s">
        <v>984</v>
      </c>
    </row>
    <row r="198" spans="1:49">
      <c r="A198" s="52">
        <v>6013978</v>
      </c>
      <c r="B198" s="52" t="s">
        <v>3866</v>
      </c>
      <c r="C198" s="52" t="s">
        <v>3692</v>
      </c>
      <c r="D198" s="53">
        <v>46155.625</v>
      </c>
      <c r="E198" s="53">
        <v>46155.323611111111</v>
      </c>
      <c r="F198" s="52"/>
      <c r="G198" s="52"/>
      <c r="H198" s="52"/>
      <c r="I198" s="52" t="s">
        <v>3693</v>
      </c>
      <c r="J198" s="52" t="s">
        <v>3694</v>
      </c>
      <c r="K198" s="52"/>
      <c r="L198" s="52"/>
      <c r="M198" s="55">
        <v>0.14583333333333334</v>
      </c>
      <c r="N198" s="54">
        <v>2.3520833333333333</v>
      </c>
      <c r="O198" s="52"/>
      <c r="P198" s="52"/>
      <c r="Q198" s="52"/>
      <c r="R198" s="52"/>
      <c r="S198" s="52"/>
      <c r="T198" s="52" t="s">
        <v>3695</v>
      </c>
      <c r="U198" s="52" t="s">
        <v>3695</v>
      </c>
      <c r="V198" s="52"/>
      <c r="W198" s="52"/>
      <c r="X198" s="52"/>
      <c r="Y198" s="52"/>
      <c r="Z198" s="52" t="s">
        <v>3696</v>
      </c>
      <c r="AA198" s="52" t="s">
        <v>282</v>
      </c>
      <c r="AB198" s="52" t="s">
        <v>79</v>
      </c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>
        <v>0</v>
      </c>
      <c r="AT198" s="52"/>
      <c r="AU198" s="52"/>
      <c r="AV198" s="52" t="s">
        <v>984</v>
      </c>
      <c r="AW198" s="52"/>
    </row>
    <row r="199" spans="1:49">
      <c r="A199" s="52">
        <v>6013978</v>
      </c>
      <c r="B199" s="52" t="s">
        <v>3866</v>
      </c>
      <c r="C199" s="52" t="s">
        <v>3698</v>
      </c>
      <c r="D199" s="53">
        <v>46155.625</v>
      </c>
      <c r="E199" s="53">
        <v>46155.323611111111</v>
      </c>
      <c r="F199" s="52"/>
      <c r="G199" s="52"/>
      <c r="H199" s="52"/>
      <c r="I199" s="52"/>
      <c r="J199" s="52" t="s">
        <v>3694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 t="s">
        <v>3696</v>
      </c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>
        <v>0</v>
      </c>
      <c r="AT199" s="52"/>
      <c r="AU199" s="52"/>
      <c r="AV199" s="52"/>
      <c r="AW199" s="52"/>
    </row>
    <row r="200" spans="1:49">
      <c r="A200" s="52">
        <v>6013979</v>
      </c>
      <c r="B200" s="52" t="s">
        <v>3691</v>
      </c>
      <c r="C200" s="52" t="s">
        <v>3692</v>
      </c>
      <c r="D200" s="53">
        <v>46160.5625</v>
      </c>
      <c r="E200" s="53">
        <v>46157.709027777775</v>
      </c>
      <c r="F200" s="52"/>
      <c r="G200" s="52"/>
      <c r="H200" s="52"/>
      <c r="I200" s="52" t="s">
        <v>3693</v>
      </c>
      <c r="J200" s="52" t="s">
        <v>3694</v>
      </c>
      <c r="K200" s="52"/>
      <c r="L200" s="52"/>
      <c r="M200" s="55">
        <v>0.14583333333333334</v>
      </c>
      <c r="N200" s="54">
        <v>2.6479166666666667</v>
      </c>
      <c r="O200" s="52"/>
      <c r="P200" s="52"/>
      <c r="Q200" s="52"/>
      <c r="R200" s="52"/>
      <c r="S200" s="52"/>
      <c r="T200" s="52" t="s">
        <v>3695</v>
      </c>
      <c r="U200" s="52" t="s">
        <v>3695</v>
      </c>
      <c r="V200" s="52"/>
      <c r="W200" s="52"/>
      <c r="X200" s="52"/>
      <c r="Y200" s="52"/>
      <c r="Z200" s="52" t="s">
        <v>3696</v>
      </c>
      <c r="AA200" s="52" t="s">
        <v>440</v>
      </c>
      <c r="AB200" s="52" t="s">
        <v>79</v>
      </c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>
        <v>0</v>
      </c>
      <c r="AT200" s="52"/>
      <c r="AU200" s="52"/>
      <c r="AV200" s="52" t="s">
        <v>984</v>
      </c>
      <c r="AW200" s="52"/>
    </row>
    <row r="201" spans="1:49">
      <c r="A201" s="52">
        <v>6013979</v>
      </c>
      <c r="B201" s="52" t="s">
        <v>3691</v>
      </c>
      <c r="C201" s="52" t="s">
        <v>3698</v>
      </c>
      <c r="D201" s="53">
        <v>46160.5625</v>
      </c>
      <c r="E201" s="53">
        <v>46157.709027777775</v>
      </c>
      <c r="F201" s="52"/>
      <c r="G201" s="52"/>
      <c r="H201" s="52"/>
      <c r="I201" s="52"/>
      <c r="J201" s="52" t="s">
        <v>3694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 t="s">
        <v>3696</v>
      </c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>
        <v>0</v>
      </c>
      <c r="AT201" s="52"/>
      <c r="AU201" s="52"/>
      <c r="AV201" s="52"/>
      <c r="AW201" s="52"/>
    </row>
    <row r="202" spans="1:49">
      <c r="A202" s="52">
        <v>6013980</v>
      </c>
      <c r="B202" s="52" t="s">
        <v>3723</v>
      </c>
      <c r="C202" s="52" t="s">
        <v>3692</v>
      </c>
      <c r="D202" s="53">
        <v>46154.916666666664</v>
      </c>
      <c r="E202" s="53">
        <v>46153.586805555555</v>
      </c>
      <c r="F202" s="53">
        <v>46154.601388888892</v>
      </c>
      <c r="G202" s="53">
        <v>46156.25</v>
      </c>
      <c r="H202" s="53">
        <v>46155.663888888892</v>
      </c>
      <c r="I202" s="52" t="s">
        <v>3693</v>
      </c>
      <c r="J202" s="52" t="s">
        <v>3693</v>
      </c>
      <c r="K202" s="53">
        <v>46155.663888888892</v>
      </c>
      <c r="L202" s="52" t="s">
        <v>3735</v>
      </c>
      <c r="M202" s="55">
        <v>0.89166666666666672</v>
      </c>
      <c r="N202" s="54">
        <v>3.0979166666666669</v>
      </c>
      <c r="O202" s="52"/>
      <c r="P202" s="52"/>
      <c r="Q202" s="52"/>
      <c r="R202" s="52"/>
      <c r="S202" s="52"/>
      <c r="T202" s="52" t="s">
        <v>3695</v>
      </c>
      <c r="U202" s="52" t="s">
        <v>3867</v>
      </c>
      <c r="V202" s="52"/>
      <c r="W202" s="52"/>
      <c r="X202" s="52"/>
      <c r="Y202" s="52"/>
      <c r="Z202" s="52" t="s">
        <v>3696</v>
      </c>
      <c r="AA202" s="52" t="s">
        <v>3050</v>
      </c>
      <c r="AB202" s="52" t="s">
        <v>140</v>
      </c>
      <c r="AC202" s="52" t="s">
        <v>3703</v>
      </c>
      <c r="AD202" s="52" t="s">
        <v>3704</v>
      </c>
      <c r="AE202" s="52"/>
      <c r="AF202" s="52" t="s">
        <v>3714</v>
      </c>
      <c r="AG202" s="52" t="s">
        <v>3715</v>
      </c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>
        <v>0</v>
      </c>
      <c r="AT202" s="52"/>
      <c r="AU202" s="52"/>
      <c r="AV202" s="52" t="s">
        <v>984</v>
      </c>
      <c r="AW202" s="52"/>
    </row>
    <row r="203" spans="1:49">
      <c r="A203" s="52">
        <v>6013980</v>
      </c>
      <c r="B203" s="52" t="s">
        <v>3723</v>
      </c>
      <c r="C203" s="52" t="s">
        <v>3698</v>
      </c>
      <c r="D203" s="53">
        <v>46154.916666666664</v>
      </c>
      <c r="E203" s="53">
        <v>46153.586805555555</v>
      </c>
      <c r="F203" s="53">
        <v>46155.24722222222</v>
      </c>
      <c r="G203" s="53">
        <v>46156.25</v>
      </c>
      <c r="H203" s="53">
        <v>46156.438888888886</v>
      </c>
      <c r="I203" s="52"/>
      <c r="J203" s="52" t="s">
        <v>3693</v>
      </c>
      <c r="K203" s="53">
        <v>46155.663888888892</v>
      </c>
      <c r="L203" s="52"/>
      <c r="M203" s="54">
        <v>1.0027777777777778</v>
      </c>
      <c r="N203" s="54">
        <v>3.2090277777777776</v>
      </c>
      <c r="O203" s="52" t="s">
        <v>3049</v>
      </c>
      <c r="P203" s="52" t="s">
        <v>3050</v>
      </c>
      <c r="Q203" s="52" t="s">
        <v>3048</v>
      </c>
      <c r="R203" s="52"/>
      <c r="S203" s="52" t="s">
        <v>789</v>
      </c>
      <c r="T203" s="52" t="s">
        <v>3695</v>
      </c>
      <c r="U203" s="52" t="s">
        <v>3867</v>
      </c>
      <c r="V203" s="52" t="s">
        <v>3052</v>
      </c>
      <c r="W203" s="52">
        <v>5208438194</v>
      </c>
      <c r="X203" s="52" t="s">
        <v>73</v>
      </c>
      <c r="Y203" s="52"/>
      <c r="Z203" s="52" t="s">
        <v>3696</v>
      </c>
      <c r="AA203" s="52" t="s">
        <v>3710</v>
      </c>
      <c r="AB203" s="52"/>
      <c r="AC203" s="52" t="s">
        <v>3703</v>
      </c>
      <c r="AD203" s="52" t="s">
        <v>3704</v>
      </c>
      <c r="AE203" s="52" t="s">
        <v>140</v>
      </c>
      <c r="AF203" s="52" t="s">
        <v>3714</v>
      </c>
      <c r="AG203" s="52" t="s">
        <v>3715</v>
      </c>
      <c r="AH203" s="52"/>
      <c r="AI203" s="52"/>
      <c r="AJ203" s="52"/>
      <c r="AK203" s="52"/>
      <c r="AL203" s="55">
        <v>0.73819444444444449</v>
      </c>
      <c r="AM203" s="52"/>
      <c r="AN203" s="52"/>
      <c r="AO203" s="55">
        <v>0.73819444444444449</v>
      </c>
      <c r="AP203" s="55">
        <v>0.73819444444444449</v>
      </c>
      <c r="AQ203" s="52"/>
      <c r="AR203" s="52"/>
      <c r="AS203" s="52" t="s">
        <v>3696</v>
      </c>
      <c r="AT203" s="52"/>
      <c r="AU203" s="52"/>
      <c r="AV203" s="52"/>
      <c r="AW203" s="52"/>
    </row>
    <row r="204" spans="1:49">
      <c r="A204" s="52">
        <v>6013980</v>
      </c>
      <c r="B204" s="52" t="s">
        <v>3723</v>
      </c>
      <c r="C204" s="52" t="s">
        <v>3698</v>
      </c>
      <c r="D204" s="53">
        <v>46154.916666666664</v>
      </c>
      <c r="E204" s="53">
        <v>46153.586805555555</v>
      </c>
      <c r="F204" s="53">
        <v>46155.24722222222</v>
      </c>
      <c r="G204" s="53">
        <v>46156.25</v>
      </c>
      <c r="H204" s="53">
        <v>46156.438888888886</v>
      </c>
      <c r="I204" s="52"/>
      <c r="J204" s="52" t="s">
        <v>3693</v>
      </c>
      <c r="K204" s="53">
        <v>46155.663888888892</v>
      </c>
      <c r="L204" s="52"/>
      <c r="M204" s="54">
        <v>1.0027777777777778</v>
      </c>
      <c r="N204" s="54">
        <v>3.2090277777777776</v>
      </c>
      <c r="O204" s="52" t="s">
        <v>3049</v>
      </c>
      <c r="P204" s="52" t="s">
        <v>3050</v>
      </c>
      <c r="Q204" s="52" t="s">
        <v>3048</v>
      </c>
      <c r="R204" s="52"/>
      <c r="S204" s="52" t="s">
        <v>789</v>
      </c>
      <c r="T204" s="52" t="s">
        <v>3695</v>
      </c>
      <c r="U204" s="52" t="s">
        <v>3867</v>
      </c>
      <c r="V204" s="52" t="s">
        <v>3052</v>
      </c>
      <c r="W204" s="52">
        <v>5208438194</v>
      </c>
      <c r="X204" s="52" t="s">
        <v>73</v>
      </c>
      <c r="Y204" s="52"/>
      <c r="Z204" s="52" t="s">
        <v>3696</v>
      </c>
      <c r="AA204" s="52" t="s">
        <v>3710</v>
      </c>
      <c r="AB204" s="52"/>
      <c r="AC204" s="52" t="s">
        <v>3703</v>
      </c>
      <c r="AD204" s="52" t="s">
        <v>3704</v>
      </c>
      <c r="AE204" s="52"/>
      <c r="AF204" s="52" t="s">
        <v>3714</v>
      </c>
      <c r="AG204" s="52" t="s">
        <v>3715</v>
      </c>
      <c r="AH204" s="52"/>
      <c r="AI204" s="52"/>
      <c r="AJ204" s="52"/>
      <c r="AK204" s="52"/>
      <c r="AL204" s="55">
        <v>0.73819444444444449</v>
      </c>
      <c r="AM204" s="52"/>
      <c r="AN204" s="52"/>
      <c r="AO204" s="55">
        <v>0.73819444444444449</v>
      </c>
      <c r="AP204" s="55">
        <v>0.73819444444444449</v>
      </c>
      <c r="AQ204" s="52"/>
      <c r="AR204" s="52"/>
      <c r="AS204" s="52" t="s">
        <v>3696</v>
      </c>
      <c r="AT204" s="52"/>
      <c r="AU204" s="52"/>
      <c r="AV204" s="52"/>
      <c r="AW204" s="52" t="s">
        <v>984</v>
      </c>
    </row>
    <row r="205" spans="1:49">
      <c r="A205" s="52">
        <v>6013985</v>
      </c>
      <c r="B205" s="52" t="s">
        <v>3723</v>
      </c>
      <c r="C205" s="52" t="s">
        <v>3692</v>
      </c>
      <c r="D205" s="53">
        <v>46155.25</v>
      </c>
      <c r="E205" s="53">
        <v>46155.026388888888</v>
      </c>
      <c r="F205" s="53">
        <v>46155.696527777778</v>
      </c>
      <c r="G205" s="53">
        <v>46157.958333333336</v>
      </c>
      <c r="H205" s="53">
        <v>46156.92083333333</v>
      </c>
      <c r="I205" s="52" t="s">
        <v>3693</v>
      </c>
      <c r="J205" s="52" t="s">
        <v>3693</v>
      </c>
      <c r="K205" s="53">
        <v>46156.92083333333</v>
      </c>
      <c r="L205" s="52" t="s">
        <v>3735</v>
      </c>
      <c r="M205" s="54">
        <v>2.7083333333333335</v>
      </c>
      <c r="N205" s="54">
        <v>3.2062499999999998</v>
      </c>
      <c r="O205" s="52"/>
      <c r="P205" s="52"/>
      <c r="Q205" s="52"/>
      <c r="R205" s="52"/>
      <c r="S205" s="52"/>
      <c r="T205" s="52" t="s">
        <v>3868</v>
      </c>
      <c r="U205" s="52" t="s">
        <v>3869</v>
      </c>
      <c r="V205" s="52"/>
      <c r="W205" s="52"/>
      <c r="X205" s="52"/>
      <c r="Y205" s="52"/>
      <c r="Z205" s="52" t="s">
        <v>3696</v>
      </c>
      <c r="AA205" s="52" t="s">
        <v>227</v>
      </c>
      <c r="AB205" s="52" t="s">
        <v>140</v>
      </c>
      <c r="AC205" s="52" t="s">
        <v>3703</v>
      </c>
      <c r="AD205" s="52" t="s">
        <v>3704</v>
      </c>
      <c r="AE205" s="52"/>
      <c r="AF205" s="52" t="s">
        <v>3714</v>
      </c>
      <c r="AG205" s="52" t="s">
        <v>3715</v>
      </c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>
        <v>0</v>
      </c>
      <c r="AT205" s="52"/>
      <c r="AU205" s="52"/>
      <c r="AV205" s="52" t="s">
        <v>984</v>
      </c>
      <c r="AW205" s="52"/>
    </row>
    <row r="206" spans="1:49">
      <c r="A206" s="52">
        <v>6013985</v>
      </c>
      <c r="B206" s="52" t="s">
        <v>3723</v>
      </c>
      <c r="C206" s="52" t="s">
        <v>3698</v>
      </c>
      <c r="D206" s="53">
        <v>46155.25</v>
      </c>
      <c r="E206" s="53">
        <v>46155.026388888888</v>
      </c>
      <c r="F206" s="53">
        <v>46155.701388888891</v>
      </c>
      <c r="G206" s="53">
        <v>46157.958333333336</v>
      </c>
      <c r="H206" s="53">
        <v>46157.620833333334</v>
      </c>
      <c r="I206" s="52"/>
      <c r="J206" s="52" t="s">
        <v>3693</v>
      </c>
      <c r="K206" s="53">
        <v>46156.92083333333</v>
      </c>
      <c r="L206" s="52"/>
      <c r="M206" s="54">
        <v>2.2569444444444446</v>
      </c>
      <c r="N206" s="54">
        <v>2.754861111111111</v>
      </c>
      <c r="O206" s="52" t="s">
        <v>3245</v>
      </c>
      <c r="P206" s="52" t="s">
        <v>227</v>
      </c>
      <c r="Q206" s="52" t="s">
        <v>543</v>
      </c>
      <c r="R206" s="52" t="s">
        <v>548</v>
      </c>
      <c r="S206" s="52" t="s">
        <v>789</v>
      </c>
      <c r="T206" s="52" t="s">
        <v>3868</v>
      </c>
      <c r="U206" s="52" t="s">
        <v>3869</v>
      </c>
      <c r="V206" s="52" t="s">
        <v>549</v>
      </c>
      <c r="W206" s="52">
        <v>57106819972</v>
      </c>
      <c r="X206" s="52" t="s">
        <v>73</v>
      </c>
      <c r="Y206" s="52"/>
      <c r="Z206" s="52" t="s">
        <v>3696</v>
      </c>
      <c r="AA206" s="52" t="s">
        <v>3710</v>
      </c>
      <c r="AB206" s="52"/>
      <c r="AC206" s="52" t="s">
        <v>3703</v>
      </c>
      <c r="AD206" s="52" t="s">
        <v>3704</v>
      </c>
      <c r="AE206" s="52" t="s">
        <v>140</v>
      </c>
      <c r="AF206" s="52" t="s">
        <v>3714</v>
      </c>
      <c r="AG206" s="52" t="s">
        <v>3715</v>
      </c>
      <c r="AH206" s="52"/>
      <c r="AI206" s="52"/>
      <c r="AJ206" s="52"/>
      <c r="AK206" s="52"/>
      <c r="AL206" s="54">
        <v>1.4</v>
      </c>
      <c r="AM206" s="52"/>
      <c r="AN206" s="52"/>
      <c r="AO206" s="55">
        <v>0.7</v>
      </c>
      <c r="AP206" s="54">
        <v>1.4</v>
      </c>
      <c r="AQ206" s="52"/>
      <c r="AR206" s="52"/>
      <c r="AS206" s="52" t="s">
        <v>3696</v>
      </c>
      <c r="AT206" s="52"/>
      <c r="AU206" s="52"/>
      <c r="AV206" s="52"/>
      <c r="AW206" s="52"/>
    </row>
    <row r="207" spans="1:49">
      <c r="A207" s="52">
        <v>6013985</v>
      </c>
      <c r="B207" s="52" t="s">
        <v>3723</v>
      </c>
      <c r="C207" s="52" t="s">
        <v>3698</v>
      </c>
      <c r="D207" s="53">
        <v>46155.25</v>
      </c>
      <c r="E207" s="53">
        <v>46155.026388888888</v>
      </c>
      <c r="F207" s="53">
        <v>46155.701388888891</v>
      </c>
      <c r="G207" s="53">
        <v>46157.958333333336</v>
      </c>
      <c r="H207" s="53">
        <v>46157.620833333334</v>
      </c>
      <c r="I207" s="52"/>
      <c r="J207" s="52" t="s">
        <v>3693</v>
      </c>
      <c r="K207" s="53">
        <v>46156.92083333333</v>
      </c>
      <c r="L207" s="52"/>
      <c r="M207" s="54">
        <v>2.2569444444444446</v>
      </c>
      <c r="N207" s="54">
        <v>2.754861111111111</v>
      </c>
      <c r="O207" s="52" t="s">
        <v>3245</v>
      </c>
      <c r="P207" s="52" t="s">
        <v>227</v>
      </c>
      <c r="Q207" s="52" t="s">
        <v>543</v>
      </c>
      <c r="R207" s="52" t="s">
        <v>548</v>
      </c>
      <c r="S207" s="52" t="s">
        <v>789</v>
      </c>
      <c r="T207" s="52" t="s">
        <v>3868</v>
      </c>
      <c r="U207" s="52" t="s">
        <v>3869</v>
      </c>
      <c r="V207" s="52" t="s">
        <v>549</v>
      </c>
      <c r="W207" s="52">
        <v>57106819972</v>
      </c>
      <c r="X207" s="52" t="s">
        <v>73</v>
      </c>
      <c r="Y207" s="52"/>
      <c r="Z207" s="52" t="s">
        <v>3696</v>
      </c>
      <c r="AA207" s="52" t="s">
        <v>3710</v>
      </c>
      <c r="AB207" s="52"/>
      <c r="AC207" s="52" t="s">
        <v>3703</v>
      </c>
      <c r="AD207" s="52" t="s">
        <v>3704</v>
      </c>
      <c r="AE207" s="52"/>
      <c r="AF207" s="52" t="s">
        <v>3714</v>
      </c>
      <c r="AG207" s="52" t="s">
        <v>3715</v>
      </c>
      <c r="AH207" s="52"/>
      <c r="AI207" s="52"/>
      <c r="AJ207" s="52"/>
      <c r="AK207" s="52"/>
      <c r="AL207" s="54">
        <v>1.4</v>
      </c>
      <c r="AM207" s="52"/>
      <c r="AN207" s="52"/>
      <c r="AO207" s="55">
        <v>0.7</v>
      </c>
      <c r="AP207" s="54">
        <v>1.4</v>
      </c>
      <c r="AQ207" s="52"/>
      <c r="AR207" s="52"/>
      <c r="AS207" s="52" t="s">
        <v>3696</v>
      </c>
      <c r="AT207" s="52"/>
      <c r="AU207" s="52"/>
      <c r="AV207" s="52"/>
      <c r="AW207" s="52" t="s">
        <v>984</v>
      </c>
    </row>
    <row r="208" spans="1:49">
      <c r="A208" s="52">
        <v>6013986</v>
      </c>
      <c r="B208" s="52" t="s">
        <v>3723</v>
      </c>
      <c r="C208" s="52" t="s">
        <v>3692</v>
      </c>
      <c r="D208" s="53">
        <v>46154.541666666664</v>
      </c>
      <c r="E208" s="53">
        <v>46153.586805555555</v>
      </c>
      <c r="F208" s="53">
        <v>46153.867361111108</v>
      </c>
      <c r="G208" s="53">
        <v>46157.25</v>
      </c>
      <c r="H208" s="52"/>
      <c r="I208" s="52" t="s">
        <v>3693</v>
      </c>
      <c r="J208" s="52" t="s">
        <v>3693</v>
      </c>
      <c r="K208" s="53">
        <v>46155.248611111114</v>
      </c>
      <c r="L208" s="52" t="s">
        <v>3735</v>
      </c>
      <c r="M208" s="55">
        <v>0.89166666666666672</v>
      </c>
      <c r="N208" s="54">
        <v>2.0979166666666669</v>
      </c>
      <c r="O208" s="52"/>
      <c r="P208" s="52"/>
      <c r="Q208" s="52"/>
      <c r="R208" s="52"/>
      <c r="S208" s="52"/>
      <c r="T208" s="52" t="s">
        <v>3868</v>
      </c>
      <c r="U208" s="52" t="s">
        <v>3870</v>
      </c>
      <c r="V208" s="52"/>
      <c r="W208" s="52"/>
      <c r="X208" s="52"/>
      <c r="Y208" s="52"/>
      <c r="Z208" s="52" t="s">
        <v>3696</v>
      </c>
      <c r="AA208" s="52" t="s">
        <v>408</v>
      </c>
      <c r="AB208" s="52" t="s">
        <v>140</v>
      </c>
      <c r="AC208" s="52" t="s">
        <v>3703</v>
      </c>
      <c r="AD208" s="52" t="s">
        <v>3704</v>
      </c>
      <c r="AE208" s="52"/>
      <c r="AF208" s="52" t="s">
        <v>3714</v>
      </c>
      <c r="AG208" s="52" t="s">
        <v>3715</v>
      </c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>
        <v>0</v>
      </c>
      <c r="AT208" s="52"/>
      <c r="AU208" s="52"/>
      <c r="AV208" s="52" t="s">
        <v>984</v>
      </c>
      <c r="AW208" s="52"/>
    </row>
    <row r="209" spans="1:49">
      <c r="A209" s="52">
        <v>6013986</v>
      </c>
      <c r="B209" s="52" t="s">
        <v>3723</v>
      </c>
      <c r="C209" s="52" t="s">
        <v>3698</v>
      </c>
      <c r="D209" s="53">
        <v>46154.541666666664</v>
      </c>
      <c r="E209" s="53">
        <v>46153.586805555555</v>
      </c>
      <c r="F209" s="53">
        <v>46153.867361111108</v>
      </c>
      <c r="G209" s="53">
        <v>46157.25</v>
      </c>
      <c r="H209" s="52"/>
      <c r="I209" s="52"/>
      <c r="J209" s="52" t="s">
        <v>3693</v>
      </c>
      <c r="K209" s="53">
        <v>46155.248611111114</v>
      </c>
      <c r="L209" s="52"/>
      <c r="M209" s="54">
        <v>3.3826388888888888</v>
      </c>
      <c r="N209" s="54">
        <v>4.5888888888888886</v>
      </c>
      <c r="O209" s="52" t="s">
        <v>3871</v>
      </c>
      <c r="P209" s="52" t="s">
        <v>408</v>
      </c>
      <c r="Q209" s="52" t="s">
        <v>3154</v>
      </c>
      <c r="R209" s="52" t="s">
        <v>3872</v>
      </c>
      <c r="S209" s="52" t="s">
        <v>3756</v>
      </c>
      <c r="T209" s="52" t="s">
        <v>3868</v>
      </c>
      <c r="U209" s="52" t="s">
        <v>3870</v>
      </c>
      <c r="V209" s="52" t="s">
        <v>3158</v>
      </c>
      <c r="W209" s="52">
        <v>11557437920</v>
      </c>
      <c r="X209" s="52" t="s">
        <v>73</v>
      </c>
      <c r="Y209" s="52"/>
      <c r="Z209" s="52" t="s">
        <v>3696</v>
      </c>
      <c r="AA209" s="52" t="s">
        <v>3710</v>
      </c>
      <c r="AB209" s="52"/>
      <c r="AC209" s="52" t="s">
        <v>3703</v>
      </c>
      <c r="AD209" s="52" t="s">
        <v>3704</v>
      </c>
      <c r="AE209" s="52" t="s">
        <v>140</v>
      </c>
      <c r="AF209" s="52" t="s">
        <v>3714</v>
      </c>
      <c r="AG209" s="52" t="s">
        <v>3715</v>
      </c>
      <c r="AH209" s="52"/>
      <c r="AI209" s="52"/>
      <c r="AJ209" s="52"/>
      <c r="AK209" s="52"/>
      <c r="AL209" s="55">
        <v>0.29652777777777778</v>
      </c>
      <c r="AM209" s="52"/>
      <c r="AN209" s="52"/>
      <c r="AO209" s="52"/>
      <c r="AP209" s="55">
        <v>0.29652777777777778</v>
      </c>
      <c r="AQ209" s="52"/>
      <c r="AR209" s="52"/>
      <c r="AS209" s="52" t="s">
        <v>3696</v>
      </c>
      <c r="AT209" s="52"/>
      <c r="AU209" s="52"/>
      <c r="AV209" s="52"/>
      <c r="AW209" s="52"/>
    </row>
    <row r="210" spans="1:49">
      <c r="A210" s="52">
        <v>6013986</v>
      </c>
      <c r="B210" s="52" t="s">
        <v>3723</v>
      </c>
      <c r="C210" s="52" t="s">
        <v>3698</v>
      </c>
      <c r="D210" s="53">
        <v>46154.541666666664</v>
      </c>
      <c r="E210" s="53">
        <v>46153.586805555555</v>
      </c>
      <c r="F210" s="53">
        <v>46153.867361111108</v>
      </c>
      <c r="G210" s="53">
        <v>46157.25</v>
      </c>
      <c r="H210" s="52"/>
      <c r="I210" s="52"/>
      <c r="J210" s="52" t="s">
        <v>3693</v>
      </c>
      <c r="K210" s="53">
        <v>46155.248611111114</v>
      </c>
      <c r="L210" s="52"/>
      <c r="M210" s="54">
        <v>3.3826388888888888</v>
      </c>
      <c r="N210" s="54">
        <v>4.5888888888888886</v>
      </c>
      <c r="O210" s="52" t="s">
        <v>3871</v>
      </c>
      <c r="P210" s="52" t="s">
        <v>408</v>
      </c>
      <c r="Q210" s="52" t="s">
        <v>3154</v>
      </c>
      <c r="R210" s="52" t="s">
        <v>3872</v>
      </c>
      <c r="S210" s="52" t="s">
        <v>3756</v>
      </c>
      <c r="T210" s="52" t="s">
        <v>3868</v>
      </c>
      <c r="U210" s="52" t="s">
        <v>3870</v>
      </c>
      <c r="V210" s="52" t="s">
        <v>3158</v>
      </c>
      <c r="W210" s="52">
        <v>11557437920</v>
      </c>
      <c r="X210" s="52" t="s">
        <v>73</v>
      </c>
      <c r="Y210" s="52"/>
      <c r="Z210" s="52" t="s">
        <v>3696</v>
      </c>
      <c r="AA210" s="52" t="s">
        <v>3710</v>
      </c>
      <c r="AB210" s="52"/>
      <c r="AC210" s="52" t="s">
        <v>3703</v>
      </c>
      <c r="AD210" s="52" t="s">
        <v>3704</v>
      </c>
      <c r="AE210" s="52"/>
      <c r="AF210" s="52" t="s">
        <v>3714</v>
      </c>
      <c r="AG210" s="52" t="s">
        <v>3715</v>
      </c>
      <c r="AH210" s="52"/>
      <c r="AI210" s="52"/>
      <c r="AJ210" s="52"/>
      <c r="AK210" s="52"/>
      <c r="AL210" s="55">
        <v>0.29652777777777778</v>
      </c>
      <c r="AM210" s="52"/>
      <c r="AN210" s="52"/>
      <c r="AO210" s="52"/>
      <c r="AP210" s="55">
        <v>0.29652777777777778</v>
      </c>
      <c r="AQ210" s="52"/>
      <c r="AR210" s="52"/>
      <c r="AS210" s="52" t="s">
        <v>3696</v>
      </c>
      <c r="AT210" s="52"/>
      <c r="AU210" s="52"/>
      <c r="AV210" s="52"/>
      <c r="AW210" s="52" t="s">
        <v>984</v>
      </c>
    </row>
    <row r="211" spans="1:49">
      <c r="A211" s="52">
        <v>6013986</v>
      </c>
      <c r="B211" s="52" t="s">
        <v>3723</v>
      </c>
      <c r="C211" s="52" t="s">
        <v>3698</v>
      </c>
      <c r="D211" s="53">
        <v>46154.541666666664</v>
      </c>
      <c r="E211" s="53">
        <v>46153.586805555555</v>
      </c>
      <c r="F211" s="53">
        <v>46155.306250000001</v>
      </c>
      <c r="G211" s="53">
        <v>46157.25</v>
      </c>
      <c r="H211" s="53">
        <v>46157.806250000001</v>
      </c>
      <c r="I211" s="52"/>
      <c r="J211" s="52" t="s">
        <v>3693</v>
      </c>
      <c r="K211" s="53">
        <v>46155.248611111114</v>
      </c>
      <c r="L211" s="52"/>
      <c r="M211" s="54">
        <v>1.9437500000000001</v>
      </c>
      <c r="N211" s="54">
        <v>3.15</v>
      </c>
      <c r="O211" s="52" t="s">
        <v>3155</v>
      </c>
      <c r="P211" s="52" t="s">
        <v>408</v>
      </c>
      <c r="Q211" s="52" t="s">
        <v>3154</v>
      </c>
      <c r="R211" s="52" t="s">
        <v>3157</v>
      </c>
      <c r="S211" s="52" t="s">
        <v>789</v>
      </c>
      <c r="T211" s="52" t="s">
        <v>3868</v>
      </c>
      <c r="U211" s="52" t="s">
        <v>3873</v>
      </c>
      <c r="V211" s="52" t="s">
        <v>3158</v>
      </c>
      <c r="W211" s="52">
        <v>11557437920</v>
      </c>
      <c r="X211" s="52" t="s">
        <v>73</v>
      </c>
      <c r="Y211" s="52"/>
      <c r="Z211" s="52" t="s">
        <v>3696</v>
      </c>
      <c r="AA211" s="52" t="s">
        <v>3710</v>
      </c>
      <c r="AB211" s="52"/>
      <c r="AC211" s="52" t="s">
        <v>3703</v>
      </c>
      <c r="AD211" s="52" t="s">
        <v>3704</v>
      </c>
      <c r="AE211" s="52" t="s">
        <v>140</v>
      </c>
      <c r="AF211" s="52" t="s">
        <v>3714</v>
      </c>
      <c r="AG211" s="52" t="s">
        <v>3715</v>
      </c>
      <c r="AH211" s="52"/>
      <c r="AI211" s="52"/>
      <c r="AJ211" s="52"/>
      <c r="AK211" s="52"/>
      <c r="AL211" s="54">
        <v>2.0444444444444443</v>
      </c>
      <c r="AM211" s="52"/>
      <c r="AN211" s="52"/>
      <c r="AO211" s="52"/>
      <c r="AP211" s="54">
        <v>2.0444444444444443</v>
      </c>
      <c r="AQ211" s="52"/>
      <c r="AR211" s="52"/>
      <c r="AS211" s="52" t="s">
        <v>3696</v>
      </c>
      <c r="AT211" s="52"/>
      <c r="AU211" s="52"/>
      <c r="AV211" s="52"/>
      <c r="AW211" s="52"/>
    </row>
    <row r="212" spans="1:49">
      <c r="A212" s="52">
        <v>6013986</v>
      </c>
      <c r="B212" s="52" t="s">
        <v>3723</v>
      </c>
      <c r="C212" s="52" t="s">
        <v>3698</v>
      </c>
      <c r="D212" s="53">
        <v>46154.541666666664</v>
      </c>
      <c r="E212" s="53">
        <v>46153.586805555555</v>
      </c>
      <c r="F212" s="53">
        <v>46155.306250000001</v>
      </c>
      <c r="G212" s="53">
        <v>46157.25</v>
      </c>
      <c r="H212" s="53">
        <v>46157.806250000001</v>
      </c>
      <c r="I212" s="52"/>
      <c r="J212" s="52" t="s">
        <v>3693</v>
      </c>
      <c r="K212" s="53">
        <v>46155.248611111114</v>
      </c>
      <c r="L212" s="52"/>
      <c r="M212" s="54">
        <v>1.9437500000000001</v>
      </c>
      <c r="N212" s="54">
        <v>3.15</v>
      </c>
      <c r="O212" s="52" t="s">
        <v>3155</v>
      </c>
      <c r="P212" s="52" t="s">
        <v>408</v>
      </c>
      <c r="Q212" s="52" t="s">
        <v>3154</v>
      </c>
      <c r="R212" s="52" t="s">
        <v>3157</v>
      </c>
      <c r="S212" s="52" t="s">
        <v>789</v>
      </c>
      <c r="T212" s="52" t="s">
        <v>3868</v>
      </c>
      <c r="U212" s="52" t="s">
        <v>3873</v>
      </c>
      <c r="V212" s="52" t="s">
        <v>3158</v>
      </c>
      <c r="W212" s="52">
        <v>11557437920</v>
      </c>
      <c r="X212" s="52" t="s">
        <v>73</v>
      </c>
      <c r="Y212" s="52"/>
      <c r="Z212" s="52" t="s">
        <v>3696</v>
      </c>
      <c r="AA212" s="52" t="s">
        <v>3710</v>
      </c>
      <c r="AB212" s="52"/>
      <c r="AC212" s="52" t="s">
        <v>3703</v>
      </c>
      <c r="AD212" s="52" t="s">
        <v>3704</v>
      </c>
      <c r="AE212" s="52"/>
      <c r="AF212" s="52" t="s">
        <v>3714</v>
      </c>
      <c r="AG212" s="52" t="s">
        <v>3715</v>
      </c>
      <c r="AH212" s="52"/>
      <c r="AI212" s="52"/>
      <c r="AJ212" s="52"/>
      <c r="AK212" s="52"/>
      <c r="AL212" s="54">
        <v>2.0444444444444443</v>
      </c>
      <c r="AM212" s="52"/>
      <c r="AN212" s="52"/>
      <c r="AO212" s="52"/>
      <c r="AP212" s="54">
        <v>2.0444444444444443</v>
      </c>
      <c r="AQ212" s="52"/>
      <c r="AR212" s="52"/>
      <c r="AS212" s="52" t="s">
        <v>3696</v>
      </c>
      <c r="AT212" s="52"/>
      <c r="AU212" s="52"/>
      <c r="AV212" s="52"/>
      <c r="AW212" s="52" t="s">
        <v>984</v>
      </c>
    </row>
    <row r="213" spans="1:49">
      <c r="A213" s="52">
        <v>6013987</v>
      </c>
      <c r="B213" s="52" t="s">
        <v>3699</v>
      </c>
      <c r="C213" s="52" t="s">
        <v>3692</v>
      </c>
      <c r="D213" s="53">
        <v>46155.541666666664</v>
      </c>
      <c r="E213" s="53">
        <v>46155.581250000003</v>
      </c>
      <c r="F213" s="53">
        <v>46155.699305555558</v>
      </c>
      <c r="G213" s="53">
        <v>46157.25</v>
      </c>
      <c r="H213" s="53">
        <v>46156.635416666664</v>
      </c>
      <c r="I213" s="52" t="s">
        <v>3693</v>
      </c>
      <c r="J213" s="52" t="s">
        <v>3693</v>
      </c>
      <c r="K213" s="53">
        <v>46156.635416666664</v>
      </c>
      <c r="L213" s="52" t="s">
        <v>3700</v>
      </c>
      <c r="M213" s="54">
        <v>1.7083333333333333</v>
      </c>
      <c r="N213" s="54">
        <v>2.9145833333333333</v>
      </c>
      <c r="O213" s="52"/>
      <c r="P213" s="52"/>
      <c r="Q213" s="52"/>
      <c r="R213" s="52"/>
      <c r="S213" s="52"/>
      <c r="T213" s="52" t="s">
        <v>3695</v>
      </c>
      <c r="U213" s="52" t="s">
        <v>3695</v>
      </c>
      <c r="V213" s="52"/>
      <c r="W213" s="52"/>
      <c r="X213" s="52"/>
      <c r="Y213" s="52"/>
      <c r="Z213" s="52" t="s">
        <v>3696</v>
      </c>
      <c r="AA213" s="52" t="s">
        <v>282</v>
      </c>
      <c r="AB213" s="52" t="s">
        <v>140</v>
      </c>
      <c r="AC213" s="52" t="s">
        <v>3703</v>
      </c>
      <c r="AD213" s="52" t="s">
        <v>3704</v>
      </c>
      <c r="AE213" s="52"/>
      <c r="AF213" s="52" t="s">
        <v>3714</v>
      </c>
      <c r="AG213" s="52" t="s">
        <v>3715</v>
      </c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>
        <v>0</v>
      </c>
      <c r="AT213" s="52"/>
      <c r="AU213" s="52"/>
      <c r="AV213" s="52" t="s">
        <v>984</v>
      </c>
      <c r="AW213" s="52"/>
    </row>
    <row r="214" spans="1:49">
      <c r="A214" s="52">
        <v>6013987</v>
      </c>
      <c r="B214" s="52" t="s">
        <v>3699</v>
      </c>
      <c r="C214" s="52" t="s">
        <v>3698</v>
      </c>
      <c r="D214" s="53">
        <v>46155.541666666664</v>
      </c>
      <c r="E214" s="53">
        <v>46155.581250000003</v>
      </c>
      <c r="F214" s="53">
        <v>46155.804861111108</v>
      </c>
      <c r="G214" s="53">
        <v>46157.25</v>
      </c>
      <c r="H214" s="52"/>
      <c r="I214" s="52"/>
      <c r="J214" s="52" t="s">
        <v>3693</v>
      </c>
      <c r="K214" s="52"/>
      <c r="L214" s="52"/>
      <c r="M214" s="54">
        <v>1.445138888888889</v>
      </c>
      <c r="N214" s="54">
        <v>2.651388888888889</v>
      </c>
      <c r="O214" s="52" t="s">
        <v>3874</v>
      </c>
      <c r="P214" s="52" t="s">
        <v>282</v>
      </c>
      <c r="Q214" s="52" t="s">
        <v>3282</v>
      </c>
      <c r="R214" s="52" t="s">
        <v>3287</v>
      </c>
      <c r="S214" s="52" t="s">
        <v>3756</v>
      </c>
      <c r="T214" s="52" t="s">
        <v>3695</v>
      </c>
      <c r="U214" s="52" t="s">
        <v>3695</v>
      </c>
      <c r="V214" s="52" t="s">
        <v>3288</v>
      </c>
      <c r="W214" s="52">
        <v>7246184902</v>
      </c>
      <c r="X214" s="52" t="s">
        <v>73</v>
      </c>
      <c r="Y214" s="52"/>
      <c r="Z214" s="52" t="s">
        <v>3696</v>
      </c>
      <c r="AA214" s="52" t="s">
        <v>3710</v>
      </c>
      <c r="AB214" s="52"/>
      <c r="AC214" s="52" t="s">
        <v>3703</v>
      </c>
      <c r="AD214" s="52" t="s">
        <v>3704</v>
      </c>
      <c r="AE214" s="52" t="s">
        <v>140</v>
      </c>
      <c r="AF214" s="52" t="s">
        <v>3714</v>
      </c>
      <c r="AG214" s="52" t="s">
        <v>3715</v>
      </c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 t="s">
        <v>3696</v>
      </c>
      <c r="AT214" s="52"/>
      <c r="AU214" s="52"/>
      <c r="AV214" s="52"/>
      <c r="AW214" s="52"/>
    </row>
    <row r="215" spans="1:49">
      <c r="A215" s="52">
        <v>6013987</v>
      </c>
      <c r="B215" s="52" t="s">
        <v>3699</v>
      </c>
      <c r="C215" s="52" t="s">
        <v>3698</v>
      </c>
      <c r="D215" s="53">
        <v>46155.541666666664</v>
      </c>
      <c r="E215" s="53">
        <v>46155.581250000003</v>
      </c>
      <c r="F215" s="53">
        <v>46155.804861111108</v>
      </c>
      <c r="G215" s="53">
        <v>46157.25</v>
      </c>
      <c r="H215" s="52"/>
      <c r="I215" s="52"/>
      <c r="J215" s="52" t="s">
        <v>3693</v>
      </c>
      <c r="K215" s="52"/>
      <c r="L215" s="52"/>
      <c r="M215" s="54">
        <v>1.445138888888889</v>
      </c>
      <c r="N215" s="54">
        <v>2.651388888888889</v>
      </c>
      <c r="O215" s="52" t="s">
        <v>3874</v>
      </c>
      <c r="P215" s="52" t="s">
        <v>282</v>
      </c>
      <c r="Q215" s="52" t="s">
        <v>3282</v>
      </c>
      <c r="R215" s="52" t="s">
        <v>3287</v>
      </c>
      <c r="S215" s="52" t="s">
        <v>3756</v>
      </c>
      <c r="T215" s="52" t="s">
        <v>3695</v>
      </c>
      <c r="U215" s="52" t="s">
        <v>3695</v>
      </c>
      <c r="V215" s="52" t="s">
        <v>3288</v>
      </c>
      <c r="W215" s="52">
        <v>7246184902</v>
      </c>
      <c r="X215" s="52" t="s">
        <v>73</v>
      </c>
      <c r="Y215" s="52"/>
      <c r="Z215" s="52" t="s">
        <v>3696</v>
      </c>
      <c r="AA215" s="52" t="s">
        <v>3710</v>
      </c>
      <c r="AB215" s="52"/>
      <c r="AC215" s="52" t="s">
        <v>3703</v>
      </c>
      <c r="AD215" s="52" t="s">
        <v>3704</v>
      </c>
      <c r="AE215" s="52"/>
      <c r="AF215" s="52" t="s">
        <v>3714</v>
      </c>
      <c r="AG215" s="52" t="s">
        <v>3715</v>
      </c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 t="s">
        <v>3696</v>
      </c>
      <c r="AT215" s="52"/>
      <c r="AU215" s="52"/>
      <c r="AV215" s="52"/>
      <c r="AW215" s="52" t="s">
        <v>984</v>
      </c>
    </row>
    <row r="216" spans="1:49">
      <c r="A216" s="52">
        <v>6013987</v>
      </c>
      <c r="B216" s="52" t="s">
        <v>3699</v>
      </c>
      <c r="C216" s="52" t="s">
        <v>3698</v>
      </c>
      <c r="D216" s="53">
        <v>46155.541666666664</v>
      </c>
      <c r="E216" s="53">
        <v>46155.581250000003</v>
      </c>
      <c r="F216" s="53">
        <v>46155.843055555553</v>
      </c>
      <c r="G216" s="53">
        <v>46157.25</v>
      </c>
      <c r="H216" s="53">
        <v>46157.984722222223</v>
      </c>
      <c r="I216" s="52"/>
      <c r="J216" s="52" t="s">
        <v>3693</v>
      </c>
      <c r="K216" s="52"/>
      <c r="L216" s="52"/>
      <c r="M216" s="54">
        <v>1.4069444444444446</v>
      </c>
      <c r="N216" s="54">
        <v>2.6131944444444444</v>
      </c>
      <c r="O216" s="52" t="s">
        <v>3283</v>
      </c>
      <c r="P216" s="52" t="s">
        <v>282</v>
      </c>
      <c r="Q216" s="52" t="s">
        <v>3282</v>
      </c>
      <c r="R216" s="52" t="s">
        <v>3287</v>
      </c>
      <c r="S216" s="52" t="s">
        <v>789</v>
      </c>
      <c r="T216" s="52" t="s">
        <v>3868</v>
      </c>
      <c r="U216" s="52" t="s">
        <v>3875</v>
      </c>
      <c r="V216" s="52" t="s">
        <v>3288</v>
      </c>
      <c r="W216" s="52">
        <v>7246184902</v>
      </c>
      <c r="X216" s="52" t="s">
        <v>73</v>
      </c>
      <c r="Y216" s="52"/>
      <c r="Z216" s="52" t="s">
        <v>3696</v>
      </c>
      <c r="AA216" s="52" t="s">
        <v>3710</v>
      </c>
      <c r="AB216" s="52"/>
      <c r="AC216" s="52" t="s">
        <v>3703</v>
      </c>
      <c r="AD216" s="52" t="s">
        <v>3704</v>
      </c>
      <c r="AE216" s="52" t="s">
        <v>140</v>
      </c>
      <c r="AF216" s="52" t="s">
        <v>3714</v>
      </c>
      <c r="AG216" s="52" t="s">
        <v>3715</v>
      </c>
      <c r="AH216" s="52"/>
      <c r="AI216" s="52"/>
      <c r="AJ216" s="52"/>
      <c r="AK216" s="52"/>
      <c r="AL216" s="54">
        <v>1.6909722222222223</v>
      </c>
      <c r="AM216" s="52"/>
      <c r="AN216" s="52"/>
      <c r="AO216" s="52"/>
      <c r="AP216" s="54">
        <v>1.6909722222222223</v>
      </c>
      <c r="AQ216" s="52"/>
      <c r="AR216" s="52"/>
      <c r="AS216" s="52" t="s">
        <v>3696</v>
      </c>
      <c r="AT216" s="52"/>
      <c r="AU216" s="52"/>
      <c r="AV216" s="52"/>
      <c r="AW216" s="52"/>
    </row>
    <row r="217" spans="1:49">
      <c r="A217" s="52">
        <v>6013987</v>
      </c>
      <c r="B217" s="52" t="s">
        <v>3699</v>
      </c>
      <c r="C217" s="52" t="s">
        <v>3698</v>
      </c>
      <c r="D217" s="53">
        <v>46155.541666666664</v>
      </c>
      <c r="E217" s="53">
        <v>46155.581250000003</v>
      </c>
      <c r="F217" s="53">
        <v>46155.843055555553</v>
      </c>
      <c r="G217" s="53">
        <v>46157.25</v>
      </c>
      <c r="H217" s="53">
        <v>46157.984722222223</v>
      </c>
      <c r="I217" s="52"/>
      <c r="J217" s="52" t="s">
        <v>3693</v>
      </c>
      <c r="K217" s="52"/>
      <c r="L217" s="52"/>
      <c r="M217" s="54">
        <v>1.4069444444444446</v>
      </c>
      <c r="N217" s="54">
        <v>2.6131944444444444</v>
      </c>
      <c r="O217" s="52" t="s">
        <v>3283</v>
      </c>
      <c r="P217" s="52" t="s">
        <v>282</v>
      </c>
      <c r="Q217" s="52" t="s">
        <v>3282</v>
      </c>
      <c r="R217" s="52" t="s">
        <v>3287</v>
      </c>
      <c r="S217" s="52" t="s">
        <v>789</v>
      </c>
      <c r="T217" s="52" t="s">
        <v>3868</v>
      </c>
      <c r="U217" s="52" t="s">
        <v>3875</v>
      </c>
      <c r="V217" s="52" t="s">
        <v>3288</v>
      </c>
      <c r="W217" s="52">
        <v>7246184902</v>
      </c>
      <c r="X217" s="52" t="s">
        <v>73</v>
      </c>
      <c r="Y217" s="52"/>
      <c r="Z217" s="52" t="s">
        <v>3696</v>
      </c>
      <c r="AA217" s="52" t="s">
        <v>3710</v>
      </c>
      <c r="AB217" s="52"/>
      <c r="AC217" s="52" t="s">
        <v>3703</v>
      </c>
      <c r="AD217" s="52" t="s">
        <v>3704</v>
      </c>
      <c r="AE217" s="52"/>
      <c r="AF217" s="52" t="s">
        <v>3714</v>
      </c>
      <c r="AG217" s="52" t="s">
        <v>3715</v>
      </c>
      <c r="AH217" s="52"/>
      <c r="AI217" s="52"/>
      <c r="AJ217" s="52"/>
      <c r="AK217" s="52"/>
      <c r="AL217" s="54">
        <v>1.6909722222222223</v>
      </c>
      <c r="AM217" s="52"/>
      <c r="AN217" s="52"/>
      <c r="AO217" s="52"/>
      <c r="AP217" s="54">
        <v>1.6909722222222223</v>
      </c>
      <c r="AQ217" s="52"/>
      <c r="AR217" s="52"/>
      <c r="AS217" s="52" t="s">
        <v>3696</v>
      </c>
      <c r="AT217" s="52"/>
      <c r="AU217" s="52"/>
      <c r="AV217" s="52"/>
      <c r="AW217" s="52" t="s">
        <v>984</v>
      </c>
    </row>
    <row r="218" spans="1:49">
      <c r="A218" s="52">
        <v>6013988</v>
      </c>
      <c r="B218" s="52" t="s">
        <v>3723</v>
      </c>
      <c r="C218" s="52" t="s">
        <v>3692</v>
      </c>
      <c r="D218" s="53">
        <v>46155.25</v>
      </c>
      <c r="E218" s="53">
        <v>46155.025694444441</v>
      </c>
      <c r="F218" s="53">
        <v>46155.330555555556</v>
      </c>
      <c r="G218" s="53">
        <v>46157.958333333336</v>
      </c>
      <c r="H218" s="52"/>
      <c r="I218" s="52" t="s">
        <v>3693</v>
      </c>
      <c r="J218" s="52" t="s">
        <v>3693</v>
      </c>
      <c r="K218" s="53">
        <v>46155.942361111112</v>
      </c>
      <c r="L218" s="52" t="s">
        <v>3735</v>
      </c>
      <c r="M218" s="54">
        <v>2.7083333333333335</v>
      </c>
      <c r="N218" s="54">
        <v>3.2062499999999998</v>
      </c>
      <c r="O218" s="52"/>
      <c r="P218" s="52"/>
      <c r="Q218" s="52"/>
      <c r="R218" s="52"/>
      <c r="S218" s="52"/>
      <c r="T218" s="52" t="s">
        <v>3868</v>
      </c>
      <c r="U218" s="52" t="s">
        <v>3876</v>
      </c>
      <c r="V218" s="52"/>
      <c r="W218" s="52"/>
      <c r="X218" s="52"/>
      <c r="Y218" s="52"/>
      <c r="Z218" s="52" t="s">
        <v>3696</v>
      </c>
      <c r="AA218" s="52" t="s">
        <v>227</v>
      </c>
      <c r="AB218" s="52" t="s">
        <v>140</v>
      </c>
      <c r="AC218" s="52" t="s">
        <v>3703</v>
      </c>
      <c r="AD218" s="52" t="s">
        <v>3704</v>
      </c>
      <c r="AE218" s="52"/>
      <c r="AF218" s="52" t="s">
        <v>3714</v>
      </c>
      <c r="AG218" s="52" t="s">
        <v>3715</v>
      </c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>
        <v>0</v>
      </c>
      <c r="AT218" s="52"/>
      <c r="AU218" s="52"/>
      <c r="AV218" s="52" t="s">
        <v>984</v>
      </c>
      <c r="AW218" s="52"/>
    </row>
    <row r="219" spans="1:49">
      <c r="A219" s="52">
        <v>6013988</v>
      </c>
      <c r="B219" s="52" t="s">
        <v>3723</v>
      </c>
      <c r="C219" s="52" t="s">
        <v>3698</v>
      </c>
      <c r="D219" s="53">
        <v>46155.25</v>
      </c>
      <c r="E219" s="53">
        <v>46155.025694444441</v>
      </c>
      <c r="F219" s="53">
        <v>46155.333333333336</v>
      </c>
      <c r="G219" s="53">
        <v>46157.958333333336</v>
      </c>
      <c r="H219" s="53">
        <v>46155.801388888889</v>
      </c>
      <c r="I219" s="52"/>
      <c r="J219" s="52" t="s">
        <v>3693</v>
      </c>
      <c r="K219" s="53">
        <v>46155.942361111112</v>
      </c>
      <c r="L219" s="52"/>
      <c r="M219" s="54">
        <v>2.625</v>
      </c>
      <c r="N219" s="54">
        <v>3.1229166666666668</v>
      </c>
      <c r="O219" s="52" t="s">
        <v>3185</v>
      </c>
      <c r="P219" s="52" t="s">
        <v>227</v>
      </c>
      <c r="Q219" s="52" t="s">
        <v>2123</v>
      </c>
      <c r="R219" s="52" t="s">
        <v>757</v>
      </c>
      <c r="S219" s="52" t="s">
        <v>789</v>
      </c>
      <c r="T219" s="52" t="s">
        <v>3868</v>
      </c>
      <c r="U219" s="52" t="s">
        <v>3876</v>
      </c>
      <c r="V219" s="52" t="s">
        <v>2128</v>
      </c>
      <c r="W219" s="52">
        <v>3025597950</v>
      </c>
      <c r="X219" s="52" t="s">
        <v>73</v>
      </c>
      <c r="Y219" s="52"/>
      <c r="Z219" s="52" t="s">
        <v>3696</v>
      </c>
      <c r="AA219" s="52" t="s">
        <v>3710</v>
      </c>
      <c r="AB219" s="52"/>
      <c r="AC219" s="52" t="s">
        <v>3703</v>
      </c>
      <c r="AD219" s="52" t="s">
        <v>3704</v>
      </c>
      <c r="AE219" s="52" t="s">
        <v>140</v>
      </c>
      <c r="AF219" s="52" t="s">
        <v>3714</v>
      </c>
      <c r="AG219" s="52" t="s">
        <v>3715</v>
      </c>
      <c r="AH219" s="52"/>
      <c r="AI219" s="52"/>
      <c r="AJ219" s="52"/>
      <c r="AK219" s="52"/>
      <c r="AL219" s="55">
        <v>1.5972222222222221E-2</v>
      </c>
      <c r="AM219" s="52"/>
      <c r="AN219" s="52"/>
      <c r="AO219" s="52"/>
      <c r="AP219" s="55">
        <v>1.5972222222222221E-2</v>
      </c>
      <c r="AQ219" s="52"/>
      <c r="AR219" s="52"/>
      <c r="AS219" s="52" t="s">
        <v>3696</v>
      </c>
      <c r="AT219" s="52"/>
      <c r="AU219" s="52"/>
      <c r="AV219" s="52"/>
      <c r="AW219" s="52"/>
    </row>
    <row r="220" spans="1:49">
      <c r="A220" s="52">
        <v>6013988</v>
      </c>
      <c r="B220" s="52" t="s">
        <v>3723</v>
      </c>
      <c r="C220" s="52" t="s">
        <v>3698</v>
      </c>
      <c r="D220" s="53">
        <v>46155.25</v>
      </c>
      <c r="E220" s="53">
        <v>46155.025694444441</v>
      </c>
      <c r="F220" s="53">
        <v>46155.333333333336</v>
      </c>
      <c r="G220" s="53">
        <v>46157.958333333336</v>
      </c>
      <c r="H220" s="53">
        <v>46155.801388888889</v>
      </c>
      <c r="I220" s="52"/>
      <c r="J220" s="52" t="s">
        <v>3693</v>
      </c>
      <c r="K220" s="53">
        <v>46155.942361111112</v>
      </c>
      <c r="L220" s="52"/>
      <c r="M220" s="54">
        <v>2.625</v>
      </c>
      <c r="N220" s="54">
        <v>3.1229166666666668</v>
      </c>
      <c r="O220" s="52" t="s">
        <v>3185</v>
      </c>
      <c r="P220" s="52" t="s">
        <v>227</v>
      </c>
      <c r="Q220" s="52" t="s">
        <v>2123</v>
      </c>
      <c r="R220" s="52" t="s">
        <v>757</v>
      </c>
      <c r="S220" s="52" t="s">
        <v>789</v>
      </c>
      <c r="T220" s="52" t="s">
        <v>3868</v>
      </c>
      <c r="U220" s="52" t="s">
        <v>3876</v>
      </c>
      <c r="V220" s="52" t="s">
        <v>2128</v>
      </c>
      <c r="W220" s="52">
        <v>3025597950</v>
      </c>
      <c r="X220" s="52" t="s">
        <v>73</v>
      </c>
      <c r="Y220" s="52"/>
      <c r="Z220" s="52" t="s">
        <v>3696</v>
      </c>
      <c r="AA220" s="52" t="s">
        <v>3710</v>
      </c>
      <c r="AB220" s="52"/>
      <c r="AC220" s="52" t="s">
        <v>3703</v>
      </c>
      <c r="AD220" s="52" t="s">
        <v>3704</v>
      </c>
      <c r="AE220" s="52"/>
      <c r="AF220" s="52" t="s">
        <v>3714</v>
      </c>
      <c r="AG220" s="52" t="s">
        <v>3715</v>
      </c>
      <c r="AH220" s="52"/>
      <c r="AI220" s="52"/>
      <c r="AJ220" s="52"/>
      <c r="AK220" s="52"/>
      <c r="AL220" s="55">
        <v>1.5972222222222221E-2</v>
      </c>
      <c r="AM220" s="52"/>
      <c r="AN220" s="52"/>
      <c r="AO220" s="52"/>
      <c r="AP220" s="55">
        <v>1.5972222222222221E-2</v>
      </c>
      <c r="AQ220" s="52"/>
      <c r="AR220" s="52"/>
      <c r="AS220" s="52" t="s">
        <v>3696</v>
      </c>
      <c r="AT220" s="52"/>
      <c r="AU220" s="52"/>
      <c r="AV220" s="52"/>
      <c r="AW220" s="52" t="s">
        <v>984</v>
      </c>
    </row>
    <row r="221" spans="1:49">
      <c r="A221" s="52">
        <v>6013988</v>
      </c>
      <c r="B221" s="52" t="s">
        <v>3723</v>
      </c>
      <c r="C221" s="52" t="s">
        <v>3698</v>
      </c>
      <c r="D221" s="53">
        <v>46155.25</v>
      </c>
      <c r="E221" s="53">
        <v>46155.025694444441</v>
      </c>
      <c r="F221" s="53">
        <v>46156.751388888886</v>
      </c>
      <c r="G221" s="53">
        <v>46157.958333333336</v>
      </c>
      <c r="H221" s="53">
        <v>46157.936111111114</v>
      </c>
      <c r="I221" s="52"/>
      <c r="J221" s="52" t="s">
        <v>3693</v>
      </c>
      <c r="K221" s="53">
        <v>46155.942361111112</v>
      </c>
      <c r="L221" s="52"/>
      <c r="M221" s="54">
        <v>1.2069444444444444</v>
      </c>
      <c r="N221" s="54">
        <v>1.7048611111111112</v>
      </c>
      <c r="O221" s="52" t="s">
        <v>3477</v>
      </c>
      <c r="P221" s="52" t="s">
        <v>227</v>
      </c>
      <c r="Q221" s="52" t="s">
        <v>755</v>
      </c>
      <c r="R221" s="52" t="s">
        <v>757</v>
      </c>
      <c r="S221" s="52" t="s">
        <v>789</v>
      </c>
      <c r="T221" s="52" t="s">
        <v>3695</v>
      </c>
      <c r="U221" s="52" t="s">
        <v>3877</v>
      </c>
      <c r="V221" s="52" t="s">
        <v>3878</v>
      </c>
      <c r="W221" s="52">
        <v>2569202908</v>
      </c>
      <c r="X221" s="52" t="s">
        <v>73</v>
      </c>
      <c r="Y221" s="52" t="s">
        <v>3879</v>
      </c>
      <c r="Z221" s="52" t="s">
        <v>3696</v>
      </c>
      <c r="AA221" s="52" t="s">
        <v>3710</v>
      </c>
      <c r="AB221" s="52"/>
      <c r="AC221" s="52" t="s">
        <v>3703</v>
      </c>
      <c r="AD221" s="52" t="s">
        <v>3704</v>
      </c>
      <c r="AE221" s="52" t="s">
        <v>140</v>
      </c>
      <c r="AF221" s="52" t="s">
        <v>3714</v>
      </c>
      <c r="AG221" s="52" t="s">
        <v>3715</v>
      </c>
      <c r="AH221" s="52"/>
      <c r="AI221" s="52"/>
      <c r="AJ221" s="52"/>
      <c r="AK221" s="52"/>
      <c r="AL221" s="54">
        <v>1.0805555555555555</v>
      </c>
      <c r="AM221" s="52"/>
      <c r="AN221" s="52"/>
      <c r="AO221" s="52"/>
      <c r="AP221" s="54">
        <v>1.0805555555555555</v>
      </c>
      <c r="AQ221" s="52"/>
      <c r="AR221" s="52"/>
      <c r="AS221" s="52" t="s">
        <v>3696</v>
      </c>
      <c r="AT221" s="52"/>
      <c r="AU221" s="52"/>
      <c r="AV221" s="52"/>
      <c r="AW221" s="52"/>
    </row>
    <row r="222" spans="1:49">
      <c r="A222" s="52">
        <v>6013988</v>
      </c>
      <c r="B222" s="52" t="s">
        <v>3723</v>
      </c>
      <c r="C222" s="52" t="s">
        <v>3698</v>
      </c>
      <c r="D222" s="53">
        <v>46155.25</v>
      </c>
      <c r="E222" s="53">
        <v>46155.025694444441</v>
      </c>
      <c r="F222" s="53">
        <v>46156.751388888886</v>
      </c>
      <c r="G222" s="53">
        <v>46157.958333333336</v>
      </c>
      <c r="H222" s="53">
        <v>46157.936111111114</v>
      </c>
      <c r="I222" s="52"/>
      <c r="J222" s="52" t="s">
        <v>3693</v>
      </c>
      <c r="K222" s="53">
        <v>46155.942361111112</v>
      </c>
      <c r="L222" s="52"/>
      <c r="M222" s="54">
        <v>1.2069444444444444</v>
      </c>
      <c r="N222" s="54">
        <v>1.7048611111111112</v>
      </c>
      <c r="O222" s="52" t="s">
        <v>3477</v>
      </c>
      <c r="P222" s="52" t="s">
        <v>227</v>
      </c>
      <c r="Q222" s="52" t="s">
        <v>755</v>
      </c>
      <c r="R222" s="52" t="s">
        <v>757</v>
      </c>
      <c r="S222" s="52" t="s">
        <v>789</v>
      </c>
      <c r="T222" s="52" t="s">
        <v>3695</v>
      </c>
      <c r="U222" s="52" t="s">
        <v>3877</v>
      </c>
      <c r="V222" s="52" t="s">
        <v>3878</v>
      </c>
      <c r="W222" s="52">
        <v>2569202908</v>
      </c>
      <c r="X222" s="52" t="s">
        <v>73</v>
      </c>
      <c r="Y222" s="52" t="s">
        <v>3879</v>
      </c>
      <c r="Z222" s="52" t="s">
        <v>3696</v>
      </c>
      <c r="AA222" s="52" t="s">
        <v>3710</v>
      </c>
      <c r="AB222" s="52"/>
      <c r="AC222" s="52" t="s">
        <v>3703</v>
      </c>
      <c r="AD222" s="52" t="s">
        <v>3704</v>
      </c>
      <c r="AE222" s="52"/>
      <c r="AF222" s="52" t="s">
        <v>3714</v>
      </c>
      <c r="AG222" s="52" t="s">
        <v>3715</v>
      </c>
      <c r="AH222" s="52"/>
      <c r="AI222" s="52"/>
      <c r="AJ222" s="52"/>
      <c r="AK222" s="52"/>
      <c r="AL222" s="54">
        <v>1.0805555555555555</v>
      </c>
      <c r="AM222" s="52"/>
      <c r="AN222" s="52"/>
      <c r="AO222" s="52"/>
      <c r="AP222" s="54">
        <v>1.0805555555555555</v>
      </c>
      <c r="AQ222" s="52"/>
      <c r="AR222" s="52"/>
      <c r="AS222" s="52" t="s">
        <v>3696</v>
      </c>
      <c r="AT222" s="52"/>
      <c r="AU222" s="52"/>
      <c r="AV222" s="52"/>
      <c r="AW222" s="52" t="s">
        <v>984</v>
      </c>
    </row>
    <row r="223" spans="1:49">
      <c r="A223" s="52">
        <v>6013989</v>
      </c>
      <c r="B223" s="52" t="s">
        <v>3699</v>
      </c>
      <c r="C223" s="52" t="s">
        <v>3692</v>
      </c>
      <c r="D223" s="53">
        <v>46155.25</v>
      </c>
      <c r="E223" s="53">
        <v>46155.025000000001</v>
      </c>
      <c r="F223" s="53">
        <v>46155.334027777775</v>
      </c>
      <c r="G223" s="53">
        <v>46157.958333333336</v>
      </c>
      <c r="H223" s="52"/>
      <c r="I223" s="52" t="s">
        <v>3693</v>
      </c>
      <c r="J223" s="52" t="s">
        <v>3693</v>
      </c>
      <c r="K223" s="53">
        <v>46155.943055555559</v>
      </c>
      <c r="L223" s="52" t="s">
        <v>3700</v>
      </c>
      <c r="M223" s="54">
        <v>2.7083333333333335</v>
      </c>
      <c r="N223" s="54">
        <v>3.2062499999999998</v>
      </c>
      <c r="O223" s="52"/>
      <c r="P223" s="52"/>
      <c r="Q223" s="52"/>
      <c r="R223" s="52"/>
      <c r="S223" s="52"/>
      <c r="T223" s="52" t="s">
        <v>3868</v>
      </c>
      <c r="U223" s="52" t="s">
        <v>3880</v>
      </c>
      <c r="V223" s="52"/>
      <c r="W223" s="52"/>
      <c r="X223" s="52"/>
      <c r="Y223" s="52"/>
      <c r="Z223" s="52" t="s">
        <v>3696</v>
      </c>
      <c r="AA223" s="52" t="s">
        <v>227</v>
      </c>
      <c r="AB223" s="52" t="s">
        <v>140</v>
      </c>
      <c r="AC223" s="52" t="s">
        <v>3703</v>
      </c>
      <c r="AD223" s="52" t="s">
        <v>3704</v>
      </c>
      <c r="AE223" s="52"/>
      <c r="AF223" s="52" t="s">
        <v>3714</v>
      </c>
      <c r="AG223" s="52" t="s">
        <v>3715</v>
      </c>
      <c r="AH223" s="52"/>
      <c r="AI223" s="52"/>
      <c r="AJ223" s="52"/>
      <c r="AK223" s="52"/>
      <c r="AL223" s="55">
        <v>3.888888888888889E-2</v>
      </c>
      <c r="AM223" s="52"/>
      <c r="AN223" s="52"/>
      <c r="AO223" s="52"/>
      <c r="AP223" s="52"/>
      <c r="AQ223" s="52"/>
      <c r="AR223" s="52"/>
      <c r="AS223" s="52">
        <v>0</v>
      </c>
      <c r="AT223" s="52"/>
      <c r="AU223" s="52"/>
      <c r="AV223" s="52" t="s">
        <v>984</v>
      </c>
      <c r="AW223" s="52"/>
    </row>
    <row r="224" spans="1:49">
      <c r="A224" s="52">
        <v>6013989</v>
      </c>
      <c r="B224" s="52" t="s">
        <v>3699</v>
      </c>
      <c r="C224" s="52" t="s">
        <v>3698</v>
      </c>
      <c r="D224" s="53">
        <v>46155.25</v>
      </c>
      <c r="E224" s="53">
        <v>46155.025000000001</v>
      </c>
      <c r="F224" s="53">
        <v>46155.337500000001</v>
      </c>
      <c r="G224" s="53">
        <v>46157.958333333336</v>
      </c>
      <c r="H224" s="53">
        <v>46155.802083333336</v>
      </c>
      <c r="I224" s="52"/>
      <c r="J224" s="52" t="s">
        <v>3693</v>
      </c>
      <c r="K224" s="53">
        <v>46155.943055555559</v>
      </c>
      <c r="L224" s="52"/>
      <c r="M224" s="54">
        <v>2.6208333333333331</v>
      </c>
      <c r="N224" s="54">
        <v>3.1187499999999999</v>
      </c>
      <c r="O224" s="52" t="s">
        <v>3187</v>
      </c>
      <c r="P224" s="52" t="s">
        <v>227</v>
      </c>
      <c r="Q224" s="52" t="s">
        <v>1186</v>
      </c>
      <c r="R224" s="52" t="s">
        <v>533</v>
      </c>
      <c r="S224" s="52" t="s">
        <v>789</v>
      </c>
      <c r="T224" s="52" t="s">
        <v>3868</v>
      </c>
      <c r="U224" s="52" t="s">
        <v>3880</v>
      </c>
      <c r="V224" s="52" t="s">
        <v>3744</v>
      </c>
      <c r="W224" s="52">
        <v>72206799987</v>
      </c>
      <c r="X224" s="52" t="s">
        <v>73</v>
      </c>
      <c r="Y224" s="52" t="s">
        <v>3745</v>
      </c>
      <c r="Z224" s="52" t="s">
        <v>3696</v>
      </c>
      <c r="AA224" s="52" t="s">
        <v>3710</v>
      </c>
      <c r="AB224" s="52"/>
      <c r="AC224" s="52" t="s">
        <v>3703</v>
      </c>
      <c r="AD224" s="52" t="s">
        <v>3704</v>
      </c>
      <c r="AE224" s="52" t="s">
        <v>140</v>
      </c>
      <c r="AF224" s="52" t="s">
        <v>3714</v>
      </c>
      <c r="AG224" s="52" t="s">
        <v>3715</v>
      </c>
      <c r="AH224" s="52"/>
      <c r="AI224" s="53">
        <v>46155.375</v>
      </c>
      <c r="AJ224" s="53">
        <v>46155.413888888892</v>
      </c>
      <c r="AK224" s="53">
        <v>46155.375</v>
      </c>
      <c r="AL224" s="55">
        <v>5.5555555555555552E-2</v>
      </c>
      <c r="AM224" s="52"/>
      <c r="AN224" s="55">
        <v>3.888888888888889E-2</v>
      </c>
      <c r="AO224" s="52"/>
      <c r="AP224" s="55">
        <v>5.5555555555555552E-2</v>
      </c>
      <c r="AQ224" s="52"/>
      <c r="AR224" s="52"/>
      <c r="AS224" s="52" t="s">
        <v>3696</v>
      </c>
      <c r="AT224" s="52"/>
      <c r="AU224" s="52"/>
      <c r="AV224" s="52"/>
      <c r="AW224" s="52"/>
    </row>
    <row r="225" spans="1:49">
      <c r="A225" s="52">
        <v>6013989</v>
      </c>
      <c r="B225" s="52" t="s">
        <v>3699</v>
      </c>
      <c r="C225" s="52" t="s">
        <v>3698</v>
      </c>
      <c r="D225" s="53">
        <v>46155.25</v>
      </c>
      <c r="E225" s="53">
        <v>46155.025000000001</v>
      </c>
      <c r="F225" s="53">
        <v>46155.337500000001</v>
      </c>
      <c r="G225" s="53">
        <v>46157.958333333336</v>
      </c>
      <c r="H225" s="53">
        <v>46155.802083333336</v>
      </c>
      <c r="I225" s="52"/>
      <c r="J225" s="52" t="s">
        <v>3693</v>
      </c>
      <c r="K225" s="53">
        <v>46155.943055555559</v>
      </c>
      <c r="L225" s="52"/>
      <c r="M225" s="54">
        <v>2.6208333333333331</v>
      </c>
      <c r="N225" s="54">
        <v>3.1187499999999999</v>
      </c>
      <c r="O225" s="52" t="s">
        <v>3187</v>
      </c>
      <c r="P225" s="52" t="s">
        <v>227</v>
      </c>
      <c r="Q225" s="52" t="s">
        <v>1186</v>
      </c>
      <c r="R225" s="52" t="s">
        <v>533</v>
      </c>
      <c r="S225" s="52" t="s">
        <v>789</v>
      </c>
      <c r="T225" s="52" t="s">
        <v>3868</v>
      </c>
      <c r="U225" s="52" t="s">
        <v>3880</v>
      </c>
      <c r="V225" s="52" t="s">
        <v>3744</v>
      </c>
      <c r="W225" s="52">
        <v>72206799987</v>
      </c>
      <c r="X225" s="52" t="s">
        <v>73</v>
      </c>
      <c r="Y225" s="52" t="s">
        <v>3745</v>
      </c>
      <c r="Z225" s="52" t="s">
        <v>3696</v>
      </c>
      <c r="AA225" s="52" t="s">
        <v>3710</v>
      </c>
      <c r="AB225" s="52"/>
      <c r="AC225" s="52" t="s">
        <v>3703</v>
      </c>
      <c r="AD225" s="52" t="s">
        <v>3704</v>
      </c>
      <c r="AE225" s="52"/>
      <c r="AF225" s="52" t="s">
        <v>3714</v>
      </c>
      <c r="AG225" s="52" t="s">
        <v>3715</v>
      </c>
      <c r="AH225" s="52"/>
      <c r="AI225" s="53">
        <v>46155.375</v>
      </c>
      <c r="AJ225" s="53">
        <v>46155.413888888892</v>
      </c>
      <c r="AK225" s="53">
        <v>46155.375</v>
      </c>
      <c r="AL225" s="55">
        <v>5.5555555555555552E-2</v>
      </c>
      <c r="AM225" s="52"/>
      <c r="AN225" s="55">
        <v>3.888888888888889E-2</v>
      </c>
      <c r="AO225" s="52"/>
      <c r="AP225" s="55">
        <v>5.5555555555555552E-2</v>
      </c>
      <c r="AQ225" s="52"/>
      <c r="AR225" s="52"/>
      <c r="AS225" s="52" t="s">
        <v>3696</v>
      </c>
      <c r="AT225" s="52"/>
      <c r="AU225" s="52"/>
      <c r="AV225" s="52"/>
      <c r="AW225" s="52" t="s">
        <v>984</v>
      </c>
    </row>
    <row r="226" spans="1:49">
      <c r="A226" s="52">
        <v>6013989</v>
      </c>
      <c r="B226" s="52" t="s">
        <v>3699</v>
      </c>
      <c r="C226" s="52" t="s">
        <v>3698</v>
      </c>
      <c r="D226" s="53">
        <v>46155.25</v>
      </c>
      <c r="E226" s="53">
        <v>46155.025000000001</v>
      </c>
      <c r="F226" s="53">
        <v>46156.770138888889</v>
      </c>
      <c r="G226" s="53">
        <v>46157.958333333336</v>
      </c>
      <c r="H226" s="53">
        <v>46157.570138888892</v>
      </c>
      <c r="I226" s="52"/>
      <c r="J226" s="52" t="s">
        <v>3693</v>
      </c>
      <c r="K226" s="53">
        <v>46155.943055555559</v>
      </c>
      <c r="L226" s="52"/>
      <c r="M226" s="54">
        <v>1.1881944444444446</v>
      </c>
      <c r="N226" s="54">
        <v>1.6861111111111111</v>
      </c>
      <c r="O226" s="52" t="s">
        <v>3479</v>
      </c>
      <c r="P226" s="52" t="s">
        <v>227</v>
      </c>
      <c r="Q226" s="52" t="s">
        <v>525</v>
      </c>
      <c r="R226" s="52" t="s">
        <v>533</v>
      </c>
      <c r="S226" s="52" t="s">
        <v>789</v>
      </c>
      <c r="T226" s="52" t="s">
        <v>3695</v>
      </c>
      <c r="U226" s="52" t="s">
        <v>3881</v>
      </c>
      <c r="V226" s="52" t="s">
        <v>534</v>
      </c>
      <c r="W226" s="52">
        <v>82602298972</v>
      </c>
      <c r="X226" s="52" t="s">
        <v>73</v>
      </c>
      <c r="Y226" s="52" t="s">
        <v>3745</v>
      </c>
      <c r="Z226" s="52" t="s">
        <v>3696</v>
      </c>
      <c r="AA226" s="52" t="s">
        <v>3710</v>
      </c>
      <c r="AB226" s="52"/>
      <c r="AC226" s="52" t="s">
        <v>3703</v>
      </c>
      <c r="AD226" s="52" t="s">
        <v>3704</v>
      </c>
      <c r="AE226" s="52" t="s">
        <v>140</v>
      </c>
      <c r="AF226" s="52" t="s">
        <v>3714</v>
      </c>
      <c r="AG226" s="52" t="s">
        <v>3715</v>
      </c>
      <c r="AH226" s="52"/>
      <c r="AI226" s="53">
        <v>46155.375</v>
      </c>
      <c r="AJ226" s="53">
        <v>46155.413888888892</v>
      </c>
      <c r="AK226" s="53">
        <v>46155.375</v>
      </c>
      <c r="AL226" s="55">
        <v>0.70486111111111116</v>
      </c>
      <c r="AM226" s="52"/>
      <c r="AN226" s="55">
        <v>3.888888888888889E-2</v>
      </c>
      <c r="AO226" s="52"/>
      <c r="AP226" s="55">
        <v>0.70486111111111116</v>
      </c>
      <c r="AQ226" s="52"/>
      <c r="AR226" s="52"/>
      <c r="AS226" s="52" t="s">
        <v>3696</v>
      </c>
      <c r="AT226" s="52"/>
      <c r="AU226" s="52"/>
      <c r="AV226" s="52"/>
      <c r="AW226" s="52"/>
    </row>
    <row r="227" spans="1:49">
      <c r="A227" s="52">
        <v>6013989</v>
      </c>
      <c r="B227" s="52" t="s">
        <v>3699</v>
      </c>
      <c r="C227" s="52" t="s">
        <v>3698</v>
      </c>
      <c r="D227" s="53">
        <v>46155.25</v>
      </c>
      <c r="E227" s="53">
        <v>46155.025000000001</v>
      </c>
      <c r="F227" s="53">
        <v>46156.770138888889</v>
      </c>
      <c r="G227" s="53">
        <v>46157.958333333336</v>
      </c>
      <c r="H227" s="53">
        <v>46157.570138888892</v>
      </c>
      <c r="I227" s="52"/>
      <c r="J227" s="52" t="s">
        <v>3693</v>
      </c>
      <c r="K227" s="53">
        <v>46155.943055555559</v>
      </c>
      <c r="L227" s="52"/>
      <c r="M227" s="54">
        <v>1.1881944444444446</v>
      </c>
      <c r="N227" s="54">
        <v>1.6861111111111111</v>
      </c>
      <c r="O227" s="52" t="s">
        <v>3479</v>
      </c>
      <c r="P227" s="52" t="s">
        <v>227</v>
      </c>
      <c r="Q227" s="52" t="s">
        <v>525</v>
      </c>
      <c r="R227" s="52" t="s">
        <v>533</v>
      </c>
      <c r="S227" s="52" t="s">
        <v>789</v>
      </c>
      <c r="T227" s="52" t="s">
        <v>3695</v>
      </c>
      <c r="U227" s="52" t="s">
        <v>3881</v>
      </c>
      <c r="V227" s="52" t="s">
        <v>534</v>
      </c>
      <c r="W227" s="52">
        <v>82602298972</v>
      </c>
      <c r="X227" s="52" t="s">
        <v>73</v>
      </c>
      <c r="Y227" s="52" t="s">
        <v>3745</v>
      </c>
      <c r="Z227" s="52" t="s">
        <v>3696</v>
      </c>
      <c r="AA227" s="52" t="s">
        <v>3710</v>
      </c>
      <c r="AB227" s="52"/>
      <c r="AC227" s="52" t="s">
        <v>3703</v>
      </c>
      <c r="AD227" s="52" t="s">
        <v>3704</v>
      </c>
      <c r="AE227" s="52"/>
      <c r="AF227" s="52" t="s">
        <v>3714</v>
      </c>
      <c r="AG227" s="52" t="s">
        <v>3715</v>
      </c>
      <c r="AH227" s="52"/>
      <c r="AI227" s="53">
        <v>46155.375</v>
      </c>
      <c r="AJ227" s="53">
        <v>46155.413888888892</v>
      </c>
      <c r="AK227" s="53">
        <v>46155.375</v>
      </c>
      <c r="AL227" s="55">
        <v>0.70486111111111116</v>
      </c>
      <c r="AM227" s="52"/>
      <c r="AN227" s="55">
        <v>3.888888888888889E-2</v>
      </c>
      <c r="AO227" s="52"/>
      <c r="AP227" s="55">
        <v>0.70486111111111116</v>
      </c>
      <c r="AQ227" s="52"/>
      <c r="AR227" s="52"/>
      <c r="AS227" s="52" t="s">
        <v>3696</v>
      </c>
      <c r="AT227" s="52"/>
      <c r="AU227" s="52"/>
      <c r="AV227" s="52"/>
      <c r="AW227" s="52" t="s">
        <v>984</v>
      </c>
    </row>
    <row r="228" spans="1:49">
      <c r="A228" s="52">
        <v>6013990</v>
      </c>
      <c r="B228" s="52" t="s">
        <v>3723</v>
      </c>
      <c r="C228" s="52" t="s">
        <v>3692</v>
      </c>
      <c r="D228" s="53">
        <v>46155.416666666664</v>
      </c>
      <c r="E228" s="53">
        <v>46155.390277777777</v>
      </c>
      <c r="F228" s="53">
        <v>46155.96875</v>
      </c>
      <c r="G228" s="53">
        <v>46157.25</v>
      </c>
      <c r="H228" s="52"/>
      <c r="I228" s="52" t="s">
        <v>3693</v>
      </c>
      <c r="J228" s="52" t="s">
        <v>3693</v>
      </c>
      <c r="K228" s="52"/>
      <c r="L228" s="52" t="s">
        <v>3735</v>
      </c>
      <c r="M228" s="54">
        <v>1.1770833333333333</v>
      </c>
      <c r="N228" s="55">
        <v>0.6166666666666667</v>
      </c>
      <c r="O228" s="52"/>
      <c r="P228" s="52"/>
      <c r="Q228" s="52"/>
      <c r="R228" s="52"/>
      <c r="S228" s="52"/>
      <c r="T228" s="52" t="s">
        <v>3695</v>
      </c>
      <c r="U228" s="52" t="s">
        <v>3695</v>
      </c>
      <c r="V228" s="52"/>
      <c r="W228" s="52"/>
      <c r="X228" s="52"/>
      <c r="Y228" s="52"/>
      <c r="Z228" s="52" t="s">
        <v>3696</v>
      </c>
      <c r="AA228" s="52" t="s">
        <v>171</v>
      </c>
      <c r="AB228" s="52" t="s">
        <v>140</v>
      </c>
      <c r="AC228" s="52" t="s">
        <v>3703</v>
      </c>
      <c r="AD228" s="52" t="s">
        <v>3704</v>
      </c>
      <c r="AE228" s="52"/>
      <c r="AF228" s="52" t="s">
        <v>3714</v>
      </c>
      <c r="AG228" s="52" t="s">
        <v>3715</v>
      </c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>
        <v>0</v>
      </c>
      <c r="AT228" s="52"/>
      <c r="AU228" s="52"/>
      <c r="AV228" s="52" t="s">
        <v>984</v>
      </c>
      <c r="AW228" s="52"/>
    </row>
    <row r="229" spans="1:49">
      <c r="A229" s="52">
        <v>6013990</v>
      </c>
      <c r="B229" s="52" t="s">
        <v>3723</v>
      </c>
      <c r="C229" s="52" t="s">
        <v>3698</v>
      </c>
      <c r="D229" s="53">
        <v>46155.416666666664</v>
      </c>
      <c r="E229" s="53">
        <v>46155.390277777777</v>
      </c>
      <c r="F229" s="53">
        <v>46156.195833333331</v>
      </c>
      <c r="G229" s="53">
        <v>46157.25</v>
      </c>
      <c r="H229" s="52"/>
      <c r="I229" s="52"/>
      <c r="J229" s="52" t="s">
        <v>3693</v>
      </c>
      <c r="K229" s="52"/>
      <c r="L229" s="52"/>
      <c r="M229" s="54">
        <v>1.0541666666666667</v>
      </c>
      <c r="N229" s="54">
        <v>2.2604166666666665</v>
      </c>
      <c r="O229" s="52" t="s">
        <v>3882</v>
      </c>
      <c r="P229" s="52" t="s">
        <v>171</v>
      </c>
      <c r="Q229" s="52" t="s">
        <v>3347</v>
      </c>
      <c r="R229" s="52" t="s">
        <v>3349</v>
      </c>
      <c r="S229" s="52" t="s">
        <v>3756</v>
      </c>
      <c r="T229" s="52" t="s">
        <v>3695</v>
      </c>
      <c r="U229" s="52" t="s">
        <v>3695</v>
      </c>
      <c r="V229" s="52" t="s">
        <v>3350</v>
      </c>
      <c r="W229" s="52">
        <v>70862059232</v>
      </c>
      <c r="X229" s="52" t="s">
        <v>73</v>
      </c>
      <c r="Y229" s="52"/>
      <c r="Z229" s="52" t="s">
        <v>3696</v>
      </c>
      <c r="AA229" s="52" t="s">
        <v>3710</v>
      </c>
      <c r="AB229" s="52"/>
      <c r="AC229" s="52" t="s">
        <v>3703</v>
      </c>
      <c r="AD229" s="52" t="s">
        <v>3704</v>
      </c>
      <c r="AE229" s="52" t="s">
        <v>140</v>
      </c>
      <c r="AF229" s="52" t="s">
        <v>3714</v>
      </c>
      <c r="AG229" s="52" t="s">
        <v>3715</v>
      </c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 t="s">
        <v>3696</v>
      </c>
      <c r="AT229" s="52"/>
      <c r="AU229" s="52"/>
      <c r="AV229" s="52"/>
      <c r="AW229" s="52"/>
    </row>
    <row r="230" spans="1:49">
      <c r="A230" s="52">
        <v>6013990</v>
      </c>
      <c r="B230" s="52" t="s">
        <v>3723</v>
      </c>
      <c r="C230" s="52" t="s">
        <v>3698</v>
      </c>
      <c r="D230" s="53">
        <v>46155.416666666664</v>
      </c>
      <c r="E230" s="53">
        <v>46155.390277777777</v>
      </c>
      <c r="F230" s="53">
        <v>46156.195833333331</v>
      </c>
      <c r="G230" s="53">
        <v>46157.25</v>
      </c>
      <c r="H230" s="52"/>
      <c r="I230" s="52"/>
      <c r="J230" s="52" t="s">
        <v>3693</v>
      </c>
      <c r="K230" s="52"/>
      <c r="L230" s="52"/>
      <c r="M230" s="54">
        <v>1.0541666666666667</v>
      </c>
      <c r="N230" s="54">
        <v>2.2604166666666665</v>
      </c>
      <c r="O230" s="52" t="s">
        <v>3882</v>
      </c>
      <c r="P230" s="52" t="s">
        <v>171</v>
      </c>
      <c r="Q230" s="52" t="s">
        <v>3347</v>
      </c>
      <c r="R230" s="52" t="s">
        <v>3349</v>
      </c>
      <c r="S230" s="52" t="s">
        <v>3756</v>
      </c>
      <c r="T230" s="52" t="s">
        <v>3695</v>
      </c>
      <c r="U230" s="52" t="s">
        <v>3695</v>
      </c>
      <c r="V230" s="52" t="s">
        <v>3350</v>
      </c>
      <c r="W230" s="52">
        <v>70862059232</v>
      </c>
      <c r="X230" s="52" t="s">
        <v>73</v>
      </c>
      <c r="Y230" s="52"/>
      <c r="Z230" s="52" t="s">
        <v>3696</v>
      </c>
      <c r="AA230" s="52" t="s">
        <v>3710</v>
      </c>
      <c r="AB230" s="52"/>
      <c r="AC230" s="52" t="s">
        <v>3703</v>
      </c>
      <c r="AD230" s="52" t="s">
        <v>3704</v>
      </c>
      <c r="AE230" s="52"/>
      <c r="AF230" s="52" t="s">
        <v>3714</v>
      </c>
      <c r="AG230" s="52" t="s">
        <v>3715</v>
      </c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 t="s">
        <v>3696</v>
      </c>
      <c r="AT230" s="52"/>
      <c r="AU230" s="52"/>
      <c r="AV230" s="52"/>
      <c r="AW230" s="52" t="s">
        <v>984</v>
      </c>
    </row>
    <row r="231" spans="1:49">
      <c r="A231" s="52">
        <v>6013990</v>
      </c>
      <c r="B231" s="52" t="s">
        <v>3723</v>
      </c>
      <c r="C231" s="52" t="s">
        <v>3698</v>
      </c>
      <c r="D231" s="53">
        <v>46155.416666666664</v>
      </c>
      <c r="E231" s="53">
        <v>46155.390277777777</v>
      </c>
      <c r="F231" s="53">
        <v>46156.321527777778</v>
      </c>
      <c r="G231" s="53">
        <v>46157.25</v>
      </c>
      <c r="H231" s="53">
        <v>46157.536805555559</v>
      </c>
      <c r="I231" s="52"/>
      <c r="J231" s="52" t="s">
        <v>3693</v>
      </c>
      <c r="K231" s="52"/>
      <c r="L231" s="52"/>
      <c r="M231" s="55">
        <v>0.92847222222222225</v>
      </c>
      <c r="N231" s="54">
        <v>2.1347222222222224</v>
      </c>
      <c r="O231" s="52" t="s">
        <v>3348</v>
      </c>
      <c r="P231" s="52" t="s">
        <v>171</v>
      </c>
      <c r="Q231" s="52" t="s">
        <v>3347</v>
      </c>
      <c r="R231" s="52" t="s">
        <v>3349</v>
      </c>
      <c r="S231" s="52" t="s">
        <v>789</v>
      </c>
      <c r="T231" s="52" t="s">
        <v>3712</v>
      </c>
      <c r="U231" s="52" t="s">
        <v>3883</v>
      </c>
      <c r="V231" s="52" t="s">
        <v>3350</v>
      </c>
      <c r="W231" s="52">
        <v>70862059232</v>
      </c>
      <c r="X231" s="52" t="s">
        <v>73</v>
      </c>
      <c r="Y231" s="52"/>
      <c r="Z231" s="52" t="s">
        <v>3696</v>
      </c>
      <c r="AA231" s="52" t="s">
        <v>3710</v>
      </c>
      <c r="AB231" s="52"/>
      <c r="AC231" s="52" t="s">
        <v>3703</v>
      </c>
      <c r="AD231" s="52" t="s">
        <v>3704</v>
      </c>
      <c r="AE231" s="52" t="s">
        <v>140</v>
      </c>
      <c r="AF231" s="52" t="s">
        <v>3714</v>
      </c>
      <c r="AG231" s="52" t="s">
        <v>3715</v>
      </c>
      <c r="AH231" s="52"/>
      <c r="AI231" s="52"/>
      <c r="AJ231" s="52"/>
      <c r="AK231" s="52"/>
      <c r="AL231" s="55">
        <v>0.7993055555555556</v>
      </c>
      <c r="AM231" s="52"/>
      <c r="AN231" s="52"/>
      <c r="AO231" s="52"/>
      <c r="AP231" s="55">
        <v>0.7993055555555556</v>
      </c>
      <c r="AQ231" s="52"/>
      <c r="AR231" s="52"/>
      <c r="AS231" s="52" t="s">
        <v>3696</v>
      </c>
      <c r="AT231" s="52"/>
      <c r="AU231" s="52"/>
      <c r="AV231" s="52"/>
      <c r="AW231" s="52"/>
    </row>
    <row r="232" spans="1:49">
      <c r="A232" s="52">
        <v>6013990</v>
      </c>
      <c r="B232" s="52" t="s">
        <v>3723</v>
      </c>
      <c r="C232" s="52" t="s">
        <v>3698</v>
      </c>
      <c r="D232" s="53">
        <v>46155.416666666664</v>
      </c>
      <c r="E232" s="53">
        <v>46155.390277777777</v>
      </c>
      <c r="F232" s="53">
        <v>46156.321527777778</v>
      </c>
      <c r="G232" s="53">
        <v>46157.25</v>
      </c>
      <c r="H232" s="53">
        <v>46157.536805555559</v>
      </c>
      <c r="I232" s="52"/>
      <c r="J232" s="52" t="s">
        <v>3693</v>
      </c>
      <c r="K232" s="52"/>
      <c r="L232" s="52"/>
      <c r="M232" s="55">
        <v>0.92847222222222225</v>
      </c>
      <c r="N232" s="54">
        <v>2.1347222222222224</v>
      </c>
      <c r="O232" s="52" t="s">
        <v>3348</v>
      </c>
      <c r="P232" s="52" t="s">
        <v>171</v>
      </c>
      <c r="Q232" s="52" t="s">
        <v>3347</v>
      </c>
      <c r="R232" s="52" t="s">
        <v>3349</v>
      </c>
      <c r="S232" s="52" t="s">
        <v>789</v>
      </c>
      <c r="T232" s="52" t="s">
        <v>3712</v>
      </c>
      <c r="U232" s="52" t="s">
        <v>3883</v>
      </c>
      <c r="V232" s="52" t="s">
        <v>3350</v>
      </c>
      <c r="W232" s="52">
        <v>70862059232</v>
      </c>
      <c r="X232" s="52" t="s">
        <v>73</v>
      </c>
      <c r="Y232" s="52"/>
      <c r="Z232" s="52" t="s">
        <v>3696</v>
      </c>
      <c r="AA232" s="52" t="s">
        <v>3710</v>
      </c>
      <c r="AB232" s="52"/>
      <c r="AC232" s="52" t="s">
        <v>3703</v>
      </c>
      <c r="AD232" s="52" t="s">
        <v>3704</v>
      </c>
      <c r="AE232" s="52"/>
      <c r="AF232" s="52" t="s">
        <v>3714</v>
      </c>
      <c r="AG232" s="52" t="s">
        <v>3715</v>
      </c>
      <c r="AH232" s="52"/>
      <c r="AI232" s="52"/>
      <c r="AJ232" s="52"/>
      <c r="AK232" s="52"/>
      <c r="AL232" s="55">
        <v>0.7993055555555556</v>
      </c>
      <c r="AM232" s="52"/>
      <c r="AN232" s="52"/>
      <c r="AO232" s="52"/>
      <c r="AP232" s="55">
        <v>0.7993055555555556</v>
      </c>
      <c r="AQ232" s="52"/>
      <c r="AR232" s="52"/>
      <c r="AS232" s="52" t="s">
        <v>3696</v>
      </c>
      <c r="AT232" s="52"/>
      <c r="AU232" s="52"/>
      <c r="AV232" s="52"/>
      <c r="AW232" s="52" t="s">
        <v>984</v>
      </c>
    </row>
    <row r="233" spans="1:49">
      <c r="A233" s="52">
        <v>6013991</v>
      </c>
      <c r="B233" s="52" t="s">
        <v>3699</v>
      </c>
      <c r="C233" s="52" t="s">
        <v>3692</v>
      </c>
      <c r="D233" s="53">
        <v>46154.25</v>
      </c>
      <c r="E233" s="53">
        <v>46153.586805555555</v>
      </c>
      <c r="F233" s="53">
        <v>46155.459722222222</v>
      </c>
      <c r="G233" s="53">
        <v>46157.25</v>
      </c>
      <c r="H233" s="52"/>
      <c r="I233" s="52" t="s">
        <v>3693</v>
      </c>
      <c r="J233" s="52" t="s">
        <v>3693</v>
      </c>
      <c r="K233" s="52"/>
      <c r="L233" s="52" t="s">
        <v>3700</v>
      </c>
      <c r="M233" s="54">
        <v>1.1770833333333333</v>
      </c>
      <c r="N233" s="54">
        <v>3.3833333333333333</v>
      </c>
      <c r="O233" s="52"/>
      <c r="P233" s="52"/>
      <c r="Q233" s="52"/>
      <c r="R233" s="52"/>
      <c r="S233" s="52"/>
      <c r="T233" s="52" t="s">
        <v>3712</v>
      </c>
      <c r="U233" s="52" t="s">
        <v>3884</v>
      </c>
      <c r="V233" s="52"/>
      <c r="W233" s="52"/>
      <c r="X233" s="52"/>
      <c r="Y233" s="52"/>
      <c r="Z233" s="52" t="s">
        <v>3696</v>
      </c>
      <c r="AA233" s="52" t="s">
        <v>171</v>
      </c>
      <c r="AB233" s="52" t="s">
        <v>140</v>
      </c>
      <c r="AC233" s="52" t="s">
        <v>3703</v>
      </c>
      <c r="AD233" s="52" t="s">
        <v>3704</v>
      </c>
      <c r="AE233" s="52"/>
      <c r="AF233" s="52" t="s">
        <v>3714</v>
      </c>
      <c r="AG233" s="52" t="s">
        <v>3715</v>
      </c>
      <c r="AH233" s="52"/>
      <c r="AI233" s="52"/>
      <c r="AJ233" s="52"/>
      <c r="AK233" s="52"/>
      <c r="AL233" s="55">
        <v>2.0833333333333332E-2</v>
      </c>
      <c r="AM233" s="52"/>
      <c r="AN233" s="52"/>
      <c r="AO233" s="52"/>
      <c r="AP233" s="52"/>
      <c r="AQ233" s="52"/>
      <c r="AR233" s="52"/>
      <c r="AS233" s="52">
        <v>0</v>
      </c>
      <c r="AT233" s="52"/>
      <c r="AU233" s="52"/>
      <c r="AV233" s="52" t="s">
        <v>984</v>
      </c>
      <c r="AW233" s="52"/>
    </row>
    <row r="234" spans="1:49">
      <c r="A234" s="52">
        <v>6013991</v>
      </c>
      <c r="B234" s="52" t="s">
        <v>3699</v>
      </c>
      <c r="C234" s="52" t="s">
        <v>3698</v>
      </c>
      <c r="D234" s="53">
        <v>46154.25</v>
      </c>
      <c r="E234" s="53">
        <v>46153.586805555555</v>
      </c>
      <c r="F234" s="53">
        <v>46155.626388888886</v>
      </c>
      <c r="G234" s="53">
        <v>46156.25</v>
      </c>
      <c r="H234" s="53">
        <v>46157.393750000003</v>
      </c>
      <c r="I234" s="52"/>
      <c r="J234" s="52" t="s">
        <v>3693</v>
      </c>
      <c r="K234" s="53">
        <v>46156.063888888886</v>
      </c>
      <c r="L234" s="52"/>
      <c r="M234" s="55">
        <v>0.62361111111111112</v>
      </c>
      <c r="N234" s="54">
        <v>2.8298611111111112</v>
      </c>
      <c r="O234" s="52" t="s">
        <v>3216</v>
      </c>
      <c r="P234" s="52" t="s">
        <v>171</v>
      </c>
      <c r="Q234" s="52" t="s">
        <v>744</v>
      </c>
      <c r="R234" s="52" t="s">
        <v>753</v>
      </c>
      <c r="S234" s="52" t="s">
        <v>789</v>
      </c>
      <c r="T234" s="52" t="s">
        <v>3712</v>
      </c>
      <c r="U234" s="52" t="s">
        <v>3884</v>
      </c>
      <c r="V234" s="52" t="s">
        <v>3747</v>
      </c>
      <c r="W234" s="52">
        <v>54174724253</v>
      </c>
      <c r="X234" s="52" t="s">
        <v>73</v>
      </c>
      <c r="Y234" s="52"/>
      <c r="Z234" s="52" t="s">
        <v>3696</v>
      </c>
      <c r="AA234" s="52" t="s">
        <v>3710</v>
      </c>
      <c r="AB234" s="52"/>
      <c r="AC234" s="52" t="s">
        <v>3703</v>
      </c>
      <c r="AD234" s="52" t="s">
        <v>3704</v>
      </c>
      <c r="AE234" s="52" t="s">
        <v>140</v>
      </c>
      <c r="AF234" s="52" t="s">
        <v>3714</v>
      </c>
      <c r="AG234" s="52" t="s">
        <v>3715</v>
      </c>
      <c r="AH234" s="52"/>
      <c r="AI234" s="53">
        <v>46155.625</v>
      </c>
      <c r="AJ234" s="53">
        <v>46155.645833333336</v>
      </c>
      <c r="AK234" s="53">
        <v>46155.625</v>
      </c>
      <c r="AL234" s="54">
        <v>1.3506944444444444</v>
      </c>
      <c r="AM234" s="52"/>
      <c r="AN234" s="55">
        <v>2.0833333333333332E-2</v>
      </c>
      <c r="AO234" s="54">
        <v>1.3298611111111112</v>
      </c>
      <c r="AP234" s="54">
        <v>1.3506944444444444</v>
      </c>
      <c r="AQ234" s="52"/>
      <c r="AR234" s="52"/>
      <c r="AS234" s="52" t="s">
        <v>3696</v>
      </c>
      <c r="AT234" s="52"/>
      <c r="AU234" s="52"/>
      <c r="AV234" s="52"/>
      <c r="AW234" s="52"/>
    </row>
    <row r="235" spans="1:49">
      <c r="A235" s="52">
        <v>6013991</v>
      </c>
      <c r="B235" s="52" t="s">
        <v>3699</v>
      </c>
      <c r="C235" s="52" t="s">
        <v>3698</v>
      </c>
      <c r="D235" s="53">
        <v>46154.25</v>
      </c>
      <c r="E235" s="53">
        <v>46153.586805555555</v>
      </c>
      <c r="F235" s="53">
        <v>46155.626388888886</v>
      </c>
      <c r="G235" s="53">
        <v>46156.25</v>
      </c>
      <c r="H235" s="53">
        <v>46157.393750000003</v>
      </c>
      <c r="I235" s="52"/>
      <c r="J235" s="52" t="s">
        <v>3693</v>
      </c>
      <c r="K235" s="53">
        <v>46156.063888888886</v>
      </c>
      <c r="L235" s="52"/>
      <c r="M235" s="55">
        <v>0.62361111111111112</v>
      </c>
      <c r="N235" s="54">
        <v>2.8298611111111112</v>
      </c>
      <c r="O235" s="52" t="s">
        <v>3216</v>
      </c>
      <c r="P235" s="52" t="s">
        <v>171</v>
      </c>
      <c r="Q235" s="52" t="s">
        <v>744</v>
      </c>
      <c r="R235" s="52" t="s">
        <v>753</v>
      </c>
      <c r="S235" s="52" t="s">
        <v>789</v>
      </c>
      <c r="T235" s="52" t="s">
        <v>3712</v>
      </c>
      <c r="U235" s="52" t="s">
        <v>3884</v>
      </c>
      <c r="V235" s="52" t="s">
        <v>3747</v>
      </c>
      <c r="W235" s="52">
        <v>54174724253</v>
      </c>
      <c r="X235" s="52" t="s">
        <v>73</v>
      </c>
      <c r="Y235" s="52"/>
      <c r="Z235" s="52" t="s">
        <v>3696</v>
      </c>
      <c r="AA235" s="52" t="s">
        <v>3710</v>
      </c>
      <c r="AB235" s="52"/>
      <c r="AC235" s="52" t="s">
        <v>3703</v>
      </c>
      <c r="AD235" s="52" t="s">
        <v>3704</v>
      </c>
      <c r="AE235" s="52"/>
      <c r="AF235" s="52" t="s">
        <v>3714</v>
      </c>
      <c r="AG235" s="52" t="s">
        <v>3715</v>
      </c>
      <c r="AH235" s="52"/>
      <c r="AI235" s="53">
        <v>46155.625</v>
      </c>
      <c r="AJ235" s="53">
        <v>46155.645833333336</v>
      </c>
      <c r="AK235" s="53">
        <v>46155.625</v>
      </c>
      <c r="AL235" s="54">
        <v>1.3506944444444444</v>
      </c>
      <c r="AM235" s="52"/>
      <c r="AN235" s="55">
        <v>2.0833333333333332E-2</v>
      </c>
      <c r="AO235" s="54">
        <v>1.3298611111111112</v>
      </c>
      <c r="AP235" s="54">
        <v>1.3506944444444444</v>
      </c>
      <c r="AQ235" s="52"/>
      <c r="AR235" s="52"/>
      <c r="AS235" s="52" t="s">
        <v>3696</v>
      </c>
      <c r="AT235" s="52"/>
      <c r="AU235" s="52"/>
      <c r="AV235" s="52"/>
      <c r="AW235" s="52" t="s">
        <v>984</v>
      </c>
    </row>
    <row r="236" spans="1:49">
      <c r="A236" s="52">
        <v>6013991</v>
      </c>
      <c r="B236" s="52" t="s">
        <v>3699</v>
      </c>
      <c r="C236" s="52" t="s">
        <v>3698</v>
      </c>
      <c r="D236" s="53">
        <v>46154.25</v>
      </c>
      <c r="E236" s="53">
        <v>46153.586805555555</v>
      </c>
      <c r="F236" s="53">
        <v>46156.195833333331</v>
      </c>
      <c r="G236" s="53">
        <v>46156.25</v>
      </c>
      <c r="H236" s="52"/>
      <c r="I236" s="52"/>
      <c r="J236" s="52" t="s">
        <v>3693</v>
      </c>
      <c r="K236" s="53">
        <v>46156.063888888886</v>
      </c>
      <c r="L236" s="52"/>
      <c r="M236" s="55">
        <v>5.4166666666666669E-2</v>
      </c>
      <c r="N236" s="54">
        <v>2.2604166666666665</v>
      </c>
      <c r="O236" s="52" t="s">
        <v>3882</v>
      </c>
      <c r="P236" s="52" t="s">
        <v>171</v>
      </c>
      <c r="Q236" s="52" t="s">
        <v>3347</v>
      </c>
      <c r="R236" s="52" t="s">
        <v>3349</v>
      </c>
      <c r="S236" s="52" t="s">
        <v>3756</v>
      </c>
      <c r="T236" s="52" t="s">
        <v>3695</v>
      </c>
      <c r="U236" s="52" t="s">
        <v>3695</v>
      </c>
      <c r="V236" s="52" t="s">
        <v>3350</v>
      </c>
      <c r="W236" s="52">
        <v>70862059232</v>
      </c>
      <c r="X236" s="52" t="s">
        <v>73</v>
      </c>
      <c r="Y236" s="52"/>
      <c r="Z236" s="52" t="s">
        <v>3696</v>
      </c>
      <c r="AA236" s="52" t="s">
        <v>3710</v>
      </c>
      <c r="AB236" s="52"/>
      <c r="AC236" s="52" t="s">
        <v>3703</v>
      </c>
      <c r="AD236" s="52" t="s">
        <v>3704</v>
      </c>
      <c r="AE236" s="52" t="s">
        <v>140</v>
      </c>
      <c r="AF236" s="52" t="s">
        <v>3714</v>
      </c>
      <c r="AG236" s="52" t="s">
        <v>3715</v>
      </c>
      <c r="AH236" s="52"/>
      <c r="AI236" s="53">
        <v>46155.625</v>
      </c>
      <c r="AJ236" s="53">
        <v>46155.645833333336</v>
      </c>
      <c r="AK236" s="53">
        <v>46155.625</v>
      </c>
      <c r="AL236" s="52"/>
      <c r="AM236" s="52"/>
      <c r="AN236" s="55">
        <v>2.0833333333333332E-2</v>
      </c>
      <c r="AO236" s="54">
        <v>1.3298611111111112</v>
      </c>
      <c r="AP236" s="52"/>
      <c r="AQ236" s="52"/>
      <c r="AR236" s="52"/>
      <c r="AS236" s="52" t="s">
        <v>3696</v>
      </c>
      <c r="AT236" s="52"/>
      <c r="AU236" s="52"/>
      <c r="AV236" s="52"/>
      <c r="AW236" s="52"/>
    </row>
    <row r="237" spans="1:49">
      <c r="A237" s="52">
        <v>6013991</v>
      </c>
      <c r="B237" s="52" t="s">
        <v>3699</v>
      </c>
      <c r="C237" s="52" t="s">
        <v>3698</v>
      </c>
      <c r="D237" s="53">
        <v>46154.25</v>
      </c>
      <c r="E237" s="53">
        <v>46153.586805555555</v>
      </c>
      <c r="F237" s="53">
        <v>46156.195833333331</v>
      </c>
      <c r="G237" s="53">
        <v>46156.25</v>
      </c>
      <c r="H237" s="52"/>
      <c r="I237" s="52"/>
      <c r="J237" s="52" t="s">
        <v>3693</v>
      </c>
      <c r="K237" s="53">
        <v>46156.063888888886</v>
      </c>
      <c r="L237" s="52"/>
      <c r="M237" s="55">
        <v>5.4166666666666669E-2</v>
      </c>
      <c r="N237" s="54">
        <v>2.2604166666666665</v>
      </c>
      <c r="O237" s="52" t="s">
        <v>3882</v>
      </c>
      <c r="P237" s="52" t="s">
        <v>171</v>
      </c>
      <c r="Q237" s="52" t="s">
        <v>3347</v>
      </c>
      <c r="R237" s="52" t="s">
        <v>3349</v>
      </c>
      <c r="S237" s="52" t="s">
        <v>3756</v>
      </c>
      <c r="T237" s="52" t="s">
        <v>3695</v>
      </c>
      <c r="U237" s="52" t="s">
        <v>3695</v>
      </c>
      <c r="V237" s="52" t="s">
        <v>3350</v>
      </c>
      <c r="W237" s="52">
        <v>70862059232</v>
      </c>
      <c r="X237" s="52" t="s">
        <v>73</v>
      </c>
      <c r="Y237" s="52"/>
      <c r="Z237" s="52" t="s">
        <v>3696</v>
      </c>
      <c r="AA237" s="52" t="s">
        <v>3710</v>
      </c>
      <c r="AB237" s="52"/>
      <c r="AC237" s="52" t="s">
        <v>3703</v>
      </c>
      <c r="AD237" s="52" t="s">
        <v>3704</v>
      </c>
      <c r="AE237" s="52"/>
      <c r="AF237" s="52" t="s">
        <v>3714</v>
      </c>
      <c r="AG237" s="52" t="s">
        <v>3715</v>
      </c>
      <c r="AH237" s="52"/>
      <c r="AI237" s="53">
        <v>46155.625</v>
      </c>
      <c r="AJ237" s="53">
        <v>46155.645833333336</v>
      </c>
      <c r="AK237" s="53">
        <v>46155.625</v>
      </c>
      <c r="AL237" s="52"/>
      <c r="AM237" s="52"/>
      <c r="AN237" s="55">
        <v>2.0833333333333332E-2</v>
      </c>
      <c r="AO237" s="54">
        <v>1.3298611111111112</v>
      </c>
      <c r="AP237" s="52"/>
      <c r="AQ237" s="52"/>
      <c r="AR237" s="52"/>
      <c r="AS237" s="52" t="s">
        <v>3696</v>
      </c>
      <c r="AT237" s="52"/>
      <c r="AU237" s="52"/>
      <c r="AV237" s="52"/>
      <c r="AW237" s="52" t="s">
        <v>984</v>
      </c>
    </row>
    <row r="238" spans="1:49">
      <c r="A238" s="52">
        <v>6014054</v>
      </c>
      <c r="B238" s="52" t="s">
        <v>3716</v>
      </c>
      <c r="C238" s="52" t="s">
        <v>3692</v>
      </c>
      <c r="D238" s="53">
        <v>46156.5</v>
      </c>
      <c r="E238" s="53">
        <v>46156.311111111114</v>
      </c>
      <c r="F238" s="53">
        <v>46156.34375</v>
      </c>
      <c r="G238" s="53">
        <v>46162.25</v>
      </c>
      <c r="H238" s="52"/>
      <c r="I238" s="52" t="s">
        <v>3693</v>
      </c>
      <c r="J238" s="52" t="s">
        <v>3694</v>
      </c>
      <c r="K238" s="53">
        <v>46160.068749999999</v>
      </c>
      <c r="L238" s="52"/>
      <c r="M238" s="54">
        <v>3.8333333333333335</v>
      </c>
      <c r="N238" s="55">
        <v>3.9583333333333331E-2</v>
      </c>
      <c r="O238" s="52"/>
      <c r="P238" s="52"/>
      <c r="Q238" s="52"/>
      <c r="R238" s="52"/>
      <c r="S238" s="52"/>
      <c r="T238" s="52" t="s">
        <v>3885</v>
      </c>
      <c r="U238" s="52" t="s">
        <v>3886</v>
      </c>
      <c r="V238" s="52"/>
      <c r="W238" s="52"/>
      <c r="X238" s="52"/>
      <c r="Y238" s="52"/>
      <c r="Z238" s="52" t="s">
        <v>3696</v>
      </c>
      <c r="AA238" s="52" t="s">
        <v>184</v>
      </c>
      <c r="AB238" s="52" t="s">
        <v>140</v>
      </c>
      <c r="AC238" s="52" t="s">
        <v>3703</v>
      </c>
      <c r="AD238" s="52" t="s">
        <v>3704</v>
      </c>
      <c r="AE238" s="52"/>
      <c r="AF238" s="52" t="s">
        <v>3887</v>
      </c>
      <c r="AG238" s="52" t="s">
        <v>3888</v>
      </c>
      <c r="AH238" s="52"/>
      <c r="AI238" s="52"/>
      <c r="AJ238" s="52"/>
      <c r="AK238" s="52"/>
      <c r="AL238" s="55">
        <v>1.3888888888888888E-2</v>
      </c>
      <c r="AM238" s="52"/>
      <c r="AN238" s="52"/>
      <c r="AO238" s="52"/>
      <c r="AP238" s="52"/>
      <c r="AQ238" s="52"/>
      <c r="AR238" s="52"/>
      <c r="AS238" s="52">
        <v>0</v>
      </c>
      <c r="AT238" s="52"/>
      <c r="AU238" s="52"/>
      <c r="AV238" s="52" t="s">
        <v>208</v>
      </c>
      <c r="AW238" s="52"/>
    </row>
    <row r="239" spans="1:49">
      <c r="A239" s="52">
        <v>6014054</v>
      </c>
      <c r="B239" s="52" t="s">
        <v>3716</v>
      </c>
      <c r="C239" s="52" t="s">
        <v>3698</v>
      </c>
      <c r="D239" s="53">
        <v>46156.5</v>
      </c>
      <c r="E239" s="53">
        <v>46156.311111111114</v>
      </c>
      <c r="F239" s="53">
        <v>46156.593055555553</v>
      </c>
      <c r="G239" s="53">
        <v>46162.25</v>
      </c>
      <c r="H239" s="52"/>
      <c r="I239" s="52"/>
      <c r="J239" s="52" t="s">
        <v>3694</v>
      </c>
      <c r="K239" s="53">
        <v>46160.068749999999</v>
      </c>
      <c r="L239" s="52"/>
      <c r="M239" s="54">
        <v>5.6569444444444441</v>
      </c>
      <c r="N239" s="54">
        <v>1.8631944444444444</v>
      </c>
      <c r="O239" s="52" t="s">
        <v>204</v>
      </c>
      <c r="P239" s="52" t="s">
        <v>184</v>
      </c>
      <c r="Q239" s="52" t="s">
        <v>203</v>
      </c>
      <c r="R239" s="52" t="s">
        <v>211</v>
      </c>
      <c r="S239" s="52" t="s">
        <v>69</v>
      </c>
      <c r="T239" s="52" t="s">
        <v>3885</v>
      </c>
      <c r="U239" s="52" t="s">
        <v>3886</v>
      </c>
      <c r="V239" s="52" t="s">
        <v>3889</v>
      </c>
      <c r="W239" s="52">
        <v>66396093049</v>
      </c>
      <c r="X239" s="52" t="s">
        <v>73</v>
      </c>
      <c r="Y239" s="52"/>
      <c r="Z239" s="52" t="s">
        <v>3696</v>
      </c>
      <c r="AA239" s="52" t="s">
        <v>3710</v>
      </c>
      <c r="AB239" s="52"/>
      <c r="AC239" s="52" t="s">
        <v>3703</v>
      </c>
      <c r="AD239" s="52" t="s">
        <v>3704</v>
      </c>
      <c r="AE239" s="52" t="s">
        <v>140</v>
      </c>
      <c r="AF239" s="52" t="s">
        <v>3887</v>
      </c>
      <c r="AG239" s="52" t="s">
        <v>3888</v>
      </c>
      <c r="AH239" s="52"/>
      <c r="AI239" s="53">
        <v>46156.627083333333</v>
      </c>
      <c r="AJ239" s="53">
        <v>46156.640972222223</v>
      </c>
      <c r="AK239" s="53">
        <v>46156.627083333333</v>
      </c>
      <c r="AL239" s="55">
        <v>1.3888888888888888E-2</v>
      </c>
      <c r="AM239" s="52"/>
      <c r="AN239" s="55">
        <v>1.3888888888888888E-2</v>
      </c>
      <c r="AO239" s="52"/>
      <c r="AP239" s="55">
        <v>1.3888888888888888E-2</v>
      </c>
      <c r="AQ239" s="52"/>
      <c r="AR239" s="52"/>
      <c r="AS239" s="52" t="s">
        <v>3696</v>
      </c>
      <c r="AT239" s="52"/>
      <c r="AU239" s="52"/>
      <c r="AV239" s="52"/>
      <c r="AW239" s="52"/>
    </row>
    <row r="240" spans="1:49">
      <c r="A240" s="52">
        <v>6014054</v>
      </c>
      <c r="B240" s="52" t="s">
        <v>3716</v>
      </c>
      <c r="C240" s="52" t="s">
        <v>3698</v>
      </c>
      <c r="D240" s="53">
        <v>46156.5</v>
      </c>
      <c r="E240" s="53">
        <v>46156.311111111114</v>
      </c>
      <c r="F240" s="53">
        <v>46156.593055555553</v>
      </c>
      <c r="G240" s="53">
        <v>46162.25</v>
      </c>
      <c r="H240" s="52"/>
      <c r="I240" s="52"/>
      <c r="J240" s="52" t="s">
        <v>3694</v>
      </c>
      <c r="K240" s="53">
        <v>46160.068749999999</v>
      </c>
      <c r="L240" s="52"/>
      <c r="M240" s="54">
        <v>5.6569444444444441</v>
      </c>
      <c r="N240" s="54">
        <v>1.8631944444444444</v>
      </c>
      <c r="O240" s="52" t="s">
        <v>204</v>
      </c>
      <c r="P240" s="52" t="s">
        <v>184</v>
      </c>
      <c r="Q240" s="52" t="s">
        <v>203</v>
      </c>
      <c r="R240" s="52" t="s">
        <v>211</v>
      </c>
      <c r="S240" s="52" t="s">
        <v>69</v>
      </c>
      <c r="T240" s="52" t="s">
        <v>3885</v>
      </c>
      <c r="U240" s="52" t="s">
        <v>3886</v>
      </c>
      <c r="V240" s="52" t="s">
        <v>3889</v>
      </c>
      <c r="W240" s="52">
        <v>66396093049</v>
      </c>
      <c r="X240" s="52" t="s">
        <v>73</v>
      </c>
      <c r="Y240" s="52"/>
      <c r="Z240" s="52" t="s">
        <v>3696</v>
      </c>
      <c r="AA240" s="52" t="s">
        <v>3710</v>
      </c>
      <c r="AB240" s="52"/>
      <c r="AC240" s="52" t="s">
        <v>3703</v>
      </c>
      <c r="AD240" s="52" t="s">
        <v>3704</v>
      </c>
      <c r="AE240" s="52"/>
      <c r="AF240" s="52" t="s">
        <v>3887</v>
      </c>
      <c r="AG240" s="52" t="s">
        <v>3888</v>
      </c>
      <c r="AH240" s="52"/>
      <c r="AI240" s="53">
        <v>46156.627083333333</v>
      </c>
      <c r="AJ240" s="53">
        <v>46156.640972222223</v>
      </c>
      <c r="AK240" s="53">
        <v>46156.627083333333</v>
      </c>
      <c r="AL240" s="55">
        <v>1.3888888888888888E-2</v>
      </c>
      <c r="AM240" s="52"/>
      <c r="AN240" s="55">
        <v>1.3888888888888888E-2</v>
      </c>
      <c r="AO240" s="52"/>
      <c r="AP240" s="55">
        <v>1.3888888888888888E-2</v>
      </c>
      <c r="AQ240" s="52"/>
      <c r="AR240" s="52"/>
      <c r="AS240" s="52" t="s">
        <v>3696</v>
      </c>
      <c r="AT240" s="52"/>
      <c r="AU240" s="52"/>
      <c r="AV240" s="52"/>
      <c r="AW240" s="52" t="s">
        <v>208</v>
      </c>
    </row>
    <row r="241" spans="1:49">
      <c r="A241" s="52">
        <v>6014055</v>
      </c>
      <c r="B241" s="52" t="s">
        <v>3691</v>
      </c>
      <c r="C241" s="52" t="s">
        <v>3692</v>
      </c>
      <c r="D241" s="53">
        <v>46160.708333333336</v>
      </c>
      <c r="E241" s="53">
        <v>46157.584722222222</v>
      </c>
      <c r="F241" s="52"/>
      <c r="G241" s="52"/>
      <c r="H241" s="52"/>
      <c r="I241" s="52" t="s">
        <v>3693</v>
      </c>
      <c r="J241" s="52" t="s">
        <v>3694</v>
      </c>
      <c r="K241" s="52"/>
      <c r="L241" s="52"/>
      <c r="M241" s="54">
        <v>1.8125</v>
      </c>
      <c r="N241" s="54">
        <v>3.0645833333333332</v>
      </c>
      <c r="O241" s="52"/>
      <c r="P241" s="52"/>
      <c r="Q241" s="52"/>
      <c r="R241" s="52"/>
      <c r="S241" s="52"/>
      <c r="T241" s="52" t="s">
        <v>3695</v>
      </c>
      <c r="U241" s="52" t="s">
        <v>3695</v>
      </c>
      <c r="V241" s="52"/>
      <c r="W241" s="52"/>
      <c r="X241" s="52"/>
      <c r="Y241" s="52"/>
      <c r="Z241" s="52" t="s">
        <v>3696</v>
      </c>
      <c r="AA241" s="52" t="s">
        <v>72</v>
      </c>
      <c r="AB241" s="52" t="s">
        <v>140</v>
      </c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>
        <v>0</v>
      </c>
      <c r="AT241" s="52"/>
      <c r="AU241" s="52"/>
      <c r="AV241" s="52" t="s">
        <v>726</v>
      </c>
      <c r="AW241" s="52"/>
    </row>
    <row r="242" spans="1:49">
      <c r="A242" s="52">
        <v>6014055</v>
      </c>
      <c r="B242" s="52" t="s">
        <v>3691</v>
      </c>
      <c r="C242" s="52" t="s">
        <v>3698</v>
      </c>
      <c r="D242" s="53">
        <v>46160.708333333336</v>
      </c>
      <c r="E242" s="53">
        <v>46157.584722222222</v>
      </c>
      <c r="F242" s="52"/>
      <c r="G242" s="52"/>
      <c r="H242" s="52"/>
      <c r="I242" s="52"/>
      <c r="J242" s="52" t="s">
        <v>3694</v>
      </c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 t="s">
        <v>3696</v>
      </c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>
        <v>0</v>
      </c>
      <c r="AT242" s="52"/>
      <c r="AU242" s="52"/>
      <c r="AV242" s="52"/>
      <c r="AW242" s="52"/>
    </row>
    <row r="243" spans="1:49">
      <c r="A243" s="52">
        <v>6014423</v>
      </c>
      <c r="B243" s="52" t="s">
        <v>3716</v>
      </c>
      <c r="C243" s="52" t="s">
        <v>3692</v>
      </c>
      <c r="D243" s="53">
        <v>46156.375</v>
      </c>
      <c r="E243" s="53">
        <v>46155.650694444441</v>
      </c>
      <c r="F243" s="53">
        <v>46157.560416666667</v>
      </c>
      <c r="G243" s="53">
        <v>46159.333333333336</v>
      </c>
      <c r="H243" s="52"/>
      <c r="I243" s="52" t="s">
        <v>3693</v>
      </c>
      <c r="J243" s="52" t="s">
        <v>3694</v>
      </c>
      <c r="K243" s="53">
        <v>46158.617361111108</v>
      </c>
      <c r="L243" s="52"/>
      <c r="M243" s="55">
        <v>6.25E-2</v>
      </c>
      <c r="N243" s="55">
        <v>0.81458333333333333</v>
      </c>
      <c r="O243" s="52"/>
      <c r="P243" s="52"/>
      <c r="Q243" s="52"/>
      <c r="R243" s="52"/>
      <c r="S243" s="52"/>
      <c r="T243" s="52" t="s">
        <v>3758</v>
      </c>
      <c r="U243" s="52" t="s">
        <v>3890</v>
      </c>
      <c r="V243" s="52"/>
      <c r="W243" s="52"/>
      <c r="X243" s="52"/>
      <c r="Y243" s="52"/>
      <c r="Z243" s="52" t="s">
        <v>3696</v>
      </c>
      <c r="AA243" s="52" t="s">
        <v>1635</v>
      </c>
      <c r="AB243" s="52" t="s">
        <v>140</v>
      </c>
      <c r="AC243" s="52" t="s">
        <v>3703</v>
      </c>
      <c r="AD243" s="52" t="s">
        <v>3704</v>
      </c>
      <c r="AE243" s="52"/>
      <c r="AF243" s="52" t="s">
        <v>3703</v>
      </c>
      <c r="AG243" s="52" t="s">
        <v>3704</v>
      </c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>
        <v>0</v>
      </c>
      <c r="AT243" s="52"/>
      <c r="AU243" s="52"/>
      <c r="AV243" s="52" t="s">
        <v>3615</v>
      </c>
      <c r="AW243" s="52"/>
    </row>
    <row r="244" spans="1:49">
      <c r="A244" s="52">
        <v>6014423</v>
      </c>
      <c r="B244" s="52" t="s">
        <v>3716</v>
      </c>
      <c r="C244" s="52" t="s">
        <v>3698</v>
      </c>
      <c r="D244" s="53">
        <v>46156.375</v>
      </c>
      <c r="E244" s="53">
        <v>46155.650694444441</v>
      </c>
      <c r="F244" s="52"/>
      <c r="G244" s="53">
        <v>46159.333333333336</v>
      </c>
      <c r="H244" s="52"/>
      <c r="I244" s="52"/>
      <c r="J244" s="52" t="s">
        <v>3694</v>
      </c>
      <c r="K244" s="53">
        <v>46158.617361111108</v>
      </c>
      <c r="L244" s="52"/>
      <c r="M244" s="52"/>
      <c r="N244" s="52"/>
      <c r="O244" s="52" t="s">
        <v>3624</v>
      </c>
      <c r="P244" s="52" t="s">
        <v>1635</v>
      </c>
      <c r="Q244" s="52" t="s">
        <v>3623</v>
      </c>
      <c r="R244" s="52" t="s">
        <v>2314</v>
      </c>
      <c r="S244" s="52" t="s">
        <v>3609</v>
      </c>
      <c r="T244" s="52" t="s">
        <v>3758</v>
      </c>
      <c r="U244" s="52" t="s">
        <v>3890</v>
      </c>
      <c r="V244" s="52" t="s">
        <v>3891</v>
      </c>
      <c r="W244" s="52">
        <v>4087967824</v>
      </c>
      <c r="X244" s="52" t="s">
        <v>73</v>
      </c>
      <c r="Y244" s="52" t="s">
        <v>3879</v>
      </c>
      <c r="Z244" s="52" t="s">
        <v>3696</v>
      </c>
      <c r="AA244" s="52" t="s">
        <v>3710</v>
      </c>
      <c r="AB244" s="52"/>
      <c r="AC244" s="52" t="s">
        <v>3703</v>
      </c>
      <c r="AD244" s="52" t="s">
        <v>3704</v>
      </c>
      <c r="AE244" s="52" t="s">
        <v>140</v>
      </c>
      <c r="AF244" s="52" t="s">
        <v>3703</v>
      </c>
      <c r="AG244" s="52" t="s">
        <v>3704</v>
      </c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 t="s">
        <v>3696</v>
      </c>
      <c r="AT244" s="52"/>
      <c r="AU244" s="52"/>
      <c r="AV244" s="52"/>
      <c r="AW244" s="52"/>
    </row>
    <row r="245" spans="1:49">
      <c r="A245" s="52">
        <v>6014423</v>
      </c>
      <c r="B245" s="52" t="s">
        <v>3716</v>
      </c>
      <c r="C245" s="52" t="s">
        <v>3698</v>
      </c>
      <c r="D245" s="53">
        <v>46156.375</v>
      </c>
      <c r="E245" s="53">
        <v>46155.650694444441</v>
      </c>
      <c r="F245" s="52"/>
      <c r="G245" s="53">
        <v>46159.333333333336</v>
      </c>
      <c r="H245" s="52"/>
      <c r="I245" s="52"/>
      <c r="J245" s="52" t="s">
        <v>3694</v>
      </c>
      <c r="K245" s="53">
        <v>46158.617361111108</v>
      </c>
      <c r="L245" s="52"/>
      <c r="M245" s="52"/>
      <c r="N245" s="52"/>
      <c r="O245" s="52" t="s">
        <v>3624</v>
      </c>
      <c r="P245" s="52" t="s">
        <v>1635</v>
      </c>
      <c r="Q245" s="52" t="s">
        <v>3623</v>
      </c>
      <c r="R245" s="52" t="s">
        <v>2314</v>
      </c>
      <c r="S245" s="52" t="s">
        <v>3609</v>
      </c>
      <c r="T245" s="52" t="s">
        <v>3758</v>
      </c>
      <c r="U245" s="52" t="s">
        <v>3890</v>
      </c>
      <c r="V245" s="52" t="s">
        <v>3891</v>
      </c>
      <c r="W245" s="52">
        <v>4087967824</v>
      </c>
      <c r="X245" s="52" t="s">
        <v>73</v>
      </c>
      <c r="Y245" s="52" t="s">
        <v>3879</v>
      </c>
      <c r="Z245" s="52" t="s">
        <v>3696</v>
      </c>
      <c r="AA245" s="52" t="s">
        <v>3710</v>
      </c>
      <c r="AB245" s="52"/>
      <c r="AC245" s="52" t="s">
        <v>3703</v>
      </c>
      <c r="AD245" s="52" t="s">
        <v>3704</v>
      </c>
      <c r="AE245" s="52"/>
      <c r="AF245" s="52" t="s">
        <v>3703</v>
      </c>
      <c r="AG245" s="52" t="s">
        <v>3704</v>
      </c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 t="s">
        <v>3696</v>
      </c>
      <c r="AT245" s="52"/>
      <c r="AU245" s="52"/>
      <c r="AV245" s="52"/>
      <c r="AW245" s="52" t="s">
        <v>3615</v>
      </c>
    </row>
    <row r="246" spans="1:49">
      <c r="A246" s="52">
        <v>6014424</v>
      </c>
      <c r="B246" s="52" t="s">
        <v>3716</v>
      </c>
      <c r="C246" s="52" t="s">
        <v>3692</v>
      </c>
      <c r="D246" s="53">
        <v>46156.375</v>
      </c>
      <c r="E246" s="53">
        <v>46155.650694444441</v>
      </c>
      <c r="F246" s="53">
        <v>46157.557638888888</v>
      </c>
      <c r="G246" s="53">
        <v>46160.615277777775</v>
      </c>
      <c r="H246" s="52"/>
      <c r="I246" s="52" t="s">
        <v>3693</v>
      </c>
      <c r="J246" s="52" t="s">
        <v>3694</v>
      </c>
      <c r="K246" s="53">
        <v>46158.334027777775</v>
      </c>
      <c r="L246" s="52"/>
      <c r="M246" s="55">
        <v>6.25E-2</v>
      </c>
      <c r="N246" s="55">
        <v>0.81458333333333333</v>
      </c>
      <c r="O246" s="52"/>
      <c r="P246" s="52"/>
      <c r="Q246" s="52"/>
      <c r="R246" s="52"/>
      <c r="S246" s="52"/>
      <c r="T246" s="52" t="s">
        <v>3758</v>
      </c>
      <c r="U246" s="52" t="s">
        <v>3892</v>
      </c>
      <c r="V246" s="52"/>
      <c r="W246" s="52"/>
      <c r="X246" s="52"/>
      <c r="Y246" s="52"/>
      <c r="Z246" s="52" t="s">
        <v>3696</v>
      </c>
      <c r="AA246" s="52" t="s">
        <v>1635</v>
      </c>
      <c r="AB246" s="52" t="s">
        <v>140</v>
      </c>
      <c r="AC246" s="52" t="s">
        <v>3703</v>
      </c>
      <c r="AD246" s="52" t="s">
        <v>3704</v>
      </c>
      <c r="AE246" s="52"/>
      <c r="AF246" s="52" t="s">
        <v>3703</v>
      </c>
      <c r="AG246" s="52" t="s">
        <v>3704</v>
      </c>
      <c r="AH246" s="52"/>
      <c r="AI246" s="52"/>
      <c r="AJ246" s="52"/>
      <c r="AK246" s="52"/>
      <c r="AL246" s="55">
        <v>2.0833333333333332E-2</v>
      </c>
      <c r="AM246" s="52"/>
      <c r="AN246" s="52"/>
      <c r="AO246" s="52"/>
      <c r="AP246" s="52"/>
      <c r="AQ246" s="52"/>
      <c r="AR246" s="52"/>
      <c r="AS246" s="52">
        <v>0</v>
      </c>
      <c r="AT246" s="52"/>
      <c r="AU246" s="52"/>
      <c r="AV246" s="52" t="s">
        <v>3615</v>
      </c>
      <c r="AW246" s="52"/>
    </row>
    <row r="247" spans="1:49">
      <c r="A247" s="52">
        <v>6014424</v>
      </c>
      <c r="B247" s="52" t="s">
        <v>3716</v>
      </c>
      <c r="C247" s="52" t="s">
        <v>3698</v>
      </c>
      <c r="D247" s="53">
        <v>46156.375</v>
      </c>
      <c r="E247" s="53">
        <v>46155.650694444441</v>
      </c>
      <c r="F247" s="52"/>
      <c r="G247" s="53">
        <v>46160.615277777775</v>
      </c>
      <c r="H247" s="52"/>
      <c r="I247" s="52"/>
      <c r="J247" s="52" t="s">
        <v>3694</v>
      </c>
      <c r="K247" s="53">
        <v>46158.334027777775</v>
      </c>
      <c r="L247" s="52"/>
      <c r="M247" s="52"/>
      <c r="N247" s="52"/>
      <c r="O247" s="52" t="s">
        <v>3619</v>
      </c>
      <c r="P247" s="52" t="s">
        <v>1635</v>
      </c>
      <c r="Q247" s="52" t="s">
        <v>1633</v>
      </c>
      <c r="R247" s="52" t="s">
        <v>3621</v>
      </c>
      <c r="S247" s="52" t="s">
        <v>3609</v>
      </c>
      <c r="T247" s="52" t="s">
        <v>3758</v>
      </c>
      <c r="U247" s="52" t="s">
        <v>3892</v>
      </c>
      <c r="V247" s="52" t="s">
        <v>1640</v>
      </c>
      <c r="W247" s="52">
        <v>16994479854</v>
      </c>
      <c r="X247" s="52" t="s">
        <v>73</v>
      </c>
      <c r="Y247" s="52" t="s">
        <v>3879</v>
      </c>
      <c r="Z247" s="52" t="s">
        <v>3696</v>
      </c>
      <c r="AA247" s="52" t="s">
        <v>3710</v>
      </c>
      <c r="AB247" s="52"/>
      <c r="AC247" s="52" t="s">
        <v>3703</v>
      </c>
      <c r="AD247" s="52" t="s">
        <v>3704</v>
      </c>
      <c r="AE247" s="52" t="s">
        <v>140</v>
      </c>
      <c r="AF247" s="52" t="s">
        <v>3703</v>
      </c>
      <c r="AG247" s="52" t="s">
        <v>3704</v>
      </c>
      <c r="AH247" s="52"/>
      <c r="AI247" s="53">
        <v>46157.593055555553</v>
      </c>
      <c r="AJ247" s="53">
        <v>46157.613888888889</v>
      </c>
      <c r="AK247" s="53">
        <v>46157.593055555553</v>
      </c>
      <c r="AL247" s="55">
        <v>2.0833333333333332E-2</v>
      </c>
      <c r="AM247" s="52"/>
      <c r="AN247" s="55">
        <v>2.0833333333333332E-2</v>
      </c>
      <c r="AO247" s="52"/>
      <c r="AP247" s="55">
        <v>2.0833333333333332E-2</v>
      </c>
      <c r="AQ247" s="52"/>
      <c r="AR247" s="52"/>
      <c r="AS247" s="52" t="s">
        <v>3696</v>
      </c>
      <c r="AT247" s="52"/>
      <c r="AU247" s="52"/>
      <c r="AV247" s="52"/>
      <c r="AW247" s="52"/>
    </row>
    <row r="248" spans="1:49">
      <c r="A248" s="52">
        <v>6014424</v>
      </c>
      <c r="B248" s="52" t="s">
        <v>3716</v>
      </c>
      <c r="C248" s="52" t="s">
        <v>3698</v>
      </c>
      <c r="D248" s="53">
        <v>46156.375</v>
      </c>
      <c r="E248" s="53">
        <v>46155.650694444441</v>
      </c>
      <c r="F248" s="52"/>
      <c r="G248" s="53">
        <v>46160.615277777775</v>
      </c>
      <c r="H248" s="52"/>
      <c r="I248" s="52"/>
      <c r="J248" s="52" t="s">
        <v>3694</v>
      </c>
      <c r="K248" s="53">
        <v>46158.334027777775</v>
      </c>
      <c r="L248" s="52"/>
      <c r="M248" s="52"/>
      <c r="N248" s="52"/>
      <c r="O248" s="52" t="s">
        <v>3619</v>
      </c>
      <c r="P248" s="52" t="s">
        <v>1635</v>
      </c>
      <c r="Q248" s="52" t="s">
        <v>1633</v>
      </c>
      <c r="R248" s="52" t="s">
        <v>3621</v>
      </c>
      <c r="S248" s="52" t="s">
        <v>3609</v>
      </c>
      <c r="T248" s="52" t="s">
        <v>3758</v>
      </c>
      <c r="U248" s="52" t="s">
        <v>3892</v>
      </c>
      <c r="V248" s="52" t="s">
        <v>1640</v>
      </c>
      <c r="W248" s="52">
        <v>16994479854</v>
      </c>
      <c r="X248" s="52" t="s">
        <v>73</v>
      </c>
      <c r="Y248" s="52" t="s">
        <v>3879</v>
      </c>
      <c r="Z248" s="52" t="s">
        <v>3696</v>
      </c>
      <c r="AA248" s="52" t="s">
        <v>3710</v>
      </c>
      <c r="AB248" s="52"/>
      <c r="AC248" s="52" t="s">
        <v>3703</v>
      </c>
      <c r="AD248" s="52" t="s">
        <v>3704</v>
      </c>
      <c r="AE248" s="52"/>
      <c r="AF248" s="52" t="s">
        <v>3703</v>
      </c>
      <c r="AG248" s="52" t="s">
        <v>3704</v>
      </c>
      <c r="AH248" s="52"/>
      <c r="AI248" s="53">
        <v>46157.593055555553</v>
      </c>
      <c r="AJ248" s="53">
        <v>46157.613888888889</v>
      </c>
      <c r="AK248" s="53">
        <v>46157.593055555553</v>
      </c>
      <c r="AL248" s="55">
        <v>2.0833333333333332E-2</v>
      </c>
      <c r="AM248" s="52"/>
      <c r="AN248" s="55">
        <v>2.0833333333333332E-2</v>
      </c>
      <c r="AO248" s="52"/>
      <c r="AP248" s="55">
        <v>2.0833333333333332E-2</v>
      </c>
      <c r="AQ248" s="52"/>
      <c r="AR248" s="52"/>
      <c r="AS248" s="52" t="s">
        <v>3696</v>
      </c>
      <c r="AT248" s="52"/>
      <c r="AU248" s="52"/>
      <c r="AV248" s="52"/>
      <c r="AW248" s="52" t="s">
        <v>3615</v>
      </c>
    </row>
    <row r="249" spans="1:49">
      <c r="A249" s="52">
        <v>6014425</v>
      </c>
      <c r="B249" s="52" t="s">
        <v>3716</v>
      </c>
      <c r="C249" s="52" t="s">
        <v>3692</v>
      </c>
      <c r="D249" s="53">
        <v>46156.375</v>
      </c>
      <c r="E249" s="53">
        <v>46155.650694444441</v>
      </c>
      <c r="F249" s="53">
        <v>46157.507638888892</v>
      </c>
      <c r="G249" s="53">
        <v>46159.333333333336</v>
      </c>
      <c r="H249" s="52"/>
      <c r="I249" s="52" t="s">
        <v>3693</v>
      </c>
      <c r="J249" s="52" t="s">
        <v>3694</v>
      </c>
      <c r="K249" s="53">
        <v>46158.324305555558</v>
      </c>
      <c r="L249" s="52"/>
      <c r="M249" s="55">
        <v>6.25E-2</v>
      </c>
      <c r="N249" s="55">
        <v>0.81458333333333333</v>
      </c>
      <c r="O249" s="52"/>
      <c r="P249" s="52"/>
      <c r="Q249" s="52"/>
      <c r="R249" s="52"/>
      <c r="S249" s="52"/>
      <c r="T249" s="52" t="s">
        <v>3758</v>
      </c>
      <c r="U249" s="52" t="s">
        <v>3831</v>
      </c>
      <c r="V249" s="52"/>
      <c r="W249" s="52"/>
      <c r="X249" s="52"/>
      <c r="Y249" s="52"/>
      <c r="Z249" s="52" t="s">
        <v>3696</v>
      </c>
      <c r="AA249" s="52" t="s">
        <v>1635</v>
      </c>
      <c r="AB249" s="52" t="s">
        <v>140</v>
      </c>
      <c r="AC249" s="52" t="s">
        <v>3703</v>
      </c>
      <c r="AD249" s="52" t="s">
        <v>3704</v>
      </c>
      <c r="AE249" s="52"/>
      <c r="AF249" s="52" t="s">
        <v>3703</v>
      </c>
      <c r="AG249" s="52" t="s">
        <v>3704</v>
      </c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>
        <v>0</v>
      </c>
      <c r="AT249" s="52"/>
      <c r="AU249" s="52"/>
      <c r="AV249" s="52" t="s">
        <v>3615</v>
      </c>
      <c r="AW249" s="52"/>
    </row>
    <row r="250" spans="1:49">
      <c r="A250" s="52">
        <v>6014425</v>
      </c>
      <c r="B250" s="52" t="s">
        <v>3716</v>
      </c>
      <c r="C250" s="52" t="s">
        <v>3698</v>
      </c>
      <c r="D250" s="53">
        <v>46156.375</v>
      </c>
      <c r="E250" s="53">
        <v>46155.650694444441</v>
      </c>
      <c r="F250" s="52"/>
      <c r="G250" s="53">
        <v>46159.333333333336</v>
      </c>
      <c r="H250" s="52"/>
      <c r="I250" s="52"/>
      <c r="J250" s="52" t="s">
        <v>3694</v>
      </c>
      <c r="K250" s="53">
        <v>46158.324305555558</v>
      </c>
      <c r="L250" s="52"/>
      <c r="M250" s="52"/>
      <c r="N250" s="52"/>
      <c r="O250" s="52" t="s">
        <v>3613</v>
      </c>
      <c r="P250" s="52" t="s">
        <v>1635</v>
      </c>
      <c r="Q250" s="52" t="s">
        <v>3147</v>
      </c>
      <c r="R250" s="52" t="s">
        <v>3617</v>
      </c>
      <c r="S250" s="52" t="s">
        <v>3609</v>
      </c>
      <c r="T250" s="52" t="s">
        <v>3758</v>
      </c>
      <c r="U250" s="52" t="s">
        <v>3831</v>
      </c>
      <c r="V250" s="52" t="s">
        <v>3618</v>
      </c>
      <c r="W250" s="52">
        <v>8116217828</v>
      </c>
      <c r="X250" s="52" t="s">
        <v>73</v>
      </c>
      <c r="Y250" s="52"/>
      <c r="Z250" s="52" t="s">
        <v>3696</v>
      </c>
      <c r="AA250" s="52" t="s">
        <v>3710</v>
      </c>
      <c r="AB250" s="52"/>
      <c r="AC250" s="52" t="s">
        <v>3703</v>
      </c>
      <c r="AD250" s="52" t="s">
        <v>3704</v>
      </c>
      <c r="AE250" s="52" t="s">
        <v>140</v>
      </c>
      <c r="AF250" s="52" t="s">
        <v>3703</v>
      </c>
      <c r="AG250" s="52" t="s">
        <v>3704</v>
      </c>
      <c r="AH250" s="52"/>
      <c r="AI250" s="53">
        <v>46157.506249999999</v>
      </c>
      <c r="AJ250" s="52"/>
      <c r="AK250" s="53">
        <v>46157.506249999999</v>
      </c>
      <c r="AL250" s="52"/>
      <c r="AM250" s="52"/>
      <c r="AN250" s="52"/>
      <c r="AO250" s="52"/>
      <c r="AP250" s="52"/>
      <c r="AQ250" s="52"/>
      <c r="AR250" s="52"/>
      <c r="AS250" s="52" t="s">
        <v>3696</v>
      </c>
      <c r="AT250" s="52"/>
      <c r="AU250" s="52"/>
      <c r="AV250" s="52"/>
      <c r="AW250" s="52"/>
    </row>
    <row r="251" spans="1:49">
      <c r="A251" s="52">
        <v>6014425</v>
      </c>
      <c r="B251" s="52" t="s">
        <v>3716</v>
      </c>
      <c r="C251" s="52" t="s">
        <v>3698</v>
      </c>
      <c r="D251" s="53">
        <v>46156.375</v>
      </c>
      <c r="E251" s="53">
        <v>46155.650694444441</v>
      </c>
      <c r="F251" s="52"/>
      <c r="G251" s="53">
        <v>46159.333333333336</v>
      </c>
      <c r="H251" s="52"/>
      <c r="I251" s="52"/>
      <c r="J251" s="52" t="s">
        <v>3694</v>
      </c>
      <c r="K251" s="53">
        <v>46158.324305555558</v>
      </c>
      <c r="L251" s="52"/>
      <c r="M251" s="52"/>
      <c r="N251" s="52"/>
      <c r="O251" s="52" t="s">
        <v>3613</v>
      </c>
      <c r="P251" s="52" t="s">
        <v>1635</v>
      </c>
      <c r="Q251" s="52" t="s">
        <v>3147</v>
      </c>
      <c r="R251" s="52" t="s">
        <v>3617</v>
      </c>
      <c r="S251" s="52" t="s">
        <v>3609</v>
      </c>
      <c r="T251" s="52" t="s">
        <v>3758</v>
      </c>
      <c r="U251" s="52" t="s">
        <v>3831</v>
      </c>
      <c r="V251" s="52" t="s">
        <v>3618</v>
      </c>
      <c r="W251" s="52">
        <v>8116217828</v>
      </c>
      <c r="X251" s="52" t="s">
        <v>73</v>
      </c>
      <c r="Y251" s="52"/>
      <c r="Z251" s="52" t="s">
        <v>3696</v>
      </c>
      <c r="AA251" s="52" t="s">
        <v>3710</v>
      </c>
      <c r="AB251" s="52"/>
      <c r="AC251" s="52" t="s">
        <v>3703</v>
      </c>
      <c r="AD251" s="52" t="s">
        <v>3704</v>
      </c>
      <c r="AE251" s="52"/>
      <c r="AF251" s="52" t="s">
        <v>3703</v>
      </c>
      <c r="AG251" s="52" t="s">
        <v>3704</v>
      </c>
      <c r="AH251" s="52"/>
      <c r="AI251" s="53">
        <v>46157.506249999999</v>
      </c>
      <c r="AJ251" s="52"/>
      <c r="AK251" s="53">
        <v>46157.506249999999</v>
      </c>
      <c r="AL251" s="52"/>
      <c r="AM251" s="52"/>
      <c r="AN251" s="52"/>
      <c r="AO251" s="52"/>
      <c r="AP251" s="52"/>
      <c r="AQ251" s="52"/>
      <c r="AR251" s="52"/>
      <c r="AS251" s="52" t="s">
        <v>3696</v>
      </c>
      <c r="AT251" s="52"/>
      <c r="AU251" s="52"/>
      <c r="AV251" s="52"/>
      <c r="AW251" s="52" t="s">
        <v>3615</v>
      </c>
    </row>
    <row r="252" spans="1:49">
      <c r="A252" s="52">
        <v>6014653</v>
      </c>
      <c r="B252" s="52" t="s">
        <v>3723</v>
      </c>
      <c r="C252" s="52" t="s">
        <v>3692</v>
      </c>
      <c r="D252" s="53">
        <v>46156.458333333336</v>
      </c>
      <c r="E252" s="53">
        <v>46156.327777777777</v>
      </c>
      <c r="F252" s="53">
        <v>46156.72152777778</v>
      </c>
      <c r="G252" s="53">
        <v>46161.1875</v>
      </c>
      <c r="H252" s="52"/>
      <c r="I252" s="52" t="s">
        <v>3693</v>
      </c>
      <c r="J252" s="52" t="s">
        <v>3693</v>
      </c>
      <c r="K252" s="53">
        <v>46157.589583333334</v>
      </c>
      <c r="L252" s="52"/>
      <c r="M252" s="54">
        <v>1.2395833333333333</v>
      </c>
      <c r="N252" s="54">
        <v>1.4916666666666667</v>
      </c>
      <c r="O252" s="52"/>
      <c r="P252" s="52"/>
      <c r="Q252" s="52"/>
      <c r="R252" s="52"/>
      <c r="S252" s="52"/>
      <c r="T252" s="52" t="s">
        <v>3893</v>
      </c>
      <c r="U252" s="52" t="s">
        <v>3873</v>
      </c>
      <c r="V252" s="52"/>
      <c r="W252" s="52"/>
      <c r="X252" s="52"/>
      <c r="Y252" s="52"/>
      <c r="Z252" s="52" t="s">
        <v>3696</v>
      </c>
      <c r="AA252" s="52" t="s">
        <v>227</v>
      </c>
      <c r="AB252" s="52" t="s">
        <v>140</v>
      </c>
      <c r="AC252" s="52" t="s">
        <v>3703</v>
      </c>
      <c r="AD252" s="52" t="s">
        <v>3704</v>
      </c>
      <c r="AE252" s="52"/>
      <c r="AF252" s="52" t="s">
        <v>3808</v>
      </c>
      <c r="AG252" s="52" t="s">
        <v>3715</v>
      </c>
      <c r="AH252" s="52"/>
      <c r="AI252" s="52"/>
      <c r="AJ252" s="52"/>
      <c r="AK252" s="52"/>
      <c r="AL252" s="55">
        <v>0.1361111111111111</v>
      </c>
      <c r="AM252" s="52"/>
      <c r="AN252" s="52"/>
      <c r="AO252" s="52"/>
      <c r="AP252" s="52"/>
      <c r="AQ252" s="52"/>
      <c r="AR252" s="52"/>
      <c r="AS252" s="52">
        <v>0</v>
      </c>
      <c r="AT252" s="52"/>
      <c r="AU252" s="52"/>
      <c r="AV252" s="52" t="s">
        <v>2099</v>
      </c>
      <c r="AW252" s="52"/>
    </row>
    <row r="253" spans="1:49">
      <c r="A253" s="52">
        <v>6014653</v>
      </c>
      <c r="B253" s="52" t="s">
        <v>3723</v>
      </c>
      <c r="C253" s="52" t="s">
        <v>3698</v>
      </c>
      <c r="D253" s="53">
        <v>46156.458333333336</v>
      </c>
      <c r="E253" s="53">
        <v>46156.327777777777</v>
      </c>
      <c r="F253" s="53">
        <v>46156.723611111112</v>
      </c>
      <c r="G253" s="53">
        <v>46161.1875</v>
      </c>
      <c r="H253" s="53">
        <v>46157.385416666664</v>
      </c>
      <c r="I253" s="52"/>
      <c r="J253" s="52" t="s">
        <v>3693</v>
      </c>
      <c r="K253" s="53">
        <v>46157.589583333334</v>
      </c>
      <c r="L253" s="52"/>
      <c r="M253" s="54">
        <v>4.4638888888888886</v>
      </c>
      <c r="N253" s="54">
        <v>1.7326388888888888</v>
      </c>
      <c r="O253" s="52" t="s">
        <v>3463</v>
      </c>
      <c r="P253" s="52" t="s">
        <v>227</v>
      </c>
      <c r="Q253" s="52" t="s">
        <v>302</v>
      </c>
      <c r="R253" s="52" t="s">
        <v>3467</v>
      </c>
      <c r="S253" s="52" t="s">
        <v>789</v>
      </c>
      <c r="T253" s="52" t="s">
        <v>3893</v>
      </c>
      <c r="U253" s="52" t="s">
        <v>3873</v>
      </c>
      <c r="V253" s="52" t="s">
        <v>312</v>
      </c>
      <c r="W253" s="52">
        <v>10303825812</v>
      </c>
      <c r="X253" s="52" t="s">
        <v>73</v>
      </c>
      <c r="Y253" s="52" t="s">
        <v>3745</v>
      </c>
      <c r="Z253" s="52" t="s">
        <v>3696</v>
      </c>
      <c r="AA253" s="52" t="s">
        <v>3710</v>
      </c>
      <c r="AB253" s="52"/>
      <c r="AC253" s="52" t="s">
        <v>3703</v>
      </c>
      <c r="AD253" s="52" t="s">
        <v>3704</v>
      </c>
      <c r="AE253" s="52" t="s">
        <v>140</v>
      </c>
      <c r="AF253" s="52" t="s">
        <v>3808</v>
      </c>
      <c r="AG253" s="52" t="s">
        <v>3715</v>
      </c>
      <c r="AH253" s="52"/>
      <c r="AI253" s="53">
        <v>46156.722222222219</v>
      </c>
      <c r="AJ253" s="53">
        <v>46156.85833333333</v>
      </c>
      <c r="AK253" s="53">
        <v>46156.722222222219</v>
      </c>
      <c r="AL253" s="55">
        <v>0.14166666666666666</v>
      </c>
      <c r="AM253" s="52"/>
      <c r="AN253" s="55">
        <v>0.1361111111111111</v>
      </c>
      <c r="AO253" s="52"/>
      <c r="AP253" s="55">
        <v>0.14166666666666666</v>
      </c>
      <c r="AQ253" s="52"/>
      <c r="AR253" s="52"/>
      <c r="AS253" s="52" t="s">
        <v>3696</v>
      </c>
      <c r="AT253" s="52"/>
      <c r="AU253" s="52"/>
      <c r="AV253" s="52"/>
      <c r="AW253" s="52"/>
    </row>
    <row r="254" spans="1:49">
      <c r="A254" s="52">
        <v>6014653</v>
      </c>
      <c r="B254" s="52" t="s">
        <v>3723</v>
      </c>
      <c r="C254" s="52" t="s">
        <v>3698</v>
      </c>
      <c r="D254" s="53">
        <v>46156.458333333336</v>
      </c>
      <c r="E254" s="53">
        <v>46156.327777777777</v>
      </c>
      <c r="F254" s="53">
        <v>46156.723611111112</v>
      </c>
      <c r="G254" s="53">
        <v>46161.1875</v>
      </c>
      <c r="H254" s="53">
        <v>46157.385416666664</v>
      </c>
      <c r="I254" s="52"/>
      <c r="J254" s="52" t="s">
        <v>3693</v>
      </c>
      <c r="K254" s="53">
        <v>46157.589583333334</v>
      </c>
      <c r="L254" s="52"/>
      <c r="M254" s="54">
        <v>4.4638888888888886</v>
      </c>
      <c r="N254" s="54">
        <v>1.7326388888888888</v>
      </c>
      <c r="O254" s="52" t="s">
        <v>3463</v>
      </c>
      <c r="P254" s="52" t="s">
        <v>227</v>
      </c>
      <c r="Q254" s="52" t="s">
        <v>302</v>
      </c>
      <c r="R254" s="52" t="s">
        <v>3467</v>
      </c>
      <c r="S254" s="52" t="s">
        <v>789</v>
      </c>
      <c r="T254" s="52" t="s">
        <v>3893</v>
      </c>
      <c r="U254" s="52" t="s">
        <v>3873</v>
      </c>
      <c r="V254" s="52" t="s">
        <v>312</v>
      </c>
      <c r="W254" s="52">
        <v>10303825812</v>
      </c>
      <c r="X254" s="52" t="s">
        <v>73</v>
      </c>
      <c r="Y254" s="52" t="s">
        <v>3745</v>
      </c>
      <c r="Z254" s="52" t="s">
        <v>3696</v>
      </c>
      <c r="AA254" s="52" t="s">
        <v>3710</v>
      </c>
      <c r="AB254" s="52"/>
      <c r="AC254" s="52" t="s">
        <v>3703</v>
      </c>
      <c r="AD254" s="52" t="s">
        <v>3704</v>
      </c>
      <c r="AE254" s="52"/>
      <c r="AF254" s="52" t="s">
        <v>3808</v>
      </c>
      <c r="AG254" s="52" t="s">
        <v>3715</v>
      </c>
      <c r="AH254" s="52"/>
      <c r="AI254" s="53">
        <v>46156.722222222219</v>
      </c>
      <c r="AJ254" s="53">
        <v>46156.85833333333</v>
      </c>
      <c r="AK254" s="53">
        <v>46156.722222222219</v>
      </c>
      <c r="AL254" s="55">
        <v>0.14166666666666666</v>
      </c>
      <c r="AM254" s="52"/>
      <c r="AN254" s="55">
        <v>0.1361111111111111</v>
      </c>
      <c r="AO254" s="52"/>
      <c r="AP254" s="55">
        <v>0.14166666666666666</v>
      </c>
      <c r="AQ254" s="52"/>
      <c r="AR254" s="52"/>
      <c r="AS254" s="52" t="s">
        <v>3696</v>
      </c>
      <c r="AT254" s="52"/>
      <c r="AU254" s="52"/>
      <c r="AV254" s="52"/>
      <c r="AW254" s="52" t="s">
        <v>2099</v>
      </c>
    </row>
    <row r="255" spans="1:49">
      <c r="A255" s="52">
        <v>6014654</v>
      </c>
      <c r="B255" s="52" t="s">
        <v>3716</v>
      </c>
      <c r="C255" s="52" t="s">
        <v>3692</v>
      </c>
      <c r="D255" s="53">
        <v>46155.416666666664</v>
      </c>
      <c r="E255" s="53">
        <v>46155.323611111111</v>
      </c>
      <c r="F255" s="53">
        <v>46155.657638888886</v>
      </c>
      <c r="G255" s="53">
        <v>46160.291666666664</v>
      </c>
      <c r="H255" s="52"/>
      <c r="I255" s="52" t="s">
        <v>3693</v>
      </c>
      <c r="J255" s="52" t="s">
        <v>3693</v>
      </c>
      <c r="K255" s="53">
        <v>46156.526388888888</v>
      </c>
      <c r="L255" s="52"/>
      <c r="M255" s="55">
        <v>0.17847222222222223</v>
      </c>
      <c r="N255" s="54">
        <v>1.5527777777777778</v>
      </c>
      <c r="O255" s="52"/>
      <c r="P255" s="52"/>
      <c r="Q255" s="52"/>
      <c r="R255" s="52"/>
      <c r="S255" s="52"/>
      <c r="T255" s="52" t="s">
        <v>3724</v>
      </c>
      <c r="U255" s="52" t="s">
        <v>3695</v>
      </c>
      <c r="V255" s="52"/>
      <c r="W255" s="52"/>
      <c r="X255" s="52"/>
      <c r="Y255" s="52"/>
      <c r="Z255" s="52" t="s">
        <v>3696</v>
      </c>
      <c r="AA255" s="52" t="s">
        <v>227</v>
      </c>
      <c r="AB255" s="52" t="s">
        <v>79</v>
      </c>
      <c r="AC255" s="52" t="s">
        <v>3720</v>
      </c>
      <c r="AD255" s="52" t="s">
        <v>3715</v>
      </c>
      <c r="AE255" s="52"/>
      <c r="AF255" s="52" t="s">
        <v>3725</v>
      </c>
      <c r="AG255" s="52" t="s">
        <v>3726</v>
      </c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>
        <v>0</v>
      </c>
      <c r="AT255" s="52"/>
      <c r="AU255" s="52"/>
      <c r="AV255" s="52" t="s">
        <v>2099</v>
      </c>
      <c r="AW255" s="52"/>
    </row>
    <row r="256" spans="1:49">
      <c r="A256" s="52">
        <v>6014654</v>
      </c>
      <c r="B256" s="52" t="s">
        <v>3716</v>
      </c>
      <c r="C256" s="52" t="s">
        <v>3698</v>
      </c>
      <c r="D256" s="53">
        <v>46155.416666666664</v>
      </c>
      <c r="E256" s="53">
        <v>46155.323611111111</v>
      </c>
      <c r="F256" s="53">
        <v>46155.65902777778</v>
      </c>
      <c r="G256" s="53">
        <v>46160.291666666664</v>
      </c>
      <c r="H256" s="53">
        <v>46155.86041666667</v>
      </c>
      <c r="I256" s="52"/>
      <c r="J256" s="52" t="s">
        <v>3693</v>
      </c>
      <c r="K256" s="53">
        <v>46156.526388888888</v>
      </c>
      <c r="L256" s="52"/>
      <c r="M256" s="54">
        <v>4.6326388888888888</v>
      </c>
      <c r="N256" s="54">
        <v>2.7972222222222221</v>
      </c>
      <c r="O256" s="52" t="s">
        <v>3229</v>
      </c>
      <c r="P256" s="52" t="s">
        <v>227</v>
      </c>
      <c r="Q256" s="52" t="s">
        <v>2028</v>
      </c>
      <c r="R256" s="52" t="s">
        <v>1496</v>
      </c>
      <c r="S256" s="52" t="s">
        <v>789</v>
      </c>
      <c r="T256" s="52" t="s">
        <v>3724</v>
      </c>
      <c r="U256" s="52" t="s">
        <v>3695</v>
      </c>
      <c r="V256" s="52" t="s">
        <v>2032</v>
      </c>
      <c r="W256" s="52">
        <v>60372788904</v>
      </c>
      <c r="X256" s="52" t="s">
        <v>73</v>
      </c>
      <c r="Y256" s="52"/>
      <c r="Z256" s="52" t="s">
        <v>3696</v>
      </c>
      <c r="AA256" s="52" t="s">
        <v>3710</v>
      </c>
      <c r="AB256" s="52"/>
      <c r="AC256" s="52" t="s">
        <v>3720</v>
      </c>
      <c r="AD256" s="52" t="s">
        <v>3715</v>
      </c>
      <c r="AE256" s="52" t="s">
        <v>79</v>
      </c>
      <c r="AF256" s="52" t="s">
        <v>3725</v>
      </c>
      <c r="AG256" s="52" t="s">
        <v>3726</v>
      </c>
      <c r="AH256" s="52"/>
      <c r="AI256" s="52"/>
      <c r="AJ256" s="52"/>
      <c r="AK256" s="52"/>
      <c r="AL256" s="55">
        <v>9.7222222222222224E-2</v>
      </c>
      <c r="AM256" s="52"/>
      <c r="AN256" s="52"/>
      <c r="AO256" s="52"/>
      <c r="AP256" s="55">
        <v>9.7222222222222224E-2</v>
      </c>
      <c r="AQ256" s="52"/>
      <c r="AR256" s="52"/>
      <c r="AS256" s="52" t="s">
        <v>3696</v>
      </c>
      <c r="AT256" s="52"/>
      <c r="AU256" s="52"/>
      <c r="AV256" s="52"/>
      <c r="AW256" s="52"/>
    </row>
    <row r="257" spans="1:49">
      <c r="A257" s="52">
        <v>6014654</v>
      </c>
      <c r="B257" s="52" t="s">
        <v>3716</v>
      </c>
      <c r="C257" s="52" t="s">
        <v>3698</v>
      </c>
      <c r="D257" s="53">
        <v>46155.416666666664</v>
      </c>
      <c r="E257" s="53">
        <v>46155.323611111111</v>
      </c>
      <c r="F257" s="53">
        <v>46155.65902777778</v>
      </c>
      <c r="G257" s="53">
        <v>46160.291666666664</v>
      </c>
      <c r="H257" s="53">
        <v>46155.86041666667</v>
      </c>
      <c r="I257" s="52"/>
      <c r="J257" s="52" t="s">
        <v>3693</v>
      </c>
      <c r="K257" s="53">
        <v>46156.526388888888</v>
      </c>
      <c r="L257" s="52"/>
      <c r="M257" s="54">
        <v>4.6326388888888888</v>
      </c>
      <c r="N257" s="54">
        <v>2.7972222222222221</v>
      </c>
      <c r="O257" s="52" t="s">
        <v>3229</v>
      </c>
      <c r="P257" s="52" t="s">
        <v>227</v>
      </c>
      <c r="Q257" s="52" t="s">
        <v>2028</v>
      </c>
      <c r="R257" s="52" t="s">
        <v>1496</v>
      </c>
      <c r="S257" s="52" t="s">
        <v>789</v>
      </c>
      <c r="T257" s="52" t="s">
        <v>3724</v>
      </c>
      <c r="U257" s="52" t="s">
        <v>3695</v>
      </c>
      <c r="V257" s="52" t="s">
        <v>2032</v>
      </c>
      <c r="W257" s="52">
        <v>60372788904</v>
      </c>
      <c r="X257" s="52" t="s">
        <v>73</v>
      </c>
      <c r="Y257" s="52"/>
      <c r="Z257" s="52" t="s">
        <v>3696</v>
      </c>
      <c r="AA257" s="52" t="s">
        <v>3710</v>
      </c>
      <c r="AB257" s="52"/>
      <c r="AC257" s="52" t="s">
        <v>3720</v>
      </c>
      <c r="AD257" s="52" t="s">
        <v>3715</v>
      </c>
      <c r="AE257" s="52"/>
      <c r="AF257" s="52" t="s">
        <v>3725</v>
      </c>
      <c r="AG257" s="52" t="s">
        <v>3726</v>
      </c>
      <c r="AH257" s="52"/>
      <c r="AI257" s="52"/>
      <c r="AJ257" s="52"/>
      <c r="AK257" s="52"/>
      <c r="AL257" s="55">
        <v>9.7222222222222224E-2</v>
      </c>
      <c r="AM257" s="52"/>
      <c r="AN257" s="52"/>
      <c r="AO257" s="52"/>
      <c r="AP257" s="55">
        <v>9.7222222222222224E-2</v>
      </c>
      <c r="AQ257" s="52"/>
      <c r="AR257" s="52"/>
      <c r="AS257" s="52" t="s">
        <v>3696</v>
      </c>
      <c r="AT257" s="52"/>
      <c r="AU257" s="52"/>
      <c r="AV257" s="52"/>
      <c r="AW257" s="52" t="s">
        <v>2099</v>
      </c>
    </row>
    <row r="258" spans="1:49">
      <c r="A258" s="52">
        <v>6014654</v>
      </c>
      <c r="B258" s="52" t="s">
        <v>3716</v>
      </c>
      <c r="C258" s="52" t="s">
        <v>3698</v>
      </c>
      <c r="D258" s="53">
        <v>46155.416666666664</v>
      </c>
      <c r="E258" s="53">
        <v>46155.323611111111</v>
      </c>
      <c r="F258" s="52"/>
      <c r="G258" s="53">
        <v>46160.291666666664</v>
      </c>
      <c r="H258" s="52"/>
      <c r="I258" s="52"/>
      <c r="J258" s="52" t="s">
        <v>3693</v>
      </c>
      <c r="K258" s="53">
        <v>46156.526388888888</v>
      </c>
      <c r="L258" s="52"/>
      <c r="M258" s="52"/>
      <c r="N258" s="52"/>
      <c r="O258" s="52" t="s">
        <v>3894</v>
      </c>
      <c r="P258" s="52" t="s">
        <v>227</v>
      </c>
      <c r="Q258" s="52" t="s">
        <v>2935</v>
      </c>
      <c r="R258" s="52"/>
      <c r="S258" s="52" t="s">
        <v>3895</v>
      </c>
      <c r="T258" s="52" t="s">
        <v>3896</v>
      </c>
      <c r="U258" s="52" t="s">
        <v>3695</v>
      </c>
      <c r="V258" s="52" t="s">
        <v>2937</v>
      </c>
      <c r="W258" s="52">
        <v>395402948</v>
      </c>
      <c r="X258" s="52" t="s">
        <v>73</v>
      </c>
      <c r="Y258" s="52"/>
      <c r="Z258" s="52" t="s">
        <v>3696</v>
      </c>
      <c r="AA258" s="52" t="s">
        <v>3710</v>
      </c>
      <c r="AB258" s="52"/>
      <c r="AC258" s="52" t="s">
        <v>3720</v>
      </c>
      <c r="AD258" s="52" t="s">
        <v>3715</v>
      </c>
      <c r="AE258" s="52" t="s">
        <v>79</v>
      </c>
      <c r="AF258" s="52" t="s">
        <v>3725</v>
      </c>
      <c r="AG258" s="52" t="s">
        <v>3726</v>
      </c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 t="s">
        <v>3696</v>
      </c>
      <c r="AT258" s="52"/>
      <c r="AU258" s="52"/>
      <c r="AV258" s="52"/>
      <c r="AW258" s="52"/>
    </row>
    <row r="259" spans="1:49">
      <c r="A259" s="52">
        <v>6014654</v>
      </c>
      <c r="B259" s="52" t="s">
        <v>3716</v>
      </c>
      <c r="C259" s="52" t="s">
        <v>3698</v>
      </c>
      <c r="D259" s="53">
        <v>46155.416666666664</v>
      </c>
      <c r="E259" s="53">
        <v>46155.323611111111</v>
      </c>
      <c r="F259" s="52"/>
      <c r="G259" s="53">
        <v>46160.291666666664</v>
      </c>
      <c r="H259" s="52"/>
      <c r="I259" s="52"/>
      <c r="J259" s="52" t="s">
        <v>3693</v>
      </c>
      <c r="K259" s="53">
        <v>46156.526388888888</v>
      </c>
      <c r="L259" s="52"/>
      <c r="M259" s="52"/>
      <c r="N259" s="52"/>
      <c r="O259" s="52" t="s">
        <v>3894</v>
      </c>
      <c r="P259" s="52" t="s">
        <v>227</v>
      </c>
      <c r="Q259" s="52" t="s">
        <v>2935</v>
      </c>
      <c r="R259" s="52"/>
      <c r="S259" s="52" t="s">
        <v>3895</v>
      </c>
      <c r="T259" s="52" t="s">
        <v>3896</v>
      </c>
      <c r="U259" s="52" t="s">
        <v>3695</v>
      </c>
      <c r="V259" s="52" t="s">
        <v>2937</v>
      </c>
      <c r="W259" s="52">
        <v>395402948</v>
      </c>
      <c r="X259" s="52" t="s">
        <v>73</v>
      </c>
      <c r="Y259" s="52"/>
      <c r="Z259" s="52" t="s">
        <v>3696</v>
      </c>
      <c r="AA259" s="52" t="s">
        <v>3710</v>
      </c>
      <c r="AB259" s="52"/>
      <c r="AC259" s="52" t="s">
        <v>3720</v>
      </c>
      <c r="AD259" s="52" t="s">
        <v>3715</v>
      </c>
      <c r="AE259" s="52"/>
      <c r="AF259" s="52" t="s">
        <v>3725</v>
      </c>
      <c r="AG259" s="52" t="s">
        <v>3726</v>
      </c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 t="s">
        <v>3696</v>
      </c>
      <c r="AT259" s="52"/>
      <c r="AU259" s="52"/>
      <c r="AV259" s="52"/>
      <c r="AW259" s="52" t="s">
        <v>2099</v>
      </c>
    </row>
    <row r="260" spans="1:49">
      <c r="A260" s="52">
        <v>6014660</v>
      </c>
      <c r="B260" s="52" t="s">
        <v>3691</v>
      </c>
      <c r="C260" s="52" t="s">
        <v>3692</v>
      </c>
      <c r="D260" s="53">
        <v>46157.375</v>
      </c>
      <c r="E260" s="53">
        <v>46156.68472222222</v>
      </c>
      <c r="F260" s="52"/>
      <c r="G260" s="52"/>
      <c r="H260" s="52"/>
      <c r="I260" s="52" t="s">
        <v>3693</v>
      </c>
      <c r="J260" s="52" t="s">
        <v>3694</v>
      </c>
      <c r="K260" s="52"/>
      <c r="L260" s="52"/>
      <c r="M260" s="54">
        <v>3.754861111111111</v>
      </c>
      <c r="N260" s="54">
        <v>5.2055555555555557</v>
      </c>
      <c r="O260" s="52"/>
      <c r="P260" s="52"/>
      <c r="Q260" s="52"/>
      <c r="R260" s="52"/>
      <c r="S260" s="52"/>
      <c r="T260" s="52" t="s">
        <v>3695</v>
      </c>
      <c r="U260" s="52" t="s">
        <v>3695</v>
      </c>
      <c r="V260" s="52"/>
      <c r="W260" s="52"/>
      <c r="X260" s="52"/>
      <c r="Y260" s="52"/>
      <c r="Z260" s="52" t="s">
        <v>3696</v>
      </c>
      <c r="AA260" s="52" t="s">
        <v>836</v>
      </c>
      <c r="AB260" s="52" t="s">
        <v>140</v>
      </c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>
        <v>0</v>
      </c>
      <c r="AT260" s="52"/>
      <c r="AU260" s="52"/>
      <c r="AV260" s="52" t="s">
        <v>840</v>
      </c>
      <c r="AW260" s="52"/>
    </row>
    <row r="261" spans="1:49">
      <c r="A261" s="52">
        <v>6014660</v>
      </c>
      <c r="B261" s="52" t="s">
        <v>3691</v>
      </c>
      <c r="C261" s="52" t="s">
        <v>3698</v>
      </c>
      <c r="D261" s="53">
        <v>46157.375</v>
      </c>
      <c r="E261" s="53">
        <v>46156.68472222222</v>
      </c>
      <c r="F261" s="52"/>
      <c r="G261" s="52"/>
      <c r="H261" s="52"/>
      <c r="I261" s="52"/>
      <c r="J261" s="52" t="s">
        <v>3694</v>
      </c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 t="s">
        <v>3696</v>
      </c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>
        <v>0</v>
      </c>
      <c r="AT261" s="52"/>
      <c r="AU261" s="52"/>
      <c r="AV261" s="52"/>
      <c r="AW261" s="52"/>
    </row>
    <row r="262" spans="1:49">
      <c r="A262" s="52">
        <v>6014665</v>
      </c>
      <c r="B262" s="52" t="s">
        <v>3699</v>
      </c>
      <c r="C262" s="52" t="s">
        <v>3692</v>
      </c>
      <c r="D262" s="53">
        <v>46154.541666666664</v>
      </c>
      <c r="E262" s="53">
        <v>46153.586805555555</v>
      </c>
      <c r="F262" s="53">
        <v>46154.371527777781</v>
      </c>
      <c r="G262" s="53">
        <v>46157.291666666664</v>
      </c>
      <c r="H262" s="52"/>
      <c r="I262" s="52" t="s">
        <v>3693</v>
      </c>
      <c r="J262" s="52" t="s">
        <v>3693</v>
      </c>
      <c r="K262" s="53">
        <v>46154.820138888892</v>
      </c>
      <c r="L262" s="52" t="s">
        <v>3700</v>
      </c>
      <c r="M262" s="55">
        <v>0.42986111111111114</v>
      </c>
      <c r="N262" s="54">
        <v>1.5944444444444446</v>
      </c>
      <c r="O262" s="52"/>
      <c r="P262" s="52"/>
      <c r="Q262" s="52"/>
      <c r="R262" s="52"/>
      <c r="S262" s="52"/>
      <c r="T262" s="52" t="s">
        <v>3897</v>
      </c>
      <c r="U262" s="52" t="s">
        <v>3898</v>
      </c>
      <c r="V262" s="52"/>
      <c r="W262" s="52"/>
      <c r="X262" s="52"/>
      <c r="Y262" s="52"/>
      <c r="Z262" s="52" t="s">
        <v>3696</v>
      </c>
      <c r="AA262" s="52" t="s">
        <v>227</v>
      </c>
      <c r="AB262" s="52" t="s">
        <v>79</v>
      </c>
      <c r="AC262" s="52" t="s">
        <v>3720</v>
      </c>
      <c r="AD262" s="52" t="s">
        <v>3715</v>
      </c>
      <c r="AE262" s="52"/>
      <c r="AF262" s="52" t="s">
        <v>3899</v>
      </c>
      <c r="AG262" s="52" t="s">
        <v>3704</v>
      </c>
      <c r="AH262" s="52"/>
      <c r="AI262" s="52"/>
      <c r="AJ262" s="52"/>
      <c r="AK262" s="52"/>
      <c r="AL262" s="55">
        <v>6.9444444444444441E-3</v>
      </c>
      <c r="AM262" s="52"/>
      <c r="AN262" s="52"/>
      <c r="AO262" s="52"/>
      <c r="AP262" s="52"/>
      <c r="AQ262" s="52"/>
      <c r="AR262" s="52"/>
      <c r="AS262" s="52">
        <v>0</v>
      </c>
      <c r="AT262" s="52"/>
      <c r="AU262" s="52"/>
      <c r="AV262" s="52" t="s">
        <v>176</v>
      </c>
      <c r="AW262" s="52"/>
    </row>
    <row r="263" spans="1:49">
      <c r="A263" s="52">
        <v>6014665</v>
      </c>
      <c r="B263" s="52" t="s">
        <v>3699</v>
      </c>
      <c r="C263" s="52" t="s">
        <v>3698</v>
      </c>
      <c r="D263" s="53">
        <v>46154.541666666664</v>
      </c>
      <c r="E263" s="53">
        <v>46153.586805555555</v>
      </c>
      <c r="F263" s="53">
        <v>46154.372916666667</v>
      </c>
      <c r="G263" s="53">
        <v>46157.291666666664</v>
      </c>
      <c r="H263" s="53">
        <v>46154.729166666664</v>
      </c>
      <c r="I263" s="52"/>
      <c r="J263" s="52" t="s">
        <v>3693</v>
      </c>
      <c r="K263" s="53">
        <v>46154.820138888892</v>
      </c>
      <c r="L263" s="52"/>
      <c r="M263" s="54">
        <v>2.9187500000000002</v>
      </c>
      <c r="N263" s="54">
        <v>4.083333333333333</v>
      </c>
      <c r="O263" s="52" t="s">
        <v>2976</v>
      </c>
      <c r="P263" s="52" t="s">
        <v>227</v>
      </c>
      <c r="Q263" s="52" t="s">
        <v>1186</v>
      </c>
      <c r="R263" s="52" t="s">
        <v>2235</v>
      </c>
      <c r="S263" s="52" t="s">
        <v>789</v>
      </c>
      <c r="T263" s="52" t="s">
        <v>3897</v>
      </c>
      <c r="U263" s="52" t="s">
        <v>3898</v>
      </c>
      <c r="V263" s="52" t="s">
        <v>3744</v>
      </c>
      <c r="W263" s="52">
        <v>72206799987</v>
      </c>
      <c r="X263" s="52" t="s">
        <v>73</v>
      </c>
      <c r="Y263" s="52" t="s">
        <v>3745</v>
      </c>
      <c r="Z263" s="52" t="s">
        <v>3696</v>
      </c>
      <c r="AA263" s="52" t="s">
        <v>3710</v>
      </c>
      <c r="AB263" s="52"/>
      <c r="AC263" s="52" t="s">
        <v>3720</v>
      </c>
      <c r="AD263" s="52" t="s">
        <v>3715</v>
      </c>
      <c r="AE263" s="52" t="s">
        <v>79</v>
      </c>
      <c r="AF263" s="52" t="s">
        <v>3899</v>
      </c>
      <c r="AG263" s="52" t="s">
        <v>3704</v>
      </c>
      <c r="AH263" s="52"/>
      <c r="AI263" s="53">
        <v>46154.373611111114</v>
      </c>
      <c r="AJ263" s="53">
        <v>46154.380555555559</v>
      </c>
      <c r="AK263" s="53">
        <v>46154.373611111114</v>
      </c>
      <c r="AL263" s="55">
        <v>1.5277777777777777E-2</v>
      </c>
      <c r="AM263" s="52"/>
      <c r="AN263" s="55">
        <v>6.9444444444444441E-3</v>
      </c>
      <c r="AO263" s="52"/>
      <c r="AP263" s="55">
        <v>1.5277777777777777E-2</v>
      </c>
      <c r="AQ263" s="52"/>
      <c r="AR263" s="52"/>
      <c r="AS263" s="52" t="s">
        <v>3696</v>
      </c>
      <c r="AT263" s="52"/>
      <c r="AU263" s="52"/>
      <c r="AV263" s="52"/>
      <c r="AW263" s="52"/>
    </row>
    <row r="264" spans="1:49">
      <c r="A264" s="52">
        <v>6014665</v>
      </c>
      <c r="B264" s="52" t="s">
        <v>3699</v>
      </c>
      <c r="C264" s="52" t="s">
        <v>3698</v>
      </c>
      <c r="D264" s="53">
        <v>46154.541666666664</v>
      </c>
      <c r="E264" s="53">
        <v>46153.586805555555</v>
      </c>
      <c r="F264" s="53">
        <v>46154.372916666667</v>
      </c>
      <c r="G264" s="53">
        <v>46157.291666666664</v>
      </c>
      <c r="H264" s="53">
        <v>46154.729166666664</v>
      </c>
      <c r="I264" s="52"/>
      <c r="J264" s="52" t="s">
        <v>3693</v>
      </c>
      <c r="K264" s="53">
        <v>46154.820138888892</v>
      </c>
      <c r="L264" s="52"/>
      <c r="M264" s="54">
        <v>2.9187500000000002</v>
      </c>
      <c r="N264" s="54">
        <v>4.083333333333333</v>
      </c>
      <c r="O264" s="52" t="s">
        <v>2976</v>
      </c>
      <c r="P264" s="52" t="s">
        <v>227</v>
      </c>
      <c r="Q264" s="52" t="s">
        <v>1186</v>
      </c>
      <c r="R264" s="52" t="s">
        <v>2235</v>
      </c>
      <c r="S264" s="52" t="s">
        <v>789</v>
      </c>
      <c r="T264" s="52" t="s">
        <v>3897</v>
      </c>
      <c r="U264" s="52" t="s">
        <v>3898</v>
      </c>
      <c r="V264" s="52" t="s">
        <v>3744</v>
      </c>
      <c r="W264" s="52">
        <v>72206799987</v>
      </c>
      <c r="X264" s="52" t="s">
        <v>73</v>
      </c>
      <c r="Y264" s="52" t="s">
        <v>3745</v>
      </c>
      <c r="Z264" s="52" t="s">
        <v>3696</v>
      </c>
      <c r="AA264" s="52" t="s">
        <v>3710</v>
      </c>
      <c r="AB264" s="52"/>
      <c r="AC264" s="52" t="s">
        <v>3720</v>
      </c>
      <c r="AD264" s="52" t="s">
        <v>3715</v>
      </c>
      <c r="AE264" s="52"/>
      <c r="AF264" s="52" t="s">
        <v>3899</v>
      </c>
      <c r="AG264" s="52" t="s">
        <v>3704</v>
      </c>
      <c r="AH264" s="52"/>
      <c r="AI264" s="53">
        <v>46154.373611111114</v>
      </c>
      <c r="AJ264" s="53">
        <v>46154.380555555559</v>
      </c>
      <c r="AK264" s="53">
        <v>46154.373611111114</v>
      </c>
      <c r="AL264" s="55">
        <v>1.5277777777777777E-2</v>
      </c>
      <c r="AM264" s="52"/>
      <c r="AN264" s="55">
        <v>6.9444444444444441E-3</v>
      </c>
      <c r="AO264" s="52"/>
      <c r="AP264" s="55">
        <v>1.5277777777777777E-2</v>
      </c>
      <c r="AQ264" s="52"/>
      <c r="AR264" s="52"/>
      <c r="AS264" s="52" t="s">
        <v>3696</v>
      </c>
      <c r="AT264" s="52"/>
      <c r="AU264" s="52"/>
      <c r="AV264" s="52"/>
      <c r="AW264" s="52" t="s">
        <v>176</v>
      </c>
    </row>
    <row r="265" spans="1:49">
      <c r="A265" s="52">
        <v>6014665</v>
      </c>
      <c r="B265" s="52" t="s">
        <v>3699</v>
      </c>
      <c r="C265" s="52" t="s">
        <v>3698</v>
      </c>
      <c r="D265" s="53">
        <v>46154.541666666664</v>
      </c>
      <c r="E265" s="53">
        <v>46153.586805555555</v>
      </c>
      <c r="F265" s="53">
        <v>46156.782638888886</v>
      </c>
      <c r="G265" s="53">
        <v>46157.291666666664</v>
      </c>
      <c r="H265" s="53">
        <v>46157.708333333336</v>
      </c>
      <c r="I265" s="52"/>
      <c r="J265" s="52" t="s">
        <v>3693</v>
      </c>
      <c r="K265" s="53">
        <v>46154.820138888892</v>
      </c>
      <c r="L265" s="52"/>
      <c r="M265" s="55">
        <v>0.50902777777777775</v>
      </c>
      <c r="N265" s="54">
        <v>1.6736111111111112</v>
      </c>
      <c r="O265" s="52" t="s">
        <v>3481</v>
      </c>
      <c r="P265" s="52" t="s">
        <v>227</v>
      </c>
      <c r="Q265" s="52" t="s">
        <v>2290</v>
      </c>
      <c r="R265" s="52" t="s">
        <v>2235</v>
      </c>
      <c r="S265" s="52" t="s">
        <v>789</v>
      </c>
      <c r="T265" s="52" t="s">
        <v>3897</v>
      </c>
      <c r="U265" s="52" t="s">
        <v>3900</v>
      </c>
      <c r="V265" s="52" t="s">
        <v>2294</v>
      </c>
      <c r="W265" s="52">
        <v>9255295837</v>
      </c>
      <c r="X265" s="52" t="s">
        <v>73</v>
      </c>
      <c r="Y265" s="52" t="s">
        <v>3826</v>
      </c>
      <c r="Z265" s="52" t="s">
        <v>3696</v>
      </c>
      <c r="AA265" s="52" t="s">
        <v>3710</v>
      </c>
      <c r="AB265" s="52"/>
      <c r="AC265" s="52" t="s">
        <v>3720</v>
      </c>
      <c r="AD265" s="52" t="s">
        <v>3715</v>
      </c>
      <c r="AE265" s="52" t="s">
        <v>79</v>
      </c>
      <c r="AF265" s="52" t="s">
        <v>3899</v>
      </c>
      <c r="AG265" s="52" t="s">
        <v>3704</v>
      </c>
      <c r="AH265" s="52"/>
      <c r="AI265" s="53">
        <v>46154.373611111114</v>
      </c>
      <c r="AJ265" s="53">
        <v>46154.380555555559</v>
      </c>
      <c r="AK265" s="53">
        <v>46154.373611111114</v>
      </c>
      <c r="AL265" s="55">
        <v>0.75972222222222219</v>
      </c>
      <c r="AM265" s="52"/>
      <c r="AN265" s="55">
        <v>6.9444444444444441E-3</v>
      </c>
      <c r="AO265" s="52"/>
      <c r="AP265" s="55">
        <v>0.75972222222222219</v>
      </c>
      <c r="AQ265" s="52"/>
      <c r="AR265" s="52"/>
      <c r="AS265" s="52" t="s">
        <v>3696</v>
      </c>
      <c r="AT265" s="52"/>
      <c r="AU265" s="52"/>
      <c r="AV265" s="52"/>
      <c r="AW265" s="52"/>
    </row>
    <row r="266" spans="1:49">
      <c r="A266" s="52">
        <v>6014665</v>
      </c>
      <c r="B266" s="52" t="s">
        <v>3699</v>
      </c>
      <c r="C266" s="52" t="s">
        <v>3698</v>
      </c>
      <c r="D266" s="53">
        <v>46154.541666666664</v>
      </c>
      <c r="E266" s="53">
        <v>46153.586805555555</v>
      </c>
      <c r="F266" s="53">
        <v>46156.782638888886</v>
      </c>
      <c r="G266" s="53">
        <v>46157.291666666664</v>
      </c>
      <c r="H266" s="53">
        <v>46157.708333333336</v>
      </c>
      <c r="I266" s="52"/>
      <c r="J266" s="52" t="s">
        <v>3693</v>
      </c>
      <c r="K266" s="53">
        <v>46154.820138888892</v>
      </c>
      <c r="L266" s="52"/>
      <c r="M266" s="55">
        <v>0.50902777777777775</v>
      </c>
      <c r="N266" s="54">
        <v>1.6736111111111112</v>
      </c>
      <c r="O266" s="52" t="s">
        <v>3481</v>
      </c>
      <c r="P266" s="52" t="s">
        <v>227</v>
      </c>
      <c r="Q266" s="52" t="s">
        <v>2290</v>
      </c>
      <c r="R266" s="52" t="s">
        <v>2235</v>
      </c>
      <c r="S266" s="52" t="s">
        <v>789</v>
      </c>
      <c r="T266" s="52" t="s">
        <v>3897</v>
      </c>
      <c r="U266" s="52" t="s">
        <v>3900</v>
      </c>
      <c r="V266" s="52" t="s">
        <v>2294</v>
      </c>
      <c r="W266" s="52">
        <v>9255295837</v>
      </c>
      <c r="X266" s="52" t="s">
        <v>73</v>
      </c>
      <c r="Y266" s="52" t="s">
        <v>3826</v>
      </c>
      <c r="Z266" s="52" t="s">
        <v>3696</v>
      </c>
      <c r="AA266" s="52" t="s">
        <v>3710</v>
      </c>
      <c r="AB266" s="52"/>
      <c r="AC266" s="52" t="s">
        <v>3720</v>
      </c>
      <c r="AD266" s="52" t="s">
        <v>3715</v>
      </c>
      <c r="AE266" s="52"/>
      <c r="AF266" s="52" t="s">
        <v>3899</v>
      </c>
      <c r="AG266" s="52" t="s">
        <v>3704</v>
      </c>
      <c r="AH266" s="52"/>
      <c r="AI266" s="53">
        <v>46154.373611111114</v>
      </c>
      <c r="AJ266" s="53">
        <v>46154.380555555559</v>
      </c>
      <c r="AK266" s="53">
        <v>46154.373611111114</v>
      </c>
      <c r="AL266" s="55">
        <v>0.75972222222222219</v>
      </c>
      <c r="AM266" s="52"/>
      <c r="AN266" s="55">
        <v>6.9444444444444441E-3</v>
      </c>
      <c r="AO266" s="52"/>
      <c r="AP266" s="55">
        <v>0.75972222222222219</v>
      </c>
      <c r="AQ266" s="52"/>
      <c r="AR266" s="52"/>
      <c r="AS266" s="52" t="s">
        <v>3696</v>
      </c>
      <c r="AT266" s="52"/>
      <c r="AU266" s="52"/>
      <c r="AV266" s="52"/>
      <c r="AW266" s="52" t="s">
        <v>176</v>
      </c>
    </row>
    <row r="267" spans="1:49">
      <c r="A267" s="52">
        <v>6014666</v>
      </c>
      <c r="B267" s="52" t="s">
        <v>3699</v>
      </c>
      <c r="C267" s="52" t="s">
        <v>3692</v>
      </c>
      <c r="D267" s="53">
        <v>46154.458333333336</v>
      </c>
      <c r="E267" s="53">
        <v>46153.586805555555</v>
      </c>
      <c r="F267" s="53">
        <v>46154.390972222223</v>
      </c>
      <c r="G267" s="53">
        <v>46157.291666666664</v>
      </c>
      <c r="H267" s="52"/>
      <c r="I267" s="52" t="s">
        <v>3693</v>
      </c>
      <c r="J267" s="52" t="s">
        <v>3693</v>
      </c>
      <c r="K267" s="53">
        <v>46154.905555555553</v>
      </c>
      <c r="L267" s="52" t="s">
        <v>3700</v>
      </c>
      <c r="M267" s="55">
        <v>0.42986111111111114</v>
      </c>
      <c r="N267" s="54">
        <v>1.5944444444444446</v>
      </c>
      <c r="O267" s="52"/>
      <c r="P267" s="52"/>
      <c r="Q267" s="52"/>
      <c r="R267" s="52"/>
      <c r="S267" s="52"/>
      <c r="T267" s="52" t="s">
        <v>3897</v>
      </c>
      <c r="U267" s="52" t="s">
        <v>3901</v>
      </c>
      <c r="V267" s="52"/>
      <c r="W267" s="52"/>
      <c r="X267" s="52"/>
      <c r="Y267" s="52"/>
      <c r="Z267" s="52" t="s">
        <v>3696</v>
      </c>
      <c r="AA267" s="52" t="s">
        <v>227</v>
      </c>
      <c r="AB267" s="52" t="s">
        <v>79</v>
      </c>
      <c r="AC267" s="52" t="s">
        <v>3720</v>
      </c>
      <c r="AD267" s="52" t="s">
        <v>3715</v>
      </c>
      <c r="AE267" s="52"/>
      <c r="AF267" s="52" t="s">
        <v>3899</v>
      </c>
      <c r="AG267" s="52" t="s">
        <v>3704</v>
      </c>
      <c r="AH267" s="52"/>
      <c r="AI267" s="52"/>
      <c r="AJ267" s="52"/>
      <c r="AK267" s="52"/>
      <c r="AL267" s="55">
        <v>1.6666666666666666E-2</v>
      </c>
      <c r="AM267" s="52"/>
      <c r="AN267" s="52"/>
      <c r="AO267" s="52"/>
      <c r="AP267" s="52"/>
      <c r="AQ267" s="52"/>
      <c r="AR267" s="52"/>
      <c r="AS267" s="52">
        <v>0</v>
      </c>
      <c r="AT267" s="52"/>
      <c r="AU267" s="52"/>
      <c r="AV267" s="52" t="s">
        <v>176</v>
      </c>
      <c r="AW267" s="52"/>
    </row>
    <row r="268" spans="1:49">
      <c r="A268" s="52">
        <v>6014666</v>
      </c>
      <c r="B268" s="52" t="s">
        <v>3699</v>
      </c>
      <c r="C268" s="52" t="s">
        <v>3698</v>
      </c>
      <c r="D268" s="53">
        <v>46154.458333333336</v>
      </c>
      <c r="E268" s="53">
        <v>46153.586805555555</v>
      </c>
      <c r="F268" s="53">
        <v>46154.395138888889</v>
      </c>
      <c r="G268" s="53">
        <v>46157.291666666664</v>
      </c>
      <c r="H268" s="53">
        <v>46154.807638888888</v>
      </c>
      <c r="I268" s="52"/>
      <c r="J268" s="52" t="s">
        <v>3693</v>
      </c>
      <c r="K268" s="53">
        <v>46154.905555555553</v>
      </c>
      <c r="L268" s="52"/>
      <c r="M268" s="54">
        <v>2.8965277777777776</v>
      </c>
      <c r="N268" s="54">
        <v>4.0611111111111109</v>
      </c>
      <c r="O268" s="52" t="s">
        <v>2983</v>
      </c>
      <c r="P268" s="52" t="s">
        <v>227</v>
      </c>
      <c r="Q268" s="52" t="s">
        <v>2123</v>
      </c>
      <c r="R268" s="52" t="s">
        <v>2325</v>
      </c>
      <c r="S268" s="52" t="s">
        <v>789</v>
      </c>
      <c r="T268" s="52" t="s">
        <v>3897</v>
      </c>
      <c r="U268" s="52" t="s">
        <v>3901</v>
      </c>
      <c r="V268" s="52" t="s">
        <v>2128</v>
      </c>
      <c r="W268" s="52">
        <v>3025597950</v>
      </c>
      <c r="X268" s="52" t="s">
        <v>73</v>
      </c>
      <c r="Y268" s="52"/>
      <c r="Z268" s="52" t="s">
        <v>3696</v>
      </c>
      <c r="AA268" s="52" t="s">
        <v>3710</v>
      </c>
      <c r="AB268" s="52"/>
      <c r="AC268" s="52" t="s">
        <v>3720</v>
      </c>
      <c r="AD268" s="52" t="s">
        <v>3715</v>
      </c>
      <c r="AE268" s="52" t="s">
        <v>79</v>
      </c>
      <c r="AF268" s="52" t="s">
        <v>3899</v>
      </c>
      <c r="AG268" s="52" t="s">
        <v>3704</v>
      </c>
      <c r="AH268" s="52"/>
      <c r="AI268" s="53">
        <v>46154.425694444442</v>
      </c>
      <c r="AJ268" s="53">
        <v>46154.442361111112</v>
      </c>
      <c r="AK268" s="53">
        <v>46154.425694444442</v>
      </c>
      <c r="AL268" s="55">
        <v>1.8749999999999999E-2</v>
      </c>
      <c r="AM268" s="52"/>
      <c r="AN268" s="55">
        <v>1.6666666666666666E-2</v>
      </c>
      <c r="AO268" s="52"/>
      <c r="AP268" s="55">
        <v>1.8749999999999999E-2</v>
      </c>
      <c r="AQ268" s="52"/>
      <c r="AR268" s="52"/>
      <c r="AS268" s="52" t="s">
        <v>3696</v>
      </c>
      <c r="AT268" s="52"/>
      <c r="AU268" s="52"/>
      <c r="AV268" s="52"/>
      <c r="AW268" s="52"/>
    </row>
    <row r="269" spans="1:49">
      <c r="A269" s="52">
        <v>6014666</v>
      </c>
      <c r="B269" s="52" t="s">
        <v>3699</v>
      </c>
      <c r="C269" s="52" t="s">
        <v>3698</v>
      </c>
      <c r="D269" s="53">
        <v>46154.458333333336</v>
      </c>
      <c r="E269" s="53">
        <v>46153.586805555555</v>
      </c>
      <c r="F269" s="53">
        <v>46154.395138888889</v>
      </c>
      <c r="G269" s="53">
        <v>46157.291666666664</v>
      </c>
      <c r="H269" s="53">
        <v>46154.807638888888</v>
      </c>
      <c r="I269" s="52"/>
      <c r="J269" s="52" t="s">
        <v>3693</v>
      </c>
      <c r="K269" s="53">
        <v>46154.905555555553</v>
      </c>
      <c r="L269" s="52"/>
      <c r="M269" s="54">
        <v>2.8965277777777776</v>
      </c>
      <c r="N269" s="54">
        <v>4.0611111111111109</v>
      </c>
      <c r="O269" s="52" t="s">
        <v>2983</v>
      </c>
      <c r="P269" s="52" t="s">
        <v>227</v>
      </c>
      <c r="Q269" s="52" t="s">
        <v>2123</v>
      </c>
      <c r="R269" s="52" t="s">
        <v>2325</v>
      </c>
      <c r="S269" s="52" t="s">
        <v>789</v>
      </c>
      <c r="T269" s="52" t="s">
        <v>3897</v>
      </c>
      <c r="U269" s="52" t="s">
        <v>3901</v>
      </c>
      <c r="V269" s="52" t="s">
        <v>2128</v>
      </c>
      <c r="W269" s="52">
        <v>3025597950</v>
      </c>
      <c r="X269" s="52" t="s">
        <v>73</v>
      </c>
      <c r="Y269" s="52"/>
      <c r="Z269" s="52" t="s">
        <v>3696</v>
      </c>
      <c r="AA269" s="52" t="s">
        <v>3710</v>
      </c>
      <c r="AB269" s="52"/>
      <c r="AC269" s="52" t="s">
        <v>3720</v>
      </c>
      <c r="AD269" s="52" t="s">
        <v>3715</v>
      </c>
      <c r="AE269" s="52"/>
      <c r="AF269" s="52" t="s">
        <v>3899</v>
      </c>
      <c r="AG269" s="52" t="s">
        <v>3704</v>
      </c>
      <c r="AH269" s="52"/>
      <c r="AI269" s="53">
        <v>46154.425694444442</v>
      </c>
      <c r="AJ269" s="53">
        <v>46154.442361111112</v>
      </c>
      <c r="AK269" s="53">
        <v>46154.425694444442</v>
      </c>
      <c r="AL269" s="55">
        <v>1.8749999999999999E-2</v>
      </c>
      <c r="AM269" s="52"/>
      <c r="AN269" s="55">
        <v>1.6666666666666666E-2</v>
      </c>
      <c r="AO269" s="52"/>
      <c r="AP269" s="55">
        <v>1.8749999999999999E-2</v>
      </c>
      <c r="AQ269" s="52"/>
      <c r="AR269" s="52"/>
      <c r="AS269" s="52" t="s">
        <v>3696</v>
      </c>
      <c r="AT269" s="52"/>
      <c r="AU269" s="52"/>
      <c r="AV269" s="52"/>
      <c r="AW269" s="52" t="s">
        <v>176</v>
      </c>
    </row>
    <row r="270" spans="1:49">
      <c r="A270" s="52">
        <v>6014666</v>
      </c>
      <c r="B270" s="52" t="s">
        <v>3699</v>
      </c>
      <c r="C270" s="52" t="s">
        <v>3698</v>
      </c>
      <c r="D270" s="53">
        <v>46154.458333333336</v>
      </c>
      <c r="E270" s="53">
        <v>46153.586805555555</v>
      </c>
      <c r="F270" s="53">
        <v>46157.053472222222</v>
      </c>
      <c r="G270" s="53">
        <v>46157.291666666664</v>
      </c>
      <c r="H270" s="53">
        <v>46157.756944444445</v>
      </c>
      <c r="I270" s="52"/>
      <c r="J270" s="52" t="s">
        <v>3693</v>
      </c>
      <c r="K270" s="53">
        <v>46154.905555555553</v>
      </c>
      <c r="L270" s="52"/>
      <c r="M270" s="55">
        <v>0.23819444444444443</v>
      </c>
      <c r="N270" s="54">
        <v>1.4027777777777777</v>
      </c>
      <c r="O270" s="52" t="s">
        <v>3518</v>
      </c>
      <c r="P270" s="52" t="s">
        <v>227</v>
      </c>
      <c r="Q270" s="52" t="s">
        <v>1801</v>
      </c>
      <c r="R270" s="52" t="s">
        <v>2325</v>
      </c>
      <c r="S270" s="52" t="s">
        <v>789</v>
      </c>
      <c r="T270" s="52" t="s">
        <v>3897</v>
      </c>
      <c r="U270" s="52" t="s">
        <v>3902</v>
      </c>
      <c r="V270" s="52" t="s">
        <v>1807</v>
      </c>
      <c r="W270" s="52">
        <v>49605372991</v>
      </c>
      <c r="X270" s="52" t="s">
        <v>73</v>
      </c>
      <c r="Y270" s="52"/>
      <c r="Z270" s="52" t="s">
        <v>3696</v>
      </c>
      <c r="AA270" s="52" t="s">
        <v>3710</v>
      </c>
      <c r="AB270" s="52"/>
      <c r="AC270" s="52" t="s">
        <v>3720</v>
      </c>
      <c r="AD270" s="52" t="s">
        <v>3715</v>
      </c>
      <c r="AE270" s="52" t="s">
        <v>79</v>
      </c>
      <c r="AF270" s="52" t="s">
        <v>3899</v>
      </c>
      <c r="AG270" s="52" t="s">
        <v>3704</v>
      </c>
      <c r="AH270" s="52"/>
      <c r="AI270" s="53">
        <v>46154.425694444442</v>
      </c>
      <c r="AJ270" s="53">
        <v>46154.442361111112</v>
      </c>
      <c r="AK270" s="53">
        <v>46154.425694444442</v>
      </c>
      <c r="AL270" s="55">
        <v>0.4909722222222222</v>
      </c>
      <c r="AM270" s="52"/>
      <c r="AN270" s="55">
        <v>1.6666666666666666E-2</v>
      </c>
      <c r="AO270" s="52"/>
      <c r="AP270" s="55">
        <v>0.4909722222222222</v>
      </c>
      <c r="AQ270" s="52"/>
      <c r="AR270" s="52"/>
      <c r="AS270" s="52" t="s">
        <v>3696</v>
      </c>
      <c r="AT270" s="52"/>
      <c r="AU270" s="52"/>
      <c r="AV270" s="52"/>
      <c r="AW270" s="52"/>
    </row>
    <row r="271" spans="1:49">
      <c r="A271" s="52">
        <v>6014666</v>
      </c>
      <c r="B271" s="52" t="s">
        <v>3699</v>
      </c>
      <c r="C271" s="52" t="s">
        <v>3698</v>
      </c>
      <c r="D271" s="53">
        <v>46154.458333333336</v>
      </c>
      <c r="E271" s="53">
        <v>46153.586805555555</v>
      </c>
      <c r="F271" s="53">
        <v>46157.053472222222</v>
      </c>
      <c r="G271" s="53">
        <v>46157.291666666664</v>
      </c>
      <c r="H271" s="53">
        <v>46157.756944444445</v>
      </c>
      <c r="I271" s="52"/>
      <c r="J271" s="52" t="s">
        <v>3693</v>
      </c>
      <c r="K271" s="53">
        <v>46154.905555555553</v>
      </c>
      <c r="L271" s="52"/>
      <c r="M271" s="55">
        <v>0.23819444444444443</v>
      </c>
      <c r="N271" s="54">
        <v>1.4027777777777777</v>
      </c>
      <c r="O271" s="52" t="s">
        <v>3518</v>
      </c>
      <c r="P271" s="52" t="s">
        <v>227</v>
      </c>
      <c r="Q271" s="52" t="s">
        <v>1801</v>
      </c>
      <c r="R271" s="52" t="s">
        <v>2325</v>
      </c>
      <c r="S271" s="52" t="s">
        <v>789</v>
      </c>
      <c r="T271" s="52" t="s">
        <v>3897</v>
      </c>
      <c r="U271" s="52" t="s">
        <v>3902</v>
      </c>
      <c r="V271" s="52" t="s">
        <v>1807</v>
      </c>
      <c r="W271" s="52">
        <v>49605372991</v>
      </c>
      <c r="X271" s="52" t="s">
        <v>73</v>
      </c>
      <c r="Y271" s="52"/>
      <c r="Z271" s="52" t="s">
        <v>3696</v>
      </c>
      <c r="AA271" s="52" t="s">
        <v>3710</v>
      </c>
      <c r="AB271" s="52"/>
      <c r="AC271" s="52" t="s">
        <v>3720</v>
      </c>
      <c r="AD271" s="52" t="s">
        <v>3715</v>
      </c>
      <c r="AE271" s="52"/>
      <c r="AF271" s="52" t="s">
        <v>3899</v>
      </c>
      <c r="AG271" s="52" t="s">
        <v>3704</v>
      </c>
      <c r="AH271" s="52"/>
      <c r="AI271" s="53">
        <v>46154.425694444442</v>
      </c>
      <c r="AJ271" s="53">
        <v>46154.442361111112</v>
      </c>
      <c r="AK271" s="53">
        <v>46154.425694444442</v>
      </c>
      <c r="AL271" s="55">
        <v>0.4909722222222222</v>
      </c>
      <c r="AM271" s="52"/>
      <c r="AN271" s="55">
        <v>1.6666666666666666E-2</v>
      </c>
      <c r="AO271" s="52"/>
      <c r="AP271" s="55">
        <v>0.4909722222222222</v>
      </c>
      <c r="AQ271" s="52"/>
      <c r="AR271" s="52"/>
      <c r="AS271" s="52" t="s">
        <v>3696</v>
      </c>
      <c r="AT271" s="52"/>
      <c r="AU271" s="52"/>
      <c r="AV271" s="52"/>
      <c r="AW271" s="52" t="s">
        <v>176</v>
      </c>
    </row>
    <row r="272" spans="1:49">
      <c r="A272" s="52">
        <v>6014668</v>
      </c>
      <c r="B272" s="52" t="s">
        <v>3723</v>
      </c>
      <c r="C272" s="52" t="s">
        <v>3692</v>
      </c>
      <c r="D272" s="53">
        <v>46154.458333333336</v>
      </c>
      <c r="E272" s="53">
        <v>46153.586805555555</v>
      </c>
      <c r="F272" s="53">
        <v>46154.466666666667</v>
      </c>
      <c r="G272" s="53">
        <v>46157.291666666664</v>
      </c>
      <c r="H272" s="53">
        <v>46155.032638888886</v>
      </c>
      <c r="I272" s="52" t="s">
        <v>3693</v>
      </c>
      <c r="J272" s="52" t="s">
        <v>3693</v>
      </c>
      <c r="K272" s="53">
        <v>46155.032638888886</v>
      </c>
      <c r="L272" s="52" t="s">
        <v>3735</v>
      </c>
      <c r="M272" s="55">
        <v>0.42986111111111114</v>
      </c>
      <c r="N272" s="54">
        <v>1.5944444444444446</v>
      </c>
      <c r="O272" s="52"/>
      <c r="P272" s="52"/>
      <c r="Q272" s="52"/>
      <c r="R272" s="52"/>
      <c r="S272" s="52"/>
      <c r="T272" s="52" t="s">
        <v>3897</v>
      </c>
      <c r="U272" s="52" t="s">
        <v>3903</v>
      </c>
      <c r="V272" s="52"/>
      <c r="W272" s="52"/>
      <c r="X272" s="52"/>
      <c r="Y272" s="52"/>
      <c r="Z272" s="52" t="s">
        <v>3696</v>
      </c>
      <c r="AA272" s="52" t="s">
        <v>171</v>
      </c>
      <c r="AB272" s="52" t="s">
        <v>79</v>
      </c>
      <c r="AC272" s="52" t="s">
        <v>3720</v>
      </c>
      <c r="AD272" s="52" t="s">
        <v>3715</v>
      </c>
      <c r="AE272" s="52"/>
      <c r="AF272" s="52" t="s">
        <v>3899</v>
      </c>
      <c r="AG272" s="52" t="s">
        <v>3704</v>
      </c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>
        <v>0</v>
      </c>
      <c r="AT272" s="52"/>
      <c r="AU272" s="52"/>
      <c r="AV272" s="52" t="s">
        <v>176</v>
      </c>
      <c r="AW272" s="52"/>
    </row>
    <row r="273" spans="1:49">
      <c r="A273" s="52">
        <v>6014668</v>
      </c>
      <c r="B273" s="52" t="s">
        <v>3723</v>
      </c>
      <c r="C273" s="52" t="s">
        <v>3698</v>
      </c>
      <c r="D273" s="53">
        <v>46154.458333333336</v>
      </c>
      <c r="E273" s="53">
        <v>46153.586805555555</v>
      </c>
      <c r="F273" s="53">
        <v>46154.57708333333</v>
      </c>
      <c r="G273" s="53">
        <v>46157.291666666664</v>
      </c>
      <c r="H273" s="53">
        <v>46155.688194444447</v>
      </c>
      <c r="I273" s="52"/>
      <c r="J273" s="52" t="s">
        <v>3693</v>
      </c>
      <c r="K273" s="53">
        <v>46155.032638888886</v>
      </c>
      <c r="L273" s="52"/>
      <c r="M273" s="54">
        <v>2.7145833333333331</v>
      </c>
      <c r="N273" s="54">
        <v>3.8791666666666669</v>
      </c>
      <c r="O273" s="52" t="s">
        <v>3008</v>
      </c>
      <c r="P273" s="52" t="s">
        <v>171</v>
      </c>
      <c r="Q273" s="52" t="s">
        <v>3007</v>
      </c>
      <c r="R273" s="52" t="s">
        <v>3011</v>
      </c>
      <c r="S273" s="52" t="s">
        <v>789</v>
      </c>
      <c r="T273" s="52" t="s">
        <v>3897</v>
      </c>
      <c r="U273" s="52" t="s">
        <v>3903</v>
      </c>
      <c r="V273" s="52" t="s">
        <v>3012</v>
      </c>
      <c r="W273" s="52">
        <v>55169791968</v>
      </c>
      <c r="X273" s="52" t="s">
        <v>73</v>
      </c>
      <c r="Y273" s="52"/>
      <c r="Z273" s="52" t="s">
        <v>3696</v>
      </c>
      <c r="AA273" s="52" t="s">
        <v>3710</v>
      </c>
      <c r="AB273" s="52"/>
      <c r="AC273" s="52" t="s">
        <v>3720</v>
      </c>
      <c r="AD273" s="52" t="s">
        <v>3715</v>
      </c>
      <c r="AE273" s="52" t="s">
        <v>79</v>
      </c>
      <c r="AF273" s="52" t="s">
        <v>3899</v>
      </c>
      <c r="AG273" s="52" t="s">
        <v>3704</v>
      </c>
      <c r="AH273" s="52"/>
      <c r="AI273" s="52"/>
      <c r="AJ273" s="52"/>
      <c r="AK273" s="52"/>
      <c r="AL273" s="55">
        <v>0.65555555555555556</v>
      </c>
      <c r="AM273" s="52"/>
      <c r="AN273" s="52"/>
      <c r="AO273" s="55">
        <v>0.65555555555555556</v>
      </c>
      <c r="AP273" s="55">
        <v>0.65555555555555556</v>
      </c>
      <c r="AQ273" s="52"/>
      <c r="AR273" s="52"/>
      <c r="AS273" s="52" t="s">
        <v>3696</v>
      </c>
      <c r="AT273" s="52"/>
      <c r="AU273" s="52"/>
      <c r="AV273" s="52"/>
      <c r="AW273" s="52"/>
    </row>
    <row r="274" spans="1:49">
      <c r="A274" s="52">
        <v>6014668</v>
      </c>
      <c r="B274" s="52" t="s">
        <v>3723</v>
      </c>
      <c r="C274" s="52" t="s">
        <v>3698</v>
      </c>
      <c r="D274" s="53">
        <v>46154.458333333336</v>
      </c>
      <c r="E274" s="53">
        <v>46153.586805555555</v>
      </c>
      <c r="F274" s="53">
        <v>46154.57708333333</v>
      </c>
      <c r="G274" s="53">
        <v>46157.291666666664</v>
      </c>
      <c r="H274" s="53">
        <v>46155.688194444447</v>
      </c>
      <c r="I274" s="52"/>
      <c r="J274" s="52" t="s">
        <v>3693</v>
      </c>
      <c r="K274" s="53">
        <v>46155.032638888886</v>
      </c>
      <c r="L274" s="52"/>
      <c r="M274" s="54">
        <v>2.7145833333333331</v>
      </c>
      <c r="N274" s="54">
        <v>3.8791666666666669</v>
      </c>
      <c r="O274" s="52" t="s">
        <v>3008</v>
      </c>
      <c r="P274" s="52" t="s">
        <v>171</v>
      </c>
      <c r="Q274" s="52" t="s">
        <v>3007</v>
      </c>
      <c r="R274" s="52" t="s">
        <v>3011</v>
      </c>
      <c r="S274" s="52" t="s">
        <v>789</v>
      </c>
      <c r="T274" s="52" t="s">
        <v>3897</v>
      </c>
      <c r="U274" s="52" t="s">
        <v>3903</v>
      </c>
      <c r="V274" s="52" t="s">
        <v>3012</v>
      </c>
      <c r="W274" s="52">
        <v>55169791968</v>
      </c>
      <c r="X274" s="52" t="s">
        <v>73</v>
      </c>
      <c r="Y274" s="52"/>
      <c r="Z274" s="52" t="s">
        <v>3696</v>
      </c>
      <c r="AA274" s="52" t="s">
        <v>3710</v>
      </c>
      <c r="AB274" s="52"/>
      <c r="AC274" s="52" t="s">
        <v>3720</v>
      </c>
      <c r="AD274" s="52" t="s">
        <v>3715</v>
      </c>
      <c r="AE274" s="52"/>
      <c r="AF274" s="52" t="s">
        <v>3899</v>
      </c>
      <c r="AG274" s="52" t="s">
        <v>3704</v>
      </c>
      <c r="AH274" s="52"/>
      <c r="AI274" s="52"/>
      <c r="AJ274" s="52"/>
      <c r="AK274" s="52"/>
      <c r="AL274" s="55">
        <v>0.65555555555555556</v>
      </c>
      <c r="AM274" s="52"/>
      <c r="AN274" s="52"/>
      <c r="AO274" s="55">
        <v>0.65555555555555556</v>
      </c>
      <c r="AP274" s="55">
        <v>0.65555555555555556</v>
      </c>
      <c r="AQ274" s="52"/>
      <c r="AR274" s="52"/>
      <c r="AS274" s="52" t="s">
        <v>3696</v>
      </c>
      <c r="AT274" s="52"/>
      <c r="AU274" s="52"/>
      <c r="AV274" s="52"/>
      <c r="AW274" s="52" t="s">
        <v>176</v>
      </c>
    </row>
    <row r="275" spans="1:49">
      <c r="A275" s="52">
        <v>6014669</v>
      </c>
      <c r="B275" s="52" t="s">
        <v>3723</v>
      </c>
      <c r="C275" s="52" t="s">
        <v>3692</v>
      </c>
      <c r="D275" s="53">
        <v>46154.458333333336</v>
      </c>
      <c r="E275" s="53">
        <v>46153.586805555555</v>
      </c>
      <c r="F275" s="53">
        <v>46154.466666666667</v>
      </c>
      <c r="G275" s="53">
        <v>46157.291666666664</v>
      </c>
      <c r="H275" s="53">
        <v>46155.032638888886</v>
      </c>
      <c r="I275" s="52" t="s">
        <v>3693</v>
      </c>
      <c r="J275" s="52" t="s">
        <v>3693</v>
      </c>
      <c r="K275" s="53">
        <v>46155.032638888886</v>
      </c>
      <c r="L275" s="52" t="s">
        <v>3735</v>
      </c>
      <c r="M275" s="55">
        <v>0.42986111111111114</v>
      </c>
      <c r="N275" s="54">
        <v>1.5944444444444446</v>
      </c>
      <c r="O275" s="52"/>
      <c r="P275" s="52"/>
      <c r="Q275" s="52"/>
      <c r="R275" s="52"/>
      <c r="S275" s="52"/>
      <c r="T275" s="52" t="s">
        <v>3897</v>
      </c>
      <c r="U275" s="52" t="s">
        <v>3903</v>
      </c>
      <c r="V275" s="52"/>
      <c r="W275" s="52"/>
      <c r="X275" s="52"/>
      <c r="Y275" s="52"/>
      <c r="Z275" s="52" t="s">
        <v>3696</v>
      </c>
      <c r="AA275" s="52" t="s">
        <v>171</v>
      </c>
      <c r="AB275" s="52" t="s">
        <v>79</v>
      </c>
      <c r="AC275" s="52" t="s">
        <v>3720</v>
      </c>
      <c r="AD275" s="52" t="s">
        <v>3715</v>
      </c>
      <c r="AE275" s="52"/>
      <c r="AF275" s="52" t="s">
        <v>3899</v>
      </c>
      <c r="AG275" s="52" t="s">
        <v>3704</v>
      </c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>
        <v>0</v>
      </c>
      <c r="AT275" s="52"/>
      <c r="AU275" s="52"/>
      <c r="AV275" s="52" t="s">
        <v>176</v>
      </c>
      <c r="AW275" s="52"/>
    </row>
    <row r="276" spans="1:49">
      <c r="A276" s="52">
        <v>6014669</v>
      </c>
      <c r="B276" s="52" t="s">
        <v>3723</v>
      </c>
      <c r="C276" s="52" t="s">
        <v>3698</v>
      </c>
      <c r="D276" s="53">
        <v>46154.458333333336</v>
      </c>
      <c r="E276" s="53">
        <v>46153.586805555555</v>
      </c>
      <c r="F276" s="53">
        <v>46154.57708333333</v>
      </c>
      <c r="G276" s="53">
        <v>46157.291666666664</v>
      </c>
      <c r="H276" s="53">
        <v>46155.688194444447</v>
      </c>
      <c r="I276" s="52"/>
      <c r="J276" s="52" t="s">
        <v>3693</v>
      </c>
      <c r="K276" s="53">
        <v>46155.032638888886</v>
      </c>
      <c r="L276" s="52"/>
      <c r="M276" s="54">
        <v>2.7145833333333331</v>
      </c>
      <c r="N276" s="54">
        <v>3.8791666666666669</v>
      </c>
      <c r="O276" s="52" t="s">
        <v>3008</v>
      </c>
      <c r="P276" s="52" t="s">
        <v>171</v>
      </c>
      <c r="Q276" s="52" t="s">
        <v>3007</v>
      </c>
      <c r="R276" s="52" t="s">
        <v>3011</v>
      </c>
      <c r="S276" s="52" t="s">
        <v>789</v>
      </c>
      <c r="T276" s="52" t="s">
        <v>3897</v>
      </c>
      <c r="U276" s="52" t="s">
        <v>3903</v>
      </c>
      <c r="V276" s="52" t="s">
        <v>3012</v>
      </c>
      <c r="W276" s="52">
        <v>55169791968</v>
      </c>
      <c r="X276" s="52" t="s">
        <v>73</v>
      </c>
      <c r="Y276" s="52"/>
      <c r="Z276" s="52" t="s">
        <v>3696</v>
      </c>
      <c r="AA276" s="52" t="s">
        <v>3710</v>
      </c>
      <c r="AB276" s="52"/>
      <c r="AC276" s="52" t="s">
        <v>3720</v>
      </c>
      <c r="AD276" s="52" t="s">
        <v>3715</v>
      </c>
      <c r="AE276" s="52" t="s">
        <v>79</v>
      </c>
      <c r="AF276" s="52" t="s">
        <v>3899</v>
      </c>
      <c r="AG276" s="52" t="s">
        <v>3704</v>
      </c>
      <c r="AH276" s="52"/>
      <c r="AI276" s="52"/>
      <c r="AJ276" s="52"/>
      <c r="AK276" s="52"/>
      <c r="AL276" s="55">
        <v>0.65555555555555556</v>
      </c>
      <c r="AM276" s="52"/>
      <c r="AN276" s="52"/>
      <c r="AO276" s="55">
        <v>0.65555555555555556</v>
      </c>
      <c r="AP276" s="55">
        <v>0.65555555555555556</v>
      </c>
      <c r="AQ276" s="52"/>
      <c r="AR276" s="52"/>
      <c r="AS276" s="52" t="s">
        <v>3696</v>
      </c>
      <c r="AT276" s="52"/>
      <c r="AU276" s="52"/>
      <c r="AV276" s="52"/>
      <c r="AW276" s="52"/>
    </row>
    <row r="277" spans="1:49">
      <c r="A277" s="52">
        <v>6014669</v>
      </c>
      <c r="B277" s="52" t="s">
        <v>3723</v>
      </c>
      <c r="C277" s="52" t="s">
        <v>3698</v>
      </c>
      <c r="D277" s="53">
        <v>46154.458333333336</v>
      </c>
      <c r="E277" s="53">
        <v>46153.586805555555</v>
      </c>
      <c r="F277" s="53">
        <v>46154.57708333333</v>
      </c>
      <c r="G277" s="53">
        <v>46157.291666666664</v>
      </c>
      <c r="H277" s="53">
        <v>46155.688194444447</v>
      </c>
      <c r="I277" s="52"/>
      <c r="J277" s="52" t="s">
        <v>3693</v>
      </c>
      <c r="K277" s="53">
        <v>46155.032638888886</v>
      </c>
      <c r="L277" s="52"/>
      <c r="M277" s="54">
        <v>2.7145833333333331</v>
      </c>
      <c r="N277" s="54">
        <v>3.8791666666666669</v>
      </c>
      <c r="O277" s="52" t="s">
        <v>3008</v>
      </c>
      <c r="P277" s="52" t="s">
        <v>171</v>
      </c>
      <c r="Q277" s="52" t="s">
        <v>3007</v>
      </c>
      <c r="R277" s="52" t="s">
        <v>3011</v>
      </c>
      <c r="S277" s="52" t="s">
        <v>789</v>
      </c>
      <c r="T277" s="52" t="s">
        <v>3897</v>
      </c>
      <c r="U277" s="52" t="s">
        <v>3903</v>
      </c>
      <c r="V277" s="52" t="s">
        <v>3012</v>
      </c>
      <c r="W277" s="52">
        <v>55169791968</v>
      </c>
      <c r="X277" s="52" t="s">
        <v>73</v>
      </c>
      <c r="Y277" s="52"/>
      <c r="Z277" s="52" t="s">
        <v>3696</v>
      </c>
      <c r="AA277" s="52" t="s">
        <v>3710</v>
      </c>
      <c r="AB277" s="52"/>
      <c r="AC277" s="52" t="s">
        <v>3720</v>
      </c>
      <c r="AD277" s="52" t="s">
        <v>3715</v>
      </c>
      <c r="AE277" s="52"/>
      <c r="AF277" s="52" t="s">
        <v>3899</v>
      </c>
      <c r="AG277" s="52" t="s">
        <v>3704</v>
      </c>
      <c r="AH277" s="52"/>
      <c r="AI277" s="52"/>
      <c r="AJ277" s="52"/>
      <c r="AK277" s="52"/>
      <c r="AL277" s="55">
        <v>0.65555555555555556</v>
      </c>
      <c r="AM277" s="52"/>
      <c r="AN277" s="52"/>
      <c r="AO277" s="55">
        <v>0.65555555555555556</v>
      </c>
      <c r="AP277" s="55">
        <v>0.65555555555555556</v>
      </c>
      <c r="AQ277" s="52"/>
      <c r="AR277" s="52"/>
      <c r="AS277" s="52" t="s">
        <v>3696</v>
      </c>
      <c r="AT277" s="52"/>
      <c r="AU277" s="52"/>
      <c r="AV277" s="52"/>
      <c r="AW277" s="52" t="s">
        <v>176</v>
      </c>
    </row>
    <row r="278" spans="1:49">
      <c r="A278" s="52">
        <v>6014670</v>
      </c>
      <c r="B278" s="52" t="s">
        <v>3699</v>
      </c>
      <c r="C278" s="52" t="s">
        <v>3692</v>
      </c>
      <c r="D278" s="53">
        <v>46156.458333333336</v>
      </c>
      <c r="E278" s="53">
        <v>46153.586805555555</v>
      </c>
      <c r="F278" s="53">
        <v>46154.397222222222</v>
      </c>
      <c r="G278" s="53">
        <v>46157.291666666664</v>
      </c>
      <c r="H278" s="52"/>
      <c r="I278" s="52" t="s">
        <v>3693</v>
      </c>
      <c r="J278" s="52" t="s">
        <v>3693</v>
      </c>
      <c r="K278" s="52"/>
      <c r="L278" s="52" t="s">
        <v>3904</v>
      </c>
      <c r="M278" s="55">
        <v>0.42986111111111114</v>
      </c>
      <c r="N278" s="54">
        <v>1.5944444444444446</v>
      </c>
      <c r="O278" s="52"/>
      <c r="P278" s="52"/>
      <c r="Q278" s="52"/>
      <c r="R278" s="52"/>
      <c r="S278" s="52"/>
      <c r="T278" s="52" t="s">
        <v>3695</v>
      </c>
      <c r="U278" s="52" t="s">
        <v>3695</v>
      </c>
      <c r="V278" s="52"/>
      <c r="W278" s="52"/>
      <c r="X278" s="52"/>
      <c r="Y278" s="52"/>
      <c r="Z278" s="52" t="s">
        <v>3696</v>
      </c>
      <c r="AA278" s="52" t="s">
        <v>227</v>
      </c>
      <c r="AB278" s="52" t="s">
        <v>79</v>
      </c>
      <c r="AC278" s="52" t="s">
        <v>3720</v>
      </c>
      <c r="AD278" s="52" t="s">
        <v>3715</v>
      </c>
      <c r="AE278" s="52"/>
      <c r="AF278" s="52" t="s">
        <v>3899</v>
      </c>
      <c r="AG278" s="52" t="s">
        <v>3704</v>
      </c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>
        <v>0</v>
      </c>
      <c r="AT278" s="52"/>
      <c r="AU278" s="52"/>
      <c r="AV278" s="52" t="s">
        <v>176</v>
      </c>
      <c r="AW278" s="52"/>
    </row>
    <row r="279" spans="1:49">
      <c r="A279" s="52">
        <v>6014670</v>
      </c>
      <c r="B279" s="52" t="s">
        <v>3699</v>
      </c>
      <c r="C279" s="52" t="s">
        <v>3698</v>
      </c>
      <c r="D279" s="53">
        <v>46156.458333333336</v>
      </c>
      <c r="E279" s="53">
        <v>46153.586805555555</v>
      </c>
      <c r="F279" s="52"/>
      <c r="G279" s="53">
        <v>46157.291666666664</v>
      </c>
      <c r="H279" s="52"/>
      <c r="I279" s="52"/>
      <c r="J279" s="52" t="s">
        <v>3693</v>
      </c>
      <c r="K279" s="52"/>
      <c r="L279" s="52"/>
      <c r="M279" s="52"/>
      <c r="N279" s="52"/>
      <c r="O279" s="52" t="s">
        <v>3905</v>
      </c>
      <c r="P279" s="52" t="s">
        <v>227</v>
      </c>
      <c r="Q279" s="52" t="s">
        <v>1808</v>
      </c>
      <c r="R279" s="52" t="s">
        <v>1951</v>
      </c>
      <c r="S279" s="52" t="s">
        <v>3756</v>
      </c>
      <c r="T279" s="52" t="s">
        <v>3695</v>
      </c>
      <c r="U279" s="52" t="s">
        <v>3695</v>
      </c>
      <c r="V279" s="52" t="s">
        <v>3863</v>
      </c>
      <c r="W279" s="52">
        <v>31273872886</v>
      </c>
      <c r="X279" s="52" t="s">
        <v>73</v>
      </c>
      <c r="Y279" s="52"/>
      <c r="Z279" s="52" t="s">
        <v>3696</v>
      </c>
      <c r="AA279" s="52" t="s">
        <v>3710</v>
      </c>
      <c r="AB279" s="52"/>
      <c r="AC279" s="52" t="s">
        <v>3720</v>
      </c>
      <c r="AD279" s="52" t="s">
        <v>3715</v>
      </c>
      <c r="AE279" s="52" t="s">
        <v>79</v>
      </c>
      <c r="AF279" s="52" t="s">
        <v>3899</v>
      </c>
      <c r="AG279" s="52" t="s">
        <v>3704</v>
      </c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 t="s">
        <v>3696</v>
      </c>
      <c r="AT279" s="52"/>
      <c r="AU279" s="52"/>
      <c r="AV279" s="52"/>
      <c r="AW279" s="52"/>
    </row>
    <row r="280" spans="1:49">
      <c r="A280" s="52">
        <v>6014670</v>
      </c>
      <c r="B280" s="52" t="s">
        <v>3699</v>
      </c>
      <c r="C280" s="52" t="s">
        <v>3698</v>
      </c>
      <c r="D280" s="53">
        <v>46156.458333333336</v>
      </c>
      <c r="E280" s="53">
        <v>46153.586805555555</v>
      </c>
      <c r="F280" s="52"/>
      <c r="G280" s="53">
        <v>46157.291666666664</v>
      </c>
      <c r="H280" s="52"/>
      <c r="I280" s="52"/>
      <c r="J280" s="52" t="s">
        <v>3693</v>
      </c>
      <c r="K280" s="52"/>
      <c r="L280" s="52"/>
      <c r="M280" s="52"/>
      <c r="N280" s="52"/>
      <c r="O280" s="52" t="s">
        <v>3905</v>
      </c>
      <c r="P280" s="52" t="s">
        <v>227</v>
      </c>
      <c r="Q280" s="52" t="s">
        <v>1808</v>
      </c>
      <c r="R280" s="52" t="s">
        <v>1951</v>
      </c>
      <c r="S280" s="52" t="s">
        <v>3756</v>
      </c>
      <c r="T280" s="52" t="s">
        <v>3695</v>
      </c>
      <c r="U280" s="52" t="s">
        <v>3695</v>
      </c>
      <c r="V280" s="52" t="s">
        <v>3863</v>
      </c>
      <c r="W280" s="52">
        <v>31273872886</v>
      </c>
      <c r="X280" s="52" t="s">
        <v>73</v>
      </c>
      <c r="Y280" s="52"/>
      <c r="Z280" s="52" t="s">
        <v>3696</v>
      </c>
      <c r="AA280" s="52" t="s">
        <v>3710</v>
      </c>
      <c r="AB280" s="52"/>
      <c r="AC280" s="52" t="s">
        <v>3720</v>
      </c>
      <c r="AD280" s="52" t="s">
        <v>3715</v>
      </c>
      <c r="AE280" s="52"/>
      <c r="AF280" s="52" t="s">
        <v>3899</v>
      </c>
      <c r="AG280" s="52" t="s">
        <v>3704</v>
      </c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 t="s">
        <v>3696</v>
      </c>
      <c r="AT280" s="52"/>
      <c r="AU280" s="52"/>
      <c r="AV280" s="52"/>
      <c r="AW280" s="52" t="s">
        <v>176</v>
      </c>
    </row>
    <row r="281" spans="1:49">
      <c r="A281" s="52">
        <v>6014670</v>
      </c>
      <c r="B281" s="52" t="s">
        <v>3699</v>
      </c>
      <c r="C281" s="52" t="s">
        <v>3698</v>
      </c>
      <c r="D281" s="53">
        <v>46156.458333333336</v>
      </c>
      <c r="E281" s="53">
        <v>46153.586805555555</v>
      </c>
      <c r="F281" s="53">
        <v>46154.411805555559</v>
      </c>
      <c r="G281" s="53">
        <v>46157.291666666664</v>
      </c>
      <c r="H281" s="53">
        <v>46155.336805555555</v>
      </c>
      <c r="I281" s="52"/>
      <c r="J281" s="52" t="s">
        <v>3693</v>
      </c>
      <c r="K281" s="52"/>
      <c r="L281" s="52"/>
      <c r="M281" s="54">
        <v>2.879861111111111</v>
      </c>
      <c r="N281" s="54">
        <v>4.0444444444444443</v>
      </c>
      <c r="O281" s="52" t="s">
        <v>2988</v>
      </c>
      <c r="P281" s="52" t="s">
        <v>227</v>
      </c>
      <c r="Q281" s="52" t="s">
        <v>1808</v>
      </c>
      <c r="R281" s="52" t="s">
        <v>1951</v>
      </c>
      <c r="S281" s="52" t="s">
        <v>789</v>
      </c>
      <c r="T281" s="52" t="s">
        <v>3906</v>
      </c>
      <c r="U281" s="52" t="s">
        <v>3907</v>
      </c>
      <c r="V281" s="52" t="s">
        <v>3863</v>
      </c>
      <c r="W281" s="52">
        <v>31273872886</v>
      </c>
      <c r="X281" s="52" t="s">
        <v>73</v>
      </c>
      <c r="Y281" s="52"/>
      <c r="Z281" s="52" t="s">
        <v>3696</v>
      </c>
      <c r="AA281" s="52" t="s">
        <v>3710</v>
      </c>
      <c r="AB281" s="52"/>
      <c r="AC281" s="52" t="s">
        <v>3720</v>
      </c>
      <c r="AD281" s="52" t="s">
        <v>3715</v>
      </c>
      <c r="AE281" s="52" t="s">
        <v>79</v>
      </c>
      <c r="AF281" s="52" t="s">
        <v>3899</v>
      </c>
      <c r="AG281" s="52" t="s">
        <v>3704</v>
      </c>
      <c r="AH281" s="52"/>
      <c r="AI281" s="52"/>
      <c r="AJ281" s="52"/>
      <c r="AK281" s="52"/>
      <c r="AL281" s="55">
        <v>0.48888888888888887</v>
      </c>
      <c r="AM281" s="52"/>
      <c r="AN281" s="52"/>
      <c r="AO281" s="52"/>
      <c r="AP281" s="55">
        <v>0.48888888888888887</v>
      </c>
      <c r="AQ281" s="52"/>
      <c r="AR281" s="52"/>
      <c r="AS281" s="52" t="s">
        <v>3696</v>
      </c>
      <c r="AT281" s="52"/>
      <c r="AU281" s="52"/>
      <c r="AV281" s="52"/>
      <c r="AW281" s="52"/>
    </row>
    <row r="282" spans="1:49">
      <c r="A282" s="52">
        <v>6014670</v>
      </c>
      <c r="B282" s="52" t="s">
        <v>3699</v>
      </c>
      <c r="C282" s="52" t="s">
        <v>3698</v>
      </c>
      <c r="D282" s="53">
        <v>46156.458333333336</v>
      </c>
      <c r="E282" s="53">
        <v>46153.586805555555</v>
      </c>
      <c r="F282" s="53">
        <v>46154.411805555559</v>
      </c>
      <c r="G282" s="53">
        <v>46157.291666666664</v>
      </c>
      <c r="H282" s="53">
        <v>46155.336805555555</v>
      </c>
      <c r="I282" s="52"/>
      <c r="J282" s="52" t="s">
        <v>3693</v>
      </c>
      <c r="K282" s="52"/>
      <c r="L282" s="52"/>
      <c r="M282" s="54">
        <v>2.879861111111111</v>
      </c>
      <c r="N282" s="54">
        <v>4.0444444444444443</v>
      </c>
      <c r="O282" s="52" t="s">
        <v>2988</v>
      </c>
      <c r="P282" s="52" t="s">
        <v>227</v>
      </c>
      <c r="Q282" s="52" t="s">
        <v>1808</v>
      </c>
      <c r="R282" s="52" t="s">
        <v>1951</v>
      </c>
      <c r="S282" s="52" t="s">
        <v>789</v>
      </c>
      <c r="T282" s="52" t="s">
        <v>3906</v>
      </c>
      <c r="U282" s="52" t="s">
        <v>3907</v>
      </c>
      <c r="V282" s="52" t="s">
        <v>3863</v>
      </c>
      <c r="W282" s="52">
        <v>31273872886</v>
      </c>
      <c r="X282" s="52" t="s">
        <v>73</v>
      </c>
      <c r="Y282" s="52"/>
      <c r="Z282" s="52" t="s">
        <v>3696</v>
      </c>
      <c r="AA282" s="52" t="s">
        <v>3710</v>
      </c>
      <c r="AB282" s="52"/>
      <c r="AC282" s="52" t="s">
        <v>3720</v>
      </c>
      <c r="AD282" s="52" t="s">
        <v>3715</v>
      </c>
      <c r="AE282" s="52"/>
      <c r="AF282" s="52" t="s">
        <v>3899</v>
      </c>
      <c r="AG282" s="52" t="s">
        <v>3704</v>
      </c>
      <c r="AH282" s="52"/>
      <c r="AI282" s="52"/>
      <c r="AJ282" s="52"/>
      <c r="AK282" s="52"/>
      <c r="AL282" s="55">
        <v>0.48888888888888887</v>
      </c>
      <c r="AM282" s="52"/>
      <c r="AN282" s="52"/>
      <c r="AO282" s="52"/>
      <c r="AP282" s="55">
        <v>0.48888888888888887</v>
      </c>
      <c r="AQ282" s="52"/>
      <c r="AR282" s="52"/>
      <c r="AS282" s="52" t="s">
        <v>3696</v>
      </c>
      <c r="AT282" s="52"/>
      <c r="AU282" s="52"/>
      <c r="AV282" s="52"/>
      <c r="AW282" s="52" t="s">
        <v>176</v>
      </c>
    </row>
    <row r="283" spans="1:49">
      <c r="A283" s="52">
        <v>6014670</v>
      </c>
      <c r="B283" s="52" t="s">
        <v>3699</v>
      </c>
      <c r="C283" s="52" t="s">
        <v>3698</v>
      </c>
      <c r="D283" s="53">
        <v>46156.458333333336</v>
      </c>
      <c r="E283" s="53">
        <v>46153.586805555555</v>
      </c>
      <c r="F283" s="53">
        <v>46156.40625</v>
      </c>
      <c r="G283" s="53">
        <v>46157.291666666664</v>
      </c>
      <c r="H283" s="53">
        <v>46157.545138888891</v>
      </c>
      <c r="I283" s="52"/>
      <c r="J283" s="52" t="s">
        <v>3693</v>
      </c>
      <c r="K283" s="52"/>
      <c r="L283" s="52"/>
      <c r="M283" s="55">
        <v>0.88541666666666663</v>
      </c>
      <c r="N283" s="54">
        <v>2.0499999999999998</v>
      </c>
      <c r="O283" s="52" t="s">
        <v>3376</v>
      </c>
      <c r="P283" s="52" t="s">
        <v>227</v>
      </c>
      <c r="Q283" s="52" t="s">
        <v>1736</v>
      </c>
      <c r="R283" s="52" t="s">
        <v>3377</v>
      </c>
      <c r="S283" s="52" t="s">
        <v>789</v>
      </c>
      <c r="T283" s="52" t="s">
        <v>3908</v>
      </c>
      <c r="U283" s="52" t="s">
        <v>3909</v>
      </c>
      <c r="V283" s="52" t="s">
        <v>3910</v>
      </c>
      <c r="W283" s="52">
        <v>3702039929</v>
      </c>
      <c r="X283" s="52" t="s">
        <v>73</v>
      </c>
      <c r="Y283" s="52" t="s">
        <v>3911</v>
      </c>
      <c r="Z283" s="52" t="s">
        <v>3696</v>
      </c>
      <c r="AA283" s="52" t="s">
        <v>3710</v>
      </c>
      <c r="AB283" s="52"/>
      <c r="AC283" s="52" t="s">
        <v>3720</v>
      </c>
      <c r="AD283" s="52" t="s">
        <v>3715</v>
      </c>
      <c r="AE283" s="52" t="s">
        <v>79</v>
      </c>
      <c r="AF283" s="52" t="s">
        <v>3899</v>
      </c>
      <c r="AG283" s="52" t="s">
        <v>3704</v>
      </c>
      <c r="AH283" s="52"/>
      <c r="AI283" s="52"/>
      <c r="AJ283" s="52"/>
      <c r="AK283" s="52"/>
      <c r="AL283" s="55">
        <v>0.62708333333333333</v>
      </c>
      <c r="AM283" s="52"/>
      <c r="AN283" s="52"/>
      <c r="AO283" s="52"/>
      <c r="AP283" s="55">
        <v>0.62708333333333333</v>
      </c>
      <c r="AQ283" s="52"/>
      <c r="AR283" s="52"/>
      <c r="AS283" s="52" t="s">
        <v>3696</v>
      </c>
      <c r="AT283" s="52"/>
      <c r="AU283" s="52"/>
      <c r="AV283" s="52"/>
      <c r="AW283" s="52"/>
    </row>
    <row r="284" spans="1:49">
      <c r="A284" s="52">
        <v>6014670</v>
      </c>
      <c r="B284" s="52" t="s">
        <v>3699</v>
      </c>
      <c r="C284" s="52" t="s">
        <v>3698</v>
      </c>
      <c r="D284" s="53">
        <v>46156.458333333336</v>
      </c>
      <c r="E284" s="53">
        <v>46153.586805555555</v>
      </c>
      <c r="F284" s="53">
        <v>46156.40625</v>
      </c>
      <c r="G284" s="53">
        <v>46157.291666666664</v>
      </c>
      <c r="H284" s="53">
        <v>46157.545138888891</v>
      </c>
      <c r="I284" s="52"/>
      <c r="J284" s="52" t="s">
        <v>3693</v>
      </c>
      <c r="K284" s="52"/>
      <c r="L284" s="52"/>
      <c r="M284" s="55">
        <v>0.88541666666666663</v>
      </c>
      <c r="N284" s="54">
        <v>2.0499999999999998</v>
      </c>
      <c r="O284" s="52" t="s">
        <v>3376</v>
      </c>
      <c r="P284" s="52" t="s">
        <v>227</v>
      </c>
      <c r="Q284" s="52" t="s">
        <v>1736</v>
      </c>
      <c r="R284" s="52" t="s">
        <v>3377</v>
      </c>
      <c r="S284" s="52" t="s">
        <v>789</v>
      </c>
      <c r="T284" s="52" t="s">
        <v>3908</v>
      </c>
      <c r="U284" s="52" t="s">
        <v>3909</v>
      </c>
      <c r="V284" s="52" t="s">
        <v>3910</v>
      </c>
      <c r="W284" s="52">
        <v>3702039929</v>
      </c>
      <c r="X284" s="52" t="s">
        <v>73</v>
      </c>
      <c r="Y284" s="52" t="s">
        <v>3911</v>
      </c>
      <c r="Z284" s="52" t="s">
        <v>3696</v>
      </c>
      <c r="AA284" s="52" t="s">
        <v>3710</v>
      </c>
      <c r="AB284" s="52"/>
      <c r="AC284" s="52" t="s">
        <v>3720</v>
      </c>
      <c r="AD284" s="52" t="s">
        <v>3715</v>
      </c>
      <c r="AE284" s="52"/>
      <c r="AF284" s="52" t="s">
        <v>3899</v>
      </c>
      <c r="AG284" s="52" t="s">
        <v>3704</v>
      </c>
      <c r="AH284" s="52"/>
      <c r="AI284" s="52"/>
      <c r="AJ284" s="52"/>
      <c r="AK284" s="52"/>
      <c r="AL284" s="55">
        <v>0.62708333333333333</v>
      </c>
      <c r="AM284" s="52"/>
      <c r="AN284" s="52"/>
      <c r="AO284" s="52"/>
      <c r="AP284" s="55">
        <v>0.62708333333333333</v>
      </c>
      <c r="AQ284" s="52"/>
      <c r="AR284" s="52"/>
      <c r="AS284" s="52" t="s">
        <v>3696</v>
      </c>
      <c r="AT284" s="52"/>
      <c r="AU284" s="52"/>
      <c r="AV284" s="52"/>
      <c r="AW284" s="52" t="s">
        <v>176</v>
      </c>
    </row>
    <row r="285" spans="1:49">
      <c r="A285" s="52">
        <v>6014811</v>
      </c>
      <c r="B285" s="52" t="s">
        <v>3699</v>
      </c>
      <c r="C285" s="52" t="s">
        <v>3692</v>
      </c>
      <c r="D285" s="53">
        <v>46156.4375</v>
      </c>
      <c r="E285" s="53">
        <v>46153.586805555555</v>
      </c>
      <c r="F285" s="53">
        <v>46154.393055555556</v>
      </c>
      <c r="G285" s="53">
        <v>46157.291666666664</v>
      </c>
      <c r="H285" s="52"/>
      <c r="I285" s="52" t="s">
        <v>3693</v>
      </c>
      <c r="J285" s="52" t="s">
        <v>3693</v>
      </c>
      <c r="K285" s="53">
        <v>46155.387499999997</v>
      </c>
      <c r="L285" s="52" t="s">
        <v>3904</v>
      </c>
      <c r="M285" s="55">
        <v>0.42986111111111114</v>
      </c>
      <c r="N285" s="54">
        <v>1.5944444444444446</v>
      </c>
      <c r="O285" s="52"/>
      <c r="P285" s="52"/>
      <c r="Q285" s="52"/>
      <c r="R285" s="52"/>
      <c r="S285" s="52"/>
      <c r="T285" s="52" t="s">
        <v>3695</v>
      </c>
      <c r="U285" s="52" t="s">
        <v>3912</v>
      </c>
      <c r="V285" s="52"/>
      <c r="W285" s="52"/>
      <c r="X285" s="52"/>
      <c r="Y285" s="52"/>
      <c r="Z285" s="52" t="s">
        <v>3696</v>
      </c>
      <c r="AA285" s="52" t="s">
        <v>227</v>
      </c>
      <c r="AB285" s="52" t="s">
        <v>79</v>
      </c>
      <c r="AC285" s="52" t="s">
        <v>3720</v>
      </c>
      <c r="AD285" s="52" t="s">
        <v>3715</v>
      </c>
      <c r="AE285" s="52"/>
      <c r="AF285" s="52" t="s">
        <v>3899</v>
      </c>
      <c r="AG285" s="52" t="s">
        <v>3704</v>
      </c>
      <c r="AH285" s="52"/>
      <c r="AI285" s="52"/>
      <c r="AJ285" s="52"/>
      <c r="AK285" s="52"/>
      <c r="AL285" s="55">
        <v>0.53333333333333333</v>
      </c>
      <c r="AM285" s="52"/>
      <c r="AN285" s="52"/>
      <c r="AO285" s="52"/>
      <c r="AP285" s="52"/>
      <c r="AQ285" s="52"/>
      <c r="AR285" s="52"/>
      <c r="AS285" s="52">
        <v>0</v>
      </c>
      <c r="AT285" s="52"/>
      <c r="AU285" s="52"/>
      <c r="AV285" s="52" t="s">
        <v>176</v>
      </c>
      <c r="AW285" s="52"/>
    </row>
    <row r="286" spans="1:49">
      <c r="A286" s="52">
        <v>6014811</v>
      </c>
      <c r="B286" s="52" t="s">
        <v>3699</v>
      </c>
      <c r="C286" s="52" t="s">
        <v>3698</v>
      </c>
      <c r="D286" s="53">
        <v>46156.4375</v>
      </c>
      <c r="E286" s="53">
        <v>46153.586805555555</v>
      </c>
      <c r="F286" s="53">
        <v>46154.411805555559</v>
      </c>
      <c r="G286" s="53">
        <v>46157.291666666664</v>
      </c>
      <c r="H286" s="53">
        <v>46155.335416666669</v>
      </c>
      <c r="I286" s="52"/>
      <c r="J286" s="52" t="s">
        <v>3693</v>
      </c>
      <c r="K286" s="53">
        <v>46155.387499999997</v>
      </c>
      <c r="L286" s="52"/>
      <c r="M286" s="54">
        <v>2.879861111111111</v>
      </c>
      <c r="N286" s="54">
        <v>4.0444444444444443</v>
      </c>
      <c r="O286" s="52" t="s">
        <v>2985</v>
      </c>
      <c r="P286" s="52" t="s">
        <v>227</v>
      </c>
      <c r="Q286" s="52" t="s">
        <v>1947</v>
      </c>
      <c r="R286" s="52" t="s">
        <v>2987</v>
      </c>
      <c r="S286" s="52" t="s">
        <v>789</v>
      </c>
      <c r="T286" s="52" t="s">
        <v>3695</v>
      </c>
      <c r="U286" s="52" t="s">
        <v>3912</v>
      </c>
      <c r="V286" s="52" t="s">
        <v>1952</v>
      </c>
      <c r="W286" s="52">
        <v>25420775840</v>
      </c>
      <c r="X286" s="52" t="s">
        <v>73</v>
      </c>
      <c r="Y286" s="52"/>
      <c r="Z286" s="52" t="s">
        <v>3696</v>
      </c>
      <c r="AA286" s="52" t="s">
        <v>3710</v>
      </c>
      <c r="AB286" s="52"/>
      <c r="AC286" s="52" t="s">
        <v>3720</v>
      </c>
      <c r="AD286" s="52" t="s">
        <v>3715</v>
      </c>
      <c r="AE286" s="52" t="s">
        <v>79</v>
      </c>
      <c r="AF286" s="52" t="s">
        <v>3899</v>
      </c>
      <c r="AG286" s="52" t="s">
        <v>3704</v>
      </c>
      <c r="AH286" s="52"/>
      <c r="AI286" s="53">
        <v>46154.400000000001</v>
      </c>
      <c r="AJ286" s="53">
        <v>46154.933333333334</v>
      </c>
      <c r="AK286" s="53">
        <v>46154.400000000001</v>
      </c>
      <c r="AL286" s="55">
        <v>0.53749999999999998</v>
      </c>
      <c r="AM286" s="52"/>
      <c r="AN286" s="55">
        <v>0.53333333333333333</v>
      </c>
      <c r="AO286" s="52"/>
      <c r="AP286" s="55">
        <v>0.53749999999999998</v>
      </c>
      <c r="AQ286" s="52"/>
      <c r="AR286" s="52"/>
      <c r="AS286" s="52" t="s">
        <v>3696</v>
      </c>
      <c r="AT286" s="52"/>
      <c r="AU286" s="52"/>
      <c r="AV286" s="52"/>
      <c r="AW286" s="52"/>
    </row>
    <row r="287" spans="1:49">
      <c r="A287" s="52">
        <v>6014811</v>
      </c>
      <c r="B287" s="52" t="s">
        <v>3699</v>
      </c>
      <c r="C287" s="52" t="s">
        <v>3698</v>
      </c>
      <c r="D287" s="53">
        <v>46156.4375</v>
      </c>
      <c r="E287" s="53">
        <v>46153.586805555555</v>
      </c>
      <c r="F287" s="53">
        <v>46154.411805555559</v>
      </c>
      <c r="G287" s="53">
        <v>46157.291666666664</v>
      </c>
      <c r="H287" s="53">
        <v>46155.335416666669</v>
      </c>
      <c r="I287" s="52"/>
      <c r="J287" s="52" t="s">
        <v>3693</v>
      </c>
      <c r="K287" s="53">
        <v>46155.387499999997</v>
      </c>
      <c r="L287" s="52"/>
      <c r="M287" s="54">
        <v>2.879861111111111</v>
      </c>
      <c r="N287" s="54">
        <v>4.0444444444444443</v>
      </c>
      <c r="O287" s="52" t="s">
        <v>2985</v>
      </c>
      <c r="P287" s="52" t="s">
        <v>227</v>
      </c>
      <c r="Q287" s="52" t="s">
        <v>1947</v>
      </c>
      <c r="R287" s="52" t="s">
        <v>2987</v>
      </c>
      <c r="S287" s="52" t="s">
        <v>789</v>
      </c>
      <c r="T287" s="52" t="s">
        <v>3695</v>
      </c>
      <c r="U287" s="52" t="s">
        <v>3912</v>
      </c>
      <c r="V287" s="52" t="s">
        <v>1952</v>
      </c>
      <c r="W287" s="52">
        <v>25420775840</v>
      </c>
      <c r="X287" s="52" t="s">
        <v>73</v>
      </c>
      <c r="Y287" s="52"/>
      <c r="Z287" s="52" t="s">
        <v>3696</v>
      </c>
      <c r="AA287" s="52" t="s">
        <v>3710</v>
      </c>
      <c r="AB287" s="52"/>
      <c r="AC287" s="52" t="s">
        <v>3720</v>
      </c>
      <c r="AD287" s="52" t="s">
        <v>3715</v>
      </c>
      <c r="AE287" s="52"/>
      <c r="AF287" s="52" t="s">
        <v>3899</v>
      </c>
      <c r="AG287" s="52" t="s">
        <v>3704</v>
      </c>
      <c r="AH287" s="52"/>
      <c r="AI287" s="53">
        <v>46154.400000000001</v>
      </c>
      <c r="AJ287" s="53">
        <v>46154.933333333334</v>
      </c>
      <c r="AK287" s="53">
        <v>46154.400000000001</v>
      </c>
      <c r="AL287" s="55">
        <v>0.53749999999999998</v>
      </c>
      <c r="AM287" s="52"/>
      <c r="AN287" s="55">
        <v>0.53333333333333333</v>
      </c>
      <c r="AO287" s="52"/>
      <c r="AP287" s="55">
        <v>0.53749999999999998</v>
      </c>
      <c r="AQ287" s="52"/>
      <c r="AR287" s="52"/>
      <c r="AS287" s="52" t="s">
        <v>3696</v>
      </c>
      <c r="AT287" s="52"/>
      <c r="AU287" s="52"/>
      <c r="AV287" s="52"/>
      <c r="AW287" s="52" t="s">
        <v>176</v>
      </c>
    </row>
    <row r="288" spans="1:49">
      <c r="A288" s="52">
        <v>6014811</v>
      </c>
      <c r="B288" s="52" t="s">
        <v>3699</v>
      </c>
      <c r="C288" s="52" t="s">
        <v>3698</v>
      </c>
      <c r="D288" s="53">
        <v>46156.4375</v>
      </c>
      <c r="E288" s="53">
        <v>46153.586805555555</v>
      </c>
      <c r="F288" s="53">
        <v>46156.404166666667</v>
      </c>
      <c r="G288" s="53">
        <v>46157.291666666664</v>
      </c>
      <c r="H288" s="53">
        <v>46157.740277777775</v>
      </c>
      <c r="I288" s="52"/>
      <c r="J288" s="52" t="s">
        <v>3693</v>
      </c>
      <c r="K288" s="53">
        <v>46155.387499999997</v>
      </c>
      <c r="L288" s="52"/>
      <c r="M288" s="55">
        <v>0.88749999999999996</v>
      </c>
      <c r="N288" s="54">
        <v>2.0520833333333335</v>
      </c>
      <c r="O288" s="52" t="s">
        <v>3374</v>
      </c>
      <c r="P288" s="52" t="s">
        <v>227</v>
      </c>
      <c r="Q288" s="52" t="s">
        <v>2896</v>
      </c>
      <c r="R288" s="52" t="s">
        <v>3375</v>
      </c>
      <c r="S288" s="52" t="s">
        <v>789</v>
      </c>
      <c r="T288" s="52" t="s">
        <v>3908</v>
      </c>
      <c r="U288" s="52" t="s">
        <v>3913</v>
      </c>
      <c r="V288" s="52" t="s">
        <v>2899</v>
      </c>
      <c r="W288" s="52">
        <v>59516275915</v>
      </c>
      <c r="X288" s="52" t="s">
        <v>73</v>
      </c>
      <c r="Y288" s="52"/>
      <c r="Z288" s="52" t="s">
        <v>3696</v>
      </c>
      <c r="AA288" s="52" t="s">
        <v>3710</v>
      </c>
      <c r="AB288" s="52"/>
      <c r="AC288" s="52" t="s">
        <v>3720</v>
      </c>
      <c r="AD288" s="52" t="s">
        <v>3715</v>
      </c>
      <c r="AE288" s="52" t="s">
        <v>79</v>
      </c>
      <c r="AF288" s="52" t="s">
        <v>3899</v>
      </c>
      <c r="AG288" s="52" t="s">
        <v>3704</v>
      </c>
      <c r="AH288" s="52"/>
      <c r="AI288" s="53">
        <v>46154.400000000001</v>
      </c>
      <c r="AJ288" s="53">
        <v>46154.933333333334</v>
      </c>
      <c r="AK288" s="53">
        <v>46154.400000000001</v>
      </c>
      <c r="AL288" s="55">
        <v>0.81527777777777777</v>
      </c>
      <c r="AM288" s="52"/>
      <c r="AN288" s="55">
        <v>0.53333333333333333</v>
      </c>
      <c r="AO288" s="52"/>
      <c r="AP288" s="55">
        <v>0.81527777777777777</v>
      </c>
      <c r="AQ288" s="52"/>
      <c r="AR288" s="52"/>
      <c r="AS288" s="52" t="s">
        <v>3696</v>
      </c>
      <c r="AT288" s="52"/>
      <c r="AU288" s="52"/>
      <c r="AV288" s="52"/>
      <c r="AW288" s="52"/>
    </row>
    <row r="289" spans="1:49">
      <c r="A289" s="52">
        <v>6014811</v>
      </c>
      <c r="B289" s="52" t="s">
        <v>3699</v>
      </c>
      <c r="C289" s="52" t="s">
        <v>3698</v>
      </c>
      <c r="D289" s="53">
        <v>46156.4375</v>
      </c>
      <c r="E289" s="53">
        <v>46153.586805555555</v>
      </c>
      <c r="F289" s="53">
        <v>46156.404166666667</v>
      </c>
      <c r="G289" s="53">
        <v>46157.291666666664</v>
      </c>
      <c r="H289" s="53">
        <v>46157.740277777775</v>
      </c>
      <c r="I289" s="52"/>
      <c r="J289" s="52" t="s">
        <v>3693</v>
      </c>
      <c r="K289" s="53">
        <v>46155.387499999997</v>
      </c>
      <c r="L289" s="52"/>
      <c r="M289" s="55">
        <v>0.88749999999999996</v>
      </c>
      <c r="N289" s="54">
        <v>2.0520833333333335</v>
      </c>
      <c r="O289" s="52" t="s">
        <v>3374</v>
      </c>
      <c r="P289" s="52" t="s">
        <v>227</v>
      </c>
      <c r="Q289" s="52" t="s">
        <v>2896</v>
      </c>
      <c r="R289" s="52" t="s">
        <v>3375</v>
      </c>
      <c r="S289" s="52" t="s">
        <v>789</v>
      </c>
      <c r="T289" s="52" t="s">
        <v>3908</v>
      </c>
      <c r="U289" s="52" t="s">
        <v>3913</v>
      </c>
      <c r="V289" s="52" t="s">
        <v>2899</v>
      </c>
      <c r="W289" s="52">
        <v>59516275915</v>
      </c>
      <c r="X289" s="52" t="s">
        <v>73</v>
      </c>
      <c r="Y289" s="52"/>
      <c r="Z289" s="52" t="s">
        <v>3696</v>
      </c>
      <c r="AA289" s="52" t="s">
        <v>3710</v>
      </c>
      <c r="AB289" s="52"/>
      <c r="AC289" s="52" t="s">
        <v>3720</v>
      </c>
      <c r="AD289" s="52" t="s">
        <v>3715</v>
      </c>
      <c r="AE289" s="52"/>
      <c r="AF289" s="52" t="s">
        <v>3899</v>
      </c>
      <c r="AG289" s="52" t="s">
        <v>3704</v>
      </c>
      <c r="AH289" s="52"/>
      <c r="AI289" s="53">
        <v>46154.400000000001</v>
      </c>
      <c r="AJ289" s="53">
        <v>46154.933333333334</v>
      </c>
      <c r="AK289" s="53">
        <v>46154.400000000001</v>
      </c>
      <c r="AL289" s="55">
        <v>0.81527777777777777</v>
      </c>
      <c r="AM289" s="52"/>
      <c r="AN289" s="55">
        <v>0.53333333333333333</v>
      </c>
      <c r="AO289" s="52"/>
      <c r="AP289" s="55">
        <v>0.81527777777777777</v>
      </c>
      <c r="AQ289" s="52"/>
      <c r="AR289" s="52"/>
      <c r="AS289" s="52" t="s">
        <v>3696</v>
      </c>
      <c r="AT289" s="52"/>
      <c r="AU289" s="52"/>
      <c r="AV289" s="52"/>
      <c r="AW289" s="52" t="s">
        <v>176</v>
      </c>
    </row>
    <row r="290" spans="1:49">
      <c r="A290" s="52">
        <v>6014812</v>
      </c>
      <c r="B290" s="52" t="s">
        <v>3723</v>
      </c>
      <c r="C290" s="52" t="s">
        <v>3692</v>
      </c>
      <c r="D290" s="53">
        <v>46157.291666666664</v>
      </c>
      <c r="E290" s="53">
        <v>46156.68472222222</v>
      </c>
      <c r="F290" s="53">
        <v>46157.378472222219</v>
      </c>
      <c r="G290" s="53">
        <v>46166.52847222222</v>
      </c>
      <c r="H290" s="53">
        <v>46157.436111111114</v>
      </c>
      <c r="I290" s="52" t="s">
        <v>3693</v>
      </c>
      <c r="J290" s="52" t="s">
        <v>3693</v>
      </c>
      <c r="K290" s="52"/>
      <c r="L290" s="52"/>
      <c r="M290" s="55">
        <v>0.42986111111111114</v>
      </c>
      <c r="N290" s="54">
        <v>8.0722222222222229</v>
      </c>
      <c r="O290" s="52"/>
      <c r="P290" s="52"/>
      <c r="Q290" s="52"/>
      <c r="R290" s="52"/>
      <c r="S290" s="52"/>
      <c r="T290" s="52" t="s">
        <v>3741</v>
      </c>
      <c r="U290" s="52" t="s">
        <v>3914</v>
      </c>
      <c r="V290" s="52"/>
      <c r="W290" s="52"/>
      <c r="X290" s="52"/>
      <c r="Y290" s="52"/>
      <c r="Z290" s="52" t="s">
        <v>3696</v>
      </c>
      <c r="AA290" s="52" t="s">
        <v>724</v>
      </c>
      <c r="AB290" s="52" t="s">
        <v>79</v>
      </c>
      <c r="AC290" s="52" t="s">
        <v>3720</v>
      </c>
      <c r="AD290" s="52" t="s">
        <v>3715</v>
      </c>
      <c r="AE290" s="52"/>
      <c r="AF290" s="52" t="s">
        <v>3720</v>
      </c>
      <c r="AG290" s="52" t="s">
        <v>3715</v>
      </c>
      <c r="AH290" s="52"/>
      <c r="AI290" s="52"/>
      <c r="AJ290" s="52"/>
      <c r="AK290" s="52"/>
      <c r="AL290" s="55">
        <v>0.27777777777777779</v>
      </c>
      <c r="AM290" s="52"/>
      <c r="AN290" s="52"/>
      <c r="AO290" s="52"/>
      <c r="AP290" s="52"/>
      <c r="AQ290" s="52"/>
      <c r="AR290" s="52"/>
      <c r="AS290" s="52">
        <v>0</v>
      </c>
      <c r="AT290" s="52"/>
      <c r="AU290" s="52"/>
      <c r="AV290" s="52" t="s">
        <v>750</v>
      </c>
      <c r="AW290" s="52"/>
    </row>
    <row r="291" spans="1:49">
      <c r="A291" s="52">
        <v>6014812</v>
      </c>
      <c r="B291" s="52" t="s">
        <v>3723</v>
      </c>
      <c r="C291" s="52" t="s">
        <v>3698</v>
      </c>
      <c r="D291" s="53">
        <v>46157.291666666664</v>
      </c>
      <c r="E291" s="53">
        <v>46156.68472222222</v>
      </c>
      <c r="F291" s="53">
        <v>46157.395138888889</v>
      </c>
      <c r="G291" s="53">
        <v>46158.073611111111</v>
      </c>
      <c r="H291" s="53">
        <v>46157.831944444442</v>
      </c>
      <c r="I291" s="52"/>
      <c r="J291" s="52" t="s">
        <v>3693</v>
      </c>
      <c r="K291" s="53">
        <v>46158.145138888889</v>
      </c>
      <c r="L291" s="52"/>
      <c r="M291" s="55">
        <v>0.67847222222222225</v>
      </c>
      <c r="N291" s="54">
        <v>1.0611111111111111</v>
      </c>
      <c r="O291" s="52" t="s">
        <v>3554</v>
      </c>
      <c r="P291" s="52" t="s">
        <v>724</v>
      </c>
      <c r="Q291" s="52" t="s">
        <v>778</v>
      </c>
      <c r="R291" s="52" t="s">
        <v>3556</v>
      </c>
      <c r="S291" s="52" t="s">
        <v>789</v>
      </c>
      <c r="T291" s="52" t="s">
        <v>3741</v>
      </c>
      <c r="U291" s="52" t="s">
        <v>3914</v>
      </c>
      <c r="V291" s="52" t="s">
        <v>3915</v>
      </c>
      <c r="W291" s="52">
        <v>2526774985</v>
      </c>
      <c r="X291" s="52" t="s">
        <v>73</v>
      </c>
      <c r="Y291" s="52"/>
      <c r="Z291" s="52" t="s">
        <v>3696</v>
      </c>
      <c r="AA291" s="52" t="s">
        <v>3710</v>
      </c>
      <c r="AB291" s="52"/>
      <c r="AC291" s="52" t="s">
        <v>3720</v>
      </c>
      <c r="AD291" s="52" t="s">
        <v>3715</v>
      </c>
      <c r="AE291" s="52" t="s">
        <v>79</v>
      </c>
      <c r="AF291" s="52" t="s">
        <v>3737</v>
      </c>
      <c r="AG291" s="52" t="s">
        <v>3704</v>
      </c>
      <c r="AH291" s="52"/>
      <c r="AI291" s="53">
        <v>46157.436111111114</v>
      </c>
      <c r="AJ291" s="53">
        <v>46157.713888888888</v>
      </c>
      <c r="AK291" s="53">
        <v>46157.436111111114</v>
      </c>
      <c r="AL291" s="55">
        <v>0.2902777777777778</v>
      </c>
      <c r="AM291" s="52"/>
      <c r="AN291" s="55">
        <v>0.27777777777777779</v>
      </c>
      <c r="AO291" s="52"/>
      <c r="AP291" s="55">
        <v>0.2902777777777778</v>
      </c>
      <c r="AQ291" s="52"/>
      <c r="AR291" s="52"/>
      <c r="AS291" s="52" t="s">
        <v>3696</v>
      </c>
      <c r="AT291" s="52"/>
      <c r="AU291" s="52"/>
      <c r="AV291" s="52"/>
      <c r="AW291" s="52"/>
    </row>
    <row r="292" spans="1:49">
      <c r="A292" s="52">
        <v>6014812</v>
      </c>
      <c r="B292" s="52" t="s">
        <v>3723</v>
      </c>
      <c r="C292" s="52" t="s">
        <v>3698</v>
      </c>
      <c r="D292" s="53">
        <v>46157.291666666664</v>
      </c>
      <c r="E292" s="53">
        <v>46156.68472222222</v>
      </c>
      <c r="F292" s="53">
        <v>46157.395138888889</v>
      </c>
      <c r="G292" s="53">
        <v>46158.073611111111</v>
      </c>
      <c r="H292" s="53">
        <v>46157.831944444442</v>
      </c>
      <c r="I292" s="52"/>
      <c r="J292" s="52" t="s">
        <v>3693</v>
      </c>
      <c r="K292" s="53">
        <v>46158.145138888889</v>
      </c>
      <c r="L292" s="52"/>
      <c r="M292" s="55">
        <v>0.67847222222222225</v>
      </c>
      <c r="N292" s="54">
        <v>1.0611111111111111</v>
      </c>
      <c r="O292" s="52" t="s">
        <v>3554</v>
      </c>
      <c r="P292" s="52" t="s">
        <v>724</v>
      </c>
      <c r="Q292" s="52" t="s">
        <v>778</v>
      </c>
      <c r="R292" s="52" t="s">
        <v>3556</v>
      </c>
      <c r="S292" s="52" t="s">
        <v>789</v>
      </c>
      <c r="T292" s="52" t="s">
        <v>3741</v>
      </c>
      <c r="U292" s="52" t="s">
        <v>3914</v>
      </c>
      <c r="V292" s="52" t="s">
        <v>3915</v>
      </c>
      <c r="W292" s="52">
        <v>2526774985</v>
      </c>
      <c r="X292" s="52" t="s">
        <v>73</v>
      </c>
      <c r="Y292" s="52"/>
      <c r="Z292" s="52" t="s">
        <v>3696</v>
      </c>
      <c r="AA292" s="52" t="s">
        <v>3710</v>
      </c>
      <c r="AB292" s="52"/>
      <c r="AC292" s="52" t="s">
        <v>3720</v>
      </c>
      <c r="AD292" s="52" t="s">
        <v>3715</v>
      </c>
      <c r="AE292" s="52"/>
      <c r="AF292" s="52" t="s">
        <v>3737</v>
      </c>
      <c r="AG292" s="52" t="s">
        <v>3704</v>
      </c>
      <c r="AH292" s="52"/>
      <c r="AI292" s="53">
        <v>46157.436111111114</v>
      </c>
      <c r="AJ292" s="53">
        <v>46157.713888888888</v>
      </c>
      <c r="AK292" s="53">
        <v>46157.436111111114</v>
      </c>
      <c r="AL292" s="55">
        <v>0.2902777777777778</v>
      </c>
      <c r="AM292" s="52"/>
      <c r="AN292" s="55">
        <v>0.27777777777777779</v>
      </c>
      <c r="AO292" s="52"/>
      <c r="AP292" s="55">
        <v>0.2902777777777778</v>
      </c>
      <c r="AQ292" s="52"/>
      <c r="AR292" s="52"/>
      <c r="AS292" s="52" t="s">
        <v>3696</v>
      </c>
      <c r="AT292" s="52"/>
      <c r="AU292" s="52"/>
      <c r="AV292" s="52"/>
      <c r="AW292" s="52" t="s">
        <v>750</v>
      </c>
    </row>
    <row r="293" spans="1:49">
      <c r="A293" s="52">
        <v>6014813</v>
      </c>
      <c r="B293" s="52" t="s">
        <v>3723</v>
      </c>
      <c r="C293" s="52" t="s">
        <v>3692</v>
      </c>
      <c r="D293" s="53">
        <v>46157.666666666664</v>
      </c>
      <c r="E293" s="53">
        <v>46156.68472222222</v>
      </c>
      <c r="F293" s="53">
        <v>46157.379861111112</v>
      </c>
      <c r="G293" s="53">
        <v>46167.958333333336</v>
      </c>
      <c r="H293" s="52"/>
      <c r="I293" s="52" t="s">
        <v>3693</v>
      </c>
      <c r="J293" s="52" t="s">
        <v>3693</v>
      </c>
      <c r="K293" s="53">
        <v>46157.998611111114</v>
      </c>
      <c r="L293" s="52"/>
      <c r="M293" s="55">
        <v>0.42986111111111114</v>
      </c>
      <c r="N293" s="54">
        <v>9.0722222222222229</v>
      </c>
      <c r="O293" s="52"/>
      <c r="P293" s="52"/>
      <c r="Q293" s="52"/>
      <c r="R293" s="52"/>
      <c r="S293" s="52"/>
      <c r="T293" s="52" t="s">
        <v>3916</v>
      </c>
      <c r="U293" s="52" t="s">
        <v>3917</v>
      </c>
      <c r="V293" s="52"/>
      <c r="W293" s="52"/>
      <c r="X293" s="52"/>
      <c r="Y293" s="52"/>
      <c r="Z293" s="52" t="s">
        <v>3696</v>
      </c>
      <c r="AA293" s="52" t="s">
        <v>724</v>
      </c>
      <c r="AB293" s="52" t="s">
        <v>79</v>
      </c>
      <c r="AC293" s="52" t="s">
        <v>3720</v>
      </c>
      <c r="AD293" s="52" t="s">
        <v>3715</v>
      </c>
      <c r="AE293" s="52"/>
      <c r="AF293" s="52" t="s">
        <v>3737</v>
      </c>
      <c r="AG293" s="52" t="s">
        <v>3704</v>
      </c>
      <c r="AH293" s="52"/>
      <c r="AI293" s="52"/>
      <c r="AJ293" s="52"/>
      <c r="AK293" s="52"/>
      <c r="AL293" s="55">
        <v>0.13194444444444445</v>
      </c>
      <c r="AM293" s="52"/>
      <c r="AN293" s="52"/>
      <c r="AO293" s="52"/>
      <c r="AP293" s="52"/>
      <c r="AQ293" s="52"/>
      <c r="AR293" s="52"/>
      <c r="AS293" s="52">
        <v>0</v>
      </c>
      <c r="AT293" s="52"/>
      <c r="AU293" s="52"/>
      <c r="AV293" s="52" t="s">
        <v>750</v>
      </c>
      <c r="AW293" s="52"/>
    </row>
    <row r="294" spans="1:49">
      <c r="A294" s="52">
        <v>6014813</v>
      </c>
      <c r="B294" s="52" t="s">
        <v>3723</v>
      </c>
      <c r="C294" s="52" t="s">
        <v>3698</v>
      </c>
      <c r="D294" s="53">
        <v>46157.666666666664</v>
      </c>
      <c r="E294" s="53">
        <v>46156.68472222222</v>
      </c>
      <c r="F294" s="53">
        <v>46157.395138888889</v>
      </c>
      <c r="G294" s="53">
        <v>46167.958333333336</v>
      </c>
      <c r="H294" s="53">
        <v>46157.661805555559</v>
      </c>
      <c r="I294" s="52"/>
      <c r="J294" s="52" t="s">
        <v>3693</v>
      </c>
      <c r="K294" s="53">
        <v>46157.998611111114</v>
      </c>
      <c r="L294" s="52"/>
      <c r="M294" s="54">
        <v>10.563194444444445</v>
      </c>
      <c r="N294" s="54">
        <v>1.0611111111111111</v>
      </c>
      <c r="O294" s="52" t="s">
        <v>3557</v>
      </c>
      <c r="P294" s="52" t="s">
        <v>724</v>
      </c>
      <c r="Q294" s="52" t="s">
        <v>722</v>
      </c>
      <c r="R294" s="52" t="s">
        <v>3559</v>
      </c>
      <c r="S294" s="52" t="s">
        <v>789</v>
      </c>
      <c r="T294" s="52" t="s">
        <v>3916</v>
      </c>
      <c r="U294" s="52" t="s">
        <v>3917</v>
      </c>
      <c r="V294" s="52" t="s">
        <v>730</v>
      </c>
      <c r="W294" s="52">
        <v>44190662291</v>
      </c>
      <c r="X294" s="52" t="s">
        <v>73</v>
      </c>
      <c r="Y294" s="52"/>
      <c r="Z294" s="52" t="s">
        <v>3696</v>
      </c>
      <c r="AA294" s="52" t="s">
        <v>3710</v>
      </c>
      <c r="AB294" s="52"/>
      <c r="AC294" s="52" t="s">
        <v>3720</v>
      </c>
      <c r="AD294" s="52" t="s">
        <v>3715</v>
      </c>
      <c r="AE294" s="52" t="s">
        <v>79</v>
      </c>
      <c r="AF294" s="52" t="s">
        <v>3737</v>
      </c>
      <c r="AG294" s="52" t="s">
        <v>3704</v>
      </c>
      <c r="AH294" s="52"/>
      <c r="AI294" s="53">
        <v>46157.380555555559</v>
      </c>
      <c r="AJ294" s="53">
        <v>46157.512499999997</v>
      </c>
      <c r="AK294" s="53">
        <v>46157.380555555559</v>
      </c>
      <c r="AL294" s="55">
        <v>0.1423611111111111</v>
      </c>
      <c r="AM294" s="52"/>
      <c r="AN294" s="55">
        <v>0.13194444444444445</v>
      </c>
      <c r="AO294" s="52"/>
      <c r="AP294" s="55">
        <v>0.1423611111111111</v>
      </c>
      <c r="AQ294" s="52"/>
      <c r="AR294" s="52"/>
      <c r="AS294" s="52" t="s">
        <v>3696</v>
      </c>
      <c r="AT294" s="52"/>
      <c r="AU294" s="52"/>
      <c r="AV294" s="52"/>
      <c r="AW294" s="52"/>
    </row>
    <row r="295" spans="1:49">
      <c r="A295" s="52">
        <v>6014813</v>
      </c>
      <c r="B295" s="52" t="s">
        <v>3723</v>
      </c>
      <c r="C295" s="52" t="s">
        <v>3698</v>
      </c>
      <c r="D295" s="53">
        <v>46157.666666666664</v>
      </c>
      <c r="E295" s="53">
        <v>46156.68472222222</v>
      </c>
      <c r="F295" s="53">
        <v>46157.395138888889</v>
      </c>
      <c r="G295" s="53">
        <v>46167.958333333336</v>
      </c>
      <c r="H295" s="53">
        <v>46157.661805555559</v>
      </c>
      <c r="I295" s="52"/>
      <c r="J295" s="52" t="s">
        <v>3693</v>
      </c>
      <c r="K295" s="53">
        <v>46157.998611111114</v>
      </c>
      <c r="L295" s="52"/>
      <c r="M295" s="54">
        <v>10.563194444444445</v>
      </c>
      <c r="N295" s="54">
        <v>1.0611111111111111</v>
      </c>
      <c r="O295" s="52" t="s">
        <v>3557</v>
      </c>
      <c r="P295" s="52" t="s">
        <v>724</v>
      </c>
      <c r="Q295" s="52" t="s">
        <v>722</v>
      </c>
      <c r="R295" s="52" t="s">
        <v>3559</v>
      </c>
      <c r="S295" s="52" t="s">
        <v>789</v>
      </c>
      <c r="T295" s="52" t="s">
        <v>3916</v>
      </c>
      <c r="U295" s="52" t="s">
        <v>3917</v>
      </c>
      <c r="V295" s="52" t="s">
        <v>730</v>
      </c>
      <c r="W295" s="52">
        <v>44190662291</v>
      </c>
      <c r="X295" s="52" t="s">
        <v>73</v>
      </c>
      <c r="Y295" s="52"/>
      <c r="Z295" s="52" t="s">
        <v>3696</v>
      </c>
      <c r="AA295" s="52" t="s">
        <v>3710</v>
      </c>
      <c r="AB295" s="52"/>
      <c r="AC295" s="52" t="s">
        <v>3720</v>
      </c>
      <c r="AD295" s="52" t="s">
        <v>3715</v>
      </c>
      <c r="AE295" s="52"/>
      <c r="AF295" s="52" t="s">
        <v>3737</v>
      </c>
      <c r="AG295" s="52" t="s">
        <v>3704</v>
      </c>
      <c r="AH295" s="52"/>
      <c r="AI295" s="53">
        <v>46157.380555555559</v>
      </c>
      <c r="AJ295" s="53">
        <v>46157.512499999997</v>
      </c>
      <c r="AK295" s="53">
        <v>46157.380555555559</v>
      </c>
      <c r="AL295" s="55">
        <v>0.1423611111111111</v>
      </c>
      <c r="AM295" s="52"/>
      <c r="AN295" s="55">
        <v>0.13194444444444445</v>
      </c>
      <c r="AO295" s="52"/>
      <c r="AP295" s="55">
        <v>0.1423611111111111</v>
      </c>
      <c r="AQ295" s="52"/>
      <c r="AR295" s="52"/>
      <c r="AS295" s="52" t="s">
        <v>3696</v>
      </c>
      <c r="AT295" s="52"/>
      <c r="AU295" s="52"/>
      <c r="AV295" s="52"/>
      <c r="AW295" s="52" t="s">
        <v>750</v>
      </c>
    </row>
    <row r="296" spans="1:49">
      <c r="A296" s="52">
        <v>6014892</v>
      </c>
      <c r="B296" s="52" t="s">
        <v>3716</v>
      </c>
      <c r="C296" s="52" t="s">
        <v>3692</v>
      </c>
      <c r="D296" s="53">
        <v>46157.708333333336</v>
      </c>
      <c r="E296" s="53">
        <v>46156.68472222222</v>
      </c>
      <c r="F296" s="53">
        <v>46157.703472222223</v>
      </c>
      <c r="G296" s="53">
        <v>46160.370833333334</v>
      </c>
      <c r="H296" s="52"/>
      <c r="I296" s="52" t="s">
        <v>3693</v>
      </c>
      <c r="J296" s="52" t="s">
        <v>3694</v>
      </c>
      <c r="K296" s="53">
        <v>46160.425694444442</v>
      </c>
      <c r="L296" s="52"/>
      <c r="M296" s="54">
        <v>2.9333333333333331</v>
      </c>
      <c r="N296" s="54">
        <v>1.8604166666666666</v>
      </c>
      <c r="O296" s="52"/>
      <c r="P296" s="52"/>
      <c r="Q296" s="52"/>
      <c r="R296" s="52"/>
      <c r="S296" s="52"/>
      <c r="T296" s="52" t="s">
        <v>3918</v>
      </c>
      <c r="U296" s="52" t="s">
        <v>3859</v>
      </c>
      <c r="V296" s="52"/>
      <c r="W296" s="52"/>
      <c r="X296" s="52"/>
      <c r="Y296" s="52"/>
      <c r="Z296" s="52" t="s">
        <v>3696</v>
      </c>
      <c r="AA296" s="52" t="s">
        <v>72</v>
      </c>
      <c r="AB296" s="52" t="s">
        <v>140</v>
      </c>
      <c r="AC296" s="52" t="s">
        <v>3703</v>
      </c>
      <c r="AD296" s="52" t="s">
        <v>3704</v>
      </c>
      <c r="AE296" s="52"/>
      <c r="AF296" s="52" t="s">
        <v>3919</v>
      </c>
      <c r="AG296" s="52" t="s">
        <v>3920</v>
      </c>
      <c r="AH296" s="52"/>
      <c r="AI296" s="52"/>
      <c r="AJ296" s="52"/>
      <c r="AK296" s="52"/>
      <c r="AL296" s="55">
        <v>0.68402777777777779</v>
      </c>
      <c r="AM296" s="52"/>
      <c r="AN296" s="52"/>
      <c r="AO296" s="52"/>
      <c r="AP296" s="52"/>
      <c r="AQ296" s="52"/>
      <c r="AR296" s="52"/>
      <c r="AS296" s="52">
        <v>0</v>
      </c>
      <c r="AT296" s="52"/>
      <c r="AU296" s="52"/>
      <c r="AV296" s="52" t="s">
        <v>3632</v>
      </c>
      <c r="AW296" s="52"/>
    </row>
    <row r="297" spans="1:49">
      <c r="A297" s="52">
        <v>6014892</v>
      </c>
      <c r="B297" s="52" t="s">
        <v>3716</v>
      </c>
      <c r="C297" s="52" t="s">
        <v>3698</v>
      </c>
      <c r="D297" s="53">
        <v>46157.708333333336</v>
      </c>
      <c r="E297" s="53">
        <v>46156.68472222222</v>
      </c>
      <c r="F297" s="52"/>
      <c r="G297" s="53">
        <v>46160.370833333334</v>
      </c>
      <c r="H297" s="52"/>
      <c r="I297" s="52"/>
      <c r="J297" s="52" t="s">
        <v>3694</v>
      </c>
      <c r="K297" s="53">
        <v>46160.425694444442</v>
      </c>
      <c r="L297" s="52"/>
      <c r="M297" s="52"/>
      <c r="N297" s="52"/>
      <c r="O297" s="52" t="s">
        <v>3628</v>
      </c>
      <c r="P297" s="52" t="s">
        <v>72</v>
      </c>
      <c r="Q297" s="52" t="s">
        <v>3627</v>
      </c>
      <c r="R297" s="52"/>
      <c r="S297" s="52" t="s">
        <v>3609</v>
      </c>
      <c r="T297" s="52" t="s">
        <v>3918</v>
      </c>
      <c r="U297" s="52" t="s">
        <v>3859</v>
      </c>
      <c r="V297" s="52" t="s">
        <v>3635</v>
      </c>
      <c r="W297" s="52">
        <v>10925047538</v>
      </c>
      <c r="X297" s="52" t="s">
        <v>73</v>
      </c>
      <c r="Y297" s="52"/>
      <c r="Z297" s="52" t="s">
        <v>3696</v>
      </c>
      <c r="AA297" s="52" t="s">
        <v>3710</v>
      </c>
      <c r="AB297" s="52"/>
      <c r="AC297" s="52" t="s">
        <v>3703</v>
      </c>
      <c r="AD297" s="52" t="s">
        <v>3704</v>
      </c>
      <c r="AE297" s="52" t="s">
        <v>140</v>
      </c>
      <c r="AF297" s="52" t="s">
        <v>3919</v>
      </c>
      <c r="AG297" s="52" t="s">
        <v>3920</v>
      </c>
      <c r="AH297" s="52"/>
      <c r="AI297" s="53">
        <v>46157.706250000003</v>
      </c>
      <c r="AJ297" s="53">
        <v>46158.390277777777</v>
      </c>
      <c r="AK297" s="53">
        <v>46157.706250000003</v>
      </c>
      <c r="AL297" s="55">
        <v>0.68402777777777779</v>
      </c>
      <c r="AM297" s="52"/>
      <c r="AN297" s="55">
        <v>0.68402777777777779</v>
      </c>
      <c r="AO297" s="52"/>
      <c r="AP297" s="55">
        <v>0.68402777777777779</v>
      </c>
      <c r="AQ297" s="52"/>
      <c r="AR297" s="52"/>
      <c r="AS297" s="52" t="s">
        <v>3696</v>
      </c>
      <c r="AT297" s="52"/>
      <c r="AU297" s="52"/>
      <c r="AV297" s="52"/>
      <c r="AW297" s="52"/>
    </row>
    <row r="298" spans="1:49">
      <c r="A298" s="52">
        <v>6014892</v>
      </c>
      <c r="B298" s="52" t="s">
        <v>3716</v>
      </c>
      <c r="C298" s="52" t="s">
        <v>3698</v>
      </c>
      <c r="D298" s="53">
        <v>46157.708333333336</v>
      </c>
      <c r="E298" s="53">
        <v>46156.68472222222</v>
      </c>
      <c r="F298" s="52"/>
      <c r="G298" s="53">
        <v>46160.370833333334</v>
      </c>
      <c r="H298" s="52"/>
      <c r="I298" s="52"/>
      <c r="J298" s="52" t="s">
        <v>3694</v>
      </c>
      <c r="K298" s="53">
        <v>46160.425694444442</v>
      </c>
      <c r="L298" s="52"/>
      <c r="M298" s="52"/>
      <c r="N298" s="52"/>
      <c r="O298" s="52" t="s">
        <v>3628</v>
      </c>
      <c r="P298" s="52" t="s">
        <v>72</v>
      </c>
      <c r="Q298" s="52" t="s">
        <v>3627</v>
      </c>
      <c r="R298" s="52"/>
      <c r="S298" s="52" t="s">
        <v>3609</v>
      </c>
      <c r="T298" s="52" t="s">
        <v>3918</v>
      </c>
      <c r="U298" s="52" t="s">
        <v>3859</v>
      </c>
      <c r="V298" s="52" t="s">
        <v>3635</v>
      </c>
      <c r="W298" s="52">
        <v>10925047538</v>
      </c>
      <c r="X298" s="52" t="s">
        <v>73</v>
      </c>
      <c r="Y298" s="52"/>
      <c r="Z298" s="52" t="s">
        <v>3696</v>
      </c>
      <c r="AA298" s="52" t="s">
        <v>3710</v>
      </c>
      <c r="AB298" s="52"/>
      <c r="AC298" s="52" t="s">
        <v>3703</v>
      </c>
      <c r="AD298" s="52" t="s">
        <v>3704</v>
      </c>
      <c r="AE298" s="52"/>
      <c r="AF298" s="52" t="s">
        <v>3919</v>
      </c>
      <c r="AG298" s="52" t="s">
        <v>3920</v>
      </c>
      <c r="AH298" s="52"/>
      <c r="AI298" s="53">
        <v>46157.706250000003</v>
      </c>
      <c r="AJ298" s="53">
        <v>46158.390277777777</v>
      </c>
      <c r="AK298" s="53">
        <v>46157.706250000003</v>
      </c>
      <c r="AL298" s="55">
        <v>0.68402777777777779</v>
      </c>
      <c r="AM298" s="52"/>
      <c r="AN298" s="55">
        <v>0.68402777777777779</v>
      </c>
      <c r="AO298" s="52"/>
      <c r="AP298" s="55">
        <v>0.68402777777777779</v>
      </c>
      <c r="AQ298" s="52"/>
      <c r="AR298" s="52"/>
      <c r="AS298" s="52" t="s">
        <v>3696</v>
      </c>
      <c r="AT298" s="52"/>
      <c r="AU298" s="52"/>
      <c r="AV298" s="52"/>
      <c r="AW298" s="52" t="s">
        <v>3632</v>
      </c>
    </row>
    <row r="299" spans="1:49">
      <c r="A299" s="52">
        <v>6014894</v>
      </c>
      <c r="B299" s="52" t="s">
        <v>3716</v>
      </c>
      <c r="C299" s="52" t="s">
        <v>3692</v>
      </c>
      <c r="D299" s="53">
        <v>46154.833333333336</v>
      </c>
      <c r="E299" s="53">
        <v>46153.586805555555</v>
      </c>
      <c r="F299" s="53">
        <v>46154.892361111109</v>
      </c>
      <c r="G299" s="53">
        <v>46160.25</v>
      </c>
      <c r="H299" s="52"/>
      <c r="I299" s="52" t="s">
        <v>3693</v>
      </c>
      <c r="J299" s="52" t="s">
        <v>3694</v>
      </c>
      <c r="K299" s="53">
        <v>46159.029861111114</v>
      </c>
      <c r="L299" s="52"/>
      <c r="M299" s="54">
        <v>3.4263888888888889</v>
      </c>
      <c r="N299" s="54">
        <v>1.632638888888889</v>
      </c>
      <c r="O299" s="52"/>
      <c r="P299" s="52"/>
      <c r="Q299" s="52"/>
      <c r="R299" s="52"/>
      <c r="S299" s="52"/>
      <c r="T299" s="52" t="s">
        <v>3921</v>
      </c>
      <c r="U299" s="52" t="s">
        <v>3922</v>
      </c>
      <c r="V299" s="52"/>
      <c r="W299" s="52"/>
      <c r="X299" s="52"/>
      <c r="Y299" s="52"/>
      <c r="Z299" s="52" t="s">
        <v>3696</v>
      </c>
      <c r="AA299" s="52" t="s">
        <v>102</v>
      </c>
      <c r="AB299" s="52" t="s">
        <v>140</v>
      </c>
      <c r="AC299" s="52" t="s">
        <v>3703</v>
      </c>
      <c r="AD299" s="52" t="s">
        <v>3704</v>
      </c>
      <c r="AE299" s="52"/>
      <c r="AF299" s="52" t="s">
        <v>3787</v>
      </c>
      <c r="AG299" s="52" t="s">
        <v>3788</v>
      </c>
      <c r="AH299" s="52"/>
      <c r="AI299" s="52"/>
      <c r="AJ299" s="52"/>
      <c r="AK299" s="52"/>
      <c r="AL299" s="55">
        <v>1.7361111111111112E-2</v>
      </c>
      <c r="AM299" s="52"/>
      <c r="AN299" s="52"/>
      <c r="AO299" s="52"/>
      <c r="AP299" s="52"/>
      <c r="AQ299" s="52"/>
      <c r="AR299" s="52"/>
      <c r="AS299" s="52">
        <v>0</v>
      </c>
      <c r="AT299" s="52"/>
      <c r="AU299" s="52"/>
      <c r="AV299" s="52" t="s">
        <v>141</v>
      </c>
      <c r="AW299" s="52"/>
    </row>
    <row r="300" spans="1:49">
      <c r="A300" s="52">
        <v>6014894</v>
      </c>
      <c r="B300" s="52" t="s">
        <v>3716</v>
      </c>
      <c r="C300" s="52" t="s">
        <v>3698</v>
      </c>
      <c r="D300" s="53">
        <v>46154.833333333336</v>
      </c>
      <c r="E300" s="53">
        <v>46153.586805555555</v>
      </c>
      <c r="F300" s="53">
        <v>46155.323611111111</v>
      </c>
      <c r="G300" s="53">
        <v>46160.25</v>
      </c>
      <c r="H300" s="52"/>
      <c r="I300" s="52"/>
      <c r="J300" s="52" t="s">
        <v>3694</v>
      </c>
      <c r="K300" s="53">
        <v>46159.029861111114</v>
      </c>
      <c r="L300" s="52"/>
      <c r="M300" s="54">
        <v>4.9263888888888889</v>
      </c>
      <c r="N300" s="54">
        <v>3.1326388888888888</v>
      </c>
      <c r="O300" s="52" t="s">
        <v>136</v>
      </c>
      <c r="P300" s="52" t="s">
        <v>102</v>
      </c>
      <c r="Q300" s="52" t="s">
        <v>135</v>
      </c>
      <c r="R300" s="52" t="s">
        <v>144</v>
      </c>
      <c r="S300" s="52" t="s">
        <v>69</v>
      </c>
      <c r="T300" s="52" t="s">
        <v>3921</v>
      </c>
      <c r="U300" s="52" t="s">
        <v>3922</v>
      </c>
      <c r="V300" s="52" t="s">
        <v>145</v>
      </c>
      <c r="W300" s="52">
        <v>4137125910</v>
      </c>
      <c r="X300" s="52" t="s">
        <v>73</v>
      </c>
      <c r="Y300" s="52" t="s">
        <v>3923</v>
      </c>
      <c r="Z300" s="52" t="s">
        <v>3696</v>
      </c>
      <c r="AA300" s="52" t="s">
        <v>3710</v>
      </c>
      <c r="AB300" s="52"/>
      <c r="AC300" s="52" t="s">
        <v>3703</v>
      </c>
      <c r="AD300" s="52" t="s">
        <v>3704</v>
      </c>
      <c r="AE300" s="52" t="s">
        <v>140</v>
      </c>
      <c r="AF300" s="52" t="s">
        <v>3787</v>
      </c>
      <c r="AG300" s="52" t="s">
        <v>3788</v>
      </c>
      <c r="AH300" s="52"/>
      <c r="AI300" s="53">
        <v>46155.459027777775</v>
      </c>
      <c r="AJ300" s="53">
        <v>46155.476388888892</v>
      </c>
      <c r="AK300" s="53">
        <v>46155.459027777775</v>
      </c>
      <c r="AL300" s="55">
        <v>1.7361111111111112E-2</v>
      </c>
      <c r="AM300" s="52"/>
      <c r="AN300" s="55">
        <v>1.7361111111111112E-2</v>
      </c>
      <c r="AO300" s="52"/>
      <c r="AP300" s="55">
        <v>1.7361111111111112E-2</v>
      </c>
      <c r="AQ300" s="52"/>
      <c r="AR300" s="52"/>
      <c r="AS300" s="52" t="s">
        <v>3696</v>
      </c>
      <c r="AT300" s="52"/>
      <c r="AU300" s="52"/>
      <c r="AV300" s="52"/>
      <c r="AW300" s="52"/>
    </row>
    <row r="301" spans="1:49">
      <c r="A301" s="52">
        <v>6014894</v>
      </c>
      <c r="B301" s="52" t="s">
        <v>3716</v>
      </c>
      <c r="C301" s="52" t="s">
        <v>3698</v>
      </c>
      <c r="D301" s="53">
        <v>46154.833333333336</v>
      </c>
      <c r="E301" s="53">
        <v>46153.586805555555</v>
      </c>
      <c r="F301" s="53">
        <v>46155.323611111111</v>
      </c>
      <c r="G301" s="53">
        <v>46160.25</v>
      </c>
      <c r="H301" s="52"/>
      <c r="I301" s="52"/>
      <c r="J301" s="52" t="s">
        <v>3694</v>
      </c>
      <c r="K301" s="53">
        <v>46159.029861111114</v>
      </c>
      <c r="L301" s="52"/>
      <c r="M301" s="54">
        <v>4.9263888888888889</v>
      </c>
      <c r="N301" s="54">
        <v>3.1326388888888888</v>
      </c>
      <c r="O301" s="52" t="s">
        <v>136</v>
      </c>
      <c r="P301" s="52" t="s">
        <v>102</v>
      </c>
      <c r="Q301" s="52" t="s">
        <v>135</v>
      </c>
      <c r="R301" s="52" t="s">
        <v>144</v>
      </c>
      <c r="S301" s="52" t="s">
        <v>69</v>
      </c>
      <c r="T301" s="52" t="s">
        <v>3921</v>
      </c>
      <c r="U301" s="52" t="s">
        <v>3922</v>
      </c>
      <c r="V301" s="52" t="s">
        <v>145</v>
      </c>
      <c r="W301" s="52">
        <v>4137125910</v>
      </c>
      <c r="X301" s="52" t="s">
        <v>73</v>
      </c>
      <c r="Y301" s="52" t="s">
        <v>3923</v>
      </c>
      <c r="Z301" s="52" t="s">
        <v>3696</v>
      </c>
      <c r="AA301" s="52" t="s">
        <v>3710</v>
      </c>
      <c r="AB301" s="52"/>
      <c r="AC301" s="52" t="s">
        <v>3703</v>
      </c>
      <c r="AD301" s="52" t="s">
        <v>3704</v>
      </c>
      <c r="AE301" s="52"/>
      <c r="AF301" s="52" t="s">
        <v>3787</v>
      </c>
      <c r="AG301" s="52" t="s">
        <v>3788</v>
      </c>
      <c r="AH301" s="52"/>
      <c r="AI301" s="53">
        <v>46155.459027777775</v>
      </c>
      <c r="AJ301" s="53">
        <v>46155.476388888892</v>
      </c>
      <c r="AK301" s="53">
        <v>46155.459027777775</v>
      </c>
      <c r="AL301" s="55">
        <v>1.7361111111111112E-2</v>
      </c>
      <c r="AM301" s="52"/>
      <c r="AN301" s="55">
        <v>1.7361111111111112E-2</v>
      </c>
      <c r="AO301" s="52"/>
      <c r="AP301" s="55">
        <v>1.7361111111111112E-2</v>
      </c>
      <c r="AQ301" s="52"/>
      <c r="AR301" s="52"/>
      <c r="AS301" s="52" t="s">
        <v>3696</v>
      </c>
      <c r="AT301" s="52"/>
      <c r="AU301" s="52"/>
      <c r="AV301" s="52"/>
      <c r="AW301" s="52" t="s">
        <v>141</v>
      </c>
    </row>
    <row r="302" spans="1:49">
      <c r="A302" s="52">
        <v>6014897</v>
      </c>
      <c r="B302" s="52" t="s">
        <v>3716</v>
      </c>
      <c r="C302" s="52" t="s">
        <v>3692</v>
      </c>
      <c r="D302" s="53">
        <v>46154.833333333336</v>
      </c>
      <c r="E302" s="53">
        <v>46153.586805555555</v>
      </c>
      <c r="F302" s="53">
        <v>46154.892361111109</v>
      </c>
      <c r="G302" s="53">
        <v>46160.25</v>
      </c>
      <c r="H302" s="52"/>
      <c r="I302" s="52" t="s">
        <v>3693</v>
      </c>
      <c r="J302" s="52" t="s">
        <v>3694</v>
      </c>
      <c r="K302" s="53">
        <v>46159.029861111114</v>
      </c>
      <c r="L302" s="52"/>
      <c r="M302" s="54">
        <v>3.4263888888888889</v>
      </c>
      <c r="N302" s="54">
        <v>1.632638888888889</v>
      </c>
      <c r="O302" s="52"/>
      <c r="P302" s="52"/>
      <c r="Q302" s="52"/>
      <c r="R302" s="52"/>
      <c r="S302" s="52"/>
      <c r="T302" s="52" t="s">
        <v>3921</v>
      </c>
      <c r="U302" s="52" t="s">
        <v>3922</v>
      </c>
      <c r="V302" s="52"/>
      <c r="W302" s="52"/>
      <c r="X302" s="52"/>
      <c r="Y302" s="52"/>
      <c r="Z302" s="52" t="s">
        <v>3696</v>
      </c>
      <c r="AA302" s="52" t="s">
        <v>102</v>
      </c>
      <c r="AB302" s="52" t="s">
        <v>140</v>
      </c>
      <c r="AC302" s="52" t="s">
        <v>3703</v>
      </c>
      <c r="AD302" s="52" t="s">
        <v>3704</v>
      </c>
      <c r="AE302" s="52"/>
      <c r="AF302" s="52" t="s">
        <v>3787</v>
      </c>
      <c r="AG302" s="52" t="s">
        <v>3788</v>
      </c>
      <c r="AH302" s="52"/>
      <c r="AI302" s="52"/>
      <c r="AJ302" s="52"/>
      <c r="AK302" s="52"/>
      <c r="AL302" s="55">
        <v>1.7361111111111112E-2</v>
      </c>
      <c r="AM302" s="52"/>
      <c r="AN302" s="52"/>
      <c r="AO302" s="52"/>
      <c r="AP302" s="52"/>
      <c r="AQ302" s="52"/>
      <c r="AR302" s="52"/>
      <c r="AS302" s="52">
        <v>0</v>
      </c>
      <c r="AT302" s="52"/>
      <c r="AU302" s="52"/>
      <c r="AV302" s="52" t="s">
        <v>141</v>
      </c>
      <c r="AW302" s="52"/>
    </row>
    <row r="303" spans="1:49">
      <c r="A303" s="52">
        <v>6014897</v>
      </c>
      <c r="B303" s="52" t="s">
        <v>3716</v>
      </c>
      <c r="C303" s="52" t="s">
        <v>3698</v>
      </c>
      <c r="D303" s="53">
        <v>46154.833333333336</v>
      </c>
      <c r="E303" s="53">
        <v>46153.586805555555</v>
      </c>
      <c r="F303" s="53">
        <v>46155.323611111111</v>
      </c>
      <c r="G303" s="53">
        <v>46160.25</v>
      </c>
      <c r="H303" s="52"/>
      <c r="I303" s="52"/>
      <c r="J303" s="52" t="s">
        <v>3694</v>
      </c>
      <c r="K303" s="53">
        <v>46159.029861111114</v>
      </c>
      <c r="L303" s="52"/>
      <c r="M303" s="54">
        <v>4.9263888888888889</v>
      </c>
      <c r="N303" s="54">
        <v>3.1326388888888888</v>
      </c>
      <c r="O303" s="52" t="s">
        <v>136</v>
      </c>
      <c r="P303" s="52" t="s">
        <v>102</v>
      </c>
      <c r="Q303" s="52" t="s">
        <v>135</v>
      </c>
      <c r="R303" s="52" t="s">
        <v>144</v>
      </c>
      <c r="S303" s="52" t="s">
        <v>69</v>
      </c>
      <c r="T303" s="52" t="s">
        <v>3921</v>
      </c>
      <c r="U303" s="52" t="s">
        <v>3922</v>
      </c>
      <c r="V303" s="52" t="s">
        <v>145</v>
      </c>
      <c r="W303" s="52">
        <v>4137125910</v>
      </c>
      <c r="X303" s="52" t="s">
        <v>73</v>
      </c>
      <c r="Y303" s="52" t="s">
        <v>3923</v>
      </c>
      <c r="Z303" s="52" t="s">
        <v>3696</v>
      </c>
      <c r="AA303" s="52" t="s">
        <v>3710</v>
      </c>
      <c r="AB303" s="52"/>
      <c r="AC303" s="52" t="s">
        <v>3703</v>
      </c>
      <c r="AD303" s="52" t="s">
        <v>3704</v>
      </c>
      <c r="AE303" s="52" t="s">
        <v>140</v>
      </c>
      <c r="AF303" s="52" t="s">
        <v>3787</v>
      </c>
      <c r="AG303" s="52" t="s">
        <v>3788</v>
      </c>
      <c r="AH303" s="52"/>
      <c r="AI303" s="53">
        <v>46155.459027777775</v>
      </c>
      <c r="AJ303" s="53">
        <v>46155.476388888892</v>
      </c>
      <c r="AK303" s="53">
        <v>46155.459027777775</v>
      </c>
      <c r="AL303" s="55">
        <v>1.7361111111111112E-2</v>
      </c>
      <c r="AM303" s="52"/>
      <c r="AN303" s="55">
        <v>1.7361111111111112E-2</v>
      </c>
      <c r="AO303" s="52"/>
      <c r="AP303" s="55">
        <v>1.7361111111111112E-2</v>
      </c>
      <c r="AQ303" s="52"/>
      <c r="AR303" s="52"/>
      <c r="AS303" s="52" t="s">
        <v>3696</v>
      </c>
      <c r="AT303" s="52"/>
      <c r="AU303" s="52"/>
      <c r="AV303" s="52"/>
      <c r="AW303" s="52"/>
    </row>
    <row r="304" spans="1:49">
      <c r="A304" s="52">
        <v>6014897</v>
      </c>
      <c r="B304" s="52" t="s">
        <v>3716</v>
      </c>
      <c r="C304" s="52" t="s">
        <v>3698</v>
      </c>
      <c r="D304" s="53">
        <v>46154.833333333336</v>
      </c>
      <c r="E304" s="53">
        <v>46153.586805555555</v>
      </c>
      <c r="F304" s="53">
        <v>46155.323611111111</v>
      </c>
      <c r="G304" s="53">
        <v>46160.25</v>
      </c>
      <c r="H304" s="52"/>
      <c r="I304" s="52"/>
      <c r="J304" s="52" t="s">
        <v>3694</v>
      </c>
      <c r="K304" s="53">
        <v>46159.029861111114</v>
      </c>
      <c r="L304" s="52"/>
      <c r="M304" s="54">
        <v>4.9263888888888889</v>
      </c>
      <c r="N304" s="54">
        <v>3.1326388888888888</v>
      </c>
      <c r="O304" s="52" t="s">
        <v>136</v>
      </c>
      <c r="P304" s="52" t="s">
        <v>102</v>
      </c>
      <c r="Q304" s="52" t="s">
        <v>135</v>
      </c>
      <c r="R304" s="52" t="s">
        <v>144</v>
      </c>
      <c r="S304" s="52" t="s">
        <v>69</v>
      </c>
      <c r="T304" s="52" t="s">
        <v>3921</v>
      </c>
      <c r="U304" s="52" t="s">
        <v>3922</v>
      </c>
      <c r="V304" s="52" t="s">
        <v>145</v>
      </c>
      <c r="W304" s="52">
        <v>4137125910</v>
      </c>
      <c r="X304" s="52" t="s">
        <v>73</v>
      </c>
      <c r="Y304" s="52" t="s">
        <v>3923</v>
      </c>
      <c r="Z304" s="52" t="s">
        <v>3696</v>
      </c>
      <c r="AA304" s="52" t="s">
        <v>3710</v>
      </c>
      <c r="AB304" s="52"/>
      <c r="AC304" s="52" t="s">
        <v>3703</v>
      </c>
      <c r="AD304" s="52" t="s">
        <v>3704</v>
      </c>
      <c r="AE304" s="52"/>
      <c r="AF304" s="52" t="s">
        <v>3787</v>
      </c>
      <c r="AG304" s="52" t="s">
        <v>3788</v>
      </c>
      <c r="AH304" s="52"/>
      <c r="AI304" s="53">
        <v>46155.459027777775</v>
      </c>
      <c r="AJ304" s="53">
        <v>46155.476388888892</v>
      </c>
      <c r="AK304" s="53">
        <v>46155.459027777775</v>
      </c>
      <c r="AL304" s="55">
        <v>1.7361111111111112E-2</v>
      </c>
      <c r="AM304" s="52"/>
      <c r="AN304" s="55">
        <v>1.7361111111111112E-2</v>
      </c>
      <c r="AO304" s="52"/>
      <c r="AP304" s="55">
        <v>1.7361111111111112E-2</v>
      </c>
      <c r="AQ304" s="52"/>
      <c r="AR304" s="52"/>
      <c r="AS304" s="52" t="s">
        <v>3696</v>
      </c>
      <c r="AT304" s="52"/>
      <c r="AU304" s="52"/>
      <c r="AV304" s="52"/>
      <c r="AW304" s="52" t="s">
        <v>141</v>
      </c>
    </row>
    <row r="305" spans="1:49">
      <c r="A305" s="52">
        <v>6014898</v>
      </c>
      <c r="B305" s="52" t="s">
        <v>3716</v>
      </c>
      <c r="C305" s="52" t="s">
        <v>3692</v>
      </c>
      <c r="D305" s="53">
        <v>46157.708333333336</v>
      </c>
      <c r="E305" s="53">
        <v>46156.68472222222</v>
      </c>
      <c r="F305" s="53">
        <v>46157.931250000001</v>
      </c>
      <c r="G305" s="53">
        <v>46163.25</v>
      </c>
      <c r="H305" s="52"/>
      <c r="I305" s="52" t="s">
        <v>3693</v>
      </c>
      <c r="J305" s="52" t="s">
        <v>3694</v>
      </c>
      <c r="K305" s="53">
        <v>46160.260416666664</v>
      </c>
      <c r="L305" s="52"/>
      <c r="M305" s="54">
        <v>3.4263888888888889</v>
      </c>
      <c r="N305" s="54">
        <v>1.367361111111111</v>
      </c>
      <c r="O305" s="52"/>
      <c r="P305" s="52"/>
      <c r="Q305" s="52"/>
      <c r="R305" s="52"/>
      <c r="S305" s="52"/>
      <c r="T305" s="52" t="s">
        <v>3924</v>
      </c>
      <c r="U305" s="52" t="s">
        <v>3925</v>
      </c>
      <c r="V305" s="52"/>
      <c r="W305" s="52"/>
      <c r="X305" s="52"/>
      <c r="Y305" s="52"/>
      <c r="Z305" s="52" t="s">
        <v>3696</v>
      </c>
      <c r="AA305" s="52" t="s">
        <v>72</v>
      </c>
      <c r="AB305" s="52" t="s">
        <v>140</v>
      </c>
      <c r="AC305" s="52" t="s">
        <v>3703</v>
      </c>
      <c r="AD305" s="52" t="s">
        <v>3704</v>
      </c>
      <c r="AE305" s="52"/>
      <c r="AF305" s="52" t="s">
        <v>3787</v>
      </c>
      <c r="AG305" s="52" t="s">
        <v>3788</v>
      </c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>
        <v>0</v>
      </c>
      <c r="AT305" s="52"/>
      <c r="AU305" s="52"/>
      <c r="AV305" s="52" t="s">
        <v>141</v>
      </c>
      <c r="AW305" s="52"/>
    </row>
    <row r="306" spans="1:49">
      <c r="A306" s="52">
        <v>6014898</v>
      </c>
      <c r="B306" s="52" t="s">
        <v>3716</v>
      </c>
      <c r="C306" s="52" t="s">
        <v>3698</v>
      </c>
      <c r="D306" s="53">
        <v>46157.708333333336</v>
      </c>
      <c r="E306" s="53">
        <v>46156.68472222222</v>
      </c>
      <c r="F306" s="52"/>
      <c r="G306" s="53">
        <v>46163.25</v>
      </c>
      <c r="H306" s="52"/>
      <c r="I306" s="52"/>
      <c r="J306" s="52" t="s">
        <v>3694</v>
      </c>
      <c r="K306" s="53">
        <v>46160.260416666664</v>
      </c>
      <c r="L306" s="52"/>
      <c r="M306" s="52"/>
      <c r="N306" s="52"/>
      <c r="O306" s="52" t="s">
        <v>3647</v>
      </c>
      <c r="P306" s="52" t="s">
        <v>72</v>
      </c>
      <c r="Q306" s="52" t="s">
        <v>3646</v>
      </c>
      <c r="R306" s="52" t="s">
        <v>3649</v>
      </c>
      <c r="S306" s="52" t="s">
        <v>3609</v>
      </c>
      <c r="T306" s="52" t="s">
        <v>3924</v>
      </c>
      <c r="U306" s="52" t="s">
        <v>3925</v>
      </c>
      <c r="V306" s="52" t="s">
        <v>3650</v>
      </c>
      <c r="W306" s="52">
        <v>5036635302</v>
      </c>
      <c r="X306" s="52" t="s">
        <v>73</v>
      </c>
      <c r="Y306" s="52"/>
      <c r="Z306" s="52" t="s">
        <v>3696</v>
      </c>
      <c r="AA306" s="52" t="s">
        <v>3710</v>
      </c>
      <c r="AB306" s="52"/>
      <c r="AC306" s="52" t="s">
        <v>3703</v>
      </c>
      <c r="AD306" s="52" t="s">
        <v>3704</v>
      </c>
      <c r="AE306" s="52" t="s">
        <v>140</v>
      </c>
      <c r="AF306" s="52" t="s">
        <v>3787</v>
      </c>
      <c r="AG306" s="52" t="s">
        <v>3788</v>
      </c>
      <c r="AH306" s="52"/>
      <c r="AI306" s="53">
        <v>46158.218055555553</v>
      </c>
      <c r="AJ306" s="52"/>
      <c r="AK306" s="53">
        <v>46158.218055555553</v>
      </c>
      <c r="AL306" s="52"/>
      <c r="AM306" s="52"/>
      <c r="AN306" s="52"/>
      <c r="AO306" s="52"/>
      <c r="AP306" s="52"/>
      <c r="AQ306" s="52"/>
      <c r="AR306" s="52"/>
      <c r="AS306" s="52" t="s">
        <v>3696</v>
      </c>
      <c r="AT306" s="52"/>
      <c r="AU306" s="52"/>
      <c r="AV306" s="52"/>
      <c r="AW306" s="52"/>
    </row>
    <row r="307" spans="1:49">
      <c r="A307" s="52">
        <v>6014898</v>
      </c>
      <c r="B307" s="52" t="s">
        <v>3716</v>
      </c>
      <c r="C307" s="52" t="s">
        <v>3698</v>
      </c>
      <c r="D307" s="53">
        <v>46157.708333333336</v>
      </c>
      <c r="E307" s="53">
        <v>46156.68472222222</v>
      </c>
      <c r="F307" s="52"/>
      <c r="G307" s="53">
        <v>46163.25</v>
      </c>
      <c r="H307" s="52"/>
      <c r="I307" s="52"/>
      <c r="J307" s="52" t="s">
        <v>3694</v>
      </c>
      <c r="K307" s="53">
        <v>46160.260416666664</v>
      </c>
      <c r="L307" s="52"/>
      <c r="M307" s="52"/>
      <c r="N307" s="52"/>
      <c r="O307" s="52" t="s">
        <v>3647</v>
      </c>
      <c r="P307" s="52" t="s">
        <v>72</v>
      </c>
      <c r="Q307" s="52" t="s">
        <v>3646</v>
      </c>
      <c r="R307" s="52" t="s">
        <v>3649</v>
      </c>
      <c r="S307" s="52" t="s">
        <v>3609</v>
      </c>
      <c r="T307" s="52" t="s">
        <v>3924</v>
      </c>
      <c r="U307" s="52" t="s">
        <v>3925</v>
      </c>
      <c r="V307" s="52" t="s">
        <v>3650</v>
      </c>
      <c r="W307" s="52">
        <v>5036635302</v>
      </c>
      <c r="X307" s="52" t="s">
        <v>73</v>
      </c>
      <c r="Y307" s="52"/>
      <c r="Z307" s="52" t="s">
        <v>3696</v>
      </c>
      <c r="AA307" s="52" t="s">
        <v>3710</v>
      </c>
      <c r="AB307" s="52"/>
      <c r="AC307" s="52" t="s">
        <v>3703</v>
      </c>
      <c r="AD307" s="52" t="s">
        <v>3704</v>
      </c>
      <c r="AE307" s="52"/>
      <c r="AF307" s="52" t="s">
        <v>3787</v>
      </c>
      <c r="AG307" s="52" t="s">
        <v>3788</v>
      </c>
      <c r="AH307" s="52"/>
      <c r="AI307" s="53">
        <v>46158.218055555553</v>
      </c>
      <c r="AJ307" s="52"/>
      <c r="AK307" s="53">
        <v>46158.218055555553</v>
      </c>
      <c r="AL307" s="52"/>
      <c r="AM307" s="52"/>
      <c r="AN307" s="52"/>
      <c r="AO307" s="52"/>
      <c r="AP307" s="52"/>
      <c r="AQ307" s="52"/>
      <c r="AR307" s="52"/>
      <c r="AS307" s="52" t="s">
        <v>3696</v>
      </c>
      <c r="AT307" s="52"/>
      <c r="AU307" s="52"/>
      <c r="AV307" s="52"/>
      <c r="AW307" s="52" t="s">
        <v>141</v>
      </c>
    </row>
    <row r="308" spans="1:49">
      <c r="A308" s="52">
        <v>6014899</v>
      </c>
      <c r="B308" s="52" t="s">
        <v>3716</v>
      </c>
      <c r="C308" s="52" t="s">
        <v>3692</v>
      </c>
      <c r="D308" s="53">
        <v>46156.666666666664</v>
      </c>
      <c r="E308" s="53">
        <v>46156.412499999999</v>
      </c>
      <c r="F308" s="53">
        <v>46156.992361111108</v>
      </c>
      <c r="G308" s="53">
        <v>46163.25</v>
      </c>
      <c r="H308" s="52"/>
      <c r="I308" s="52" t="s">
        <v>3693</v>
      </c>
      <c r="J308" s="52" t="s">
        <v>3694</v>
      </c>
      <c r="K308" s="53">
        <v>46159.122916666667</v>
      </c>
      <c r="L308" s="52"/>
      <c r="M308" s="54">
        <v>4.5</v>
      </c>
      <c r="N308" s="55">
        <v>0.29375000000000001</v>
      </c>
      <c r="O308" s="52"/>
      <c r="P308" s="52"/>
      <c r="Q308" s="52"/>
      <c r="R308" s="52"/>
      <c r="S308" s="52"/>
      <c r="T308" s="52" t="s">
        <v>3785</v>
      </c>
      <c r="U308" s="52" t="s">
        <v>3786</v>
      </c>
      <c r="V308" s="52"/>
      <c r="W308" s="52"/>
      <c r="X308" s="52"/>
      <c r="Y308" s="52"/>
      <c r="Z308" s="52" t="s">
        <v>3696</v>
      </c>
      <c r="AA308" s="52" t="s">
        <v>89</v>
      </c>
      <c r="AB308" s="52" t="s">
        <v>140</v>
      </c>
      <c r="AC308" s="52" t="s">
        <v>3703</v>
      </c>
      <c r="AD308" s="52" t="s">
        <v>3704</v>
      </c>
      <c r="AE308" s="52"/>
      <c r="AF308" s="52" t="s">
        <v>3787</v>
      </c>
      <c r="AG308" s="52" t="s">
        <v>3788</v>
      </c>
      <c r="AH308" s="52"/>
      <c r="AI308" s="52"/>
      <c r="AJ308" s="52"/>
      <c r="AK308" s="52"/>
      <c r="AL308" s="55">
        <v>5.5555555555555552E-2</v>
      </c>
      <c r="AM308" s="52"/>
      <c r="AN308" s="52"/>
      <c r="AO308" s="52"/>
      <c r="AP308" s="52"/>
      <c r="AQ308" s="52"/>
      <c r="AR308" s="52"/>
      <c r="AS308" s="52">
        <v>0</v>
      </c>
      <c r="AT308" s="52"/>
      <c r="AU308" s="52"/>
      <c r="AV308" s="52" t="s">
        <v>141</v>
      </c>
      <c r="AW308" s="52"/>
    </row>
    <row r="309" spans="1:49">
      <c r="A309" s="52">
        <v>6014899</v>
      </c>
      <c r="B309" s="52" t="s">
        <v>3716</v>
      </c>
      <c r="C309" s="52" t="s">
        <v>3698</v>
      </c>
      <c r="D309" s="53">
        <v>46156.666666666664</v>
      </c>
      <c r="E309" s="53">
        <v>46156.412499999999</v>
      </c>
      <c r="F309" s="53">
        <v>46157.036111111112</v>
      </c>
      <c r="G309" s="53">
        <v>46163.25</v>
      </c>
      <c r="H309" s="52"/>
      <c r="I309" s="52"/>
      <c r="J309" s="52" t="s">
        <v>3694</v>
      </c>
      <c r="K309" s="53">
        <v>46159.122916666667</v>
      </c>
      <c r="L309" s="52"/>
      <c r="M309" s="54">
        <v>6.2138888888888886</v>
      </c>
      <c r="N309" s="54">
        <v>1.4201388888888888</v>
      </c>
      <c r="O309" s="52" t="s">
        <v>239</v>
      </c>
      <c r="P309" s="52" t="s">
        <v>89</v>
      </c>
      <c r="Q309" s="52" t="s">
        <v>238</v>
      </c>
      <c r="R309" s="52" t="s">
        <v>246</v>
      </c>
      <c r="S309" s="52" t="s">
        <v>69</v>
      </c>
      <c r="T309" s="52" t="s">
        <v>3785</v>
      </c>
      <c r="U309" s="52" t="s">
        <v>3786</v>
      </c>
      <c r="V309" s="52" t="s">
        <v>247</v>
      </c>
      <c r="W309" s="52">
        <v>3435376996</v>
      </c>
      <c r="X309" s="52" t="s">
        <v>73</v>
      </c>
      <c r="Y309" s="52"/>
      <c r="Z309" s="52" t="s">
        <v>3696</v>
      </c>
      <c r="AA309" s="52" t="s">
        <v>3710</v>
      </c>
      <c r="AB309" s="52"/>
      <c r="AC309" s="52" t="s">
        <v>3703</v>
      </c>
      <c r="AD309" s="52" t="s">
        <v>3704</v>
      </c>
      <c r="AE309" s="52" t="s">
        <v>140</v>
      </c>
      <c r="AF309" s="52" t="s">
        <v>3787</v>
      </c>
      <c r="AG309" s="52" t="s">
        <v>3788</v>
      </c>
      <c r="AH309" s="52"/>
      <c r="AI309" s="53">
        <v>46156.994444444441</v>
      </c>
      <c r="AJ309" s="53">
        <v>46157.05</v>
      </c>
      <c r="AK309" s="53">
        <v>46156.994444444441</v>
      </c>
      <c r="AL309" s="55">
        <v>5.5555555555555552E-2</v>
      </c>
      <c r="AM309" s="52"/>
      <c r="AN309" s="55">
        <v>5.5555555555555552E-2</v>
      </c>
      <c r="AO309" s="52"/>
      <c r="AP309" s="55">
        <v>5.5555555555555552E-2</v>
      </c>
      <c r="AQ309" s="52"/>
      <c r="AR309" s="52"/>
      <c r="AS309" s="52" t="s">
        <v>3696</v>
      </c>
      <c r="AT309" s="52"/>
      <c r="AU309" s="52"/>
      <c r="AV309" s="52"/>
      <c r="AW309" s="52"/>
    </row>
    <row r="310" spans="1:49">
      <c r="A310" s="52">
        <v>6014899</v>
      </c>
      <c r="B310" s="52" t="s">
        <v>3716</v>
      </c>
      <c r="C310" s="52" t="s">
        <v>3698</v>
      </c>
      <c r="D310" s="53">
        <v>46156.666666666664</v>
      </c>
      <c r="E310" s="53">
        <v>46156.412499999999</v>
      </c>
      <c r="F310" s="53">
        <v>46157.036111111112</v>
      </c>
      <c r="G310" s="53">
        <v>46163.25</v>
      </c>
      <c r="H310" s="52"/>
      <c r="I310" s="52"/>
      <c r="J310" s="52" t="s">
        <v>3694</v>
      </c>
      <c r="K310" s="53">
        <v>46159.122916666667</v>
      </c>
      <c r="L310" s="52"/>
      <c r="M310" s="54">
        <v>6.2138888888888886</v>
      </c>
      <c r="N310" s="54">
        <v>1.4201388888888888</v>
      </c>
      <c r="O310" s="52" t="s">
        <v>239</v>
      </c>
      <c r="P310" s="52" t="s">
        <v>89</v>
      </c>
      <c r="Q310" s="52" t="s">
        <v>238</v>
      </c>
      <c r="R310" s="52" t="s">
        <v>246</v>
      </c>
      <c r="S310" s="52" t="s">
        <v>69</v>
      </c>
      <c r="T310" s="52" t="s">
        <v>3785</v>
      </c>
      <c r="U310" s="52" t="s">
        <v>3786</v>
      </c>
      <c r="V310" s="52" t="s">
        <v>247</v>
      </c>
      <c r="W310" s="52">
        <v>3435376996</v>
      </c>
      <c r="X310" s="52" t="s">
        <v>73</v>
      </c>
      <c r="Y310" s="52"/>
      <c r="Z310" s="52" t="s">
        <v>3696</v>
      </c>
      <c r="AA310" s="52" t="s">
        <v>3710</v>
      </c>
      <c r="AB310" s="52"/>
      <c r="AC310" s="52" t="s">
        <v>3703</v>
      </c>
      <c r="AD310" s="52" t="s">
        <v>3704</v>
      </c>
      <c r="AE310" s="52"/>
      <c r="AF310" s="52" t="s">
        <v>3787</v>
      </c>
      <c r="AG310" s="52" t="s">
        <v>3788</v>
      </c>
      <c r="AH310" s="52"/>
      <c r="AI310" s="53">
        <v>46156.994444444441</v>
      </c>
      <c r="AJ310" s="53">
        <v>46157.05</v>
      </c>
      <c r="AK310" s="53">
        <v>46156.994444444441</v>
      </c>
      <c r="AL310" s="55">
        <v>5.5555555555555552E-2</v>
      </c>
      <c r="AM310" s="52"/>
      <c r="AN310" s="55">
        <v>5.5555555555555552E-2</v>
      </c>
      <c r="AO310" s="52"/>
      <c r="AP310" s="55">
        <v>5.5555555555555552E-2</v>
      </c>
      <c r="AQ310" s="52"/>
      <c r="AR310" s="52"/>
      <c r="AS310" s="52" t="s">
        <v>3696</v>
      </c>
      <c r="AT310" s="52"/>
      <c r="AU310" s="52"/>
      <c r="AV310" s="52"/>
      <c r="AW310" s="52" t="s">
        <v>141</v>
      </c>
    </row>
    <row r="311" spans="1:49">
      <c r="A311" s="52">
        <v>6014900</v>
      </c>
      <c r="B311" s="52" t="s">
        <v>3716</v>
      </c>
      <c r="C311" s="52" t="s">
        <v>3692</v>
      </c>
      <c r="D311" s="53">
        <v>46157.708333333336</v>
      </c>
      <c r="E311" s="53">
        <v>46156.68472222222</v>
      </c>
      <c r="F311" s="53">
        <v>46157.835416666669</v>
      </c>
      <c r="G311" s="53">
        <v>46160.117361111108</v>
      </c>
      <c r="H311" s="52"/>
      <c r="I311" s="52" t="s">
        <v>3693</v>
      </c>
      <c r="J311" s="52" t="s">
        <v>3694</v>
      </c>
      <c r="K311" s="53">
        <v>46159.588194444441</v>
      </c>
      <c r="L311" s="52"/>
      <c r="M311" s="54">
        <v>3.4263888888888889</v>
      </c>
      <c r="N311" s="54">
        <v>1.367361111111111</v>
      </c>
      <c r="O311" s="52"/>
      <c r="P311" s="52"/>
      <c r="Q311" s="52"/>
      <c r="R311" s="52"/>
      <c r="S311" s="52"/>
      <c r="T311" s="52" t="s">
        <v>3924</v>
      </c>
      <c r="U311" s="52" t="s">
        <v>3926</v>
      </c>
      <c r="V311" s="52"/>
      <c r="W311" s="52"/>
      <c r="X311" s="52"/>
      <c r="Y311" s="52"/>
      <c r="Z311" s="52" t="s">
        <v>3696</v>
      </c>
      <c r="AA311" s="52" t="s">
        <v>72</v>
      </c>
      <c r="AB311" s="52" t="s">
        <v>140</v>
      </c>
      <c r="AC311" s="52" t="s">
        <v>3703</v>
      </c>
      <c r="AD311" s="52" t="s">
        <v>3704</v>
      </c>
      <c r="AE311" s="52"/>
      <c r="AF311" s="52" t="s">
        <v>3787</v>
      </c>
      <c r="AG311" s="52" t="s">
        <v>3788</v>
      </c>
      <c r="AH311" s="52"/>
      <c r="AI311" s="52"/>
      <c r="AJ311" s="52"/>
      <c r="AK311" s="52"/>
      <c r="AL311" s="55">
        <v>0.43680555555555556</v>
      </c>
      <c r="AM311" s="52"/>
      <c r="AN311" s="52"/>
      <c r="AO311" s="52"/>
      <c r="AP311" s="52"/>
      <c r="AQ311" s="52"/>
      <c r="AR311" s="52"/>
      <c r="AS311" s="52">
        <v>0</v>
      </c>
      <c r="AT311" s="52"/>
      <c r="AU311" s="52"/>
      <c r="AV311" s="52" t="s">
        <v>141</v>
      </c>
      <c r="AW311" s="52"/>
    </row>
    <row r="312" spans="1:49">
      <c r="A312" s="52">
        <v>6014900</v>
      </c>
      <c r="B312" s="52" t="s">
        <v>3716</v>
      </c>
      <c r="C312" s="52" t="s">
        <v>3698</v>
      </c>
      <c r="D312" s="53">
        <v>46157.708333333336</v>
      </c>
      <c r="E312" s="53">
        <v>46156.68472222222</v>
      </c>
      <c r="F312" s="53">
        <v>46157.881249999999</v>
      </c>
      <c r="G312" s="53">
        <v>46160.117361111108</v>
      </c>
      <c r="H312" s="52"/>
      <c r="I312" s="52"/>
      <c r="J312" s="52" t="s">
        <v>3694</v>
      </c>
      <c r="K312" s="53">
        <v>46159.588194444441</v>
      </c>
      <c r="L312" s="52"/>
      <c r="M312" s="54">
        <v>2.2361111111111112</v>
      </c>
      <c r="N312" s="55">
        <v>0.57499999999999996</v>
      </c>
      <c r="O312" s="52" t="s">
        <v>581</v>
      </c>
      <c r="P312" s="52" t="s">
        <v>72</v>
      </c>
      <c r="Q312" s="52" t="s">
        <v>580</v>
      </c>
      <c r="R312" s="52"/>
      <c r="S312" s="52" t="s">
        <v>69</v>
      </c>
      <c r="T312" s="52" t="s">
        <v>3924</v>
      </c>
      <c r="U312" s="52" t="s">
        <v>3926</v>
      </c>
      <c r="V312" s="52" t="s">
        <v>588</v>
      </c>
      <c r="W312" s="52">
        <v>1299241808</v>
      </c>
      <c r="X312" s="52" t="s">
        <v>73</v>
      </c>
      <c r="Y312" s="52"/>
      <c r="Z312" s="52" t="s">
        <v>3696</v>
      </c>
      <c r="AA312" s="52" t="s">
        <v>3710</v>
      </c>
      <c r="AB312" s="52"/>
      <c r="AC312" s="52" t="s">
        <v>3703</v>
      </c>
      <c r="AD312" s="52" t="s">
        <v>3704</v>
      </c>
      <c r="AE312" s="52" t="s">
        <v>140</v>
      </c>
      <c r="AF312" s="52" t="s">
        <v>3787</v>
      </c>
      <c r="AG312" s="52" t="s">
        <v>3788</v>
      </c>
      <c r="AH312" s="52"/>
      <c r="AI312" s="53">
        <v>46157.836805555555</v>
      </c>
      <c r="AJ312" s="53">
        <v>46158.273611111108</v>
      </c>
      <c r="AK312" s="53">
        <v>46157.836805555555</v>
      </c>
      <c r="AL312" s="55">
        <v>0.43680555555555556</v>
      </c>
      <c r="AM312" s="52"/>
      <c r="AN312" s="55">
        <v>0.43680555555555556</v>
      </c>
      <c r="AO312" s="52"/>
      <c r="AP312" s="55">
        <v>0.43680555555555556</v>
      </c>
      <c r="AQ312" s="52"/>
      <c r="AR312" s="52"/>
      <c r="AS312" s="52" t="s">
        <v>3696</v>
      </c>
      <c r="AT312" s="52"/>
      <c r="AU312" s="52"/>
      <c r="AV312" s="52"/>
      <c r="AW312" s="52"/>
    </row>
    <row r="313" spans="1:49">
      <c r="A313" s="52">
        <v>6014900</v>
      </c>
      <c r="B313" s="52" t="s">
        <v>3716</v>
      </c>
      <c r="C313" s="52" t="s">
        <v>3698</v>
      </c>
      <c r="D313" s="53">
        <v>46157.708333333336</v>
      </c>
      <c r="E313" s="53">
        <v>46156.68472222222</v>
      </c>
      <c r="F313" s="53">
        <v>46157.881249999999</v>
      </c>
      <c r="G313" s="53">
        <v>46160.117361111108</v>
      </c>
      <c r="H313" s="52"/>
      <c r="I313" s="52"/>
      <c r="J313" s="52" t="s">
        <v>3694</v>
      </c>
      <c r="K313" s="53">
        <v>46159.588194444441</v>
      </c>
      <c r="L313" s="52"/>
      <c r="M313" s="54">
        <v>2.2361111111111112</v>
      </c>
      <c r="N313" s="55">
        <v>0.57499999999999996</v>
      </c>
      <c r="O313" s="52" t="s">
        <v>581</v>
      </c>
      <c r="P313" s="52" t="s">
        <v>72</v>
      </c>
      <c r="Q313" s="52" t="s">
        <v>580</v>
      </c>
      <c r="R313" s="52"/>
      <c r="S313" s="52" t="s">
        <v>69</v>
      </c>
      <c r="T313" s="52" t="s">
        <v>3924</v>
      </c>
      <c r="U313" s="52" t="s">
        <v>3926</v>
      </c>
      <c r="V313" s="52" t="s">
        <v>588</v>
      </c>
      <c r="W313" s="52">
        <v>1299241808</v>
      </c>
      <c r="X313" s="52" t="s">
        <v>73</v>
      </c>
      <c r="Y313" s="52"/>
      <c r="Z313" s="52" t="s">
        <v>3696</v>
      </c>
      <c r="AA313" s="52" t="s">
        <v>3710</v>
      </c>
      <c r="AB313" s="52"/>
      <c r="AC313" s="52" t="s">
        <v>3703</v>
      </c>
      <c r="AD313" s="52" t="s">
        <v>3704</v>
      </c>
      <c r="AE313" s="52"/>
      <c r="AF313" s="52" t="s">
        <v>3787</v>
      </c>
      <c r="AG313" s="52" t="s">
        <v>3788</v>
      </c>
      <c r="AH313" s="52"/>
      <c r="AI313" s="53">
        <v>46157.836805555555</v>
      </c>
      <c r="AJ313" s="53">
        <v>46158.273611111108</v>
      </c>
      <c r="AK313" s="53">
        <v>46157.836805555555</v>
      </c>
      <c r="AL313" s="55">
        <v>0.43680555555555556</v>
      </c>
      <c r="AM313" s="52"/>
      <c r="AN313" s="55">
        <v>0.43680555555555556</v>
      </c>
      <c r="AO313" s="52"/>
      <c r="AP313" s="55">
        <v>0.43680555555555556</v>
      </c>
      <c r="AQ313" s="52"/>
      <c r="AR313" s="52"/>
      <c r="AS313" s="52" t="s">
        <v>3696</v>
      </c>
      <c r="AT313" s="52"/>
      <c r="AU313" s="52"/>
      <c r="AV313" s="52"/>
      <c r="AW313" s="52" t="s">
        <v>141</v>
      </c>
    </row>
    <row r="314" spans="1:49">
      <c r="A314" s="52">
        <v>6014905</v>
      </c>
      <c r="B314" s="52" t="s">
        <v>3723</v>
      </c>
      <c r="C314" s="52" t="s">
        <v>3692</v>
      </c>
      <c r="D314" s="53">
        <v>46154.375</v>
      </c>
      <c r="E314" s="53">
        <v>46153.586805555555</v>
      </c>
      <c r="F314" s="53">
        <v>46154.709722222222</v>
      </c>
      <c r="G314" s="53">
        <v>46160.334027777775</v>
      </c>
      <c r="H314" s="53">
        <v>46154.793055555558</v>
      </c>
      <c r="I314" s="52" t="s">
        <v>3693</v>
      </c>
      <c r="J314" s="52" t="s">
        <v>3693</v>
      </c>
      <c r="K314" s="53">
        <v>46154.793055555558</v>
      </c>
      <c r="L314" s="52" t="s">
        <v>3735</v>
      </c>
      <c r="M314" s="55">
        <v>8.3333333333333329E-2</v>
      </c>
      <c r="N314" s="54">
        <v>2.7104166666666667</v>
      </c>
      <c r="O314" s="52"/>
      <c r="P314" s="52"/>
      <c r="Q314" s="52"/>
      <c r="R314" s="52"/>
      <c r="S314" s="52"/>
      <c r="T314" s="52" t="s">
        <v>3736</v>
      </c>
      <c r="U314" s="52" t="s">
        <v>3695</v>
      </c>
      <c r="V314" s="52"/>
      <c r="W314" s="52"/>
      <c r="X314" s="52"/>
      <c r="Y314" s="52"/>
      <c r="Z314" s="52" t="s">
        <v>3696</v>
      </c>
      <c r="AA314" s="52" t="s">
        <v>1246</v>
      </c>
      <c r="AB314" s="52" t="s">
        <v>140</v>
      </c>
      <c r="AC314" s="52" t="s">
        <v>3703</v>
      </c>
      <c r="AD314" s="52" t="s">
        <v>3704</v>
      </c>
      <c r="AE314" s="52"/>
      <c r="AF314" s="52" t="s">
        <v>3737</v>
      </c>
      <c r="AG314" s="52" t="s">
        <v>3704</v>
      </c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>
        <v>0</v>
      </c>
      <c r="AT314" s="52"/>
      <c r="AU314" s="52"/>
      <c r="AV314" s="52" t="s">
        <v>1296</v>
      </c>
      <c r="AW314" s="52"/>
    </row>
    <row r="315" spans="1:49">
      <c r="A315" s="52">
        <v>6014905</v>
      </c>
      <c r="B315" s="52" t="s">
        <v>3723</v>
      </c>
      <c r="C315" s="52" t="s">
        <v>3698</v>
      </c>
      <c r="D315" s="53">
        <v>46154.375</v>
      </c>
      <c r="E315" s="53">
        <v>46153.586805555555</v>
      </c>
      <c r="F315" s="53">
        <v>46154.729166666664</v>
      </c>
      <c r="G315" s="53">
        <v>46160.334027777775</v>
      </c>
      <c r="H315" s="53">
        <v>46154.829861111109</v>
      </c>
      <c r="I315" s="52"/>
      <c r="J315" s="52" t="s">
        <v>3693</v>
      </c>
      <c r="K315" s="53">
        <v>46154.793055555558</v>
      </c>
      <c r="L315" s="52"/>
      <c r="M315" s="54">
        <v>5.6048611111111111</v>
      </c>
      <c r="N315" s="54">
        <v>3.7270833333333333</v>
      </c>
      <c r="O315" s="52" t="s">
        <v>3087</v>
      </c>
      <c r="P315" s="52" t="s">
        <v>1246</v>
      </c>
      <c r="Q315" s="52" t="s">
        <v>1955</v>
      </c>
      <c r="R315" s="52"/>
      <c r="S315" s="52" t="s">
        <v>789</v>
      </c>
      <c r="T315" s="52" t="s">
        <v>3736</v>
      </c>
      <c r="U315" s="52" t="s">
        <v>3695</v>
      </c>
      <c r="V315" s="52" t="s">
        <v>3088</v>
      </c>
      <c r="W315" s="52">
        <v>1880816237</v>
      </c>
      <c r="X315" s="52" t="s">
        <v>73</v>
      </c>
      <c r="Y315" s="52" t="s">
        <v>3738</v>
      </c>
      <c r="Z315" s="52" t="s">
        <v>3696</v>
      </c>
      <c r="AA315" s="52" t="s">
        <v>3710</v>
      </c>
      <c r="AB315" s="52"/>
      <c r="AC315" s="52" t="s">
        <v>3703</v>
      </c>
      <c r="AD315" s="52" t="s">
        <v>3704</v>
      </c>
      <c r="AE315" s="52" t="s">
        <v>140</v>
      </c>
      <c r="AF315" s="52" t="s">
        <v>3737</v>
      </c>
      <c r="AG315" s="52" t="s">
        <v>3704</v>
      </c>
      <c r="AH315" s="52"/>
      <c r="AI315" s="52"/>
      <c r="AJ315" s="52"/>
      <c r="AK315" s="52"/>
      <c r="AL315" s="55">
        <v>3.6805555555555557E-2</v>
      </c>
      <c r="AM315" s="52"/>
      <c r="AN315" s="52"/>
      <c r="AO315" s="55">
        <v>3.6805555555555557E-2</v>
      </c>
      <c r="AP315" s="55">
        <v>3.6805555555555557E-2</v>
      </c>
      <c r="AQ315" s="52"/>
      <c r="AR315" s="52"/>
      <c r="AS315" s="52" t="s">
        <v>3696</v>
      </c>
      <c r="AT315" s="52"/>
      <c r="AU315" s="52"/>
      <c r="AV315" s="52"/>
      <c r="AW315" s="52"/>
    </row>
    <row r="316" spans="1:49">
      <c r="A316" s="52">
        <v>6014905</v>
      </c>
      <c r="B316" s="52" t="s">
        <v>3723</v>
      </c>
      <c r="C316" s="52" t="s">
        <v>3698</v>
      </c>
      <c r="D316" s="53">
        <v>46154.375</v>
      </c>
      <c r="E316" s="53">
        <v>46153.586805555555</v>
      </c>
      <c r="F316" s="53">
        <v>46154.729166666664</v>
      </c>
      <c r="G316" s="53">
        <v>46160.334027777775</v>
      </c>
      <c r="H316" s="53">
        <v>46154.829861111109</v>
      </c>
      <c r="I316" s="52"/>
      <c r="J316" s="52" t="s">
        <v>3693</v>
      </c>
      <c r="K316" s="53">
        <v>46154.793055555558</v>
      </c>
      <c r="L316" s="52"/>
      <c r="M316" s="54">
        <v>5.6048611111111111</v>
      </c>
      <c r="N316" s="54">
        <v>3.7270833333333333</v>
      </c>
      <c r="O316" s="52" t="s">
        <v>3087</v>
      </c>
      <c r="P316" s="52" t="s">
        <v>1246</v>
      </c>
      <c r="Q316" s="52" t="s">
        <v>1955</v>
      </c>
      <c r="R316" s="52"/>
      <c r="S316" s="52" t="s">
        <v>789</v>
      </c>
      <c r="T316" s="52" t="s">
        <v>3736</v>
      </c>
      <c r="U316" s="52" t="s">
        <v>3695</v>
      </c>
      <c r="V316" s="52" t="s">
        <v>3088</v>
      </c>
      <c r="W316" s="52">
        <v>1880816237</v>
      </c>
      <c r="X316" s="52" t="s">
        <v>73</v>
      </c>
      <c r="Y316" s="52" t="s">
        <v>3738</v>
      </c>
      <c r="Z316" s="52" t="s">
        <v>3696</v>
      </c>
      <c r="AA316" s="52" t="s">
        <v>3710</v>
      </c>
      <c r="AB316" s="52"/>
      <c r="AC316" s="52" t="s">
        <v>3703</v>
      </c>
      <c r="AD316" s="52" t="s">
        <v>3704</v>
      </c>
      <c r="AE316" s="52"/>
      <c r="AF316" s="52" t="s">
        <v>3737</v>
      </c>
      <c r="AG316" s="52" t="s">
        <v>3704</v>
      </c>
      <c r="AH316" s="52"/>
      <c r="AI316" s="52"/>
      <c r="AJ316" s="52"/>
      <c r="AK316" s="52"/>
      <c r="AL316" s="55">
        <v>3.6805555555555557E-2</v>
      </c>
      <c r="AM316" s="52"/>
      <c r="AN316" s="52"/>
      <c r="AO316" s="55">
        <v>3.6805555555555557E-2</v>
      </c>
      <c r="AP316" s="55">
        <v>3.6805555555555557E-2</v>
      </c>
      <c r="AQ316" s="52"/>
      <c r="AR316" s="52"/>
      <c r="AS316" s="52" t="s">
        <v>3696</v>
      </c>
      <c r="AT316" s="52"/>
      <c r="AU316" s="52"/>
      <c r="AV316" s="52"/>
      <c r="AW316" s="52" t="s">
        <v>1296</v>
      </c>
    </row>
    <row r="317" spans="1:49">
      <c r="A317" s="52">
        <v>6014907</v>
      </c>
      <c r="B317" s="52" t="s">
        <v>3716</v>
      </c>
      <c r="C317" s="52" t="s">
        <v>3717</v>
      </c>
      <c r="D317" s="53">
        <v>46157.833333333336</v>
      </c>
      <c r="E317" s="53">
        <v>46156.68472222222</v>
      </c>
      <c r="F317" s="53">
        <v>46157.925000000003</v>
      </c>
      <c r="G317" s="53">
        <v>46160.184027777781</v>
      </c>
      <c r="H317" s="53">
        <v>46157.927083333336</v>
      </c>
      <c r="I317" s="52" t="s">
        <v>3693</v>
      </c>
      <c r="J317" s="52" t="s">
        <v>3694</v>
      </c>
      <c r="K317" s="52"/>
      <c r="L317" s="52"/>
      <c r="M317" s="54">
        <v>1.0659722222222223</v>
      </c>
      <c r="N317" s="54">
        <v>1.7277777777777779</v>
      </c>
      <c r="O317" s="52"/>
      <c r="P317" s="52"/>
      <c r="Q317" s="52"/>
      <c r="R317" s="52"/>
      <c r="S317" s="52"/>
      <c r="T317" s="52" t="s">
        <v>3927</v>
      </c>
      <c r="U317" s="52" t="s">
        <v>3928</v>
      </c>
      <c r="V317" s="52"/>
      <c r="W317" s="52"/>
      <c r="X317" s="52"/>
      <c r="Y317" s="52"/>
      <c r="Z317" s="52" t="s">
        <v>3696</v>
      </c>
      <c r="AA317" s="52" t="s">
        <v>72</v>
      </c>
      <c r="AB317" s="52" t="s">
        <v>140</v>
      </c>
      <c r="AC317" s="52" t="s">
        <v>3703</v>
      </c>
      <c r="AD317" s="52" t="s">
        <v>3704</v>
      </c>
      <c r="AE317" s="52"/>
      <c r="AF317" s="52" t="s">
        <v>3703</v>
      </c>
      <c r="AG317" s="52" t="s">
        <v>3704</v>
      </c>
      <c r="AH317" s="52"/>
      <c r="AI317" s="52"/>
      <c r="AJ317" s="52"/>
      <c r="AK317" s="52"/>
      <c r="AL317" s="55">
        <v>0.3923611111111111</v>
      </c>
      <c r="AM317" s="52"/>
      <c r="AN317" s="52"/>
      <c r="AO317" s="52"/>
      <c r="AP317" s="52"/>
      <c r="AQ317" s="52"/>
      <c r="AR317" s="52"/>
      <c r="AS317" s="52">
        <v>0</v>
      </c>
      <c r="AT317" s="52"/>
      <c r="AU317" s="52"/>
      <c r="AV317" s="52" t="s">
        <v>690</v>
      </c>
      <c r="AW317" s="52"/>
    </row>
    <row r="318" spans="1:49">
      <c r="A318" s="52">
        <v>6014907</v>
      </c>
      <c r="B318" s="52" t="s">
        <v>3716</v>
      </c>
      <c r="C318" s="52" t="s">
        <v>3698</v>
      </c>
      <c r="D318" s="53">
        <v>46157.833333333336</v>
      </c>
      <c r="E318" s="53">
        <v>46156.68472222222</v>
      </c>
      <c r="F318" s="53">
        <v>46157.938194444447</v>
      </c>
      <c r="G318" s="53">
        <v>46158.824305555558</v>
      </c>
      <c r="H318" s="52"/>
      <c r="I318" s="52"/>
      <c r="J318" s="52" t="s">
        <v>3694</v>
      </c>
      <c r="K318" s="53">
        <v>46158.958333333336</v>
      </c>
      <c r="L318" s="52"/>
      <c r="M318" s="55">
        <v>0.88611111111111107</v>
      </c>
      <c r="N318" s="55">
        <v>0.5180555555555556</v>
      </c>
      <c r="O318" s="52" t="s">
        <v>686</v>
      </c>
      <c r="P318" s="52" t="s">
        <v>72</v>
      </c>
      <c r="Q318" s="52" t="s">
        <v>685</v>
      </c>
      <c r="R318" s="52" t="s">
        <v>693</v>
      </c>
      <c r="S318" s="52" t="s">
        <v>69</v>
      </c>
      <c r="T318" s="52" t="s">
        <v>3927</v>
      </c>
      <c r="U318" s="52" t="s">
        <v>3928</v>
      </c>
      <c r="V318" s="52" t="s">
        <v>3929</v>
      </c>
      <c r="W318" s="52">
        <v>31219651826</v>
      </c>
      <c r="X318" s="52" t="s">
        <v>73</v>
      </c>
      <c r="Y318" s="52" t="s">
        <v>3930</v>
      </c>
      <c r="Z318" s="52" t="s">
        <v>3696</v>
      </c>
      <c r="AA318" s="52" t="s">
        <v>3710</v>
      </c>
      <c r="AB318" s="52"/>
      <c r="AC318" s="52" t="s">
        <v>3703</v>
      </c>
      <c r="AD318" s="52" t="s">
        <v>3704</v>
      </c>
      <c r="AE318" s="52" t="s">
        <v>140</v>
      </c>
      <c r="AF318" s="52" t="s">
        <v>3931</v>
      </c>
      <c r="AG318" s="52" t="s">
        <v>3766</v>
      </c>
      <c r="AH318" s="52"/>
      <c r="AI318" s="53">
        <v>46157.927083333336</v>
      </c>
      <c r="AJ318" s="53">
        <v>46158.319444444445</v>
      </c>
      <c r="AK318" s="53">
        <v>46157.927083333336</v>
      </c>
      <c r="AL318" s="55">
        <v>0.3923611111111111</v>
      </c>
      <c r="AM318" s="52"/>
      <c r="AN318" s="55">
        <v>0.3923611111111111</v>
      </c>
      <c r="AO318" s="52"/>
      <c r="AP318" s="55">
        <v>0.3923611111111111</v>
      </c>
      <c r="AQ318" s="52"/>
      <c r="AR318" s="52"/>
      <c r="AS318" s="52" t="s">
        <v>3696</v>
      </c>
      <c r="AT318" s="52"/>
      <c r="AU318" s="52"/>
      <c r="AV318" s="52"/>
      <c r="AW318" s="52"/>
    </row>
    <row r="319" spans="1:49">
      <c r="A319" s="52">
        <v>6014907</v>
      </c>
      <c r="B319" s="52" t="s">
        <v>3716</v>
      </c>
      <c r="C319" s="52" t="s">
        <v>3698</v>
      </c>
      <c r="D319" s="53">
        <v>46157.833333333336</v>
      </c>
      <c r="E319" s="53">
        <v>46156.68472222222</v>
      </c>
      <c r="F319" s="53">
        <v>46157.938194444447</v>
      </c>
      <c r="G319" s="53">
        <v>46158.824305555558</v>
      </c>
      <c r="H319" s="52"/>
      <c r="I319" s="52"/>
      <c r="J319" s="52" t="s">
        <v>3694</v>
      </c>
      <c r="K319" s="53">
        <v>46158.958333333336</v>
      </c>
      <c r="L319" s="52"/>
      <c r="M319" s="55">
        <v>0.88611111111111107</v>
      </c>
      <c r="N319" s="55">
        <v>0.5180555555555556</v>
      </c>
      <c r="O319" s="52" t="s">
        <v>686</v>
      </c>
      <c r="P319" s="52" t="s">
        <v>72</v>
      </c>
      <c r="Q319" s="52" t="s">
        <v>685</v>
      </c>
      <c r="R319" s="52" t="s">
        <v>693</v>
      </c>
      <c r="S319" s="52" t="s">
        <v>69</v>
      </c>
      <c r="T319" s="52" t="s">
        <v>3927</v>
      </c>
      <c r="U319" s="52" t="s">
        <v>3928</v>
      </c>
      <c r="V319" s="52" t="s">
        <v>3929</v>
      </c>
      <c r="W319" s="52">
        <v>31219651826</v>
      </c>
      <c r="X319" s="52" t="s">
        <v>73</v>
      </c>
      <c r="Y319" s="52" t="s">
        <v>3930</v>
      </c>
      <c r="Z319" s="52" t="s">
        <v>3696</v>
      </c>
      <c r="AA319" s="52" t="s">
        <v>3710</v>
      </c>
      <c r="AB319" s="52"/>
      <c r="AC319" s="52" t="s">
        <v>3703</v>
      </c>
      <c r="AD319" s="52" t="s">
        <v>3704</v>
      </c>
      <c r="AE319" s="52"/>
      <c r="AF319" s="52" t="s">
        <v>3931</v>
      </c>
      <c r="AG319" s="52" t="s">
        <v>3766</v>
      </c>
      <c r="AH319" s="52"/>
      <c r="AI319" s="53">
        <v>46157.927083333336</v>
      </c>
      <c r="AJ319" s="53">
        <v>46158.319444444445</v>
      </c>
      <c r="AK319" s="53">
        <v>46157.927083333336</v>
      </c>
      <c r="AL319" s="55">
        <v>0.3923611111111111</v>
      </c>
      <c r="AM319" s="52"/>
      <c r="AN319" s="55">
        <v>0.3923611111111111</v>
      </c>
      <c r="AO319" s="52"/>
      <c r="AP319" s="55">
        <v>0.3923611111111111</v>
      </c>
      <c r="AQ319" s="52"/>
      <c r="AR319" s="52"/>
      <c r="AS319" s="52" t="s">
        <v>3696</v>
      </c>
      <c r="AT319" s="52"/>
      <c r="AU319" s="52"/>
      <c r="AV319" s="52"/>
      <c r="AW319" s="52" t="s">
        <v>690</v>
      </c>
    </row>
    <row r="320" spans="1:49">
      <c r="A320" s="52">
        <v>6014913</v>
      </c>
      <c r="B320" s="52" t="s">
        <v>3716</v>
      </c>
      <c r="C320" s="52" t="s">
        <v>3692</v>
      </c>
      <c r="D320" s="53">
        <v>46157.75</v>
      </c>
      <c r="E320" s="53">
        <v>46156.68472222222</v>
      </c>
      <c r="F320" s="53">
        <v>46158.370138888888</v>
      </c>
      <c r="G320" s="53">
        <v>46161.958333333336</v>
      </c>
      <c r="H320" s="52"/>
      <c r="I320" s="52" t="s">
        <v>3693</v>
      </c>
      <c r="J320" s="52" t="s">
        <v>3694</v>
      </c>
      <c r="K320" s="53">
        <v>46159.021527777775</v>
      </c>
      <c r="L320" s="52"/>
      <c r="M320" s="55">
        <v>0.44236111111111109</v>
      </c>
      <c r="N320" s="54">
        <v>2.4347222222222222</v>
      </c>
      <c r="O320" s="52"/>
      <c r="P320" s="52"/>
      <c r="Q320" s="52"/>
      <c r="R320" s="52"/>
      <c r="S320" s="52"/>
      <c r="T320" s="52" t="s">
        <v>3741</v>
      </c>
      <c r="U320" s="52" t="s">
        <v>3746</v>
      </c>
      <c r="V320" s="52"/>
      <c r="W320" s="52"/>
      <c r="X320" s="52"/>
      <c r="Y320" s="52"/>
      <c r="Z320" s="52" t="s">
        <v>3696</v>
      </c>
      <c r="AA320" s="52" t="s">
        <v>171</v>
      </c>
      <c r="AB320" s="52" t="s">
        <v>79</v>
      </c>
      <c r="AC320" s="52" t="s">
        <v>3720</v>
      </c>
      <c r="AD320" s="52" t="s">
        <v>3715</v>
      </c>
      <c r="AE320" s="52"/>
      <c r="AF320" s="52" t="s">
        <v>3737</v>
      </c>
      <c r="AG320" s="52" t="s">
        <v>3704</v>
      </c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>
        <v>0</v>
      </c>
      <c r="AT320" s="52"/>
      <c r="AU320" s="52"/>
      <c r="AV320" s="52" t="s">
        <v>327</v>
      </c>
      <c r="AW320" s="52"/>
    </row>
    <row r="321" spans="1:49">
      <c r="A321" s="52">
        <v>6014913</v>
      </c>
      <c r="B321" s="52" t="s">
        <v>3716</v>
      </c>
      <c r="C321" s="52" t="s">
        <v>3698</v>
      </c>
      <c r="D321" s="53">
        <v>46157.75</v>
      </c>
      <c r="E321" s="53">
        <v>46156.68472222222</v>
      </c>
      <c r="F321" s="53">
        <v>46158.395138888889</v>
      </c>
      <c r="G321" s="53">
        <v>46161.958333333336</v>
      </c>
      <c r="H321" s="52"/>
      <c r="I321" s="52"/>
      <c r="J321" s="52" t="s">
        <v>3694</v>
      </c>
      <c r="K321" s="53">
        <v>46159.021527777775</v>
      </c>
      <c r="L321" s="52"/>
      <c r="M321" s="54">
        <v>3.5631944444444446</v>
      </c>
      <c r="N321" s="55">
        <v>6.1111111111111109E-2</v>
      </c>
      <c r="O321" s="52" t="s">
        <v>745</v>
      </c>
      <c r="P321" s="52" t="s">
        <v>171</v>
      </c>
      <c r="Q321" s="52" t="s">
        <v>744</v>
      </c>
      <c r="R321" s="52" t="s">
        <v>753</v>
      </c>
      <c r="S321" s="52" t="s">
        <v>69</v>
      </c>
      <c r="T321" s="52" t="s">
        <v>3741</v>
      </c>
      <c r="U321" s="52" t="s">
        <v>3746</v>
      </c>
      <c r="V321" s="52" t="s">
        <v>3747</v>
      </c>
      <c r="W321" s="52">
        <v>54174724253</v>
      </c>
      <c r="X321" s="52" t="s">
        <v>73</v>
      </c>
      <c r="Y321" s="52"/>
      <c r="Z321" s="52" t="s">
        <v>3696</v>
      </c>
      <c r="AA321" s="52" t="s">
        <v>3710</v>
      </c>
      <c r="AB321" s="52"/>
      <c r="AC321" s="52" t="s">
        <v>3720</v>
      </c>
      <c r="AD321" s="52" t="s">
        <v>3715</v>
      </c>
      <c r="AE321" s="52" t="s">
        <v>79</v>
      </c>
      <c r="AF321" s="52" t="s">
        <v>3737</v>
      </c>
      <c r="AG321" s="52" t="s">
        <v>3704</v>
      </c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 t="s">
        <v>3696</v>
      </c>
      <c r="AT321" s="52"/>
      <c r="AU321" s="52"/>
      <c r="AV321" s="52"/>
      <c r="AW321" s="52"/>
    </row>
    <row r="322" spans="1:49">
      <c r="A322" s="52">
        <v>6014913</v>
      </c>
      <c r="B322" s="52" t="s">
        <v>3716</v>
      </c>
      <c r="C322" s="52" t="s">
        <v>3698</v>
      </c>
      <c r="D322" s="53">
        <v>46157.75</v>
      </c>
      <c r="E322" s="53">
        <v>46156.68472222222</v>
      </c>
      <c r="F322" s="53">
        <v>46158.395138888889</v>
      </c>
      <c r="G322" s="53">
        <v>46161.958333333336</v>
      </c>
      <c r="H322" s="52"/>
      <c r="I322" s="52"/>
      <c r="J322" s="52" t="s">
        <v>3694</v>
      </c>
      <c r="K322" s="53">
        <v>46159.021527777775</v>
      </c>
      <c r="L322" s="52"/>
      <c r="M322" s="54">
        <v>3.5631944444444446</v>
      </c>
      <c r="N322" s="55">
        <v>6.1111111111111109E-2</v>
      </c>
      <c r="O322" s="52" t="s">
        <v>745</v>
      </c>
      <c r="P322" s="52" t="s">
        <v>171</v>
      </c>
      <c r="Q322" s="52" t="s">
        <v>744</v>
      </c>
      <c r="R322" s="52" t="s">
        <v>753</v>
      </c>
      <c r="S322" s="52" t="s">
        <v>69</v>
      </c>
      <c r="T322" s="52" t="s">
        <v>3741</v>
      </c>
      <c r="U322" s="52" t="s">
        <v>3746</v>
      </c>
      <c r="V322" s="52" t="s">
        <v>3747</v>
      </c>
      <c r="W322" s="52">
        <v>54174724253</v>
      </c>
      <c r="X322" s="52" t="s">
        <v>73</v>
      </c>
      <c r="Y322" s="52"/>
      <c r="Z322" s="52" t="s">
        <v>3696</v>
      </c>
      <c r="AA322" s="52" t="s">
        <v>3710</v>
      </c>
      <c r="AB322" s="52"/>
      <c r="AC322" s="52" t="s">
        <v>3720</v>
      </c>
      <c r="AD322" s="52" t="s">
        <v>3715</v>
      </c>
      <c r="AE322" s="52"/>
      <c r="AF322" s="52" t="s">
        <v>3737</v>
      </c>
      <c r="AG322" s="52" t="s">
        <v>3704</v>
      </c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 t="s">
        <v>3696</v>
      </c>
      <c r="AT322" s="52"/>
      <c r="AU322" s="52"/>
      <c r="AV322" s="52"/>
      <c r="AW322" s="52" t="s">
        <v>327</v>
      </c>
    </row>
    <row r="323" spans="1:49">
      <c r="A323" s="52">
        <v>6014918</v>
      </c>
      <c r="B323" s="52" t="s">
        <v>3691</v>
      </c>
      <c r="C323" s="52" t="s">
        <v>3692</v>
      </c>
      <c r="D323" s="53">
        <v>46157.4375</v>
      </c>
      <c r="E323" s="53">
        <v>46156.68472222222</v>
      </c>
      <c r="F323" s="52"/>
      <c r="G323" s="52"/>
      <c r="H323" s="52"/>
      <c r="I323" s="52" t="s">
        <v>3693</v>
      </c>
      <c r="J323" s="52" t="s">
        <v>3694</v>
      </c>
      <c r="K323" s="52"/>
      <c r="L323" s="52"/>
      <c r="M323" s="54">
        <v>4.333333333333333</v>
      </c>
      <c r="N323" s="55">
        <v>0.50208333333333333</v>
      </c>
      <c r="O323" s="52"/>
      <c r="P323" s="52"/>
      <c r="Q323" s="52"/>
      <c r="R323" s="52"/>
      <c r="S323" s="52"/>
      <c r="T323" s="52" t="s">
        <v>3695</v>
      </c>
      <c r="U323" s="52" t="s">
        <v>3695</v>
      </c>
      <c r="V323" s="52"/>
      <c r="W323" s="52"/>
      <c r="X323" s="52"/>
      <c r="Y323" s="52"/>
      <c r="Z323" s="52" t="s">
        <v>3696</v>
      </c>
      <c r="AA323" s="52" t="s">
        <v>216</v>
      </c>
      <c r="AB323" s="52" t="s">
        <v>79</v>
      </c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>
        <v>0</v>
      </c>
      <c r="AT323" s="52"/>
      <c r="AU323" s="52"/>
      <c r="AV323" s="52" t="s">
        <v>198</v>
      </c>
      <c r="AW323" s="52"/>
    </row>
    <row r="324" spans="1:49">
      <c r="A324" s="52">
        <v>6014918</v>
      </c>
      <c r="B324" s="52" t="s">
        <v>3691</v>
      </c>
      <c r="C324" s="52" t="s">
        <v>3698</v>
      </c>
      <c r="D324" s="53">
        <v>46157.4375</v>
      </c>
      <c r="E324" s="53">
        <v>46156.68472222222</v>
      </c>
      <c r="F324" s="52"/>
      <c r="G324" s="52"/>
      <c r="H324" s="52"/>
      <c r="I324" s="52"/>
      <c r="J324" s="52" t="s">
        <v>3694</v>
      </c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 t="s">
        <v>3696</v>
      </c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>
        <v>0</v>
      </c>
      <c r="AT324" s="52"/>
      <c r="AU324" s="52"/>
      <c r="AV324" s="52"/>
      <c r="AW324" s="52"/>
    </row>
    <row r="325" spans="1:49">
      <c r="A325" s="52">
        <v>6014921</v>
      </c>
      <c r="B325" s="52" t="s">
        <v>3691</v>
      </c>
      <c r="C325" s="52" t="s">
        <v>3692</v>
      </c>
      <c r="D325" s="53">
        <v>46157.708333333336</v>
      </c>
      <c r="E325" s="53">
        <v>46156.68472222222</v>
      </c>
      <c r="F325" s="52"/>
      <c r="G325" s="52"/>
      <c r="H325" s="52"/>
      <c r="I325" s="52" t="s">
        <v>3693</v>
      </c>
      <c r="J325" s="52" t="s">
        <v>3694</v>
      </c>
      <c r="K325" s="52"/>
      <c r="L325" s="52"/>
      <c r="M325" s="54">
        <v>2.004861111111111</v>
      </c>
      <c r="N325" s="54">
        <v>1.8722222222222222</v>
      </c>
      <c r="O325" s="52"/>
      <c r="P325" s="52"/>
      <c r="Q325" s="52"/>
      <c r="R325" s="52"/>
      <c r="S325" s="52"/>
      <c r="T325" s="52" t="s">
        <v>3695</v>
      </c>
      <c r="U325" s="52" t="s">
        <v>3695</v>
      </c>
      <c r="V325" s="52"/>
      <c r="W325" s="52"/>
      <c r="X325" s="52"/>
      <c r="Y325" s="52"/>
      <c r="Z325" s="52" t="s">
        <v>3696</v>
      </c>
      <c r="AA325" s="52" t="s">
        <v>102</v>
      </c>
      <c r="AB325" s="52" t="s">
        <v>79</v>
      </c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>
        <v>0</v>
      </c>
      <c r="AT325" s="52"/>
      <c r="AU325" s="52"/>
      <c r="AV325" s="52" t="s">
        <v>2874</v>
      </c>
      <c r="AW325" s="52"/>
    </row>
    <row r="326" spans="1:49">
      <c r="A326" s="52">
        <v>6014921</v>
      </c>
      <c r="B326" s="52" t="s">
        <v>3691</v>
      </c>
      <c r="C326" s="52" t="s">
        <v>3698</v>
      </c>
      <c r="D326" s="53">
        <v>46157.708333333336</v>
      </c>
      <c r="E326" s="53">
        <v>46156.68472222222</v>
      </c>
      <c r="F326" s="52"/>
      <c r="G326" s="52"/>
      <c r="H326" s="52"/>
      <c r="I326" s="52"/>
      <c r="J326" s="52" t="s">
        <v>3694</v>
      </c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 t="s">
        <v>3696</v>
      </c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>
        <v>0</v>
      </c>
      <c r="AT326" s="52"/>
      <c r="AU326" s="52"/>
      <c r="AV326" s="52"/>
      <c r="AW326" s="52"/>
    </row>
    <row r="327" spans="1:49">
      <c r="A327" s="52">
        <v>6014922</v>
      </c>
      <c r="B327" s="52" t="s">
        <v>3691</v>
      </c>
      <c r="C327" s="52" t="s">
        <v>3692</v>
      </c>
      <c r="D327" s="53">
        <v>46155.75</v>
      </c>
      <c r="E327" s="53">
        <v>46155.502083333333</v>
      </c>
      <c r="F327" s="52"/>
      <c r="G327" s="52"/>
      <c r="H327" s="52"/>
      <c r="I327" s="52" t="s">
        <v>3693</v>
      </c>
      <c r="J327" s="52" t="s">
        <v>3694</v>
      </c>
      <c r="K327" s="52"/>
      <c r="L327" s="52"/>
      <c r="M327" s="54">
        <v>6.84375</v>
      </c>
      <c r="N327" s="54">
        <v>5.9083333333333332</v>
      </c>
      <c r="O327" s="52"/>
      <c r="P327" s="52"/>
      <c r="Q327" s="52"/>
      <c r="R327" s="52"/>
      <c r="S327" s="52"/>
      <c r="T327" s="52" t="s">
        <v>3695</v>
      </c>
      <c r="U327" s="52" t="s">
        <v>3695</v>
      </c>
      <c r="V327" s="52"/>
      <c r="W327" s="52"/>
      <c r="X327" s="52"/>
      <c r="Y327" s="52"/>
      <c r="Z327" s="52" t="s">
        <v>3696</v>
      </c>
      <c r="AA327" s="52" t="s">
        <v>836</v>
      </c>
      <c r="AB327" s="52" t="s">
        <v>79</v>
      </c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>
        <v>0</v>
      </c>
      <c r="AT327" s="52"/>
      <c r="AU327" s="52"/>
      <c r="AV327" s="52" t="s">
        <v>840</v>
      </c>
      <c r="AW327" s="52"/>
    </row>
    <row r="328" spans="1:49">
      <c r="A328" s="52">
        <v>6014922</v>
      </c>
      <c r="B328" s="52" t="s">
        <v>3691</v>
      </c>
      <c r="C328" s="52" t="s">
        <v>3698</v>
      </c>
      <c r="D328" s="53">
        <v>46155.75</v>
      </c>
      <c r="E328" s="53">
        <v>46155.502083333333</v>
      </c>
      <c r="F328" s="52"/>
      <c r="G328" s="52"/>
      <c r="H328" s="52"/>
      <c r="I328" s="52"/>
      <c r="J328" s="52" t="s">
        <v>3694</v>
      </c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 t="s">
        <v>3696</v>
      </c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>
        <v>0</v>
      </c>
      <c r="AT328" s="52"/>
      <c r="AU328" s="52"/>
      <c r="AV328" s="52"/>
      <c r="AW328" s="52"/>
    </row>
    <row r="329" spans="1:49">
      <c r="A329" s="52">
        <v>6014923</v>
      </c>
      <c r="B329" s="52" t="s">
        <v>3723</v>
      </c>
      <c r="C329" s="52" t="s">
        <v>3717</v>
      </c>
      <c r="D329" s="53">
        <v>46154.416666666664</v>
      </c>
      <c r="E329" s="53">
        <v>46153.586805555555</v>
      </c>
      <c r="F329" s="53">
        <v>46154.677777777775</v>
      </c>
      <c r="G329" s="53">
        <v>46156.25</v>
      </c>
      <c r="H329" s="52"/>
      <c r="I329" s="52" t="s">
        <v>3693</v>
      </c>
      <c r="J329" s="52" t="s">
        <v>3693</v>
      </c>
      <c r="K329" s="53">
        <v>46154.981249999997</v>
      </c>
      <c r="L329" s="52"/>
      <c r="M329" s="55">
        <v>0.22916666666666666</v>
      </c>
      <c r="N329" s="54">
        <v>2.4354166666666668</v>
      </c>
      <c r="O329" s="52"/>
      <c r="P329" s="52"/>
      <c r="Q329" s="52"/>
      <c r="R329" s="52"/>
      <c r="S329" s="52"/>
      <c r="T329" s="52" t="s">
        <v>3932</v>
      </c>
      <c r="U329" s="52" t="s">
        <v>3933</v>
      </c>
      <c r="V329" s="52"/>
      <c r="W329" s="52"/>
      <c r="X329" s="52"/>
      <c r="Y329" s="52"/>
      <c r="Z329" s="52" t="s">
        <v>3696</v>
      </c>
      <c r="AA329" s="52" t="s">
        <v>227</v>
      </c>
      <c r="AB329" s="52" t="s">
        <v>79</v>
      </c>
      <c r="AC329" s="52" t="s">
        <v>3720</v>
      </c>
      <c r="AD329" s="52" t="s">
        <v>3715</v>
      </c>
      <c r="AE329" s="52"/>
      <c r="AF329" s="52" t="s">
        <v>3934</v>
      </c>
      <c r="AG329" s="52" t="s">
        <v>3715</v>
      </c>
      <c r="AH329" s="52"/>
      <c r="AI329" s="52"/>
      <c r="AJ329" s="52"/>
      <c r="AK329" s="52"/>
      <c r="AL329" s="55">
        <v>6.9444444444444441E-3</v>
      </c>
      <c r="AM329" s="52"/>
      <c r="AN329" s="52"/>
      <c r="AO329" s="52"/>
      <c r="AP329" s="52"/>
      <c r="AQ329" s="52"/>
      <c r="AR329" s="52"/>
      <c r="AS329" s="52">
        <v>0</v>
      </c>
      <c r="AT329" s="52"/>
      <c r="AU329" s="52"/>
      <c r="AV329" s="52" t="s">
        <v>1660</v>
      </c>
      <c r="AW329" s="52"/>
    </row>
    <row r="330" spans="1:49">
      <c r="A330" s="52">
        <v>6014923</v>
      </c>
      <c r="B330" s="52" t="s">
        <v>3723</v>
      </c>
      <c r="C330" s="52" t="s">
        <v>3698</v>
      </c>
      <c r="D330" s="53">
        <v>46154.416666666664</v>
      </c>
      <c r="E330" s="53">
        <v>46153.586805555555</v>
      </c>
      <c r="F330" s="53">
        <v>46154.679861111108</v>
      </c>
      <c r="G330" s="53">
        <v>46156.25</v>
      </c>
      <c r="H330" s="53">
        <v>46154.811805555553</v>
      </c>
      <c r="I330" s="52"/>
      <c r="J330" s="52" t="s">
        <v>3693</v>
      </c>
      <c r="K330" s="53">
        <v>46154.981249999997</v>
      </c>
      <c r="L330" s="52"/>
      <c r="M330" s="54">
        <v>1.570138888888889</v>
      </c>
      <c r="N330" s="54">
        <v>3.776388888888889</v>
      </c>
      <c r="O330" s="52" t="s">
        <v>3078</v>
      </c>
      <c r="P330" s="52" t="s">
        <v>227</v>
      </c>
      <c r="Q330" s="52" t="s">
        <v>2028</v>
      </c>
      <c r="R330" s="52" t="s">
        <v>1496</v>
      </c>
      <c r="S330" s="52" t="s">
        <v>789</v>
      </c>
      <c r="T330" s="52" t="s">
        <v>3932</v>
      </c>
      <c r="U330" s="52" t="s">
        <v>3933</v>
      </c>
      <c r="V330" s="52" t="s">
        <v>2032</v>
      </c>
      <c r="W330" s="52">
        <v>60372788904</v>
      </c>
      <c r="X330" s="52" t="s">
        <v>73</v>
      </c>
      <c r="Y330" s="52"/>
      <c r="Z330" s="52" t="s">
        <v>3696</v>
      </c>
      <c r="AA330" s="52" t="s">
        <v>3710</v>
      </c>
      <c r="AB330" s="52"/>
      <c r="AC330" s="52" t="s">
        <v>3720</v>
      </c>
      <c r="AD330" s="52" t="s">
        <v>3715</v>
      </c>
      <c r="AE330" s="52" t="s">
        <v>79</v>
      </c>
      <c r="AF330" s="52" t="s">
        <v>3934</v>
      </c>
      <c r="AG330" s="52" t="s">
        <v>3715</v>
      </c>
      <c r="AH330" s="52"/>
      <c r="AI330" s="53">
        <v>46154.681944444441</v>
      </c>
      <c r="AJ330" s="53">
        <v>46154.688888888886</v>
      </c>
      <c r="AK330" s="53">
        <v>46154.681944444441</v>
      </c>
      <c r="AL330" s="55">
        <v>1.6666666666666666E-2</v>
      </c>
      <c r="AM330" s="52"/>
      <c r="AN330" s="55">
        <v>6.9444444444444441E-3</v>
      </c>
      <c r="AO330" s="52"/>
      <c r="AP330" s="55">
        <v>1.6666666666666666E-2</v>
      </c>
      <c r="AQ330" s="52"/>
      <c r="AR330" s="52"/>
      <c r="AS330" s="52" t="s">
        <v>3696</v>
      </c>
      <c r="AT330" s="52"/>
      <c r="AU330" s="52"/>
      <c r="AV330" s="52"/>
      <c r="AW330" s="52"/>
    </row>
    <row r="331" spans="1:49">
      <c r="A331" s="52">
        <v>6014923</v>
      </c>
      <c r="B331" s="52" t="s">
        <v>3723</v>
      </c>
      <c r="C331" s="52" t="s">
        <v>3698</v>
      </c>
      <c r="D331" s="53">
        <v>46154.416666666664</v>
      </c>
      <c r="E331" s="53">
        <v>46153.586805555555</v>
      </c>
      <c r="F331" s="53">
        <v>46154.679861111108</v>
      </c>
      <c r="G331" s="53">
        <v>46156.25</v>
      </c>
      <c r="H331" s="53">
        <v>46154.811805555553</v>
      </c>
      <c r="I331" s="52"/>
      <c r="J331" s="52" t="s">
        <v>3693</v>
      </c>
      <c r="K331" s="53">
        <v>46154.981249999997</v>
      </c>
      <c r="L331" s="52"/>
      <c r="M331" s="54">
        <v>1.570138888888889</v>
      </c>
      <c r="N331" s="54">
        <v>3.776388888888889</v>
      </c>
      <c r="O331" s="52" t="s">
        <v>3078</v>
      </c>
      <c r="P331" s="52" t="s">
        <v>227</v>
      </c>
      <c r="Q331" s="52" t="s">
        <v>2028</v>
      </c>
      <c r="R331" s="52" t="s">
        <v>1496</v>
      </c>
      <c r="S331" s="52" t="s">
        <v>789</v>
      </c>
      <c r="T331" s="52" t="s">
        <v>3932</v>
      </c>
      <c r="U331" s="52" t="s">
        <v>3933</v>
      </c>
      <c r="V331" s="52" t="s">
        <v>2032</v>
      </c>
      <c r="W331" s="52">
        <v>60372788904</v>
      </c>
      <c r="X331" s="52" t="s">
        <v>73</v>
      </c>
      <c r="Y331" s="52"/>
      <c r="Z331" s="52" t="s">
        <v>3696</v>
      </c>
      <c r="AA331" s="52" t="s">
        <v>3710</v>
      </c>
      <c r="AB331" s="52"/>
      <c r="AC331" s="52" t="s">
        <v>3720</v>
      </c>
      <c r="AD331" s="52" t="s">
        <v>3715</v>
      </c>
      <c r="AE331" s="52"/>
      <c r="AF331" s="52" t="s">
        <v>3934</v>
      </c>
      <c r="AG331" s="52" t="s">
        <v>3715</v>
      </c>
      <c r="AH331" s="52"/>
      <c r="AI331" s="53">
        <v>46154.681944444441</v>
      </c>
      <c r="AJ331" s="53">
        <v>46154.688888888886</v>
      </c>
      <c r="AK331" s="53">
        <v>46154.681944444441</v>
      </c>
      <c r="AL331" s="55">
        <v>1.6666666666666666E-2</v>
      </c>
      <c r="AM331" s="52"/>
      <c r="AN331" s="55">
        <v>6.9444444444444441E-3</v>
      </c>
      <c r="AO331" s="52"/>
      <c r="AP331" s="55">
        <v>1.6666666666666666E-2</v>
      </c>
      <c r="AQ331" s="52"/>
      <c r="AR331" s="52"/>
      <c r="AS331" s="52" t="s">
        <v>3696</v>
      </c>
      <c r="AT331" s="52"/>
      <c r="AU331" s="52"/>
      <c r="AV331" s="52"/>
      <c r="AW331" s="52" t="s">
        <v>1660</v>
      </c>
    </row>
    <row r="332" spans="1:49">
      <c r="A332" s="52">
        <v>6014923</v>
      </c>
      <c r="B332" s="52" t="s">
        <v>3723</v>
      </c>
      <c r="C332" s="52" t="s">
        <v>3698</v>
      </c>
      <c r="D332" s="53">
        <v>46154.416666666664</v>
      </c>
      <c r="E332" s="53">
        <v>46153.586805555555</v>
      </c>
      <c r="F332" s="53">
        <v>46155.917361111111</v>
      </c>
      <c r="G332" s="53">
        <v>46156.25</v>
      </c>
      <c r="H332" s="53">
        <v>46156.416666666664</v>
      </c>
      <c r="I332" s="52"/>
      <c r="J332" s="52" t="s">
        <v>3693</v>
      </c>
      <c r="K332" s="53">
        <v>46154.981249999997</v>
      </c>
      <c r="L332" s="52"/>
      <c r="M332" s="55">
        <v>0.33263888888888887</v>
      </c>
      <c r="N332" s="54">
        <v>2.5388888888888888</v>
      </c>
      <c r="O332" s="52" t="s">
        <v>3307</v>
      </c>
      <c r="P332" s="52" t="s">
        <v>227</v>
      </c>
      <c r="Q332" s="52" t="s">
        <v>2935</v>
      </c>
      <c r="R332" s="52"/>
      <c r="S332" s="52" t="s">
        <v>789</v>
      </c>
      <c r="T332" s="52" t="s">
        <v>3932</v>
      </c>
      <c r="U332" s="52" t="s">
        <v>3935</v>
      </c>
      <c r="V332" s="52" t="s">
        <v>2937</v>
      </c>
      <c r="W332" s="52">
        <v>395402948</v>
      </c>
      <c r="X332" s="52" t="s">
        <v>73</v>
      </c>
      <c r="Y332" s="52"/>
      <c r="Z332" s="52" t="s">
        <v>3696</v>
      </c>
      <c r="AA332" s="52" t="s">
        <v>3710</v>
      </c>
      <c r="AB332" s="52"/>
      <c r="AC332" s="52" t="s">
        <v>3720</v>
      </c>
      <c r="AD332" s="52" t="s">
        <v>3715</v>
      </c>
      <c r="AE332" s="52" t="s">
        <v>79</v>
      </c>
      <c r="AF332" s="52" t="s">
        <v>3934</v>
      </c>
      <c r="AG332" s="52" t="s">
        <v>3715</v>
      </c>
      <c r="AH332" s="52"/>
      <c r="AI332" s="53">
        <v>46154.681944444441</v>
      </c>
      <c r="AJ332" s="53">
        <v>46154.688888888886</v>
      </c>
      <c r="AK332" s="53">
        <v>46154.681944444441</v>
      </c>
      <c r="AL332" s="55">
        <v>0.25833333333333336</v>
      </c>
      <c r="AM332" s="52"/>
      <c r="AN332" s="55">
        <v>6.9444444444444441E-3</v>
      </c>
      <c r="AO332" s="52"/>
      <c r="AP332" s="55">
        <v>0.25833333333333336</v>
      </c>
      <c r="AQ332" s="52"/>
      <c r="AR332" s="52"/>
      <c r="AS332" s="52" t="s">
        <v>3696</v>
      </c>
      <c r="AT332" s="52"/>
      <c r="AU332" s="52"/>
      <c r="AV332" s="52"/>
      <c r="AW332" s="52"/>
    </row>
    <row r="333" spans="1:49">
      <c r="A333" s="52">
        <v>6014923</v>
      </c>
      <c r="B333" s="52" t="s">
        <v>3723</v>
      </c>
      <c r="C333" s="52" t="s">
        <v>3698</v>
      </c>
      <c r="D333" s="53">
        <v>46154.416666666664</v>
      </c>
      <c r="E333" s="53">
        <v>46153.586805555555</v>
      </c>
      <c r="F333" s="53">
        <v>46155.917361111111</v>
      </c>
      <c r="G333" s="53">
        <v>46156.25</v>
      </c>
      <c r="H333" s="53">
        <v>46156.416666666664</v>
      </c>
      <c r="I333" s="52"/>
      <c r="J333" s="52" t="s">
        <v>3693</v>
      </c>
      <c r="K333" s="53">
        <v>46154.981249999997</v>
      </c>
      <c r="L333" s="52"/>
      <c r="M333" s="55">
        <v>0.33263888888888887</v>
      </c>
      <c r="N333" s="54">
        <v>2.5388888888888888</v>
      </c>
      <c r="O333" s="52" t="s">
        <v>3307</v>
      </c>
      <c r="P333" s="52" t="s">
        <v>227</v>
      </c>
      <c r="Q333" s="52" t="s">
        <v>2935</v>
      </c>
      <c r="R333" s="52"/>
      <c r="S333" s="52" t="s">
        <v>789</v>
      </c>
      <c r="T333" s="52" t="s">
        <v>3932</v>
      </c>
      <c r="U333" s="52" t="s">
        <v>3935</v>
      </c>
      <c r="V333" s="52" t="s">
        <v>2937</v>
      </c>
      <c r="W333" s="52">
        <v>395402948</v>
      </c>
      <c r="X333" s="52" t="s">
        <v>73</v>
      </c>
      <c r="Y333" s="52"/>
      <c r="Z333" s="52" t="s">
        <v>3696</v>
      </c>
      <c r="AA333" s="52" t="s">
        <v>3710</v>
      </c>
      <c r="AB333" s="52"/>
      <c r="AC333" s="52" t="s">
        <v>3720</v>
      </c>
      <c r="AD333" s="52" t="s">
        <v>3715</v>
      </c>
      <c r="AE333" s="52"/>
      <c r="AF333" s="52" t="s">
        <v>3934</v>
      </c>
      <c r="AG333" s="52" t="s">
        <v>3715</v>
      </c>
      <c r="AH333" s="52"/>
      <c r="AI333" s="53">
        <v>46154.681944444441</v>
      </c>
      <c r="AJ333" s="53">
        <v>46154.688888888886</v>
      </c>
      <c r="AK333" s="53">
        <v>46154.681944444441</v>
      </c>
      <c r="AL333" s="55">
        <v>0.25833333333333336</v>
      </c>
      <c r="AM333" s="52"/>
      <c r="AN333" s="55">
        <v>6.9444444444444441E-3</v>
      </c>
      <c r="AO333" s="52"/>
      <c r="AP333" s="55">
        <v>0.25833333333333336</v>
      </c>
      <c r="AQ333" s="52"/>
      <c r="AR333" s="52"/>
      <c r="AS333" s="52" t="s">
        <v>3696</v>
      </c>
      <c r="AT333" s="52"/>
      <c r="AU333" s="52"/>
      <c r="AV333" s="52"/>
      <c r="AW333" s="52" t="s">
        <v>1660</v>
      </c>
    </row>
    <row r="334" spans="1:49">
      <c r="A334" s="52">
        <v>6015006</v>
      </c>
      <c r="B334" s="52" t="s">
        <v>3723</v>
      </c>
      <c r="C334" s="52" t="s">
        <v>3692</v>
      </c>
      <c r="D334" s="53">
        <v>46154.416666666664</v>
      </c>
      <c r="E334" s="53">
        <v>46153.702777777777</v>
      </c>
      <c r="F334" s="53">
        <v>46154.65347222222</v>
      </c>
      <c r="G334" s="53">
        <v>46155.291666666664</v>
      </c>
      <c r="H334" s="53">
        <v>46154.906944444447</v>
      </c>
      <c r="I334" s="52" t="s">
        <v>3693</v>
      </c>
      <c r="J334" s="52" t="s">
        <v>3693</v>
      </c>
      <c r="K334" s="53">
        <v>46154.906944444447</v>
      </c>
      <c r="L334" s="52" t="s">
        <v>3735</v>
      </c>
      <c r="M334" s="55">
        <v>0.12083333333333333</v>
      </c>
      <c r="N334" s="54">
        <v>3.2854166666666669</v>
      </c>
      <c r="O334" s="52"/>
      <c r="P334" s="52"/>
      <c r="Q334" s="52"/>
      <c r="R334" s="52"/>
      <c r="S334" s="52"/>
      <c r="T334" s="52" t="s">
        <v>3695</v>
      </c>
      <c r="U334" s="52" t="s">
        <v>3695</v>
      </c>
      <c r="V334" s="52"/>
      <c r="W334" s="52"/>
      <c r="X334" s="52"/>
      <c r="Y334" s="52"/>
      <c r="Z334" s="52" t="s">
        <v>3696</v>
      </c>
      <c r="AA334" s="52" t="s">
        <v>1635</v>
      </c>
      <c r="AB334" s="52" t="s">
        <v>140</v>
      </c>
      <c r="AC334" s="52" t="s">
        <v>3703</v>
      </c>
      <c r="AD334" s="52" t="s">
        <v>3704</v>
      </c>
      <c r="AE334" s="52"/>
      <c r="AF334" s="52" t="s">
        <v>3899</v>
      </c>
      <c r="AG334" s="52" t="s">
        <v>3704</v>
      </c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>
        <v>0</v>
      </c>
      <c r="AT334" s="52"/>
      <c r="AU334" s="52"/>
      <c r="AV334" s="52" t="s">
        <v>176</v>
      </c>
      <c r="AW334" s="52"/>
    </row>
    <row r="335" spans="1:49">
      <c r="A335" s="52">
        <v>6015006</v>
      </c>
      <c r="B335" s="52" t="s">
        <v>3723</v>
      </c>
      <c r="C335" s="52" t="s">
        <v>3698</v>
      </c>
      <c r="D335" s="53">
        <v>46154.416666666664</v>
      </c>
      <c r="E335" s="53">
        <v>46153.702777777777</v>
      </c>
      <c r="F335" s="53">
        <v>46154.820138888892</v>
      </c>
      <c r="G335" s="53">
        <v>46155.291666666664</v>
      </c>
      <c r="H335" s="52"/>
      <c r="I335" s="52"/>
      <c r="J335" s="52" t="s">
        <v>3693</v>
      </c>
      <c r="K335" s="52"/>
      <c r="L335" s="52"/>
      <c r="M335" s="55">
        <v>0.47152777777777777</v>
      </c>
      <c r="N335" s="54">
        <v>3.6361111111111111</v>
      </c>
      <c r="O335" s="52" t="s">
        <v>3936</v>
      </c>
      <c r="P335" s="52" t="s">
        <v>1635</v>
      </c>
      <c r="Q335" s="52" t="s">
        <v>3142</v>
      </c>
      <c r="R335" s="52" t="s">
        <v>3145</v>
      </c>
      <c r="S335" s="52" t="s">
        <v>3756</v>
      </c>
      <c r="T335" s="52" t="s">
        <v>3695</v>
      </c>
      <c r="U335" s="52" t="s">
        <v>3695</v>
      </c>
      <c r="V335" s="52" t="s">
        <v>3146</v>
      </c>
      <c r="W335" s="52">
        <v>34439110487</v>
      </c>
      <c r="X335" s="52" t="s">
        <v>73</v>
      </c>
      <c r="Y335" s="52"/>
      <c r="Z335" s="52" t="s">
        <v>3696</v>
      </c>
      <c r="AA335" s="52" t="s">
        <v>3710</v>
      </c>
      <c r="AB335" s="52"/>
      <c r="AC335" s="52" t="s">
        <v>3703</v>
      </c>
      <c r="AD335" s="52" t="s">
        <v>3704</v>
      </c>
      <c r="AE335" s="52" t="s">
        <v>140</v>
      </c>
      <c r="AF335" s="52" t="s">
        <v>3899</v>
      </c>
      <c r="AG335" s="52" t="s">
        <v>3704</v>
      </c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 t="s">
        <v>3696</v>
      </c>
      <c r="AT335" s="52"/>
      <c r="AU335" s="52"/>
      <c r="AV335" s="52"/>
      <c r="AW335" s="52"/>
    </row>
    <row r="336" spans="1:49">
      <c r="A336" s="52">
        <v>6015006</v>
      </c>
      <c r="B336" s="52" t="s">
        <v>3723</v>
      </c>
      <c r="C336" s="52" t="s">
        <v>3698</v>
      </c>
      <c r="D336" s="53">
        <v>46154.416666666664</v>
      </c>
      <c r="E336" s="53">
        <v>46153.702777777777</v>
      </c>
      <c r="F336" s="53">
        <v>46154.820138888892</v>
      </c>
      <c r="G336" s="53">
        <v>46155.291666666664</v>
      </c>
      <c r="H336" s="52"/>
      <c r="I336" s="52"/>
      <c r="J336" s="52" t="s">
        <v>3693</v>
      </c>
      <c r="K336" s="52"/>
      <c r="L336" s="52"/>
      <c r="M336" s="55">
        <v>0.47152777777777777</v>
      </c>
      <c r="N336" s="54">
        <v>3.6361111111111111</v>
      </c>
      <c r="O336" s="52" t="s">
        <v>3936</v>
      </c>
      <c r="P336" s="52" t="s">
        <v>1635</v>
      </c>
      <c r="Q336" s="52" t="s">
        <v>3142</v>
      </c>
      <c r="R336" s="52" t="s">
        <v>3145</v>
      </c>
      <c r="S336" s="52" t="s">
        <v>3756</v>
      </c>
      <c r="T336" s="52" t="s">
        <v>3695</v>
      </c>
      <c r="U336" s="52" t="s">
        <v>3695</v>
      </c>
      <c r="V336" s="52" t="s">
        <v>3146</v>
      </c>
      <c r="W336" s="52">
        <v>34439110487</v>
      </c>
      <c r="X336" s="52" t="s">
        <v>73</v>
      </c>
      <c r="Y336" s="52"/>
      <c r="Z336" s="52" t="s">
        <v>3696</v>
      </c>
      <c r="AA336" s="52" t="s">
        <v>3710</v>
      </c>
      <c r="AB336" s="52"/>
      <c r="AC336" s="52" t="s">
        <v>3703</v>
      </c>
      <c r="AD336" s="52" t="s">
        <v>3704</v>
      </c>
      <c r="AE336" s="52"/>
      <c r="AF336" s="52" t="s">
        <v>3899</v>
      </c>
      <c r="AG336" s="52" t="s">
        <v>3704</v>
      </c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 t="s">
        <v>3696</v>
      </c>
      <c r="AT336" s="52"/>
      <c r="AU336" s="52"/>
      <c r="AV336" s="52"/>
      <c r="AW336" s="52" t="s">
        <v>176</v>
      </c>
    </row>
    <row r="337" spans="1:49">
      <c r="A337" s="52">
        <v>6015006</v>
      </c>
      <c r="B337" s="52" t="s">
        <v>3723</v>
      </c>
      <c r="C337" s="52" t="s">
        <v>3698</v>
      </c>
      <c r="D337" s="53">
        <v>46154.416666666664</v>
      </c>
      <c r="E337" s="53">
        <v>46153.702777777777</v>
      </c>
      <c r="F337" s="53">
        <v>46154.90902777778</v>
      </c>
      <c r="G337" s="53">
        <v>46155.291666666664</v>
      </c>
      <c r="H337" s="53">
        <v>46155.743750000001</v>
      </c>
      <c r="I337" s="52"/>
      <c r="J337" s="52" t="s">
        <v>3693</v>
      </c>
      <c r="K337" s="52"/>
      <c r="L337" s="52"/>
      <c r="M337" s="55">
        <v>0.38263888888888886</v>
      </c>
      <c r="N337" s="54">
        <v>3.5472222222222221</v>
      </c>
      <c r="O337" s="52" t="s">
        <v>3143</v>
      </c>
      <c r="P337" s="52" t="s">
        <v>1635</v>
      </c>
      <c r="Q337" s="52" t="s">
        <v>3142</v>
      </c>
      <c r="R337" s="52" t="s">
        <v>3145</v>
      </c>
      <c r="S337" s="52" t="s">
        <v>789</v>
      </c>
      <c r="T337" s="52" t="s">
        <v>3773</v>
      </c>
      <c r="U337" s="52" t="s">
        <v>3695</v>
      </c>
      <c r="V337" s="52" t="s">
        <v>3146</v>
      </c>
      <c r="W337" s="52">
        <v>34439110487</v>
      </c>
      <c r="X337" s="52" t="s">
        <v>73</v>
      </c>
      <c r="Y337" s="52"/>
      <c r="Z337" s="52" t="s">
        <v>3696</v>
      </c>
      <c r="AA337" s="52" t="s">
        <v>3710</v>
      </c>
      <c r="AB337" s="52"/>
      <c r="AC337" s="52" t="s">
        <v>3703</v>
      </c>
      <c r="AD337" s="52" t="s">
        <v>3704</v>
      </c>
      <c r="AE337" s="52" t="s">
        <v>140</v>
      </c>
      <c r="AF337" s="52" t="s">
        <v>3899</v>
      </c>
      <c r="AG337" s="52" t="s">
        <v>3704</v>
      </c>
      <c r="AH337" s="52"/>
      <c r="AI337" s="52"/>
      <c r="AJ337" s="52"/>
      <c r="AK337" s="52"/>
      <c r="AL337" s="55">
        <v>0.83680555555555558</v>
      </c>
      <c r="AM337" s="52"/>
      <c r="AN337" s="52"/>
      <c r="AO337" s="52"/>
      <c r="AP337" s="55">
        <v>0.83680555555555558</v>
      </c>
      <c r="AQ337" s="52"/>
      <c r="AR337" s="52"/>
      <c r="AS337" s="52" t="s">
        <v>3696</v>
      </c>
      <c r="AT337" s="52"/>
      <c r="AU337" s="52"/>
      <c r="AV337" s="52"/>
      <c r="AW337" s="52"/>
    </row>
    <row r="338" spans="1:49">
      <c r="A338" s="52">
        <v>6015006</v>
      </c>
      <c r="B338" s="52" t="s">
        <v>3723</v>
      </c>
      <c r="C338" s="52" t="s">
        <v>3698</v>
      </c>
      <c r="D338" s="53">
        <v>46154.416666666664</v>
      </c>
      <c r="E338" s="53">
        <v>46153.702777777777</v>
      </c>
      <c r="F338" s="53">
        <v>46154.90902777778</v>
      </c>
      <c r="G338" s="53">
        <v>46155.291666666664</v>
      </c>
      <c r="H338" s="53">
        <v>46155.743750000001</v>
      </c>
      <c r="I338" s="52"/>
      <c r="J338" s="52" t="s">
        <v>3693</v>
      </c>
      <c r="K338" s="52"/>
      <c r="L338" s="52"/>
      <c r="M338" s="55">
        <v>0.38263888888888886</v>
      </c>
      <c r="N338" s="54">
        <v>3.5472222222222221</v>
      </c>
      <c r="O338" s="52" t="s">
        <v>3143</v>
      </c>
      <c r="P338" s="52" t="s">
        <v>1635</v>
      </c>
      <c r="Q338" s="52" t="s">
        <v>3142</v>
      </c>
      <c r="R338" s="52" t="s">
        <v>3145</v>
      </c>
      <c r="S338" s="52" t="s">
        <v>789</v>
      </c>
      <c r="T338" s="52" t="s">
        <v>3773</v>
      </c>
      <c r="U338" s="52" t="s">
        <v>3695</v>
      </c>
      <c r="V338" s="52" t="s">
        <v>3146</v>
      </c>
      <c r="W338" s="52">
        <v>34439110487</v>
      </c>
      <c r="X338" s="52" t="s">
        <v>73</v>
      </c>
      <c r="Y338" s="52"/>
      <c r="Z338" s="52" t="s">
        <v>3696</v>
      </c>
      <c r="AA338" s="52" t="s">
        <v>3710</v>
      </c>
      <c r="AB338" s="52"/>
      <c r="AC338" s="52" t="s">
        <v>3703</v>
      </c>
      <c r="AD338" s="52" t="s">
        <v>3704</v>
      </c>
      <c r="AE338" s="52"/>
      <c r="AF338" s="52" t="s">
        <v>3899</v>
      </c>
      <c r="AG338" s="52" t="s">
        <v>3704</v>
      </c>
      <c r="AH338" s="52"/>
      <c r="AI338" s="52"/>
      <c r="AJ338" s="52"/>
      <c r="AK338" s="52"/>
      <c r="AL338" s="55">
        <v>0.83680555555555558</v>
      </c>
      <c r="AM338" s="52"/>
      <c r="AN338" s="52"/>
      <c r="AO338" s="52"/>
      <c r="AP338" s="55">
        <v>0.83680555555555558</v>
      </c>
      <c r="AQ338" s="52"/>
      <c r="AR338" s="52"/>
      <c r="AS338" s="52" t="s">
        <v>3696</v>
      </c>
      <c r="AT338" s="52"/>
      <c r="AU338" s="52"/>
      <c r="AV338" s="52"/>
      <c r="AW338" s="52" t="s">
        <v>176</v>
      </c>
    </row>
    <row r="339" spans="1:49">
      <c r="A339" s="52">
        <v>6015007</v>
      </c>
      <c r="B339" s="52" t="s">
        <v>3723</v>
      </c>
      <c r="C339" s="52" t="s">
        <v>3692</v>
      </c>
      <c r="D339" s="53">
        <v>46154.416666666664</v>
      </c>
      <c r="E339" s="53">
        <v>46153.702777777777</v>
      </c>
      <c r="F339" s="53">
        <v>46154.65902777778</v>
      </c>
      <c r="G339" s="53">
        <v>46155.291666666664</v>
      </c>
      <c r="H339" s="53">
        <v>46154.905555555553</v>
      </c>
      <c r="I339" s="52" t="s">
        <v>3693</v>
      </c>
      <c r="J339" s="52" t="s">
        <v>3693</v>
      </c>
      <c r="K339" s="53">
        <v>46154.905555555553</v>
      </c>
      <c r="L339" s="52" t="s">
        <v>3735</v>
      </c>
      <c r="M339" s="55">
        <v>0.12083333333333333</v>
      </c>
      <c r="N339" s="54">
        <v>3.2854166666666669</v>
      </c>
      <c r="O339" s="52"/>
      <c r="P339" s="52"/>
      <c r="Q339" s="52"/>
      <c r="R339" s="52"/>
      <c r="S339" s="52"/>
      <c r="T339" s="52" t="s">
        <v>3695</v>
      </c>
      <c r="U339" s="52" t="s">
        <v>3695</v>
      </c>
      <c r="V339" s="52"/>
      <c r="W339" s="52"/>
      <c r="X339" s="52"/>
      <c r="Y339" s="52"/>
      <c r="Z339" s="52" t="s">
        <v>3696</v>
      </c>
      <c r="AA339" s="52" t="s">
        <v>1635</v>
      </c>
      <c r="AB339" s="52" t="s">
        <v>140</v>
      </c>
      <c r="AC339" s="52" t="s">
        <v>3703</v>
      </c>
      <c r="AD339" s="52" t="s">
        <v>3704</v>
      </c>
      <c r="AE339" s="52"/>
      <c r="AF339" s="52" t="s">
        <v>3899</v>
      </c>
      <c r="AG339" s="52" t="s">
        <v>3704</v>
      </c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>
        <v>0</v>
      </c>
      <c r="AT339" s="52"/>
      <c r="AU339" s="52"/>
      <c r="AV339" s="52" t="s">
        <v>176</v>
      </c>
      <c r="AW339" s="52"/>
    </row>
    <row r="340" spans="1:49">
      <c r="A340" s="52">
        <v>6015007</v>
      </c>
      <c r="B340" s="52" t="s">
        <v>3723</v>
      </c>
      <c r="C340" s="52" t="s">
        <v>3698</v>
      </c>
      <c r="D340" s="53">
        <v>46154.416666666664</v>
      </c>
      <c r="E340" s="53">
        <v>46153.702777777777</v>
      </c>
      <c r="F340" s="53">
        <v>46154.818749999999</v>
      </c>
      <c r="G340" s="53">
        <v>46155.291666666664</v>
      </c>
      <c r="H340" s="52"/>
      <c r="I340" s="52"/>
      <c r="J340" s="52" t="s">
        <v>3693</v>
      </c>
      <c r="K340" s="52"/>
      <c r="L340" s="52"/>
      <c r="M340" s="55">
        <v>0.47291666666666665</v>
      </c>
      <c r="N340" s="54">
        <v>3.6375000000000002</v>
      </c>
      <c r="O340" s="52" t="s">
        <v>3937</v>
      </c>
      <c r="P340" s="52" t="s">
        <v>1635</v>
      </c>
      <c r="Q340" s="52" t="s">
        <v>1633</v>
      </c>
      <c r="R340" s="52" t="s">
        <v>3141</v>
      </c>
      <c r="S340" s="52" t="s">
        <v>3756</v>
      </c>
      <c r="T340" s="52" t="s">
        <v>3695</v>
      </c>
      <c r="U340" s="52" t="s">
        <v>3695</v>
      </c>
      <c r="V340" s="52" t="s">
        <v>1640</v>
      </c>
      <c r="W340" s="52">
        <v>16994479854</v>
      </c>
      <c r="X340" s="52" t="s">
        <v>73</v>
      </c>
      <c r="Y340" s="52" t="s">
        <v>3879</v>
      </c>
      <c r="Z340" s="52" t="s">
        <v>3696</v>
      </c>
      <c r="AA340" s="52" t="s">
        <v>3710</v>
      </c>
      <c r="AB340" s="52"/>
      <c r="AC340" s="52" t="s">
        <v>3703</v>
      </c>
      <c r="AD340" s="52" t="s">
        <v>3704</v>
      </c>
      <c r="AE340" s="52" t="s">
        <v>140</v>
      </c>
      <c r="AF340" s="52" t="s">
        <v>3899</v>
      </c>
      <c r="AG340" s="52" t="s">
        <v>3704</v>
      </c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 t="s">
        <v>3696</v>
      </c>
      <c r="AT340" s="52"/>
      <c r="AU340" s="52"/>
      <c r="AV340" s="52"/>
      <c r="AW340" s="52"/>
    </row>
    <row r="341" spans="1:49">
      <c r="A341" s="52">
        <v>6015007</v>
      </c>
      <c r="B341" s="52" t="s">
        <v>3723</v>
      </c>
      <c r="C341" s="52" t="s">
        <v>3698</v>
      </c>
      <c r="D341" s="53">
        <v>46154.416666666664</v>
      </c>
      <c r="E341" s="53">
        <v>46153.702777777777</v>
      </c>
      <c r="F341" s="53">
        <v>46154.818749999999</v>
      </c>
      <c r="G341" s="53">
        <v>46155.291666666664</v>
      </c>
      <c r="H341" s="52"/>
      <c r="I341" s="52"/>
      <c r="J341" s="52" t="s">
        <v>3693</v>
      </c>
      <c r="K341" s="52"/>
      <c r="L341" s="52"/>
      <c r="M341" s="55">
        <v>0.47291666666666665</v>
      </c>
      <c r="N341" s="54">
        <v>3.6375000000000002</v>
      </c>
      <c r="O341" s="52" t="s">
        <v>3937</v>
      </c>
      <c r="P341" s="52" t="s">
        <v>1635</v>
      </c>
      <c r="Q341" s="52" t="s">
        <v>1633</v>
      </c>
      <c r="R341" s="52" t="s">
        <v>3141</v>
      </c>
      <c r="S341" s="52" t="s">
        <v>3756</v>
      </c>
      <c r="T341" s="52" t="s">
        <v>3695</v>
      </c>
      <c r="U341" s="52" t="s">
        <v>3695</v>
      </c>
      <c r="V341" s="52" t="s">
        <v>1640</v>
      </c>
      <c r="W341" s="52">
        <v>16994479854</v>
      </c>
      <c r="X341" s="52" t="s">
        <v>73</v>
      </c>
      <c r="Y341" s="52" t="s">
        <v>3879</v>
      </c>
      <c r="Z341" s="52" t="s">
        <v>3696</v>
      </c>
      <c r="AA341" s="52" t="s">
        <v>3710</v>
      </c>
      <c r="AB341" s="52"/>
      <c r="AC341" s="52" t="s">
        <v>3703</v>
      </c>
      <c r="AD341" s="52" t="s">
        <v>3704</v>
      </c>
      <c r="AE341" s="52"/>
      <c r="AF341" s="52" t="s">
        <v>3899</v>
      </c>
      <c r="AG341" s="52" t="s">
        <v>3704</v>
      </c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 t="s">
        <v>3696</v>
      </c>
      <c r="AT341" s="52"/>
      <c r="AU341" s="52"/>
      <c r="AV341" s="52"/>
      <c r="AW341" s="52" t="s">
        <v>176</v>
      </c>
    </row>
    <row r="342" spans="1:49">
      <c r="A342" s="52">
        <v>6015007</v>
      </c>
      <c r="B342" s="52" t="s">
        <v>3723</v>
      </c>
      <c r="C342" s="52" t="s">
        <v>3698</v>
      </c>
      <c r="D342" s="53">
        <v>46154.416666666664</v>
      </c>
      <c r="E342" s="53">
        <v>46153.702777777777</v>
      </c>
      <c r="F342" s="53">
        <v>46154.908333333333</v>
      </c>
      <c r="G342" s="53">
        <v>46155.291666666664</v>
      </c>
      <c r="H342" s="53">
        <v>46155.709722222222</v>
      </c>
      <c r="I342" s="52"/>
      <c r="J342" s="52" t="s">
        <v>3693</v>
      </c>
      <c r="K342" s="52"/>
      <c r="L342" s="52"/>
      <c r="M342" s="55">
        <v>0.38333333333333336</v>
      </c>
      <c r="N342" s="54">
        <v>3.5479166666666666</v>
      </c>
      <c r="O342" s="52" t="s">
        <v>3138</v>
      </c>
      <c r="P342" s="52" t="s">
        <v>1635</v>
      </c>
      <c r="Q342" s="52" t="s">
        <v>1633</v>
      </c>
      <c r="R342" s="52" t="s">
        <v>3141</v>
      </c>
      <c r="S342" s="52" t="s">
        <v>789</v>
      </c>
      <c r="T342" s="52" t="s">
        <v>3773</v>
      </c>
      <c r="U342" s="52" t="s">
        <v>3758</v>
      </c>
      <c r="V342" s="52" t="s">
        <v>1640</v>
      </c>
      <c r="W342" s="52">
        <v>16994479854</v>
      </c>
      <c r="X342" s="52" t="s">
        <v>73</v>
      </c>
      <c r="Y342" s="52" t="s">
        <v>3879</v>
      </c>
      <c r="Z342" s="52" t="s">
        <v>3696</v>
      </c>
      <c r="AA342" s="52" t="s">
        <v>3710</v>
      </c>
      <c r="AB342" s="52"/>
      <c r="AC342" s="52" t="s">
        <v>3703</v>
      </c>
      <c r="AD342" s="52" t="s">
        <v>3704</v>
      </c>
      <c r="AE342" s="52" t="s">
        <v>140</v>
      </c>
      <c r="AF342" s="52" t="s">
        <v>3899</v>
      </c>
      <c r="AG342" s="52" t="s">
        <v>3704</v>
      </c>
      <c r="AH342" s="52"/>
      <c r="AI342" s="52"/>
      <c r="AJ342" s="52"/>
      <c r="AK342" s="52"/>
      <c r="AL342" s="55">
        <v>0.8041666666666667</v>
      </c>
      <c r="AM342" s="52"/>
      <c r="AN342" s="52"/>
      <c r="AO342" s="52"/>
      <c r="AP342" s="55">
        <v>0.8041666666666667</v>
      </c>
      <c r="AQ342" s="52"/>
      <c r="AR342" s="52"/>
      <c r="AS342" s="52" t="s">
        <v>3696</v>
      </c>
      <c r="AT342" s="52"/>
      <c r="AU342" s="52"/>
      <c r="AV342" s="52"/>
      <c r="AW342" s="52"/>
    </row>
    <row r="343" spans="1:49">
      <c r="A343" s="52">
        <v>6015007</v>
      </c>
      <c r="B343" s="52" t="s">
        <v>3723</v>
      </c>
      <c r="C343" s="52" t="s">
        <v>3698</v>
      </c>
      <c r="D343" s="53">
        <v>46154.416666666664</v>
      </c>
      <c r="E343" s="53">
        <v>46153.702777777777</v>
      </c>
      <c r="F343" s="53">
        <v>46154.908333333333</v>
      </c>
      <c r="G343" s="53">
        <v>46155.291666666664</v>
      </c>
      <c r="H343" s="53">
        <v>46155.709722222222</v>
      </c>
      <c r="I343" s="52"/>
      <c r="J343" s="52" t="s">
        <v>3693</v>
      </c>
      <c r="K343" s="52"/>
      <c r="L343" s="52"/>
      <c r="M343" s="55">
        <v>0.38333333333333336</v>
      </c>
      <c r="N343" s="54">
        <v>3.5479166666666666</v>
      </c>
      <c r="O343" s="52" t="s">
        <v>3138</v>
      </c>
      <c r="P343" s="52" t="s">
        <v>1635</v>
      </c>
      <c r="Q343" s="52" t="s">
        <v>1633</v>
      </c>
      <c r="R343" s="52" t="s">
        <v>3141</v>
      </c>
      <c r="S343" s="52" t="s">
        <v>789</v>
      </c>
      <c r="T343" s="52" t="s">
        <v>3773</v>
      </c>
      <c r="U343" s="52" t="s">
        <v>3758</v>
      </c>
      <c r="V343" s="52" t="s">
        <v>1640</v>
      </c>
      <c r="W343" s="52">
        <v>16994479854</v>
      </c>
      <c r="X343" s="52" t="s">
        <v>73</v>
      </c>
      <c r="Y343" s="52" t="s">
        <v>3879</v>
      </c>
      <c r="Z343" s="52" t="s">
        <v>3696</v>
      </c>
      <c r="AA343" s="52" t="s">
        <v>3710</v>
      </c>
      <c r="AB343" s="52"/>
      <c r="AC343" s="52" t="s">
        <v>3703</v>
      </c>
      <c r="AD343" s="52" t="s">
        <v>3704</v>
      </c>
      <c r="AE343" s="52"/>
      <c r="AF343" s="52" t="s">
        <v>3899</v>
      </c>
      <c r="AG343" s="52" t="s">
        <v>3704</v>
      </c>
      <c r="AH343" s="52"/>
      <c r="AI343" s="52"/>
      <c r="AJ343" s="52"/>
      <c r="AK343" s="52"/>
      <c r="AL343" s="55">
        <v>0.8041666666666667</v>
      </c>
      <c r="AM343" s="52"/>
      <c r="AN343" s="52"/>
      <c r="AO343" s="52"/>
      <c r="AP343" s="55">
        <v>0.8041666666666667</v>
      </c>
      <c r="AQ343" s="52"/>
      <c r="AR343" s="52"/>
      <c r="AS343" s="52" t="s">
        <v>3696</v>
      </c>
      <c r="AT343" s="52"/>
      <c r="AU343" s="52"/>
      <c r="AV343" s="52"/>
      <c r="AW343" s="52" t="s">
        <v>176</v>
      </c>
    </row>
    <row r="344" spans="1:49">
      <c r="A344" s="52">
        <v>6015016</v>
      </c>
      <c r="B344" s="52" t="s">
        <v>3723</v>
      </c>
      <c r="C344" s="52" t="s">
        <v>3692</v>
      </c>
      <c r="D344" s="53">
        <v>46156.791666666664</v>
      </c>
      <c r="E344" s="53">
        <v>46153.586805555555</v>
      </c>
      <c r="F344" s="53">
        <v>46154.353472222225</v>
      </c>
      <c r="G344" s="53">
        <v>46157.25</v>
      </c>
      <c r="H344" s="52"/>
      <c r="I344" s="52" t="s">
        <v>3693</v>
      </c>
      <c r="J344" s="52" t="s">
        <v>3693</v>
      </c>
      <c r="K344" s="53">
        <v>46155.681250000001</v>
      </c>
      <c r="L344" s="52"/>
      <c r="M344" s="55">
        <v>0.13958333333333334</v>
      </c>
      <c r="N344" s="54">
        <v>1.3458333333333334</v>
      </c>
      <c r="O344" s="52"/>
      <c r="P344" s="52"/>
      <c r="Q344" s="52"/>
      <c r="R344" s="52"/>
      <c r="S344" s="52"/>
      <c r="T344" s="52" t="s">
        <v>3938</v>
      </c>
      <c r="U344" s="52" t="s">
        <v>3695</v>
      </c>
      <c r="V344" s="52"/>
      <c r="W344" s="52"/>
      <c r="X344" s="52"/>
      <c r="Y344" s="52"/>
      <c r="Z344" s="52" t="s">
        <v>3696</v>
      </c>
      <c r="AA344" s="52"/>
      <c r="AB344" s="52" t="s">
        <v>79</v>
      </c>
      <c r="AC344" s="52" t="s">
        <v>3720</v>
      </c>
      <c r="AD344" s="52" t="s">
        <v>3715</v>
      </c>
      <c r="AE344" s="52"/>
      <c r="AF344" s="52" t="s">
        <v>3769</v>
      </c>
      <c r="AG344" s="52" t="s">
        <v>3770</v>
      </c>
      <c r="AH344" s="52"/>
      <c r="AI344" s="52"/>
      <c r="AJ344" s="52"/>
      <c r="AK344" s="52"/>
      <c r="AL344" s="55">
        <v>0.27500000000000002</v>
      </c>
      <c r="AM344" s="52"/>
      <c r="AN344" s="52"/>
      <c r="AO344" s="52"/>
      <c r="AP344" s="52"/>
      <c r="AQ344" s="52"/>
      <c r="AR344" s="52"/>
      <c r="AS344" s="52">
        <v>0</v>
      </c>
      <c r="AT344" s="52"/>
      <c r="AU344" s="52"/>
      <c r="AV344" s="52" t="s">
        <v>286</v>
      </c>
      <c r="AW344" s="52"/>
    </row>
    <row r="345" spans="1:49">
      <c r="A345" s="52">
        <v>6015016</v>
      </c>
      <c r="B345" s="52" t="s">
        <v>3723</v>
      </c>
      <c r="C345" s="52" t="s">
        <v>3698</v>
      </c>
      <c r="D345" s="53">
        <v>46156.791666666664</v>
      </c>
      <c r="E345" s="53">
        <v>46153.586805555555</v>
      </c>
      <c r="F345" s="53">
        <v>46154.863888888889</v>
      </c>
      <c r="G345" s="53">
        <v>46157.25</v>
      </c>
      <c r="H345" s="52"/>
      <c r="I345" s="52"/>
      <c r="J345" s="52" t="s">
        <v>3693</v>
      </c>
      <c r="K345" s="53">
        <v>46155.681250000001</v>
      </c>
      <c r="L345" s="52"/>
      <c r="M345" s="54">
        <v>2.3861111111111111</v>
      </c>
      <c r="N345" s="54">
        <v>3.5923611111111109</v>
      </c>
      <c r="O345" s="52" t="s">
        <v>3939</v>
      </c>
      <c r="P345" s="52" t="s">
        <v>724</v>
      </c>
      <c r="Q345" s="52" t="s">
        <v>3257</v>
      </c>
      <c r="R345" s="52" t="s">
        <v>3261</v>
      </c>
      <c r="S345" s="52" t="s">
        <v>3756</v>
      </c>
      <c r="T345" s="52" t="s">
        <v>3938</v>
      </c>
      <c r="U345" s="52" t="s">
        <v>3695</v>
      </c>
      <c r="V345" s="52" t="s">
        <v>3750</v>
      </c>
      <c r="W345" s="52">
        <v>93406576915</v>
      </c>
      <c r="X345" s="52" t="s">
        <v>73</v>
      </c>
      <c r="Y345" s="52"/>
      <c r="Z345" s="52" t="s">
        <v>3696</v>
      </c>
      <c r="AA345" s="52" t="s">
        <v>3710</v>
      </c>
      <c r="AB345" s="52"/>
      <c r="AC345" s="52" t="s">
        <v>3720</v>
      </c>
      <c r="AD345" s="52" t="s">
        <v>3715</v>
      </c>
      <c r="AE345" s="52" t="s">
        <v>79</v>
      </c>
      <c r="AF345" s="52" t="s">
        <v>3769</v>
      </c>
      <c r="AG345" s="52" t="s">
        <v>3770</v>
      </c>
      <c r="AH345" s="52"/>
      <c r="AI345" s="53">
        <v>46155.311805555553</v>
      </c>
      <c r="AJ345" s="53">
        <v>46155.586805555555</v>
      </c>
      <c r="AK345" s="53">
        <v>46155.311805555553</v>
      </c>
      <c r="AL345" s="55">
        <v>0.27500000000000002</v>
      </c>
      <c r="AM345" s="52"/>
      <c r="AN345" s="55">
        <v>0.27500000000000002</v>
      </c>
      <c r="AO345" s="52"/>
      <c r="AP345" s="55">
        <v>0.27500000000000002</v>
      </c>
      <c r="AQ345" s="52"/>
      <c r="AR345" s="52"/>
      <c r="AS345" s="52" t="s">
        <v>3696</v>
      </c>
      <c r="AT345" s="52"/>
      <c r="AU345" s="52"/>
      <c r="AV345" s="52"/>
      <c r="AW345" s="52"/>
    </row>
    <row r="346" spans="1:49">
      <c r="A346" s="52">
        <v>6015016</v>
      </c>
      <c r="B346" s="52" t="s">
        <v>3723</v>
      </c>
      <c r="C346" s="52" t="s">
        <v>3698</v>
      </c>
      <c r="D346" s="53">
        <v>46156.791666666664</v>
      </c>
      <c r="E346" s="53">
        <v>46153.586805555555</v>
      </c>
      <c r="F346" s="53">
        <v>46154.863888888889</v>
      </c>
      <c r="G346" s="53">
        <v>46157.25</v>
      </c>
      <c r="H346" s="52"/>
      <c r="I346" s="52"/>
      <c r="J346" s="52" t="s">
        <v>3693</v>
      </c>
      <c r="K346" s="53">
        <v>46155.681250000001</v>
      </c>
      <c r="L346" s="52"/>
      <c r="M346" s="54">
        <v>2.3861111111111111</v>
      </c>
      <c r="N346" s="54">
        <v>3.5923611111111109</v>
      </c>
      <c r="O346" s="52" t="s">
        <v>3939</v>
      </c>
      <c r="P346" s="52" t="s">
        <v>724</v>
      </c>
      <c r="Q346" s="52" t="s">
        <v>3257</v>
      </c>
      <c r="R346" s="52" t="s">
        <v>3261</v>
      </c>
      <c r="S346" s="52" t="s">
        <v>3756</v>
      </c>
      <c r="T346" s="52" t="s">
        <v>3938</v>
      </c>
      <c r="U346" s="52" t="s">
        <v>3695</v>
      </c>
      <c r="V346" s="52" t="s">
        <v>3750</v>
      </c>
      <c r="W346" s="52">
        <v>93406576915</v>
      </c>
      <c r="X346" s="52" t="s">
        <v>73</v>
      </c>
      <c r="Y346" s="52"/>
      <c r="Z346" s="52" t="s">
        <v>3696</v>
      </c>
      <c r="AA346" s="52" t="s">
        <v>3710</v>
      </c>
      <c r="AB346" s="52"/>
      <c r="AC346" s="52" t="s">
        <v>3720</v>
      </c>
      <c r="AD346" s="52" t="s">
        <v>3715</v>
      </c>
      <c r="AE346" s="52"/>
      <c r="AF346" s="52" t="s">
        <v>3769</v>
      </c>
      <c r="AG346" s="52" t="s">
        <v>3770</v>
      </c>
      <c r="AH346" s="52"/>
      <c r="AI346" s="53">
        <v>46155.311805555553</v>
      </c>
      <c r="AJ346" s="53">
        <v>46155.586805555555</v>
      </c>
      <c r="AK346" s="53">
        <v>46155.311805555553</v>
      </c>
      <c r="AL346" s="55">
        <v>0.27500000000000002</v>
      </c>
      <c r="AM346" s="52"/>
      <c r="AN346" s="55">
        <v>0.27500000000000002</v>
      </c>
      <c r="AO346" s="52"/>
      <c r="AP346" s="55">
        <v>0.27500000000000002</v>
      </c>
      <c r="AQ346" s="52"/>
      <c r="AR346" s="52"/>
      <c r="AS346" s="52" t="s">
        <v>3696</v>
      </c>
      <c r="AT346" s="52"/>
      <c r="AU346" s="52"/>
      <c r="AV346" s="52"/>
      <c r="AW346" s="52" t="s">
        <v>286</v>
      </c>
    </row>
    <row r="347" spans="1:49">
      <c r="A347" s="52">
        <v>6015024</v>
      </c>
      <c r="B347" s="52" t="s">
        <v>3723</v>
      </c>
      <c r="C347" s="52" t="s">
        <v>3692</v>
      </c>
      <c r="D347" s="53">
        <v>46155.375</v>
      </c>
      <c r="E347" s="53">
        <v>46154.672222222223</v>
      </c>
      <c r="F347" s="53">
        <v>46155.78125</v>
      </c>
      <c r="G347" s="53">
        <v>46167.333333333336</v>
      </c>
      <c r="H347" s="53">
        <v>46155.853472222225</v>
      </c>
      <c r="I347" s="52" t="s">
        <v>3693</v>
      </c>
      <c r="J347" s="52" t="s">
        <v>3693</v>
      </c>
      <c r="K347" s="53">
        <v>46155.853472222225</v>
      </c>
      <c r="L347" s="52"/>
      <c r="M347" s="54">
        <v>6.916666666666667</v>
      </c>
      <c r="N347" s="54">
        <v>3.0812499999999998</v>
      </c>
      <c r="O347" s="52"/>
      <c r="P347" s="52"/>
      <c r="Q347" s="52"/>
      <c r="R347" s="52"/>
      <c r="S347" s="52"/>
      <c r="T347" s="52" t="s">
        <v>3695</v>
      </c>
      <c r="U347" s="52" t="s">
        <v>3695</v>
      </c>
      <c r="V347" s="52"/>
      <c r="W347" s="52"/>
      <c r="X347" s="52"/>
      <c r="Y347" s="52"/>
      <c r="Z347" s="52" t="s">
        <v>3696</v>
      </c>
      <c r="AA347" s="52" t="s">
        <v>1246</v>
      </c>
      <c r="AB347" s="52" t="s">
        <v>140</v>
      </c>
      <c r="AC347" s="52" t="s">
        <v>3703</v>
      </c>
      <c r="AD347" s="52" t="s">
        <v>3704</v>
      </c>
      <c r="AE347" s="52"/>
      <c r="AF347" s="52" t="s">
        <v>3737</v>
      </c>
      <c r="AG347" s="52" t="s">
        <v>3704</v>
      </c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>
        <v>0</v>
      </c>
      <c r="AT347" s="52"/>
      <c r="AU347" s="52"/>
      <c r="AV347" s="52" t="s">
        <v>3411</v>
      </c>
      <c r="AW347" s="52"/>
    </row>
    <row r="348" spans="1:49">
      <c r="A348" s="52">
        <v>6015024</v>
      </c>
      <c r="B348" s="52" t="s">
        <v>3723</v>
      </c>
      <c r="C348" s="52" t="s">
        <v>3698</v>
      </c>
      <c r="D348" s="53">
        <v>46155.375</v>
      </c>
      <c r="E348" s="53">
        <v>46154.672222222223</v>
      </c>
      <c r="F348" s="53">
        <v>46155.821527777778</v>
      </c>
      <c r="G348" s="53">
        <v>46167.333333333336</v>
      </c>
      <c r="H348" s="52"/>
      <c r="I348" s="52"/>
      <c r="J348" s="52" t="s">
        <v>3693</v>
      </c>
      <c r="K348" s="52"/>
      <c r="L348" s="52"/>
      <c r="M348" s="54">
        <v>11.511805555555556</v>
      </c>
      <c r="N348" s="54">
        <v>2.6347222222222224</v>
      </c>
      <c r="O348" s="52" t="s">
        <v>3940</v>
      </c>
      <c r="P348" s="52" t="s">
        <v>1246</v>
      </c>
      <c r="Q348" s="52" t="s">
        <v>3279</v>
      </c>
      <c r="R348" s="52"/>
      <c r="S348" s="52" t="s">
        <v>3756</v>
      </c>
      <c r="T348" s="52" t="s">
        <v>3695</v>
      </c>
      <c r="U348" s="52" t="s">
        <v>3695</v>
      </c>
      <c r="V348" s="52" t="s">
        <v>3281</v>
      </c>
      <c r="W348" s="52">
        <v>49933173871</v>
      </c>
      <c r="X348" s="52" t="s">
        <v>73</v>
      </c>
      <c r="Y348" s="52" t="s">
        <v>3738</v>
      </c>
      <c r="Z348" s="52" t="s">
        <v>3696</v>
      </c>
      <c r="AA348" s="52" t="s">
        <v>3710</v>
      </c>
      <c r="AB348" s="52"/>
      <c r="AC348" s="52" t="s">
        <v>3703</v>
      </c>
      <c r="AD348" s="52" t="s">
        <v>3704</v>
      </c>
      <c r="AE348" s="52" t="s">
        <v>140</v>
      </c>
      <c r="AF348" s="52" t="s">
        <v>3737</v>
      </c>
      <c r="AG348" s="52" t="s">
        <v>3704</v>
      </c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 t="s">
        <v>3696</v>
      </c>
      <c r="AT348" s="52"/>
      <c r="AU348" s="52"/>
      <c r="AV348" s="52"/>
      <c r="AW348" s="52"/>
    </row>
    <row r="349" spans="1:49">
      <c r="A349" s="52">
        <v>6015024</v>
      </c>
      <c r="B349" s="52" t="s">
        <v>3723</v>
      </c>
      <c r="C349" s="52" t="s">
        <v>3698</v>
      </c>
      <c r="D349" s="53">
        <v>46155.375</v>
      </c>
      <c r="E349" s="53">
        <v>46154.672222222223</v>
      </c>
      <c r="F349" s="53">
        <v>46155.821527777778</v>
      </c>
      <c r="G349" s="53">
        <v>46167.333333333336</v>
      </c>
      <c r="H349" s="52"/>
      <c r="I349" s="52"/>
      <c r="J349" s="52" t="s">
        <v>3693</v>
      </c>
      <c r="K349" s="52"/>
      <c r="L349" s="52"/>
      <c r="M349" s="54">
        <v>11.511805555555556</v>
      </c>
      <c r="N349" s="54">
        <v>2.6347222222222224</v>
      </c>
      <c r="O349" s="52" t="s">
        <v>3940</v>
      </c>
      <c r="P349" s="52" t="s">
        <v>1246</v>
      </c>
      <c r="Q349" s="52" t="s">
        <v>3279</v>
      </c>
      <c r="R349" s="52"/>
      <c r="S349" s="52" t="s">
        <v>3756</v>
      </c>
      <c r="T349" s="52" t="s">
        <v>3695</v>
      </c>
      <c r="U349" s="52" t="s">
        <v>3695</v>
      </c>
      <c r="V349" s="52" t="s">
        <v>3281</v>
      </c>
      <c r="W349" s="52">
        <v>49933173871</v>
      </c>
      <c r="X349" s="52" t="s">
        <v>73</v>
      </c>
      <c r="Y349" s="52" t="s">
        <v>3738</v>
      </c>
      <c r="Z349" s="52" t="s">
        <v>3696</v>
      </c>
      <c r="AA349" s="52" t="s">
        <v>3710</v>
      </c>
      <c r="AB349" s="52"/>
      <c r="AC349" s="52" t="s">
        <v>3703</v>
      </c>
      <c r="AD349" s="52" t="s">
        <v>3704</v>
      </c>
      <c r="AE349" s="52"/>
      <c r="AF349" s="52" t="s">
        <v>3737</v>
      </c>
      <c r="AG349" s="52" t="s">
        <v>3704</v>
      </c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 t="s">
        <v>3696</v>
      </c>
      <c r="AT349" s="52"/>
      <c r="AU349" s="52"/>
      <c r="AV349" s="52"/>
      <c r="AW349" s="52" t="s">
        <v>3411</v>
      </c>
    </row>
    <row r="350" spans="1:49">
      <c r="A350" s="52">
        <v>6015024</v>
      </c>
      <c r="B350" s="52" t="s">
        <v>3723</v>
      </c>
      <c r="C350" s="52" t="s">
        <v>3698</v>
      </c>
      <c r="D350" s="53">
        <v>46155.375</v>
      </c>
      <c r="E350" s="53">
        <v>46154.672222222223</v>
      </c>
      <c r="F350" s="53">
        <v>46155.82916666667</v>
      </c>
      <c r="G350" s="53">
        <v>46167.333333333336</v>
      </c>
      <c r="H350" s="53">
        <v>46155.872916666667</v>
      </c>
      <c r="I350" s="52"/>
      <c r="J350" s="52" t="s">
        <v>3693</v>
      </c>
      <c r="K350" s="52"/>
      <c r="L350" s="52"/>
      <c r="M350" s="54">
        <v>11.504166666666666</v>
      </c>
      <c r="N350" s="54">
        <v>2.6270833333333332</v>
      </c>
      <c r="O350" s="52" t="s">
        <v>3280</v>
      </c>
      <c r="P350" s="52" t="s">
        <v>1246</v>
      </c>
      <c r="Q350" s="52" t="s">
        <v>3279</v>
      </c>
      <c r="R350" s="52"/>
      <c r="S350" s="52" t="s">
        <v>789</v>
      </c>
      <c r="T350" s="52" t="s">
        <v>3736</v>
      </c>
      <c r="U350" s="52" t="s">
        <v>3941</v>
      </c>
      <c r="V350" s="52" t="s">
        <v>3281</v>
      </c>
      <c r="W350" s="52">
        <v>49933173871</v>
      </c>
      <c r="X350" s="52" t="s">
        <v>73</v>
      </c>
      <c r="Y350" s="52" t="s">
        <v>3738</v>
      </c>
      <c r="Z350" s="52" t="s">
        <v>3696</v>
      </c>
      <c r="AA350" s="52" t="s">
        <v>3710</v>
      </c>
      <c r="AB350" s="52"/>
      <c r="AC350" s="52" t="s">
        <v>3703</v>
      </c>
      <c r="AD350" s="52" t="s">
        <v>3704</v>
      </c>
      <c r="AE350" s="52" t="s">
        <v>140</v>
      </c>
      <c r="AF350" s="52" t="s">
        <v>3737</v>
      </c>
      <c r="AG350" s="52" t="s">
        <v>3704</v>
      </c>
      <c r="AH350" s="52"/>
      <c r="AI350" s="52"/>
      <c r="AJ350" s="52"/>
      <c r="AK350" s="52"/>
      <c r="AL350" s="55">
        <v>4.027777777777778E-2</v>
      </c>
      <c r="AM350" s="52"/>
      <c r="AN350" s="52"/>
      <c r="AO350" s="52"/>
      <c r="AP350" s="55">
        <v>4.027777777777778E-2</v>
      </c>
      <c r="AQ350" s="52"/>
      <c r="AR350" s="52"/>
      <c r="AS350" s="52" t="s">
        <v>3696</v>
      </c>
      <c r="AT350" s="52"/>
      <c r="AU350" s="52"/>
      <c r="AV350" s="52"/>
      <c r="AW350" s="52"/>
    </row>
    <row r="351" spans="1:49">
      <c r="A351" s="52">
        <v>6015024</v>
      </c>
      <c r="B351" s="52" t="s">
        <v>3723</v>
      </c>
      <c r="C351" s="52" t="s">
        <v>3698</v>
      </c>
      <c r="D351" s="53">
        <v>46155.375</v>
      </c>
      <c r="E351" s="53">
        <v>46154.672222222223</v>
      </c>
      <c r="F351" s="53">
        <v>46155.82916666667</v>
      </c>
      <c r="G351" s="53">
        <v>46167.333333333336</v>
      </c>
      <c r="H351" s="53">
        <v>46155.872916666667</v>
      </c>
      <c r="I351" s="52"/>
      <c r="J351" s="52" t="s">
        <v>3693</v>
      </c>
      <c r="K351" s="52"/>
      <c r="L351" s="52"/>
      <c r="M351" s="54">
        <v>11.504166666666666</v>
      </c>
      <c r="N351" s="54">
        <v>2.6270833333333332</v>
      </c>
      <c r="O351" s="52" t="s">
        <v>3280</v>
      </c>
      <c r="P351" s="52" t="s">
        <v>1246</v>
      </c>
      <c r="Q351" s="52" t="s">
        <v>3279</v>
      </c>
      <c r="R351" s="52"/>
      <c r="S351" s="52" t="s">
        <v>789</v>
      </c>
      <c r="T351" s="52" t="s">
        <v>3736</v>
      </c>
      <c r="U351" s="52" t="s">
        <v>3941</v>
      </c>
      <c r="V351" s="52" t="s">
        <v>3281</v>
      </c>
      <c r="W351" s="52">
        <v>49933173871</v>
      </c>
      <c r="X351" s="52" t="s">
        <v>73</v>
      </c>
      <c r="Y351" s="52" t="s">
        <v>3738</v>
      </c>
      <c r="Z351" s="52" t="s">
        <v>3696</v>
      </c>
      <c r="AA351" s="52" t="s">
        <v>3710</v>
      </c>
      <c r="AB351" s="52"/>
      <c r="AC351" s="52" t="s">
        <v>3703</v>
      </c>
      <c r="AD351" s="52" t="s">
        <v>3704</v>
      </c>
      <c r="AE351" s="52"/>
      <c r="AF351" s="52" t="s">
        <v>3737</v>
      </c>
      <c r="AG351" s="52" t="s">
        <v>3704</v>
      </c>
      <c r="AH351" s="52"/>
      <c r="AI351" s="52"/>
      <c r="AJ351" s="52"/>
      <c r="AK351" s="52"/>
      <c r="AL351" s="55">
        <v>4.027777777777778E-2</v>
      </c>
      <c r="AM351" s="52"/>
      <c r="AN351" s="52"/>
      <c r="AO351" s="52"/>
      <c r="AP351" s="55">
        <v>4.027777777777778E-2</v>
      </c>
      <c r="AQ351" s="52"/>
      <c r="AR351" s="52"/>
      <c r="AS351" s="52" t="s">
        <v>3696</v>
      </c>
      <c r="AT351" s="52"/>
      <c r="AU351" s="52"/>
      <c r="AV351" s="52"/>
      <c r="AW351" s="52" t="s">
        <v>3411</v>
      </c>
    </row>
    <row r="352" spans="1:49">
      <c r="A352" s="52">
        <v>6015025</v>
      </c>
      <c r="B352" s="52" t="s">
        <v>3723</v>
      </c>
      <c r="C352" s="52" t="s">
        <v>3692</v>
      </c>
      <c r="D352" s="53">
        <v>46157.458333333336</v>
      </c>
      <c r="E352" s="53">
        <v>46157.413888888892</v>
      </c>
      <c r="F352" s="53">
        <v>46157.65</v>
      </c>
      <c r="G352" s="53">
        <v>46165.020833333336</v>
      </c>
      <c r="H352" s="53">
        <v>46157.656944444447</v>
      </c>
      <c r="I352" s="52" t="s">
        <v>3693</v>
      </c>
      <c r="J352" s="52" t="s">
        <v>3693</v>
      </c>
      <c r="K352" s="52"/>
      <c r="L352" s="52"/>
      <c r="M352" s="54">
        <v>2.2708333333333335</v>
      </c>
      <c r="N352" s="54">
        <v>6.5645833333333332</v>
      </c>
      <c r="O352" s="52"/>
      <c r="P352" s="52"/>
      <c r="Q352" s="52"/>
      <c r="R352" s="52"/>
      <c r="S352" s="52"/>
      <c r="T352" s="52" t="s">
        <v>3695</v>
      </c>
      <c r="U352" s="52" t="s">
        <v>3942</v>
      </c>
      <c r="V352" s="52"/>
      <c r="W352" s="52"/>
      <c r="X352" s="52"/>
      <c r="Y352" s="52"/>
      <c r="Z352" s="52" t="s">
        <v>3696</v>
      </c>
      <c r="AA352" s="52" t="s">
        <v>227</v>
      </c>
      <c r="AB352" s="52" t="s">
        <v>140</v>
      </c>
      <c r="AC352" s="52" t="s">
        <v>3703</v>
      </c>
      <c r="AD352" s="52" t="s">
        <v>3704</v>
      </c>
      <c r="AE352" s="52"/>
      <c r="AF352" s="52" t="s">
        <v>3703</v>
      </c>
      <c r="AG352" s="52" t="s">
        <v>3704</v>
      </c>
      <c r="AH352" s="52"/>
      <c r="AI352" s="52"/>
      <c r="AJ352" s="52"/>
      <c r="AK352" s="52"/>
      <c r="AL352" s="55">
        <v>0.19236111111111112</v>
      </c>
      <c r="AM352" s="52"/>
      <c r="AN352" s="52"/>
      <c r="AO352" s="52"/>
      <c r="AP352" s="52"/>
      <c r="AQ352" s="52"/>
      <c r="AR352" s="52"/>
      <c r="AS352" s="52">
        <v>0</v>
      </c>
      <c r="AT352" s="52"/>
      <c r="AU352" s="52"/>
      <c r="AV352" s="52" t="s">
        <v>3231</v>
      </c>
      <c r="AW352" s="52"/>
    </row>
    <row r="353" spans="1:49">
      <c r="A353" s="52">
        <v>6015025</v>
      </c>
      <c r="B353" s="52" t="s">
        <v>3723</v>
      </c>
      <c r="C353" s="52" t="s">
        <v>3698</v>
      </c>
      <c r="D353" s="53">
        <v>46157.458333333336</v>
      </c>
      <c r="E353" s="53">
        <v>46157.413888888892</v>
      </c>
      <c r="F353" s="53">
        <v>46157.754861111112</v>
      </c>
      <c r="G353" s="53">
        <v>46158.736111111109</v>
      </c>
      <c r="H353" s="53">
        <v>46158.337500000001</v>
      </c>
      <c r="I353" s="52"/>
      <c r="J353" s="52" t="s">
        <v>3693</v>
      </c>
      <c r="K353" s="53">
        <v>46158.922222222223</v>
      </c>
      <c r="L353" s="52"/>
      <c r="M353" s="55">
        <v>0.98124999999999996</v>
      </c>
      <c r="N353" s="55">
        <v>0.70138888888888884</v>
      </c>
      <c r="O353" s="52" t="s">
        <v>3592</v>
      </c>
      <c r="P353" s="52" t="s">
        <v>227</v>
      </c>
      <c r="Q353" s="52" t="s">
        <v>1176</v>
      </c>
      <c r="R353" s="52" t="s">
        <v>2682</v>
      </c>
      <c r="S353" s="52" t="s">
        <v>789</v>
      </c>
      <c r="T353" s="52" t="s">
        <v>3695</v>
      </c>
      <c r="U353" s="52" t="s">
        <v>3942</v>
      </c>
      <c r="V353" s="52" t="s">
        <v>1182</v>
      </c>
      <c r="W353" s="52">
        <v>29795098845</v>
      </c>
      <c r="X353" s="52" t="s">
        <v>73</v>
      </c>
      <c r="Y353" s="52"/>
      <c r="Z353" s="52" t="s">
        <v>3696</v>
      </c>
      <c r="AA353" s="52" t="s">
        <v>3710</v>
      </c>
      <c r="AB353" s="52"/>
      <c r="AC353" s="52" t="s">
        <v>3703</v>
      </c>
      <c r="AD353" s="52" t="s">
        <v>3704</v>
      </c>
      <c r="AE353" s="52" t="s">
        <v>140</v>
      </c>
      <c r="AF353" s="52" t="s">
        <v>3725</v>
      </c>
      <c r="AG353" s="52" t="s">
        <v>3726</v>
      </c>
      <c r="AH353" s="52"/>
      <c r="AI353" s="53">
        <v>46157.656944444447</v>
      </c>
      <c r="AJ353" s="53">
        <v>46157.849305555559</v>
      </c>
      <c r="AK353" s="53">
        <v>46157.656944444447</v>
      </c>
      <c r="AL353" s="55">
        <v>0.21458333333333332</v>
      </c>
      <c r="AM353" s="52"/>
      <c r="AN353" s="55">
        <v>0.19236111111111112</v>
      </c>
      <c r="AO353" s="52"/>
      <c r="AP353" s="55">
        <v>0.21458333333333332</v>
      </c>
      <c r="AQ353" s="52"/>
      <c r="AR353" s="52"/>
      <c r="AS353" s="52" t="s">
        <v>3696</v>
      </c>
      <c r="AT353" s="52"/>
      <c r="AU353" s="52"/>
      <c r="AV353" s="52"/>
      <c r="AW353" s="52"/>
    </row>
    <row r="354" spans="1:49">
      <c r="A354" s="52">
        <v>6015025</v>
      </c>
      <c r="B354" s="52" t="s">
        <v>3723</v>
      </c>
      <c r="C354" s="52" t="s">
        <v>3698</v>
      </c>
      <c r="D354" s="53">
        <v>46157.458333333336</v>
      </c>
      <c r="E354" s="53">
        <v>46157.413888888892</v>
      </c>
      <c r="F354" s="53">
        <v>46157.754861111112</v>
      </c>
      <c r="G354" s="53">
        <v>46158.736111111109</v>
      </c>
      <c r="H354" s="53">
        <v>46158.337500000001</v>
      </c>
      <c r="I354" s="52"/>
      <c r="J354" s="52" t="s">
        <v>3693</v>
      </c>
      <c r="K354" s="53">
        <v>46158.922222222223</v>
      </c>
      <c r="L354" s="52"/>
      <c r="M354" s="55">
        <v>0.98124999999999996</v>
      </c>
      <c r="N354" s="55">
        <v>0.70138888888888884</v>
      </c>
      <c r="O354" s="52" t="s">
        <v>3592</v>
      </c>
      <c r="P354" s="52" t="s">
        <v>227</v>
      </c>
      <c r="Q354" s="52" t="s">
        <v>1176</v>
      </c>
      <c r="R354" s="52" t="s">
        <v>2682</v>
      </c>
      <c r="S354" s="52" t="s">
        <v>789</v>
      </c>
      <c r="T354" s="52" t="s">
        <v>3695</v>
      </c>
      <c r="U354" s="52" t="s">
        <v>3942</v>
      </c>
      <c r="V354" s="52" t="s">
        <v>1182</v>
      </c>
      <c r="W354" s="52">
        <v>29795098845</v>
      </c>
      <c r="X354" s="52" t="s">
        <v>73</v>
      </c>
      <c r="Y354" s="52"/>
      <c r="Z354" s="52" t="s">
        <v>3696</v>
      </c>
      <c r="AA354" s="52" t="s">
        <v>3710</v>
      </c>
      <c r="AB354" s="52"/>
      <c r="AC354" s="52" t="s">
        <v>3703</v>
      </c>
      <c r="AD354" s="52" t="s">
        <v>3704</v>
      </c>
      <c r="AE354" s="52"/>
      <c r="AF354" s="52" t="s">
        <v>3725</v>
      </c>
      <c r="AG354" s="52" t="s">
        <v>3726</v>
      </c>
      <c r="AH354" s="52"/>
      <c r="AI354" s="53">
        <v>46157.656944444447</v>
      </c>
      <c r="AJ354" s="53">
        <v>46157.849305555559</v>
      </c>
      <c r="AK354" s="53">
        <v>46157.656944444447</v>
      </c>
      <c r="AL354" s="55">
        <v>0.21458333333333332</v>
      </c>
      <c r="AM354" s="52"/>
      <c r="AN354" s="55">
        <v>0.19236111111111112</v>
      </c>
      <c r="AO354" s="52"/>
      <c r="AP354" s="55">
        <v>0.21458333333333332</v>
      </c>
      <c r="AQ354" s="52"/>
      <c r="AR354" s="52"/>
      <c r="AS354" s="52" t="s">
        <v>3696</v>
      </c>
      <c r="AT354" s="52"/>
      <c r="AU354" s="52"/>
      <c r="AV354" s="52"/>
      <c r="AW354" s="52" t="s">
        <v>3231</v>
      </c>
    </row>
    <row r="355" spans="1:49">
      <c r="A355" s="52">
        <v>6015317</v>
      </c>
      <c r="B355" s="52" t="s">
        <v>3723</v>
      </c>
      <c r="C355" s="52" t="s">
        <v>3692</v>
      </c>
      <c r="D355" s="53">
        <v>46154.416666666664</v>
      </c>
      <c r="E355" s="53">
        <v>46153.586805555555</v>
      </c>
      <c r="F355" s="53">
        <v>46154.595833333333</v>
      </c>
      <c r="G355" s="53">
        <v>46156.333333333336</v>
      </c>
      <c r="H355" s="52"/>
      <c r="I355" s="52" t="s">
        <v>3693</v>
      </c>
      <c r="J355" s="52" t="s">
        <v>3693</v>
      </c>
      <c r="K355" s="53">
        <v>46155.493055555555</v>
      </c>
      <c r="L355" s="52"/>
      <c r="M355" s="54">
        <v>1.0534722222222221</v>
      </c>
      <c r="N355" s="54">
        <v>3.1763888888888889</v>
      </c>
      <c r="O355" s="52"/>
      <c r="P355" s="52"/>
      <c r="Q355" s="52"/>
      <c r="R355" s="52"/>
      <c r="S355" s="52"/>
      <c r="T355" s="52" t="s">
        <v>3943</v>
      </c>
      <c r="U355" s="52" t="s">
        <v>3944</v>
      </c>
      <c r="V355" s="52"/>
      <c r="W355" s="52"/>
      <c r="X355" s="52"/>
      <c r="Y355" s="52"/>
      <c r="Z355" s="52" t="s">
        <v>3696</v>
      </c>
      <c r="AA355" s="52" t="s">
        <v>1635</v>
      </c>
      <c r="AB355" s="52" t="s">
        <v>140</v>
      </c>
      <c r="AC355" s="52" t="s">
        <v>3703</v>
      </c>
      <c r="AD355" s="52" t="s">
        <v>3704</v>
      </c>
      <c r="AE355" s="52"/>
      <c r="AF355" s="52" t="s">
        <v>3705</v>
      </c>
      <c r="AG355" s="52" t="s">
        <v>3706</v>
      </c>
      <c r="AH355" s="52"/>
      <c r="AI355" s="52"/>
      <c r="AJ355" s="52"/>
      <c r="AK355" s="52"/>
      <c r="AL355" s="55">
        <v>1.3888888888888888E-2</v>
      </c>
      <c r="AM355" s="52"/>
      <c r="AN355" s="52"/>
      <c r="AO355" s="52"/>
      <c r="AP355" s="52"/>
      <c r="AQ355" s="52"/>
      <c r="AR355" s="52"/>
      <c r="AS355" s="52">
        <v>0</v>
      </c>
      <c r="AT355" s="52"/>
      <c r="AU355" s="52"/>
      <c r="AV355" s="52" t="s">
        <v>3041</v>
      </c>
      <c r="AW355" s="52"/>
    </row>
    <row r="356" spans="1:49">
      <c r="A356" s="52">
        <v>6015317</v>
      </c>
      <c r="B356" s="52" t="s">
        <v>3723</v>
      </c>
      <c r="C356" s="52" t="s">
        <v>3698</v>
      </c>
      <c r="D356" s="53">
        <v>46154.416666666664</v>
      </c>
      <c r="E356" s="53">
        <v>46153.586805555555</v>
      </c>
      <c r="F356" s="53">
        <v>46154.602083333331</v>
      </c>
      <c r="G356" s="53">
        <v>46156.333333333336</v>
      </c>
      <c r="H356" s="53">
        <v>46154.759027777778</v>
      </c>
      <c r="I356" s="52"/>
      <c r="J356" s="52" t="s">
        <v>3693</v>
      </c>
      <c r="K356" s="53">
        <v>46155.493055555555</v>
      </c>
      <c r="L356" s="52"/>
      <c r="M356" s="54">
        <v>1.73125</v>
      </c>
      <c r="N356" s="54">
        <v>3.8541666666666665</v>
      </c>
      <c r="O356" s="52" t="s">
        <v>3037</v>
      </c>
      <c r="P356" s="52" t="s">
        <v>1635</v>
      </c>
      <c r="Q356" s="52" t="s">
        <v>3036</v>
      </c>
      <c r="R356" s="52" t="s">
        <v>3044</v>
      </c>
      <c r="S356" s="52" t="s">
        <v>789</v>
      </c>
      <c r="T356" s="52" t="s">
        <v>3943</v>
      </c>
      <c r="U356" s="52" t="s">
        <v>3944</v>
      </c>
      <c r="V356" s="52" t="s">
        <v>3945</v>
      </c>
      <c r="W356" s="52">
        <v>26493481864</v>
      </c>
      <c r="X356" s="52" t="s">
        <v>73</v>
      </c>
      <c r="Y356" s="52" t="s">
        <v>3879</v>
      </c>
      <c r="Z356" s="52" t="s">
        <v>3696</v>
      </c>
      <c r="AA356" s="52" t="s">
        <v>3710</v>
      </c>
      <c r="AB356" s="52"/>
      <c r="AC356" s="52" t="s">
        <v>3703</v>
      </c>
      <c r="AD356" s="52" t="s">
        <v>3704</v>
      </c>
      <c r="AE356" s="52" t="s">
        <v>140</v>
      </c>
      <c r="AF356" s="52" t="s">
        <v>3705</v>
      </c>
      <c r="AG356" s="52" t="s">
        <v>3706</v>
      </c>
      <c r="AH356" s="52"/>
      <c r="AI356" s="53">
        <v>46154.604861111111</v>
      </c>
      <c r="AJ356" s="53">
        <v>46154.618750000001</v>
      </c>
      <c r="AK356" s="53">
        <v>46154.604861111111</v>
      </c>
      <c r="AL356" s="55">
        <v>1.3888888888888888E-2</v>
      </c>
      <c r="AM356" s="52"/>
      <c r="AN356" s="55">
        <v>1.3888888888888888E-2</v>
      </c>
      <c r="AO356" s="52"/>
      <c r="AP356" s="55">
        <v>1.3888888888888888E-2</v>
      </c>
      <c r="AQ356" s="52"/>
      <c r="AR356" s="52"/>
      <c r="AS356" s="52" t="s">
        <v>3696</v>
      </c>
      <c r="AT356" s="52"/>
      <c r="AU356" s="52"/>
      <c r="AV356" s="52"/>
      <c r="AW356" s="52"/>
    </row>
    <row r="357" spans="1:49">
      <c r="A357" s="52">
        <v>6015317</v>
      </c>
      <c r="B357" s="52" t="s">
        <v>3723</v>
      </c>
      <c r="C357" s="52" t="s">
        <v>3698</v>
      </c>
      <c r="D357" s="53">
        <v>46154.416666666664</v>
      </c>
      <c r="E357" s="53">
        <v>46153.586805555555</v>
      </c>
      <c r="F357" s="53">
        <v>46154.602083333331</v>
      </c>
      <c r="G357" s="53">
        <v>46156.333333333336</v>
      </c>
      <c r="H357" s="53">
        <v>46154.759027777778</v>
      </c>
      <c r="I357" s="52"/>
      <c r="J357" s="52" t="s">
        <v>3693</v>
      </c>
      <c r="K357" s="53">
        <v>46155.493055555555</v>
      </c>
      <c r="L357" s="52"/>
      <c r="M357" s="54">
        <v>1.73125</v>
      </c>
      <c r="N357" s="54">
        <v>3.8541666666666665</v>
      </c>
      <c r="O357" s="52" t="s">
        <v>3037</v>
      </c>
      <c r="P357" s="52" t="s">
        <v>1635</v>
      </c>
      <c r="Q357" s="52" t="s">
        <v>3036</v>
      </c>
      <c r="R357" s="52" t="s">
        <v>3044</v>
      </c>
      <c r="S357" s="52" t="s">
        <v>789</v>
      </c>
      <c r="T357" s="52" t="s">
        <v>3943</v>
      </c>
      <c r="U357" s="52" t="s">
        <v>3944</v>
      </c>
      <c r="V357" s="52" t="s">
        <v>3945</v>
      </c>
      <c r="W357" s="52">
        <v>26493481864</v>
      </c>
      <c r="X357" s="52" t="s">
        <v>73</v>
      </c>
      <c r="Y357" s="52" t="s">
        <v>3879</v>
      </c>
      <c r="Z357" s="52" t="s">
        <v>3696</v>
      </c>
      <c r="AA357" s="52" t="s">
        <v>3710</v>
      </c>
      <c r="AB357" s="52"/>
      <c r="AC357" s="52" t="s">
        <v>3703</v>
      </c>
      <c r="AD357" s="52" t="s">
        <v>3704</v>
      </c>
      <c r="AE357" s="52"/>
      <c r="AF357" s="52" t="s">
        <v>3705</v>
      </c>
      <c r="AG357" s="52" t="s">
        <v>3706</v>
      </c>
      <c r="AH357" s="52"/>
      <c r="AI357" s="53">
        <v>46154.604861111111</v>
      </c>
      <c r="AJ357" s="53">
        <v>46154.618750000001</v>
      </c>
      <c r="AK357" s="53">
        <v>46154.604861111111</v>
      </c>
      <c r="AL357" s="55">
        <v>1.3888888888888888E-2</v>
      </c>
      <c r="AM357" s="52"/>
      <c r="AN357" s="55">
        <v>1.3888888888888888E-2</v>
      </c>
      <c r="AO357" s="52"/>
      <c r="AP357" s="55">
        <v>1.3888888888888888E-2</v>
      </c>
      <c r="AQ357" s="52"/>
      <c r="AR357" s="52"/>
      <c r="AS357" s="52" t="s">
        <v>3696</v>
      </c>
      <c r="AT357" s="52"/>
      <c r="AU357" s="52"/>
      <c r="AV357" s="52"/>
      <c r="AW357" s="52" t="s">
        <v>3041</v>
      </c>
    </row>
    <row r="358" spans="1:49">
      <c r="A358" s="52">
        <v>6015351</v>
      </c>
      <c r="B358" s="52" t="s">
        <v>3691</v>
      </c>
      <c r="C358" s="52" t="s">
        <v>3692</v>
      </c>
      <c r="D358" s="53">
        <v>46160.583333333336</v>
      </c>
      <c r="E358" s="53">
        <v>46157.709027777775</v>
      </c>
      <c r="F358" s="52"/>
      <c r="G358" s="52"/>
      <c r="H358" s="52"/>
      <c r="I358" s="52" t="s">
        <v>3693</v>
      </c>
      <c r="J358" s="52" t="s">
        <v>3694</v>
      </c>
      <c r="K358" s="52"/>
      <c r="L358" s="52"/>
      <c r="M358" s="55">
        <v>0.44236111111111109</v>
      </c>
      <c r="N358" s="54">
        <v>3.4347222222222222</v>
      </c>
      <c r="O358" s="52"/>
      <c r="P358" s="52"/>
      <c r="Q358" s="52"/>
      <c r="R358" s="52"/>
      <c r="S358" s="52"/>
      <c r="T358" s="52" t="s">
        <v>3695</v>
      </c>
      <c r="U358" s="52" t="s">
        <v>3695</v>
      </c>
      <c r="V358" s="52"/>
      <c r="W358" s="52"/>
      <c r="X358" s="52"/>
      <c r="Y358" s="52"/>
      <c r="Z358" s="52" t="s">
        <v>3696</v>
      </c>
      <c r="AA358" s="52" t="s">
        <v>227</v>
      </c>
      <c r="AB358" s="52" t="s">
        <v>79</v>
      </c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>
        <v>0</v>
      </c>
      <c r="AT358" s="52"/>
      <c r="AU358" s="52"/>
      <c r="AV358" s="52" t="s">
        <v>2300</v>
      </c>
      <c r="AW358" s="52"/>
    </row>
    <row r="359" spans="1:49">
      <c r="A359" s="52">
        <v>6015351</v>
      </c>
      <c r="B359" s="52" t="s">
        <v>3691</v>
      </c>
      <c r="C359" s="52" t="s">
        <v>3698</v>
      </c>
      <c r="D359" s="53">
        <v>46160.583333333336</v>
      </c>
      <c r="E359" s="53">
        <v>46157.709027777775</v>
      </c>
      <c r="F359" s="52"/>
      <c r="G359" s="52"/>
      <c r="H359" s="52"/>
      <c r="I359" s="52"/>
      <c r="J359" s="52" t="s">
        <v>3694</v>
      </c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 t="s">
        <v>3696</v>
      </c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>
        <v>0</v>
      </c>
      <c r="AT359" s="52"/>
      <c r="AU359" s="52"/>
      <c r="AV359" s="52"/>
      <c r="AW359" s="52"/>
    </row>
    <row r="360" spans="1:49">
      <c r="A360" s="52">
        <v>6015357</v>
      </c>
      <c r="B360" s="52" t="s">
        <v>3691</v>
      </c>
      <c r="C360" s="52" t="s">
        <v>3692</v>
      </c>
      <c r="D360" s="53">
        <v>46158.416666666664</v>
      </c>
      <c r="E360" s="53">
        <v>46157.584722222222</v>
      </c>
      <c r="F360" s="52"/>
      <c r="G360" s="52"/>
      <c r="H360" s="52"/>
      <c r="I360" s="52" t="s">
        <v>3693</v>
      </c>
      <c r="J360" s="52" t="s">
        <v>3694</v>
      </c>
      <c r="K360" s="52"/>
      <c r="L360" s="52"/>
      <c r="M360" s="55">
        <v>0.42986111111111114</v>
      </c>
      <c r="N360" s="54">
        <v>1.0722222222222222</v>
      </c>
      <c r="O360" s="52"/>
      <c r="P360" s="52"/>
      <c r="Q360" s="52"/>
      <c r="R360" s="52"/>
      <c r="S360" s="52"/>
      <c r="T360" s="52" t="s">
        <v>3695</v>
      </c>
      <c r="U360" s="52" t="s">
        <v>3695</v>
      </c>
      <c r="V360" s="52"/>
      <c r="W360" s="52"/>
      <c r="X360" s="52"/>
      <c r="Y360" s="52"/>
      <c r="Z360" s="52" t="s">
        <v>3696</v>
      </c>
      <c r="AA360" s="52" t="s">
        <v>184</v>
      </c>
      <c r="AB360" s="52" t="s">
        <v>79</v>
      </c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>
        <v>0</v>
      </c>
      <c r="AT360" s="52"/>
      <c r="AU360" s="52"/>
      <c r="AV360" s="52" t="s">
        <v>750</v>
      </c>
      <c r="AW360" s="52"/>
    </row>
    <row r="361" spans="1:49">
      <c r="A361" s="52">
        <v>6015357</v>
      </c>
      <c r="B361" s="52" t="s">
        <v>3691</v>
      </c>
      <c r="C361" s="52" t="s">
        <v>3698</v>
      </c>
      <c r="D361" s="53">
        <v>46158.416666666664</v>
      </c>
      <c r="E361" s="53">
        <v>46157.584722222222</v>
      </c>
      <c r="F361" s="52"/>
      <c r="G361" s="52"/>
      <c r="H361" s="52"/>
      <c r="I361" s="52"/>
      <c r="J361" s="52" t="s">
        <v>3694</v>
      </c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 t="s">
        <v>3696</v>
      </c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>
        <v>0</v>
      </c>
      <c r="AT361" s="52"/>
      <c r="AU361" s="52"/>
      <c r="AV361" s="52"/>
      <c r="AW361" s="52"/>
    </row>
    <row r="362" spans="1:49">
      <c r="A362" s="52">
        <v>6015426</v>
      </c>
      <c r="B362" s="52" t="s">
        <v>3716</v>
      </c>
      <c r="C362" s="52" t="s">
        <v>3692</v>
      </c>
      <c r="D362" s="53">
        <v>46155.458333333336</v>
      </c>
      <c r="E362" s="53">
        <v>46155.323611111111</v>
      </c>
      <c r="F362" s="53">
        <v>46155.498611111114</v>
      </c>
      <c r="G362" s="53">
        <v>46160.291666666664</v>
      </c>
      <c r="H362" s="52"/>
      <c r="I362" s="52" t="s">
        <v>3693</v>
      </c>
      <c r="J362" s="52" t="s">
        <v>3694</v>
      </c>
      <c r="K362" s="53">
        <v>46158.573611111111</v>
      </c>
      <c r="L362" s="52"/>
      <c r="M362" s="55">
        <v>0.5541666666666667</v>
      </c>
      <c r="N362" s="54">
        <v>1.28125</v>
      </c>
      <c r="O362" s="52"/>
      <c r="P362" s="52"/>
      <c r="Q362" s="52"/>
      <c r="R362" s="52"/>
      <c r="S362" s="52"/>
      <c r="T362" s="52" t="s">
        <v>3906</v>
      </c>
      <c r="U362" s="52" t="s">
        <v>3946</v>
      </c>
      <c r="V362" s="52"/>
      <c r="W362" s="52"/>
      <c r="X362" s="52"/>
      <c r="Y362" s="52"/>
      <c r="Z362" s="52" t="s">
        <v>3696</v>
      </c>
      <c r="AA362" s="52" t="s">
        <v>171</v>
      </c>
      <c r="AB362" s="52" t="s">
        <v>79</v>
      </c>
      <c r="AC362" s="52" t="s">
        <v>3720</v>
      </c>
      <c r="AD362" s="52" t="s">
        <v>3715</v>
      </c>
      <c r="AE362" s="52"/>
      <c r="AF362" s="52" t="s">
        <v>3899</v>
      </c>
      <c r="AG362" s="52" t="s">
        <v>3704</v>
      </c>
      <c r="AH362" s="52"/>
      <c r="AI362" s="52"/>
      <c r="AJ362" s="52"/>
      <c r="AK362" s="52"/>
      <c r="AL362" s="55">
        <v>0.5444444444444444</v>
      </c>
      <c r="AM362" s="52"/>
      <c r="AN362" s="52"/>
      <c r="AO362" s="52"/>
      <c r="AP362" s="52"/>
      <c r="AQ362" s="52"/>
      <c r="AR362" s="52"/>
      <c r="AS362" s="52">
        <v>0</v>
      </c>
      <c r="AT362" s="52"/>
      <c r="AU362" s="52"/>
      <c r="AV362" s="52" t="s">
        <v>176</v>
      </c>
      <c r="AW362" s="52"/>
    </row>
    <row r="363" spans="1:49">
      <c r="A363" s="52">
        <v>6015426</v>
      </c>
      <c r="B363" s="52" t="s">
        <v>3716</v>
      </c>
      <c r="C363" s="52" t="s">
        <v>3698</v>
      </c>
      <c r="D363" s="53">
        <v>46155.458333333336</v>
      </c>
      <c r="E363" s="53">
        <v>46155.323611111111</v>
      </c>
      <c r="F363" s="53">
        <v>46155.695138888892</v>
      </c>
      <c r="G363" s="53">
        <v>46160.291666666664</v>
      </c>
      <c r="H363" s="52"/>
      <c r="I363" s="52"/>
      <c r="J363" s="52" t="s">
        <v>3694</v>
      </c>
      <c r="K363" s="53">
        <v>46158.573611111111</v>
      </c>
      <c r="L363" s="52"/>
      <c r="M363" s="54">
        <v>4.5965277777777782</v>
      </c>
      <c r="N363" s="54">
        <v>2.7611111111111111</v>
      </c>
      <c r="O363" s="52" t="s">
        <v>170</v>
      </c>
      <c r="P363" s="52" t="s">
        <v>171</v>
      </c>
      <c r="Q363" s="52" t="s">
        <v>169</v>
      </c>
      <c r="R363" s="52" t="s">
        <v>180</v>
      </c>
      <c r="S363" s="52" t="s">
        <v>69</v>
      </c>
      <c r="T363" s="52" t="s">
        <v>3906</v>
      </c>
      <c r="U363" s="52" t="s">
        <v>3946</v>
      </c>
      <c r="V363" s="52" t="s">
        <v>3947</v>
      </c>
      <c r="W363" s="52">
        <v>88710289968</v>
      </c>
      <c r="X363" s="52" t="s">
        <v>73</v>
      </c>
      <c r="Y363" s="52"/>
      <c r="Z363" s="52" t="s">
        <v>3696</v>
      </c>
      <c r="AA363" s="52" t="s">
        <v>3710</v>
      </c>
      <c r="AB363" s="52"/>
      <c r="AC363" s="52" t="s">
        <v>3720</v>
      </c>
      <c r="AD363" s="52" t="s">
        <v>3715</v>
      </c>
      <c r="AE363" s="52" t="s">
        <v>79</v>
      </c>
      <c r="AF363" s="52" t="s">
        <v>3899</v>
      </c>
      <c r="AG363" s="52" t="s">
        <v>3704</v>
      </c>
      <c r="AH363" s="52"/>
      <c r="AI363" s="53">
        <v>46155.792361111111</v>
      </c>
      <c r="AJ363" s="53">
        <v>46156.336805555555</v>
      </c>
      <c r="AK363" s="53">
        <v>46155.792361111111</v>
      </c>
      <c r="AL363" s="55">
        <v>0.5444444444444444</v>
      </c>
      <c r="AM363" s="52"/>
      <c r="AN363" s="55">
        <v>0.5444444444444444</v>
      </c>
      <c r="AO363" s="52"/>
      <c r="AP363" s="55">
        <v>0.5444444444444444</v>
      </c>
      <c r="AQ363" s="52"/>
      <c r="AR363" s="52"/>
      <c r="AS363" s="52" t="s">
        <v>3696</v>
      </c>
      <c r="AT363" s="52"/>
      <c r="AU363" s="52"/>
      <c r="AV363" s="52"/>
      <c r="AW363" s="52"/>
    </row>
    <row r="364" spans="1:49">
      <c r="A364" s="52">
        <v>6015426</v>
      </c>
      <c r="B364" s="52" t="s">
        <v>3716</v>
      </c>
      <c r="C364" s="52" t="s">
        <v>3698</v>
      </c>
      <c r="D364" s="53">
        <v>46155.458333333336</v>
      </c>
      <c r="E364" s="53">
        <v>46155.323611111111</v>
      </c>
      <c r="F364" s="53">
        <v>46155.695138888892</v>
      </c>
      <c r="G364" s="53">
        <v>46160.291666666664</v>
      </c>
      <c r="H364" s="52"/>
      <c r="I364" s="52"/>
      <c r="J364" s="52" t="s">
        <v>3694</v>
      </c>
      <c r="K364" s="53">
        <v>46158.573611111111</v>
      </c>
      <c r="L364" s="52"/>
      <c r="M364" s="54">
        <v>4.5965277777777782</v>
      </c>
      <c r="N364" s="54">
        <v>2.7611111111111111</v>
      </c>
      <c r="O364" s="52" t="s">
        <v>170</v>
      </c>
      <c r="P364" s="52" t="s">
        <v>171</v>
      </c>
      <c r="Q364" s="52" t="s">
        <v>169</v>
      </c>
      <c r="R364" s="52" t="s">
        <v>180</v>
      </c>
      <c r="S364" s="52" t="s">
        <v>69</v>
      </c>
      <c r="T364" s="52" t="s">
        <v>3906</v>
      </c>
      <c r="U364" s="52" t="s">
        <v>3946</v>
      </c>
      <c r="V364" s="52" t="s">
        <v>3947</v>
      </c>
      <c r="W364" s="52">
        <v>88710289968</v>
      </c>
      <c r="X364" s="52" t="s">
        <v>73</v>
      </c>
      <c r="Y364" s="52"/>
      <c r="Z364" s="52" t="s">
        <v>3696</v>
      </c>
      <c r="AA364" s="52" t="s">
        <v>3710</v>
      </c>
      <c r="AB364" s="52"/>
      <c r="AC364" s="52" t="s">
        <v>3720</v>
      </c>
      <c r="AD364" s="52" t="s">
        <v>3715</v>
      </c>
      <c r="AE364" s="52"/>
      <c r="AF364" s="52" t="s">
        <v>3899</v>
      </c>
      <c r="AG364" s="52" t="s">
        <v>3704</v>
      </c>
      <c r="AH364" s="52"/>
      <c r="AI364" s="53">
        <v>46155.792361111111</v>
      </c>
      <c r="AJ364" s="53">
        <v>46156.336805555555</v>
      </c>
      <c r="AK364" s="53">
        <v>46155.792361111111</v>
      </c>
      <c r="AL364" s="55">
        <v>0.5444444444444444</v>
      </c>
      <c r="AM364" s="52"/>
      <c r="AN364" s="55">
        <v>0.5444444444444444</v>
      </c>
      <c r="AO364" s="52"/>
      <c r="AP364" s="55">
        <v>0.5444444444444444</v>
      </c>
      <c r="AQ364" s="52"/>
      <c r="AR364" s="52"/>
      <c r="AS364" s="52" t="s">
        <v>3696</v>
      </c>
      <c r="AT364" s="52"/>
      <c r="AU364" s="52"/>
      <c r="AV364" s="52"/>
      <c r="AW364" s="52" t="s">
        <v>176</v>
      </c>
    </row>
    <row r="365" spans="1:49">
      <c r="A365" s="52">
        <v>6015427</v>
      </c>
      <c r="B365" s="52" t="s">
        <v>3716</v>
      </c>
      <c r="C365" s="52" t="s">
        <v>3692</v>
      </c>
      <c r="D365" s="53">
        <v>46155.458333333336</v>
      </c>
      <c r="E365" s="53">
        <v>46155.323611111111</v>
      </c>
      <c r="F365" s="53">
        <v>46155.498611111114</v>
      </c>
      <c r="G365" s="53">
        <v>46160.291666666664</v>
      </c>
      <c r="H365" s="52"/>
      <c r="I365" s="52" t="s">
        <v>3693</v>
      </c>
      <c r="J365" s="52" t="s">
        <v>3694</v>
      </c>
      <c r="K365" s="53">
        <v>46158.573611111111</v>
      </c>
      <c r="L365" s="52"/>
      <c r="M365" s="55">
        <v>0.5541666666666667</v>
      </c>
      <c r="N365" s="54">
        <v>1.28125</v>
      </c>
      <c r="O365" s="52"/>
      <c r="P365" s="52"/>
      <c r="Q365" s="52"/>
      <c r="R365" s="52"/>
      <c r="S365" s="52"/>
      <c r="T365" s="52" t="s">
        <v>3906</v>
      </c>
      <c r="U365" s="52" t="s">
        <v>3946</v>
      </c>
      <c r="V365" s="52"/>
      <c r="W365" s="52"/>
      <c r="X365" s="52"/>
      <c r="Y365" s="52"/>
      <c r="Z365" s="52" t="s">
        <v>3696</v>
      </c>
      <c r="AA365" s="52" t="s">
        <v>171</v>
      </c>
      <c r="AB365" s="52" t="s">
        <v>79</v>
      </c>
      <c r="AC365" s="52" t="s">
        <v>3720</v>
      </c>
      <c r="AD365" s="52" t="s">
        <v>3715</v>
      </c>
      <c r="AE365" s="52"/>
      <c r="AF365" s="52" t="s">
        <v>3899</v>
      </c>
      <c r="AG365" s="52" t="s">
        <v>3704</v>
      </c>
      <c r="AH365" s="52"/>
      <c r="AI365" s="52"/>
      <c r="AJ365" s="52"/>
      <c r="AK365" s="52"/>
      <c r="AL365" s="55">
        <v>0.5444444444444444</v>
      </c>
      <c r="AM365" s="52"/>
      <c r="AN365" s="52"/>
      <c r="AO365" s="52"/>
      <c r="AP365" s="52"/>
      <c r="AQ365" s="52"/>
      <c r="AR365" s="52"/>
      <c r="AS365" s="52">
        <v>0</v>
      </c>
      <c r="AT365" s="52"/>
      <c r="AU365" s="52"/>
      <c r="AV365" s="52" t="s">
        <v>176</v>
      </c>
      <c r="AW365" s="52"/>
    </row>
    <row r="366" spans="1:49">
      <c r="A366" s="52">
        <v>6015427</v>
      </c>
      <c r="B366" s="52" t="s">
        <v>3716</v>
      </c>
      <c r="C366" s="52" t="s">
        <v>3698</v>
      </c>
      <c r="D366" s="53">
        <v>46155.458333333336</v>
      </c>
      <c r="E366" s="53">
        <v>46155.323611111111</v>
      </c>
      <c r="F366" s="53">
        <v>46155.695138888892</v>
      </c>
      <c r="G366" s="53">
        <v>46160.291666666664</v>
      </c>
      <c r="H366" s="52"/>
      <c r="I366" s="52"/>
      <c r="J366" s="52" t="s">
        <v>3694</v>
      </c>
      <c r="K366" s="53">
        <v>46158.573611111111</v>
      </c>
      <c r="L366" s="52"/>
      <c r="M366" s="54">
        <v>4.5965277777777782</v>
      </c>
      <c r="N366" s="54">
        <v>2.7611111111111111</v>
      </c>
      <c r="O366" s="52" t="s">
        <v>170</v>
      </c>
      <c r="P366" s="52" t="s">
        <v>171</v>
      </c>
      <c r="Q366" s="52" t="s">
        <v>169</v>
      </c>
      <c r="R366" s="52" t="s">
        <v>180</v>
      </c>
      <c r="S366" s="52" t="s">
        <v>69</v>
      </c>
      <c r="T366" s="52" t="s">
        <v>3906</v>
      </c>
      <c r="U366" s="52" t="s">
        <v>3946</v>
      </c>
      <c r="V366" s="52" t="s">
        <v>3947</v>
      </c>
      <c r="W366" s="52">
        <v>88710289968</v>
      </c>
      <c r="X366" s="52" t="s">
        <v>73</v>
      </c>
      <c r="Y366" s="52"/>
      <c r="Z366" s="52" t="s">
        <v>3696</v>
      </c>
      <c r="AA366" s="52" t="s">
        <v>3710</v>
      </c>
      <c r="AB366" s="52"/>
      <c r="AC366" s="52" t="s">
        <v>3720</v>
      </c>
      <c r="AD366" s="52" t="s">
        <v>3715</v>
      </c>
      <c r="AE366" s="52" t="s">
        <v>79</v>
      </c>
      <c r="AF366" s="52" t="s">
        <v>3899</v>
      </c>
      <c r="AG366" s="52" t="s">
        <v>3704</v>
      </c>
      <c r="AH366" s="52"/>
      <c r="AI366" s="53">
        <v>46155.792361111111</v>
      </c>
      <c r="AJ366" s="53">
        <v>46156.336805555555</v>
      </c>
      <c r="AK366" s="53">
        <v>46155.792361111111</v>
      </c>
      <c r="AL366" s="55">
        <v>0.5444444444444444</v>
      </c>
      <c r="AM366" s="52"/>
      <c r="AN366" s="55">
        <v>0.5444444444444444</v>
      </c>
      <c r="AO366" s="52"/>
      <c r="AP366" s="55">
        <v>0.5444444444444444</v>
      </c>
      <c r="AQ366" s="52"/>
      <c r="AR366" s="52"/>
      <c r="AS366" s="52" t="s">
        <v>3696</v>
      </c>
      <c r="AT366" s="52"/>
      <c r="AU366" s="52"/>
      <c r="AV366" s="52"/>
      <c r="AW366" s="52"/>
    </row>
    <row r="367" spans="1:49">
      <c r="A367" s="52">
        <v>6015427</v>
      </c>
      <c r="B367" s="52" t="s">
        <v>3716</v>
      </c>
      <c r="C367" s="52" t="s">
        <v>3698</v>
      </c>
      <c r="D367" s="53">
        <v>46155.458333333336</v>
      </c>
      <c r="E367" s="53">
        <v>46155.323611111111</v>
      </c>
      <c r="F367" s="53">
        <v>46155.695138888892</v>
      </c>
      <c r="G367" s="53">
        <v>46160.291666666664</v>
      </c>
      <c r="H367" s="52"/>
      <c r="I367" s="52"/>
      <c r="J367" s="52" t="s">
        <v>3694</v>
      </c>
      <c r="K367" s="53">
        <v>46158.573611111111</v>
      </c>
      <c r="L367" s="52"/>
      <c r="M367" s="54">
        <v>4.5965277777777782</v>
      </c>
      <c r="N367" s="54">
        <v>2.7611111111111111</v>
      </c>
      <c r="O367" s="52" t="s">
        <v>170</v>
      </c>
      <c r="P367" s="52" t="s">
        <v>171</v>
      </c>
      <c r="Q367" s="52" t="s">
        <v>169</v>
      </c>
      <c r="R367" s="52" t="s">
        <v>180</v>
      </c>
      <c r="S367" s="52" t="s">
        <v>69</v>
      </c>
      <c r="T367" s="52" t="s">
        <v>3906</v>
      </c>
      <c r="U367" s="52" t="s">
        <v>3946</v>
      </c>
      <c r="V367" s="52" t="s">
        <v>3947</v>
      </c>
      <c r="W367" s="52">
        <v>88710289968</v>
      </c>
      <c r="X367" s="52" t="s">
        <v>73</v>
      </c>
      <c r="Y367" s="52"/>
      <c r="Z367" s="52" t="s">
        <v>3696</v>
      </c>
      <c r="AA367" s="52" t="s">
        <v>3710</v>
      </c>
      <c r="AB367" s="52"/>
      <c r="AC367" s="52" t="s">
        <v>3720</v>
      </c>
      <c r="AD367" s="52" t="s">
        <v>3715</v>
      </c>
      <c r="AE367" s="52"/>
      <c r="AF367" s="52" t="s">
        <v>3899</v>
      </c>
      <c r="AG367" s="52" t="s">
        <v>3704</v>
      </c>
      <c r="AH367" s="52"/>
      <c r="AI367" s="53">
        <v>46155.792361111111</v>
      </c>
      <c r="AJ367" s="53">
        <v>46156.336805555555</v>
      </c>
      <c r="AK367" s="53">
        <v>46155.792361111111</v>
      </c>
      <c r="AL367" s="55">
        <v>0.5444444444444444</v>
      </c>
      <c r="AM367" s="52"/>
      <c r="AN367" s="55">
        <v>0.5444444444444444</v>
      </c>
      <c r="AO367" s="52"/>
      <c r="AP367" s="55">
        <v>0.5444444444444444</v>
      </c>
      <c r="AQ367" s="52"/>
      <c r="AR367" s="52"/>
      <c r="AS367" s="52" t="s">
        <v>3696</v>
      </c>
      <c r="AT367" s="52"/>
      <c r="AU367" s="52"/>
      <c r="AV367" s="52"/>
      <c r="AW367" s="52" t="s">
        <v>176</v>
      </c>
    </row>
    <row r="368" spans="1:49">
      <c r="A368" s="52">
        <v>6015428</v>
      </c>
      <c r="B368" s="52" t="s">
        <v>3723</v>
      </c>
      <c r="C368" s="52" t="s">
        <v>3692</v>
      </c>
      <c r="D368" s="53">
        <v>46156.416666666664</v>
      </c>
      <c r="E368" s="53">
        <v>46155.650694444441</v>
      </c>
      <c r="F368" s="53">
        <v>46156.59097222222</v>
      </c>
      <c r="G368" s="53">
        <v>46161.291666666664</v>
      </c>
      <c r="H368" s="52"/>
      <c r="I368" s="52" t="s">
        <v>3693</v>
      </c>
      <c r="J368" s="52" t="s">
        <v>3693</v>
      </c>
      <c r="K368" s="53">
        <v>46157.370138888888</v>
      </c>
      <c r="L368" s="52"/>
      <c r="M368" s="55">
        <v>0.97013888888888888</v>
      </c>
      <c r="N368" s="54">
        <v>1.8652777777777778</v>
      </c>
      <c r="O368" s="52"/>
      <c r="P368" s="52"/>
      <c r="Q368" s="52"/>
      <c r="R368" s="52"/>
      <c r="S368" s="52"/>
      <c r="T368" s="52" t="s">
        <v>3724</v>
      </c>
      <c r="U368" s="52" t="s">
        <v>3729</v>
      </c>
      <c r="V368" s="52"/>
      <c r="W368" s="52"/>
      <c r="X368" s="52"/>
      <c r="Y368" s="52"/>
      <c r="Z368" s="52" t="s">
        <v>3696</v>
      </c>
      <c r="AA368" s="52" t="s">
        <v>227</v>
      </c>
      <c r="AB368" s="52" t="s">
        <v>79</v>
      </c>
      <c r="AC368" s="52" t="s">
        <v>3720</v>
      </c>
      <c r="AD368" s="52" t="s">
        <v>3715</v>
      </c>
      <c r="AE368" s="52"/>
      <c r="AF368" s="52" t="s">
        <v>3725</v>
      </c>
      <c r="AG368" s="52" t="s">
        <v>3726</v>
      </c>
      <c r="AH368" s="52"/>
      <c r="AI368" s="52"/>
      <c r="AJ368" s="52"/>
      <c r="AK368" s="52"/>
      <c r="AL368" s="55">
        <v>3.6111111111111108E-2</v>
      </c>
      <c r="AM368" s="52"/>
      <c r="AN368" s="52"/>
      <c r="AO368" s="52"/>
      <c r="AP368" s="52"/>
      <c r="AQ368" s="52"/>
      <c r="AR368" s="52"/>
      <c r="AS368" s="52">
        <v>0</v>
      </c>
      <c r="AT368" s="52"/>
      <c r="AU368" s="52"/>
      <c r="AV368" s="52" t="s">
        <v>3231</v>
      </c>
      <c r="AW368" s="52"/>
    </row>
    <row r="369" spans="1:49">
      <c r="A369" s="52">
        <v>6015428</v>
      </c>
      <c r="B369" s="52" t="s">
        <v>3723</v>
      </c>
      <c r="C369" s="52" t="s">
        <v>3698</v>
      </c>
      <c r="D369" s="53">
        <v>46156.416666666664</v>
      </c>
      <c r="E369" s="53">
        <v>46155.650694444441</v>
      </c>
      <c r="F369" s="53">
        <v>46156.594444444447</v>
      </c>
      <c r="G369" s="53">
        <v>46161.291666666664</v>
      </c>
      <c r="H369" s="53">
        <v>46156.671527777777</v>
      </c>
      <c r="I369" s="52"/>
      <c r="J369" s="52" t="s">
        <v>3693</v>
      </c>
      <c r="K369" s="53">
        <v>46157.370138888888</v>
      </c>
      <c r="L369" s="52"/>
      <c r="M369" s="54">
        <v>4.697222222222222</v>
      </c>
      <c r="N369" s="54">
        <v>1.8618055555555555</v>
      </c>
      <c r="O369" s="52" t="s">
        <v>3409</v>
      </c>
      <c r="P369" s="52" t="s">
        <v>227</v>
      </c>
      <c r="Q369" s="52" t="s">
        <v>2028</v>
      </c>
      <c r="R369" s="52" t="s">
        <v>1496</v>
      </c>
      <c r="S369" s="52" t="s">
        <v>789</v>
      </c>
      <c r="T369" s="52" t="s">
        <v>3724</v>
      </c>
      <c r="U369" s="52" t="s">
        <v>3729</v>
      </c>
      <c r="V369" s="52" t="s">
        <v>2032</v>
      </c>
      <c r="W369" s="52">
        <v>60372788904</v>
      </c>
      <c r="X369" s="52" t="s">
        <v>73</v>
      </c>
      <c r="Y369" s="52"/>
      <c r="Z369" s="52" t="s">
        <v>3696</v>
      </c>
      <c r="AA369" s="52" t="s">
        <v>3710</v>
      </c>
      <c r="AB369" s="52"/>
      <c r="AC369" s="52" t="s">
        <v>3720</v>
      </c>
      <c r="AD369" s="52" t="s">
        <v>3715</v>
      </c>
      <c r="AE369" s="52" t="s">
        <v>79</v>
      </c>
      <c r="AF369" s="52" t="s">
        <v>3725</v>
      </c>
      <c r="AG369" s="52" t="s">
        <v>3726</v>
      </c>
      <c r="AH369" s="52"/>
      <c r="AI369" s="53">
        <v>46156.604166666664</v>
      </c>
      <c r="AJ369" s="53">
        <v>46156.640277777777</v>
      </c>
      <c r="AK369" s="53">
        <v>46156.604166666664</v>
      </c>
      <c r="AL369" s="55">
        <v>5.1388888888888887E-2</v>
      </c>
      <c r="AM369" s="52"/>
      <c r="AN369" s="55">
        <v>3.6111111111111108E-2</v>
      </c>
      <c r="AO369" s="52"/>
      <c r="AP369" s="55">
        <v>5.1388888888888887E-2</v>
      </c>
      <c r="AQ369" s="52"/>
      <c r="AR369" s="52"/>
      <c r="AS369" s="52" t="s">
        <v>3696</v>
      </c>
      <c r="AT369" s="52"/>
      <c r="AU369" s="52"/>
      <c r="AV369" s="52"/>
      <c r="AW369" s="52"/>
    </row>
    <row r="370" spans="1:49">
      <c r="A370" s="52">
        <v>6015428</v>
      </c>
      <c r="B370" s="52" t="s">
        <v>3723</v>
      </c>
      <c r="C370" s="52" t="s">
        <v>3698</v>
      </c>
      <c r="D370" s="53">
        <v>46156.416666666664</v>
      </c>
      <c r="E370" s="53">
        <v>46155.650694444441</v>
      </c>
      <c r="F370" s="53">
        <v>46156.594444444447</v>
      </c>
      <c r="G370" s="53">
        <v>46161.291666666664</v>
      </c>
      <c r="H370" s="53">
        <v>46156.671527777777</v>
      </c>
      <c r="I370" s="52"/>
      <c r="J370" s="52" t="s">
        <v>3693</v>
      </c>
      <c r="K370" s="53">
        <v>46157.370138888888</v>
      </c>
      <c r="L370" s="52"/>
      <c r="M370" s="54">
        <v>4.697222222222222</v>
      </c>
      <c r="N370" s="54">
        <v>1.8618055555555555</v>
      </c>
      <c r="O370" s="52" t="s">
        <v>3409</v>
      </c>
      <c r="P370" s="52" t="s">
        <v>227</v>
      </c>
      <c r="Q370" s="52" t="s">
        <v>2028</v>
      </c>
      <c r="R370" s="52" t="s">
        <v>1496</v>
      </c>
      <c r="S370" s="52" t="s">
        <v>789</v>
      </c>
      <c r="T370" s="52" t="s">
        <v>3724</v>
      </c>
      <c r="U370" s="52" t="s">
        <v>3729</v>
      </c>
      <c r="V370" s="52" t="s">
        <v>2032</v>
      </c>
      <c r="W370" s="52">
        <v>60372788904</v>
      </c>
      <c r="X370" s="52" t="s">
        <v>73</v>
      </c>
      <c r="Y370" s="52"/>
      <c r="Z370" s="52" t="s">
        <v>3696</v>
      </c>
      <c r="AA370" s="52" t="s">
        <v>3710</v>
      </c>
      <c r="AB370" s="52"/>
      <c r="AC370" s="52" t="s">
        <v>3720</v>
      </c>
      <c r="AD370" s="52" t="s">
        <v>3715</v>
      </c>
      <c r="AE370" s="52"/>
      <c r="AF370" s="52" t="s">
        <v>3725</v>
      </c>
      <c r="AG370" s="52" t="s">
        <v>3726</v>
      </c>
      <c r="AH370" s="52"/>
      <c r="AI370" s="53">
        <v>46156.604166666664</v>
      </c>
      <c r="AJ370" s="53">
        <v>46156.640277777777</v>
      </c>
      <c r="AK370" s="53">
        <v>46156.604166666664</v>
      </c>
      <c r="AL370" s="55">
        <v>5.1388888888888887E-2</v>
      </c>
      <c r="AM370" s="52"/>
      <c r="AN370" s="55">
        <v>3.6111111111111108E-2</v>
      </c>
      <c r="AO370" s="52"/>
      <c r="AP370" s="55">
        <v>5.1388888888888887E-2</v>
      </c>
      <c r="AQ370" s="52"/>
      <c r="AR370" s="52"/>
      <c r="AS370" s="52" t="s">
        <v>3696</v>
      </c>
      <c r="AT370" s="52"/>
      <c r="AU370" s="52"/>
      <c r="AV370" s="52"/>
      <c r="AW370" s="52" t="s">
        <v>3231</v>
      </c>
    </row>
    <row r="371" spans="1:49">
      <c r="A371" s="52">
        <v>6015428</v>
      </c>
      <c r="B371" s="52" t="s">
        <v>3723</v>
      </c>
      <c r="C371" s="52" t="s">
        <v>3698</v>
      </c>
      <c r="D371" s="53">
        <v>46156.416666666664</v>
      </c>
      <c r="E371" s="53">
        <v>46155.650694444441</v>
      </c>
      <c r="F371" s="53">
        <v>46156.853472222225</v>
      </c>
      <c r="G371" s="53">
        <v>46161.291666666664</v>
      </c>
      <c r="H371" s="53">
        <v>46157.42083333333</v>
      </c>
      <c r="I371" s="52"/>
      <c r="J371" s="52" t="s">
        <v>3693</v>
      </c>
      <c r="K371" s="53">
        <v>46157.370138888888</v>
      </c>
      <c r="L371" s="52"/>
      <c r="M371" s="54">
        <v>4.4381944444444441</v>
      </c>
      <c r="N371" s="54">
        <v>1.6027777777777779</v>
      </c>
      <c r="O371" s="52" t="s">
        <v>3485</v>
      </c>
      <c r="P371" s="52" t="s">
        <v>227</v>
      </c>
      <c r="Q371" s="52" t="s">
        <v>3484</v>
      </c>
      <c r="R371" s="52" t="s">
        <v>3492</v>
      </c>
      <c r="S371" s="52" t="s">
        <v>789</v>
      </c>
      <c r="T371" s="52" t="s">
        <v>3727</v>
      </c>
      <c r="U371" s="52" t="s">
        <v>3728</v>
      </c>
      <c r="V371" s="52" t="s">
        <v>3493</v>
      </c>
      <c r="W371" s="52">
        <v>147328071</v>
      </c>
      <c r="X371" s="52" t="s">
        <v>73</v>
      </c>
      <c r="Y371" s="52"/>
      <c r="Z371" s="52" t="s">
        <v>3696</v>
      </c>
      <c r="AA371" s="52" t="s">
        <v>3710</v>
      </c>
      <c r="AB371" s="52"/>
      <c r="AC371" s="52" t="s">
        <v>3720</v>
      </c>
      <c r="AD371" s="52" t="s">
        <v>3715</v>
      </c>
      <c r="AE371" s="52" t="s">
        <v>79</v>
      </c>
      <c r="AF371" s="52" t="s">
        <v>3725</v>
      </c>
      <c r="AG371" s="52" t="s">
        <v>3726</v>
      </c>
      <c r="AH371" s="52"/>
      <c r="AI371" s="53">
        <v>46156.604166666664</v>
      </c>
      <c r="AJ371" s="53">
        <v>46156.640277777777</v>
      </c>
      <c r="AK371" s="53">
        <v>46156.604166666664</v>
      </c>
      <c r="AL371" s="55">
        <v>4.027777777777778E-2</v>
      </c>
      <c r="AM371" s="52"/>
      <c r="AN371" s="55">
        <v>3.6111111111111108E-2</v>
      </c>
      <c r="AO371" s="52"/>
      <c r="AP371" s="55">
        <v>4.027777777777778E-2</v>
      </c>
      <c r="AQ371" s="52"/>
      <c r="AR371" s="52"/>
      <c r="AS371" s="52" t="s">
        <v>3696</v>
      </c>
      <c r="AT371" s="52"/>
      <c r="AU371" s="52"/>
      <c r="AV371" s="52"/>
      <c r="AW371" s="52"/>
    </row>
    <row r="372" spans="1:49">
      <c r="A372" s="52">
        <v>6015428</v>
      </c>
      <c r="B372" s="52" t="s">
        <v>3723</v>
      </c>
      <c r="C372" s="52" t="s">
        <v>3698</v>
      </c>
      <c r="D372" s="53">
        <v>46156.416666666664</v>
      </c>
      <c r="E372" s="53">
        <v>46155.650694444441</v>
      </c>
      <c r="F372" s="53">
        <v>46156.853472222225</v>
      </c>
      <c r="G372" s="53">
        <v>46161.291666666664</v>
      </c>
      <c r="H372" s="53">
        <v>46157.42083333333</v>
      </c>
      <c r="I372" s="52"/>
      <c r="J372" s="52" t="s">
        <v>3693</v>
      </c>
      <c r="K372" s="53">
        <v>46157.370138888888</v>
      </c>
      <c r="L372" s="52"/>
      <c r="M372" s="54">
        <v>4.4381944444444441</v>
      </c>
      <c r="N372" s="54">
        <v>1.6027777777777779</v>
      </c>
      <c r="O372" s="52" t="s">
        <v>3485</v>
      </c>
      <c r="P372" s="52" t="s">
        <v>227</v>
      </c>
      <c r="Q372" s="52" t="s">
        <v>3484</v>
      </c>
      <c r="R372" s="52" t="s">
        <v>3492</v>
      </c>
      <c r="S372" s="52" t="s">
        <v>789</v>
      </c>
      <c r="T372" s="52" t="s">
        <v>3727</v>
      </c>
      <c r="U372" s="52" t="s">
        <v>3728</v>
      </c>
      <c r="V372" s="52" t="s">
        <v>3493</v>
      </c>
      <c r="W372" s="52">
        <v>147328071</v>
      </c>
      <c r="X372" s="52" t="s">
        <v>73</v>
      </c>
      <c r="Y372" s="52"/>
      <c r="Z372" s="52" t="s">
        <v>3696</v>
      </c>
      <c r="AA372" s="52" t="s">
        <v>3710</v>
      </c>
      <c r="AB372" s="52"/>
      <c r="AC372" s="52" t="s">
        <v>3720</v>
      </c>
      <c r="AD372" s="52" t="s">
        <v>3715</v>
      </c>
      <c r="AE372" s="52"/>
      <c r="AF372" s="52" t="s">
        <v>3725</v>
      </c>
      <c r="AG372" s="52" t="s">
        <v>3726</v>
      </c>
      <c r="AH372" s="52"/>
      <c r="AI372" s="53">
        <v>46156.604166666664</v>
      </c>
      <c r="AJ372" s="53">
        <v>46156.640277777777</v>
      </c>
      <c r="AK372" s="53">
        <v>46156.604166666664</v>
      </c>
      <c r="AL372" s="55">
        <v>4.027777777777778E-2</v>
      </c>
      <c r="AM372" s="52"/>
      <c r="AN372" s="55">
        <v>3.6111111111111108E-2</v>
      </c>
      <c r="AO372" s="52"/>
      <c r="AP372" s="55">
        <v>4.027777777777778E-2</v>
      </c>
      <c r="AQ372" s="52"/>
      <c r="AR372" s="52"/>
      <c r="AS372" s="52" t="s">
        <v>3696</v>
      </c>
      <c r="AT372" s="52"/>
      <c r="AU372" s="52"/>
      <c r="AV372" s="52"/>
      <c r="AW372" s="52" t="s">
        <v>3231</v>
      </c>
    </row>
    <row r="373" spans="1:49">
      <c r="A373" s="52">
        <v>6015538</v>
      </c>
      <c r="B373" s="52" t="s">
        <v>3866</v>
      </c>
      <c r="C373" s="52" t="s">
        <v>3692</v>
      </c>
      <c r="D373" s="53">
        <v>46154.416666666664</v>
      </c>
      <c r="E373" s="53">
        <v>46153.586805555555</v>
      </c>
      <c r="F373" s="52"/>
      <c r="G373" s="52"/>
      <c r="H373" s="52"/>
      <c r="I373" s="52" t="s">
        <v>3693</v>
      </c>
      <c r="J373" s="52" t="s">
        <v>3694</v>
      </c>
      <c r="K373" s="52"/>
      <c r="L373" s="52"/>
      <c r="M373" s="55">
        <v>9.166666666666666E-2</v>
      </c>
      <c r="N373" s="54">
        <v>3.1312500000000001</v>
      </c>
      <c r="O373" s="52"/>
      <c r="P373" s="52"/>
      <c r="Q373" s="52"/>
      <c r="R373" s="52"/>
      <c r="S373" s="52"/>
      <c r="T373" s="52" t="s">
        <v>3695</v>
      </c>
      <c r="U373" s="52" t="s">
        <v>3695</v>
      </c>
      <c r="V373" s="52"/>
      <c r="W373" s="52"/>
      <c r="X373" s="52"/>
      <c r="Y373" s="52"/>
      <c r="Z373" s="52" t="s">
        <v>3696</v>
      </c>
      <c r="AA373" s="52" t="s">
        <v>114</v>
      </c>
      <c r="AB373" s="52" t="s">
        <v>140</v>
      </c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>
        <v>0</v>
      </c>
      <c r="AT373" s="52"/>
      <c r="AU373" s="52"/>
      <c r="AV373" s="52" t="s">
        <v>3948</v>
      </c>
      <c r="AW373" s="52"/>
    </row>
    <row r="374" spans="1:49">
      <c r="A374" s="52">
        <v>6015538</v>
      </c>
      <c r="B374" s="52" t="s">
        <v>3866</v>
      </c>
      <c r="C374" s="52" t="s">
        <v>3698</v>
      </c>
      <c r="D374" s="53">
        <v>46154.416666666664</v>
      </c>
      <c r="E374" s="53">
        <v>46153.586805555555</v>
      </c>
      <c r="F374" s="52"/>
      <c r="G374" s="52"/>
      <c r="H374" s="52"/>
      <c r="I374" s="52"/>
      <c r="J374" s="52" t="s">
        <v>3694</v>
      </c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 t="s">
        <v>3696</v>
      </c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>
        <v>0</v>
      </c>
      <c r="AT374" s="52"/>
      <c r="AU374" s="52"/>
      <c r="AV374" s="52"/>
      <c r="AW374" s="52"/>
    </row>
    <row r="375" spans="1:49">
      <c r="A375" s="52">
        <v>6015539</v>
      </c>
      <c r="B375" s="52" t="s">
        <v>3699</v>
      </c>
      <c r="C375" s="52" t="s">
        <v>3692</v>
      </c>
      <c r="D375" s="53">
        <v>46155.25</v>
      </c>
      <c r="E375" s="53">
        <v>46154.685416666667</v>
      </c>
      <c r="F375" s="53">
        <v>46155.459722222222</v>
      </c>
      <c r="G375" s="53">
        <v>46156.25</v>
      </c>
      <c r="H375" s="53">
        <v>46156.063888888886</v>
      </c>
      <c r="I375" s="52" t="s">
        <v>3693</v>
      </c>
      <c r="J375" s="52" t="s">
        <v>3693</v>
      </c>
      <c r="K375" s="53">
        <v>46156.063888888886</v>
      </c>
      <c r="L375" s="52" t="s">
        <v>3700</v>
      </c>
      <c r="M375" s="54">
        <v>2</v>
      </c>
      <c r="N375" s="54">
        <v>3.2062499999999998</v>
      </c>
      <c r="O375" s="52"/>
      <c r="P375" s="52"/>
      <c r="Q375" s="52"/>
      <c r="R375" s="52"/>
      <c r="S375" s="52"/>
      <c r="T375" s="52" t="s">
        <v>3712</v>
      </c>
      <c r="U375" s="52" t="s">
        <v>3884</v>
      </c>
      <c r="V375" s="52"/>
      <c r="W375" s="52"/>
      <c r="X375" s="52"/>
      <c r="Y375" s="52"/>
      <c r="Z375" s="52" t="s">
        <v>3696</v>
      </c>
      <c r="AA375" s="52" t="s">
        <v>171</v>
      </c>
      <c r="AB375" s="52" t="s">
        <v>140</v>
      </c>
      <c r="AC375" s="52" t="s">
        <v>3703</v>
      </c>
      <c r="AD375" s="52" t="s">
        <v>3704</v>
      </c>
      <c r="AE375" s="52"/>
      <c r="AF375" s="52" t="s">
        <v>3714</v>
      </c>
      <c r="AG375" s="52" t="s">
        <v>3715</v>
      </c>
      <c r="AH375" s="52"/>
      <c r="AI375" s="52"/>
      <c r="AJ375" s="52"/>
      <c r="AK375" s="52"/>
      <c r="AL375" s="55">
        <v>2.0833333333333332E-2</v>
      </c>
      <c r="AM375" s="52"/>
      <c r="AN375" s="52"/>
      <c r="AO375" s="52"/>
      <c r="AP375" s="52"/>
      <c r="AQ375" s="52"/>
      <c r="AR375" s="52"/>
      <c r="AS375" s="52">
        <v>0</v>
      </c>
      <c r="AT375" s="52"/>
      <c r="AU375" s="52"/>
      <c r="AV375" s="52" t="s">
        <v>984</v>
      </c>
      <c r="AW375" s="52"/>
    </row>
    <row r="376" spans="1:49">
      <c r="A376" s="52">
        <v>6015539</v>
      </c>
      <c r="B376" s="52" t="s">
        <v>3699</v>
      </c>
      <c r="C376" s="52" t="s">
        <v>3698</v>
      </c>
      <c r="D376" s="53">
        <v>46155.25</v>
      </c>
      <c r="E376" s="53">
        <v>46154.685416666667</v>
      </c>
      <c r="F376" s="53">
        <v>46155.626388888886</v>
      </c>
      <c r="G376" s="53">
        <v>46156.25</v>
      </c>
      <c r="H376" s="53">
        <v>46157.393750000003</v>
      </c>
      <c r="I376" s="52"/>
      <c r="J376" s="52" t="s">
        <v>3693</v>
      </c>
      <c r="K376" s="53">
        <v>46156.063888888886</v>
      </c>
      <c r="L376" s="52"/>
      <c r="M376" s="55">
        <v>0.62361111111111112</v>
      </c>
      <c r="N376" s="54">
        <v>2.8298611111111112</v>
      </c>
      <c r="O376" s="52" t="s">
        <v>3216</v>
      </c>
      <c r="P376" s="52" t="s">
        <v>171</v>
      </c>
      <c r="Q376" s="52" t="s">
        <v>744</v>
      </c>
      <c r="R376" s="52" t="s">
        <v>753</v>
      </c>
      <c r="S376" s="52" t="s">
        <v>789</v>
      </c>
      <c r="T376" s="52" t="s">
        <v>3712</v>
      </c>
      <c r="U376" s="52" t="s">
        <v>3884</v>
      </c>
      <c r="V376" s="52" t="s">
        <v>3747</v>
      </c>
      <c r="W376" s="52">
        <v>54174724253</v>
      </c>
      <c r="X376" s="52" t="s">
        <v>73</v>
      </c>
      <c r="Y376" s="52"/>
      <c r="Z376" s="52" t="s">
        <v>3696</v>
      </c>
      <c r="AA376" s="52" t="s">
        <v>3710</v>
      </c>
      <c r="AB376" s="52"/>
      <c r="AC376" s="52" t="s">
        <v>3703</v>
      </c>
      <c r="AD376" s="52" t="s">
        <v>3704</v>
      </c>
      <c r="AE376" s="52" t="s">
        <v>140</v>
      </c>
      <c r="AF376" s="52" t="s">
        <v>3714</v>
      </c>
      <c r="AG376" s="52" t="s">
        <v>3715</v>
      </c>
      <c r="AH376" s="52"/>
      <c r="AI376" s="53">
        <v>46155.625</v>
      </c>
      <c r="AJ376" s="53">
        <v>46155.645833333336</v>
      </c>
      <c r="AK376" s="53">
        <v>46155.625</v>
      </c>
      <c r="AL376" s="54">
        <v>1.3506944444444444</v>
      </c>
      <c r="AM376" s="52"/>
      <c r="AN376" s="55">
        <v>2.0833333333333332E-2</v>
      </c>
      <c r="AO376" s="54">
        <v>1.3298611111111112</v>
      </c>
      <c r="AP376" s="54">
        <v>1.3506944444444444</v>
      </c>
      <c r="AQ376" s="52"/>
      <c r="AR376" s="52"/>
      <c r="AS376" s="52" t="s">
        <v>3696</v>
      </c>
      <c r="AT376" s="52"/>
      <c r="AU376" s="52"/>
      <c r="AV376" s="52"/>
      <c r="AW376" s="52"/>
    </row>
    <row r="377" spans="1:49">
      <c r="A377" s="52">
        <v>6015539</v>
      </c>
      <c r="B377" s="52" t="s">
        <v>3699</v>
      </c>
      <c r="C377" s="52" t="s">
        <v>3698</v>
      </c>
      <c r="D377" s="53">
        <v>46155.25</v>
      </c>
      <c r="E377" s="53">
        <v>46154.685416666667</v>
      </c>
      <c r="F377" s="53">
        <v>46155.626388888886</v>
      </c>
      <c r="G377" s="53">
        <v>46156.25</v>
      </c>
      <c r="H377" s="53">
        <v>46157.393750000003</v>
      </c>
      <c r="I377" s="52"/>
      <c r="J377" s="52" t="s">
        <v>3693</v>
      </c>
      <c r="K377" s="53">
        <v>46156.063888888886</v>
      </c>
      <c r="L377" s="52"/>
      <c r="M377" s="55">
        <v>0.62361111111111112</v>
      </c>
      <c r="N377" s="54">
        <v>2.8298611111111112</v>
      </c>
      <c r="O377" s="52" t="s">
        <v>3216</v>
      </c>
      <c r="P377" s="52" t="s">
        <v>171</v>
      </c>
      <c r="Q377" s="52" t="s">
        <v>744</v>
      </c>
      <c r="R377" s="52" t="s">
        <v>753</v>
      </c>
      <c r="S377" s="52" t="s">
        <v>789</v>
      </c>
      <c r="T377" s="52" t="s">
        <v>3712</v>
      </c>
      <c r="U377" s="52" t="s">
        <v>3884</v>
      </c>
      <c r="V377" s="52" t="s">
        <v>3747</v>
      </c>
      <c r="W377" s="52">
        <v>54174724253</v>
      </c>
      <c r="X377" s="52" t="s">
        <v>73</v>
      </c>
      <c r="Y377" s="52"/>
      <c r="Z377" s="52" t="s">
        <v>3696</v>
      </c>
      <c r="AA377" s="52" t="s">
        <v>3710</v>
      </c>
      <c r="AB377" s="52"/>
      <c r="AC377" s="52" t="s">
        <v>3703</v>
      </c>
      <c r="AD377" s="52" t="s">
        <v>3704</v>
      </c>
      <c r="AE377" s="52"/>
      <c r="AF377" s="52" t="s">
        <v>3714</v>
      </c>
      <c r="AG377" s="52" t="s">
        <v>3715</v>
      </c>
      <c r="AH377" s="52"/>
      <c r="AI377" s="53">
        <v>46155.625</v>
      </c>
      <c r="AJ377" s="53">
        <v>46155.645833333336</v>
      </c>
      <c r="AK377" s="53">
        <v>46155.625</v>
      </c>
      <c r="AL377" s="54">
        <v>1.3506944444444444</v>
      </c>
      <c r="AM377" s="52"/>
      <c r="AN377" s="55">
        <v>2.0833333333333332E-2</v>
      </c>
      <c r="AO377" s="54">
        <v>1.3298611111111112</v>
      </c>
      <c r="AP377" s="54">
        <v>1.3506944444444444</v>
      </c>
      <c r="AQ377" s="52"/>
      <c r="AR377" s="52"/>
      <c r="AS377" s="52" t="s">
        <v>3696</v>
      </c>
      <c r="AT377" s="52"/>
      <c r="AU377" s="52"/>
      <c r="AV377" s="52"/>
      <c r="AW377" s="52" t="s">
        <v>984</v>
      </c>
    </row>
    <row r="378" spans="1:49">
      <c r="A378" s="52">
        <v>6015581</v>
      </c>
      <c r="B378" s="52" t="s">
        <v>3866</v>
      </c>
      <c r="C378" s="52" t="s">
        <v>3692</v>
      </c>
      <c r="D378" s="53">
        <v>46154.833333333336</v>
      </c>
      <c r="E378" s="53">
        <v>46153.586805555555</v>
      </c>
      <c r="F378" s="52"/>
      <c r="G378" s="52"/>
      <c r="H378" s="52"/>
      <c r="I378" s="52" t="s">
        <v>3693</v>
      </c>
      <c r="J378" s="52" t="s">
        <v>3694</v>
      </c>
      <c r="K378" s="52"/>
      <c r="L378" s="52"/>
      <c r="M378" s="55">
        <v>9.166666666666666E-2</v>
      </c>
      <c r="N378" s="54">
        <v>3.1729166666666666</v>
      </c>
      <c r="O378" s="52"/>
      <c r="P378" s="52"/>
      <c r="Q378" s="52"/>
      <c r="R378" s="52"/>
      <c r="S378" s="52"/>
      <c r="T378" s="52" t="s">
        <v>3695</v>
      </c>
      <c r="U378" s="52" t="s">
        <v>3695</v>
      </c>
      <c r="V378" s="52"/>
      <c r="W378" s="52"/>
      <c r="X378" s="52"/>
      <c r="Y378" s="52"/>
      <c r="Z378" s="52" t="s">
        <v>3696</v>
      </c>
      <c r="AA378" s="52" t="s">
        <v>102</v>
      </c>
      <c r="AB378" s="52" t="s">
        <v>140</v>
      </c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>
        <v>0</v>
      </c>
      <c r="AT378" s="52"/>
      <c r="AU378" s="52"/>
      <c r="AV378" s="52" t="s">
        <v>3949</v>
      </c>
      <c r="AW378" s="52"/>
    </row>
    <row r="379" spans="1:49">
      <c r="A379" s="52">
        <v>6015581</v>
      </c>
      <c r="B379" s="52" t="s">
        <v>3866</v>
      </c>
      <c r="C379" s="52" t="s">
        <v>3698</v>
      </c>
      <c r="D379" s="53">
        <v>46154.833333333336</v>
      </c>
      <c r="E379" s="53">
        <v>46153.586805555555</v>
      </c>
      <c r="F379" s="52"/>
      <c r="G379" s="52"/>
      <c r="H379" s="52"/>
      <c r="I379" s="52"/>
      <c r="J379" s="52" t="s">
        <v>3694</v>
      </c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 t="s">
        <v>3696</v>
      </c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>
        <v>0</v>
      </c>
      <c r="AT379" s="52"/>
      <c r="AU379" s="52"/>
      <c r="AV379" s="52"/>
      <c r="AW379" s="52"/>
    </row>
    <row r="380" spans="1:49">
      <c r="A380" s="52">
        <v>6020488</v>
      </c>
      <c r="B380" s="52" t="s">
        <v>3723</v>
      </c>
      <c r="C380" s="52" t="s">
        <v>3692</v>
      </c>
      <c r="D380" s="53">
        <v>46154.375</v>
      </c>
      <c r="E380" s="53">
        <v>46153.586805555555</v>
      </c>
      <c r="F380" s="53">
        <v>46154.709722222222</v>
      </c>
      <c r="G380" s="53">
        <v>46160.334027777775</v>
      </c>
      <c r="H380" s="53">
        <v>46154.793055555558</v>
      </c>
      <c r="I380" s="52" t="s">
        <v>3693</v>
      </c>
      <c r="J380" s="52" t="s">
        <v>3693</v>
      </c>
      <c r="K380" s="53">
        <v>46154.793055555558</v>
      </c>
      <c r="L380" s="52" t="s">
        <v>3735</v>
      </c>
      <c r="M380" s="55">
        <v>8.3333333333333329E-2</v>
      </c>
      <c r="N380" s="54">
        <v>1.79375</v>
      </c>
      <c r="O380" s="52"/>
      <c r="P380" s="52"/>
      <c r="Q380" s="52"/>
      <c r="R380" s="52"/>
      <c r="S380" s="52"/>
      <c r="T380" s="52" t="s">
        <v>3736</v>
      </c>
      <c r="U380" s="52" t="s">
        <v>3695</v>
      </c>
      <c r="V380" s="52"/>
      <c r="W380" s="52"/>
      <c r="X380" s="52"/>
      <c r="Y380" s="52"/>
      <c r="Z380" s="52" t="s">
        <v>3696</v>
      </c>
      <c r="AA380" s="52" t="s">
        <v>1246</v>
      </c>
      <c r="AB380" s="52" t="s">
        <v>140</v>
      </c>
      <c r="AC380" s="52" t="s">
        <v>3703</v>
      </c>
      <c r="AD380" s="52" t="s">
        <v>3704</v>
      </c>
      <c r="AE380" s="52"/>
      <c r="AF380" s="52" t="s">
        <v>3737</v>
      </c>
      <c r="AG380" s="52" t="s">
        <v>3704</v>
      </c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>
        <v>0</v>
      </c>
      <c r="AT380" s="52"/>
      <c r="AU380" s="52"/>
      <c r="AV380" s="52" t="s">
        <v>1296</v>
      </c>
      <c r="AW380" s="52"/>
    </row>
    <row r="381" spans="1:49">
      <c r="A381" s="52">
        <v>6020488</v>
      </c>
      <c r="B381" s="52" t="s">
        <v>3723</v>
      </c>
      <c r="C381" s="52" t="s">
        <v>3698</v>
      </c>
      <c r="D381" s="53">
        <v>46154.375</v>
      </c>
      <c r="E381" s="53">
        <v>46153.586805555555</v>
      </c>
      <c r="F381" s="53">
        <v>46154.729166666664</v>
      </c>
      <c r="G381" s="53">
        <v>46160.334027777775</v>
      </c>
      <c r="H381" s="53">
        <v>46154.829861111109</v>
      </c>
      <c r="I381" s="52"/>
      <c r="J381" s="52" t="s">
        <v>3693</v>
      </c>
      <c r="K381" s="53">
        <v>46154.793055555558</v>
      </c>
      <c r="L381" s="52"/>
      <c r="M381" s="54">
        <v>5.6048611111111111</v>
      </c>
      <c r="N381" s="54">
        <v>3.7270833333333333</v>
      </c>
      <c r="O381" s="52" t="s">
        <v>3087</v>
      </c>
      <c r="P381" s="52" t="s">
        <v>1246</v>
      </c>
      <c r="Q381" s="52" t="s">
        <v>1955</v>
      </c>
      <c r="R381" s="52"/>
      <c r="S381" s="52" t="s">
        <v>789</v>
      </c>
      <c r="T381" s="52" t="s">
        <v>3736</v>
      </c>
      <c r="U381" s="52" t="s">
        <v>3695</v>
      </c>
      <c r="V381" s="52" t="s">
        <v>3088</v>
      </c>
      <c r="W381" s="52">
        <v>1880816237</v>
      </c>
      <c r="X381" s="52" t="s">
        <v>73</v>
      </c>
      <c r="Y381" s="52" t="s">
        <v>3738</v>
      </c>
      <c r="Z381" s="52" t="s">
        <v>3696</v>
      </c>
      <c r="AA381" s="52" t="s">
        <v>3710</v>
      </c>
      <c r="AB381" s="52"/>
      <c r="AC381" s="52" t="s">
        <v>3703</v>
      </c>
      <c r="AD381" s="52" t="s">
        <v>3704</v>
      </c>
      <c r="AE381" s="52" t="s">
        <v>140</v>
      </c>
      <c r="AF381" s="52" t="s">
        <v>3737</v>
      </c>
      <c r="AG381" s="52" t="s">
        <v>3704</v>
      </c>
      <c r="AH381" s="52"/>
      <c r="AI381" s="52"/>
      <c r="AJ381" s="52"/>
      <c r="AK381" s="52"/>
      <c r="AL381" s="55">
        <v>3.6805555555555557E-2</v>
      </c>
      <c r="AM381" s="52"/>
      <c r="AN381" s="52"/>
      <c r="AO381" s="55">
        <v>3.6805555555555557E-2</v>
      </c>
      <c r="AP381" s="55">
        <v>3.6805555555555557E-2</v>
      </c>
      <c r="AQ381" s="52"/>
      <c r="AR381" s="52"/>
      <c r="AS381" s="52" t="s">
        <v>3696</v>
      </c>
      <c r="AT381" s="52"/>
      <c r="AU381" s="52"/>
      <c r="AV381" s="52"/>
      <c r="AW381" s="52"/>
    </row>
    <row r="382" spans="1:49">
      <c r="A382" s="52">
        <v>6020488</v>
      </c>
      <c r="B382" s="52" t="s">
        <v>3723</v>
      </c>
      <c r="C382" s="52" t="s">
        <v>3698</v>
      </c>
      <c r="D382" s="53">
        <v>46154.375</v>
      </c>
      <c r="E382" s="53">
        <v>46153.586805555555</v>
      </c>
      <c r="F382" s="53">
        <v>46154.729166666664</v>
      </c>
      <c r="G382" s="53">
        <v>46160.334027777775</v>
      </c>
      <c r="H382" s="53">
        <v>46154.829861111109</v>
      </c>
      <c r="I382" s="52"/>
      <c r="J382" s="52" t="s">
        <v>3693</v>
      </c>
      <c r="K382" s="53">
        <v>46154.793055555558</v>
      </c>
      <c r="L382" s="52"/>
      <c r="M382" s="54">
        <v>5.6048611111111111</v>
      </c>
      <c r="N382" s="54">
        <v>3.7270833333333333</v>
      </c>
      <c r="O382" s="52" t="s">
        <v>3087</v>
      </c>
      <c r="P382" s="52" t="s">
        <v>1246</v>
      </c>
      <c r="Q382" s="52" t="s">
        <v>1955</v>
      </c>
      <c r="R382" s="52"/>
      <c r="S382" s="52" t="s">
        <v>789</v>
      </c>
      <c r="T382" s="52" t="s">
        <v>3736</v>
      </c>
      <c r="U382" s="52" t="s">
        <v>3695</v>
      </c>
      <c r="V382" s="52" t="s">
        <v>3088</v>
      </c>
      <c r="W382" s="52">
        <v>1880816237</v>
      </c>
      <c r="X382" s="52" t="s">
        <v>73</v>
      </c>
      <c r="Y382" s="52" t="s">
        <v>3738</v>
      </c>
      <c r="Z382" s="52" t="s">
        <v>3696</v>
      </c>
      <c r="AA382" s="52" t="s">
        <v>3710</v>
      </c>
      <c r="AB382" s="52"/>
      <c r="AC382" s="52" t="s">
        <v>3703</v>
      </c>
      <c r="AD382" s="52" t="s">
        <v>3704</v>
      </c>
      <c r="AE382" s="52"/>
      <c r="AF382" s="52" t="s">
        <v>3737</v>
      </c>
      <c r="AG382" s="52" t="s">
        <v>3704</v>
      </c>
      <c r="AH382" s="52"/>
      <c r="AI382" s="52"/>
      <c r="AJ382" s="52"/>
      <c r="AK382" s="52"/>
      <c r="AL382" s="55">
        <v>3.6805555555555557E-2</v>
      </c>
      <c r="AM382" s="52"/>
      <c r="AN382" s="52"/>
      <c r="AO382" s="55">
        <v>3.6805555555555557E-2</v>
      </c>
      <c r="AP382" s="55">
        <v>3.6805555555555557E-2</v>
      </c>
      <c r="AQ382" s="52"/>
      <c r="AR382" s="52"/>
      <c r="AS382" s="52" t="s">
        <v>3696</v>
      </c>
      <c r="AT382" s="52"/>
      <c r="AU382" s="52"/>
      <c r="AV382" s="52"/>
      <c r="AW382" s="52" t="s">
        <v>1296</v>
      </c>
    </row>
    <row r="383" spans="1:49">
      <c r="A383" s="52">
        <v>6020489</v>
      </c>
      <c r="B383" s="52" t="s">
        <v>3691</v>
      </c>
      <c r="C383" s="52" t="s">
        <v>3692</v>
      </c>
      <c r="D383" s="53">
        <v>46154.375</v>
      </c>
      <c r="E383" s="53">
        <v>46153.586805555555</v>
      </c>
      <c r="F383" s="52"/>
      <c r="G383" s="52"/>
      <c r="H383" s="52"/>
      <c r="I383" s="52" t="s">
        <v>3693</v>
      </c>
      <c r="J383" s="52" t="s">
        <v>3694</v>
      </c>
      <c r="K383" s="52"/>
      <c r="L383" s="52"/>
      <c r="M383" s="55">
        <v>6.25E-2</v>
      </c>
      <c r="N383" s="54">
        <v>4.7312500000000002</v>
      </c>
      <c r="O383" s="52"/>
      <c r="P383" s="52"/>
      <c r="Q383" s="52"/>
      <c r="R383" s="52"/>
      <c r="S383" s="52"/>
      <c r="T383" s="52" t="s">
        <v>3695</v>
      </c>
      <c r="U383" s="52" t="s">
        <v>3695</v>
      </c>
      <c r="V383" s="52"/>
      <c r="W383" s="52"/>
      <c r="X383" s="52"/>
      <c r="Y383" s="52"/>
      <c r="Z383" s="52" t="s">
        <v>3696</v>
      </c>
      <c r="AA383" s="52" t="s">
        <v>836</v>
      </c>
      <c r="AB383" s="52" t="s">
        <v>140</v>
      </c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>
        <v>0</v>
      </c>
      <c r="AT383" s="52"/>
      <c r="AU383" s="52"/>
      <c r="AV383" s="52" t="s">
        <v>840</v>
      </c>
      <c r="AW383" s="52"/>
    </row>
    <row r="384" spans="1:49">
      <c r="A384" s="52">
        <v>6020489</v>
      </c>
      <c r="B384" s="52" t="s">
        <v>3691</v>
      </c>
      <c r="C384" s="52" t="s">
        <v>3698</v>
      </c>
      <c r="D384" s="53">
        <v>46154.375</v>
      </c>
      <c r="E384" s="53">
        <v>46153.586805555555</v>
      </c>
      <c r="F384" s="52"/>
      <c r="G384" s="52"/>
      <c r="H384" s="52"/>
      <c r="I384" s="52"/>
      <c r="J384" s="52" t="s">
        <v>3694</v>
      </c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 t="s">
        <v>3696</v>
      </c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>
        <v>0</v>
      </c>
      <c r="AT384" s="52"/>
      <c r="AU384" s="52"/>
      <c r="AV384" s="52"/>
      <c r="AW384" s="52"/>
    </row>
    <row r="385" spans="1:49">
      <c r="A385" s="52">
        <v>6020490</v>
      </c>
      <c r="B385" s="52" t="s">
        <v>3866</v>
      </c>
      <c r="C385" s="52" t="s">
        <v>3692</v>
      </c>
      <c r="D385" s="53">
        <v>46154.833333333336</v>
      </c>
      <c r="E385" s="53">
        <v>46153.586805555555</v>
      </c>
      <c r="F385" s="52"/>
      <c r="G385" s="52"/>
      <c r="H385" s="52"/>
      <c r="I385" s="52" t="s">
        <v>3693</v>
      </c>
      <c r="J385" s="52" t="s">
        <v>3694</v>
      </c>
      <c r="K385" s="52"/>
      <c r="L385" s="52"/>
      <c r="M385" s="55">
        <v>9.166666666666666E-2</v>
      </c>
      <c r="N385" s="54">
        <v>3.1729166666666666</v>
      </c>
      <c r="O385" s="52"/>
      <c r="P385" s="52"/>
      <c r="Q385" s="52"/>
      <c r="R385" s="52"/>
      <c r="S385" s="52"/>
      <c r="T385" s="52" t="s">
        <v>3695</v>
      </c>
      <c r="U385" s="52" t="s">
        <v>3695</v>
      </c>
      <c r="V385" s="52"/>
      <c r="W385" s="52"/>
      <c r="X385" s="52"/>
      <c r="Y385" s="52"/>
      <c r="Z385" s="52" t="s">
        <v>3696</v>
      </c>
      <c r="AA385" s="52"/>
      <c r="AB385" s="52" t="s">
        <v>140</v>
      </c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>
        <v>0</v>
      </c>
      <c r="AT385" s="52"/>
      <c r="AU385" s="52"/>
      <c r="AV385" s="52" t="s">
        <v>3034</v>
      </c>
      <c r="AW385" s="52"/>
    </row>
    <row r="386" spans="1:49">
      <c r="A386" s="52">
        <v>6020490</v>
      </c>
      <c r="B386" s="52" t="s">
        <v>3866</v>
      </c>
      <c r="C386" s="52" t="s">
        <v>3698</v>
      </c>
      <c r="D386" s="53">
        <v>46154.833333333336</v>
      </c>
      <c r="E386" s="53">
        <v>46153.586805555555</v>
      </c>
      <c r="F386" s="52"/>
      <c r="G386" s="52"/>
      <c r="H386" s="52"/>
      <c r="I386" s="52"/>
      <c r="J386" s="52" t="s">
        <v>3694</v>
      </c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 t="s">
        <v>3696</v>
      </c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>
        <v>0</v>
      </c>
      <c r="AT386" s="52"/>
      <c r="AU386" s="52"/>
      <c r="AV386" s="52"/>
      <c r="AW386" s="52"/>
    </row>
    <row r="387" spans="1:49">
      <c r="A387" s="52">
        <v>6020561</v>
      </c>
      <c r="B387" s="52" t="s">
        <v>3866</v>
      </c>
      <c r="C387" s="52" t="s">
        <v>3692</v>
      </c>
      <c r="D387" s="53">
        <v>46154.833333333336</v>
      </c>
      <c r="E387" s="53">
        <v>46153.586805555555</v>
      </c>
      <c r="F387" s="52"/>
      <c r="G387" s="52"/>
      <c r="H387" s="52"/>
      <c r="I387" s="52" t="s">
        <v>3693</v>
      </c>
      <c r="J387" s="52" t="s">
        <v>3694</v>
      </c>
      <c r="K387" s="52"/>
      <c r="L387" s="52"/>
      <c r="M387" s="55">
        <v>9.166666666666666E-2</v>
      </c>
      <c r="N387" s="54">
        <v>3.1729166666666666</v>
      </c>
      <c r="O387" s="52"/>
      <c r="P387" s="52"/>
      <c r="Q387" s="52"/>
      <c r="R387" s="52"/>
      <c r="S387" s="52"/>
      <c r="T387" s="52" t="s">
        <v>3695</v>
      </c>
      <c r="U387" s="52" t="s">
        <v>3695</v>
      </c>
      <c r="V387" s="52"/>
      <c r="W387" s="52"/>
      <c r="X387" s="52"/>
      <c r="Y387" s="52"/>
      <c r="Z387" s="52" t="s">
        <v>3696</v>
      </c>
      <c r="AA387" s="52"/>
      <c r="AB387" s="52" t="s">
        <v>140</v>
      </c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>
        <v>0</v>
      </c>
      <c r="AT387" s="52"/>
      <c r="AU387" s="52"/>
      <c r="AV387" s="52" t="s">
        <v>3034</v>
      </c>
      <c r="AW387" s="52"/>
    </row>
    <row r="388" spans="1:49">
      <c r="A388" s="52">
        <v>6020561</v>
      </c>
      <c r="B388" s="52" t="s">
        <v>3866</v>
      </c>
      <c r="C388" s="52" t="s">
        <v>3698</v>
      </c>
      <c r="D388" s="53">
        <v>46154.833333333336</v>
      </c>
      <c r="E388" s="53">
        <v>46153.586805555555</v>
      </c>
      <c r="F388" s="52"/>
      <c r="G388" s="52"/>
      <c r="H388" s="52"/>
      <c r="I388" s="52"/>
      <c r="J388" s="52" t="s">
        <v>3694</v>
      </c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 t="s">
        <v>3696</v>
      </c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>
        <v>0</v>
      </c>
      <c r="AT388" s="52"/>
      <c r="AU388" s="52"/>
      <c r="AV388" s="52"/>
      <c r="AW388" s="52"/>
    </row>
    <row r="389" spans="1:49">
      <c r="A389" s="52">
        <v>6020562</v>
      </c>
      <c r="B389" s="52" t="s">
        <v>3723</v>
      </c>
      <c r="C389" s="52" t="s">
        <v>3692</v>
      </c>
      <c r="D389" s="53">
        <v>46154.375</v>
      </c>
      <c r="E389" s="53">
        <v>46153.586805555555</v>
      </c>
      <c r="F389" s="53">
        <v>46154.709722222222</v>
      </c>
      <c r="G389" s="53">
        <v>46160.334027777775</v>
      </c>
      <c r="H389" s="53">
        <v>46154.793055555558</v>
      </c>
      <c r="I389" s="52" t="s">
        <v>3693</v>
      </c>
      <c r="J389" s="52" t="s">
        <v>3693</v>
      </c>
      <c r="K389" s="53">
        <v>46154.793055555558</v>
      </c>
      <c r="L389" s="52"/>
      <c r="M389" s="54">
        <v>1.4791666666666667</v>
      </c>
      <c r="N389" s="55">
        <v>0.39791666666666664</v>
      </c>
      <c r="O389" s="52"/>
      <c r="P389" s="52"/>
      <c r="Q389" s="52"/>
      <c r="R389" s="52"/>
      <c r="S389" s="52"/>
      <c r="T389" s="52" t="s">
        <v>3736</v>
      </c>
      <c r="U389" s="52" t="s">
        <v>3695</v>
      </c>
      <c r="V389" s="52"/>
      <c r="W389" s="52"/>
      <c r="X389" s="52"/>
      <c r="Y389" s="52"/>
      <c r="Z389" s="52" t="s">
        <v>3696</v>
      </c>
      <c r="AA389" s="52" t="s">
        <v>1246</v>
      </c>
      <c r="AB389" s="52" t="s">
        <v>140</v>
      </c>
      <c r="AC389" s="52" t="s">
        <v>3703</v>
      </c>
      <c r="AD389" s="52" t="s">
        <v>3704</v>
      </c>
      <c r="AE389" s="52"/>
      <c r="AF389" s="52" t="s">
        <v>3737</v>
      </c>
      <c r="AG389" s="52" t="s">
        <v>3704</v>
      </c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>
        <v>0</v>
      </c>
      <c r="AT389" s="52"/>
      <c r="AU389" s="52"/>
      <c r="AV389" s="52" t="s">
        <v>232</v>
      </c>
      <c r="AW389" s="52"/>
    </row>
    <row r="390" spans="1:49">
      <c r="A390" s="52">
        <v>6020562</v>
      </c>
      <c r="B390" s="52" t="s">
        <v>3723</v>
      </c>
      <c r="C390" s="52" t="s">
        <v>3698</v>
      </c>
      <c r="D390" s="53">
        <v>46154.375</v>
      </c>
      <c r="E390" s="53">
        <v>46153.586805555555</v>
      </c>
      <c r="F390" s="53">
        <v>46154.729166666664</v>
      </c>
      <c r="G390" s="53">
        <v>46160.334027777775</v>
      </c>
      <c r="H390" s="53">
        <v>46154.829861111109</v>
      </c>
      <c r="I390" s="52"/>
      <c r="J390" s="52" t="s">
        <v>3693</v>
      </c>
      <c r="K390" s="53">
        <v>46154.793055555558</v>
      </c>
      <c r="L390" s="52"/>
      <c r="M390" s="54">
        <v>5.6048611111111111</v>
      </c>
      <c r="N390" s="54">
        <v>3.7270833333333333</v>
      </c>
      <c r="O390" s="52" t="s">
        <v>3087</v>
      </c>
      <c r="P390" s="52" t="s">
        <v>1246</v>
      </c>
      <c r="Q390" s="52" t="s">
        <v>1955</v>
      </c>
      <c r="R390" s="52"/>
      <c r="S390" s="52" t="s">
        <v>789</v>
      </c>
      <c r="T390" s="52" t="s">
        <v>3736</v>
      </c>
      <c r="U390" s="52" t="s">
        <v>3695</v>
      </c>
      <c r="V390" s="52" t="s">
        <v>3088</v>
      </c>
      <c r="W390" s="52">
        <v>1880816237</v>
      </c>
      <c r="X390" s="52" t="s">
        <v>73</v>
      </c>
      <c r="Y390" s="52" t="s">
        <v>3738</v>
      </c>
      <c r="Z390" s="52" t="s">
        <v>3696</v>
      </c>
      <c r="AA390" s="52" t="s">
        <v>3710</v>
      </c>
      <c r="AB390" s="52"/>
      <c r="AC390" s="52" t="s">
        <v>3703</v>
      </c>
      <c r="AD390" s="52" t="s">
        <v>3704</v>
      </c>
      <c r="AE390" s="52" t="s">
        <v>140</v>
      </c>
      <c r="AF390" s="52" t="s">
        <v>3737</v>
      </c>
      <c r="AG390" s="52" t="s">
        <v>3704</v>
      </c>
      <c r="AH390" s="52"/>
      <c r="AI390" s="52"/>
      <c r="AJ390" s="52"/>
      <c r="AK390" s="52"/>
      <c r="AL390" s="55">
        <v>3.6805555555555557E-2</v>
      </c>
      <c r="AM390" s="52"/>
      <c r="AN390" s="52"/>
      <c r="AO390" s="55">
        <v>3.6805555555555557E-2</v>
      </c>
      <c r="AP390" s="55">
        <v>3.6805555555555557E-2</v>
      </c>
      <c r="AQ390" s="52"/>
      <c r="AR390" s="52"/>
      <c r="AS390" s="52" t="s">
        <v>3696</v>
      </c>
      <c r="AT390" s="52"/>
      <c r="AU390" s="52"/>
      <c r="AV390" s="52"/>
      <c r="AW390" s="52"/>
    </row>
    <row r="391" spans="1:49">
      <c r="A391" s="52">
        <v>6020562</v>
      </c>
      <c r="B391" s="52" t="s">
        <v>3723</v>
      </c>
      <c r="C391" s="52" t="s">
        <v>3698</v>
      </c>
      <c r="D391" s="53">
        <v>46154.375</v>
      </c>
      <c r="E391" s="53">
        <v>46153.586805555555</v>
      </c>
      <c r="F391" s="53">
        <v>46154.729166666664</v>
      </c>
      <c r="G391" s="53">
        <v>46160.334027777775</v>
      </c>
      <c r="H391" s="53">
        <v>46154.829861111109</v>
      </c>
      <c r="I391" s="52"/>
      <c r="J391" s="52" t="s">
        <v>3693</v>
      </c>
      <c r="K391" s="53">
        <v>46154.793055555558</v>
      </c>
      <c r="L391" s="52"/>
      <c r="M391" s="54">
        <v>5.6048611111111111</v>
      </c>
      <c r="N391" s="54">
        <v>3.7270833333333333</v>
      </c>
      <c r="O391" s="52" t="s">
        <v>3087</v>
      </c>
      <c r="P391" s="52" t="s">
        <v>1246</v>
      </c>
      <c r="Q391" s="52" t="s">
        <v>1955</v>
      </c>
      <c r="R391" s="52"/>
      <c r="S391" s="52" t="s">
        <v>789</v>
      </c>
      <c r="T391" s="52" t="s">
        <v>3736</v>
      </c>
      <c r="U391" s="52" t="s">
        <v>3695</v>
      </c>
      <c r="V391" s="52" t="s">
        <v>3088</v>
      </c>
      <c r="W391" s="52">
        <v>1880816237</v>
      </c>
      <c r="X391" s="52" t="s">
        <v>73</v>
      </c>
      <c r="Y391" s="52" t="s">
        <v>3738</v>
      </c>
      <c r="Z391" s="52" t="s">
        <v>3696</v>
      </c>
      <c r="AA391" s="52" t="s">
        <v>3710</v>
      </c>
      <c r="AB391" s="52"/>
      <c r="AC391" s="52" t="s">
        <v>3703</v>
      </c>
      <c r="AD391" s="52" t="s">
        <v>3704</v>
      </c>
      <c r="AE391" s="52"/>
      <c r="AF391" s="52" t="s">
        <v>3737</v>
      </c>
      <c r="AG391" s="52" t="s">
        <v>3704</v>
      </c>
      <c r="AH391" s="52"/>
      <c r="AI391" s="52"/>
      <c r="AJ391" s="52"/>
      <c r="AK391" s="52"/>
      <c r="AL391" s="55">
        <v>3.6805555555555557E-2</v>
      </c>
      <c r="AM391" s="52"/>
      <c r="AN391" s="52"/>
      <c r="AO391" s="55">
        <v>3.6805555555555557E-2</v>
      </c>
      <c r="AP391" s="55">
        <v>3.6805555555555557E-2</v>
      </c>
      <c r="AQ391" s="52"/>
      <c r="AR391" s="52"/>
      <c r="AS391" s="52" t="s">
        <v>3696</v>
      </c>
      <c r="AT391" s="52"/>
      <c r="AU391" s="52"/>
      <c r="AV391" s="52"/>
      <c r="AW391" s="52" t="s">
        <v>232</v>
      </c>
    </row>
    <row r="392" spans="1:49">
      <c r="A392" s="52">
        <v>6020564</v>
      </c>
      <c r="B392" s="52" t="s">
        <v>3716</v>
      </c>
      <c r="C392" s="52" t="s">
        <v>3692</v>
      </c>
      <c r="D392" s="53">
        <v>46156.416666666664</v>
      </c>
      <c r="E392" s="53">
        <v>46153.586805555555</v>
      </c>
      <c r="F392" s="53">
        <v>46156.688888888886</v>
      </c>
      <c r="G392" s="53">
        <v>46160.333333333336</v>
      </c>
      <c r="H392" s="52"/>
      <c r="I392" s="52" t="s">
        <v>3693</v>
      </c>
      <c r="J392" s="52" t="s">
        <v>3693</v>
      </c>
      <c r="K392" s="53">
        <v>46158.82916666667</v>
      </c>
      <c r="L392" s="52"/>
      <c r="M392" s="55">
        <v>0.98888888888888893</v>
      </c>
      <c r="N392" s="55">
        <v>0.8881944444444444</v>
      </c>
      <c r="O392" s="52"/>
      <c r="P392" s="52"/>
      <c r="Q392" s="52"/>
      <c r="R392" s="52"/>
      <c r="S392" s="52"/>
      <c r="T392" s="52" t="s">
        <v>3695</v>
      </c>
      <c r="U392" s="52" t="s">
        <v>3847</v>
      </c>
      <c r="V392" s="52"/>
      <c r="W392" s="52"/>
      <c r="X392" s="52"/>
      <c r="Y392" s="52"/>
      <c r="Z392" s="52" t="s">
        <v>3696</v>
      </c>
      <c r="AA392" s="52" t="s">
        <v>227</v>
      </c>
      <c r="AB392" s="52" t="s">
        <v>79</v>
      </c>
      <c r="AC392" s="52" t="s">
        <v>3720</v>
      </c>
      <c r="AD392" s="52" t="s">
        <v>3715</v>
      </c>
      <c r="AE392" s="52"/>
      <c r="AF392" s="52" t="s">
        <v>3848</v>
      </c>
      <c r="AG392" s="52" t="s">
        <v>3770</v>
      </c>
      <c r="AH392" s="52"/>
      <c r="AI392" s="52"/>
      <c r="AJ392" s="52"/>
      <c r="AK392" s="52"/>
      <c r="AL392" s="55">
        <v>1.8055555555555554E-2</v>
      </c>
      <c r="AM392" s="52"/>
      <c r="AN392" s="52"/>
      <c r="AO392" s="52"/>
      <c r="AP392" s="52"/>
      <c r="AQ392" s="52"/>
      <c r="AR392" s="52"/>
      <c r="AS392" s="52">
        <v>0</v>
      </c>
      <c r="AT392" s="52"/>
      <c r="AU392" s="52"/>
      <c r="AV392" s="52" t="s">
        <v>232</v>
      </c>
      <c r="AW392" s="52"/>
    </row>
    <row r="393" spans="1:49">
      <c r="A393" s="52">
        <v>6020564</v>
      </c>
      <c r="B393" s="52" t="s">
        <v>3716</v>
      </c>
      <c r="C393" s="52" t="s">
        <v>3698</v>
      </c>
      <c r="D393" s="53">
        <v>46156.416666666664</v>
      </c>
      <c r="E393" s="53">
        <v>46153.586805555555</v>
      </c>
      <c r="F393" s="53">
        <v>46156.69027777778</v>
      </c>
      <c r="G393" s="53">
        <v>46157.373611111114</v>
      </c>
      <c r="H393" s="53">
        <v>46156.777777777781</v>
      </c>
      <c r="I393" s="52"/>
      <c r="J393" s="52" t="s">
        <v>3693</v>
      </c>
      <c r="K393" s="53">
        <v>46157.378472222219</v>
      </c>
      <c r="L393" s="52"/>
      <c r="M393" s="55">
        <v>0.68333333333333335</v>
      </c>
      <c r="N393" s="54">
        <v>1.7659722222222223</v>
      </c>
      <c r="O393" s="52" t="s">
        <v>3446</v>
      </c>
      <c r="P393" s="52" t="s">
        <v>227</v>
      </c>
      <c r="Q393" s="52" t="s">
        <v>1657</v>
      </c>
      <c r="R393" s="52" t="s">
        <v>1663</v>
      </c>
      <c r="S393" s="52" t="s">
        <v>789</v>
      </c>
      <c r="T393" s="52" t="s">
        <v>3695</v>
      </c>
      <c r="U393" s="52" t="s">
        <v>3847</v>
      </c>
      <c r="V393" s="52" t="s">
        <v>1664</v>
      </c>
      <c r="W393" s="52">
        <v>18192769968</v>
      </c>
      <c r="X393" s="52" t="s">
        <v>73</v>
      </c>
      <c r="Y393" s="52"/>
      <c r="Z393" s="52" t="s">
        <v>3696</v>
      </c>
      <c r="AA393" s="52" t="s">
        <v>3710</v>
      </c>
      <c r="AB393" s="52"/>
      <c r="AC393" s="52" t="s">
        <v>3720</v>
      </c>
      <c r="AD393" s="52" t="s">
        <v>3715</v>
      </c>
      <c r="AE393" s="52" t="s">
        <v>79</v>
      </c>
      <c r="AF393" s="52" t="s">
        <v>3848</v>
      </c>
      <c r="AG393" s="52" t="s">
        <v>3770</v>
      </c>
      <c r="AH393" s="52"/>
      <c r="AI393" s="53">
        <v>46156.691666666666</v>
      </c>
      <c r="AJ393" s="53">
        <v>46156.709722222222</v>
      </c>
      <c r="AK393" s="53">
        <v>46156.691666666666</v>
      </c>
      <c r="AL393" s="55">
        <v>2.1527777777777778E-2</v>
      </c>
      <c r="AM393" s="52"/>
      <c r="AN393" s="55">
        <v>1.8055555555555554E-2</v>
      </c>
      <c r="AO393" s="52"/>
      <c r="AP393" s="55">
        <v>2.1527777777777778E-2</v>
      </c>
      <c r="AQ393" s="52"/>
      <c r="AR393" s="52"/>
      <c r="AS393" s="52" t="s">
        <v>3696</v>
      </c>
      <c r="AT393" s="52"/>
      <c r="AU393" s="52"/>
      <c r="AV393" s="52"/>
      <c r="AW393" s="52"/>
    </row>
    <row r="394" spans="1:49">
      <c r="A394" s="52">
        <v>6020564</v>
      </c>
      <c r="B394" s="52" t="s">
        <v>3716</v>
      </c>
      <c r="C394" s="52" t="s">
        <v>3698</v>
      </c>
      <c r="D394" s="53">
        <v>46156.416666666664</v>
      </c>
      <c r="E394" s="53">
        <v>46153.586805555555</v>
      </c>
      <c r="F394" s="53">
        <v>46156.69027777778</v>
      </c>
      <c r="G394" s="53">
        <v>46157.373611111114</v>
      </c>
      <c r="H394" s="53">
        <v>46156.777777777781</v>
      </c>
      <c r="I394" s="52"/>
      <c r="J394" s="52" t="s">
        <v>3693</v>
      </c>
      <c r="K394" s="53">
        <v>46157.378472222219</v>
      </c>
      <c r="L394" s="52"/>
      <c r="M394" s="55">
        <v>0.68333333333333335</v>
      </c>
      <c r="N394" s="54">
        <v>1.7659722222222223</v>
      </c>
      <c r="O394" s="52" t="s">
        <v>3446</v>
      </c>
      <c r="P394" s="52" t="s">
        <v>227</v>
      </c>
      <c r="Q394" s="52" t="s">
        <v>1657</v>
      </c>
      <c r="R394" s="52" t="s">
        <v>1663</v>
      </c>
      <c r="S394" s="52" t="s">
        <v>789</v>
      </c>
      <c r="T394" s="52" t="s">
        <v>3695</v>
      </c>
      <c r="U394" s="52" t="s">
        <v>3847</v>
      </c>
      <c r="V394" s="52" t="s">
        <v>1664</v>
      </c>
      <c r="W394" s="52">
        <v>18192769968</v>
      </c>
      <c r="X394" s="52" t="s">
        <v>73</v>
      </c>
      <c r="Y394" s="52"/>
      <c r="Z394" s="52" t="s">
        <v>3696</v>
      </c>
      <c r="AA394" s="52" t="s">
        <v>3710</v>
      </c>
      <c r="AB394" s="52"/>
      <c r="AC394" s="52" t="s">
        <v>3720</v>
      </c>
      <c r="AD394" s="52" t="s">
        <v>3715</v>
      </c>
      <c r="AE394" s="52"/>
      <c r="AF394" s="52" t="s">
        <v>3848</v>
      </c>
      <c r="AG394" s="52" t="s">
        <v>3770</v>
      </c>
      <c r="AH394" s="52"/>
      <c r="AI394" s="53">
        <v>46156.691666666666</v>
      </c>
      <c r="AJ394" s="53">
        <v>46156.709722222222</v>
      </c>
      <c r="AK394" s="53">
        <v>46156.691666666666</v>
      </c>
      <c r="AL394" s="55">
        <v>2.1527777777777778E-2</v>
      </c>
      <c r="AM394" s="52"/>
      <c r="AN394" s="55">
        <v>1.8055555555555554E-2</v>
      </c>
      <c r="AO394" s="52"/>
      <c r="AP394" s="55">
        <v>2.1527777777777778E-2</v>
      </c>
      <c r="AQ394" s="52"/>
      <c r="AR394" s="52"/>
      <c r="AS394" s="52" t="s">
        <v>3696</v>
      </c>
      <c r="AT394" s="52"/>
      <c r="AU394" s="52"/>
      <c r="AV394" s="52"/>
      <c r="AW394" s="52" t="s">
        <v>232</v>
      </c>
    </row>
    <row r="395" spans="1:49">
      <c r="A395" s="52">
        <v>6020564</v>
      </c>
      <c r="B395" s="52" t="s">
        <v>3716</v>
      </c>
      <c r="C395" s="52" t="s">
        <v>3698</v>
      </c>
      <c r="D395" s="53">
        <v>46156.416666666664</v>
      </c>
      <c r="E395" s="53">
        <v>46153.586805555555</v>
      </c>
      <c r="F395" s="53">
        <v>46156.97152777778</v>
      </c>
      <c r="G395" s="53">
        <v>46157.373611111114</v>
      </c>
      <c r="H395" s="52"/>
      <c r="I395" s="52"/>
      <c r="J395" s="52" t="s">
        <v>3693</v>
      </c>
      <c r="K395" s="53">
        <v>46157.378472222219</v>
      </c>
      <c r="L395" s="52"/>
      <c r="M395" s="55">
        <v>0.40208333333333335</v>
      </c>
      <c r="N395" s="54">
        <v>1.4847222222222223</v>
      </c>
      <c r="O395" s="52" t="s">
        <v>226</v>
      </c>
      <c r="P395" s="52" t="s">
        <v>227</v>
      </c>
      <c r="Q395" s="52" t="s">
        <v>225</v>
      </c>
      <c r="R395" s="52" t="s">
        <v>235</v>
      </c>
      <c r="S395" s="52" t="s">
        <v>69</v>
      </c>
      <c r="T395" s="52" t="s">
        <v>3950</v>
      </c>
      <c r="U395" s="52" t="s">
        <v>3951</v>
      </c>
      <c r="V395" s="52" t="s">
        <v>236</v>
      </c>
      <c r="W395" s="52">
        <v>9011679911</v>
      </c>
      <c r="X395" s="52" t="s">
        <v>73</v>
      </c>
      <c r="Y395" s="52" t="s">
        <v>225</v>
      </c>
      <c r="Z395" s="52" t="s">
        <v>3696</v>
      </c>
      <c r="AA395" s="52" t="s">
        <v>3710</v>
      </c>
      <c r="AB395" s="52"/>
      <c r="AC395" s="52" t="s">
        <v>3720</v>
      </c>
      <c r="AD395" s="52" t="s">
        <v>3715</v>
      </c>
      <c r="AE395" s="52" t="s">
        <v>79</v>
      </c>
      <c r="AF395" s="52" t="s">
        <v>3848</v>
      </c>
      <c r="AG395" s="52" t="s">
        <v>3770</v>
      </c>
      <c r="AH395" s="52"/>
      <c r="AI395" s="53">
        <v>46156.691666666666</v>
      </c>
      <c r="AJ395" s="53">
        <v>46156.709722222222</v>
      </c>
      <c r="AK395" s="53">
        <v>46156.691666666666</v>
      </c>
      <c r="AL395" s="54">
        <v>1.1611111111111112</v>
      </c>
      <c r="AM395" s="52"/>
      <c r="AN395" s="55">
        <v>1.8055555555555554E-2</v>
      </c>
      <c r="AO395" s="52"/>
      <c r="AP395" s="54">
        <v>1.1611111111111112</v>
      </c>
      <c r="AQ395" s="52"/>
      <c r="AR395" s="52"/>
      <c r="AS395" s="52" t="s">
        <v>3696</v>
      </c>
      <c r="AT395" s="52"/>
      <c r="AU395" s="52"/>
      <c r="AV395" s="52"/>
      <c r="AW395" s="52"/>
    </row>
    <row r="396" spans="1:49">
      <c r="A396" s="52">
        <v>6020564</v>
      </c>
      <c r="B396" s="52" t="s">
        <v>3716</v>
      </c>
      <c r="C396" s="52" t="s">
        <v>3698</v>
      </c>
      <c r="D396" s="53">
        <v>46156.416666666664</v>
      </c>
      <c r="E396" s="53">
        <v>46153.586805555555</v>
      </c>
      <c r="F396" s="53">
        <v>46156.97152777778</v>
      </c>
      <c r="G396" s="53">
        <v>46157.373611111114</v>
      </c>
      <c r="H396" s="52"/>
      <c r="I396" s="52"/>
      <c r="J396" s="52" t="s">
        <v>3693</v>
      </c>
      <c r="K396" s="53">
        <v>46157.378472222219</v>
      </c>
      <c r="L396" s="52"/>
      <c r="M396" s="55">
        <v>0.40208333333333335</v>
      </c>
      <c r="N396" s="54">
        <v>1.4847222222222223</v>
      </c>
      <c r="O396" s="52" t="s">
        <v>226</v>
      </c>
      <c r="P396" s="52" t="s">
        <v>227</v>
      </c>
      <c r="Q396" s="52" t="s">
        <v>225</v>
      </c>
      <c r="R396" s="52" t="s">
        <v>235</v>
      </c>
      <c r="S396" s="52" t="s">
        <v>69</v>
      </c>
      <c r="T396" s="52" t="s">
        <v>3950</v>
      </c>
      <c r="U396" s="52" t="s">
        <v>3951</v>
      </c>
      <c r="V396" s="52" t="s">
        <v>236</v>
      </c>
      <c r="W396" s="52">
        <v>9011679911</v>
      </c>
      <c r="X396" s="52" t="s">
        <v>73</v>
      </c>
      <c r="Y396" s="52" t="s">
        <v>225</v>
      </c>
      <c r="Z396" s="52" t="s">
        <v>3696</v>
      </c>
      <c r="AA396" s="52" t="s">
        <v>3710</v>
      </c>
      <c r="AB396" s="52"/>
      <c r="AC396" s="52" t="s">
        <v>3720</v>
      </c>
      <c r="AD396" s="52" t="s">
        <v>3715</v>
      </c>
      <c r="AE396" s="52"/>
      <c r="AF396" s="52" t="s">
        <v>3848</v>
      </c>
      <c r="AG396" s="52" t="s">
        <v>3770</v>
      </c>
      <c r="AH396" s="52"/>
      <c r="AI396" s="53">
        <v>46156.691666666666</v>
      </c>
      <c r="AJ396" s="53">
        <v>46156.709722222222</v>
      </c>
      <c r="AK396" s="53">
        <v>46156.691666666666</v>
      </c>
      <c r="AL396" s="54">
        <v>1.1611111111111112</v>
      </c>
      <c r="AM396" s="52"/>
      <c r="AN396" s="55">
        <v>1.8055555555555554E-2</v>
      </c>
      <c r="AO396" s="52"/>
      <c r="AP396" s="54">
        <v>1.1611111111111112</v>
      </c>
      <c r="AQ396" s="52"/>
      <c r="AR396" s="52"/>
      <c r="AS396" s="52" t="s">
        <v>3696</v>
      </c>
      <c r="AT396" s="52"/>
      <c r="AU396" s="52"/>
      <c r="AV396" s="52"/>
      <c r="AW396" s="52" t="s">
        <v>232</v>
      </c>
    </row>
    <row r="397" spans="1:49">
      <c r="A397" s="52">
        <v>6020567</v>
      </c>
      <c r="B397" s="52" t="s">
        <v>3723</v>
      </c>
      <c r="C397" s="52" t="s">
        <v>3692</v>
      </c>
      <c r="D397" s="53">
        <v>46157.375</v>
      </c>
      <c r="E397" s="53">
        <v>46157.818055555559</v>
      </c>
      <c r="F397" s="53">
        <v>46157.835416666669</v>
      </c>
      <c r="G397" s="53">
        <v>46158.400000000001</v>
      </c>
      <c r="H397" s="53">
        <v>46157.868055555555</v>
      </c>
      <c r="I397" s="52" t="s">
        <v>3693</v>
      </c>
      <c r="J397" s="52" t="s">
        <v>3693</v>
      </c>
      <c r="K397" s="53">
        <v>46157.868055555555</v>
      </c>
      <c r="L397" s="52"/>
      <c r="M397" s="54">
        <v>3.9583333333333335</v>
      </c>
      <c r="N397" s="54">
        <v>1.08125</v>
      </c>
      <c r="O397" s="52"/>
      <c r="P397" s="52"/>
      <c r="Q397" s="52"/>
      <c r="R397" s="52"/>
      <c r="S397" s="52"/>
      <c r="T397" s="52" t="s">
        <v>3736</v>
      </c>
      <c r="U397" s="52" t="s">
        <v>3952</v>
      </c>
      <c r="V397" s="52"/>
      <c r="W397" s="52"/>
      <c r="X397" s="52"/>
      <c r="Y397" s="52"/>
      <c r="Z397" s="52" t="s">
        <v>3696</v>
      </c>
      <c r="AA397" s="52" t="s">
        <v>1246</v>
      </c>
      <c r="AB397" s="52" t="s">
        <v>140</v>
      </c>
      <c r="AC397" s="52" t="s">
        <v>3703</v>
      </c>
      <c r="AD397" s="52" t="s">
        <v>3704</v>
      </c>
      <c r="AE397" s="52"/>
      <c r="AF397" s="52" t="s">
        <v>3737</v>
      </c>
      <c r="AG397" s="52" t="s">
        <v>3704</v>
      </c>
      <c r="AH397" s="52"/>
      <c r="AI397" s="52"/>
      <c r="AJ397" s="52"/>
      <c r="AK397" s="52"/>
      <c r="AL397" s="55">
        <v>1.4583333333333334E-2</v>
      </c>
      <c r="AM397" s="52"/>
      <c r="AN397" s="52"/>
      <c r="AO397" s="52"/>
      <c r="AP397" s="52"/>
      <c r="AQ397" s="52"/>
      <c r="AR397" s="52"/>
      <c r="AS397" s="52">
        <v>0</v>
      </c>
      <c r="AT397" s="52"/>
      <c r="AU397" s="52"/>
      <c r="AV397" s="52" t="s">
        <v>3953</v>
      </c>
      <c r="AW397" s="52"/>
    </row>
    <row r="398" spans="1:49">
      <c r="A398" s="52">
        <v>6020567</v>
      </c>
      <c r="B398" s="52" t="s">
        <v>3723</v>
      </c>
      <c r="C398" s="52" t="s">
        <v>3698</v>
      </c>
      <c r="D398" s="53">
        <v>46157.375</v>
      </c>
      <c r="E398" s="53">
        <v>46157.818055555559</v>
      </c>
      <c r="F398" s="53">
        <v>46157.838194444441</v>
      </c>
      <c r="G398" s="53">
        <v>46158.400000000001</v>
      </c>
      <c r="H398" s="53">
        <v>46157.938194444447</v>
      </c>
      <c r="I398" s="52"/>
      <c r="J398" s="52" t="s">
        <v>3693</v>
      </c>
      <c r="K398" s="53">
        <v>46157.868055555555</v>
      </c>
      <c r="L398" s="52"/>
      <c r="M398" s="55">
        <v>0.56180555555555556</v>
      </c>
      <c r="N398" s="55">
        <v>0.61805555555555558</v>
      </c>
      <c r="O398" s="52" t="s">
        <v>3607</v>
      </c>
      <c r="P398" s="52" t="s">
        <v>1246</v>
      </c>
      <c r="Q398" s="52" t="s">
        <v>1762</v>
      </c>
      <c r="R398" s="52"/>
      <c r="S398" s="52" t="s">
        <v>789</v>
      </c>
      <c r="T398" s="52" t="s">
        <v>3736</v>
      </c>
      <c r="U398" s="52" t="s">
        <v>3952</v>
      </c>
      <c r="V398" s="52" t="s">
        <v>1960</v>
      </c>
      <c r="W398" s="52">
        <v>23227296802</v>
      </c>
      <c r="X398" s="52" t="s">
        <v>73</v>
      </c>
      <c r="Y398" s="52" t="s">
        <v>3738</v>
      </c>
      <c r="Z398" s="52" t="s">
        <v>3696</v>
      </c>
      <c r="AA398" s="52" t="s">
        <v>3710</v>
      </c>
      <c r="AB398" s="52"/>
      <c r="AC398" s="52" t="s">
        <v>3703</v>
      </c>
      <c r="AD398" s="52" t="s">
        <v>3704</v>
      </c>
      <c r="AE398" s="52" t="s">
        <v>140</v>
      </c>
      <c r="AF398" s="52" t="s">
        <v>3737</v>
      </c>
      <c r="AG398" s="52" t="s">
        <v>3704</v>
      </c>
      <c r="AH398" s="52"/>
      <c r="AI398" s="53">
        <v>46157.834722222222</v>
      </c>
      <c r="AJ398" s="53">
        <v>46157.849305555559</v>
      </c>
      <c r="AK398" s="53">
        <v>46157.834722222222</v>
      </c>
      <c r="AL398" s="55">
        <v>8.4722222222222227E-2</v>
      </c>
      <c r="AM398" s="52"/>
      <c r="AN398" s="55">
        <v>1.4583333333333334E-2</v>
      </c>
      <c r="AO398" s="55">
        <v>7.013888888888889E-2</v>
      </c>
      <c r="AP398" s="55">
        <v>8.4722222222222227E-2</v>
      </c>
      <c r="AQ398" s="52"/>
      <c r="AR398" s="52"/>
      <c r="AS398" s="52" t="s">
        <v>3696</v>
      </c>
      <c r="AT398" s="52"/>
      <c r="AU398" s="52"/>
      <c r="AV398" s="52"/>
      <c r="AW398" s="52"/>
    </row>
    <row r="399" spans="1:49">
      <c r="A399" s="52">
        <v>6020567</v>
      </c>
      <c r="B399" s="52" t="s">
        <v>3723</v>
      </c>
      <c r="C399" s="52" t="s">
        <v>3698</v>
      </c>
      <c r="D399" s="53">
        <v>46157.375</v>
      </c>
      <c r="E399" s="53">
        <v>46157.818055555559</v>
      </c>
      <c r="F399" s="53">
        <v>46157.838194444441</v>
      </c>
      <c r="G399" s="53">
        <v>46158.400000000001</v>
      </c>
      <c r="H399" s="53">
        <v>46157.938194444447</v>
      </c>
      <c r="I399" s="52"/>
      <c r="J399" s="52" t="s">
        <v>3693</v>
      </c>
      <c r="K399" s="53">
        <v>46157.868055555555</v>
      </c>
      <c r="L399" s="52"/>
      <c r="M399" s="55">
        <v>0.56180555555555556</v>
      </c>
      <c r="N399" s="55">
        <v>0.61805555555555558</v>
      </c>
      <c r="O399" s="52" t="s">
        <v>3607</v>
      </c>
      <c r="P399" s="52" t="s">
        <v>1246</v>
      </c>
      <c r="Q399" s="52" t="s">
        <v>1762</v>
      </c>
      <c r="R399" s="52"/>
      <c r="S399" s="52" t="s">
        <v>789</v>
      </c>
      <c r="T399" s="52" t="s">
        <v>3736</v>
      </c>
      <c r="U399" s="52" t="s">
        <v>3952</v>
      </c>
      <c r="V399" s="52" t="s">
        <v>1960</v>
      </c>
      <c r="W399" s="52">
        <v>23227296802</v>
      </c>
      <c r="X399" s="52" t="s">
        <v>73</v>
      </c>
      <c r="Y399" s="52" t="s">
        <v>3738</v>
      </c>
      <c r="Z399" s="52" t="s">
        <v>3696</v>
      </c>
      <c r="AA399" s="52" t="s">
        <v>3710</v>
      </c>
      <c r="AB399" s="52"/>
      <c r="AC399" s="52" t="s">
        <v>3703</v>
      </c>
      <c r="AD399" s="52" t="s">
        <v>3704</v>
      </c>
      <c r="AE399" s="52"/>
      <c r="AF399" s="52" t="s">
        <v>3737</v>
      </c>
      <c r="AG399" s="52" t="s">
        <v>3704</v>
      </c>
      <c r="AH399" s="52"/>
      <c r="AI399" s="53">
        <v>46157.834722222222</v>
      </c>
      <c r="AJ399" s="53">
        <v>46157.849305555559</v>
      </c>
      <c r="AK399" s="53">
        <v>46157.834722222222</v>
      </c>
      <c r="AL399" s="55">
        <v>8.4722222222222227E-2</v>
      </c>
      <c r="AM399" s="52"/>
      <c r="AN399" s="55">
        <v>1.4583333333333334E-2</v>
      </c>
      <c r="AO399" s="55">
        <v>7.013888888888889E-2</v>
      </c>
      <c r="AP399" s="55">
        <v>8.4722222222222227E-2</v>
      </c>
      <c r="AQ399" s="52"/>
      <c r="AR399" s="52"/>
      <c r="AS399" s="52" t="s">
        <v>3696</v>
      </c>
      <c r="AT399" s="52"/>
      <c r="AU399" s="52"/>
      <c r="AV399" s="52"/>
      <c r="AW399" s="52" t="s">
        <v>3953</v>
      </c>
    </row>
    <row r="400" spans="1:49">
      <c r="A400" s="52">
        <v>6020569</v>
      </c>
      <c r="B400" s="52" t="s">
        <v>3691</v>
      </c>
      <c r="C400" s="52" t="s">
        <v>3692</v>
      </c>
      <c r="D400" s="53">
        <v>46160.375</v>
      </c>
      <c r="E400" s="53">
        <v>46157.584722222222</v>
      </c>
      <c r="F400" s="52"/>
      <c r="G400" s="52"/>
      <c r="H400" s="52"/>
      <c r="I400" s="52" t="s">
        <v>3693</v>
      </c>
      <c r="J400" s="52" t="s">
        <v>3694</v>
      </c>
      <c r="K400" s="52"/>
      <c r="L400" s="52"/>
      <c r="M400" s="55">
        <v>6.25E-2</v>
      </c>
      <c r="N400" s="54">
        <v>5.7729166666666663</v>
      </c>
      <c r="O400" s="52"/>
      <c r="P400" s="52"/>
      <c r="Q400" s="52"/>
      <c r="R400" s="52"/>
      <c r="S400" s="52"/>
      <c r="T400" s="52" t="s">
        <v>3695</v>
      </c>
      <c r="U400" s="52" t="s">
        <v>3695</v>
      </c>
      <c r="V400" s="52"/>
      <c r="W400" s="52"/>
      <c r="X400" s="52"/>
      <c r="Y400" s="52"/>
      <c r="Z400" s="52" t="s">
        <v>3696</v>
      </c>
      <c r="AA400" s="52" t="s">
        <v>836</v>
      </c>
      <c r="AB400" s="52" t="s">
        <v>140</v>
      </c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>
        <v>0</v>
      </c>
      <c r="AT400" s="52"/>
      <c r="AU400" s="52"/>
      <c r="AV400" s="52" t="s">
        <v>840</v>
      </c>
      <c r="AW400" s="52"/>
    </row>
    <row r="401" spans="1:49">
      <c r="A401" s="52">
        <v>6020569</v>
      </c>
      <c r="B401" s="52" t="s">
        <v>3691</v>
      </c>
      <c r="C401" s="52" t="s">
        <v>3698</v>
      </c>
      <c r="D401" s="53">
        <v>46160.375</v>
      </c>
      <c r="E401" s="53">
        <v>46157.584722222222</v>
      </c>
      <c r="F401" s="52"/>
      <c r="G401" s="52"/>
      <c r="H401" s="52"/>
      <c r="I401" s="52"/>
      <c r="J401" s="52" t="s">
        <v>3694</v>
      </c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 t="s">
        <v>3696</v>
      </c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>
        <v>0</v>
      </c>
      <c r="AT401" s="52"/>
      <c r="AU401" s="52"/>
      <c r="AV401" s="52"/>
      <c r="AW401" s="52"/>
    </row>
    <row r="402" spans="1:49">
      <c r="A402" s="52">
        <v>6020570</v>
      </c>
      <c r="B402" s="52" t="s">
        <v>3716</v>
      </c>
      <c r="C402" s="52" t="s">
        <v>3692</v>
      </c>
      <c r="D402" s="53">
        <v>46156.5</v>
      </c>
      <c r="E402" s="53">
        <v>46156.412499999999</v>
      </c>
      <c r="F402" s="53">
        <v>46156.609722222223</v>
      </c>
      <c r="G402" s="53">
        <v>46160.333333333336</v>
      </c>
      <c r="H402" s="52"/>
      <c r="I402" s="52" t="s">
        <v>3693</v>
      </c>
      <c r="J402" s="52" t="s">
        <v>3694</v>
      </c>
      <c r="K402" s="53">
        <v>46158.455555555556</v>
      </c>
      <c r="L402" s="52"/>
      <c r="M402" s="54">
        <v>1.4270833333333333</v>
      </c>
      <c r="N402" s="55">
        <v>0.45</v>
      </c>
      <c r="O402" s="52"/>
      <c r="P402" s="52"/>
      <c r="Q402" s="52"/>
      <c r="R402" s="52"/>
      <c r="S402" s="52"/>
      <c r="T402" s="52" t="s">
        <v>3954</v>
      </c>
      <c r="U402" s="52" t="s">
        <v>3955</v>
      </c>
      <c r="V402" s="52"/>
      <c r="W402" s="52"/>
      <c r="X402" s="52"/>
      <c r="Y402" s="52"/>
      <c r="Z402" s="52" t="s">
        <v>3696</v>
      </c>
      <c r="AA402" s="52" t="s">
        <v>216</v>
      </c>
      <c r="AB402" s="52" t="s">
        <v>140</v>
      </c>
      <c r="AC402" s="52" t="s">
        <v>3703</v>
      </c>
      <c r="AD402" s="52" t="s">
        <v>3704</v>
      </c>
      <c r="AE402" s="52"/>
      <c r="AF402" s="52" t="s">
        <v>3705</v>
      </c>
      <c r="AG402" s="52" t="s">
        <v>3706</v>
      </c>
      <c r="AH402" s="52"/>
      <c r="AI402" s="52"/>
      <c r="AJ402" s="52"/>
      <c r="AK402" s="52"/>
      <c r="AL402" s="55">
        <v>0.12638888888888888</v>
      </c>
      <c r="AM402" s="52"/>
      <c r="AN402" s="52"/>
      <c r="AO402" s="52"/>
      <c r="AP402" s="52"/>
      <c r="AQ402" s="52"/>
      <c r="AR402" s="52"/>
      <c r="AS402" s="52">
        <v>0</v>
      </c>
      <c r="AT402" s="52"/>
      <c r="AU402" s="52"/>
      <c r="AV402" s="52" t="s">
        <v>221</v>
      </c>
      <c r="AW402" s="52"/>
    </row>
    <row r="403" spans="1:49">
      <c r="A403" s="52">
        <v>6020570</v>
      </c>
      <c r="B403" s="52" t="s">
        <v>3716</v>
      </c>
      <c r="C403" s="52" t="s">
        <v>3698</v>
      </c>
      <c r="D403" s="53">
        <v>46156.5</v>
      </c>
      <c r="E403" s="53">
        <v>46156.412499999999</v>
      </c>
      <c r="F403" s="53">
        <v>46156.609722222223</v>
      </c>
      <c r="G403" s="53">
        <v>46160.333333333336</v>
      </c>
      <c r="H403" s="52"/>
      <c r="I403" s="52"/>
      <c r="J403" s="52" t="s">
        <v>3694</v>
      </c>
      <c r="K403" s="53">
        <v>46158.455555555556</v>
      </c>
      <c r="L403" s="52"/>
      <c r="M403" s="54">
        <v>3.723611111111111</v>
      </c>
      <c r="N403" s="54">
        <v>1.8465277777777778</v>
      </c>
      <c r="O403" s="52" t="s">
        <v>215</v>
      </c>
      <c r="P403" s="52" t="s">
        <v>216</v>
      </c>
      <c r="Q403" s="52" t="s">
        <v>214</v>
      </c>
      <c r="R403" s="52"/>
      <c r="S403" s="52" t="s">
        <v>69</v>
      </c>
      <c r="T403" s="52" t="s">
        <v>3954</v>
      </c>
      <c r="U403" s="52" t="s">
        <v>3955</v>
      </c>
      <c r="V403" s="52" t="s">
        <v>224</v>
      </c>
      <c r="W403" s="52">
        <v>12188442725</v>
      </c>
      <c r="X403" s="52" t="s">
        <v>73</v>
      </c>
      <c r="Y403" s="52"/>
      <c r="Z403" s="52" t="s">
        <v>3696</v>
      </c>
      <c r="AA403" s="52" t="s">
        <v>3710</v>
      </c>
      <c r="AB403" s="52"/>
      <c r="AC403" s="52" t="s">
        <v>3703</v>
      </c>
      <c r="AD403" s="52" t="s">
        <v>3704</v>
      </c>
      <c r="AE403" s="52" t="s">
        <v>140</v>
      </c>
      <c r="AF403" s="52" t="s">
        <v>3705</v>
      </c>
      <c r="AG403" s="52" t="s">
        <v>3706</v>
      </c>
      <c r="AH403" s="52"/>
      <c r="AI403" s="53">
        <v>46156.609722222223</v>
      </c>
      <c r="AJ403" s="53">
        <v>46156.736111111109</v>
      </c>
      <c r="AK403" s="53">
        <v>46156.609722222223</v>
      </c>
      <c r="AL403" s="55">
        <v>0.12638888888888888</v>
      </c>
      <c r="AM403" s="52"/>
      <c r="AN403" s="55">
        <v>0.12638888888888888</v>
      </c>
      <c r="AO403" s="52"/>
      <c r="AP403" s="55">
        <v>0.12638888888888888</v>
      </c>
      <c r="AQ403" s="52"/>
      <c r="AR403" s="52"/>
      <c r="AS403" s="52" t="s">
        <v>3696</v>
      </c>
      <c r="AT403" s="52"/>
      <c r="AU403" s="52"/>
      <c r="AV403" s="52"/>
      <c r="AW403" s="52"/>
    </row>
    <row r="404" spans="1:49">
      <c r="A404" s="52">
        <v>6020570</v>
      </c>
      <c r="B404" s="52" t="s">
        <v>3716</v>
      </c>
      <c r="C404" s="52" t="s">
        <v>3698</v>
      </c>
      <c r="D404" s="53">
        <v>46156.5</v>
      </c>
      <c r="E404" s="53">
        <v>46156.412499999999</v>
      </c>
      <c r="F404" s="53">
        <v>46156.609722222223</v>
      </c>
      <c r="G404" s="53">
        <v>46160.333333333336</v>
      </c>
      <c r="H404" s="52"/>
      <c r="I404" s="52"/>
      <c r="J404" s="52" t="s">
        <v>3694</v>
      </c>
      <c r="K404" s="53">
        <v>46158.455555555556</v>
      </c>
      <c r="L404" s="52"/>
      <c r="M404" s="54">
        <v>3.723611111111111</v>
      </c>
      <c r="N404" s="54">
        <v>1.8465277777777778</v>
      </c>
      <c r="O404" s="52" t="s">
        <v>215</v>
      </c>
      <c r="P404" s="52" t="s">
        <v>216</v>
      </c>
      <c r="Q404" s="52" t="s">
        <v>214</v>
      </c>
      <c r="R404" s="52"/>
      <c r="S404" s="52" t="s">
        <v>69</v>
      </c>
      <c r="T404" s="52" t="s">
        <v>3954</v>
      </c>
      <c r="U404" s="52" t="s">
        <v>3955</v>
      </c>
      <c r="V404" s="52" t="s">
        <v>224</v>
      </c>
      <c r="W404" s="52">
        <v>12188442725</v>
      </c>
      <c r="X404" s="52" t="s">
        <v>73</v>
      </c>
      <c r="Y404" s="52"/>
      <c r="Z404" s="52" t="s">
        <v>3696</v>
      </c>
      <c r="AA404" s="52" t="s">
        <v>3710</v>
      </c>
      <c r="AB404" s="52"/>
      <c r="AC404" s="52" t="s">
        <v>3703</v>
      </c>
      <c r="AD404" s="52" t="s">
        <v>3704</v>
      </c>
      <c r="AE404" s="52"/>
      <c r="AF404" s="52" t="s">
        <v>3705</v>
      </c>
      <c r="AG404" s="52" t="s">
        <v>3706</v>
      </c>
      <c r="AH404" s="52"/>
      <c r="AI404" s="53">
        <v>46156.609722222223</v>
      </c>
      <c r="AJ404" s="53">
        <v>46156.736111111109</v>
      </c>
      <c r="AK404" s="53">
        <v>46156.609722222223</v>
      </c>
      <c r="AL404" s="55">
        <v>0.12638888888888888</v>
      </c>
      <c r="AM404" s="52"/>
      <c r="AN404" s="55">
        <v>0.12638888888888888</v>
      </c>
      <c r="AO404" s="52"/>
      <c r="AP404" s="55">
        <v>0.12638888888888888</v>
      </c>
      <c r="AQ404" s="52"/>
      <c r="AR404" s="52"/>
      <c r="AS404" s="52" t="s">
        <v>3696</v>
      </c>
      <c r="AT404" s="52"/>
      <c r="AU404" s="52"/>
      <c r="AV404" s="52"/>
      <c r="AW404" s="52" t="s">
        <v>221</v>
      </c>
    </row>
    <row r="405" spans="1:49">
      <c r="A405" s="52">
        <v>6020571</v>
      </c>
      <c r="B405" s="52" t="s">
        <v>3716</v>
      </c>
      <c r="C405" s="52" t="s">
        <v>3692</v>
      </c>
      <c r="D405" s="53">
        <v>46156.5</v>
      </c>
      <c r="E405" s="53">
        <v>46156.412499999999</v>
      </c>
      <c r="F405" s="53">
        <v>46156.609722222223</v>
      </c>
      <c r="G405" s="53">
        <v>46160.333333333336</v>
      </c>
      <c r="H405" s="52"/>
      <c r="I405" s="52" t="s">
        <v>3693</v>
      </c>
      <c r="J405" s="52" t="s">
        <v>3694</v>
      </c>
      <c r="K405" s="53">
        <v>46158.455555555556</v>
      </c>
      <c r="L405" s="52"/>
      <c r="M405" s="54">
        <v>1.4270833333333333</v>
      </c>
      <c r="N405" s="55">
        <v>0.45</v>
      </c>
      <c r="O405" s="52"/>
      <c r="P405" s="52"/>
      <c r="Q405" s="52"/>
      <c r="R405" s="52"/>
      <c r="S405" s="52"/>
      <c r="T405" s="52" t="s">
        <v>3954</v>
      </c>
      <c r="U405" s="52" t="s">
        <v>3955</v>
      </c>
      <c r="V405" s="52"/>
      <c r="W405" s="52"/>
      <c r="X405" s="52"/>
      <c r="Y405" s="52"/>
      <c r="Z405" s="52" t="s">
        <v>3696</v>
      </c>
      <c r="AA405" s="52" t="s">
        <v>216</v>
      </c>
      <c r="AB405" s="52" t="s">
        <v>140</v>
      </c>
      <c r="AC405" s="52" t="s">
        <v>3703</v>
      </c>
      <c r="AD405" s="52" t="s">
        <v>3704</v>
      </c>
      <c r="AE405" s="52"/>
      <c r="AF405" s="52" t="s">
        <v>3705</v>
      </c>
      <c r="AG405" s="52" t="s">
        <v>3706</v>
      </c>
      <c r="AH405" s="52"/>
      <c r="AI405" s="52"/>
      <c r="AJ405" s="52"/>
      <c r="AK405" s="52"/>
      <c r="AL405" s="55">
        <v>0.12638888888888888</v>
      </c>
      <c r="AM405" s="52"/>
      <c r="AN405" s="52"/>
      <c r="AO405" s="52"/>
      <c r="AP405" s="52"/>
      <c r="AQ405" s="52"/>
      <c r="AR405" s="52"/>
      <c r="AS405" s="52">
        <v>0</v>
      </c>
      <c r="AT405" s="52"/>
      <c r="AU405" s="52"/>
      <c r="AV405" s="52" t="s">
        <v>221</v>
      </c>
      <c r="AW405" s="52"/>
    </row>
    <row r="406" spans="1:49">
      <c r="A406" s="52">
        <v>6020571</v>
      </c>
      <c r="B406" s="52" t="s">
        <v>3716</v>
      </c>
      <c r="C406" s="52" t="s">
        <v>3698</v>
      </c>
      <c r="D406" s="53">
        <v>46156.5</v>
      </c>
      <c r="E406" s="53">
        <v>46156.412499999999</v>
      </c>
      <c r="F406" s="53">
        <v>46156.609722222223</v>
      </c>
      <c r="G406" s="53">
        <v>46160.333333333336</v>
      </c>
      <c r="H406" s="52"/>
      <c r="I406" s="52"/>
      <c r="J406" s="52" t="s">
        <v>3694</v>
      </c>
      <c r="K406" s="53">
        <v>46158.455555555556</v>
      </c>
      <c r="L406" s="52"/>
      <c r="M406" s="54">
        <v>3.723611111111111</v>
      </c>
      <c r="N406" s="54">
        <v>1.8465277777777778</v>
      </c>
      <c r="O406" s="52" t="s">
        <v>215</v>
      </c>
      <c r="P406" s="52" t="s">
        <v>216</v>
      </c>
      <c r="Q406" s="52" t="s">
        <v>214</v>
      </c>
      <c r="R406" s="52"/>
      <c r="S406" s="52" t="s">
        <v>69</v>
      </c>
      <c r="T406" s="52" t="s">
        <v>3954</v>
      </c>
      <c r="U406" s="52" t="s">
        <v>3955</v>
      </c>
      <c r="V406" s="52" t="s">
        <v>224</v>
      </c>
      <c r="W406" s="52">
        <v>12188442725</v>
      </c>
      <c r="X406" s="52" t="s">
        <v>73</v>
      </c>
      <c r="Y406" s="52"/>
      <c r="Z406" s="52" t="s">
        <v>3696</v>
      </c>
      <c r="AA406" s="52" t="s">
        <v>3710</v>
      </c>
      <c r="AB406" s="52"/>
      <c r="AC406" s="52" t="s">
        <v>3703</v>
      </c>
      <c r="AD406" s="52" t="s">
        <v>3704</v>
      </c>
      <c r="AE406" s="52" t="s">
        <v>140</v>
      </c>
      <c r="AF406" s="52" t="s">
        <v>3705</v>
      </c>
      <c r="AG406" s="52" t="s">
        <v>3706</v>
      </c>
      <c r="AH406" s="52"/>
      <c r="AI406" s="53">
        <v>46156.609722222223</v>
      </c>
      <c r="AJ406" s="53">
        <v>46156.736111111109</v>
      </c>
      <c r="AK406" s="53">
        <v>46156.609722222223</v>
      </c>
      <c r="AL406" s="55">
        <v>0.12638888888888888</v>
      </c>
      <c r="AM406" s="52"/>
      <c r="AN406" s="55">
        <v>0.12638888888888888</v>
      </c>
      <c r="AO406" s="52"/>
      <c r="AP406" s="55">
        <v>0.12638888888888888</v>
      </c>
      <c r="AQ406" s="52"/>
      <c r="AR406" s="52"/>
      <c r="AS406" s="52" t="s">
        <v>3696</v>
      </c>
      <c r="AT406" s="52"/>
      <c r="AU406" s="52"/>
      <c r="AV406" s="52"/>
      <c r="AW406" s="52"/>
    </row>
    <row r="407" spans="1:49">
      <c r="A407" s="52">
        <v>6020571</v>
      </c>
      <c r="B407" s="52" t="s">
        <v>3716</v>
      </c>
      <c r="C407" s="52" t="s">
        <v>3698</v>
      </c>
      <c r="D407" s="53">
        <v>46156.5</v>
      </c>
      <c r="E407" s="53">
        <v>46156.412499999999</v>
      </c>
      <c r="F407" s="53">
        <v>46156.609722222223</v>
      </c>
      <c r="G407" s="53">
        <v>46160.333333333336</v>
      </c>
      <c r="H407" s="52"/>
      <c r="I407" s="52"/>
      <c r="J407" s="52" t="s">
        <v>3694</v>
      </c>
      <c r="K407" s="53">
        <v>46158.455555555556</v>
      </c>
      <c r="L407" s="52"/>
      <c r="M407" s="54">
        <v>3.723611111111111</v>
      </c>
      <c r="N407" s="54">
        <v>1.8465277777777778</v>
      </c>
      <c r="O407" s="52" t="s">
        <v>215</v>
      </c>
      <c r="P407" s="52" t="s">
        <v>216</v>
      </c>
      <c r="Q407" s="52" t="s">
        <v>214</v>
      </c>
      <c r="R407" s="52"/>
      <c r="S407" s="52" t="s">
        <v>69</v>
      </c>
      <c r="T407" s="52" t="s">
        <v>3954</v>
      </c>
      <c r="U407" s="52" t="s">
        <v>3955</v>
      </c>
      <c r="V407" s="52" t="s">
        <v>224</v>
      </c>
      <c r="W407" s="52">
        <v>12188442725</v>
      </c>
      <c r="X407" s="52" t="s">
        <v>73</v>
      </c>
      <c r="Y407" s="52"/>
      <c r="Z407" s="52" t="s">
        <v>3696</v>
      </c>
      <c r="AA407" s="52" t="s">
        <v>3710</v>
      </c>
      <c r="AB407" s="52"/>
      <c r="AC407" s="52" t="s">
        <v>3703</v>
      </c>
      <c r="AD407" s="52" t="s">
        <v>3704</v>
      </c>
      <c r="AE407" s="52"/>
      <c r="AF407" s="52" t="s">
        <v>3705</v>
      </c>
      <c r="AG407" s="52" t="s">
        <v>3706</v>
      </c>
      <c r="AH407" s="52"/>
      <c r="AI407" s="53">
        <v>46156.609722222223</v>
      </c>
      <c r="AJ407" s="53">
        <v>46156.736111111109</v>
      </c>
      <c r="AK407" s="53">
        <v>46156.609722222223</v>
      </c>
      <c r="AL407" s="55">
        <v>0.12638888888888888</v>
      </c>
      <c r="AM407" s="52"/>
      <c r="AN407" s="55">
        <v>0.12638888888888888</v>
      </c>
      <c r="AO407" s="52"/>
      <c r="AP407" s="55">
        <v>0.12638888888888888</v>
      </c>
      <c r="AQ407" s="52"/>
      <c r="AR407" s="52"/>
      <c r="AS407" s="52" t="s">
        <v>3696</v>
      </c>
      <c r="AT407" s="52"/>
      <c r="AU407" s="52"/>
      <c r="AV407" s="52"/>
      <c r="AW407" s="52" t="s">
        <v>221</v>
      </c>
    </row>
    <row r="408" spans="1:49">
      <c r="A408" s="52">
        <v>6020573</v>
      </c>
      <c r="B408" s="52" t="s">
        <v>3723</v>
      </c>
      <c r="C408" s="52" t="s">
        <v>3692</v>
      </c>
      <c r="D408" s="53">
        <v>46154.375</v>
      </c>
      <c r="E408" s="53">
        <v>46153.586805555555</v>
      </c>
      <c r="F408" s="53">
        <v>46154.709722222222</v>
      </c>
      <c r="G408" s="53">
        <v>46160.334027777775</v>
      </c>
      <c r="H408" s="53">
        <v>46154.793055555558</v>
      </c>
      <c r="I408" s="52" t="s">
        <v>3693</v>
      </c>
      <c r="J408" s="52" t="s">
        <v>3693</v>
      </c>
      <c r="K408" s="53">
        <v>46154.793055555558</v>
      </c>
      <c r="L408" s="52" t="s">
        <v>3735</v>
      </c>
      <c r="M408" s="55">
        <v>8.3333333333333329E-2</v>
      </c>
      <c r="N408" s="54">
        <v>2.8770833333333332</v>
      </c>
      <c r="O408" s="52"/>
      <c r="P408" s="52"/>
      <c r="Q408" s="52"/>
      <c r="R408" s="52"/>
      <c r="S408" s="52"/>
      <c r="T408" s="52" t="s">
        <v>3736</v>
      </c>
      <c r="U408" s="52" t="s">
        <v>3695</v>
      </c>
      <c r="V408" s="52"/>
      <c r="W408" s="52"/>
      <c r="X408" s="52"/>
      <c r="Y408" s="52"/>
      <c r="Z408" s="52" t="s">
        <v>3696</v>
      </c>
      <c r="AA408" s="52" t="s">
        <v>1246</v>
      </c>
      <c r="AB408" s="52" t="s">
        <v>140</v>
      </c>
      <c r="AC408" s="52" t="s">
        <v>3703</v>
      </c>
      <c r="AD408" s="52" t="s">
        <v>3704</v>
      </c>
      <c r="AE408" s="52"/>
      <c r="AF408" s="52" t="s">
        <v>3737</v>
      </c>
      <c r="AG408" s="52" t="s">
        <v>3704</v>
      </c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>
        <v>0</v>
      </c>
      <c r="AT408" s="52"/>
      <c r="AU408" s="52"/>
      <c r="AV408" s="52" t="s">
        <v>1296</v>
      </c>
      <c r="AW408" s="52"/>
    </row>
    <row r="409" spans="1:49">
      <c r="A409" s="52">
        <v>6020573</v>
      </c>
      <c r="B409" s="52" t="s">
        <v>3723</v>
      </c>
      <c r="C409" s="52" t="s">
        <v>3698</v>
      </c>
      <c r="D409" s="53">
        <v>46154.375</v>
      </c>
      <c r="E409" s="53">
        <v>46153.586805555555</v>
      </c>
      <c r="F409" s="53">
        <v>46154.729166666664</v>
      </c>
      <c r="G409" s="53">
        <v>46160.334027777775</v>
      </c>
      <c r="H409" s="53">
        <v>46154.829861111109</v>
      </c>
      <c r="I409" s="52"/>
      <c r="J409" s="52" t="s">
        <v>3693</v>
      </c>
      <c r="K409" s="53">
        <v>46154.793055555558</v>
      </c>
      <c r="L409" s="52"/>
      <c r="M409" s="54">
        <v>5.6048611111111111</v>
      </c>
      <c r="N409" s="54">
        <v>3.7270833333333333</v>
      </c>
      <c r="O409" s="52" t="s">
        <v>3087</v>
      </c>
      <c r="P409" s="52" t="s">
        <v>1246</v>
      </c>
      <c r="Q409" s="52" t="s">
        <v>1955</v>
      </c>
      <c r="R409" s="52"/>
      <c r="S409" s="52" t="s">
        <v>789</v>
      </c>
      <c r="T409" s="52" t="s">
        <v>3736</v>
      </c>
      <c r="U409" s="52" t="s">
        <v>3695</v>
      </c>
      <c r="V409" s="52" t="s">
        <v>3088</v>
      </c>
      <c r="W409" s="52">
        <v>1880816237</v>
      </c>
      <c r="X409" s="52" t="s">
        <v>73</v>
      </c>
      <c r="Y409" s="52" t="s">
        <v>3738</v>
      </c>
      <c r="Z409" s="52" t="s">
        <v>3696</v>
      </c>
      <c r="AA409" s="52" t="s">
        <v>3710</v>
      </c>
      <c r="AB409" s="52"/>
      <c r="AC409" s="52" t="s">
        <v>3703</v>
      </c>
      <c r="AD409" s="52" t="s">
        <v>3704</v>
      </c>
      <c r="AE409" s="52" t="s">
        <v>140</v>
      </c>
      <c r="AF409" s="52" t="s">
        <v>3737</v>
      </c>
      <c r="AG409" s="52" t="s">
        <v>3704</v>
      </c>
      <c r="AH409" s="52"/>
      <c r="AI409" s="52"/>
      <c r="AJ409" s="52"/>
      <c r="AK409" s="52"/>
      <c r="AL409" s="55">
        <v>3.6805555555555557E-2</v>
      </c>
      <c r="AM409" s="52"/>
      <c r="AN409" s="52"/>
      <c r="AO409" s="55">
        <v>3.6805555555555557E-2</v>
      </c>
      <c r="AP409" s="55">
        <v>3.6805555555555557E-2</v>
      </c>
      <c r="AQ409" s="52"/>
      <c r="AR409" s="52"/>
      <c r="AS409" s="52" t="s">
        <v>3696</v>
      </c>
      <c r="AT409" s="52"/>
      <c r="AU409" s="52"/>
      <c r="AV409" s="52"/>
      <c r="AW409" s="52"/>
    </row>
    <row r="410" spans="1:49">
      <c r="A410" s="52">
        <v>6020573</v>
      </c>
      <c r="B410" s="52" t="s">
        <v>3723</v>
      </c>
      <c r="C410" s="52" t="s">
        <v>3698</v>
      </c>
      <c r="D410" s="53">
        <v>46154.375</v>
      </c>
      <c r="E410" s="53">
        <v>46153.586805555555</v>
      </c>
      <c r="F410" s="53">
        <v>46154.729166666664</v>
      </c>
      <c r="G410" s="53">
        <v>46160.334027777775</v>
      </c>
      <c r="H410" s="53">
        <v>46154.829861111109</v>
      </c>
      <c r="I410" s="52"/>
      <c r="J410" s="52" t="s">
        <v>3693</v>
      </c>
      <c r="K410" s="53">
        <v>46154.793055555558</v>
      </c>
      <c r="L410" s="52"/>
      <c r="M410" s="54">
        <v>5.6048611111111111</v>
      </c>
      <c r="N410" s="54">
        <v>3.7270833333333333</v>
      </c>
      <c r="O410" s="52" t="s">
        <v>3087</v>
      </c>
      <c r="P410" s="52" t="s">
        <v>1246</v>
      </c>
      <c r="Q410" s="52" t="s">
        <v>1955</v>
      </c>
      <c r="R410" s="52"/>
      <c r="S410" s="52" t="s">
        <v>789</v>
      </c>
      <c r="T410" s="52" t="s">
        <v>3736</v>
      </c>
      <c r="U410" s="52" t="s">
        <v>3695</v>
      </c>
      <c r="V410" s="52" t="s">
        <v>3088</v>
      </c>
      <c r="W410" s="52">
        <v>1880816237</v>
      </c>
      <c r="X410" s="52" t="s">
        <v>73</v>
      </c>
      <c r="Y410" s="52" t="s">
        <v>3738</v>
      </c>
      <c r="Z410" s="52" t="s">
        <v>3696</v>
      </c>
      <c r="AA410" s="52" t="s">
        <v>3710</v>
      </c>
      <c r="AB410" s="52"/>
      <c r="AC410" s="52" t="s">
        <v>3703</v>
      </c>
      <c r="AD410" s="52" t="s">
        <v>3704</v>
      </c>
      <c r="AE410" s="52"/>
      <c r="AF410" s="52" t="s">
        <v>3737</v>
      </c>
      <c r="AG410" s="52" t="s">
        <v>3704</v>
      </c>
      <c r="AH410" s="52"/>
      <c r="AI410" s="52"/>
      <c r="AJ410" s="52"/>
      <c r="AK410" s="52"/>
      <c r="AL410" s="55">
        <v>3.6805555555555557E-2</v>
      </c>
      <c r="AM410" s="52"/>
      <c r="AN410" s="52"/>
      <c r="AO410" s="55">
        <v>3.6805555555555557E-2</v>
      </c>
      <c r="AP410" s="55">
        <v>3.6805555555555557E-2</v>
      </c>
      <c r="AQ410" s="52"/>
      <c r="AR410" s="52"/>
      <c r="AS410" s="52" t="s">
        <v>3696</v>
      </c>
      <c r="AT410" s="52"/>
      <c r="AU410" s="52"/>
      <c r="AV410" s="52"/>
      <c r="AW410" s="52" t="s">
        <v>1296</v>
      </c>
    </row>
    <row r="411" spans="1:49">
      <c r="A411" s="52">
        <v>6020576</v>
      </c>
      <c r="B411" s="52" t="s">
        <v>3691</v>
      </c>
      <c r="C411" s="52" t="s">
        <v>3692</v>
      </c>
      <c r="D411" s="53">
        <v>46154.375</v>
      </c>
      <c r="E411" s="53">
        <v>46153.586805555555</v>
      </c>
      <c r="F411" s="52"/>
      <c r="G411" s="52"/>
      <c r="H411" s="52"/>
      <c r="I411" s="52" t="s">
        <v>3693</v>
      </c>
      <c r="J411" s="52" t="s">
        <v>3694</v>
      </c>
      <c r="K411" s="52"/>
      <c r="L411" s="52"/>
      <c r="M411" s="55">
        <v>6.25E-2</v>
      </c>
      <c r="N411" s="54">
        <v>1.8979166666666667</v>
      </c>
      <c r="O411" s="52"/>
      <c r="P411" s="52"/>
      <c r="Q411" s="52"/>
      <c r="R411" s="52"/>
      <c r="S411" s="52"/>
      <c r="T411" s="52" t="s">
        <v>3695</v>
      </c>
      <c r="U411" s="52" t="s">
        <v>3695</v>
      </c>
      <c r="V411" s="52"/>
      <c r="W411" s="52"/>
      <c r="X411" s="52"/>
      <c r="Y411" s="52"/>
      <c r="Z411" s="52" t="s">
        <v>3696</v>
      </c>
      <c r="AA411" s="52" t="s">
        <v>836</v>
      </c>
      <c r="AB411" s="52" t="s">
        <v>140</v>
      </c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>
        <v>0</v>
      </c>
      <c r="AT411" s="52"/>
      <c r="AU411" s="52"/>
      <c r="AV411" s="52" t="s">
        <v>840</v>
      </c>
      <c r="AW411" s="52"/>
    </row>
    <row r="412" spans="1:49">
      <c r="A412" s="52">
        <v>6020576</v>
      </c>
      <c r="B412" s="52" t="s">
        <v>3691</v>
      </c>
      <c r="C412" s="52" t="s">
        <v>3698</v>
      </c>
      <c r="D412" s="53">
        <v>46154.375</v>
      </c>
      <c r="E412" s="53">
        <v>46153.586805555555</v>
      </c>
      <c r="F412" s="52"/>
      <c r="G412" s="52"/>
      <c r="H412" s="52"/>
      <c r="I412" s="52"/>
      <c r="J412" s="52" t="s">
        <v>3694</v>
      </c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 t="s">
        <v>3696</v>
      </c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>
        <v>0</v>
      </c>
      <c r="AT412" s="52"/>
      <c r="AU412" s="52"/>
      <c r="AV412" s="52"/>
      <c r="AW412" s="52"/>
    </row>
    <row r="413" spans="1:49">
      <c r="A413" s="52">
        <v>6020580</v>
      </c>
      <c r="B413" s="52" t="s">
        <v>3866</v>
      </c>
      <c r="C413" s="52" t="s">
        <v>3692</v>
      </c>
      <c r="D413" s="53">
        <v>46153.666666666664</v>
      </c>
      <c r="E413" s="53">
        <v>46153.643750000003</v>
      </c>
      <c r="F413" s="52"/>
      <c r="G413" s="52"/>
      <c r="H413" s="52"/>
      <c r="I413" s="52" t="s">
        <v>3693</v>
      </c>
      <c r="J413" s="52" t="s">
        <v>3694</v>
      </c>
      <c r="K413" s="52"/>
      <c r="L413" s="52"/>
      <c r="M413" s="55">
        <v>0.1</v>
      </c>
      <c r="N413" s="54">
        <v>4.1395833333333334</v>
      </c>
      <c r="O413" s="52"/>
      <c r="P413" s="52"/>
      <c r="Q413" s="52"/>
      <c r="R413" s="52"/>
      <c r="S413" s="52"/>
      <c r="T413" s="52" t="s">
        <v>3695</v>
      </c>
      <c r="U413" s="52" t="s">
        <v>3695</v>
      </c>
      <c r="V413" s="52"/>
      <c r="W413" s="52"/>
      <c r="X413" s="52"/>
      <c r="Y413" s="52"/>
      <c r="Z413" s="52" t="s">
        <v>3696</v>
      </c>
      <c r="AA413" s="52" t="s">
        <v>114</v>
      </c>
      <c r="AB413" s="52" t="s">
        <v>140</v>
      </c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>
        <v>0</v>
      </c>
      <c r="AT413" s="52"/>
      <c r="AU413" s="52"/>
      <c r="AV413" s="52" t="s">
        <v>3956</v>
      </c>
      <c r="AW413" s="52"/>
    </row>
    <row r="414" spans="1:49">
      <c r="A414" s="52">
        <v>6020580</v>
      </c>
      <c r="B414" s="52" t="s">
        <v>3866</v>
      </c>
      <c r="C414" s="52" t="s">
        <v>3698</v>
      </c>
      <c r="D414" s="53">
        <v>46153.666666666664</v>
      </c>
      <c r="E414" s="53">
        <v>46153.643750000003</v>
      </c>
      <c r="F414" s="52"/>
      <c r="G414" s="52"/>
      <c r="H414" s="52"/>
      <c r="I414" s="52"/>
      <c r="J414" s="52" t="s">
        <v>3694</v>
      </c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 t="s">
        <v>3696</v>
      </c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>
        <v>0</v>
      </c>
      <c r="AT414" s="52"/>
      <c r="AU414" s="52"/>
      <c r="AV414" s="52"/>
      <c r="AW414" s="52"/>
    </row>
    <row r="415" spans="1:49">
      <c r="A415" s="52">
        <v>6020634</v>
      </c>
      <c r="B415" s="52" t="s">
        <v>3691</v>
      </c>
      <c r="C415" s="52" t="s">
        <v>3692</v>
      </c>
      <c r="D415" s="53">
        <v>46154.375</v>
      </c>
      <c r="E415" s="53">
        <v>46153.586805555555</v>
      </c>
      <c r="F415" s="52"/>
      <c r="G415" s="52"/>
      <c r="H415" s="52"/>
      <c r="I415" s="52" t="s">
        <v>3693</v>
      </c>
      <c r="J415" s="52" t="s">
        <v>3694</v>
      </c>
      <c r="K415" s="52"/>
      <c r="L415" s="52"/>
      <c r="M415" s="55">
        <v>6.25E-2</v>
      </c>
      <c r="N415" s="54">
        <v>1.8979166666666667</v>
      </c>
      <c r="O415" s="52"/>
      <c r="P415" s="52"/>
      <c r="Q415" s="52"/>
      <c r="R415" s="52"/>
      <c r="S415" s="52"/>
      <c r="T415" s="52" t="s">
        <v>3695</v>
      </c>
      <c r="U415" s="52" t="s">
        <v>3695</v>
      </c>
      <c r="V415" s="52"/>
      <c r="W415" s="52"/>
      <c r="X415" s="52"/>
      <c r="Y415" s="52"/>
      <c r="Z415" s="52" t="s">
        <v>3696</v>
      </c>
      <c r="AA415" s="52" t="s">
        <v>836</v>
      </c>
      <c r="AB415" s="52" t="s">
        <v>140</v>
      </c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>
        <v>0</v>
      </c>
      <c r="AT415" s="52"/>
      <c r="AU415" s="52"/>
      <c r="AV415" s="52" t="s">
        <v>840</v>
      </c>
      <c r="AW415" s="52"/>
    </row>
    <row r="416" spans="1:49">
      <c r="A416" s="52">
        <v>6020634</v>
      </c>
      <c r="B416" s="52" t="s">
        <v>3691</v>
      </c>
      <c r="C416" s="52" t="s">
        <v>3698</v>
      </c>
      <c r="D416" s="53">
        <v>46154.375</v>
      </c>
      <c r="E416" s="53">
        <v>46153.586805555555</v>
      </c>
      <c r="F416" s="52"/>
      <c r="G416" s="52"/>
      <c r="H416" s="52"/>
      <c r="I416" s="52"/>
      <c r="J416" s="52" t="s">
        <v>3694</v>
      </c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 t="s">
        <v>3696</v>
      </c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>
        <v>0</v>
      </c>
      <c r="AT416" s="52"/>
      <c r="AU416" s="52"/>
      <c r="AV416" s="52"/>
      <c r="AW416" s="52"/>
    </row>
    <row r="417" spans="1:49">
      <c r="A417" s="52">
        <v>6020644</v>
      </c>
      <c r="B417" s="52" t="s">
        <v>3691</v>
      </c>
      <c r="C417" s="52" t="s">
        <v>3692</v>
      </c>
      <c r="D417" s="53">
        <v>46155.75</v>
      </c>
      <c r="E417" s="53">
        <v>46155.323611111111</v>
      </c>
      <c r="F417" s="52"/>
      <c r="G417" s="52"/>
      <c r="H417" s="52"/>
      <c r="I417" s="52" t="s">
        <v>3693</v>
      </c>
      <c r="J417" s="52" t="s">
        <v>3694</v>
      </c>
      <c r="K417" s="52"/>
      <c r="L417" s="52"/>
      <c r="M417" s="55">
        <v>0.44236111111111109</v>
      </c>
      <c r="N417" s="54">
        <v>1.4347222222222222</v>
      </c>
      <c r="O417" s="52"/>
      <c r="P417" s="52"/>
      <c r="Q417" s="52"/>
      <c r="R417" s="52"/>
      <c r="S417" s="52"/>
      <c r="T417" s="52" t="s">
        <v>3695</v>
      </c>
      <c r="U417" s="52" t="s">
        <v>3695</v>
      </c>
      <c r="V417" s="52"/>
      <c r="W417" s="52"/>
      <c r="X417" s="52"/>
      <c r="Y417" s="52"/>
      <c r="Z417" s="52" t="s">
        <v>3696</v>
      </c>
      <c r="AA417" s="52" t="s">
        <v>836</v>
      </c>
      <c r="AB417" s="52" t="s">
        <v>79</v>
      </c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>
        <v>0</v>
      </c>
      <c r="AT417" s="52"/>
      <c r="AU417" s="52"/>
      <c r="AV417" s="52" t="s">
        <v>840</v>
      </c>
      <c r="AW417" s="52"/>
    </row>
    <row r="418" spans="1:49">
      <c r="A418" s="52">
        <v>6020644</v>
      </c>
      <c r="B418" s="52" t="s">
        <v>3691</v>
      </c>
      <c r="C418" s="52" t="s">
        <v>3698</v>
      </c>
      <c r="D418" s="53">
        <v>46155.75</v>
      </c>
      <c r="E418" s="53">
        <v>46155.323611111111</v>
      </c>
      <c r="F418" s="52"/>
      <c r="G418" s="52"/>
      <c r="H418" s="52"/>
      <c r="I418" s="52"/>
      <c r="J418" s="52" t="s">
        <v>3694</v>
      </c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 t="s">
        <v>3696</v>
      </c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>
        <v>0</v>
      </c>
      <c r="AT418" s="52"/>
      <c r="AU418" s="52"/>
      <c r="AV418" s="52"/>
      <c r="AW418" s="52"/>
    </row>
    <row r="419" spans="1:49">
      <c r="A419" s="52">
        <v>6020645</v>
      </c>
      <c r="B419" s="52" t="s">
        <v>3691</v>
      </c>
      <c r="C419" s="52" t="s">
        <v>3692</v>
      </c>
      <c r="D419" s="53">
        <v>46155.75</v>
      </c>
      <c r="E419" s="53">
        <v>46155.323611111111</v>
      </c>
      <c r="F419" s="52"/>
      <c r="G419" s="52"/>
      <c r="H419" s="52"/>
      <c r="I419" s="52" t="s">
        <v>3693</v>
      </c>
      <c r="J419" s="52" t="s">
        <v>3694</v>
      </c>
      <c r="K419" s="52"/>
      <c r="L419" s="52"/>
      <c r="M419" s="55">
        <v>0.44236111111111109</v>
      </c>
      <c r="N419" s="54">
        <v>5.4763888888888888</v>
      </c>
      <c r="O419" s="52"/>
      <c r="P419" s="52"/>
      <c r="Q419" s="52"/>
      <c r="R419" s="52"/>
      <c r="S419" s="52"/>
      <c r="T419" s="52" t="s">
        <v>3695</v>
      </c>
      <c r="U419" s="52" t="s">
        <v>3695</v>
      </c>
      <c r="V419" s="52"/>
      <c r="W419" s="52"/>
      <c r="X419" s="52"/>
      <c r="Y419" s="52"/>
      <c r="Z419" s="52" t="s">
        <v>3696</v>
      </c>
      <c r="AA419" s="52" t="s">
        <v>836</v>
      </c>
      <c r="AB419" s="52" t="s">
        <v>79</v>
      </c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>
        <v>0</v>
      </c>
      <c r="AT419" s="52"/>
      <c r="AU419" s="52"/>
      <c r="AV419" s="52" t="s">
        <v>840</v>
      </c>
      <c r="AW419" s="52"/>
    </row>
    <row r="420" spans="1:49">
      <c r="A420" s="52">
        <v>6020645</v>
      </c>
      <c r="B420" s="52" t="s">
        <v>3691</v>
      </c>
      <c r="C420" s="52" t="s">
        <v>3698</v>
      </c>
      <c r="D420" s="53">
        <v>46155.75</v>
      </c>
      <c r="E420" s="53">
        <v>46155.323611111111</v>
      </c>
      <c r="F420" s="52"/>
      <c r="G420" s="52"/>
      <c r="H420" s="52"/>
      <c r="I420" s="52"/>
      <c r="J420" s="52" t="s">
        <v>3694</v>
      </c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 t="s">
        <v>3696</v>
      </c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>
        <v>0</v>
      </c>
      <c r="AT420" s="52"/>
      <c r="AU420" s="52"/>
      <c r="AV420" s="52"/>
      <c r="AW420" s="52"/>
    </row>
    <row r="421" spans="1:49">
      <c r="A421" s="52">
        <v>6020679</v>
      </c>
      <c r="B421" s="52" t="s">
        <v>3699</v>
      </c>
      <c r="C421" s="52" t="s">
        <v>3692</v>
      </c>
      <c r="D421" s="53">
        <v>46153</v>
      </c>
      <c r="E421" s="53">
        <v>46153.586805555555</v>
      </c>
      <c r="F421" s="53">
        <v>46154.571527777778</v>
      </c>
      <c r="G421" s="53">
        <v>46160.333333333336</v>
      </c>
      <c r="H421" s="53">
        <v>46155.030555555553</v>
      </c>
      <c r="I421" s="52" t="s">
        <v>3693</v>
      </c>
      <c r="J421" s="52" t="s">
        <v>3693</v>
      </c>
      <c r="K421" s="53">
        <v>46155.030555555553</v>
      </c>
      <c r="L421" s="52" t="s">
        <v>3700</v>
      </c>
      <c r="M421" s="55">
        <v>0.71875</v>
      </c>
      <c r="N421" s="54">
        <v>1.1583333333333334</v>
      </c>
      <c r="O421" s="52"/>
      <c r="P421" s="52"/>
      <c r="Q421" s="52"/>
      <c r="R421" s="52"/>
      <c r="S421" s="52"/>
      <c r="T421" s="52" t="s">
        <v>3957</v>
      </c>
      <c r="U421" s="52" t="s">
        <v>3846</v>
      </c>
      <c r="V421" s="52"/>
      <c r="W421" s="52"/>
      <c r="X421" s="52"/>
      <c r="Y421" s="52"/>
      <c r="Z421" s="52" t="s">
        <v>3696</v>
      </c>
      <c r="AA421" s="52" t="s">
        <v>227</v>
      </c>
      <c r="AB421" s="52" t="s">
        <v>140</v>
      </c>
      <c r="AC421" s="52" t="s">
        <v>3703</v>
      </c>
      <c r="AD421" s="52" t="s">
        <v>3704</v>
      </c>
      <c r="AE421" s="52"/>
      <c r="AF421" s="52" t="s">
        <v>3720</v>
      </c>
      <c r="AG421" s="52" t="s">
        <v>3715</v>
      </c>
      <c r="AH421" s="52"/>
      <c r="AI421" s="52"/>
      <c r="AJ421" s="52"/>
      <c r="AK421" s="52"/>
      <c r="AL421" s="55">
        <v>1.4583333333333334E-2</v>
      </c>
      <c r="AM421" s="52"/>
      <c r="AN421" s="52"/>
      <c r="AO421" s="52"/>
      <c r="AP421" s="52"/>
      <c r="AQ421" s="52"/>
      <c r="AR421" s="52"/>
      <c r="AS421" s="52">
        <v>0</v>
      </c>
      <c r="AT421" s="52"/>
      <c r="AU421" s="52"/>
      <c r="AV421" s="52" t="s">
        <v>2322</v>
      </c>
      <c r="AW421" s="52"/>
    </row>
    <row r="422" spans="1:49">
      <c r="A422" s="52">
        <v>6020679</v>
      </c>
      <c r="B422" s="52" t="s">
        <v>3699</v>
      </c>
      <c r="C422" s="52" t="s">
        <v>3698</v>
      </c>
      <c r="D422" s="53">
        <v>46153</v>
      </c>
      <c r="E422" s="53">
        <v>46153.586805555555</v>
      </c>
      <c r="F422" s="53">
        <v>46154.584722222222</v>
      </c>
      <c r="G422" s="53">
        <v>46160.333333333336</v>
      </c>
      <c r="H422" s="53">
        <v>46154.650694444441</v>
      </c>
      <c r="I422" s="52"/>
      <c r="J422" s="52" t="s">
        <v>3693</v>
      </c>
      <c r="K422" s="53">
        <v>46154.691666666666</v>
      </c>
      <c r="L422" s="52"/>
      <c r="M422" s="54">
        <v>5.7486111111111109</v>
      </c>
      <c r="N422" s="54">
        <v>3.8715277777777777</v>
      </c>
      <c r="O422" s="52" t="s">
        <v>3032</v>
      </c>
      <c r="P422" s="52" t="s">
        <v>227</v>
      </c>
      <c r="Q422" s="52" t="s">
        <v>2290</v>
      </c>
      <c r="R422" s="52" t="s">
        <v>1811</v>
      </c>
      <c r="S422" s="52" t="s">
        <v>789</v>
      </c>
      <c r="T422" s="52" t="s">
        <v>3957</v>
      </c>
      <c r="U422" s="52" t="s">
        <v>3846</v>
      </c>
      <c r="V422" s="52" t="s">
        <v>2294</v>
      </c>
      <c r="W422" s="52">
        <v>9255295837</v>
      </c>
      <c r="X422" s="52" t="s">
        <v>73</v>
      </c>
      <c r="Y422" s="52" t="s">
        <v>3826</v>
      </c>
      <c r="Z422" s="52" t="s">
        <v>3696</v>
      </c>
      <c r="AA422" s="52" t="s">
        <v>3710</v>
      </c>
      <c r="AB422" s="52"/>
      <c r="AC422" s="52" t="s">
        <v>3703</v>
      </c>
      <c r="AD422" s="52" t="s">
        <v>3704</v>
      </c>
      <c r="AE422" s="52" t="s">
        <v>140</v>
      </c>
      <c r="AF422" s="52" t="s">
        <v>3958</v>
      </c>
      <c r="AG422" s="52" t="s">
        <v>3704</v>
      </c>
      <c r="AH422" s="52"/>
      <c r="AI422" s="53">
        <v>46154.586805555555</v>
      </c>
      <c r="AJ422" s="53">
        <v>46154.601388888892</v>
      </c>
      <c r="AK422" s="53">
        <v>46154.586805555555</v>
      </c>
      <c r="AL422" s="55">
        <v>3.3333333333333333E-2</v>
      </c>
      <c r="AM422" s="52"/>
      <c r="AN422" s="55">
        <v>1.4583333333333334E-2</v>
      </c>
      <c r="AO422" s="52"/>
      <c r="AP422" s="55">
        <v>3.3333333333333333E-2</v>
      </c>
      <c r="AQ422" s="52"/>
      <c r="AR422" s="52"/>
      <c r="AS422" s="52" t="s">
        <v>3696</v>
      </c>
      <c r="AT422" s="52"/>
      <c r="AU422" s="52"/>
      <c r="AV422" s="52"/>
      <c r="AW422" s="52"/>
    </row>
    <row r="423" spans="1:49">
      <c r="A423" s="52">
        <v>6020679</v>
      </c>
      <c r="B423" s="52" t="s">
        <v>3699</v>
      </c>
      <c r="C423" s="52" t="s">
        <v>3698</v>
      </c>
      <c r="D423" s="53">
        <v>46153</v>
      </c>
      <c r="E423" s="53">
        <v>46153.586805555555</v>
      </c>
      <c r="F423" s="53">
        <v>46154.584722222222</v>
      </c>
      <c r="G423" s="53">
        <v>46160.333333333336</v>
      </c>
      <c r="H423" s="53">
        <v>46154.650694444441</v>
      </c>
      <c r="I423" s="52"/>
      <c r="J423" s="52" t="s">
        <v>3693</v>
      </c>
      <c r="K423" s="53">
        <v>46154.691666666666</v>
      </c>
      <c r="L423" s="52"/>
      <c r="M423" s="54">
        <v>5.7486111111111109</v>
      </c>
      <c r="N423" s="54">
        <v>3.8715277777777777</v>
      </c>
      <c r="O423" s="52" t="s">
        <v>3032</v>
      </c>
      <c r="P423" s="52" t="s">
        <v>227</v>
      </c>
      <c r="Q423" s="52" t="s">
        <v>2290</v>
      </c>
      <c r="R423" s="52" t="s">
        <v>1811</v>
      </c>
      <c r="S423" s="52" t="s">
        <v>789</v>
      </c>
      <c r="T423" s="52" t="s">
        <v>3957</v>
      </c>
      <c r="U423" s="52" t="s">
        <v>3846</v>
      </c>
      <c r="V423" s="52" t="s">
        <v>2294</v>
      </c>
      <c r="W423" s="52">
        <v>9255295837</v>
      </c>
      <c r="X423" s="52" t="s">
        <v>73</v>
      </c>
      <c r="Y423" s="52" t="s">
        <v>3826</v>
      </c>
      <c r="Z423" s="52" t="s">
        <v>3696</v>
      </c>
      <c r="AA423" s="52" t="s">
        <v>3710</v>
      </c>
      <c r="AB423" s="52"/>
      <c r="AC423" s="52" t="s">
        <v>3703</v>
      </c>
      <c r="AD423" s="52" t="s">
        <v>3704</v>
      </c>
      <c r="AE423" s="52"/>
      <c r="AF423" s="52" t="s">
        <v>3958</v>
      </c>
      <c r="AG423" s="52" t="s">
        <v>3704</v>
      </c>
      <c r="AH423" s="52"/>
      <c r="AI423" s="53">
        <v>46154.586805555555</v>
      </c>
      <c r="AJ423" s="53">
        <v>46154.601388888892</v>
      </c>
      <c r="AK423" s="53">
        <v>46154.586805555555</v>
      </c>
      <c r="AL423" s="55">
        <v>3.3333333333333333E-2</v>
      </c>
      <c r="AM423" s="52"/>
      <c r="AN423" s="55">
        <v>1.4583333333333334E-2</v>
      </c>
      <c r="AO423" s="52"/>
      <c r="AP423" s="55">
        <v>3.3333333333333333E-2</v>
      </c>
      <c r="AQ423" s="52"/>
      <c r="AR423" s="52"/>
      <c r="AS423" s="52" t="s">
        <v>3696</v>
      </c>
      <c r="AT423" s="52"/>
      <c r="AU423" s="52"/>
      <c r="AV423" s="52"/>
      <c r="AW423" s="52" t="s">
        <v>3034</v>
      </c>
    </row>
    <row r="424" spans="1:49">
      <c r="A424" s="52">
        <v>6020679</v>
      </c>
      <c r="B424" s="52" t="s">
        <v>3699</v>
      </c>
      <c r="C424" s="52" t="s">
        <v>3698</v>
      </c>
      <c r="D424" s="53">
        <v>46153</v>
      </c>
      <c r="E424" s="53">
        <v>46153.586805555555</v>
      </c>
      <c r="F424" s="53">
        <v>46154.673611111109</v>
      </c>
      <c r="G424" s="53">
        <v>46160.333333333336</v>
      </c>
      <c r="H424" s="52"/>
      <c r="I424" s="52"/>
      <c r="J424" s="52" t="s">
        <v>3693</v>
      </c>
      <c r="K424" s="53">
        <v>46154.691666666666</v>
      </c>
      <c r="L424" s="52"/>
      <c r="M424" s="54">
        <v>5.6597222222222223</v>
      </c>
      <c r="N424" s="54">
        <v>3.7826388888888891</v>
      </c>
      <c r="O424" s="52" t="s">
        <v>3959</v>
      </c>
      <c r="P424" s="52" t="s">
        <v>227</v>
      </c>
      <c r="Q424" s="52" t="s">
        <v>1801</v>
      </c>
      <c r="R424" s="52" t="s">
        <v>1811</v>
      </c>
      <c r="S424" s="52" t="s">
        <v>3756</v>
      </c>
      <c r="T424" s="52" t="s">
        <v>3957</v>
      </c>
      <c r="U424" s="52" t="s">
        <v>3960</v>
      </c>
      <c r="V424" s="52" t="s">
        <v>1807</v>
      </c>
      <c r="W424" s="52">
        <v>49605372991</v>
      </c>
      <c r="X424" s="52" t="s">
        <v>73</v>
      </c>
      <c r="Y424" s="52"/>
      <c r="Z424" s="52" t="s">
        <v>3696</v>
      </c>
      <c r="AA424" s="52" t="s">
        <v>3710</v>
      </c>
      <c r="AB424" s="52"/>
      <c r="AC424" s="52" t="s">
        <v>3703</v>
      </c>
      <c r="AD424" s="52" t="s">
        <v>3704</v>
      </c>
      <c r="AE424" s="52" t="s">
        <v>140</v>
      </c>
      <c r="AF424" s="52" t="s">
        <v>3958</v>
      </c>
      <c r="AG424" s="52" t="s">
        <v>3704</v>
      </c>
      <c r="AH424" s="52"/>
      <c r="AI424" s="53">
        <v>46154.586805555555</v>
      </c>
      <c r="AJ424" s="53">
        <v>46154.601388888892</v>
      </c>
      <c r="AK424" s="53">
        <v>46154.586805555555</v>
      </c>
      <c r="AL424" s="55">
        <v>1.0416666666666666E-2</v>
      </c>
      <c r="AM424" s="52"/>
      <c r="AN424" s="55">
        <v>1.4583333333333334E-2</v>
      </c>
      <c r="AO424" s="52"/>
      <c r="AP424" s="55">
        <v>1.0416666666666666E-2</v>
      </c>
      <c r="AQ424" s="52"/>
      <c r="AR424" s="52"/>
      <c r="AS424" s="52" t="s">
        <v>3696</v>
      </c>
      <c r="AT424" s="52"/>
      <c r="AU424" s="52"/>
      <c r="AV424" s="52"/>
      <c r="AW424" s="52"/>
    </row>
    <row r="425" spans="1:49">
      <c r="A425" s="52">
        <v>6020679</v>
      </c>
      <c r="B425" s="52" t="s">
        <v>3699</v>
      </c>
      <c r="C425" s="52" t="s">
        <v>3698</v>
      </c>
      <c r="D425" s="53">
        <v>46153</v>
      </c>
      <c r="E425" s="53">
        <v>46153.586805555555</v>
      </c>
      <c r="F425" s="53">
        <v>46154.673611111109</v>
      </c>
      <c r="G425" s="53">
        <v>46160.333333333336</v>
      </c>
      <c r="H425" s="52"/>
      <c r="I425" s="52"/>
      <c r="J425" s="52" t="s">
        <v>3693</v>
      </c>
      <c r="K425" s="53">
        <v>46154.691666666666</v>
      </c>
      <c r="L425" s="52"/>
      <c r="M425" s="54">
        <v>5.6597222222222223</v>
      </c>
      <c r="N425" s="54">
        <v>3.7826388888888891</v>
      </c>
      <c r="O425" s="52" t="s">
        <v>3959</v>
      </c>
      <c r="P425" s="52" t="s">
        <v>227</v>
      </c>
      <c r="Q425" s="52" t="s">
        <v>1801</v>
      </c>
      <c r="R425" s="52" t="s">
        <v>1811</v>
      </c>
      <c r="S425" s="52" t="s">
        <v>3756</v>
      </c>
      <c r="T425" s="52" t="s">
        <v>3957</v>
      </c>
      <c r="U425" s="52" t="s">
        <v>3960</v>
      </c>
      <c r="V425" s="52" t="s">
        <v>1807</v>
      </c>
      <c r="W425" s="52">
        <v>49605372991</v>
      </c>
      <c r="X425" s="52" t="s">
        <v>73</v>
      </c>
      <c r="Y425" s="52"/>
      <c r="Z425" s="52" t="s">
        <v>3696</v>
      </c>
      <c r="AA425" s="52" t="s">
        <v>3710</v>
      </c>
      <c r="AB425" s="52"/>
      <c r="AC425" s="52" t="s">
        <v>3703</v>
      </c>
      <c r="AD425" s="52" t="s">
        <v>3704</v>
      </c>
      <c r="AE425" s="52"/>
      <c r="AF425" s="52" t="s">
        <v>3958</v>
      </c>
      <c r="AG425" s="52" t="s">
        <v>3704</v>
      </c>
      <c r="AH425" s="52"/>
      <c r="AI425" s="53">
        <v>46154.586805555555</v>
      </c>
      <c r="AJ425" s="53">
        <v>46154.601388888892</v>
      </c>
      <c r="AK425" s="53">
        <v>46154.586805555555</v>
      </c>
      <c r="AL425" s="55">
        <v>1.0416666666666666E-2</v>
      </c>
      <c r="AM425" s="52"/>
      <c r="AN425" s="55">
        <v>1.4583333333333334E-2</v>
      </c>
      <c r="AO425" s="52"/>
      <c r="AP425" s="55">
        <v>1.0416666666666666E-2</v>
      </c>
      <c r="AQ425" s="52"/>
      <c r="AR425" s="52"/>
      <c r="AS425" s="52" t="s">
        <v>3696</v>
      </c>
      <c r="AT425" s="52"/>
      <c r="AU425" s="52"/>
      <c r="AV425" s="52"/>
      <c r="AW425" s="52" t="s">
        <v>3034</v>
      </c>
    </row>
    <row r="426" spans="1:49">
      <c r="A426" s="52">
        <v>6020679</v>
      </c>
      <c r="B426" s="52" t="s">
        <v>3699</v>
      </c>
      <c r="C426" s="52" t="s">
        <v>3698</v>
      </c>
      <c r="D426" s="53">
        <v>46153</v>
      </c>
      <c r="E426" s="53">
        <v>46153.586805555555</v>
      </c>
      <c r="F426" s="53">
        <v>46154.818055555559</v>
      </c>
      <c r="G426" s="53">
        <v>46160.333333333336</v>
      </c>
      <c r="H426" s="53">
        <v>46155.427083333336</v>
      </c>
      <c r="I426" s="52"/>
      <c r="J426" s="52" t="s">
        <v>3693</v>
      </c>
      <c r="K426" s="53">
        <v>46154.691666666666</v>
      </c>
      <c r="L426" s="52"/>
      <c r="M426" s="54">
        <v>5.5152777777777775</v>
      </c>
      <c r="N426" s="54">
        <v>3.6381944444444443</v>
      </c>
      <c r="O426" s="52" t="s">
        <v>3124</v>
      </c>
      <c r="P426" s="52" t="s">
        <v>227</v>
      </c>
      <c r="Q426" s="52" t="s">
        <v>1801</v>
      </c>
      <c r="R426" s="52" t="s">
        <v>1811</v>
      </c>
      <c r="S426" s="52" t="s">
        <v>789</v>
      </c>
      <c r="T426" s="52" t="s">
        <v>3961</v>
      </c>
      <c r="U426" s="52" t="s">
        <v>3962</v>
      </c>
      <c r="V426" s="52" t="s">
        <v>1807</v>
      </c>
      <c r="W426" s="52">
        <v>49605372991</v>
      </c>
      <c r="X426" s="52" t="s">
        <v>73</v>
      </c>
      <c r="Y426" s="52"/>
      <c r="Z426" s="52" t="s">
        <v>3696</v>
      </c>
      <c r="AA426" s="52" t="s">
        <v>3710</v>
      </c>
      <c r="AB426" s="52"/>
      <c r="AC426" s="52" t="s">
        <v>3703</v>
      </c>
      <c r="AD426" s="52" t="s">
        <v>3704</v>
      </c>
      <c r="AE426" s="52" t="s">
        <v>140</v>
      </c>
      <c r="AF426" s="52" t="s">
        <v>3958</v>
      </c>
      <c r="AG426" s="52" t="s">
        <v>3704</v>
      </c>
      <c r="AH426" s="52"/>
      <c r="AI426" s="53">
        <v>46154.586805555555</v>
      </c>
      <c r="AJ426" s="53">
        <v>46154.601388888892</v>
      </c>
      <c r="AK426" s="53">
        <v>46154.586805555555</v>
      </c>
      <c r="AL426" s="55">
        <v>0.39652777777777776</v>
      </c>
      <c r="AM426" s="52"/>
      <c r="AN426" s="55">
        <v>1.4583333333333334E-2</v>
      </c>
      <c r="AO426" s="52"/>
      <c r="AP426" s="55">
        <v>0.39652777777777776</v>
      </c>
      <c r="AQ426" s="52"/>
      <c r="AR426" s="52"/>
      <c r="AS426" s="52" t="s">
        <v>3696</v>
      </c>
      <c r="AT426" s="52"/>
      <c r="AU426" s="52"/>
      <c r="AV426" s="52"/>
      <c r="AW426" s="52"/>
    </row>
    <row r="427" spans="1:49">
      <c r="A427" s="52">
        <v>6020679</v>
      </c>
      <c r="B427" s="52" t="s">
        <v>3699</v>
      </c>
      <c r="C427" s="52" t="s">
        <v>3698</v>
      </c>
      <c r="D427" s="53">
        <v>46153</v>
      </c>
      <c r="E427" s="53">
        <v>46153.586805555555</v>
      </c>
      <c r="F427" s="53">
        <v>46154.818055555559</v>
      </c>
      <c r="G427" s="53">
        <v>46160.333333333336</v>
      </c>
      <c r="H427" s="53">
        <v>46155.427083333336</v>
      </c>
      <c r="I427" s="52"/>
      <c r="J427" s="52" t="s">
        <v>3693</v>
      </c>
      <c r="K427" s="53">
        <v>46154.691666666666</v>
      </c>
      <c r="L427" s="52"/>
      <c r="M427" s="54">
        <v>5.5152777777777775</v>
      </c>
      <c r="N427" s="54">
        <v>3.6381944444444443</v>
      </c>
      <c r="O427" s="52" t="s">
        <v>3124</v>
      </c>
      <c r="P427" s="52" t="s">
        <v>227</v>
      </c>
      <c r="Q427" s="52" t="s">
        <v>1801</v>
      </c>
      <c r="R427" s="52" t="s">
        <v>1811</v>
      </c>
      <c r="S427" s="52" t="s">
        <v>789</v>
      </c>
      <c r="T427" s="52" t="s">
        <v>3961</v>
      </c>
      <c r="U427" s="52" t="s">
        <v>3962</v>
      </c>
      <c r="V427" s="52" t="s">
        <v>1807</v>
      </c>
      <c r="W427" s="52">
        <v>49605372991</v>
      </c>
      <c r="X427" s="52" t="s">
        <v>73</v>
      </c>
      <c r="Y427" s="52"/>
      <c r="Z427" s="52" t="s">
        <v>3696</v>
      </c>
      <c r="AA427" s="52" t="s">
        <v>3710</v>
      </c>
      <c r="AB427" s="52"/>
      <c r="AC427" s="52" t="s">
        <v>3703</v>
      </c>
      <c r="AD427" s="52" t="s">
        <v>3704</v>
      </c>
      <c r="AE427" s="52"/>
      <c r="AF427" s="52" t="s">
        <v>3958</v>
      </c>
      <c r="AG427" s="52" t="s">
        <v>3704</v>
      </c>
      <c r="AH427" s="52"/>
      <c r="AI427" s="53">
        <v>46154.586805555555</v>
      </c>
      <c r="AJ427" s="53">
        <v>46154.601388888892</v>
      </c>
      <c r="AK427" s="53">
        <v>46154.586805555555</v>
      </c>
      <c r="AL427" s="55">
        <v>0.39652777777777776</v>
      </c>
      <c r="AM427" s="52"/>
      <c r="AN427" s="55">
        <v>1.4583333333333334E-2</v>
      </c>
      <c r="AO427" s="52"/>
      <c r="AP427" s="55">
        <v>0.39652777777777776</v>
      </c>
      <c r="AQ427" s="52"/>
      <c r="AR427" s="52"/>
      <c r="AS427" s="52" t="s">
        <v>3696</v>
      </c>
      <c r="AT427" s="52"/>
      <c r="AU427" s="52"/>
      <c r="AV427" s="52"/>
      <c r="AW427" s="52" t="s">
        <v>2322</v>
      </c>
    </row>
    <row r="428" spans="1:49">
      <c r="A428" s="52">
        <v>6020689</v>
      </c>
      <c r="B428" s="52" t="s">
        <v>3723</v>
      </c>
      <c r="C428" s="52" t="s">
        <v>3692</v>
      </c>
      <c r="D428" s="53">
        <v>46156.416666666664</v>
      </c>
      <c r="E428" s="53">
        <v>46155.650694444441</v>
      </c>
      <c r="F428" s="53">
        <v>46156.347222222219</v>
      </c>
      <c r="G428" s="53">
        <v>46160.25</v>
      </c>
      <c r="H428" s="52"/>
      <c r="I428" s="52" t="s">
        <v>3693</v>
      </c>
      <c r="J428" s="52" t="s">
        <v>3693</v>
      </c>
      <c r="K428" s="52"/>
      <c r="L428" s="52"/>
      <c r="M428" s="55">
        <v>0.15277777777777779</v>
      </c>
      <c r="N428" s="54">
        <v>1.6409722222222223</v>
      </c>
      <c r="O428" s="52"/>
      <c r="P428" s="52"/>
      <c r="Q428" s="52"/>
      <c r="R428" s="52"/>
      <c r="S428" s="52"/>
      <c r="T428" s="52" t="s">
        <v>3695</v>
      </c>
      <c r="U428" s="52" t="s">
        <v>3695</v>
      </c>
      <c r="V428" s="52"/>
      <c r="W428" s="52"/>
      <c r="X428" s="52"/>
      <c r="Y428" s="52"/>
      <c r="Z428" s="52" t="s">
        <v>3696</v>
      </c>
      <c r="AA428" s="52" t="s">
        <v>1246</v>
      </c>
      <c r="AB428" s="52" t="s">
        <v>79</v>
      </c>
      <c r="AC428" s="52" t="s">
        <v>3720</v>
      </c>
      <c r="AD428" s="52" t="s">
        <v>3715</v>
      </c>
      <c r="AE428" s="52"/>
      <c r="AF428" s="52" t="s">
        <v>3834</v>
      </c>
      <c r="AG428" s="52" t="s">
        <v>3770</v>
      </c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>
        <v>0</v>
      </c>
      <c r="AT428" s="52"/>
      <c r="AU428" s="52"/>
      <c r="AV428" s="52" t="s">
        <v>1250</v>
      </c>
      <c r="AW428" s="52"/>
    </row>
    <row r="429" spans="1:49">
      <c r="A429" s="52">
        <v>6020689</v>
      </c>
      <c r="B429" s="52" t="s">
        <v>3723</v>
      </c>
      <c r="C429" s="52" t="s">
        <v>3698</v>
      </c>
      <c r="D429" s="53">
        <v>46156.416666666664</v>
      </c>
      <c r="E429" s="53">
        <v>46155.650694444441</v>
      </c>
      <c r="F429" s="53">
        <v>46156.374305555553</v>
      </c>
      <c r="G429" s="53">
        <v>46160.25</v>
      </c>
      <c r="H429" s="52"/>
      <c r="I429" s="52"/>
      <c r="J429" s="52" t="s">
        <v>3693</v>
      </c>
      <c r="K429" s="52"/>
      <c r="L429" s="52"/>
      <c r="M429" s="54">
        <v>3.8756944444444446</v>
      </c>
      <c r="N429" s="54">
        <v>2.0819444444444444</v>
      </c>
      <c r="O429" s="52" t="s">
        <v>3835</v>
      </c>
      <c r="P429" s="52" t="s">
        <v>1246</v>
      </c>
      <c r="Q429" s="52" t="s">
        <v>1244</v>
      </c>
      <c r="R429" s="52" t="s">
        <v>3184</v>
      </c>
      <c r="S429" s="52" t="s">
        <v>3756</v>
      </c>
      <c r="T429" s="52" t="s">
        <v>3695</v>
      </c>
      <c r="U429" s="52" t="s">
        <v>3695</v>
      </c>
      <c r="V429" s="52" t="s">
        <v>1960</v>
      </c>
      <c r="W429" s="52">
        <v>23227296802</v>
      </c>
      <c r="X429" s="52" t="s">
        <v>73</v>
      </c>
      <c r="Y429" s="52" t="s">
        <v>3738</v>
      </c>
      <c r="Z429" s="52" t="s">
        <v>3696</v>
      </c>
      <c r="AA429" s="52" t="s">
        <v>3710</v>
      </c>
      <c r="AB429" s="52"/>
      <c r="AC429" s="52" t="s">
        <v>3720</v>
      </c>
      <c r="AD429" s="52" t="s">
        <v>3715</v>
      </c>
      <c r="AE429" s="52" t="s">
        <v>79</v>
      </c>
      <c r="AF429" s="52" t="s">
        <v>3834</v>
      </c>
      <c r="AG429" s="52" t="s">
        <v>3770</v>
      </c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 t="s">
        <v>3696</v>
      </c>
      <c r="AT429" s="52"/>
      <c r="AU429" s="52"/>
      <c r="AV429" s="52"/>
      <c r="AW429" s="52"/>
    </row>
    <row r="430" spans="1:49">
      <c r="A430" s="52">
        <v>6020689</v>
      </c>
      <c r="B430" s="52" t="s">
        <v>3723</v>
      </c>
      <c r="C430" s="52" t="s">
        <v>3698</v>
      </c>
      <c r="D430" s="53">
        <v>46156.416666666664</v>
      </c>
      <c r="E430" s="53">
        <v>46155.650694444441</v>
      </c>
      <c r="F430" s="53">
        <v>46156.374305555553</v>
      </c>
      <c r="G430" s="53">
        <v>46160.25</v>
      </c>
      <c r="H430" s="52"/>
      <c r="I430" s="52"/>
      <c r="J430" s="52" t="s">
        <v>3693</v>
      </c>
      <c r="K430" s="52"/>
      <c r="L430" s="52"/>
      <c r="M430" s="54">
        <v>3.8756944444444446</v>
      </c>
      <c r="N430" s="54">
        <v>2.0819444444444444</v>
      </c>
      <c r="O430" s="52" t="s">
        <v>3835</v>
      </c>
      <c r="P430" s="52" t="s">
        <v>1246</v>
      </c>
      <c r="Q430" s="52" t="s">
        <v>1244</v>
      </c>
      <c r="R430" s="52" t="s">
        <v>3184</v>
      </c>
      <c r="S430" s="52" t="s">
        <v>3756</v>
      </c>
      <c r="T430" s="52" t="s">
        <v>3695</v>
      </c>
      <c r="U430" s="52" t="s">
        <v>3695</v>
      </c>
      <c r="V430" s="52" t="s">
        <v>1960</v>
      </c>
      <c r="W430" s="52">
        <v>23227296802</v>
      </c>
      <c r="X430" s="52" t="s">
        <v>73</v>
      </c>
      <c r="Y430" s="52" t="s">
        <v>3738</v>
      </c>
      <c r="Z430" s="52" t="s">
        <v>3696</v>
      </c>
      <c r="AA430" s="52" t="s">
        <v>3710</v>
      </c>
      <c r="AB430" s="52"/>
      <c r="AC430" s="52" t="s">
        <v>3720</v>
      </c>
      <c r="AD430" s="52" t="s">
        <v>3715</v>
      </c>
      <c r="AE430" s="52"/>
      <c r="AF430" s="52" t="s">
        <v>3834</v>
      </c>
      <c r="AG430" s="52" t="s">
        <v>3770</v>
      </c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 t="s">
        <v>3696</v>
      </c>
      <c r="AT430" s="52"/>
      <c r="AU430" s="52"/>
      <c r="AV430" s="52"/>
      <c r="AW430" s="52" t="s">
        <v>1250</v>
      </c>
    </row>
    <row r="431" spans="1:49">
      <c r="A431" s="52">
        <v>6020689</v>
      </c>
      <c r="B431" s="52" t="s">
        <v>3723</v>
      </c>
      <c r="C431" s="52" t="s">
        <v>3698</v>
      </c>
      <c r="D431" s="53">
        <v>46156.416666666664</v>
      </c>
      <c r="E431" s="53">
        <v>46155.650694444441</v>
      </c>
      <c r="F431" s="53">
        <v>46156.402083333334</v>
      </c>
      <c r="G431" s="53">
        <v>46160.25</v>
      </c>
      <c r="H431" s="53">
        <v>46156.727083333331</v>
      </c>
      <c r="I431" s="52"/>
      <c r="J431" s="52" t="s">
        <v>3693</v>
      </c>
      <c r="K431" s="52"/>
      <c r="L431" s="52"/>
      <c r="M431" s="54">
        <v>3.8479166666666669</v>
      </c>
      <c r="N431" s="54">
        <v>2.0541666666666667</v>
      </c>
      <c r="O431" s="52" t="s">
        <v>3372</v>
      </c>
      <c r="P431" s="52" t="s">
        <v>1246</v>
      </c>
      <c r="Q431" s="52" t="s">
        <v>1244</v>
      </c>
      <c r="R431" s="52" t="s">
        <v>3184</v>
      </c>
      <c r="S431" s="52" t="s">
        <v>789</v>
      </c>
      <c r="T431" s="52" t="s">
        <v>3836</v>
      </c>
      <c r="U431" s="52" t="s">
        <v>3837</v>
      </c>
      <c r="V431" s="52" t="s">
        <v>3838</v>
      </c>
      <c r="W431" s="52">
        <v>3015400983</v>
      </c>
      <c r="X431" s="52" t="s">
        <v>73</v>
      </c>
      <c r="Y431" s="52" t="s">
        <v>3738</v>
      </c>
      <c r="Z431" s="52" t="s">
        <v>3696</v>
      </c>
      <c r="AA431" s="52" t="s">
        <v>3710</v>
      </c>
      <c r="AB431" s="52"/>
      <c r="AC431" s="52" t="s">
        <v>3720</v>
      </c>
      <c r="AD431" s="52" t="s">
        <v>3715</v>
      </c>
      <c r="AE431" s="52" t="s">
        <v>79</v>
      </c>
      <c r="AF431" s="52" t="s">
        <v>3834</v>
      </c>
      <c r="AG431" s="52" t="s">
        <v>3770</v>
      </c>
      <c r="AH431" s="52"/>
      <c r="AI431" s="52"/>
      <c r="AJ431" s="52"/>
      <c r="AK431" s="52"/>
      <c r="AL431" s="55">
        <v>0.16111111111111112</v>
      </c>
      <c r="AM431" s="52"/>
      <c r="AN431" s="52"/>
      <c r="AO431" s="52"/>
      <c r="AP431" s="55">
        <v>0.16111111111111112</v>
      </c>
      <c r="AQ431" s="52"/>
      <c r="AR431" s="52"/>
      <c r="AS431" s="52" t="s">
        <v>3696</v>
      </c>
      <c r="AT431" s="52"/>
      <c r="AU431" s="52"/>
      <c r="AV431" s="52"/>
      <c r="AW431" s="52"/>
    </row>
    <row r="432" spans="1:49">
      <c r="A432" s="52">
        <v>6020689</v>
      </c>
      <c r="B432" s="52" t="s">
        <v>3723</v>
      </c>
      <c r="C432" s="52" t="s">
        <v>3698</v>
      </c>
      <c r="D432" s="53">
        <v>46156.416666666664</v>
      </c>
      <c r="E432" s="53">
        <v>46155.650694444441</v>
      </c>
      <c r="F432" s="53">
        <v>46156.402083333334</v>
      </c>
      <c r="G432" s="53">
        <v>46160.25</v>
      </c>
      <c r="H432" s="53">
        <v>46156.727083333331</v>
      </c>
      <c r="I432" s="52"/>
      <c r="J432" s="52" t="s">
        <v>3693</v>
      </c>
      <c r="K432" s="52"/>
      <c r="L432" s="52"/>
      <c r="M432" s="54">
        <v>3.8479166666666669</v>
      </c>
      <c r="N432" s="54">
        <v>2.0541666666666667</v>
      </c>
      <c r="O432" s="52" t="s">
        <v>3372</v>
      </c>
      <c r="P432" s="52" t="s">
        <v>1246</v>
      </c>
      <c r="Q432" s="52" t="s">
        <v>1244</v>
      </c>
      <c r="R432" s="52" t="s">
        <v>3184</v>
      </c>
      <c r="S432" s="52" t="s">
        <v>789</v>
      </c>
      <c r="T432" s="52" t="s">
        <v>3836</v>
      </c>
      <c r="U432" s="52" t="s">
        <v>3837</v>
      </c>
      <c r="V432" s="52" t="s">
        <v>3838</v>
      </c>
      <c r="W432" s="52">
        <v>3015400983</v>
      </c>
      <c r="X432" s="52" t="s">
        <v>73</v>
      </c>
      <c r="Y432" s="52" t="s">
        <v>3738</v>
      </c>
      <c r="Z432" s="52" t="s">
        <v>3696</v>
      </c>
      <c r="AA432" s="52" t="s">
        <v>3710</v>
      </c>
      <c r="AB432" s="52"/>
      <c r="AC432" s="52" t="s">
        <v>3720</v>
      </c>
      <c r="AD432" s="52" t="s">
        <v>3715</v>
      </c>
      <c r="AE432" s="52"/>
      <c r="AF432" s="52" t="s">
        <v>3834</v>
      </c>
      <c r="AG432" s="52" t="s">
        <v>3770</v>
      </c>
      <c r="AH432" s="52"/>
      <c r="AI432" s="52"/>
      <c r="AJ432" s="52"/>
      <c r="AK432" s="52"/>
      <c r="AL432" s="55">
        <v>0.16111111111111112</v>
      </c>
      <c r="AM432" s="52"/>
      <c r="AN432" s="52"/>
      <c r="AO432" s="52"/>
      <c r="AP432" s="55">
        <v>0.16111111111111112</v>
      </c>
      <c r="AQ432" s="52"/>
      <c r="AR432" s="52"/>
      <c r="AS432" s="52" t="s">
        <v>3696</v>
      </c>
      <c r="AT432" s="52"/>
      <c r="AU432" s="52"/>
      <c r="AV432" s="52"/>
      <c r="AW432" s="52" t="s">
        <v>1250</v>
      </c>
    </row>
    <row r="433" spans="1:49">
      <c r="A433" s="52">
        <v>6020708</v>
      </c>
      <c r="B433" s="52" t="s">
        <v>3716</v>
      </c>
      <c r="C433" s="52" t="s">
        <v>3692</v>
      </c>
      <c r="D433" s="53">
        <v>46157.708333333336</v>
      </c>
      <c r="E433" s="53">
        <v>46156.68472222222</v>
      </c>
      <c r="F433" s="53">
        <v>46157.927777777775</v>
      </c>
      <c r="G433" s="53">
        <v>46161.137499999997</v>
      </c>
      <c r="H433" s="53">
        <v>46157.961805555555</v>
      </c>
      <c r="I433" s="52" t="s">
        <v>3693</v>
      </c>
      <c r="J433" s="52" t="s">
        <v>3694</v>
      </c>
      <c r="K433" s="52"/>
      <c r="L433" s="52"/>
      <c r="M433" s="54">
        <v>1.2791666666666666</v>
      </c>
      <c r="N433" s="54">
        <v>2.6812499999999999</v>
      </c>
      <c r="O433" s="52"/>
      <c r="P433" s="52"/>
      <c r="Q433" s="52"/>
      <c r="R433" s="52"/>
      <c r="S433" s="52"/>
      <c r="T433" s="52" t="s">
        <v>3963</v>
      </c>
      <c r="U433" s="52" t="s">
        <v>3964</v>
      </c>
      <c r="V433" s="52"/>
      <c r="W433" s="52"/>
      <c r="X433" s="52"/>
      <c r="Y433" s="52"/>
      <c r="Z433" s="52" t="s">
        <v>3696</v>
      </c>
      <c r="AA433" s="52" t="s">
        <v>72</v>
      </c>
      <c r="AB433" s="52" t="s">
        <v>140</v>
      </c>
      <c r="AC433" s="52" t="s">
        <v>3703</v>
      </c>
      <c r="AD433" s="52" t="s">
        <v>3704</v>
      </c>
      <c r="AE433" s="52"/>
      <c r="AF433" s="52" t="s">
        <v>3703</v>
      </c>
      <c r="AG433" s="52" t="s">
        <v>3704</v>
      </c>
      <c r="AH433" s="52"/>
      <c r="AI433" s="52"/>
      <c r="AJ433" s="52"/>
      <c r="AK433" s="52"/>
      <c r="AL433" s="55">
        <v>0.34305555555555556</v>
      </c>
      <c r="AM433" s="52"/>
      <c r="AN433" s="52"/>
      <c r="AO433" s="52"/>
      <c r="AP433" s="52"/>
      <c r="AQ433" s="52"/>
      <c r="AR433" s="52"/>
      <c r="AS433" s="52">
        <v>0</v>
      </c>
      <c r="AT433" s="52"/>
      <c r="AU433" s="52"/>
      <c r="AV433" s="52" t="s">
        <v>708</v>
      </c>
      <c r="AW433" s="52"/>
    </row>
    <row r="434" spans="1:49">
      <c r="A434" s="52">
        <v>6020708</v>
      </c>
      <c r="B434" s="52" t="s">
        <v>3716</v>
      </c>
      <c r="C434" s="52" t="s">
        <v>3698</v>
      </c>
      <c r="D434" s="53">
        <v>46157.708333333336</v>
      </c>
      <c r="E434" s="53">
        <v>46156.68472222222</v>
      </c>
      <c r="F434" s="53">
        <v>46157.990277777775</v>
      </c>
      <c r="G434" s="53">
        <v>46159.091666666667</v>
      </c>
      <c r="H434" s="52"/>
      <c r="I434" s="52"/>
      <c r="J434" s="52" t="s">
        <v>3694</v>
      </c>
      <c r="K434" s="53">
        <v>46159.065972222219</v>
      </c>
      <c r="L434" s="52"/>
      <c r="M434" s="54">
        <v>1.101388888888889</v>
      </c>
      <c r="N434" s="55">
        <v>0.46597222222222223</v>
      </c>
      <c r="O434" s="52" t="s">
        <v>704</v>
      </c>
      <c r="P434" s="52" t="s">
        <v>72</v>
      </c>
      <c r="Q434" s="52" t="s">
        <v>703</v>
      </c>
      <c r="R434" s="52"/>
      <c r="S434" s="52" t="s">
        <v>69</v>
      </c>
      <c r="T434" s="52" t="s">
        <v>3963</v>
      </c>
      <c r="U434" s="52" t="s">
        <v>3964</v>
      </c>
      <c r="V434" s="52" t="s">
        <v>711</v>
      </c>
      <c r="W434" s="52">
        <v>77960904715</v>
      </c>
      <c r="X434" s="52" t="s">
        <v>73</v>
      </c>
      <c r="Y434" s="52"/>
      <c r="Z434" s="52" t="s">
        <v>3696</v>
      </c>
      <c r="AA434" s="52" t="s">
        <v>3710</v>
      </c>
      <c r="AB434" s="52"/>
      <c r="AC434" s="52" t="s">
        <v>3703</v>
      </c>
      <c r="AD434" s="52" t="s">
        <v>3704</v>
      </c>
      <c r="AE434" s="52" t="s">
        <v>140</v>
      </c>
      <c r="AF434" s="52" t="s">
        <v>3965</v>
      </c>
      <c r="AG434" s="52" t="s">
        <v>3726</v>
      </c>
      <c r="AH434" s="52"/>
      <c r="AI434" s="53">
        <v>46157.961805555555</v>
      </c>
      <c r="AJ434" s="53">
        <v>46158.304861111108</v>
      </c>
      <c r="AK434" s="53">
        <v>46157.961805555555</v>
      </c>
      <c r="AL434" s="55">
        <v>0.34305555555555556</v>
      </c>
      <c r="AM434" s="52"/>
      <c r="AN434" s="55">
        <v>0.34305555555555556</v>
      </c>
      <c r="AO434" s="52"/>
      <c r="AP434" s="55">
        <v>0.34305555555555556</v>
      </c>
      <c r="AQ434" s="52"/>
      <c r="AR434" s="52"/>
      <c r="AS434" s="52" t="s">
        <v>3696</v>
      </c>
      <c r="AT434" s="52"/>
      <c r="AU434" s="52"/>
      <c r="AV434" s="52"/>
      <c r="AW434" s="52"/>
    </row>
    <row r="435" spans="1:49">
      <c r="A435" s="52">
        <v>6020708</v>
      </c>
      <c r="B435" s="52" t="s">
        <v>3716</v>
      </c>
      <c r="C435" s="52" t="s">
        <v>3698</v>
      </c>
      <c r="D435" s="53">
        <v>46157.708333333336</v>
      </c>
      <c r="E435" s="53">
        <v>46156.68472222222</v>
      </c>
      <c r="F435" s="53">
        <v>46157.990277777775</v>
      </c>
      <c r="G435" s="53">
        <v>46159.091666666667</v>
      </c>
      <c r="H435" s="52"/>
      <c r="I435" s="52"/>
      <c r="J435" s="52" t="s">
        <v>3694</v>
      </c>
      <c r="K435" s="53">
        <v>46159.065972222219</v>
      </c>
      <c r="L435" s="52"/>
      <c r="M435" s="54">
        <v>1.101388888888889</v>
      </c>
      <c r="N435" s="55">
        <v>0.46597222222222223</v>
      </c>
      <c r="O435" s="52" t="s">
        <v>704</v>
      </c>
      <c r="P435" s="52" t="s">
        <v>72</v>
      </c>
      <c r="Q435" s="52" t="s">
        <v>703</v>
      </c>
      <c r="R435" s="52"/>
      <c r="S435" s="52" t="s">
        <v>69</v>
      </c>
      <c r="T435" s="52" t="s">
        <v>3963</v>
      </c>
      <c r="U435" s="52" t="s">
        <v>3964</v>
      </c>
      <c r="V435" s="52" t="s">
        <v>711</v>
      </c>
      <c r="W435" s="52">
        <v>77960904715</v>
      </c>
      <c r="X435" s="52" t="s">
        <v>73</v>
      </c>
      <c r="Y435" s="52"/>
      <c r="Z435" s="52" t="s">
        <v>3696</v>
      </c>
      <c r="AA435" s="52" t="s">
        <v>3710</v>
      </c>
      <c r="AB435" s="52"/>
      <c r="AC435" s="52" t="s">
        <v>3703</v>
      </c>
      <c r="AD435" s="52" t="s">
        <v>3704</v>
      </c>
      <c r="AE435" s="52"/>
      <c r="AF435" s="52" t="s">
        <v>3965</v>
      </c>
      <c r="AG435" s="52" t="s">
        <v>3726</v>
      </c>
      <c r="AH435" s="52"/>
      <c r="AI435" s="53">
        <v>46157.961805555555</v>
      </c>
      <c r="AJ435" s="53">
        <v>46158.304861111108</v>
      </c>
      <c r="AK435" s="53">
        <v>46157.961805555555</v>
      </c>
      <c r="AL435" s="55">
        <v>0.34305555555555556</v>
      </c>
      <c r="AM435" s="52"/>
      <c r="AN435" s="55">
        <v>0.34305555555555556</v>
      </c>
      <c r="AO435" s="52"/>
      <c r="AP435" s="55">
        <v>0.34305555555555556</v>
      </c>
      <c r="AQ435" s="52"/>
      <c r="AR435" s="52"/>
      <c r="AS435" s="52" t="s">
        <v>3696</v>
      </c>
      <c r="AT435" s="52"/>
      <c r="AU435" s="52"/>
      <c r="AV435" s="52"/>
      <c r="AW435" s="52" t="s">
        <v>708</v>
      </c>
    </row>
    <row r="436" spans="1:49">
      <c r="A436" s="52">
        <v>6020762</v>
      </c>
      <c r="B436" s="52" t="s">
        <v>3699</v>
      </c>
      <c r="C436" s="52" t="s">
        <v>3692</v>
      </c>
      <c r="D436" s="53">
        <v>46155.833333333336</v>
      </c>
      <c r="E436" s="53">
        <v>46155.323611111111</v>
      </c>
      <c r="F436" s="53">
        <v>46155.695138888892</v>
      </c>
      <c r="G436" s="53">
        <v>46157.208333333336</v>
      </c>
      <c r="H436" s="52"/>
      <c r="I436" s="52" t="s">
        <v>3693</v>
      </c>
      <c r="J436" s="52" t="s">
        <v>3693</v>
      </c>
      <c r="K436" s="53">
        <v>46156.302777777775</v>
      </c>
      <c r="L436" s="52" t="s">
        <v>3904</v>
      </c>
      <c r="M436" s="54">
        <v>1.25</v>
      </c>
      <c r="N436" s="54">
        <v>2.4979166666666668</v>
      </c>
      <c r="O436" s="52"/>
      <c r="P436" s="52"/>
      <c r="Q436" s="52"/>
      <c r="R436" s="52"/>
      <c r="S436" s="52"/>
      <c r="T436" s="52" t="s">
        <v>3966</v>
      </c>
      <c r="U436" s="52" t="s">
        <v>3967</v>
      </c>
      <c r="V436" s="52"/>
      <c r="W436" s="52"/>
      <c r="X436" s="52"/>
      <c r="Y436" s="52"/>
      <c r="Z436" s="52" t="s">
        <v>3696</v>
      </c>
      <c r="AA436" s="52" t="s">
        <v>216</v>
      </c>
      <c r="AB436" s="52" t="s">
        <v>140</v>
      </c>
      <c r="AC436" s="52" t="s">
        <v>3703</v>
      </c>
      <c r="AD436" s="52" t="s">
        <v>3704</v>
      </c>
      <c r="AE436" s="52"/>
      <c r="AF436" s="52" t="s">
        <v>3968</v>
      </c>
      <c r="AG436" s="52" t="s">
        <v>3715</v>
      </c>
      <c r="AH436" s="52"/>
      <c r="AI436" s="52"/>
      <c r="AJ436" s="52"/>
      <c r="AK436" s="52"/>
      <c r="AL436" s="55">
        <v>0.10069444444444445</v>
      </c>
      <c r="AM436" s="52"/>
      <c r="AN436" s="52"/>
      <c r="AO436" s="52"/>
      <c r="AP436" s="52"/>
      <c r="AQ436" s="52"/>
      <c r="AR436" s="52"/>
      <c r="AS436" s="52">
        <v>0</v>
      </c>
      <c r="AT436" s="52"/>
      <c r="AU436" s="52"/>
      <c r="AV436" s="52" t="s">
        <v>2131</v>
      </c>
      <c r="AW436" s="52"/>
    </row>
    <row r="437" spans="1:49">
      <c r="A437" s="52">
        <v>6020762</v>
      </c>
      <c r="B437" s="52" t="s">
        <v>3699</v>
      </c>
      <c r="C437" s="52" t="s">
        <v>3698</v>
      </c>
      <c r="D437" s="53">
        <v>46155.833333333336</v>
      </c>
      <c r="E437" s="53">
        <v>46155.323611111111</v>
      </c>
      <c r="F437" s="53">
        <v>46155.695138888892</v>
      </c>
      <c r="G437" s="53">
        <v>46157.208333333336</v>
      </c>
      <c r="H437" s="52"/>
      <c r="I437" s="52"/>
      <c r="J437" s="52" t="s">
        <v>3693</v>
      </c>
      <c r="K437" s="53">
        <v>46156.302777777775</v>
      </c>
      <c r="L437" s="52"/>
      <c r="M437" s="54">
        <v>1.5131944444444445</v>
      </c>
      <c r="N437" s="54">
        <v>2.7611111111111111</v>
      </c>
      <c r="O437" s="52" t="s">
        <v>3969</v>
      </c>
      <c r="P437" s="52" t="s">
        <v>216</v>
      </c>
      <c r="Q437" s="52" t="s">
        <v>3970</v>
      </c>
      <c r="R437" s="52"/>
      <c r="S437" s="52" t="s">
        <v>3756</v>
      </c>
      <c r="T437" s="52" t="s">
        <v>3966</v>
      </c>
      <c r="U437" s="52" t="s">
        <v>3967</v>
      </c>
      <c r="V437" s="52" t="s">
        <v>3971</v>
      </c>
      <c r="W437" s="52">
        <v>12170885986</v>
      </c>
      <c r="X437" s="52" t="s">
        <v>73</v>
      </c>
      <c r="Y437" s="52"/>
      <c r="Z437" s="52" t="s">
        <v>3696</v>
      </c>
      <c r="AA437" s="52" t="s">
        <v>3710</v>
      </c>
      <c r="AB437" s="52"/>
      <c r="AC437" s="52" t="s">
        <v>3703</v>
      </c>
      <c r="AD437" s="52" t="s">
        <v>3704</v>
      </c>
      <c r="AE437" s="52" t="s">
        <v>140</v>
      </c>
      <c r="AF437" s="52" t="s">
        <v>3968</v>
      </c>
      <c r="AG437" s="52" t="s">
        <v>3715</v>
      </c>
      <c r="AH437" s="52"/>
      <c r="AI437" s="53">
        <v>46155.697222222225</v>
      </c>
      <c r="AJ437" s="53">
        <v>46155.79791666667</v>
      </c>
      <c r="AK437" s="53">
        <v>46155.697222222225</v>
      </c>
      <c r="AL437" s="55">
        <v>0.10069444444444445</v>
      </c>
      <c r="AM437" s="52"/>
      <c r="AN437" s="55">
        <v>0.10069444444444445</v>
      </c>
      <c r="AO437" s="52"/>
      <c r="AP437" s="55">
        <v>0.10069444444444445</v>
      </c>
      <c r="AQ437" s="52"/>
      <c r="AR437" s="52"/>
      <c r="AS437" s="52" t="s">
        <v>3696</v>
      </c>
      <c r="AT437" s="52"/>
      <c r="AU437" s="52"/>
      <c r="AV437" s="52"/>
      <c r="AW437" s="52"/>
    </row>
    <row r="438" spans="1:49">
      <c r="A438" s="52">
        <v>6020762</v>
      </c>
      <c r="B438" s="52" t="s">
        <v>3699</v>
      </c>
      <c r="C438" s="52" t="s">
        <v>3698</v>
      </c>
      <c r="D438" s="53">
        <v>46155.833333333336</v>
      </c>
      <c r="E438" s="53">
        <v>46155.323611111111</v>
      </c>
      <c r="F438" s="53">
        <v>46155.695138888892</v>
      </c>
      <c r="G438" s="53">
        <v>46157.208333333336</v>
      </c>
      <c r="H438" s="52"/>
      <c r="I438" s="52"/>
      <c r="J438" s="52" t="s">
        <v>3693</v>
      </c>
      <c r="K438" s="53">
        <v>46156.302777777775</v>
      </c>
      <c r="L438" s="52"/>
      <c r="M438" s="54">
        <v>1.5131944444444445</v>
      </c>
      <c r="N438" s="54">
        <v>2.7611111111111111</v>
      </c>
      <c r="O438" s="52" t="s">
        <v>3969</v>
      </c>
      <c r="P438" s="52" t="s">
        <v>216</v>
      </c>
      <c r="Q438" s="52" t="s">
        <v>3970</v>
      </c>
      <c r="R438" s="52"/>
      <c r="S438" s="52" t="s">
        <v>3756</v>
      </c>
      <c r="T438" s="52" t="s">
        <v>3966</v>
      </c>
      <c r="U438" s="52" t="s">
        <v>3967</v>
      </c>
      <c r="V438" s="52" t="s">
        <v>3971</v>
      </c>
      <c r="W438" s="52">
        <v>12170885986</v>
      </c>
      <c r="X438" s="52" t="s">
        <v>73</v>
      </c>
      <c r="Y438" s="52"/>
      <c r="Z438" s="52" t="s">
        <v>3696</v>
      </c>
      <c r="AA438" s="52" t="s">
        <v>3710</v>
      </c>
      <c r="AB438" s="52"/>
      <c r="AC438" s="52" t="s">
        <v>3703</v>
      </c>
      <c r="AD438" s="52" t="s">
        <v>3704</v>
      </c>
      <c r="AE438" s="52"/>
      <c r="AF438" s="52" t="s">
        <v>3968</v>
      </c>
      <c r="AG438" s="52" t="s">
        <v>3715</v>
      </c>
      <c r="AH438" s="52"/>
      <c r="AI438" s="53">
        <v>46155.697222222225</v>
      </c>
      <c r="AJ438" s="53">
        <v>46155.79791666667</v>
      </c>
      <c r="AK438" s="53">
        <v>46155.697222222225</v>
      </c>
      <c r="AL438" s="55">
        <v>0.10069444444444445</v>
      </c>
      <c r="AM438" s="52"/>
      <c r="AN438" s="55">
        <v>0.10069444444444445</v>
      </c>
      <c r="AO438" s="52"/>
      <c r="AP438" s="55">
        <v>0.10069444444444445</v>
      </c>
      <c r="AQ438" s="52"/>
      <c r="AR438" s="52"/>
      <c r="AS438" s="52" t="s">
        <v>3696</v>
      </c>
      <c r="AT438" s="52"/>
      <c r="AU438" s="52"/>
      <c r="AV438" s="52"/>
      <c r="AW438" s="52" t="s">
        <v>2131</v>
      </c>
    </row>
    <row r="439" spans="1:49">
      <c r="A439" s="52">
        <v>6020762</v>
      </c>
      <c r="B439" s="52" t="s">
        <v>3699</v>
      </c>
      <c r="C439" s="52" t="s">
        <v>3698</v>
      </c>
      <c r="D439" s="53">
        <v>46155.833333333336</v>
      </c>
      <c r="E439" s="53">
        <v>46155.323611111111</v>
      </c>
      <c r="F439" s="53">
        <v>46155.997916666667</v>
      </c>
      <c r="G439" s="53">
        <v>46157.208333333336</v>
      </c>
      <c r="H439" s="53">
        <v>46157.022916666669</v>
      </c>
      <c r="I439" s="52"/>
      <c r="J439" s="52" t="s">
        <v>3693</v>
      </c>
      <c r="K439" s="53">
        <v>46156.302777777775</v>
      </c>
      <c r="L439" s="52"/>
      <c r="M439" s="54">
        <v>1.2104166666666667</v>
      </c>
      <c r="N439" s="54">
        <v>2.4583333333333335</v>
      </c>
      <c r="O439" s="52" t="s">
        <v>3312</v>
      </c>
      <c r="P439" s="52" t="s">
        <v>216</v>
      </c>
      <c r="Q439" s="52" t="s">
        <v>3311</v>
      </c>
      <c r="R439" s="52"/>
      <c r="S439" s="52" t="s">
        <v>789</v>
      </c>
      <c r="T439" s="52" t="s">
        <v>3972</v>
      </c>
      <c r="U439" s="52" t="s">
        <v>3973</v>
      </c>
      <c r="V439" s="52" t="s">
        <v>3974</v>
      </c>
      <c r="W439" s="52">
        <v>8155467775</v>
      </c>
      <c r="X439" s="52" t="s">
        <v>73</v>
      </c>
      <c r="Y439" s="52"/>
      <c r="Z439" s="52" t="s">
        <v>3696</v>
      </c>
      <c r="AA439" s="52" t="s">
        <v>3710</v>
      </c>
      <c r="AB439" s="52"/>
      <c r="AC439" s="52" t="s">
        <v>3703</v>
      </c>
      <c r="AD439" s="52" t="s">
        <v>3704</v>
      </c>
      <c r="AE439" s="52" t="s">
        <v>140</v>
      </c>
      <c r="AF439" s="52" t="s">
        <v>3968</v>
      </c>
      <c r="AG439" s="52" t="s">
        <v>3715</v>
      </c>
      <c r="AH439" s="52"/>
      <c r="AI439" s="53">
        <v>46155.697222222225</v>
      </c>
      <c r="AJ439" s="53">
        <v>46155.79791666667</v>
      </c>
      <c r="AK439" s="53">
        <v>46155.697222222225</v>
      </c>
      <c r="AL439" s="55">
        <v>0.22847222222222222</v>
      </c>
      <c r="AM439" s="52"/>
      <c r="AN439" s="55">
        <v>0.10069444444444445</v>
      </c>
      <c r="AO439" s="52"/>
      <c r="AP439" s="55">
        <v>0.22847222222222222</v>
      </c>
      <c r="AQ439" s="52"/>
      <c r="AR439" s="52"/>
      <c r="AS439" s="52" t="s">
        <v>3696</v>
      </c>
      <c r="AT439" s="52"/>
      <c r="AU439" s="52"/>
      <c r="AV439" s="52"/>
      <c r="AW439" s="52"/>
    </row>
    <row r="440" spans="1:49">
      <c r="A440" s="52">
        <v>6020762</v>
      </c>
      <c r="B440" s="52" t="s">
        <v>3699</v>
      </c>
      <c r="C440" s="52" t="s">
        <v>3698</v>
      </c>
      <c r="D440" s="53">
        <v>46155.833333333336</v>
      </c>
      <c r="E440" s="53">
        <v>46155.323611111111</v>
      </c>
      <c r="F440" s="53">
        <v>46155.997916666667</v>
      </c>
      <c r="G440" s="53">
        <v>46157.208333333336</v>
      </c>
      <c r="H440" s="53">
        <v>46157.022916666669</v>
      </c>
      <c r="I440" s="52"/>
      <c r="J440" s="52" t="s">
        <v>3693</v>
      </c>
      <c r="K440" s="53">
        <v>46156.302777777775</v>
      </c>
      <c r="L440" s="52"/>
      <c r="M440" s="54">
        <v>1.2104166666666667</v>
      </c>
      <c r="N440" s="54">
        <v>2.4583333333333335</v>
      </c>
      <c r="O440" s="52" t="s">
        <v>3312</v>
      </c>
      <c r="P440" s="52" t="s">
        <v>216</v>
      </c>
      <c r="Q440" s="52" t="s">
        <v>3311</v>
      </c>
      <c r="R440" s="52"/>
      <c r="S440" s="52" t="s">
        <v>789</v>
      </c>
      <c r="T440" s="52" t="s">
        <v>3972</v>
      </c>
      <c r="U440" s="52" t="s">
        <v>3973</v>
      </c>
      <c r="V440" s="52" t="s">
        <v>3974</v>
      </c>
      <c r="W440" s="52">
        <v>8155467775</v>
      </c>
      <c r="X440" s="52" t="s">
        <v>73</v>
      </c>
      <c r="Y440" s="52"/>
      <c r="Z440" s="52" t="s">
        <v>3696</v>
      </c>
      <c r="AA440" s="52" t="s">
        <v>3710</v>
      </c>
      <c r="AB440" s="52"/>
      <c r="AC440" s="52" t="s">
        <v>3703</v>
      </c>
      <c r="AD440" s="52" t="s">
        <v>3704</v>
      </c>
      <c r="AE440" s="52"/>
      <c r="AF440" s="52" t="s">
        <v>3968</v>
      </c>
      <c r="AG440" s="52" t="s">
        <v>3715</v>
      </c>
      <c r="AH440" s="52"/>
      <c r="AI440" s="53">
        <v>46155.697222222225</v>
      </c>
      <c r="AJ440" s="53">
        <v>46155.79791666667</v>
      </c>
      <c r="AK440" s="53">
        <v>46155.697222222225</v>
      </c>
      <c r="AL440" s="55">
        <v>0.22847222222222222</v>
      </c>
      <c r="AM440" s="52"/>
      <c r="AN440" s="55">
        <v>0.10069444444444445</v>
      </c>
      <c r="AO440" s="52"/>
      <c r="AP440" s="55">
        <v>0.22847222222222222</v>
      </c>
      <c r="AQ440" s="52"/>
      <c r="AR440" s="52"/>
      <c r="AS440" s="52" t="s">
        <v>3696</v>
      </c>
      <c r="AT440" s="52"/>
      <c r="AU440" s="52"/>
      <c r="AV440" s="52"/>
      <c r="AW440" s="52" t="s">
        <v>2131</v>
      </c>
    </row>
    <row r="441" spans="1:49">
      <c r="A441" s="52">
        <v>6020763</v>
      </c>
      <c r="B441" s="52" t="s">
        <v>3699</v>
      </c>
      <c r="C441" s="52" t="s">
        <v>3692</v>
      </c>
      <c r="D441" s="53">
        <v>46155.25</v>
      </c>
      <c r="E441" s="53">
        <v>46155.027777777781</v>
      </c>
      <c r="F441" s="53">
        <v>46155.745138888888</v>
      </c>
      <c r="G441" s="53">
        <v>46157.958333333336</v>
      </c>
      <c r="H441" s="53">
        <v>46156.318749999999</v>
      </c>
      <c r="I441" s="52" t="s">
        <v>3693</v>
      </c>
      <c r="J441" s="52" t="s">
        <v>3693</v>
      </c>
      <c r="K441" s="53">
        <v>46156.318749999999</v>
      </c>
      <c r="L441" s="52" t="s">
        <v>3700</v>
      </c>
      <c r="M441" s="54">
        <v>2.7083333333333335</v>
      </c>
      <c r="N441" s="54">
        <v>3.2062499999999998</v>
      </c>
      <c r="O441" s="52"/>
      <c r="P441" s="52"/>
      <c r="Q441" s="52"/>
      <c r="R441" s="52"/>
      <c r="S441" s="52"/>
      <c r="T441" s="52" t="s">
        <v>3975</v>
      </c>
      <c r="U441" s="52" t="s">
        <v>3976</v>
      </c>
      <c r="V441" s="52"/>
      <c r="W441" s="52"/>
      <c r="X441" s="52"/>
      <c r="Y441" s="52"/>
      <c r="Z441" s="52" t="s">
        <v>3696</v>
      </c>
      <c r="AA441" s="52" t="s">
        <v>227</v>
      </c>
      <c r="AB441" s="52" t="s">
        <v>140</v>
      </c>
      <c r="AC441" s="52" t="s">
        <v>3703</v>
      </c>
      <c r="AD441" s="52" t="s">
        <v>3704</v>
      </c>
      <c r="AE441" s="52"/>
      <c r="AF441" s="52" t="s">
        <v>3968</v>
      </c>
      <c r="AG441" s="52" t="s">
        <v>3715</v>
      </c>
      <c r="AH441" s="52"/>
      <c r="AI441" s="52"/>
      <c r="AJ441" s="52"/>
      <c r="AK441" s="52"/>
      <c r="AL441" s="55">
        <v>3.1944444444444442E-2</v>
      </c>
      <c r="AM441" s="52"/>
      <c r="AN441" s="52"/>
      <c r="AO441" s="52"/>
      <c r="AP441" s="52"/>
      <c r="AQ441" s="52"/>
      <c r="AR441" s="52"/>
      <c r="AS441" s="52">
        <v>0</v>
      </c>
      <c r="AT441" s="52"/>
      <c r="AU441" s="52"/>
      <c r="AV441" s="52" t="s">
        <v>2131</v>
      </c>
      <c r="AW441" s="52"/>
    </row>
    <row r="442" spans="1:49">
      <c r="A442" s="52">
        <v>6020763</v>
      </c>
      <c r="B442" s="52" t="s">
        <v>3699</v>
      </c>
      <c r="C442" s="52" t="s">
        <v>3698</v>
      </c>
      <c r="D442" s="53">
        <v>46155.25</v>
      </c>
      <c r="E442" s="53">
        <v>46155.027777777781</v>
      </c>
      <c r="F442" s="53">
        <v>46155.74722222222</v>
      </c>
      <c r="G442" s="53">
        <v>46157.958333333336</v>
      </c>
      <c r="H442" s="53">
        <v>46156.719444444447</v>
      </c>
      <c r="I442" s="52"/>
      <c r="J442" s="52" t="s">
        <v>3693</v>
      </c>
      <c r="K442" s="53">
        <v>46156.318749999999</v>
      </c>
      <c r="L442" s="52"/>
      <c r="M442" s="54">
        <v>2.2111111111111112</v>
      </c>
      <c r="N442" s="54">
        <v>2.7090277777777776</v>
      </c>
      <c r="O442" s="52" t="s">
        <v>3264</v>
      </c>
      <c r="P442" s="52" t="s">
        <v>227</v>
      </c>
      <c r="Q442" s="52" t="s">
        <v>1947</v>
      </c>
      <c r="R442" s="52" t="s">
        <v>2478</v>
      </c>
      <c r="S442" s="52" t="s">
        <v>789</v>
      </c>
      <c r="T442" s="52" t="s">
        <v>3975</v>
      </c>
      <c r="U442" s="52" t="s">
        <v>3976</v>
      </c>
      <c r="V442" s="52" t="s">
        <v>1952</v>
      </c>
      <c r="W442" s="52">
        <v>25420775840</v>
      </c>
      <c r="X442" s="52" t="s">
        <v>73</v>
      </c>
      <c r="Y442" s="52"/>
      <c r="Z442" s="52" t="s">
        <v>3696</v>
      </c>
      <c r="AA442" s="52" t="s">
        <v>3710</v>
      </c>
      <c r="AB442" s="52"/>
      <c r="AC442" s="52" t="s">
        <v>3703</v>
      </c>
      <c r="AD442" s="52" t="s">
        <v>3704</v>
      </c>
      <c r="AE442" s="52" t="s">
        <v>140</v>
      </c>
      <c r="AF442" s="52" t="s">
        <v>3968</v>
      </c>
      <c r="AG442" s="52" t="s">
        <v>3715</v>
      </c>
      <c r="AH442" s="52"/>
      <c r="AI442" s="53">
        <v>46155.751388888886</v>
      </c>
      <c r="AJ442" s="53">
        <v>46155.783333333333</v>
      </c>
      <c r="AK442" s="53">
        <v>46155.751388888886</v>
      </c>
      <c r="AL442" s="55">
        <v>0.4284722222222222</v>
      </c>
      <c r="AM442" s="52"/>
      <c r="AN442" s="55">
        <v>3.1944444444444442E-2</v>
      </c>
      <c r="AO442" s="55">
        <v>0.39652777777777776</v>
      </c>
      <c r="AP442" s="55">
        <v>0.4284722222222222</v>
      </c>
      <c r="AQ442" s="52"/>
      <c r="AR442" s="52"/>
      <c r="AS442" s="52" t="s">
        <v>3696</v>
      </c>
      <c r="AT442" s="52"/>
      <c r="AU442" s="52"/>
      <c r="AV442" s="52"/>
      <c r="AW442" s="52"/>
    </row>
    <row r="443" spans="1:49">
      <c r="A443" s="52">
        <v>6020763</v>
      </c>
      <c r="B443" s="52" t="s">
        <v>3699</v>
      </c>
      <c r="C443" s="52" t="s">
        <v>3698</v>
      </c>
      <c r="D443" s="53">
        <v>46155.25</v>
      </c>
      <c r="E443" s="53">
        <v>46155.027777777781</v>
      </c>
      <c r="F443" s="53">
        <v>46155.74722222222</v>
      </c>
      <c r="G443" s="53">
        <v>46157.958333333336</v>
      </c>
      <c r="H443" s="53">
        <v>46156.719444444447</v>
      </c>
      <c r="I443" s="52"/>
      <c r="J443" s="52" t="s">
        <v>3693</v>
      </c>
      <c r="K443" s="53">
        <v>46156.318749999999</v>
      </c>
      <c r="L443" s="52"/>
      <c r="M443" s="54">
        <v>2.2111111111111112</v>
      </c>
      <c r="N443" s="54">
        <v>2.7090277777777776</v>
      </c>
      <c r="O443" s="52" t="s">
        <v>3264</v>
      </c>
      <c r="P443" s="52" t="s">
        <v>227</v>
      </c>
      <c r="Q443" s="52" t="s">
        <v>1947</v>
      </c>
      <c r="R443" s="52" t="s">
        <v>2478</v>
      </c>
      <c r="S443" s="52" t="s">
        <v>789</v>
      </c>
      <c r="T443" s="52" t="s">
        <v>3975</v>
      </c>
      <c r="U443" s="52" t="s">
        <v>3976</v>
      </c>
      <c r="V443" s="52" t="s">
        <v>1952</v>
      </c>
      <c r="W443" s="52">
        <v>25420775840</v>
      </c>
      <c r="X443" s="52" t="s">
        <v>73</v>
      </c>
      <c r="Y443" s="52"/>
      <c r="Z443" s="52" t="s">
        <v>3696</v>
      </c>
      <c r="AA443" s="52" t="s">
        <v>3710</v>
      </c>
      <c r="AB443" s="52"/>
      <c r="AC443" s="52" t="s">
        <v>3703</v>
      </c>
      <c r="AD443" s="52" t="s">
        <v>3704</v>
      </c>
      <c r="AE443" s="52"/>
      <c r="AF443" s="52" t="s">
        <v>3968</v>
      </c>
      <c r="AG443" s="52" t="s">
        <v>3715</v>
      </c>
      <c r="AH443" s="52"/>
      <c r="AI443" s="53">
        <v>46155.751388888886</v>
      </c>
      <c r="AJ443" s="53">
        <v>46155.783333333333</v>
      </c>
      <c r="AK443" s="53">
        <v>46155.751388888886</v>
      </c>
      <c r="AL443" s="55">
        <v>0.4284722222222222</v>
      </c>
      <c r="AM443" s="52"/>
      <c r="AN443" s="55">
        <v>3.1944444444444442E-2</v>
      </c>
      <c r="AO443" s="55">
        <v>0.39652777777777776</v>
      </c>
      <c r="AP443" s="55">
        <v>0.4284722222222222</v>
      </c>
      <c r="AQ443" s="52"/>
      <c r="AR443" s="52"/>
      <c r="AS443" s="52" t="s">
        <v>3696</v>
      </c>
      <c r="AT443" s="52"/>
      <c r="AU443" s="52"/>
      <c r="AV443" s="52"/>
      <c r="AW443" s="52" t="s">
        <v>2131</v>
      </c>
    </row>
    <row r="444" spans="1:49">
      <c r="A444" s="52">
        <v>6020764</v>
      </c>
      <c r="B444" s="52" t="s">
        <v>3699</v>
      </c>
      <c r="C444" s="52" t="s">
        <v>3692</v>
      </c>
      <c r="D444" s="53">
        <v>46155.25</v>
      </c>
      <c r="E444" s="53">
        <v>46155.027083333334</v>
      </c>
      <c r="F444" s="53">
        <v>46155.740972222222</v>
      </c>
      <c r="G444" s="53">
        <v>46157.958333333336</v>
      </c>
      <c r="H444" s="53">
        <v>46156.317361111112</v>
      </c>
      <c r="I444" s="52" t="s">
        <v>3693</v>
      </c>
      <c r="J444" s="52" t="s">
        <v>3693</v>
      </c>
      <c r="K444" s="53">
        <v>46156.317361111112</v>
      </c>
      <c r="L444" s="52" t="s">
        <v>3700</v>
      </c>
      <c r="M444" s="54">
        <v>2.7083333333333335</v>
      </c>
      <c r="N444" s="54">
        <v>3.2062499999999998</v>
      </c>
      <c r="O444" s="52"/>
      <c r="P444" s="52"/>
      <c r="Q444" s="52"/>
      <c r="R444" s="52"/>
      <c r="S444" s="52"/>
      <c r="T444" s="52" t="s">
        <v>3975</v>
      </c>
      <c r="U444" s="52" t="s">
        <v>3977</v>
      </c>
      <c r="V444" s="52"/>
      <c r="W444" s="52"/>
      <c r="X444" s="52"/>
      <c r="Y444" s="52"/>
      <c r="Z444" s="52" t="s">
        <v>3696</v>
      </c>
      <c r="AA444" s="52" t="s">
        <v>227</v>
      </c>
      <c r="AB444" s="52" t="s">
        <v>140</v>
      </c>
      <c r="AC444" s="52" t="s">
        <v>3703</v>
      </c>
      <c r="AD444" s="52" t="s">
        <v>3704</v>
      </c>
      <c r="AE444" s="52"/>
      <c r="AF444" s="52" t="s">
        <v>3968</v>
      </c>
      <c r="AG444" s="52" t="s">
        <v>3715</v>
      </c>
      <c r="AH444" s="52"/>
      <c r="AI444" s="52"/>
      <c r="AJ444" s="52"/>
      <c r="AK444" s="52"/>
      <c r="AL444" s="55">
        <v>3.7499999999999999E-2</v>
      </c>
      <c r="AM444" s="52"/>
      <c r="AN444" s="52"/>
      <c r="AO444" s="52"/>
      <c r="AP444" s="52"/>
      <c r="AQ444" s="52"/>
      <c r="AR444" s="52"/>
      <c r="AS444" s="52">
        <v>0</v>
      </c>
      <c r="AT444" s="52"/>
      <c r="AU444" s="52"/>
      <c r="AV444" s="52" t="s">
        <v>2131</v>
      </c>
      <c r="AW444" s="52"/>
    </row>
    <row r="445" spans="1:49">
      <c r="A445" s="52">
        <v>6020764</v>
      </c>
      <c r="B445" s="52" t="s">
        <v>3699</v>
      </c>
      <c r="C445" s="52" t="s">
        <v>3698</v>
      </c>
      <c r="D445" s="53">
        <v>46155.25</v>
      </c>
      <c r="E445" s="53">
        <v>46155.027083333334</v>
      </c>
      <c r="F445" s="53">
        <v>46155.743055555555</v>
      </c>
      <c r="G445" s="53">
        <v>46157.958333333336</v>
      </c>
      <c r="H445" s="53">
        <v>46156.834027777775</v>
      </c>
      <c r="I445" s="52"/>
      <c r="J445" s="52" t="s">
        <v>3693</v>
      </c>
      <c r="K445" s="53">
        <v>46156.317361111112</v>
      </c>
      <c r="L445" s="52"/>
      <c r="M445" s="54">
        <v>2.2152777777777777</v>
      </c>
      <c r="N445" s="54">
        <v>2.7131944444444445</v>
      </c>
      <c r="O445" s="52" t="s">
        <v>3263</v>
      </c>
      <c r="P445" s="52" t="s">
        <v>227</v>
      </c>
      <c r="Q445" s="52" t="s">
        <v>1808</v>
      </c>
      <c r="R445" s="52" t="s">
        <v>1185</v>
      </c>
      <c r="S445" s="52" t="s">
        <v>789</v>
      </c>
      <c r="T445" s="52" t="s">
        <v>3975</v>
      </c>
      <c r="U445" s="52" t="s">
        <v>3977</v>
      </c>
      <c r="V445" s="52" t="s">
        <v>3863</v>
      </c>
      <c r="W445" s="52">
        <v>31273872886</v>
      </c>
      <c r="X445" s="52" t="s">
        <v>73</v>
      </c>
      <c r="Y445" s="52"/>
      <c r="Z445" s="52" t="s">
        <v>3696</v>
      </c>
      <c r="AA445" s="52" t="s">
        <v>3710</v>
      </c>
      <c r="AB445" s="52"/>
      <c r="AC445" s="52" t="s">
        <v>3703</v>
      </c>
      <c r="AD445" s="52" t="s">
        <v>3704</v>
      </c>
      <c r="AE445" s="52" t="s">
        <v>140</v>
      </c>
      <c r="AF445" s="52" t="s">
        <v>3968</v>
      </c>
      <c r="AG445" s="52" t="s">
        <v>3715</v>
      </c>
      <c r="AH445" s="52"/>
      <c r="AI445" s="53">
        <v>46155.745833333334</v>
      </c>
      <c r="AJ445" s="53">
        <v>46155.783333333333</v>
      </c>
      <c r="AK445" s="53">
        <v>46155.745833333334</v>
      </c>
      <c r="AL445" s="55">
        <v>0.5541666666666667</v>
      </c>
      <c r="AM445" s="52"/>
      <c r="AN445" s="55">
        <v>3.7499999999999999E-2</v>
      </c>
      <c r="AO445" s="55">
        <v>0.51666666666666672</v>
      </c>
      <c r="AP445" s="55">
        <v>0.5541666666666667</v>
      </c>
      <c r="AQ445" s="52"/>
      <c r="AR445" s="52"/>
      <c r="AS445" s="52" t="s">
        <v>3696</v>
      </c>
      <c r="AT445" s="52"/>
      <c r="AU445" s="52"/>
      <c r="AV445" s="52"/>
      <c r="AW445" s="52"/>
    </row>
    <row r="446" spans="1:49">
      <c r="A446" s="52">
        <v>6020764</v>
      </c>
      <c r="B446" s="52" t="s">
        <v>3699</v>
      </c>
      <c r="C446" s="52" t="s">
        <v>3698</v>
      </c>
      <c r="D446" s="53">
        <v>46155.25</v>
      </c>
      <c r="E446" s="53">
        <v>46155.027083333334</v>
      </c>
      <c r="F446" s="53">
        <v>46155.743055555555</v>
      </c>
      <c r="G446" s="53">
        <v>46157.958333333336</v>
      </c>
      <c r="H446" s="53">
        <v>46156.834027777775</v>
      </c>
      <c r="I446" s="52"/>
      <c r="J446" s="52" t="s">
        <v>3693</v>
      </c>
      <c r="K446" s="53">
        <v>46156.317361111112</v>
      </c>
      <c r="L446" s="52"/>
      <c r="M446" s="54">
        <v>2.2152777777777777</v>
      </c>
      <c r="N446" s="54">
        <v>2.7131944444444445</v>
      </c>
      <c r="O446" s="52" t="s">
        <v>3263</v>
      </c>
      <c r="P446" s="52" t="s">
        <v>227</v>
      </c>
      <c r="Q446" s="52" t="s">
        <v>1808</v>
      </c>
      <c r="R446" s="52" t="s">
        <v>1185</v>
      </c>
      <c r="S446" s="52" t="s">
        <v>789</v>
      </c>
      <c r="T446" s="52" t="s">
        <v>3975</v>
      </c>
      <c r="U446" s="52" t="s">
        <v>3977</v>
      </c>
      <c r="V446" s="52" t="s">
        <v>3863</v>
      </c>
      <c r="W446" s="52">
        <v>31273872886</v>
      </c>
      <c r="X446" s="52" t="s">
        <v>73</v>
      </c>
      <c r="Y446" s="52"/>
      <c r="Z446" s="52" t="s">
        <v>3696</v>
      </c>
      <c r="AA446" s="52" t="s">
        <v>3710</v>
      </c>
      <c r="AB446" s="52"/>
      <c r="AC446" s="52" t="s">
        <v>3703</v>
      </c>
      <c r="AD446" s="52" t="s">
        <v>3704</v>
      </c>
      <c r="AE446" s="52"/>
      <c r="AF446" s="52" t="s">
        <v>3968</v>
      </c>
      <c r="AG446" s="52" t="s">
        <v>3715</v>
      </c>
      <c r="AH446" s="52"/>
      <c r="AI446" s="53">
        <v>46155.745833333334</v>
      </c>
      <c r="AJ446" s="53">
        <v>46155.783333333333</v>
      </c>
      <c r="AK446" s="53">
        <v>46155.745833333334</v>
      </c>
      <c r="AL446" s="55">
        <v>0.5541666666666667</v>
      </c>
      <c r="AM446" s="52"/>
      <c r="AN446" s="55">
        <v>3.7499999999999999E-2</v>
      </c>
      <c r="AO446" s="55">
        <v>0.51666666666666672</v>
      </c>
      <c r="AP446" s="55">
        <v>0.5541666666666667</v>
      </c>
      <c r="AQ446" s="52"/>
      <c r="AR446" s="52"/>
      <c r="AS446" s="52" t="s">
        <v>3696</v>
      </c>
      <c r="AT446" s="52"/>
      <c r="AU446" s="52"/>
      <c r="AV446" s="52"/>
      <c r="AW446" s="52" t="s">
        <v>2131</v>
      </c>
    </row>
    <row r="447" spans="1:49">
      <c r="A447" s="52">
        <v>6020765</v>
      </c>
      <c r="B447" s="52" t="s">
        <v>3723</v>
      </c>
      <c r="C447" s="52" t="s">
        <v>3692</v>
      </c>
      <c r="D447" s="53">
        <v>46155.708333333336</v>
      </c>
      <c r="E447" s="53">
        <v>46154.681944444441</v>
      </c>
      <c r="F447" s="53">
        <v>46155.913194444445</v>
      </c>
      <c r="G447" s="53">
        <v>46157.208333333336</v>
      </c>
      <c r="H447" s="53">
        <v>46156.626388888886</v>
      </c>
      <c r="I447" s="52" t="s">
        <v>3693</v>
      </c>
      <c r="J447" s="52" t="s">
        <v>3693</v>
      </c>
      <c r="K447" s="53">
        <v>46156.626388888886</v>
      </c>
      <c r="L447" s="52" t="s">
        <v>3735</v>
      </c>
      <c r="M447" s="54">
        <v>1.5</v>
      </c>
      <c r="N447" s="54">
        <v>2.7479166666666668</v>
      </c>
      <c r="O447" s="52"/>
      <c r="P447" s="52"/>
      <c r="Q447" s="52"/>
      <c r="R447" s="52"/>
      <c r="S447" s="52"/>
      <c r="T447" s="52" t="s">
        <v>3695</v>
      </c>
      <c r="U447" s="52" t="s">
        <v>3695</v>
      </c>
      <c r="V447" s="52"/>
      <c r="W447" s="52"/>
      <c r="X447" s="52"/>
      <c r="Y447" s="52"/>
      <c r="Z447" s="52" t="s">
        <v>3696</v>
      </c>
      <c r="AA447" s="52" t="s">
        <v>72</v>
      </c>
      <c r="AB447" s="52" t="s">
        <v>140</v>
      </c>
      <c r="AC447" s="52" t="s">
        <v>3703</v>
      </c>
      <c r="AD447" s="52" t="s">
        <v>3704</v>
      </c>
      <c r="AE447" s="52"/>
      <c r="AF447" s="52" t="s">
        <v>3968</v>
      </c>
      <c r="AG447" s="52" t="s">
        <v>3715</v>
      </c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>
        <v>0</v>
      </c>
      <c r="AT447" s="52"/>
      <c r="AU447" s="52"/>
      <c r="AV447" s="52" t="s">
        <v>2131</v>
      </c>
      <c r="AW447" s="52"/>
    </row>
    <row r="448" spans="1:49">
      <c r="A448" s="52">
        <v>6020765</v>
      </c>
      <c r="B448" s="52" t="s">
        <v>3723</v>
      </c>
      <c r="C448" s="52" t="s">
        <v>3698</v>
      </c>
      <c r="D448" s="53">
        <v>46155.708333333336</v>
      </c>
      <c r="E448" s="53">
        <v>46154.681944444441</v>
      </c>
      <c r="F448" s="53">
        <v>46156.59375</v>
      </c>
      <c r="G448" s="53">
        <v>46157.208333333336</v>
      </c>
      <c r="H448" s="53">
        <v>46156.823611111111</v>
      </c>
      <c r="I448" s="52"/>
      <c r="J448" s="52" t="s">
        <v>3693</v>
      </c>
      <c r="K448" s="53">
        <v>46156.626388888886</v>
      </c>
      <c r="L448" s="52"/>
      <c r="M448" s="55">
        <v>0.61458333333333337</v>
      </c>
      <c r="N448" s="54">
        <v>1.8625</v>
      </c>
      <c r="O448" s="52" t="s">
        <v>3304</v>
      </c>
      <c r="P448" s="52" t="s">
        <v>72</v>
      </c>
      <c r="Q448" s="52" t="s">
        <v>3303</v>
      </c>
      <c r="R448" s="52"/>
      <c r="S448" s="52" t="s">
        <v>789</v>
      </c>
      <c r="T448" s="52" t="s">
        <v>3695</v>
      </c>
      <c r="U448" s="52" t="s">
        <v>3695</v>
      </c>
      <c r="V448" s="52" t="s">
        <v>3306</v>
      </c>
      <c r="W448" s="52">
        <v>50893023833</v>
      </c>
      <c r="X448" s="52" t="s">
        <v>73</v>
      </c>
      <c r="Y448" s="52"/>
      <c r="Z448" s="52" t="s">
        <v>3696</v>
      </c>
      <c r="AA448" s="52" t="s">
        <v>3710</v>
      </c>
      <c r="AB448" s="52"/>
      <c r="AC448" s="52" t="s">
        <v>3703</v>
      </c>
      <c r="AD448" s="52" t="s">
        <v>3704</v>
      </c>
      <c r="AE448" s="52" t="s">
        <v>140</v>
      </c>
      <c r="AF448" s="52" t="s">
        <v>3968</v>
      </c>
      <c r="AG448" s="52" t="s">
        <v>3715</v>
      </c>
      <c r="AH448" s="52"/>
      <c r="AI448" s="52"/>
      <c r="AJ448" s="52"/>
      <c r="AK448" s="52"/>
      <c r="AL448" s="55">
        <v>0.19652777777777777</v>
      </c>
      <c r="AM448" s="52"/>
      <c r="AN448" s="52"/>
      <c r="AO448" s="55">
        <v>0.19652777777777777</v>
      </c>
      <c r="AP448" s="55">
        <v>0.19652777777777777</v>
      </c>
      <c r="AQ448" s="52"/>
      <c r="AR448" s="52"/>
      <c r="AS448" s="52" t="s">
        <v>3696</v>
      </c>
      <c r="AT448" s="52"/>
      <c r="AU448" s="52"/>
      <c r="AV448" s="52"/>
      <c r="AW448" s="52"/>
    </row>
    <row r="449" spans="1:49">
      <c r="A449" s="52">
        <v>6020765</v>
      </c>
      <c r="B449" s="52" t="s">
        <v>3723</v>
      </c>
      <c r="C449" s="52" t="s">
        <v>3698</v>
      </c>
      <c r="D449" s="53">
        <v>46155.708333333336</v>
      </c>
      <c r="E449" s="53">
        <v>46154.681944444441</v>
      </c>
      <c r="F449" s="53">
        <v>46156.59375</v>
      </c>
      <c r="G449" s="53">
        <v>46157.208333333336</v>
      </c>
      <c r="H449" s="53">
        <v>46156.823611111111</v>
      </c>
      <c r="I449" s="52"/>
      <c r="J449" s="52" t="s">
        <v>3693</v>
      </c>
      <c r="K449" s="53">
        <v>46156.626388888886</v>
      </c>
      <c r="L449" s="52"/>
      <c r="M449" s="55">
        <v>0.61458333333333337</v>
      </c>
      <c r="N449" s="54">
        <v>1.8625</v>
      </c>
      <c r="O449" s="52" t="s">
        <v>3304</v>
      </c>
      <c r="P449" s="52" t="s">
        <v>72</v>
      </c>
      <c r="Q449" s="52" t="s">
        <v>3303</v>
      </c>
      <c r="R449" s="52"/>
      <c r="S449" s="52" t="s">
        <v>789</v>
      </c>
      <c r="T449" s="52" t="s">
        <v>3695</v>
      </c>
      <c r="U449" s="52" t="s">
        <v>3695</v>
      </c>
      <c r="V449" s="52" t="s">
        <v>3306</v>
      </c>
      <c r="W449" s="52">
        <v>50893023833</v>
      </c>
      <c r="X449" s="52" t="s">
        <v>73</v>
      </c>
      <c r="Y449" s="52"/>
      <c r="Z449" s="52" t="s">
        <v>3696</v>
      </c>
      <c r="AA449" s="52" t="s">
        <v>3710</v>
      </c>
      <c r="AB449" s="52"/>
      <c r="AC449" s="52" t="s">
        <v>3703</v>
      </c>
      <c r="AD449" s="52" t="s">
        <v>3704</v>
      </c>
      <c r="AE449" s="52"/>
      <c r="AF449" s="52" t="s">
        <v>3968</v>
      </c>
      <c r="AG449" s="52" t="s">
        <v>3715</v>
      </c>
      <c r="AH449" s="52"/>
      <c r="AI449" s="52"/>
      <c r="AJ449" s="52"/>
      <c r="AK449" s="52"/>
      <c r="AL449" s="55">
        <v>0.19652777777777777</v>
      </c>
      <c r="AM449" s="52"/>
      <c r="AN449" s="52"/>
      <c r="AO449" s="55">
        <v>0.19652777777777777</v>
      </c>
      <c r="AP449" s="55">
        <v>0.19652777777777777</v>
      </c>
      <c r="AQ449" s="52"/>
      <c r="AR449" s="52"/>
      <c r="AS449" s="52" t="s">
        <v>3696</v>
      </c>
      <c r="AT449" s="52"/>
      <c r="AU449" s="52"/>
      <c r="AV449" s="52"/>
      <c r="AW449" s="52" t="s">
        <v>2131</v>
      </c>
    </row>
    <row r="450" spans="1:49">
      <c r="A450" s="52">
        <v>6020771</v>
      </c>
      <c r="B450" s="52" t="s">
        <v>3699</v>
      </c>
      <c r="C450" s="52" t="s">
        <v>3692</v>
      </c>
      <c r="D450" s="53">
        <v>46153.791666666664</v>
      </c>
      <c r="E450" s="53">
        <v>46153.643750000003</v>
      </c>
      <c r="F450" s="53">
        <v>46153.837500000001</v>
      </c>
      <c r="G450" s="53">
        <v>46159.416666666664</v>
      </c>
      <c r="H450" s="53">
        <v>46154.45</v>
      </c>
      <c r="I450" s="52" t="s">
        <v>3693</v>
      </c>
      <c r="J450" s="52" t="s">
        <v>3693</v>
      </c>
      <c r="K450" s="53">
        <v>46154.45</v>
      </c>
      <c r="L450" s="52" t="s">
        <v>3700</v>
      </c>
      <c r="M450" s="55">
        <v>0.5708333333333333</v>
      </c>
      <c r="N450" s="55">
        <v>0.38958333333333334</v>
      </c>
      <c r="O450" s="52"/>
      <c r="P450" s="52"/>
      <c r="Q450" s="52"/>
      <c r="R450" s="52"/>
      <c r="S450" s="52"/>
      <c r="T450" s="52" t="s">
        <v>3861</v>
      </c>
      <c r="U450" s="52" t="s">
        <v>3867</v>
      </c>
      <c r="V450" s="52"/>
      <c r="W450" s="52"/>
      <c r="X450" s="52"/>
      <c r="Y450" s="52"/>
      <c r="Z450" s="52" t="s">
        <v>3696</v>
      </c>
      <c r="AA450" s="52" t="s">
        <v>227</v>
      </c>
      <c r="AB450" s="52" t="s">
        <v>79</v>
      </c>
      <c r="AC450" s="52" t="s">
        <v>3720</v>
      </c>
      <c r="AD450" s="52" t="s">
        <v>3715</v>
      </c>
      <c r="AE450" s="52"/>
      <c r="AF450" s="52" t="s">
        <v>3703</v>
      </c>
      <c r="AG450" s="52" t="s">
        <v>3704</v>
      </c>
      <c r="AH450" s="52"/>
      <c r="AI450" s="52"/>
      <c r="AJ450" s="52"/>
      <c r="AK450" s="52"/>
      <c r="AL450" s="55">
        <v>4.3055555555555555E-2</v>
      </c>
      <c r="AM450" s="52"/>
      <c r="AN450" s="52"/>
      <c r="AO450" s="52"/>
      <c r="AP450" s="52"/>
      <c r="AQ450" s="52"/>
      <c r="AR450" s="52"/>
      <c r="AS450" s="52">
        <v>0</v>
      </c>
      <c r="AT450" s="52"/>
      <c r="AU450" s="52"/>
      <c r="AV450" s="52" t="s">
        <v>308</v>
      </c>
      <c r="AW450" s="52"/>
    </row>
    <row r="451" spans="1:49">
      <c r="A451" s="52">
        <v>6020771</v>
      </c>
      <c r="B451" s="52" t="s">
        <v>3699</v>
      </c>
      <c r="C451" s="52" t="s">
        <v>3698</v>
      </c>
      <c r="D451" s="53">
        <v>46153.791666666664</v>
      </c>
      <c r="E451" s="53">
        <v>46153.643750000003</v>
      </c>
      <c r="F451" s="53">
        <v>46153.840277777781</v>
      </c>
      <c r="G451" s="53">
        <v>46159.416666666664</v>
      </c>
      <c r="H451" s="53">
        <v>46154.484722222223</v>
      </c>
      <c r="I451" s="52"/>
      <c r="J451" s="52" t="s">
        <v>3693</v>
      </c>
      <c r="K451" s="53">
        <v>46154.45</v>
      </c>
      <c r="L451" s="52"/>
      <c r="M451" s="54">
        <v>5.5763888888888893</v>
      </c>
      <c r="N451" s="54">
        <v>4.6159722222222221</v>
      </c>
      <c r="O451" s="52" t="s">
        <v>2897</v>
      </c>
      <c r="P451" s="52" t="s">
        <v>227</v>
      </c>
      <c r="Q451" s="52" t="s">
        <v>2896</v>
      </c>
      <c r="R451" s="52" t="s">
        <v>953</v>
      </c>
      <c r="S451" s="52" t="s">
        <v>789</v>
      </c>
      <c r="T451" s="52" t="s">
        <v>3861</v>
      </c>
      <c r="U451" s="52" t="s">
        <v>3867</v>
      </c>
      <c r="V451" s="52" t="s">
        <v>2899</v>
      </c>
      <c r="W451" s="52">
        <v>59516275915</v>
      </c>
      <c r="X451" s="52" t="s">
        <v>772</v>
      </c>
      <c r="Y451" s="52"/>
      <c r="Z451" s="52" t="s">
        <v>3696</v>
      </c>
      <c r="AA451" s="52" t="s">
        <v>3710</v>
      </c>
      <c r="AB451" s="52"/>
      <c r="AC451" s="52" t="s">
        <v>3720</v>
      </c>
      <c r="AD451" s="52" t="s">
        <v>3715</v>
      </c>
      <c r="AE451" s="52" t="s">
        <v>79</v>
      </c>
      <c r="AF451" s="52" t="s">
        <v>3703</v>
      </c>
      <c r="AG451" s="52" t="s">
        <v>3704</v>
      </c>
      <c r="AH451" s="52"/>
      <c r="AI451" s="53">
        <v>46153.837500000001</v>
      </c>
      <c r="AJ451" s="53">
        <v>46153.880555555559</v>
      </c>
      <c r="AK451" s="53">
        <v>46153.837500000001</v>
      </c>
      <c r="AL451" s="55">
        <v>7.7777777777777779E-2</v>
      </c>
      <c r="AM451" s="52"/>
      <c r="AN451" s="55">
        <v>4.3055555555555555E-2</v>
      </c>
      <c r="AO451" s="55">
        <v>3.4722222222222224E-2</v>
      </c>
      <c r="AP451" s="55">
        <v>7.7777777777777779E-2</v>
      </c>
      <c r="AQ451" s="52"/>
      <c r="AR451" s="52"/>
      <c r="AS451" s="52" t="s">
        <v>3696</v>
      </c>
      <c r="AT451" s="52"/>
      <c r="AU451" s="52"/>
      <c r="AV451" s="52"/>
      <c r="AW451" s="52"/>
    </row>
    <row r="452" spans="1:49">
      <c r="A452" s="52">
        <v>6020771</v>
      </c>
      <c r="B452" s="52" t="s">
        <v>3699</v>
      </c>
      <c r="C452" s="52" t="s">
        <v>3698</v>
      </c>
      <c r="D452" s="53">
        <v>46153.791666666664</v>
      </c>
      <c r="E452" s="53">
        <v>46153.643750000003</v>
      </c>
      <c r="F452" s="53">
        <v>46153.840277777781</v>
      </c>
      <c r="G452" s="53">
        <v>46159.416666666664</v>
      </c>
      <c r="H452" s="53">
        <v>46154.484722222223</v>
      </c>
      <c r="I452" s="52"/>
      <c r="J452" s="52" t="s">
        <v>3693</v>
      </c>
      <c r="K452" s="53">
        <v>46154.45</v>
      </c>
      <c r="L452" s="52"/>
      <c r="M452" s="54">
        <v>5.5763888888888893</v>
      </c>
      <c r="N452" s="54">
        <v>4.6159722222222221</v>
      </c>
      <c r="O452" s="52" t="s">
        <v>2897</v>
      </c>
      <c r="P452" s="52" t="s">
        <v>227</v>
      </c>
      <c r="Q452" s="52" t="s">
        <v>2896</v>
      </c>
      <c r="R452" s="52" t="s">
        <v>953</v>
      </c>
      <c r="S452" s="52" t="s">
        <v>789</v>
      </c>
      <c r="T452" s="52" t="s">
        <v>3861</v>
      </c>
      <c r="U452" s="52" t="s">
        <v>3867</v>
      </c>
      <c r="V452" s="52" t="s">
        <v>2899</v>
      </c>
      <c r="W452" s="52">
        <v>59516275915</v>
      </c>
      <c r="X452" s="52" t="s">
        <v>772</v>
      </c>
      <c r="Y452" s="52"/>
      <c r="Z452" s="52" t="s">
        <v>3696</v>
      </c>
      <c r="AA452" s="52" t="s">
        <v>3710</v>
      </c>
      <c r="AB452" s="52"/>
      <c r="AC452" s="52" t="s">
        <v>3720</v>
      </c>
      <c r="AD452" s="52" t="s">
        <v>3715</v>
      </c>
      <c r="AE452" s="52"/>
      <c r="AF452" s="52" t="s">
        <v>3703</v>
      </c>
      <c r="AG452" s="52" t="s">
        <v>3704</v>
      </c>
      <c r="AH452" s="52"/>
      <c r="AI452" s="53">
        <v>46153.837500000001</v>
      </c>
      <c r="AJ452" s="53">
        <v>46153.880555555559</v>
      </c>
      <c r="AK452" s="53">
        <v>46153.837500000001</v>
      </c>
      <c r="AL452" s="55">
        <v>7.7777777777777779E-2</v>
      </c>
      <c r="AM452" s="52"/>
      <c r="AN452" s="55">
        <v>4.3055555555555555E-2</v>
      </c>
      <c r="AO452" s="55">
        <v>3.4722222222222224E-2</v>
      </c>
      <c r="AP452" s="55">
        <v>7.7777777777777779E-2</v>
      </c>
      <c r="AQ452" s="52"/>
      <c r="AR452" s="52"/>
      <c r="AS452" s="52" t="s">
        <v>3696</v>
      </c>
      <c r="AT452" s="52"/>
      <c r="AU452" s="52"/>
      <c r="AV452" s="52"/>
      <c r="AW452" s="52" t="s">
        <v>308</v>
      </c>
    </row>
    <row r="453" spans="1:49">
      <c r="A453" s="52">
        <v>6020772</v>
      </c>
      <c r="B453" s="52" t="s">
        <v>3723</v>
      </c>
      <c r="C453" s="52" t="s">
        <v>3692</v>
      </c>
      <c r="D453" s="53">
        <v>46157.375</v>
      </c>
      <c r="E453" s="53">
        <v>46157.827777777777</v>
      </c>
      <c r="F453" s="53">
        <v>46157.835416666669</v>
      </c>
      <c r="G453" s="53">
        <v>46158.400000000001</v>
      </c>
      <c r="H453" s="53">
        <v>46157.868055555555</v>
      </c>
      <c r="I453" s="52" t="s">
        <v>3693</v>
      </c>
      <c r="J453" s="52" t="s">
        <v>3693</v>
      </c>
      <c r="K453" s="53">
        <v>46157.868055555555</v>
      </c>
      <c r="L453" s="52"/>
      <c r="M453" s="54">
        <v>6.041666666666667</v>
      </c>
      <c r="N453" s="54">
        <v>1.08125</v>
      </c>
      <c r="O453" s="52"/>
      <c r="P453" s="52"/>
      <c r="Q453" s="52"/>
      <c r="R453" s="52"/>
      <c r="S453" s="52"/>
      <c r="T453" s="52" t="s">
        <v>3736</v>
      </c>
      <c r="U453" s="52" t="s">
        <v>3952</v>
      </c>
      <c r="V453" s="52"/>
      <c r="W453" s="52"/>
      <c r="X453" s="52"/>
      <c r="Y453" s="52"/>
      <c r="Z453" s="52" t="s">
        <v>3696</v>
      </c>
      <c r="AA453" s="52" t="s">
        <v>1246</v>
      </c>
      <c r="AB453" s="52" t="s">
        <v>140</v>
      </c>
      <c r="AC453" s="52" t="s">
        <v>3703</v>
      </c>
      <c r="AD453" s="52" t="s">
        <v>3704</v>
      </c>
      <c r="AE453" s="52"/>
      <c r="AF453" s="52" t="s">
        <v>3737</v>
      </c>
      <c r="AG453" s="52" t="s">
        <v>3704</v>
      </c>
      <c r="AH453" s="52"/>
      <c r="AI453" s="52"/>
      <c r="AJ453" s="52"/>
      <c r="AK453" s="52"/>
      <c r="AL453" s="55">
        <v>1.4583333333333334E-2</v>
      </c>
      <c r="AM453" s="52"/>
      <c r="AN453" s="52"/>
      <c r="AO453" s="52"/>
      <c r="AP453" s="52"/>
      <c r="AQ453" s="52"/>
      <c r="AR453" s="52"/>
      <c r="AS453" s="52">
        <v>0</v>
      </c>
      <c r="AT453" s="52"/>
      <c r="AU453" s="52"/>
      <c r="AV453" s="52" t="s">
        <v>3978</v>
      </c>
      <c r="AW453" s="52"/>
    </row>
    <row r="454" spans="1:49">
      <c r="A454" s="52">
        <v>6020772</v>
      </c>
      <c r="B454" s="52" t="s">
        <v>3723</v>
      </c>
      <c r="C454" s="52" t="s">
        <v>3698</v>
      </c>
      <c r="D454" s="53">
        <v>46157.375</v>
      </c>
      <c r="E454" s="53">
        <v>46157.827777777777</v>
      </c>
      <c r="F454" s="53">
        <v>46157.838194444441</v>
      </c>
      <c r="G454" s="53">
        <v>46158.400000000001</v>
      </c>
      <c r="H454" s="53">
        <v>46157.938194444447</v>
      </c>
      <c r="I454" s="52"/>
      <c r="J454" s="52" t="s">
        <v>3693</v>
      </c>
      <c r="K454" s="53">
        <v>46157.868055555555</v>
      </c>
      <c r="L454" s="52"/>
      <c r="M454" s="55">
        <v>0.56180555555555556</v>
      </c>
      <c r="N454" s="55">
        <v>0.61805555555555558</v>
      </c>
      <c r="O454" s="52" t="s">
        <v>3607</v>
      </c>
      <c r="P454" s="52" t="s">
        <v>1246</v>
      </c>
      <c r="Q454" s="52" t="s">
        <v>1762</v>
      </c>
      <c r="R454" s="52"/>
      <c r="S454" s="52" t="s">
        <v>789</v>
      </c>
      <c r="T454" s="52" t="s">
        <v>3736</v>
      </c>
      <c r="U454" s="52" t="s">
        <v>3952</v>
      </c>
      <c r="V454" s="52" t="s">
        <v>1960</v>
      </c>
      <c r="W454" s="52">
        <v>23227296802</v>
      </c>
      <c r="X454" s="52" t="s">
        <v>73</v>
      </c>
      <c r="Y454" s="52" t="s">
        <v>3738</v>
      </c>
      <c r="Z454" s="52" t="s">
        <v>3696</v>
      </c>
      <c r="AA454" s="52" t="s">
        <v>3710</v>
      </c>
      <c r="AB454" s="52"/>
      <c r="AC454" s="52" t="s">
        <v>3703</v>
      </c>
      <c r="AD454" s="52" t="s">
        <v>3704</v>
      </c>
      <c r="AE454" s="52" t="s">
        <v>140</v>
      </c>
      <c r="AF454" s="52" t="s">
        <v>3737</v>
      </c>
      <c r="AG454" s="52" t="s">
        <v>3704</v>
      </c>
      <c r="AH454" s="52"/>
      <c r="AI454" s="53">
        <v>46157.834722222222</v>
      </c>
      <c r="AJ454" s="53">
        <v>46157.849305555559</v>
      </c>
      <c r="AK454" s="53">
        <v>46157.834722222222</v>
      </c>
      <c r="AL454" s="55">
        <v>8.4722222222222227E-2</v>
      </c>
      <c r="AM454" s="52"/>
      <c r="AN454" s="55">
        <v>1.4583333333333334E-2</v>
      </c>
      <c r="AO454" s="55">
        <v>7.013888888888889E-2</v>
      </c>
      <c r="AP454" s="55">
        <v>8.4722222222222227E-2</v>
      </c>
      <c r="AQ454" s="52"/>
      <c r="AR454" s="52"/>
      <c r="AS454" s="52" t="s">
        <v>3696</v>
      </c>
      <c r="AT454" s="52"/>
      <c r="AU454" s="52"/>
      <c r="AV454" s="52"/>
      <c r="AW454" s="52"/>
    </row>
    <row r="455" spans="1:49">
      <c r="A455" s="52">
        <v>6020772</v>
      </c>
      <c r="B455" s="52" t="s">
        <v>3723</v>
      </c>
      <c r="C455" s="52" t="s">
        <v>3698</v>
      </c>
      <c r="D455" s="53">
        <v>46157.375</v>
      </c>
      <c r="E455" s="53">
        <v>46157.827777777777</v>
      </c>
      <c r="F455" s="53">
        <v>46157.838194444441</v>
      </c>
      <c r="G455" s="53">
        <v>46158.400000000001</v>
      </c>
      <c r="H455" s="53">
        <v>46157.938194444447</v>
      </c>
      <c r="I455" s="52"/>
      <c r="J455" s="52" t="s">
        <v>3693</v>
      </c>
      <c r="K455" s="53">
        <v>46157.868055555555</v>
      </c>
      <c r="L455" s="52"/>
      <c r="M455" s="55">
        <v>0.56180555555555556</v>
      </c>
      <c r="N455" s="55">
        <v>0.61805555555555558</v>
      </c>
      <c r="O455" s="52" t="s">
        <v>3607</v>
      </c>
      <c r="P455" s="52" t="s">
        <v>1246</v>
      </c>
      <c r="Q455" s="52" t="s">
        <v>1762</v>
      </c>
      <c r="R455" s="52"/>
      <c r="S455" s="52" t="s">
        <v>789</v>
      </c>
      <c r="T455" s="52" t="s">
        <v>3736</v>
      </c>
      <c r="U455" s="52" t="s">
        <v>3952</v>
      </c>
      <c r="V455" s="52" t="s">
        <v>1960</v>
      </c>
      <c r="W455" s="52">
        <v>23227296802</v>
      </c>
      <c r="X455" s="52" t="s">
        <v>73</v>
      </c>
      <c r="Y455" s="52" t="s">
        <v>3738</v>
      </c>
      <c r="Z455" s="52" t="s">
        <v>3696</v>
      </c>
      <c r="AA455" s="52" t="s">
        <v>3710</v>
      </c>
      <c r="AB455" s="52"/>
      <c r="AC455" s="52" t="s">
        <v>3703</v>
      </c>
      <c r="AD455" s="52" t="s">
        <v>3704</v>
      </c>
      <c r="AE455" s="52"/>
      <c r="AF455" s="52" t="s">
        <v>3737</v>
      </c>
      <c r="AG455" s="52" t="s">
        <v>3704</v>
      </c>
      <c r="AH455" s="52"/>
      <c r="AI455" s="53">
        <v>46157.834722222222</v>
      </c>
      <c r="AJ455" s="53">
        <v>46157.849305555559</v>
      </c>
      <c r="AK455" s="53">
        <v>46157.834722222222</v>
      </c>
      <c r="AL455" s="55">
        <v>8.4722222222222227E-2</v>
      </c>
      <c r="AM455" s="52"/>
      <c r="AN455" s="55">
        <v>1.4583333333333334E-2</v>
      </c>
      <c r="AO455" s="55">
        <v>7.013888888888889E-2</v>
      </c>
      <c r="AP455" s="55">
        <v>8.4722222222222227E-2</v>
      </c>
      <c r="AQ455" s="52"/>
      <c r="AR455" s="52"/>
      <c r="AS455" s="52" t="s">
        <v>3696</v>
      </c>
      <c r="AT455" s="52"/>
      <c r="AU455" s="52"/>
      <c r="AV455" s="52"/>
      <c r="AW455" s="52" t="s">
        <v>3978</v>
      </c>
    </row>
    <row r="456" spans="1:49">
      <c r="A456" s="52">
        <v>6020776</v>
      </c>
      <c r="B456" s="52" t="s">
        <v>3866</v>
      </c>
      <c r="C456" s="52" t="s">
        <v>3692</v>
      </c>
      <c r="D456" s="53">
        <v>46154.833333333336</v>
      </c>
      <c r="E456" s="53">
        <v>46153.702777777777</v>
      </c>
      <c r="F456" s="52"/>
      <c r="G456" s="52"/>
      <c r="H456" s="52"/>
      <c r="I456" s="52" t="s">
        <v>3693</v>
      </c>
      <c r="J456" s="52" t="s">
        <v>3694</v>
      </c>
      <c r="K456" s="52"/>
      <c r="L456" s="52"/>
      <c r="M456" s="55">
        <v>0.1</v>
      </c>
      <c r="N456" s="54">
        <v>3.1395833333333334</v>
      </c>
      <c r="O456" s="52"/>
      <c r="P456" s="52"/>
      <c r="Q456" s="52"/>
      <c r="R456" s="52"/>
      <c r="S456" s="52"/>
      <c r="T456" s="52" t="s">
        <v>3695</v>
      </c>
      <c r="U456" s="52" t="s">
        <v>3695</v>
      </c>
      <c r="V456" s="52"/>
      <c r="W456" s="52"/>
      <c r="X456" s="52"/>
      <c r="Y456" s="52"/>
      <c r="Z456" s="52" t="s">
        <v>3696</v>
      </c>
      <c r="AA456" s="52" t="s">
        <v>102</v>
      </c>
      <c r="AB456" s="52" t="s">
        <v>140</v>
      </c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>
        <v>0</v>
      </c>
      <c r="AT456" s="52"/>
      <c r="AU456" s="52"/>
      <c r="AV456" s="52" t="s">
        <v>3979</v>
      </c>
      <c r="AW456" s="52"/>
    </row>
    <row r="457" spans="1:49">
      <c r="A457" s="52">
        <v>6020776</v>
      </c>
      <c r="B457" s="52" t="s">
        <v>3866</v>
      </c>
      <c r="C457" s="52" t="s">
        <v>3698</v>
      </c>
      <c r="D457" s="53">
        <v>46154.833333333336</v>
      </c>
      <c r="E457" s="53">
        <v>46153.702777777777</v>
      </c>
      <c r="F457" s="52"/>
      <c r="G457" s="52"/>
      <c r="H457" s="52"/>
      <c r="I457" s="52"/>
      <c r="J457" s="52" t="s">
        <v>3694</v>
      </c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 t="s">
        <v>3696</v>
      </c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>
        <v>0</v>
      </c>
      <c r="AT457" s="52"/>
      <c r="AU457" s="52"/>
      <c r="AV457" s="52"/>
      <c r="AW457" s="52"/>
    </row>
    <row r="458" spans="1:49">
      <c r="A458" s="52">
        <v>6020787</v>
      </c>
      <c r="B458" s="52" t="s">
        <v>3699</v>
      </c>
      <c r="C458" s="52" t="s">
        <v>3692</v>
      </c>
      <c r="D458" s="53">
        <v>46156.583333333336</v>
      </c>
      <c r="E458" s="53">
        <v>46156.519444444442</v>
      </c>
      <c r="F458" s="53">
        <v>46156.732638888891</v>
      </c>
      <c r="G458" s="53">
        <v>46158.864583333336</v>
      </c>
      <c r="H458" s="53">
        <v>46156.732638888891</v>
      </c>
      <c r="I458" s="52" t="s">
        <v>3693</v>
      </c>
      <c r="J458" s="52" t="s">
        <v>3693</v>
      </c>
      <c r="K458" s="52"/>
      <c r="L458" s="52" t="s">
        <v>3700</v>
      </c>
      <c r="M458" s="54">
        <v>1.4270833333333333</v>
      </c>
      <c r="N458" s="55">
        <v>0.40833333333333333</v>
      </c>
      <c r="O458" s="52"/>
      <c r="P458" s="52"/>
      <c r="Q458" s="52"/>
      <c r="R458" s="52"/>
      <c r="S458" s="52"/>
      <c r="T458" s="52" t="s">
        <v>3980</v>
      </c>
      <c r="U458" s="52" t="s">
        <v>3981</v>
      </c>
      <c r="V458" s="52"/>
      <c r="W458" s="52"/>
      <c r="X458" s="52"/>
      <c r="Y458" s="52"/>
      <c r="Z458" s="52" t="s">
        <v>3696</v>
      </c>
      <c r="AA458" s="52" t="s">
        <v>216</v>
      </c>
      <c r="AB458" s="52" t="s">
        <v>140</v>
      </c>
      <c r="AC458" s="52" t="s">
        <v>3703</v>
      </c>
      <c r="AD458" s="52" t="s">
        <v>3704</v>
      </c>
      <c r="AE458" s="52"/>
      <c r="AF458" s="52" t="s">
        <v>3703</v>
      </c>
      <c r="AG458" s="52" t="s">
        <v>3704</v>
      </c>
      <c r="AH458" s="52"/>
      <c r="AI458" s="52"/>
      <c r="AJ458" s="52"/>
      <c r="AK458" s="52"/>
      <c r="AL458" s="55">
        <v>1.5277777777777777E-2</v>
      </c>
      <c r="AM458" s="52"/>
      <c r="AN458" s="52"/>
      <c r="AO458" s="52"/>
      <c r="AP458" s="52"/>
      <c r="AQ458" s="52"/>
      <c r="AR458" s="52"/>
      <c r="AS458" s="52">
        <v>0</v>
      </c>
      <c r="AT458" s="52"/>
      <c r="AU458" s="52"/>
      <c r="AV458" s="52" t="s">
        <v>350</v>
      </c>
      <c r="AW458" s="52"/>
    </row>
    <row r="459" spans="1:49">
      <c r="A459" s="52">
        <v>6020787</v>
      </c>
      <c r="B459" s="52" t="s">
        <v>3699</v>
      </c>
      <c r="C459" s="52" t="s">
        <v>3698</v>
      </c>
      <c r="D459" s="53">
        <v>46156.583333333336</v>
      </c>
      <c r="E459" s="53">
        <v>46156.519444444442</v>
      </c>
      <c r="F459" s="53">
        <v>46156.732638888891</v>
      </c>
      <c r="G459" s="53">
        <v>46157.405555555553</v>
      </c>
      <c r="H459" s="53">
        <v>46157.410416666666</v>
      </c>
      <c r="I459" s="52"/>
      <c r="J459" s="52" t="s">
        <v>3693</v>
      </c>
      <c r="K459" s="52"/>
      <c r="L459" s="52"/>
      <c r="M459" s="55">
        <v>0.67291666666666672</v>
      </c>
      <c r="N459" s="54">
        <v>1.7236111111111112</v>
      </c>
      <c r="O459" s="52" t="s">
        <v>3474</v>
      </c>
      <c r="P459" s="52" t="s">
        <v>216</v>
      </c>
      <c r="Q459" s="52" t="s">
        <v>3473</v>
      </c>
      <c r="R459" s="52"/>
      <c r="S459" s="52" t="s">
        <v>789</v>
      </c>
      <c r="T459" s="52" t="s">
        <v>3980</v>
      </c>
      <c r="U459" s="52" t="s">
        <v>3981</v>
      </c>
      <c r="V459" s="52" t="s">
        <v>3982</v>
      </c>
      <c r="W459" s="52">
        <v>15339247759</v>
      </c>
      <c r="X459" s="52" t="s">
        <v>73</v>
      </c>
      <c r="Y459" s="52"/>
      <c r="Z459" s="52" t="s">
        <v>3696</v>
      </c>
      <c r="AA459" s="52" t="s">
        <v>3710</v>
      </c>
      <c r="AB459" s="52"/>
      <c r="AC459" s="52" t="s">
        <v>3703</v>
      </c>
      <c r="AD459" s="52" t="s">
        <v>3704</v>
      </c>
      <c r="AE459" s="52" t="s">
        <v>140</v>
      </c>
      <c r="AF459" s="52" t="s">
        <v>3705</v>
      </c>
      <c r="AG459" s="52" t="s">
        <v>3706</v>
      </c>
      <c r="AH459" s="52"/>
      <c r="AI459" s="53">
        <v>46156.732638888891</v>
      </c>
      <c r="AJ459" s="53">
        <v>46156.747916666667</v>
      </c>
      <c r="AK459" s="53">
        <v>46156.732638888891</v>
      </c>
      <c r="AL459" s="55">
        <v>2.0833333333333332E-2</v>
      </c>
      <c r="AM459" s="52"/>
      <c r="AN459" s="55">
        <v>1.5277777777777777E-2</v>
      </c>
      <c r="AO459" s="52"/>
      <c r="AP459" s="55">
        <v>2.0833333333333332E-2</v>
      </c>
      <c r="AQ459" s="52"/>
      <c r="AR459" s="52"/>
      <c r="AS459" s="52" t="s">
        <v>3696</v>
      </c>
      <c r="AT459" s="52"/>
      <c r="AU459" s="52"/>
      <c r="AV459" s="52"/>
      <c r="AW459" s="52"/>
    </row>
    <row r="460" spans="1:49">
      <c r="A460" s="52">
        <v>6020787</v>
      </c>
      <c r="B460" s="52" t="s">
        <v>3699</v>
      </c>
      <c r="C460" s="52" t="s">
        <v>3698</v>
      </c>
      <c r="D460" s="53">
        <v>46156.583333333336</v>
      </c>
      <c r="E460" s="53">
        <v>46156.519444444442</v>
      </c>
      <c r="F460" s="53">
        <v>46156.732638888891</v>
      </c>
      <c r="G460" s="53">
        <v>46157.405555555553</v>
      </c>
      <c r="H460" s="53">
        <v>46157.410416666666</v>
      </c>
      <c r="I460" s="52"/>
      <c r="J460" s="52" t="s">
        <v>3693</v>
      </c>
      <c r="K460" s="52"/>
      <c r="L460" s="52"/>
      <c r="M460" s="55">
        <v>0.67291666666666672</v>
      </c>
      <c r="N460" s="54">
        <v>1.7236111111111112</v>
      </c>
      <c r="O460" s="52" t="s">
        <v>3474</v>
      </c>
      <c r="P460" s="52" t="s">
        <v>216</v>
      </c>
      <c r="Q460" s="52" t="s">
        <v>3473</v>
      </c>
      <c r="R460" s="52"/>
      <c r="S460" s="52" t="s">
        <v>789</v>
      </c>
      <c r="T460" s="52" t="s">
        <v>3980</v>
      </c>
      <c r="U460" s="52" t="s">
        <v>3981</v>
      </c>
      <c r="V460" s="52" t="s">
        <v>3982</v>
      </c>
      <c r="W460" s="52">
        <v>15339247759</v>
      </c>
      <c r="X460" s="52" t="s">
        <v>73</v>
      </c>
      <c r="Y460" s="52"/>
      <c r="Z460" s="52" t="s">
        <v>3696</v>
      </c>
      <c r="AA460" s="52" t="s">
        <v>3710</v>
      </c>
      <c r="AB460" s="52"/>
      <c r="AC460" s="52" t="s">
        <v>3703</v>
      </c>
      <c r="AD460" s="52" t="s">
        <v>3704</v>
      </c>
      <c r="AE460" s="52"/>
      <c r="AF460" s="52" t="s">
        <v>3705</v>
      </c>
      <c r="AG460" s="52" t="s">
        <v>3706</v>
      </c>
      <c r="AH460" s="52"/>
      <c r="AI460" s="53">
        <v>46156.732638888891</v>
      </c>
      <c r="AJ460" s="53">
        <v>46156.747916666667</v>
      </c>
      <c r="AK460" s="53">
        <v>46156.732638888891</v>
      </c>
      <c r="AL460" s="55">
        <v>2.0833333333333332E-2</v>
      </c>
      <c r="AM460" s="52"/>
      <c r="AN460" s="55">
        <v>1.5277777777777777E-2</v>
      </c>
      <c r="AO460" s="52"/>
      <c r="AP460" s="55">
        <v>2.0833333333333332E-2</v>
      </c>
      <c r="AQ460" s="52"/>
      <c r="AR460" s="52"/>
      <c r="AS460" s="52" t="s">
        <v>3696</v>
      </c>
      <c r="AT460" s="52"/>
      <c r="AU460" s="52"/>
      <c r="AV460" s="52"/>
      <c r="AW460" s="52" t="s">
        <v>350</v>
      </c>
    </row>
    <row r="461" spans="1:49">
      <c r="A461" s="52">
        <v>6020791</v>
      </c>
      <c r="B461" s="52" t="s">
        <v>3723</v>
      </c>
      <c r="C461" s="52" t="s">
        <v>3692</v>
      </c>
      <c r="D461" s="53">
        <v>46154.25</v>
      </c>
      <c r="E461" s="53">
        <v>46153.702777777777</v>
      </c>
      <c r="F461" s="53">
        <v>46154.768055555556</v>
      </c>
      <c r="G461" s="53">
        <v>46156.25</v>
      </c>
      <c r="H461" s="53">
        <v>46155.982638888891</v>
      </c>
      <c r="I461" s="52" t="s">
        <v>3693</v>
      </c>
      <c r="J461" s="52" t="s">
        <v>3693</v>
      </c>
      <c r="K461" s="53">
        <v>46155.982638888891</v>
      </c>
      <c r="L461" s="52" t="s">
        <v>3735</v>
      </c>
      <c r="M461" s="54">
        <v>1.1770833333333333</v>
      </c>
      <c r="N461" s="54">
        <v>3.3833333333333333</v>
      </c>
      <c r="O461" s="52"/>
      <c r="P461" s="52"/>
      <c r="Q461" s="52"/>
      <c r="R461" s="52"/>
      <c r="S461" s="52"/>
      <c r="T461" s="52" t="s">
        <v>3712</v>
      </c>
      <c r="U461" s="52" t="s">
        <v>3983</v>
      </c>
      <c r="V461" s="52"/>
      <c r="W461" s="52"/>
      <c r="X461" s="52"/>
      <c r="Y461" s="52"/>
      <c r="Z461" s="52" t="s">
        <v>3696</v>
      </c>
      <c r="AA461" s="52" t="s">
        <v>171</v>
      </c>
      <c r="AB461" s="52" t="s">
        <v>140</v>
      </c>
      <c r="AC461" s="52" t="s">
        <v>3703</v>
      </c>
      <c r="AD461" s="52" t="s">
        <v>3704</v>
      </c>
      <c r="AE461" s="52"/>
      <c r="AF461" s="52" t="s">
        <v>3714</v>
      </c>
      <c r="AG461" s="52" t="s">
        <v>3715</v>
      </c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>
        <v>0</v>
      </c>
      <c r="AT461" s="52"/>
      <c r="AU461" s="52"/>
      <c r="AV461" s="52" t="s">
        <v>984</v>
      </c>
      <c r="AW461" s="52"/>
    </row>
    <row r="462" spans="1:49">
      <c r="A462" s="52">
        <v>6020791</v>
      </c>
      <c r="B462" s="52" t="s">
        <v>3723</v>
      </c>
      <c r="C462" s="52" t="s">
        <v>3698</v>
      </c>
      <c r="D462" s="53">
        <v>46154.25</v>
      </c>
      <c r="E462" s="53">
        <v>46153.702777777777</v>
      </c>
      <c r="F462" s="53">
        <v>46155.474305555559</v>
      </c>
      <c r="G462" s="53">
        <v>46156.25</v>
      </c>
      <c r="H462" s="53">
        <v>46156.521527777775</v>
      </c>
      <c r="I462" s="52"/>
      <c r="J462" s="52" t="s">
        <v>3693</v>
      </c>
      <c r="K462" s="53">
        <v>46155.982638888891</v>
      </c>
      <c r="L462" s="52"/>
      <c r="M462" s="55">
        <v>0.77569444444444446</v>
      </c>
      <c r="N462" s="54">
        <v>2.9819444444444443</v>
      </c>
      <c r="O462" s="52" t="s">
        <v>3100</v>
      </c>
      <c r="P462" s="52" t="s">
        <v>171</v>
      </c>
      <c r="Q462" s="52" t="s">
        <v>366</v>
      </c>
      <c r="R462" s="52" t="s">
        <v>375</v>
      </c>
      <c r="S462" s="52" t="s">
        <v>789</v>
      </c>
      <c r="T462" s="52" t="s">
        <v>3712</v>
      </c>
      <c r="U462" s="52" t="s">
        <v>3983</v>
      </c>
      <c r="V462" s="52" t="s">
        <v>3984</v>
      </c>
      <c r="W462" s="52">
        <v>54746680906</v>
      </c>
      <c r="X462" s="52" t="s">
        <v>73</v>
      </c>
      <c r="Y462" s="52"/>
      <c r="Z462" s="52" t="s">
        <v>3696</v>
      </c>
      <c r="AA462" s="52" t="s">
        <v>3710</v>
      </c>
      <c r="AB462" s="52"/>
      <c r="AC462" s="52" t="s">
        <v>3703</v>
      </c>
      <c r="AD462" s="52" t="s">
        <v>3704</v>
      </c>
      <c r="AE462" s="52" t="s">
        <v>140</v>
      </c>
      <c r="AF462" s="52" t="s">
        <v>3714</v>
      </c>
      <c r="AG462" s="52" t="s">
        <v>3715</v>
      </c>
      <c r="AH462" s="52"/>
      <c r="AI462" s="52"/>
      <c r="AJ462" s="52"/>
      <c r="AK462" s="52"/>
      <c r="AL462" s="55">
        <v>0.53888888888888886</v>
      </c>
      <c r="AM462" s="52"/>
      <c r="AN462" s="52"/>
      <c r="AO462" s="55">
        <v>0.53888888888888886</v>
      </c>
      <c r="AP462" s="55">
        <v>0.53888888888888886</v>
      </c>
      <c r="AQ462" s="52"/>
      <c r="AR462" s="52"/>
      <c r="AS462" s="52" t="s">
        <v>3696</v>
      </c>
      <c r="AT462" s="52"/>
      <c r="AU462" s="52"/>
      <c r="AV462" s="52"/>
      <c r="AW462" s="52"/>
    </row>
    <row r="463" spans="1:49">
      <c r="A463" s="52">
        <v>6020791</v>
      </c>
      <c r="B463" s="52" t="s">
        <v>3723</v>
      </c>
      <c r="C463" s="52" t="s">
        <v>3698</v>
      </c>
      <c r="D463" s="53">
        <v>46154.25</v>
      </c>
      <c r="E463" s="53">
        <v>46153.702777777777</v>
      </c>
      <c r="F463" s="53">
        <v>46155.474305555559</v>
      </c>
      <c r="G463" s="53">
        <v>46156.25</v>
      </c>
      <c r="H463" s="53">
        <v>46156.521527777775</v>
      </c>
      <c r="I463" s="52"/>
      <c r="J463" s="52" t="s">
        <v>3693</v>
      </c>
      <c r="K463" s="53">
        <v>46155.982638888891</v>
      </c>
      <c r="L463" s="52"/>
      <c r="M463" s="55">
        <v>0.77569444444444446</v>
      </c>
      <c r="N463" s="54">
        <v>2.9819444444444443</v>
      </c>
      <c r="O463" s="52" t="s">
        <v>3100</v>
      </c>
      <c r="P463" s="52" t="s">
        <v>171</v>
      </c>
      <c r="Q463" s="52" t="s">
        <v>366</v>
      </c>
      <c r="R463" s="52" t="s">
        <v>375</v>
      </c>
      <c r="S463" s="52" t="s">
        <v>789</v>
      </c>
      <c r="T463" s="52" t="s">
        <v>3712</v>
      </c>
      <c r="U463" s="52" t="s">
        <v>3983</v>
      </c>
      <c r="V463" s="52" t="s">
        <v>3984</v>
      </c>
      <c r="W463" s="52">
        <v>54746680906</v>
      </c>
      <c r="X463" s="52" t="s">
        <v>73</v>
      </c>
      <c r="Y463" s="52"/>
      <c r="Z463" s="52" t="s">
        <v>3696</v>
      </c>
      <c r="AA463" s="52" t="s">
        <v>3710</v>
      </c>
      <c r="AB463" s="52"/>
      <c r="AC463" s="52" t="s">
        <v>3703</v>
      </c>
      <c r="AD463" s="52" t="s">
        <v>3704</v>
      </c>
      <c r="AE463" s="52"/>
      <c r="AF463" s="52" t="s">
        <v>3714</v>
      </c>
      <c r="AG463" s="52" t="s">
        <v>3715</v>
      </c>
      <c r="AH463" s="52"/>
      <c r="AI463" s="52"/>
      <c r="AJ463" s="52"/>
      <c r="AK463" s="52"/>
      <c r="AL463" s="55">
        <v>0.53888888888888886</v>
      </c>
      <c r="AM463" s="52"/>
      <c r="AN463" s="52"/>
      <c r="AO463" s="55">
        <v>0.53888888888888886</v>
      </c>
      <c r="AP463" s="55">
        <v>0.53888888888888886</v>
      </c>
      <c r="AQ463" s="52"/>
      <c r="AR463" s="52"/>
      <c r="AS463" s="52" t="s">
        <v>3696</v>
      </c>
      <c r="AT463" s="52"/>
      <c r="AU463" s="52"/>
      <c r="AV463" s="52"/>
      <c r="AW463" s="52" t="s">
        <v>984</v>
      </c>
    </row>
    <row r="464" spans="1:49">
      <c r="A464" s="52">
        <v>6020792</v>
      </c>
      <c r="B464" s="52" t="s">
        <v>3866</v>
      </c>
      <c r="C464" s="52" t="s">
        <v>3692</v>
      </c>
      <c r="D464" s="53">
        <v>46153.708333333336</v>
      </c>
      <c r="E464" s="53">
        <v>46153.643750000003</v>
      </c>
      <c r="F464" s="52"/>
      <c r="G464" s="52"/>
      <c r="H464" s="52"/>
      <c r="I464" s="52" t="s">
        <v>3693</v>
      </c>
      <c r="J464" s="52" t="s">
        <v>3694</v>
      </c>
      <c r="K464" s="52"/>
      <c r="L464" s="52"/>
      <c r="M464" s="55">
        <v>0.1</v>
      </c>
      <c r="N464" s="54">
        <v>4.1395833333333334</v>
      </c>
      <c r="O464" s="52"/>
      <c r="P464" s="52"/>
      <c r="Q464" s="52"/>
      <c r="R464" s="52"/>
      <c r="S464" s="52"/>
      <c r="T464" s="52" t="s">
        <v>3695</v>
      </c>
      <c r="U464" s="52" t="s">
        <v>3695</v>
      </c>
      <c r="V464" s="52"/>
      <c r="W464" s="52"/>
      <c r="X464" s="52"/>
      <c r="Y464" s="52"/>
      <c r="Z464" s="52" t="s">
        <v>3696</v>
      </c>
      <c r="AA464" s="52" t="s">
        <v>114</v>
      </c>
      <c r="AB464" s="52" t="s">
        <v>140</v>
      </c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>
        <v>0</v>
      </c>
      <c r="AT464" s="52"/>
      <c r="AU464" s="52"/>
      <c r="AV464" s="52" t="s">
        <v>3985</v>
      </c>
      <c r="AW464" s="52"/>
    </row>
    <row r="465" spans="1:49">
      <c r="A465" s="52">
        <v>6020792</v>
      </c>
      <c r="B465" s="52" t="s">
        <v>3866</v>
      </c>
      <c r="C465" s="52" t="s">
        <v>3698</v>
      </c>
      <c r="D465" s="53">
        <v>46153.708333333336</v>
      </c>
      <c r="E465" s="53">
        <v>46153.643750000003</v>
      </c>
      <c r="F465" s="52"/>
      <c r="G465" s="52"/>
      <c r="H465" s="52"/>
      <c r="I465" s="52"/>
      <c r="J465" s="52" t="s">
        <v>3694</v>
      </c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 t="s">
        <v>3696</v>
      </c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>
        <v>0</v>
      </c>
      <c r="AT465" s="52"/>
      <c r="AU465" s="52"/>
      <c r="AV465" s="52"/>
      <c r="AW465" s="52"/>
    </row>
    <row r="466" spans="1:49">
      <c r="A466" s="52">
        <v>6020793</v>
      </c>
      <c r="B466" s="52" t="s">
        <v>3723</v>
      </c>
      <c r="C466" s="52" t="s">
        <v>3692</v>
      </c>
      <c r="D466" s="53">
        <v>46154.25</v>
      </c>
      <c r="E466" s="53">
        <v>46153.702777777777</v>
      </c>
      <c r="F466" s="53">
        <v>46154.768055555556</v>
      </c>
      <c r="G466" s="53">
        <v>46156.25</v>
      </c>
      <c r="H466" s="53">
        <v>46155.982638888891</v>
      </c>
      <c r="I466" s="52" t="s">
        <v>3693</v>
      </c>
      <c r="J466" s="52" t="s">
        <v>3693</v>
      </c>
      <c r="K466" s="53">
        <v>46155.982638888891</v>
      </c>
      <c r="L466" s="52" t="s">
        <v>3735</v>
      </c>
      <c r="M466" s="54">
        <v>1.1770833333333333</v>
      </c>
      <c r="N466" s="54">
        <v>3.3833333333333333</v>
      </c>
      <c r="O466" s="52"/>
      <c r="P466" s="52"/>
      <c r="Q466" s="52"/>
      <c r="R466" s="52"/>
      <c r="S466" s="52"/>
      <c r="T466" s="52" t="s">
        <v>3712</v>
      </c>
      <c r="U466" s="52" t="s">
        <v>3983</v>
      </c>
      <c r="V466" s="52"/>
      <c r="W466" s="52"/>
      <c r="X466" s="52"/>
      <c r="Y466" s="52"/>
      <c r="Z466" s="52" t="s">
        <v>3696</v>
      </c>
      <c r="AA466" s="52" t="s">
        <v>171</v>
      </c>
      <c r="AB466" s="52" t="s">
        <v>140</v>
      </c>
      <c r="AC466" s="52" t="s">
        <v>3703</v>
      </c>
      <c r="AD466" s="52" t="s">
        <v>3704</v>
      </c>
      <c r="AE466" s="52"/>
      <c r="AF466" s="52" t="s">
        <v>3714</v>
      </c>
      <c r="AG466" s="52" t="s">
        <v>3715</v>
      </c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>
        <v>0</v>
      </c>
      <c r="AT466" s="52"/>
      <c r="AU466" s="52"/>
      <c r="AV466" s="52" t="s">
        <v>984</v>
      </c>
      <c r="AW466" s="52"/>
    </row>
    <row r="467" spans="1:49">
      <c r="A467" s="52">
        <v>6020793</v>
      </c>
      <c r="B467" s="52" t="s">
        <v>3723</v>
      </c>
      <c r="C467" s="52" t="s">
        <v>3698</v>
      </c>
      <c r="D467" s="53">
        <v>46154.25</v>
      </c>
      <c r="E467" s="53">
        <v>46153.702777777777</v>
      </c>
      <c r="F467" s="53">
        <v>46155.474305555559</v>
      </c>
      <c r="G467" s="53">
        <v>46156.25</v>
      </c>
      <c r="H467" s="53">
        <v>46156.521527777775</v>
      </c>
      <c r="I467" s="52"/>
      <c r="J467" s="52" t="s">
        <v>3693</v>
      </c>
      <c r="K467" s="53">
        <v>46155.982638888891</v>
      </c>
      <c r="L467" s="52"/>
      <c r="M467" s="55">
        <v>0.77569444444444446</v>
      </c>
      <c r="N467" s="54">
        <v>2.9819444444444443</v>
      </c>
      <c r="O467" s="52" t="s">
        <v>3100</v>
      </c>
      <c r="P467" s="52" t="s">
        <v>171</v>
      </c>
      <c r="Q467" s="52" t="s">
        <v>366</v>
      </c>
      <c r="R467" s="52" t="s">
        <v>375</v>
      </c>
      <c r="S467" s="52" t="s">
        <v>789</v>
      </c>
      <c r="T467" s="52" t="s">
        <v>3712</v>
      </c>
      <c r="U467" s="52" t="s">
        <v>3983</v>
      </c>
      <c r="V467" s="52" t="s">
        <v>3984</v>
      </c>
      <c r="W467" s="52">
        <v>54746680906</v>
      </c>
      <c r="X467" s="52" t="s">
        <v>73</v>
      </c>
      <c r="Y467" s="52"/>
      <c r="Z467" s="52" t="s">
        <v>3696</v>
      </c>
      <c r="AA467" s="52" t="s">
        <v>3710</v>
      </c>
      <c r="AB467" s="52"/>
      <c r="AC467" s="52" t="s">
        <v>3703</v>
      </c>
      <c r="AD467" s="52" t="s">
        <v>3704</v>
      </c>
      <c r="AE467" s="52" t="s">
        <v>140</v>
      </c>
      <c r="AF467" s="52" t="s">
        <v>3714</v>
      </c>
      <c r="AG467" s="52" t="s">
        <v>3715</v>
      </c>
      <c r="AH467" s="52"/>
      <c r="AI467" s="52"/>
      <c r="AJ467" s="52"/>
      <c r="AK467" s="52"/>
      <c r="AL467" s="55">
        <v>0.53888888888888886</v>
      </c>
      <c r="AM467" s="52"/>
      <c r="AN467" s="52"/>
      <c r="AO467" s="55">
        <v>0.53888888888888886</v>
      </c>
      <c r="AP467" s="55">
        <v>0.53888888888888886</v>
      </c>
      <c r="AQ467" s="52"/>
      <c r="AR467" s="52"/>
      <c r="AS467" s="52" t="s">
        <v>3696</v>
      </c>
      <c r="AT467" s="52"/>
      <c r="AU467" s="52"/>
      <c r="AV467" s="52"/>
      <c r="AW467" s="52"/>
    </row>
    <row r="468" spans="1:49">
      <c r="A468" s="52">
        <v>6020793</v>
      </c>
      <c r="B468" s="52" t="s">
        <v>3723</v>
      </c>
      <c r="C468" s="52" t="s">
        <v>3698</v>
      </c>
      <c r="D468" s="53">
        <v>46154.25</v>
      </c>
      <c r="E468" s="53">
        <v>46153.702777777777</v>
      </c>
      <c r="F468" s="53">
        <v>46155.474305555559</v>
      </c>
      <c r="G468" s="53">
        <v>46156.25</v>
      </c>
      <c r="H468" s="53">
        <v>46156.521527777775</v>
      </c>
      <c r="I468" s="52"/>
      <c r="J468" s="52" t="s">
        <v>3693</v>
      </c>
      <c r="K468" s="53">
        <v>46155.982638888891</v>
      </c>
      <c r="L468" s="52"/>
      <c r="M468" s="55">
        <v>0.77569444444444446</v>
      </c>
      <c r="N468" s="54">
        <v>2.9819444444444443</v>
      </c>
      <c r="O468" s="52" t="s">
        <v>3100</v>
      </c>
      <c r="P468" s="52" t="s">
        <v>171</v>
      </c>
      <c r="Q468" s="52" t="s">
        <v>366</v>
      </c>
      <c r="R468" s="52" t="s">
        <v>375</v>
      </c>
      <c r="S468" s="52" t="s">
        <v>789</v>
      </c>
      <c r="T468" s="52" t="s">
        <v>3712</v>
      </c>
      <c r="U468" s="52" t="s">
        <v>3983</v>
      </c>
      <c r="V468" s="52" t="s">
        <v>3984</v>
      </c>
      <c r="W468" s="52">
        <v>54746680906</v>
      </c>
      <c r="X468" s="52" t="s">
        <v>73</v>
      </c>
      <c r="Y468" s="52"/>
      <c r="Z468" s="52" t="s">
        <v>3696</v>
      </c>
      <c r="AA468" s="52" t="s">
        <v>3710</v>
      </c>
      <c r="AB468" s="52"/>
      <c r="AC468" s="52" t="s">
        <v>3703</v>
      </c>
      <c r="AD468" s="52" t="s">
        <v>3704</v>
      </c>
      <c r="AE468" s="52"/>
      <c r="AF468" s="52" t="s">
        <v>3714</v>
      </c>
      <c r="AG468" s="52" t="s">
        <v>3715</v>
      </c>
      <c r="AH468" s="52"/>
      <c r="AI468" s="52"/>
      <c r="AJ468" s="52"/>
      <c r="AK468" s="52"/>
      <c r="AL468" s="55">
        <v>0.53888888888888886</v>
      </c>
      <c r="AM468" s="52"/>
      <c r="AN468" s="52"/>
      <c r="AO468" s="55">
        <v>0.53888888888888886</v>
      </c>
      <c r="AP468" s="55">
        <v>0.53888888888888886</v>
      </c>
      <c r="AQ468" s="52"/>
      <c r="AR468" s="52"/>
      <c r="AS468" s="52" t="s">
        <v>3696</v>
      </c>
      <c r="AT468" s="52"/>
      <c r="AU468" s="52"/>
      <c r="AV468" s="52"/>
      <c r="AW468" s="52" t="s">
        <v>984</v>
      </c>
    </row>
    <row r="469" spans="1:49">
      <c r="A469" s="52">
        <v>6020905</v>
      </c>
      <c r="B469" s="52" t="s">
        <v>3691</v>
      </c>
      <c r="C469" s="52" t="s">
        <v>3692</v>
      </c>
      <c r="D469" s="53">
        <v>46154.833333333336</v>
      </c>
      <c r="E469" s="53">
        <v>46153.702777777777</v>
      </c>
      <c r="F469" s="52"/>
      <c r="G469" s="52"/>
      <c r="H469" s="52"/>
      <c r="I469" s="52" t="s">
        <v>3693</v>
      </c>
      <c r="J469" s="52" t="s">
        <v>3694</v>
      </c>
      <c r="K469" s="52"/>
      <c r="L469" s="52"/>
      <c r="M469" s="55">
        <v>0.1</v>
      </c>
      <c r="N469" s="55">
        <v>0.44374999999999998</v>
      </c>
      <c r="O469" s="52"/>
      <c r="P469" s="52"/>
      <c r="Q469" s="52"/>
      <c r="R469" s="52"/>
      <c r="S469" s="52"/>
      <c r="T469" s="52" t="s">
        <v>3695</v>
      </c>
      <c r="U469" s="52" t="s">
        <v>3695</v>
      </c>
      <c r="V469" s="52"/>
      <c r="W469" s="52"/>
      <c r="X469" s="52"/>
      <c r="Y469" s="52"/>
      <c r="Z469" s="52" t="s">
        <v>3696</v>
      </c>
      <c r="AA469" s="52" t="s">
        <v>102</v>
      </c>
      <c r="AB469" s="52" t="s">
        <v>140</v>
      </c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>
        <v>0</v>
      </c>
      <c r="AT469" s="52"/>
      <c r="AU469" s="52"/>
      <c r="AV469" s="52" t="s">
        <v>3034</v>
      </c>
      <c r="AW469" s="52"/>
    </row>
    <row r="470" spans="1:49">
      <c r="A470" s="52">
        <v>6020905</v>
      </c>
      <c r="B470" s="52" t="s">
        <v>3691</v>
      </c>
      <c r="C470" s="52" t="s">
        <v>3698</v>
      </c>
      <c r="D470" s="53">
        <v>46154.833333333336</v>
      </c>
      <c r="E470" s="53">
        <v>46153.702777777777</v>
      </c>
      <c r="F470" s="52"/>
      <c r="G470" s="52"/>
      <c r="H470" s="52"/>
      <c r="I470" s="52"/>
      <c r="J470" s="52" t="s">
        <v>3694</v>
      </c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 t="s">
        <v>3696</v>
      </c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>
        <v>0</v>
      </c>
      <c r="AT470" s="52"/>
      <c r="AU470" s="52"/>
      <c r="AV470" s="52"/>
      <c r="AW470" s="52"/>
    </row>
    <row r="471" spans="1:49">
      <c r="A471" s="52">
        <v>6020906</v>
      </c>
      <c r="B471" s="52" t="s">
        <v>3691</v>
      </c>
      <c r="C471" s="52" t="s">
        <v>3692</v>
      </c>
      <c r="D471" s="53">
        <v>46154.833333333336</v>
      </c>
      <c r="E471" s="53">
        <v>46153.702777777777</v>
      </c>
      <c r="F471" s="52"/>
      <c r="G471" s="52"/>
      <c r="H471" s="52"/>
      <c r="I471" s="52" t="s">
        <v>3693</v>
      </c>
      <c r="J471" s="52" t="s">
        <v>3694</v>
      </c>
      <c r="K471" s="52"/>
      <c r="L471" s="52"/>
      <c r="M471" s="55">
        <v>0.1</v>
      </c>
      <c r="N471" s="55">
        <v>0.44374999999999998</v>
      </c>
      <c r="O471" s="52"/>
      <c r="P471" s="52"/>
      <c r="Q471" s="52"/>
      <c r="R471" s="52"/>
      <c r="S471" s="52"/>
      <c r="T471" s="52" t="s">
        <v>3695</v>
      </c>
      <c r="U471" s="52" t="s">
        <v>3695</v>
      </c>
      <c r="V471" s="52"/>
      <c r="W471" s="52"/>
      <c r="X471" s="52"/>
      <c r="Y471" s="52"/>
      <c r="Z471" s="52" t="s">
        <v>3696</v>
      </c>
      <c r="AA471" s="52" t="s">
        <v>102</v>
      </c>
      <c r="AB471" s="52" t="s">
        <v>140</v>
      </c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>
        <v>0</v>
      </c>
      <c r="AT471" s="52"/>
      <c r="AU471" s="52"/>
      <c r="AV471" s="52" t="s">
        <v>3034</v>
      </c>
      <c r="AW471" s="52"/>
    </row>
    <row r="472" spans="1:49">
      <c r="A472" s="52">
        <v>6020906</v>
      </c>
      <c r="B472" s="52" t="s">
        <v>3691</v>
      </c>
      <c r="C472" s="52" t="s">
        <v>3698</v>
      </c>
      <c r="D472" s="53">
        <v>46154.833333333336</v>
      </c>
      <c r="E472" s="53">
        <v>46153.702777777777</v>
      </c>
      <c r="F472" s="52"/>
      <c r="G472" s="52"/>
      <c r="H472" s="52"/>
      <c r="I472" s="52"/>
      <c r="J472" s="52" t="s">
        <v>3694</v>
      </c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 t="s">
        <v>3696</v>
      </c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>
        <v>0</v>
      </c>
      <c r="AT472" s="52"/>
      <c r="AU472" s="52"/>
      <c r="AV472" s="52"/>
      <c r="AW472" s="52"/>
    </row>
    <row r="473" spans="1:49">
      <c r="A473" s="52">
        <v>6020907</v>
      </c>
      <c r="B473" s="52" t="s">
        <v>3723</v>
      </c>
      <c r="C473" s="52" t="s">
        <v>3692</v>
      </c>
      <c r="D473" s="53">
        <v>46154.666666666664</v>
      </c>
      <c r="E473" s="53">
        <v>46154.665277777778</v>
      </c>
      <c r="F473" s="53">
        <v>46154.680555555555</v>
      </c>
      <c r="G473" s="53">
        <v>46155.333333333336</v>
      </c>
      <c r="H473" s="53">
        <v>46155.395138888889</v>
      </c>
      <c r="I473" s="52" t="s">
        <v>3693</v>
      </c>
      <c r="J473" s="52" t="s">
        <v>3693</v>
      </c>
      <c r="K473" s="53">
        <v>46155.395138888889</v>
      </c>
      <c r="L473" s="52" t="s">
        <v>3986</v>
      </c>
      <c r="M473" s="55">
        <v>0.66666666666666663</v>
      </c>
      <c r="N473" s="54">
        <v>3.7895833333333333</v>
      </c>
      <c r="O473" s="52"/>
      <c r="P473" s="52"/>
      <c r="Q473" s="52"/>
      <c r="R473" s="52"/>
      <c r="S473" s="52"/>
      <c r="T473" s="52" t="s">
        <v>3695</v>
      </c>
      <c r="U473" s="52" t="s">
        <v>3695</v>
      </c>
      <c r="V473" s="52"/>
      <c r="W473" s="52"/>
      <c r="X473" s="52"/>
      <c r="Y473" s="52"/>
      <c r="Z473" s="52" t="s">
        <v>3696</v>
      </c>
      <c r="AA473" s="52" t="s">
        <v>1635</v>
      </c>
      <c r="AB473" s="52" t="s">
        <v>140</v>
      </c>
      <c r="AC473" s="52" t="s">
        <v>3703</v>
      </c>
      <c r="AD473" s="52" t="s">
        <v>3704</v>
      </c>
      <c r="AE473" s="52"/>
      <c r="AF473" s="52" t="s">
        <v>3987</v>
      </c>
      <c r="AG473" s="52" t="s">
        <v>3704</v>
      </c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>
        <v>0</v>
      </c>
      <c r="AT473" s="52"/>
      <c r="AU473" s="52"/>
      <c r="AV473" s="52" t="s">
        <v>1258</v>
      </c>
      <c r="AW473" s="52"/>
    </row>
    <row r="474" spans="1:49">
      <c r="A474" s="52">
        <v>6020907</v>
      </c>
      <c r="B474" s="52" t="s">
        <v>3723</v>
      </c>
      <c r="C474" s="52" t="s">
        <v>3698</v>
      </c>
      <c r="D474" s="53">
        <v>46154.666666666664</v>
      </c>
      <c r="E474" s="53">
        <v>46154.665277777778</v>
      </c>
      <c r="F474" s="53">
        <v>46154.831250000003</v>
      </c>
      <c r="G474" s="53">
        <v>46155.333333333336</v>
      </c>
      <c r="H474" s="52"/>
      <c r="I474" s="52"/>
      <c r="J474" s="52" t="s">
        <v>3693</v>
      </c>
      <c r="K474" s="52"/>
      <c r="L474" s="52"/>
      <c r="M474" s="55">
        <v>0.50208333333333333</v>
      </c>
      <c r="N474" s="54">
        <v>3.625</v>
      </c>
      <c r="O474" s="52" t="s">
        <v>3988</v>
      </c>
      <c r="P474" s="52" t="s">
        <v>1635</v>
      </c>
      <c r="Q474" s="52" t="s">
        <v>3147</v>
      </c>
      <c r="R474" s="52" t="s">
        <v>3149</v>
      </c>
      <c r="S474" s="52" t="s">
        <v>3756</v>
      </c>
      <c r="T474" s="52" t="s">
        <v>3695</v>
      </c>
      <c r="U474" s="52" t="s">
        <v>3695</v>
      </c>
      <c r="V474" s="52" t="s">
        <v>3989</v>
      </c>
      <c r="W474" s="52">
        <v>70970289987</v>
      </c>
      <c r="X474" s="52" t="s">
        <v>772</v>
      </c>
      <c r="Y474" s="52"/>
      <c r="Z474" s="52" t="s">
        <v>3696</v>
      </c>
      <c r="AA474" s="52" t="s">
        <v>3710</v>
      </c>
      <c r="AB474" s="52"/>
      <c r="AC474" s="52" t="s">
        <v>3703</v>
      </c>
      <c r="AD474" s="52" t="s">
        <v>3704</v>
      </c>
      <c r="AE474" s="52" t="s">
        <v>140</v>
      </c>
      <c r="AF474" s="52" t="s">
        <v>3987</v>
      </c>
      <c r="AG474" s="52" t="s">
        <v>3704</v>
      </c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 t="s">
        <v>3696</v>
      </c>
      <c r="AT474" s="52"/>
      <c r="AU474" s="52"/>
      <c r="AV474" s="52"/>
      <c r="AW474" s="52"/>
    </row>
    <row r="475" spans="1:49">
      <c r="A475" s="52">
        <v>6020907</v>
      </c>
      <c r="B475" s="52" t="s">
        <v>3723</v>
      </c>
      <c r="C475" s="52" t="s">
        <v>3698</v>
      </c>
      <c r="D475" s="53">
        <v>46154.666666666664</v>
      </c>
      <c r="E475" s="53">
        <v>46154.665277777778</v>
      </c>
      <c r="F475" s="53">
        <v>46154.831250000003</v>
      </c>
      <c r="G475" s="53">
        <v>46155.333333333336</v>
      </c>
      <c r="H475" s="52"/>
      <c r="I475" s="52"/>
      <c r="J475" s="52" t="s">
        <v>3693</v>
      </c>
      <c r="K475" s="52"/>
      <c r="L475" s="52"/>
      <c r="M475" s="55">
        <v>0.50208333333333333</v>
      </c>
      <c r="N475" s="54">
        <v>3.625</v>
      </c>
      <c r="O475" s="52" t="s">
        <v>3988</v>
      </c>
      <c r="P475" s="52" t="s">
        <v>1635</v>
      </c>
      <c r="Q475" s="52" t="s">
        <v>3147</v>
      </c>
      <c r="R475" s="52" t="s">
        <v>3149</v>
      </c>
      <c r="S475" s="52" t="s">
        <v>3756</v>
      </c>
      <c r="T475" s="52" t="s">
        <v>3695</v>
      </c>
      <c r="U475" s="52" t="s">
        <v>3695</v>
      </c>
      <c r="V475" s="52" t="s">
        <v>3989</v>
      </c>
      <c r="W475" s="52">
        <v>70970289987</v>
      </c>
      <c r="X475" s="52" t="s">
        <v>772</v>
      </c>
      <c r="Y475" s="52"/>
      <c r="Z475" s="52" t="s">
        <v>3696</v>
      </c>
      <c r="AA475" s="52" t="s">
        <v>3710</v>
      </c>
      <c r="AB475" s="52"/>
      <c r="AC475" s="52" t="s">
        <v>3703</v>
      </c>
      <c r="AD475" s="52" t="s">
        <v>3704</v>
      </c>
      <c r="AE475" s="52"/>
      <c r="AF475" s="52" t="s">
        <v>3987</v>
      </c>
      <c r="AG475" s="52" t="s">
        <v>3704</v>
      </c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 t="s">
        <v>3696</v>
      </c>
      <c r="AT475" s="52"/>
      <c r="AU475" s="52"/>
      <c r="AV475" s="52"/>
      <c r="AW475" s="52" t="s">
        <v>1258</v>
      </c>
    </row>
    <row r="476" spans="1:49">
      <c r="A476" s="52">
        <v>6020907</v>
      </c>
      <c r="B476" s="52" t="s">
        <v>3723</v>
      </c>
      <c r="C476" s="52" t="s">
        <v>3698</v>
      </c>
      <c r="D476" s="53">
        <v>46154.666666666664</v>
      </c>
      <c r="E476" s="53">
        <v>46154.665277777778</v>
      </c>
      <c r="F476" s="53">
        <v>46154.935416666667</v>
      </c>
      <c r="G476" s="53">
        <v>46155.333333333336</v>
      </c>
      <c r="H476" s="53">
        <v>46155.519444444442</v>
      </c>
      <c r="I476" s="52"/>
      <c r="J476" s="52" t="s">
        <v>3693</v>
      </c>
      <c r="K476" s="52"/>
      <c r="L476" s="52"/>
      <c r="M476" s="55">
        <v>0.39791666666666664</v>
      </c>
      <c r="N476" s="54">
        <v>3.5208333333333335</v>
      </c>
      <c r="O476" s="52" t="s">
        <v>3148</v>
      </c>
      <c r="P476" s="52" t="s">
        <v>1635</v>
      </c>
      <c r="Q476" s="52" t="s">
        <v>3147</v>
      </c>
      <c r="R476" s="52" t="s">
        <v>3149</v>
      </c>
      <c r="S476" s="52" t="s">
        <v>789</v>
      </c>
      <c r="T476" s="52" t="s">
        <v>3990</v>
      </c>
      <c r="U476" s="52" t="s">
        <v>3782</v>
      </c>
      <c r="V476" s="52" t="s">
        <v>3989</v>
      </c>
      <c r="W476" s="52">
        <v>70970289987</v>
      </c>
      <c r="X476" s="52" t="s">
        <v>772</v>
      </c>
      <c r="Y476" s="52"/>
      <c r="Z476" s="52" t="s">
        <v>3696</v>
      </c>
      <c r="AA476" s="52" t="s">
        <v>3710</v>
      </c>
      <c r="AB476" s="52"/>
      <c r="AC476" s="52" t="s">
        <v>3703</v>
      </c>
      <c r="AD476" s="52" t="s">
        <v>3704</v>
      </c>
      <c r="AE476" s="52" t="s">
        <v>140</v>
      </c>
      <c r="AF476" s="52" t="s">
        <v>3987</v>
      </c>
      <c r="AG476" s="52" t="s">
        <v>3704</v>
      </c>
      <c r="AH476" s="52"/>
      <c r="AI476" s="52"/>
      <c r="AJ476" s="52"/>
      <c r="AK476" s="52"/>
      <c r="AL476" s="55">
        <v>0.14583333333333334</v>
      </c>
      <c r="AM476" s="52"/>
      <c r="AN476" s="52"/>
      <c r="AO476" s="52"/>
      <c r="AP476" s="55">
        <v>0.14583333333333334</v>
      </c>
      <c r="AQ476" s="52"/>
      <c r="AR476" s="52"/>
      <c r="AS476" s="52" t="s">
        <v>3696</v>
      </c>
      <c r="AT476" s="52"/>
      <c r="AU476" s="52"/>
      <c r="AV476" s="52"/>
      <c r="AW476" s="52"/>
    </row>
    <row r="477" spans="1:49">
      <c r="A477" s="52">
        <v>6020907</v>
      </c>
      <c r="B477" s="52" t="s">
        <v>3723</v>
      </c>
      <c r="C477" s="52" t="s">
        <v>3698</v>
      </c>
      <c r="D477" s="53">
        <v>46154.666666666664</v>
      </c>
      <c r="E477" s="53">
        <v>46154.665277777778</v>
      </c>
      <c r="F477" s="53">
        <v>46154.935416666667</v>
      </c>
      <c r="G477" s="53">
        <v>46155.333333333336</v>
      </c>
      <c r="H477" s="53">
        <v>46155.519444444442</v>
      </c>
      <c r="I477" s="52"/>
      <c r="J477" s="52" t="s">
        <v>3693</v>
      </c>
      <c r="K477" s="52"/>
      <c r="L477" s="52"/>
      <c r="M477" s="55">
        <v>0.39791666666666664</v>
      </c>
      <c r="N477" s="54">
        <v>3.5208333333333335</v>
      </c>
      <c r="O477" s="52" t="s">
        <v>3148</v>
      </c>
      <c r="P477" s="52" t="s">
        <v>1635</v>
      </c>
      <c r="Q477" s="52" t="s">
        <v>3147</v>
      </c>
      <c r="R477" s="52" t="s">
        <v>3149</v>
      </c>
      <c r="S477" s="52" t="s">
        <v>789</v>
      </c>
      <c r="T477" s="52" t="s">
        <v>3990</v>
      </c>
      <c r="U477" s="52" t="s">
        <v>3782</v>
      </c>
      <c r="V477" s="52" t="s">
        <v>3989</v>
      </c>
      <c r="W477" s="52">
        <v>70970289987</v>
      </c>
      <c r="X477" s="52" t="s">
        <v>772</v>
      </c>
      <c r="Y477" s="52"/>
      <c r="Z477" s="52" t="s">
        <v>3696</v>
      </c>
      <c r="AA477" s="52" t="s">
        <v>3710</v>
      </c>
      <c r="AB477" s="52"/>
      <c r="AC477" s="52" t="s">
        <v>3703</v>
      </c>
      <c r="AD477" s="52" t="s">
        <v>3704</v>
      </c>
      <c r="AE477" s="52"/>
      <c r="AF477" s="52" t="s">
        <v>3987</v>
      </c>
      <c r="AG477" s="52" t="s">
        <v>3704</v>
      </c>
      <c r="AH477" s="52"/>
      <c r="AI477" s="52"/>
      <c r="AJ477" s="52"/>
      <c r="AK477" s="52"/>
      <c r="AL477" s="55">
        <v>0.14583333333333334</v>
      </c>
      <c r="AM477" s="52"/>
      <c r="AN477" s="52"/>
      <c r="AO477" s="52"/>
      <c r="AP477" s="55">
        <v>0.14583333333333334</v>
      </c>
      <c r="AQ477" s="52"/>
      <c r="AR477" s="52"/>
      <c r="AS477" s="52" t="s">
        <v>3696</v>
      </c>
      <c r="AT477" s="52"/>
      <c r="AU477" s="52"/>
      <c r="AV477" s="52"/>
      <c r="AW477" s="52" t="s">
        <v>1258</v>
      </c>
    </row>
    <row r="478" spans="1:49">
      <c r="A478" s="52">
        <v>6020923</v>
      </c>
      <c r="B478" s="52" t="s">
        <v>3716</v>
      </c>
      <c r="C478" s="52" t="s">
        <v>3692</v>
      </c>
      <c r="D478" s="53">
        <v>46160.416666666664</v>
      </c>
      <c r="E478" s="53">
        <v>46155.323611111111</v>
      </c>
      <c r="F478" s="53">
        <v>46157.926388888889</v>
      </c>
      <c r="G478" s="53">
        <v>46160.208333333336</v>
      </c>
      <c r="H478" s="52"/>
      <c r="I478" s="52" t="s">
        <v>3693</v>
      </c>
      <c r="J478" s="52" t="s">
        <v>3694</v>
      </c>
      <c r="K478" s="53">
        <v>46158.84652777778</v>
      </c>
      <c r="L478" s="52"/>
      <c r="M478" s="55">
        <v>0.44236111111111109</v>
      </c>
      <c r="N478" s="54">
        <v>1.3097222222222222</v>
      </c>
      <c r="O478" s="52"/>
      <c r="P478" s="52"/>
      <c r="Q478" s="52"/>
      <c r="R478" s="52"/>
      <c r="S478" s="52"/>
      <c r="T478" s="52" t="s">
        <v>3752</v>
      </c>
      <c r="U478" s="52" t="s">
        <v>3991</v>
      </c>
      <c r="V478" s="52"/>
      <c r="W478" s="52"/>
      <c r="X478" s="52"/>
      <c r="Y478" s="52"/>
      <c r="Z478" s="52" t="s">
        <v>3696</v>
      </c>
      <c r="AA478" s="52" t="s">
        <v>72</v>
      </c>
      <c r="AB478" s="52" t="s">
        <v>79</v>
      </c>
      <c r="AC478" s="52" t="s">
        <v>3720</v>
      </c>
      <c r="AD478" s="52" t="s">
        <v>3715</v>
      </c>
      <c r="AE478" s="52"/>
      <c r="AF478" s="52" t="s">
        <v>3703</v>
      </c>
      <c r="AG478" s="52" t="s">
        <v>3704</v>
      </c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>
        <v>0</v>
      </c>
      <c r="AT478" s="52"/>
      <c r="AU478" s="52"/>
      <c r="AV478" s="52" t="s">
        <v>698</v>
      </c>
      <c r="AW478" s="52"/>
    </row>
    <row r="479" spans="1:49">
      <c r="A479" s="52">
        <v>6020923</v>
      </c>
      <c r="B479" s="52" t="s">
        <v>3716</v>
      </c>
      <c r="C479" s="52" t="s">
        <v>3698</v>
      </c>
      <c r="D479" s="53">
        <v>46160.416666666664</v>
      </c>
      <c r="E479" s="53">
        <v>46155.323611111111</v>
      </c>
      <c r="F479" s="53">
        <v>46158.209027777775</v>
      </c>
      <c r="G479" s="53">
        <v>46160.208333333336</v>
      </c>
      <c r="H479" s="52"/>
      <c r="I479" s="52"/>
      <c r="J479" s="52" t="s">
        <v>3694</v>
      </c>
      <c r="K479" s="53">
        <v>46158.84652777778</v>
      </c>
      <c r="L479" s="52"/>
      <c r="M479" s="54">
        <v>1.9993055555555554</v>
      </c>
      <c r="N479" s="55">
        <v>0.24722222222222223</v>
      </c>
      <c r="O479" s="52" t="s">
        <v>696</v>
      </c>
      <c r="P479" s="52" t="s">
        <v>72</v>
      </c>
      <c r="Q479" s="52" t="s">
        <v>695</v>
      </c>
      <c r="R479" s="52" t="s">
        <v>701</v>
      </c>
      <c r="S479" s="52" t="s">
        <v>69</v>
      </c>
      <c r="T479" s="52" t="s">
        <v>3752</v>
      </c>
      <c r="U479" s="52" t="s">
        <v>3991</v>
      </c>
      <c r="V479" s="52" t="s">
        <v>702</v>
      </c>
      <c r="W479" s="52">
        <v>2456778448</v>
      </c>
      <c r="X479" s="52" t="s">
        <v>73</v>
      </c>
      <c r="Y479" s="52"/>
      <c r="Z479" s="52" t="s">
        <v>3696</v>
      </c>
      <c r="AA479" s="52" t="s">
        <v>3710</v>
      </c>
      <c r="AB479" s="52"/>
      <c r="AC479" s="52" t="s">
        <v>3720</v>
      </c>
      <c r="AD479" s="52" t="s">
        <v>3715</v>
      </c>
      <c r="AE479" s="52" t="s">
        <v>79</v>
      </c>
      <c r="AF479" s="52" t="s">
        <v>3703</v>
      </c>
      <c r="AG479" s="52" t="s">
        <v>3704</v>
      </c>
      <c r="AH479" s="52"/>
      <c r="AI479" s="53">
        <v>46157.984722222223</v>
      </c>
      <c r="AJ479" s="52"/>
      <c r="AK479" s="53">
        <v>46157.984722222223</v>
      </c>
      <c r="AL479" s="52"/>
      <c r="AM479" s="52"/>
      <c r="AN479" s="52"/>
      <c r="AO479" s="52"/>
      <c r="AP479" s="52"/>
      <c r="AQ479" s="52"/>
      <c r="AR479" s="52"/>
      <c r="AS479" s="52" t="s">
        <v>3696</v>
      </c>
      <c r="AT479" s="52"/>
      <c r="AU479" s="52"/>
      <c r="AV479" s="52"/>
      <c r="AW479" s="52"/>
    </row>
    <row r="480" spans="1:49">
      <c r="A480" s="52">
        <v>6020923</v>
      </c>
      <c r="B480" s="52" t="s">
        <v>3716</v>
      </c>
      <c r="C480" s="52" t="s">
        <v>3698</v>
      </c>
      <c r="D480" s="53">
        <v>46160.416666666664</v>
      </c>
      <c r="E480" s="53">
        <v>46155.323611111111</v>
      </c>
      <c r="F480" s="53">
        <v>46158.209027777775</v>
      </c>
      <c r="G480" s="53">
        <v>46160.208333333336</v>
      </c>
      <c r="H480" s="52"/>
      <c r="I480" s="52"/>
      <c r="J480" s="52" t="s">
        <v>3694</v>
      </c>
      <c r="K480" s="53">
        <v>46158.84652777778</v>
      </c>
      <c r="L480" s="52"/>
      <c r="M480" s="54">
        <v>1.9993055555555554</v>
      </c>
      <c r="N480" s="55">
        <v>0.24722222222222223</v>
      </c>
      <c r="O480" s="52" t="s">
        <v>696</v>
      </c>
      <c r="P480" s="52" t="s">
        <v>72</v>
      </c>
      <c r="Q480" s="52" t="s">
        <v>695</v>
      </c>
      <c r="R480" s="52" t="s">
        <v>701</v>
      </c>
      <c r="S480" s="52" t="s">
        <v>69</v>
      </c>
      <c r="T480" s="52" t="s">
        <v>3752</v>
      </c>
      <c r="U480" s="52" t="s">
        <v>3991</v>
      </c>
      <c r="V480" s="52" t="s">
        <v>702</v>
      </c>
      <c r="W480" s="52">
        <v>2456778448</v>
      </c>
      <c r="X480" s="52" t="s">
        <v>73</v>
      </c>
      <c r="Y480" s="52"/>
      <c r="Z480" s="52" t="s">
        <v>3696</v>
      </c>
      <c r="AA480" s="52" t="s">
        <v>3710</v>
      </c>
      <c r="AB480" s="52"/>
      <c r="AC480" s="52" t="s">
        <v>3720</v>
      </c>
      <c r="AD480" s="52" t="s">
        <v>3715</v>
      </c>
      <c r="AE480" s="52"/>
      <c r="AF480" s="52" t="s">
        <v>3703</v>
      </c>
      <c r="AG480" s="52" t="s">
        <v>3704</v>
      </c>
      <c r="AH480" s="52"/>
      <c r="AI480" s="53">
        <v>46157.984722222223</v>
      </c>
      <c r="AJ480" s="52"/>
      <c r="AK480" s="53">
        <v>46157.984722222223</v>
      </c>
      <c r="AL480" s="52"/>
      <c r="AM480" s="52"/>
      <c r="AN480" s="52"/>
      <c r="AO480" s="52"/>
      <c r="AP480" s="52"/>
      <c r="AQ480" s="52"/>
      <c r="AR480" s="52"/>
      <c r="AS480" s="52" t="s">
        <v>3696</v>
      </c>
      <c r="AT480" s="52"/>
      <c r="AU480" s="52"/>
      <c r="AV480" s="52"/>
      <c r="AW480" s="52" t="s">
        <v>698</v>
      </c>
    </row>
    <row r="481" spans="1:49">
      <c r="A481" s="52">
        <v>6020925</v>
      </c>
      <c r="B481" s="52" t="s">
        <v>3691</v>
      </c>
      <c r="C481" s="52" t="s">
        <v>3692</v>
      </c>
      <c r="D481" s="53">
        <v>46163.474999999999</v>
      </c>
      <c r="E481" s="53">
        <v>46153.712500000001</v>
      </c>
      <c r="F481" s="52"/>
      <c r="G481" s="52"/>
      <c r="H481" s="52"/>
      <c r="I481" s="52" t="s">
        <v>3693</v>
      </c>
      <c r="J481" s="52" t="s">
        <v>3694</v>
      </c>
      <c r="K481" s="52"/>
      <c r="L481" s="52"/>
      <c r="M481" s="54">
        <v>3.9833333333333334</v>
      </c>
      <c r="N481" s="54">
        <v>5.0187499999999998</v>
      </c>
      <c r="O481" s="52"/>
      <c r="P481" s="52"/>
      <c r="Q481" s="52"/>
      <c r="R481" s="52"/>
      <c r="S481" s="52"/>
      <c r="T481" s="52" t="s">
        <v>3695</v>
      </c>
      <c r="U481" s="52" t="s">
        <v>3695</v>
      </c>
      <c r="V481" s="52"/>
      <c r="W481" s="52"/>
      <c r="X481" s="52"/>
      <c r="Y481" s="52"/>
      <c r="Z481" s="52" t="s">
        <v>3696</v>
      </c>
      <c r="AA481" s="52" t="s">
        <v>3992</v>
      </c>
      <c r="AB481" s="52" t="s">
        <v>1918</v>
      </c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>
        <v>0</v>
      </c>
      <c r="AT481" s="52"/>
      <c r="AU481" s="52"/>
      <c r="AV481" s="52" t="s">
        <v>3993</v>
      </c>
      <c r="AW481" s="52"/>
    </row>
    <row r="482" spans="1:49">
      <c r="A482" s="52">
        <v>6020925</v>
      </c>
      <c r="B482" s="52" t="s">
        <v>3691</v>
      </c>
      <c r="C482" s="52" t="s">
        <v>3698</v>
      </c>
      <c r="D482" s="53">
        <v>46163.474999999999</v>
      </c>
      <c r="E482" s="53">
        <v>46153.712500000001</v>
      </c>
      <c r="F482" s="52"/>
      <c r="G482" s="52"/>
      <c r="H482" s="52"/>
      <c r="I482" s="52"/>
      <c r="J482" s="52" t="s">
        <v>3694</v>
      </c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 t="s">
        <v>3696</v>
      </c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>
        <v>0</v>
      </c>
      <c r="AT482" s="52"/>
      <c r="AU482" s="52"/>
      <c r="AV482" s="52"/>
      <c r="AW482" s="52"/>
    </row>
    <row r="483" spans="1:49">
      <c r="A483" s="52">
        <v>6020926</v>
      </c>
      <c r="B483" s="52" t="s">
        <v>3691</v>
      </c>
      <c r="C483" s="52" t="s">
        <v>3692</v>
      </c>
      <c r="D483" s="53">
        <v>46163.474999999999</v>
      </c>
      <c r="E483" s="53">
        <v>46153.712500000001</v>
      </c>
      <c r="F483" s="52"/>
      <c r="G483" s="52"/>
      <c r="H483" s="52"/>
      <c r="I483" s="52" t="s">
        <v>3693</v>
      </c>
      <c r="J483" s="52" t="s">
        <v>3694</v>
      </c>
      <c r="K483" s="52"/>
      <c r="L483" s="52"/>
      <c r="M483" s="54">
        <v>3.9833333333333334</v>
      </c>
      <c r="N483" s="54">
        <v>5.0187499999999998</v>
      </c>
      <c r="O483" s="52"/>
      <c r="P483" s="52"/>
      <c r="Q483" s="52"/>
      <c r="R483" s="52"/>
      <c r="S483" s="52"/>
      <c r="T483" s="52" t="s">
        <v>3695</v>
      </c>
      <c r="U483" s="52" t="s">
        <v>3695</v>
      </c>
      <c r="V483" s="52"/>
      <c r="W483" s="52"/>
      <c r="X483" s="52"/>
      <c r="Y483" s="52"/>
      <c r="Z483" s="52">
        <v>125.26</v>
      </c>
      <c r="AA483" s="52" t="s">
        <v>3992</v>
      </c>
      <c r="AB483" s="52" t="s">
        <v>1918</v>
      </c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>
        <v>0</v>
      </c>
      <c r="AT483" s="52"/>
      <c r="AU483" s="52"/>
      <c r="AV483" s="52" t="s">
        <v>3993</v>
      </c>
      <c r="AW483" s="52"/>
    </row>
    <row r="484" spans="1:49">
      <c r="A484" s="52">
        <v>6020926</v>
      </c>
      <c r="B484" s="52" t="s">
        <v>3691</v>
      </c>
      <c r="C484" s="52" t="s">
        <v>3698</v>
      </c>
      <c r="D484" s="53">
        <v>46163.474999999999</v>
      </c>
      <c r="E484" s="53">
        <v>46153.712500000001</v>
      </c>
      <c r="F484" s="52"/>
      <c r="G484" s="52"/>
      <c r="H484" s="52"/>
      <c r="I484" s="52"/>
      <c r="J484" s="52" t="s">
        <v>3694</v>
      </c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>
        <v>125.26</v>
      </c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>
        <v>0</v>
      </c>
      <c r="AT484" s="52"/>
      <c r="AU484" s="52"/>
      <c r="AV484" s="52"/>
      <c r="AW484" s="52"/>
    </row>
    <row r="485" spans="1:49">
      <c r="A485" s="52">
        <v>6020927</v>
      </c>
      <c r="B485" s="52" t="s">
        <v>3691</v>
      </c>
      <c r="C485" s="52" t="s">
        <v>3692</v>
      </c>
      <c r="D485" s="53">
        <v>46163.474999999999</v>
      </c>
      <c r="E485" s="53">
        <v>46153.712500000001</v>
      </c>
      <c r="F485" s="52"/>
      <c r="G485" s="52"/>
      <c r="H485" s="52"/>
      <c r="I485" s="52" t="s">
        <v>3693</v>
      </c>
      <c r="J485" s="52" t="s">
        <v>3694</v>
      </c>
      <c r="K485" s="52"/>
      <c r="L485" s="52"/>
      <c r="M485" s="54">
        <v>3.9833333333333334</v>
      </c>
      <c r="N485" s="54">
        <v>5.0187499999999998</v>
      </c>
      <c r="O485" s="52"/>
      <c r="P485" s="52"/>
      <c r="Q485" s="52"/>
      <c r="R485" s="52"/>
      <c r="S485" s="52"/>
      <c r="T485" s="52" t="s">
        <v>3695</v>
      </c>
      <c r="U485" s="52" t="s">
        <v>3695</v>
      </c>
      <c r="V485" s="52"/>
      <c r="W485" s="52"/>
      <c r="X485" s="52"/>
      <c r="Y485" s="52"/>
      <c r="Z485" s="52">
        <v>772.25</v>
      </c>
      <c r="AA485" s="52" t="s">
        <v>3992</v>
      </c>
      <c r="AB485" s="52" t="s">
        <v>1918</v>
      </c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>
        <v>0</v>
      </c>
      <c r="AT485" s="52"/>
      <c r="AU485" s="52"/>
      <c r="AV485" s="52" t="s">
        <v>3993</v>
      </c>
      <c r="AW485" s="52"/>
    </row>
    <row r="486" spans="1:49">
      <c r="A486" s="52">
        <v>6020927</v>
      </c>
      <c r="B486" s="52" t="s">
        <v>3691</v>
      </c>
      <c r="C486" s="52" t="s">
        <v>3698</v>
      </c>
      <c r="D486" s="53">
        <v>46163.474999999999</v>
      </c>
      <c r="E486" s="53">
        <v>46153.712500000001</v>
      </c>
      <c r="F486" s="52"/>
      <c r="G486" s="52"/>
      <c r="H486" s="52"/>
      <c r="I486" s="52"/>
      <c r="J486" s="52" t="s">
        <v>3694</v>
      </c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>
        <v>772.25</v>
      </c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>
        <v>0</v>
      </c>
      <c r="AT486" s="52"/>
      <c r="AU486" s="52"/>
      <c r="AV486" s="52"/>
      <c r="AW486" s="52"/>
    </row>
    <row r="487" spans="1:49">
      <c r="A487" s="52">
        <v>6020928</v>
      </c>
      <c r="B487" s="52" t="s">
        <v>3691</v>
      </c>
      <c r="C487" s="52" t="s">
        <v>3692</v>
      </c>
      <c r="D487" s="53">
        <v>46145.39166666667</v>
      </c>
      <c r="E487" s="53">
        <v>46153.712500000001</v>
      </c>
      <c r="F487" s="52"/>
      <c r="G487" s="52"/>
      <c r="H487" s="52"/>
      <c r="I487" s="52" t="s">
        <v>3693</v>
      </c>
      <c r="J487" s="52" t="s">
        <v>3694</v>
      </c>
      <c r="K487" s="52"/>
      <c r="L487" s="52"/>
      <c r="M487" s="54">
        <v>3.9833333333333334</v>
      </c>
      <c r="N487" s="54">
        <v>5.0187499999999998</v>
      </c>
      <c r="O487" s="52"/>
      <c r="P487" s="52"/>
      <c r="Q487" s="52"/>
      <c r="R487" s="52"/>
      <c r="S487" s="52"/>
      <c r="T487" s="52" t="s">
        <v>3695</v>
      </c>
      <c r="U487" s="52" t="s">
        <v>3695</v>
      </c>
      <c r="V487" s="52"/>
      <c r="W487" s="52"/>
      <c r="X487" s="52"/>
      <c r="Y487" s="52"/>
      <c r="Z487" s="52" t="s">
        <v>3696</v>
      </c>
      <c r="AA487" s="52" t="s">
        <v>3992</v>
      </c>
      <c r="AB487" s="52" t="s">
        <v>1918</v>
      </c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>
        <v>0</v>
      </c>
      <c r="AT487" s="52"/>
      <c r="AU487" s="52"/>
      <c r="AV487" s="52" t="s">
        <v>3993</v>
      </c>
      <c r="AW487" s="52"/>
    </row>
    <row r="488" spans="1:49">
      <c r="A488" s="52">
        <v>6020928</v>
      </c>
      <c r="B488" s="52" t="s">
        <v>3691</v>
      </c>
      <c r="C488" s="52" t="s">
        <v>3698</v>
      </c>
      <c r="D488" s="53">
        <v>46145.39166666667</v>
      </c>
      <c r="E488" s="53">
        <v>46153.712500000001</v>
      </c>
      <c r="F488" s="52"/>
      <c r="G488" s="52"/>
      <c r="H488" s="52"/>
      <c r="I488" s="52"/>
      <c r="J488" s="52" t="s">
        <v>3694</v>
      </c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 t="s">
        <v>3696</v>
      </c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>
        <v>0</v>
      </c>
      <c r="AT488" s="52"/>
      <c r="AU488" s="52"/>
      <c r="AV488" s="52"/>
      <c r="AW488" s="52"/>
    </row>
    <row r="489" spans="1:49">
      <c r="A489" s="52">
        <v>6020983</v>
      </c>
      <c r="B489" s="52" t="s">
        <v>3866</v>
      </c>
      <c r="C489" s="52" t="s">
        <v>3692</v>
      </c>
      <c r="D489" s="53">
        <v>46156.833333333336</v>
      </c>
      <c r="E489" s="53">
        <v>46155.650694444441</v>
      </c>
      <c r="F489" s="52"/>
      <c r="G489" s="52"/>
      <c r="H489" s="52"/>
      <c r="I489" s="52" t="s">
        <v>3693</v>
      </c>
      <c r="J489" s="52" t="s">
        <v>3694</v>
      </c>
      <c r="K489" s="52"/>
      <c r="L489" s="52"/>
      <c r="M489" s="55">
        <v>9.166666666666666E-2</v>
      </c>
      <c r="N489" s="54">
        <v>1.2145833333333333</v>
      </c>
      <c r="O489" s="52"/>
      <c r="P489" s="52"/>
      <c r="Q489" s="52"/>
      <c r="R489" s="52"/>
      <c r="S489" s="52"/>
      <c r="T489" s="52" t="s">
        <v>3695</v>
      </c>
      <c r="U489" s="52" t="s">
        <v>3695</v>
      </c>
      <c r="V489" s="52"/>
      <c r="W489" s="52"/>
      <c r="X489" s="52"/>
      <c r="Y489" s="52"/>
      <c r="Z489" s="52" t="s">
        <v>3696</v>
      </c>
      <c r="AA489" s="52" t="s">
        <v>102</v>
      </c>
      <c r="AB489" s="52" t="s">
        <v>140</v>
      </c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>
        <v>0</v>
      </c>
      <c r="AT489" s="52"/>
      <c r="AU489" s="52"/>
      <c r="AV489" s="52" t="s">
        <v>3994</v>
      </c>
      <c r="AW489" s="52"/>
    </row>
    <row r="490" spans="1:49">
      <c r="A490" s="52">
        <v>6020983</v>
      </c>
      <c r="B490" s="52" t="s">
        <v>3866</v>
      </c>
      <c r="C490" s="52" t="s">
        <v>3698</v>
      </c>
      <c r="D490" s="53">
        <v>46156.833333333336</v>
      </c>
      <c r="E490" s="53">
        <v>46155.650694444441</v>
      </c>
      <c r="F490" s="52"/>
      <c r="G490" s="52"/>
      <c r="H490" s="52"/>
      <c r="I490" s="52"/>
      <c r="J490" s="52" t="s">
        <v>3694</v>
      </c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 t="s">
        <v>3696</v>
      </c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>
        <v>0</v>
      </c>
      <c r="AT490" s="52"/>
      <c r="AU490" s="52"/>
      <c r="AV490" s="52"/>
      <c r="AW490" s="52"/>
    </row>
    <row r="491" spans="1:49">
      <c r="A491" s="52">
        <v>6020984</v>
      </c>
      <c r="B491" s="52" t="s">
        <v>3691</v>
      </c>
      <c r="C491" s="52" t="s">
        <v>3692</v>
      </c>
      <c r="D491" s="53">
        <v>46155.75</v>
      </c>
      <c r="E491" s="53">
        <v>46155.323611111111</v>
      </c>
      <c r="F491" s="52"/>
      <c r="G491" s="52"/>
      <c r="H491" s="52"/>
      <c r="I491" s="52" t="s">
        <v>3693</v>
      </c>
      <c r="J491" s="52" t="s">
        <v>3694</v>
      </c>
      <c r="K491" s="52"/>
      <c r="L491" s="52"/>
      <c r="M491" s="55">
        <v>0.44236111111111109</v>
      </c>
      <c r="N491" s="54">
        <v>2.4763888888888888</v>
      </c>
      <c r="O491" s="52"/>
      <c r="P491" s="52"/>
      <c r="Q491" s="52"/>
      <c r="R491" s="52"/>
      <c r="S491" s="52"/>
      <c r="T491" s="52" t="s">
        <v>3695</v>
      </c>
      <c r="U491" s="52" t="s">
        <v>3695</v>
      </c>
      <c r="V491" s="52"/>
      <c r="W491" s="52"/>
      <c r="X491" s="52"/>
      <c r="Y491" s="52"/>
      <c r="Z491" s="52" t="s">
        <v>3696</v>
      </c>
      <c r="AA491" s="52" t="s">
        <v>836</v>
      </c>
      <c r="AB491" s="52" t="s">
        <v>79</v>
      </c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>
        <v>0</v>
      </c>
      <c r="AT491" s="52"/>
      <c r="AU491" s="52"/>
      <c r="AV491" s="52" t="s">
        <v>840</v>
      </c>
      <c r="AW491" s="52"/>
    </row>
    <row r="492" spans="1:49">
      <c r="A492" s="52">
        <v>6020984</v>
      </c>
      <c r="B492" s="52" t="s">
        <v>3691</v>
      </c>
      <c r="C492" s="52" t="s">
        <v>3698</v>
      </c>
      <c r="D492" s="53">
        <v>46155.75</v>
      </c>
      <c r="E492" s="53">
        <v>46155.323611111111</v>
      </c>
      <c r="F492" s="52"/>
      <c r="G492" s="52"/>
      <c r="H492" s="52"/>
      <c r="I492" s="52"/>
      <c r="J492" s="52" t="s">
        <v>3694</v>
      </c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 t="s">
        <v>3696</v>
      </c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>
        <v>0</v>
      </c>
      <c r="AT492" s="52"/>
      <c r="AU492" s="52"/>
      <c r="AV492" s="52"/>
      <c r="AW492" s="52"/>
    </row>
    <row r="493" spans="1:49">
      <c r="A493" s="52">
        <v>6020985</v>
      </c>
      <c r="B493" s="52" t="s">
        <v>3691</v>
      </c>
      <c r="C493" s="52" t="s">
        <v>3692</v>
      </c>
      <c r="D493" s="53">
        <v>46155.75</v>
      </c>
      <c r="E493" s="53">
        <v>46155.323611111111</v>
      </c>
      <c r="F493" s="52"/>
      <c r="G493" s="52"/>
      <c r="H493" s="52"/>
      <c r="I493" s="52" t="s">
        <v>3693</v>
      </c>
      <c r="J493" s="52" t="s">
        <v>3694</v>
      </c>
      <c r="K493" s="52"/>
      <c r="L493" s="52"/>
      <c r="M493" s="55">
        <v>0.44236111111111109</v>
      </c>
      <c r="N493" s="54">
        <v>10.35138888888889</v>
      </c>
      <c r="O493" s="52"/>
      <c r="P493" s="52"/>
      <c r="Q493" s="52"/>
      <c r="R493" s="52"/>
      <c r="S493" s="52"/>
      <c r="T493" s="52" t="s">
        <v>3695</v>
      </c>
      <c r="U493" s="52" t="s">
        <v>3695</v>
      </c>
      <c r="V493" s="52"/>
      <c r="W493" s="52"/>
      <c r="X493" s="52"/>
      <c r="Y493" s="52"/>
      <c r="Z493" s="52" t="s">
        <v>3696</v>
      </c>
      <c r="AA493" s="52" t="s">
        <v>836</v>
      </c>
      <c r="AB493" s="52" t="s">
        <v>79</v>
      </c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>
        <v>0</v>
      </c>
      <c r="AT493" s="52"/>
      <c r="AU493" s="52"/>
      <c r="AV493" s="52" t="s">
        <v>840</v>
      </c>
      <c r="AW493" s="52"/>
    </row>
    <row r="494" spans="1:49">
      <c r="A494" s="52">
        <v>6020985</v>
      </c>
      <c r="B494" s="52" t="s">
        <v>3691</v>
      </c>
      <c r="C494" s="52" t="s">
        <v>3698</v>
      </c>
      <c r="D494" s="53">
        <v>46155.75</v>
      </c>
      <c r="E494" s="53">
        <v>46155.323611111111</v>
      </c>
      <c r="F494" s="52"/>
      <c r="G494" s="52"/>
      <c r="H494" s="52"/>
      <c r="I494" s="52"/>
      <c r="J494" s="52" t="s">
        <v>3694</v>
      </c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 t="s">
        <v>3696</v>
      </c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>
        <v>0</v>
      </c>
      <c r="AT494" s="52"/>
      <c r="AU494" s="52"/>
      <c r="AV494" s="52"/>
      <c r="AW494" s="52"/>
    </row>
    <row r="495" spans="1:49">
      <c r="A495" s="52">
        <v>6020986</v>
      </c>
      <c r="B495" s="52" t="s">
        <v>3723</v>
      </c>
      <c r="C495" s="52" t="s">
        <v>3692</v>
      </c>
      <c r="D495" s="53">
        <v>46155.25</v>
      </c>
      <c r="E495" s="53">
        <v>46154.686111111114</v>
      </c>
      <c r="F495" s="53">
        <v>46156.314583333333</v>
      </c>
      <c r="G495" s="53">
        <v>46157.25</v>
      </c>
      <c r="H495" s="53">
        <v>46156.737500000003</v>
      </c>
      <c r="I495" s="52" t="s">
        <v>3693</v>
      </c>
      <c r="J495" s="52" t="s">
        <v>3693</v>
      </c>
      <c r="K495" s="53">
        <v>46156.737500000003</v>
      </c>
      <c r="L495" s="52" t="s">
        <v>3735</v>
      </c>
      <c r="M495" s="54">
        <v>2</v>
      </c>
      <c r="N495" s="54">
        <v>3.2062499999999998</v>
      </c>
      <c r="O495" s="52"/>
      <c r="P495" s="52"/>
      <c r="Q495" s="52"/>
      <c r="R495" s="52"/>
      <c r="S495" s="52"/>
      <c r="T495" s="52" t="s">
        <v>3712</v>
      </c>
      <c r="U495" s="52" t="s">
        <v>3883</v>
      </c>
      <c r="V495" s="52"/>
      <c r="W495" s="52"/>
      <c r="X495" s="52"/>
      <c r="Y495" s="52"/>
      <c r="Z495" s="52" t="s">
        <v>3696</v>
      </c>
      <c r="AA495" s="52" t="s">
        <v>171</v>
      </c>
      <c r="AB495" s="52" t="s">
        <v>140</v>
      </c>
      <c r="AC495" s="52" t="s">
        <v>3703</v>
      </c>
      <c r="AD495" s="52" t="s">
        <v>3704</v>
      </c>
      <c r="AE495" s="52"/>
      <c r="AF495" s="52" t="s">
        <v>3714</v>
      </c>
      <c r="AG495" s="52" t="s">
        <v>3715</v>
      </c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>
        <v>0</v>
      </c>
      <c r="AT495" s="52"/>
      <c r="AU495" s="52"/>
      <c r="AV495" s="52" t="s">
        <v>984</v>
      </c>
      <c r="AW495" s="52"/>
    </row>
    <row r="496" spans="1:49">
      <c r="A496" s="52">
        <v>6020986</v>
      </c>
      <c r="B496" s="52" t="s">
        <v>3723</v>
      </c>
      <c r="C496" s="52" t="s">
        <v>3698</v>
      </c>
      <c r="D496" s="53">
        <v>46155.25</v>
      </c>
      <c r="E496" s="53">
        <v>46154.686111111114</v>
      </c>
      <c r="F496" s="53">
        <v>46156.321527777778</v>
      </c>
      <c r="G496" s="53">
        <v>46157.25</v>
      </c>
      <c r="H496" s="53">
        <v>46157.536805555559</v>
      </c>
      <c r="I496" s="52"/>
      <c r="J496" s="52" t="s">
        <v>3693</v>
      </c>
      <c r="K496" s="53">
        <v>46156.737500000003</v>
      </c>
      <c r="L496" s="52"/>
      <c r="M496" s="55">
        <v>0.92847222222222225</v>
      </c>
      <c r="N496" s="54">
        <v>2.1347222222222224</v>
      </c>
      <c r="O496" s="52" t="s">
        <v>3348</v>
      </c>
      <c r="P496" s="52" t="s">
        <v>171</v>
      </c>
      <c r="Q496" s="52" t="s">
        <v>3347</v>
      </c>
      <c r="R496" s="52" t="s">
        <v>3349</v>
      </c>
      <c r="S496" s="52" t="s">
        <v>789</v>
      </c>
      <c r="T496" s="52" t="s">
        <v>3712</v>
      </c>
      <c r="U496" s="52" t="s">
        <v>3883</v>
      </c>
      <c r="V496" s="52" t="s">
        <v>3350</v>
      </c>
      <c r="W496" s="52">
        <v>70862059232</v>
      </c>
      <c r="X496" s="52" t="s">
        <v>73</v>
      </c>
      <c r="Y496" s="52"/>
      <c r="Z496" s="52" t="s">
        <v>3696</v>
      </c>
      <c r="AA496" s="52" t="s">
        <v>3710</v>
      </c>
      <c r="AB496" s="52"/>
      <c r="AC496" s="52" t="s">
        <v>3703</v>
      </c>
      <c r="AD496" s="52" t="s">
        <v>3704</v>
      </c>
      <c r="AE496" s="52" t="s">
        <v>140</v>
      </c>
      <c r="AF496" s="52" t="s">
        <v>3714</v>
      </c>
      <c r="AG496" s="52" t="s">
        <v>3715</v>
      </c>
      <c r="AH496" s="52"/>
      <c r="AI496" s="52"/>
      <c r="AJ496" s="52"/>
      <c r="AK496" s="52"/>
      <c r="AL496" s="55">
        <v>0.7993055555555556</v>
      </c>
      <c r="AM496" s="52"/>
      <c r="AN496" s="52"/>
      <c r="AO496" s="55">
        <v>0.7993055555555556</v>
      </c>
      <c r="AP496" s="55">
        <v>0.7993055555555556</v>
      </c>
      <c r="AQ496" s="52"/>
      <c r="AR496" s="52"/>
      <c r="AS496" s="52" t="s">
        <v>3696</v>
      </c>
      <c r="AT496" s="52"/>
      <c r="AU496" s="52"/>
      <c r="AV496" s="52"/>
      <c r="AW496" s="52"/>
    </row>
    <row r="497" spans="1:49">
      <c r="A497" s="52">
        <v>6020986</v>
      </c>
      <c r="B497" s="52" t="s">
        <v>3723</v>
      </c>
      <c r="C497" s="52" t="s">
        <v>3698</v>
      </c>
      <c r="D497" s="53">
        <v>46155.25</v>
      </c>
      <c r="E497" s="53">
        <v>46154.686111111114</v>
      </c>
      <c r="F497" s="53">
        <v>46156.321527777778</v>
      </c>
      <c r="G497" s="53">
        <v>46157.25</v>
      </c>
      <c r="H497" s="53">
        <v>46157.536805555559</v>
      </c>
      <c r="I497" s="52"/>
      <c r="J497" s="52" t="s">
        <v>3693</v>
      </c>
      <c r="K497" s="53">
        <v>46156.737500000003</v>
      </c>
      <c r="L497" s="52"/>
      <c r="M497" s="55">
        <v>0.92847222222222225</v>
      </c>
      <c r="N497" s="54">
        <v>2.1347222222222224</v>
      </c>
      <c r="O497" s="52" t="s">
        <v>3348</v>
      </c>
      <c r="P497" s="52" t="s">
        <v>171</v>
      </c>
      <c r="Q497" s="52" t="s">
        <v>3347</v>
      </c>
      <c r="R497" s="52" t="s">
        <v>3349</v>
      </c>
      <c r="S497" s="52" t="s">
        <v>789</v>
      </c>
      <c r="T497" s="52" t="s">
        <v>3712</v>
      </c>
      <c r="U497" s="52" t="s">
        <v>3883</v>
      </c>
      <c r="V497" s="52" t="s">
        <v>3350</v>
      </c>
      <c r="W497" s="52">
        <v>70862059232</v>
      </c>
      <c r="X497" s="52" t="s">
        <v>73</v>
      </c>
      <c r="Y497" s="52"/>
      <c r="Z497" s="52" t="s">
        <v>3696</v>
      </c>
      <c r="AA497" s="52" t="s">
        <v>3710</v>
      </c>
      <c r="AB497" s="52"/>
      <c r="AC497" s="52" t="s">
        <v>3703</v>
      </c>
      <c r="AD497" s="52" t="s">
        <v>3704</v>
      </c>
      <c r="AE497" s="52"/>
      <c r="AF497" s="52" t="s">
        <v>3714</v>
      </c>
      <c r="AG497" s="52" t="s">
        <v>3715</v>
      </c>
      <c r="AH497" s="52"/>
      <c r="AI497" s="52"/>
      <c r="AJ497" s="52"/>
      <c r="AK497" s="52"/>
      <c r="AL497" s="55">
        <v>0.7993055555555556</v>
      </c>
      <c r="AM497" s="52"/>
      <c r="AN497" s="52"/>
      <c r="AO497" s="55">
        <v>0.7993055555555556</v>
      </c>
      <c r="AP497" s="55">
        <v>0.7993055555555556</v>
      </c>
      <c r="AQ497" s="52"/>
      <c r="AR497" s="52"/>
      <c r="AS497" s="52" t="s">
        <v>3696</v>
      </c>
      <c r="AT497" s="52"/>
      <c r="AU497" s="52"/>
      <c r="AV497" s="52"/>
      <c r="AW497" s="52" t="s">
        <v>984</v>
      </c>
    </row>
    <row r="498" spans="1:49">
      <c r="A498" s="52">
        <v>6021313</v>
      </c>
      <c r="B498" s="52" t="s">
        <v>3716</v>
      </c>
      <c r="C498" s="52" t="s">
        <v>3692</v>
      </c>
      <c r="D498" s="53">
        <v>46157.833333333336</v>
      </c>
      <c r="E498" s="53">
        <v>46157.486111111109</v>
      </c>
      <c r="F498" s="53">
        <v>46157.788194444445</v>
      </c>
      <c r="G498" s="53">
        <v>46159.343055555553</v>
      </c>
      <c r="H498" s="52"/>
      <c r="I498" s="52" t="s">
        <v>3693</v>
      </c>
      <c r="J498" s="52" t="s">
        <v>3694</v>
      </c>
      <c r="K498" s="53">
        <v>46158.957638888889</v>
      </c>
      <c r="L498" s="52"/>
      <c r="M498" s="54">
        <v>1.5729166666666667</v>
      </c>
      <c r="N498" s="54">
        <v>1.2486111111111111</v>
      </c>
      <c r="O498" s="52"/>
      <c r="P498" s="52"/>
      <c r="Q498" s="52"/>
      <c r="R498" s="52"/>
      <c r="S498" s="52"/>
      <c r="T498" s="52" t="s">
        <v>3815</v>
      </c>
      <c r="U498" s="52" t="s">
        <v>3816</v>
      </c>
      <c r="V498" s="52"/>
      <c r="W498" s="52"/>
      <c r="X498" s="52"/>
      <c r="Y498" s="52"/>
      <c r="Z498" s="52" t="s">
        <v>3696</v>
      </c>
      <c r="AA498" s="52" t="s">
        <v>553</v>
      </c>
      <c r="AB498" s="52" t="s">
        <v>140</v>
      </c>
      <c r="AC498" s="52" t="s">
        <v>3703</v>
      </c>
      <c r="AD498" s="52" t="s">
        <v>3704</v>
      </c>
      <c r="AE498" s="52"/>
      <c r="AF498" s="52" t="s">
        <v>3817</v>
      </c>
      <c r="AG498" s="52" t="s">
        <v>3706</v>
      </c>
      <c r="AH498" s="52"/>
      <c r="AI498" s="52"/>
      <c r="AJ498" s="52"/>
      <c r="AK498" s="52"/>
      <c r="AL498" s="55">
        <v>7.7777777777777779E-2</v>
      </c>
      <c r="AM498" s="52"/>
      <c r="AN498" s="52"/>
      <c r="AO498" s="52"/>
      <c r="AP498" s="52"/>
      <c r="AQ498" s="52"/>
      <c r="AR498" s="52"/>
      <c r="AS498" s="52">
        <v>0</v>
      </c>
      <c r="AT498" s="52"/>
      <c r="AU498" s="52"/>
      <c r="AV498" s="52" t="s">
        <v>557</v>
      </c>
      <c r="AW498" s="52"/>
    </row>
    <row r="499" spans="1:49">
      <c r="A499" s="52">
        <v>6021313</v>
      </c>
      <c r="B499" s="52" t="s">
        <v>3716</v>
      </c>
      <c r="C499" s="52" t="s">
        <v>3698</v>
      </c>
      <c r="D499" s="53">
        <v>46157.833333333336</v>
      </c>
      <c r="E499" s="53">
        <v>46157.486111111109</v>
      </c>
      <c r="F499" s="53">
        <v>46157.95208333333</v>
      </c>
      <c r="G499" s="53">
        <v>46159.343055555553</v>
      </c>
      <c r="H499" s="52"/>
      <c r="I499" s="52"/>
      <c r="J499" s="52" t="s">
        <v>3694</v>
      </c>
      <c r="K499" s="53">
        <v>46158.957638888889</v>
      </c>
      <c r="L499" s="52"/>
      <c r="M499" s="54">
        <v>1.3909722222222223</v>
      </c>
      <c r="N499" s="55">
        <v>0.50416666666666665</v>
      </c>
      <c r="O499" s="52" t="s">
        <v>552</v>
      </c>
      <c r="P499" s="52" t="s">
        <v>553</v>
      </c>
      <c r="Q499" s="52" t="s">
        <v>551</v>
      </c>
      <c r="R499" s="52" t="s">
        <v>560</v>
      </c>
      <c r="S499" s="52" t="s">
        <v>69</v>
      </c>
      <c r="T499" s="52" t="s">
        <v>3815</v>
      </c>
      <c r="U499" s="52" t="s">
        <v>3816</v>
      </c>
      <c r="V499" s="52" t="s">
        <v>561</v>
      </c>
      <c r="W499" s="52">
        <v>13345082675</v>
      </c>
      <c r="X499" s="52" t="s">
        <v>73</v>
      </c>
      <c r="Y499" s="52"/>
      <c r="Z499" s="52" t="s">
        <v>3696</v>
      </c>
      <c r="AA499" s="52" t="s">
        <v>3710</v>
      </c>
      <c r="AB499" s="52"/>
      <c r="AC499" s="52" t="s">
        <v>3703</v>
      </c>
      <c r="AD499" s="52" t="s">
        <v>3704</v>
      </c>
      <c r="AE499" s="52" t="s">
        <v>140</v>
      </c>
      <c r="AF499" s="52" t="s">
        <v>3817</v>
      </c>
      <c r="AG499" s="52" t="s">
        <v>3706</v>
      </c>
      <c r="AH499" s="52"/>
      <c r="AI499" s="53">
        <v>46157.836805555555</v>
      </c>
      <c r="AJ499" s="53">
        <v>46157.914583333331</v>
      </c>
      <c r="AK499" s="53">
        <v>46157.836805555555</v>
      </c>
      <c r="AL499" s="55">
        <v>7.7777777777777779E-2</v>
      </c>
      <c r="AM499" s="52"/>
      <c r="AN499" s="55">
        <v>7.7777777777777779E-2</v>
      </c>
      <c r="AO499" s="52"/>
      <c r="AP499" s="55">
        <v>7.7777777777777779E-2</v>
      </c>
      <c r="AQ499" s="52"/>
      <c r="AR499" s="52"/>
      <c r="AS499" s="52" t="s">
        <v>3696</v>
      </c>
      <c r="AT499" s="52"/>
      <c r="AU499" s="52"/>
      <c r="AV499" s="52"/>
      <c r="AW499" s="52"/>
    </row>
    <row r="500" spans="1:49">
      <c r="A500" s="52">
        <v>6021313</v>
      </c>
      <c r="B500" s="52" t="s">
        <v>3716</v>
      </c>
      <c r="C500" s="52" t="s">
        <v>3698</v>
      </c>
      <c r="D500" s="53">
        <v>46157.833333333336</v>
      </c>
      <c r="E500" s="53">
        <v>46157.486111111109</v>
      </c>
      <c r="F500" s="53">
        <v>46157.95208333333</v>
      </c>
      <c r="G500" s="53">
        <v>46159.343055555553</v>
      </c>
      <c r="H500" s="52"/>
      <c r="I500" s="52"/>
      <c r="J500" s="52" t="s">
        <v>3694</v>
      </c>
      <c r="K500" s="53">
        <v>46158.957638888889</v>
      </c>
      <c r="L500" s="52"/>
      <c r="M500" s="54">
        <v>1.3909722222222223</v>
      </c>
      <c r="N500" s="55">
        <v>0.50416666666666665</v>
      </c>
      <c r="O500" s="52" t="s">
        <v>552</v>
      </c>
      <c r="P500" s="52" t="s">
        <v>553</v>
      </c>
      <c r="Q500" s="52" t="s">
        <v>551</v>
      </c>
      <c r="R500" s="52" t="s">
        <v>560</v>
      </c>
      <c r="S500" s="52" t="s">
        <v>69</v>
      </c>
      <c r="T500" s="52" t="s">
        <v>3815</v>
      </c>
      <c r="U500" s="52" t="s">
        <v>3816</v>
      </c>
      <c r="V500" s="52" t="s">
        <v>561</v>
      </c>
      <c r="W500" s="52">
        <v>13345082675</v>
      </c>
      <c r="X500" s="52" t="s">
        <v>73</v>
      </c>
      <c r="Y500" s="52"/>
      <c r="Z500" s="52" t="s">
        <v>3696</v>
      </c>
      <c r="AA500" s="52" t="s">
        <v>3710</v>
      </c>
      <c r="AB500" s="52"/>
      <c r="AC500" s="52" t="s">
        <v>3703</v>
      </c>
      <c r="AD500" s="52" t="s">
        <v>3704</v>
      </c>
      <c r="AE500" s="52"/>
      <c r="AF500" s="52" t="s">
        <v>3817</v>
      </c>
      <c r="AG500" s="52" t="s">
        <v>3706</v>
      </c>
      <c r="AH500" s="52"/>
      <c r="AI500" s="53">
        <v>46157.836805555555</v>
      </c>
      <c r="AJ500" s="53">
        <v>46157.914583333331</v>
      </c>
      <c r="AK500" s="53">
        <v>46157.836805555555</v>
      </c>
      <c r="AL500" s="55">
        <v>7.7777777777777779E-2</v>
      </c>
      <c r="AM500" s="52"/>
      <c r="AN500" s="55">
        <v>7.7777777777777779E-2</v>
      </c>
      <c r="AO500" s="52"/>
      <c r="AP500" s="55">
        <v>7.7777777777777779E-2</v>
      </c>
      <c r="AQ500" s="52"/>
      <c r="AR500" s="52"/>
      <c r="AS500" s="52" t="s">
        <v>3696</v>
      </c>
      <c r="AT500" s="52"/>
      <c r="AU500" s="52"/>
      <c r="AV500" s="52"/>
      <c r="AW500" s="52" t="s">
        <v>557</v>
      </c>
    </row>
    <row r="501" spans="1:49">
      <c r="A501" s="52">
        <v>6021314</v>
      </c>
      <c r="B501" s="52" t="s">
        <v>3723</v>
      </c>
      <c r="C501" s="52" t="s">
        <v>3692</v>
      </c>
      <c r="D501" s="53">
        <v>46154.375</v>
      </c>
      <c r="E501" s="53">
        <v>46154.446527777778</v>
      </c>
      <c r="F501" s="53">
        <v>46154.709722222222</v>
      </c>
      <c r="G501" s="53">
        <v>46160.334027777775</v>
      </c>
      <c r="H501" s="53">
        <v>46154.793055555558</v>
      </c>
      <c r="I501" s="52" t="s">
        <v>3693</v>
      </c>
      <c r="J501" s="52" t="s">
        <v>3693</v>
      </c>
      <c r="K501" s="53">
        <v>46154.793055555558</v>
      </c>
      <c r="L501" s="52" t="s">
        <v>3735</v>
      </c>
      <c r="M501" s="55">
        <v>0.45</v>
      </c>
      <c r="N501" s="54">
        <v>1.9270833333333333</v>
      </c>
      <c r="O501" s="52"/>
      <c r="P501" s="52"/>
      <c r="Q501" s="52"/>
      <c r="R501" s="52"/>
      <c r="S501" s="52"/>
      <c r="T501" s="52" t="s">
        <v>3736</v>
      </c>
      <c r="U501" s="52" t="s">
        <v>3695</v>
      </c>
      <c r="V501" s="52"/>
      <c r="W501" s="52"/>
      <c r="X501" s="52"/>
      <c r="Y501" s="52"/>
      <c r="Z501" s="52" t="s">
        <v>3696</v>
      </c>
      <c r="AA501" s="52" t="s">
        <v>1246</v>
      </c>
      <c r="AB501" s="52" t="s">
        <v>140</v>
      </c>
      <c r="AC501" s="52" t="s">
        <v>3703</v>
      </c>
      <c r="AD501" s="52" t="s">
        <v>3704</v>
      </c>
      <c r="AE501" s="52"/>
      <c r="AF501" s="52" t="s">
        <v>3737</v>
      </c>
      <c r="AG501" s="52" t="s">
        <v>3704</v>
      </c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>
        <v>0</v>
      </c>
      <c r="AT501" s="52"/>
      <c r="AU501" s="52"/>
      <c r="AV501" s="52" t="s">
        <v>1296</v>
      </c>
      <c r="AW501" s="52"/>
    </row>
    <row r="502" spans="1:49">
      <c r="A502" s="52">
        <v>6021314</v>
      </c>
      <c r="B502" s="52" t="s">
        <v>3723</v>
      </c>
      <c r="C502" s="52" t="s">
        <v>3698</v>
      </c>
      <c r="D502" s="53">
        <v>46154.375</v>
      </c>
      <c r="E502" s="53">
        <v>46154.446527777778</v>
      </c>
      <c r="F502" s="53">
        <v>46154.729166666664</v>
      </c>
      <c r="G502" s="53">
        <v>46160.334027777775</v>
      </c>
      <c r="H502" s="53">
        <v>46154.829861111109</v>
      </c>
      <c r="I502" s="52"/>
      <c r="J502" s="52" t="s">
        <v>3693</v>
      </c>
      <c r="K502" s="53">
        <v>46154.793055555558</v>
      </c>
      <c r="L502" s="52"/>
      <c r="M502" s="54">
        <v>5.6048611111111111</v>
      </c>
      <c r="N502" s="54">
        <v>3.7270833333333333</v>
      </c>
      <c r="O502" s="52" t="s">
        <v>3087</v>
      </c>
      <c r="P502" s="52" t="s">
        <v>1246</v>
      </c>
      <c r="Q502" s="52" t="s">
        <v>1955</v>
      </c>
      <c r="R502" s="52"/>
      <c r="S502" s="52" t="s">
        <v>789</v>
      </c>
      <c r="T502" s="52" t="s">
        <v>3736</v>
      </c>
      <c r="U502" s="52" t="s">
        <v>3695</v>
      </c>
      <c r="V502" s="52" t="s">
        <v>3088</v>
      </c>
      <c r="W502" s="52">
        <v>1880816237</v>
      </c>
      <c r="X502" s="52" t="s">
        <v>73</v>
      </c>
      <c r="Y502" s="52" t="s">
        <v>3738</v>
      </c>
      <c r="Z502" s="52" t="s">
        <v>3696</v>
      </c>
      <c r="AA502" s="52" t="s">
        <v>3710</v>
      </c>
      <c r="AB502" s="52"/>
      <c r="AC502" s="52" t="s">
        <v>3703</v>
      </c>
      <c r="AD502" s="52" t="s">
        <v>3704</v>
      </c>
      <c r="AE502" s="52" t="s">
        <v>140</v>
      </c>
      <c r="AF502" s="52" t="s">
        <v>3737</v>
      </c>
      <c r="AG502" s="52" t="s">
        <v>3704</v>
      </c>
      <c r="AH502" s="52"/>
      <c r="AI502" s="52"/>
      <c r="AJ502" s="52"/>
      <c r="AK502" s="52"/>
      <c r="AL502" s="55">
        <v>3.6805555555555557E-2</v>
      </c>
      <c r="AM502" s="52"/>
      <c r="AN502" s="52"/>
      <c r="AO502" s="55">
        <v>3.6805555555555557E-2</v>
      </c>
      <c r="AP502" s="55">
        <v>3.6805555555555557E-2</v>
      </c>
      <c r="AQ502" s="52"/>
      <c r="AR502" s="52"/>
      <c r="AS502" s="52" t="s">
        <v>3696</v>
      </c>
      <c r="AT502" s="52"/>
      <c r="AU502" s="52"/>
      <c r="AV502" s="52"/>
      <c r="AW502" s="52"/>
    </row>
    <row r="503" spans="1:49">
      <c r="A503" s="52">
        <v>6021314</v>
      </c>
      <c r="B503" s="52" t="s">
        <v>3723</v>
      </c>
      <c r="C503" s="52" t="s">
        <v>3698</v>
      </c>
      <c r="D503" s="53">
        <v>46154.375</v>
      </c>
      <c r="E503" s="53">
        <v>46154.446527777778</v>
      </c>
      <c r="F503" s="53">
        <v>46154.729166666664</v>
      </c>
      <c r="G503" s="53">
        <v>46160.334027777775</v>
      </c>
      <c r="H503" s="53">
        <v>46154.829861111109</v>
      </c>
      <c r="I503" s="52"/>
      <c r="J503" s="52" t="s">
        <v>3693</v>
      </c>
      <c r="K503" s="53">
        <v>46154.793055555558</v>
      </c>
      <c r="L503" s="52"/>
      <c r="M503" s="54">
        <v>5.6048611111111111</v>
      </c>
      <c r="N503" s="54">
        <v>3.7270833333333333</v>
      </c>
      <c r="O503" s="52" t="s">
        <v>3087</v>
      </c>
      <c r="P503" s="52" t="s">
        <v>1246</v>
      </c>
      <c r="Q503" s="52" t="s">
        <v>1955</v>
      </c>
      <c r="R503" s="52"/>
      <c r="S503" s="52" t="s">
        <v>789</v>
      </c>
      <c r="T503" s="52" t="s">
        <v>3736</v>
      </c>
      <c r="U503" s="52" t="s">
        <v>3695</v>
      </c>
      <c r="V503" s="52" t="s">
        <v>3088</v>
      </c>
      <c r="W503" s="52">
        <v>1880816237</v>
      </c>
      <c r="X503" s="52" t="s">
        <v>73</v>
      </c>
      <c r="Y503" s="52" t="s">
        <v>3738</v>
      </c>
      <c r="Z503" s="52" t="s">
        <v>3696</v>
      </c>
      <c r="AA503" s="52" t="s">
        <v>3710</v>
      </c>
      <c r="AB503" s="52"/>
      <c r="AC503" s="52" t="s">
        <v>3703</v>
      </c>
      <c r="AD503" s="52" t="s">
        <v>3704</v>
      </c>
      <c r="AE503" s="52"/>
      <c r="AF503" s="52" t="s">
        <v>3737</v>
      </c>
      <c r="AG503" s="52" t="s">
        <v>3704</v>
      </c>
      <c r="AH503" s="52"/>
      <c r="AI503" s="52"/>
      <c r="AJ503" s="52"/>
      <c r="AK503" s="52"/>
      <c r="AL503" s="55">
        <v>3.6805555555555557E-2</v>
      </c>
      <c r="AM503" s="52"/>
      <c r="AN503" s="52"/>
      <c r="AO503" s="55">
        <v>3.6805555555555557E-2</v>
      </c>
      <c r="AP503" s="55">
        <v>3.6805555555555557E-2</v>
      </c>
      <c r="AQ503" s="52"/>
      <c r="AR503" s="52"/>
      <c r="AS503" s="52" t="s">
        <v>3696</v>
      </c>
      <c r="AT503" s="52"/>
      <c r="AU503" s="52"/>
      <c r="AV503" s="52"/>
      <c r="AW503" s="52" t="s">
        <v>1296</v>
      </c>
    </row>
    <row r="504" spans="1:49">
      <c r="A504" s="52">
        <v>6021316</v>
      </c>
      <c r="B504" s="52" t="s">
        <v>3699</v>
      </c>
      <c r="C504" s="52" t="s">
        <v>3692</v>
      </c>
      <c r="D504" s="53">
        <v>46156</v>
      </c>
      <c r="E504" s="53">
        <v>46155.650694444441</v>
      </c>
      <c r="F504" s="53">
        <v>46156.415972222225</v>
      </c>
      <c r="G504" s="53">
        <v>46157.541666666664</v>
      </c>
      <c r="H504" s="52"/>
      <c r="I504" s="52" t="s">
        <v>3693</v>
      </c>
      <c r="J504" s="52" t="s">
        <v>3693</v>
      </c>
      <c r="K504" s="52"/>
      <c r="L504" s="52" t="s">
        <v>3700</v>
      </c>
      <c r="M504" s="55">
        <v>0.13333333333333333</v>
      </c>
      <c r="N504" s="54">
        <v>1.0479166666666666</v>
      </c>
      <c r="O504" s="52"/>
      <c r="P504" s="52"/>
      <c r="Q504" s="52"/>
      <c r="R504" s="52"/>
      <c r="S504" s="52"/>
      <c r="T504" s="52" t="s">
        <v>3695</v>
      </c>
      <c r="U504" s="52" t="s">
        <v>3695</v>
      </c>
      <c r="V504" s="52"/>
      <c r="W504" s="52"/>
      <c r="X504" s="52"/>
      <c r="Y504" s="52"/>
      <c r="Z504" s="52" t="s">
        <v>3696</v>
      </c>
      <c r="AA504" s="52" t="s">
        <v>184</v>
      </c>
      <c r="AB504" s="52" t="s">
        <v>140</v>
      </c>
      <c r="AC504" s="52" t="s">
        <v>3703</v>
      </c>
      <c r="AD504" s="52" t="s">
        <v>3704</v>
      </c>
      <c r="AE504" s="52"/>
      <c r="AF504" s="52" t="s">
        <v>3995</v>
      </c>
      <c r="AG504" s="52" t="s">
        <v>3722</v>
      </c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>
        <v>0</v>
      </c>
      <c r="AT504" s="52"/>
      <c r="AU504" s="52"/>
      <c r="AV504" s="52" t="s">
        <v>3538</v>
      </c>
      <c r="AW504" s="52"/>
    </row>
    <row r="505" spans="1:49">
      <c r="A505" s="52">
        <v>6021316</v>
      </c>
      <c r="B505" s="52" t="s">
        <v>3699</v>
      </c>
      <c r="C505" s="52" t="s">
        <v>3698</v>
      </c>
      <c r="D505" s="53">
        <v>46156</v>
      </c>
      <c r="E505" s="53">
        <v>46155.650694444441</v>
      </c>
      <c r="F505" s="53">
        <v>46157.150694444441</v>
      </c>
      <c r="G505" s="53">
        <v>46157.541666666664</v>
      </c>
      <c r="H505" s="52"/>
      <c r="I505" s="52"/>
      <c r="J505" s="52" t="s">
        <v>3693</v>
      </c>
      <c r="K505" s="52"/>
      <c r="L505" s="52"/>
      <c r="M505" s="55">
        <v>0.39097222222222222</v>
      </c>
      <c r="N505" s="54">
        <v>1.3055555555555556</v>
      </c>
      <c r="O505" s="52" t="s">
        <v>3996</v>
      </c>
      <c r="P505" s="52" t="s">
        <v>184</v>
      </c>
      <c r="Q505" s="52" t="s">
        <v>3533</v>
      </c>
      <c r="R505" s="52"/>
      <c r="S505" s="52" t="s">
        <v>3756</v>
      </c>
      <c r="T505" s="52" t="s">
        <v>3695</v>
      </c>
      <c r="U505" s="52" t="s">
        <v>3695</v>
      </c>
      <c r="V505" s="52" t="s">
        <v>3540</v>
      </c>
      <c r="W505" s="52">
        <v>2234705460</v>
      </c>
      <c r="X505" s="52" t="s">
        <v>73</v>
      </c>
      <c r="Y505" s="52"/>
      <c r="Z505" s="52" t="s">
        <v>3696</v>
      </c>
      <c r="AA505" s="52" t="s">
        <v>3710</v>
      </c>
      <c r="AB505" s="52"/>
      <c r="AC505" s="52" t="s">
        <v>3703</v>
      </c>
      <c r="AD505" s="52" t="s">
        <v>3704</v>
      </c>
      <c r="AE505" s="52" t="s">
        <v>140</v>
      </c>
      <c r="AF505" s="52" t="s">
        <v>3995</v>
      </c>
      <c r="AG505" s="52" t="s">
        <v>3722</v>
      </c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 t="s">
        <v>3696</v>
      </c>
      <c r="AT505" s="52"/>
      <c r="AU505" s="52"/>
      <c r="AV505" s="52"/>
      <c r="AW505" s="52"/>
    </row>
    <row r="506" spans="1:49">
      <c r="A506" s="52">
        <v>6021316</v>
      </c>
      <c r="B506" s="52" t="s">
        <v>3699</v>
      </c>
      <c r="C506" s="52" t="s">
        <v>3698</v>
      </c>
      <c r="D506" s="53">
        <v>46156</v>
      </c>
      <c r="E506" s="53">
        <v>46155.650694444441</v>
      </c>
      <c r="F506" s="53">
        <v>46157.150694444441</v>
      </c>
      <c r="G506" s="53">
        <v>46157.541666666664</v>
      </c>
      <c r="H506" s="52"/>
      <c r="I506" s="52"/>
      <c r="J506" s="52" t="s">
        <v>3693</v>
      </c>
      <c r="K506" s="52"/>
      <c r="L506" s="52"/>
      <c r="M506" s="55">
        <v>0.39097222222222222</v>
      </c>
      <c r="N506" s="54">
        <v>1.3055555555555556</v>
      </c>
      <c r="O506" s="52" t="s">
        <v>3996</v>
      </c>
      <c r="P506" s="52" t="s">
        <v>184</v>
      </c>
      <c r="Q506" s="52" t="s">
        <v>3533</v>
      </c>
      <c r="R506" s="52"/>
      <c r="S506" s="52" t="s">
        <v>3756</v>
      </c>
      <c r="T506" s="52" t="s">
        <v>3695</v>
      </c>
      <c r="U506" s="52" t="s">
        <v>3695</v>
      </c>
      <c r="V506" s="52" t="s">
        <v>3540</v>
      </c>
      <c r="W506" s="52">
        <v>2234705460</v>
      </c>
      <c r="X506" s="52" t="s">
        <v>73</v>
      </c>
      <c r="Y506" s="52"/>
      <c r="Z506" s="52" t="s">
        <v>3696</v>
      </c>
      <c r="AA506" s="52" t="s">
        <v>3710</v>
      </c>
      <c r="AB506" s="52"/>
      <c r="AC506" s="52" t="s">
        <v>3703</v>
      </c>
      <c r="AD506" s="52" t="s">
        <v>3704</v>
      </c>
      <c r="AE506" s="52"/>
      <c r="AF506" s="52" t="s">
        <v>3995</v>
      </c>
      <c r="AG506" s="52" t="s">
        <v>3722</v>
      </c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 t="s">
        <v>3696</v>
      </c>
      <c r="AT506" s="52"/>
      <c r="AU506" s="52"/>
      <c r="AV506" s="52"/>
      <c r="AW506" s="52" t="s">
        <v>3538</v>
      </c>
    </row>
    <row r="507" spans="1:49">
      <c r="A507" s="52">
        <v>6021316</v>
      </c>
      <c r="B507" s="52" t="s">
        <v>3699</v>
      </c>
      <c r="C507" s="52" t="s">
        <v>3698</v>
      </c>
      <c r="D507" s="53">
        <v>46156</v>
      </c>
      <c r="E507" s="53">
        <v>46155.650694444441</v>
      </c>
      <c r="F507" s="53">
        <v>46157.17083333333</v>
      </c>
      <c r="G507" s="53">
        <v>46157.541666666664</v>
      </c>
      <c r="H507" s="53">
        <v>46157.59375</v>
      </c>
      <c r="I507" s="52"/>
      <c r="J507" s="52" t="s">
        <v>3693</v>
      </c>
      <c r="K507" s="52"/>
      <c r="L507" s="52"/>
      <c r="M507" s="55">
        <v>0.37083333333333335</v>
      </c>
      <c r="N507" s="54">
        <v>1.2854166666666667</v>
      </c>
      <c r="O507" s="52" t="s">
        <v>3534</v>
      </c>
      <c r="P507" s="52" t="s">
        <v>184</v>
      </c>
      <c r="Q507" s="52" t="s">
        <v>3533</v>
      </c>
      <c r="R507" s="52"/>
      <c r="S507" s="52" t="s">
        <v>789</v>
      </c>
      <c r="T507" s="52" t="s">
        <v>3997</v>
      </c>
      <c r="U507" s="52" t="s">
        <v>3998</v>
      </c>
      <c r="V507" s="52" t="s">
        <v>3540</v>
      </c>
      <c r="W507" s="52">
        <v>2234705460</v>
      </c>
      <c r="X507" s="52" t="s">
        <v>73</v>
      </c>
      <c r="Y507" s="52"/>
      <c r="Z507" s="52" t="s">
        <v>3696</v>
      </c>
      <c r="AA507" s="52" t="s">
        <v>3710</v>
      </c>
      <c r="AB507" s="52"/>
      <c r="AC507" s="52" t="s">
        <v>3703</v>
      </c>
      <c r="AD507" s="52" t="s">
        <v>3704</v>
      </c>
      <c r="AE507" s="52" t="s">
        <v>140</v>
      </c>
      <c r="AF507" s="52" t="s">
        <v>3995</v>
      </c>
      <c r="AG507" s="52" t="s">
        <v>3722</v>
      </c>
      <c r="AH507" s="52"/>
      <c r="AI507" s="52"/>
      <c r="AJ507" s="52"/>
      <c r="AK507" s="52"/>
      <c r="AL507" s="55">
        <v>0.2298611111111111</v>
      </c>
      <c r="AM507" s="52"/>
      <c r="AN507" s="52"/>
      <c r="AO507" s="52"/>
      <c r="AP507" s="55">
        <v>0.2298611111111111</v>
      </c>
      <c r="AQ507" s="52"/>
      <c r="AR507" s="52"/>
      <c r="AS507" s="52" t="s">
        <v>3696</v>
      </c>
      <c r="AT507" s="52"/>
      <c r="AU507" s="52"/>
      <c r="AV507" s="52"/>
      <c r="AW507" s="52"/>
    </row>
    <row r="508" spans="1:49">
      <c r="A508" s="52">
        <v>6021316</v>
      </c>
      <c r="B508" s="52" t="s">
        <v>3699</v>
      </c>
      <c r="C508" s="52" t="s">
        <v>3698</v>
      </c>
      <c r="D508" s="53">
        <v>46156</v>
      </c>
      <c r="E508" s="53">
        <v>46155.650694444441</v>
      </c>
      <c r="F508" s="53">
        <v>46157.17083333333</v>
      </c>
      <c r="G508" s="53">
        <v>46157.541666666664</v>
      </c>
      <c r="H508" s="53">
        <v>46157.59375</v>
      </c>
      <c r="I508" s="52"/>
      <c r="J508" s="52" t="s">
        <v>3693</v>
      </c>
      <c r="K508" s="52"/>
      <c r="L508" s="52"/>
      <c r="M508" s="55">
        <v>0.37083333333333335</v>
      </c>
      <c r="N508" s="54">
        <v>1.2854166666666667</v>
      </c>
      <c r="O508" s="52" t="s">
        <v>3534</v>
      </c>
      <c r="P508" s="52" t="s">
        <v>184</v>
      </c>
      <c r="Q508" s="52" t="s">
        <v>3533</v>
      </c>
      <c r="R508" s="52"/>
      <c r="S508" s="52" t="s">
        <v>789</v>
      </c>
      <c r="T508" s="52" t="s">
        <v>3997</v>
      </c>
      <c r="U508" s="52" t="s">
        <v>3998</v>
      </c>
      <c r="V508" s="52" t="s">
        <v>3540</v>
      </c>
      <c r="W508" s="52">
        <v>2234705460</v>
      </c>
      <c r="X508" s="52" t="s">
        <v>73</v>
      </c>
      <c r="Y508" s="52"/>
      <c r="Z508" s="52" t="s">
        <v>3696</v>
      </c>
      <c r="AA508" s="52" t="s">
        <v>3710</v>
      </c>
      <c r="AB508" s="52"/>
      <c r="AC508" s="52" t="s">
        <v>3703</v>
      </c>
      <c r="AD508" s="52" t="s">
        <v>3704</v>
      </c>
      <c r="AE508" s="52"/>
      <c r="AF508" s="52" t="s">
        <v>3995</v>
      </c>
      <c r="AG508" s="52" t="s">
        <v>3722</v>
      </c>
      <c r="AH508" s="52"/>
      <c r="AI508" s="52"/>
      <c r="AJ508" s="52"/>
      <c r="AK508" s="52"/>
      <c r="AL508" s="55">
        <v>0.2298611111111111</v>
      </c>
      <c r="AM508" s="52"/>
      <c r="AN508" s="52"/>
      <c r="AO508" s="52"/>
      <c r="AP508" s="55">
        <v>0.2298611111111111</v>
      </c>
      <c r="AQ508" s="52"/>
      <c r="AR508" s="52"/>
      <c r="AS508" s="52" t="s">
        <v>3696</v>
      </c>
      <c r="AT508" s="52"/>
      <c r="AU508" s="52"/>
      <c r="AV508" s="52"/>
      <c r="AW508" s="52" t="s">
        <v>3538</v>
      </c>
    </row>
    <row r="509" spans="1:49">
      <c r="A509" s="52">
        <v>6021324</v>
      </c>
      <c r="B509" s="52" t="s">
        <v>3866</v>
      </c>
      <c r="C509" s="52" t="s">
        <v>3692</v>
      </c>
      <c r="D509" s="53">
        <v>46155.583333333336</v>
      </c>
      <c r="E509" s="53">
        <v>46155.323611111111</v>
      </c>
      <c r="F509" s="52"/>
      <c r="G509" s="52"/>
      <c r="H509" s="52"/>
      <c r="I509" s="52" t="s">
        <v>3693</v>
      </c>
      <c r="J509" s="52" t="s">
        <v>3694</v>
      </c>
      <c r="K509" s="52"/>
      <c r="L509" s="52"/>
      <c r="M509" s="55">
        <v>0.1</v>
      </c>
      <c r="N509" s="54">
        <v>2.6395833333333334</v>
      </c>
      <c r="O509" s="52"/>
      <c r="P509" s="52"/>
      <c r="Q509" s="52"/>
      <c r="R509" s="52"/>
      <c r="S509" s="52"/>
      <c r="T509" s="52" t="s">
        <v>3695</v>
      </c>
      <c r="U509" s="52" t="s">
        <v>3695</v>
      </c>
      <c r="V509" s="52"/>
      <c r="W509" s="52"/>
      <c r="X509" s="52"/>
      <c r="Y509" s="52"/>
      <c r="Z509" s="52" t="s">
        <v>3696</v>
      </c>
      <c r="AA509" s="52" t="s">
        <v>114</v>
      </c>
      <c r="AB509" s="52" t="s">
        <v>140</v>
      </c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>
        <v>0</v>
      </c>
      <c r="AT509" s="52"/>
      <c r="AU509" s="52"/>
      <c r="AV509" s="52" t="s">
        <v>3999</v>
      </c>
      <c r="AW509" s="52"/>
    </row>
    <row r="510" spans="1:49">
      <c r="A510" s="52">
        <v>6021324</v>
      </c>
      <c r="B510" s="52" t="s">
        <v>3866</v>
      </c>
      <c r="C510" s="52" t="s">
        <v>3698</v>
      </c>
      <c r="D510" s="53">
        <v>46155.583333333336</v>
      </c>
      <c r="E510" s="53">
        <v>46155.323611111111</v>
      </c>
      <c r="F510" s="52"/>
      <c r="G510" s="52"/>
      <c r="H510" s="52"/>
      <c r="I510" s="52"/>
      <c r="J510" s="52" t="s">
        <v>3694</v>
      </c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 t="s">
        <v>3696</v>
      </c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>
        <v>0</v>
      </c>
      <c r="AT510" s="52"/>
      <c r="AU510" s="52"/>
      <c r="AV510" s="52"/>
      <c r="AW510" s="52"/>
    </row>
    <row r="511" spans="1:49">
      <c r="A511" s="52">
        <v>6021325</v>
      </c>
      <c r="B511" s="52" t="s">
        <v>3866</v>
      </c>
      <c r="C511" s="52" t="s">
        <v>3692</v>
      </c>
      <c r="D511" s="53">
        <v>46155.583333333336</v>
      </c>
      <c r="E511" s="53">
        <v>46155.323611111111</v>
      </c>
      <c r="F511" s="52"/>
      <c r="G511" s="52"/>
      <c r="H511" s="52"/>
      <c r="I511" s="52" t="s">
        <v>3693</v>
      </c>
      <c r="J511" s="52" t="s">
        <v>3694</v>
      </c>
      <c r="K511" s="52"/>
      <c r="L511" s="52"/>
      <c r="M511" s="55">
        <v>0.1</v>
      </c>
      <c r="N511" s="54">
        <v>2.6395833333333334</v>
      </c>
      <c r="O511" s="52"/>
      <c r="P511" s="52"/>
      <c r="Q511" s="52"/>
      <c r="R511" s="52"/>
      <c r="S511" s="52"/>
      <c r="T511" s="52" t="s">
        <v>3695</v>
      </c>
      <c r="U511" s="52" t="s">
        <v>3695</v>
      </c>
      <c r="V511" s="52"/>
      <c r="W511" s="52"/>
      <c r="X511" s="52"/>
      <c r="Y511" s="52"/>
      <c r="Z511" s="52" t="s">
        <v>3696</v>
      </c>
      <c r="AA511" s="52" t="s">
        <v>114</v>
      </c>
      <c r="AB511" s="52" t="s">
        <v>140</v>
      </c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>
        <v>0</v>
      </c>
      <c r="AT511" s="52"/>
      <c r="AU511" s="52"/>
      <c r="AV511" s="52" t="s">
        <v>3999</v>
      </c>
      <c r="AW511" s="52"/>
    </row>
    <row r="512" spans="1:49">
      <c r="A512" s="52">
        <v>6021325</v>
      </c>
      <c r="B512" s="52" t="s">
        <v>3866</v>
      </c>
      <c r="C512" s="52" t="s">
        <v>3698</v>
      </c>
      <c r="D512" s="53">
        <v>46155.583333333336</v>
      </c>
      <c r="E512" s="53">
        <v>46155.323611111111</v>
      </c>
      <c r="F512" s="52"/>
      <c r="G512" s="52"/>
      <c r="H512" s="52"/>
      <c r="I512" s="52"/>
      <c r="J512" s="52" t="s">
        <v>3694</v>
      </c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 t="s">
        <v>3696</v>
      </c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>
        <v>0</v>
      </c>
      <c r="AT512" s="52"/>
      <c r="AU512" s="52"/>
      <c r="AV512" s="52"/>
      <c r="AW512" s="52"/>
    </row>
    <row r="513" spans="1:49">
      <c r="A513" s="52">
        <v>6021328</v>
      </c>
      <c r="B513" s="52" t="s">
        <v>3716</v>
      </c>
      <c r="C513" s="52" t="s">
        <v>3692</v>
      </c>
      <c r="D513" s="53">
        <v>46157.75</v>
      </c>
      <c r="E513" s="53">
        <v>46156.73333333333</v>
      </c>
      <c r="F513" s="53">
        <v>46157.813888888886</v>
      </c>
      <c r="G513" s="53">
        <v>46169.25</v>
      </c>
      <c r="H513" s="52"/>
      <c r="I513" s="52" t="s">
        <v>3693</v>
      </c>
      <c r="J513" s="52" t="s">
        <v>3694</v>
      </c>
      <c r="K513" s="53">
        <v>46159.947916666664</v>
      </c>
      <c r="L513" s="52"/>
      <c r="M513" s="54">
        <v>9.5416666666666661</v>
      </c>
      <c r="N513" s="55">
        <v>0.70625000000000004</v>
      </c>
      <c r="O513" s="52"/>
      <c r="P513" s="52"/>
      <c r="Q513" s="52"/>
      <c r="R513" s="52"/>
      <c r="S513" s="52"/>
      <c r="T513" s="52" t="s">
        <v>4000</v>
      </c>
      <c r="U513" s="52" t="s">
        <v>3695</v>
      </c>
      <c r="V513" s="52"/>
      <c r="W513" s="52"/>
      <c r="X513" s="52"/>
      <c r="Y513" s="52"/>
      <c r="Z513" s="52" t="s">
        <v>3696</v>
      </c>
      <c r="AA513" s="52" t="s">
        <v>836</v>
      </c>
      <c r="AB513" s="52" t="s">
        <v>79</v>
      </c>
      <c r="AC513" s="52" t="s">
        <v>3720</v>
      </c>
      <c r="AD513" s="52" t="s">
        <v>3715</v>
      </c>
      <c r="AE513" s="52"/>
      <c r="AF513" s="52" t="s">
        <v>4001</v>
      </c>
      <c r="AG513" s="52" t="s">
        <v>4002</v>
      </c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>
        <v>0</v>
      </c>
      <c r="AT513" s="52"/>
      <c r="AU513" s="52"/>
      <c r="AV513" s="52" t="s">
        <v>840</v>
      </c>
      <c r="AW513" s="52"/>
    </row>
    <row r="514" spans="1:49">
      <c r="A514" s="52">
        <v>6021328</v>
      </c>
      <c r="B514" s="52" t="s">
        <v>3716</v>
      </c>
      <c r="C514" s="52" t="s">
        <v>3698</v>
      </c>
      <c r="D514" s="53">
        <v>46157.75</v>
      </c>
      <c r="E514" s="53">
        <v>46156.73333333333</v>
      </c>
      <c r="F514" s="52"/>
      <c r="G514" s="53">
        <v>46169.25</v>
      </c>
      <c r="H514" s="52"/>
      <c r="I514" s="52"/>
      <c r="J514" s="52" t="s">
        <v>3694</v>
      </c>
      <c r="K514" s="53">
        <v>46159.947916666664</v>
      </c>
      <c r="L514" s="52"/>
      <c r="M514" s="52"/>
      <c r="N514" s="52"/>
      <c r="O514" s="52" t="s">
        <v>4003</v>
      </c>
      <c r="P514" s="52" t="s">
        <v>836</v>
      </c>
      <c r="Q514" s="52" t="s">
        <v>895</v>
      </c>
      <c r="R514" s="52" t="s">
        <v>902</v>
      </c>
      <c r="S514" s="52" t="s">
        <v>3895</v>
      </c>
      <c r="T514" s="52" t="s">
        <v>4000</v>
      </c>
      <c r="U514" s="52" t="s">
        <v>3695</v>
      </c>
      <c r="V514" s="52" t="s">
        <v>903</v>
      </c>
      <c r="W514" s="52">
        <v>61708488987</v>
      </c>
      <c r="X514" s="52" t="s">
        <v>73</v>
      </c>
      <c r="Y514" s="52" t="s">
        <v>3930</v>
      </c>
      <c r="Z514" s="52" t="s">
        <v>3696</v>
      </c>
      <c r="AA514" s="52" t="s">
        <v>3710</v>
      </c>
      <c r="AB514" s="52"/>
      <c r="AC514" s="52" t="s">
        <v>3720</v>
      </c>
      <c r="AD514" s="52" t="s">
        <v>3715</v>
      </c>
      <c r="AE514" s="52" t="s">
        <v>79</v>
      </c>
      <c r="AF514" s="52" t="s">
        <v>4001</v>
      </c>
      <c r="AG514" s="52" t="s">
        <v>4002</v>
      </c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 t="s">
        <v>3696</v>
      </c>
      <c r="AT514" s="52"/>
      <c r="AU514" s="52"/>
      <c r="AV514" s="52"/>
      <c r="AW514" s="52"/>
    </row>
    <row r="515" spans="1:49">
      <c r="A515" s="52">
        <v>6021328</v>
      </c>
      <c r="B515" s="52" t="s">
        <v>3716</v>
      </c>
      <c r="C515" s="52" t="s">
        <v>3698</v>
      </c>
      <c r="D515" s="53">
        <v>46157.75</v>
      </c>
      <c r="E515" s="53">
        <v>46156.73333333333</v>
      </c>
      <c r="F515" s="52"/>
      <c r="G515" s="53">
        <v>46169.25</v>
      </c>
      <c r="H515" s="52"/>
      <c r="I515" s="52"/>
      <c r="J515" s="52" t="s">
        <v>3694</v>
      </c>
      <c r="K515" s="53">
        <v>46159.947916666664</v>
      </c>
      <c r="L515" s="52"/>
      <c r="M515" s="52"/>
      <c r="N515" s="52"/>
      <c r="O515" s="52" t="s">
        <v>4003</v>
      </c>
      <c r="P515" s="52" t="s">
        <v>836</v>
      </c>
      <c r="Q515" s="52" t="s">
        <v>895</v>
      </c>
      <c r="R515" s="52" t="s">
        <v>902</v>
      </c>
      <c r="S515" s="52" t="s">
        <v>3895</v>
      </c>
      <c r="T515" s="52" t="s">
        <v>4000</v>
      </c>
      <c r="U515" s="52" t="s">
        <v>3695</v>
      </c>
      <c r="V515" s="52" t="s">
        <v>903</v>
      </c>
      <c r="W515" s="52">
        <v>61708488987</v>
      </c>
      <c r="X515" s="52" t="s">
        <v>73</v>
      </c>
      <c r="Y515" s="52" t="s">
        <v>3930</v>
      </c>
      <c r="Z515" s="52" t="s">
        <v>3696</v>
      </c>
      <c r="AA515" s="52" t="s">
        <v>3710</v>
      </c>
      <c r="AB515" s="52"/>
      <c r="AC515" s="52" t="s">
        <v>3720</v>
      </c>
      <c r="AD515" s="52" t="s">
        <v>3715</v>
      </c>
      <c r="AE515" s="52"/>
      <c r="AF515" s="52" t="s">
        <v>4001</v>
      </c>
      <c r="AG515" s="52" t="s">
        <v>4002</v>
      </c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 t="s">
        <v>3696</v>
      </c>
      <c r="AT515" s="52"/>
      <c r="AU515" s="52"/>
      <c r="AV515" s="52"/>
      <c r="AW515" s="52" t="s">
        <v>840</v>
      </c>
    </row>
    <row r="516" spans="1:49">
      <c r="A516" s="52">
        <v>6021351</v>
      </c>
      <c r="B516" s="52" t="s">
        <v>3866</v>
      </c>
      <c r="C516" s="52" t="s">
        <v>3692</v>
      </c>
      <c r="D516" s="53">
        <v>46156.416666666664</v>
      </c>
      <c r="E516" s="53">
        <v>46155.650694444441</v>
      </c>
      <c r="F516" s="52"/>
      <c r="G516" s="52"/>
      <c r="H516" s="52"/>
      <c r="I516" s="52" t="s">
        <v>3693</v>
      </c>
      <c r="J516" s="52" t="s">
        <v>3694</v>
      </c>
      <c r="K516" s="52"/>
      <c r="L516" s="52"/>
      <c r="M516" s="55">
        <v>0.1</v>
      </c>
      <c r="N516" s="54">
        <v>1.9312499999999999</v>
      </c>
      <c r="O516" s="52"/>
      <c r="P516" s="52"/>
      <c r="Q516" s="52"/>
      <c r="R516" s="52"/>
      <c r="S516" s="52"/>
      <c r="T516" s="52" t="s">
        <v>3695</v>
      </c>
      <c r="U516" s="52" t="s">
        <v>3695</v>
      </c>
      <c r="V516" s="52"/>
      <c r="W516" s="52"/>
      <c r="X516" s="52"/>
      <c r="Y516" s="52"/>
      <c r="Z516" s="52" t="s">
        <v>3696</v>
      </c>
      <c r="AA516" s="52" t="s">
        <v>114</v>
      </c>
      <c r="AB516" s="52" t="s">
        <v>140</v>
      </c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>
        <v>0</v>
      </c>
      <c r="AT516" s="52"/>
      <c r="AU516" s="52"/>
      <c r="AV516" s="52" t="s">
        <v>4004</v>
      </c>
      <c r="AW516" s="52"/>
    </row>
    <row r="517" spans="1:49">
      <c r="A517" s="52">
        <v>6021351</v>
      </c>
      <c r="B517" s="52" t="s">
        <v>3866</v>
      </c>
      <c r="C517" s="52" t="s">
        <v>3698</v>
      </c>
      <c r="D517" s="53">
        <v>46156.416666666664</v>
      </c>
      <c r="E517" s="53">
        <v>46155.650694444441</v>
      </c>
      <c r="F517" s="52"/>
      <c r="G517" s="52"/>
      <c r="H517" s="52"/>
      <c r="I517" s="52"/>
      <c r="J517" s="52" t="s">
        <v>3694</v>
      </c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 t="s">
        <v>3696</v>
      </c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>
        <v>0</v>
      </c>
      <c r="AT517" s="52"/>
      <c r="AU517" s="52"/>
      <c r="AV517" s="52"/>
      <c r="AW517" s="52"/>
    </row>
    <row r="518" spans="1:49">
      <c r="A518" s="52">
        <v>6021353</v>
      </c>
      <c r="B518" s="52" t="s">
        <v>3716</v>
      </c>
      <c r="C518" s="52" t="s">
        <v>3692</v>
      </c>
      <c r="D518" s="53">
        <v>46157.416666666664</v>
      </c>
      <c r="E518" s="53">
        <v>46156.68472222222</v>
      </c>
      <c r="F518" s="53">
        <v>46157.507638888892</v>
      </c>
      <c r="G518" s="53">
        <v>46162.333333333336</v>
      </c>
      <c r="H518" s="52"/>
      <c r="I518" s="52" t="s">
        <v>3693</v>
      </c>
      <c r="J518" s="52" t="s">
        <v>3694</v>
      </c>
      <c r="K518" s="53">
        <v>46158.822222222225</v>
      </c>
      <c r="L518" s="52"/>
      <c r="M518" s="55">
        <v>0.44236111111111109</v>
      </c>
      <c r="N518" s="54">
        <v>3.4347222222222222</v>
      </c>
      <c r="O518" s="52"/>
      <c r="P518" s="52"/>
      <c r="Q518" s="52"/>
      <c r="R518" s="52"/>
      <c r="S518" s="52"/>
      <c r="T518" s="52" t="s">
        <v>4005</v>
      </c>
      <c r="U518" s="52" t="s">
        <v>4006</v>
      </c>
      <c r="V518" s="52"/>
      <c r="W518" s="52"/>
      <c r="X518" s="52"/>
      <c r="Y518" s="52"/>
      <c r="Z518" s="52" t="s">
        <v>3696</v>
      </c>
      <c r="AA518" s="52" t="s">
        <v>227</v>
      </c>
      <c r="AB518" s="52" t="s">
        <v>79</v>
      </c>
      <c r="AC518" s="52" t="s">
        <v>3720</v>
      </c>
      <c r="AD518" s="52" t="s">
        <v>3715</v>
      </c>
      <c r="AE518" s="52"/>
      <c r="AF518" s="52" t="s">
        <v>3703</v>
      </c>
      <c r="AG518" s="52" t="s">
        <v>3704</v>
      </c>
      <c r="AH518" s="52"/>
      <c r="AI518" s="52"/>
      <c r="AJ518" s="52"/>
      <c r="AK518" s="52"/>
      <c r="AL518" s="55">
        <v>5.486111111111111E-2</v>
      </c>
      <c r="AM518" s="52"/>
      <c r="AN518" s="52"/>
      <c r="AO518" s="52"/>
      <c r="AP518" s="52"/>
      <c r="AQ518" s="52"/>
      <c r="AR518" s="52"/>
      <c r="AS518" s="52">
        <v>0</v>
      </c>
      <c r="AT518" s="52"/>
      <c r="AU518" s="52"/>
      <c r="AV518" s="52" t="s">
        <v>327</v>
      </c>
      <c r="AW518" s="52"/>
    </row>
    <row r="519" spans="1:49">
      <c r="A519" s="52">
        <v>6021353</v>
      </c>
      <c r="B519" s="52" t="s">
        <v>3716</v>
      </c>
      <c r="C519" s="52" t="s">
        <v>3698</v>
      </c>
      <c r="D519" s="53">
        <v>46157.416666666664</v>
      </c>
      <c r="E519" s="53">
        <v>46156.68472222222</v>
      </c>
      <c r="F519" s="53">
        <v>46157.509027777778</v>
      </c>
      <c r="G519" s="53">
        <v>46162.333333333336</v>
      </c>
      <c r="H519" s="52"/>
      <c r="I519" s="52"/>
      <c r="J519" s="52" t="s">
        <v>3694</v>
      </c>
      <c r="K519" s="53">
        <v>46158.822222222225</v>
      </c>
      <c r="L519" s="52"/>
      <c r="M519" s="54">
        <v>4.8243055555555552</v>
      </c>
      <c r="N519" s="55">
        <v>0.94722222222222219</v>
      </c>
      <c r="O519" s="52" t="s">
        <v>324</v>
      </c>
      <c r="P519" s="52" t="s">
        <v>227</v>
      </c>
      <c r="Q519" s="52" t="s">
        <v>323</v>
      </c>
      <c r="R519" s="52" t="s">
        <v>331</v>
      </c>
      <c r="S519" s="52" t="s">
        <v>69</v>
      </c>
      <c r="T519" s="52" t="s">
        <v>4005</v>
      </c>
      <c r="U519" s="52" t="s">
        <v>4006</v>
      </c>
      <c r="V519" s="52" t="s">
        <v>332</v>
      </c>
      <c r="W519" s="52">
        <v>371751900</v>
      </c>
      <c r="X519" s="52" t="s">
        <v>73</v>
      </c>
      <c r="Y519" s="52"/>
      <c r="Z519" s="52" t="s">
        <v>3696</v>
      </c>
      <c r="AA519" s="52" t="s">
        <v>3710</v>
      </c>
      <c r="AB519" s="52"/>
      <c r="AC519" s="52" t="s">
        <v>3720</v>
      </c>
      <c r="AD519" s="52" t="s">
        <v>3715</v>
      </c>
      <c r="AE519" s="52" t="s">
        <v>79</v>
      </c>
      <c r="AF519" s="52" t="s">
        <v>3703</v>
      </c>
      <c r="AG519" s="52" t="s">
        <v>3704</v>
      </c>
      <c r="AH519" s="52"/>
      <c r="AI519" s="53">
        <v>46157.509027777778</v>
      </c>
      <c r="AJ519" s="53">
        <v>46157.563888888886</v>
      </c>
      <c r="AK519" s="53">
        <v>46157.509027777778</v>
      </c>
      <c r="AL519" s="55">
        <v>5.9722222222222225E-2</v>
      </c>
      <c r="AM519" s="52"/>
      <c r="AN519" s="55">
        <v>5.486111111111111E-2</v>
      </c>
      <c r="AO519" s="52"/>
      <c r="AP519" s="55">
        <v>5.9722222222222225E-2</v>
      </c>
      <c r="AQ519" s="52"/>
      <c r="AR519" s="52"/>
      <c r="AS519" s="52" t="s">
        <v>3696</v>
      </c>
      <c r="AT519" s="52"/>
      <c r="AU519" s="52"/>
      <c r="AV519" s="52"/>
      <c r="AW519" s="52"/>
    </row>
    <row r="520" spans="1:49">
      <c r="A520" s="52">
        <v>6021353</v>
      </c>
      <c r="B520" s="52" t="s">
        <v>3716</v>
      </c>
      <c r="C520" s="52" t="s">
        <v>3698</v>
      </c>
      <c r="D520" s="53">
        <v>46157.416666666664</v>
      </c>
      <c r="E520" s="53">
        <v>46156.68472222222</v>
      </c>
      <c r="F520" s="53">
        <v>46157.509027777778</v>
      </c>
      <c r="G520" s="53">
        <v>46162.333333333336</v>
      </c>
      <c r="H520" s="52"/>
      <c r="I520" s="52"/>
      <c r="J520" s="52" t="s">
        <v>3694</v>
      </c>
      <c r="K520" s="53">
        <v>46158.822222222225</v>
      </c>
      <c r="L520" s="52"/>
      <c r="M520" s="54">
        <v>4.8243055555555552</v>
      </c>
      <c r="N520" s="55">
        <v>0.94722222222222219</v>
      </c>
      <c r="O520" s="52" t="s">
        <v>324</v>
      </c>
      <c r="P520" s="52" t="s">
        <v>227</v>
      </c>
      <c r="Q520" s="52" t="s">
        <v>323</v>
      </c>
      <c r="R520" s="52" t="s">
        <v>331</v>
      </c>
      <c r="S520" s="52" t="s">
        <v>69</v>
      </c>
      <c r="T520" s="52" t="s">
        <v>4005</v>
      </c>
      <c r="U520" s="52" t="s">
        <v>4006</v>
      </c>
      <c r="V520" s="52" t="s">
        <v>332</v>
      </c>
      <c r="W520" s="52">
        <v>371751900</v>
      </c>
      <c r="X520" s="52" t="s">
        <v>73</v>
      </c>
      <c r="Y520" s="52"/>
      <c r="Z520" s="52" t="s">
        <v>3696</v>
      </c>
      <c r="AA520" s="52" t="s">
        <v>3710</v>
      </c>
      <c r="AB520" s="52"/>
      <c r="AC520" s="52" t="s">
        <v>3720</v>
      </c>
      <c r="AD520" s="52" t="s">
        <v>3715</v>
      </c>
      <c r="AE520" s="52"/>
      <c r="AF520" s="52" t="s">
        <v>3703</v>
      </c>
      <c r="AG520" s="52" t="s">
        <v>3704</v>
      </c>
      <c r="AH520" s="52"/>
      <c r="AI520" s="53">
        <v>46157.509027777778</v>
      </c>
      <c r="AJ520" s="53">
        <v>46157.563888888886</v>
      </c>
      <c r="AK520" s="53">
        <v>46157.509027777778</v>
      </c>
      <c r="AL520" s="55">
        <v>5.9722222222222225E-2</v>
      </c>
      <c r="AM520" s="52"/>
      <c r="AN520" s="55">
        <v>5.486111111111111E-2</v>
      </c>
      <c r="AO520" s="52"/>
      <c r="AP520" s="55">
        <v>5.9722222222222225E-2</v>
      </c>
      <c r="AQ520" s="52"/>
      <c r="AR520" s="52"/>
      <c r="AS520" s="52" t="s">
        <v>3696</v>
      </c>
      <c r="AT520" s="52"/>
      <c r="AU520" s="52"/>
      <c r="AV520" s="52"/>
      <c r="AW520" s="52" t="s">
        <v>327</v>
      </c>
    </row>
    <row r="521" spans="1:49">
      <c r="A521" s="52">
        <v>6021357</v>
      </c>
      <c r="B521" s="52" t="s">
        <v>3716</v>
      </c>
      <c r="C521" s="52" t="s">
        <v>3692</v>
      </c>
      <c r="D521" s="53">
        <v>46157.75</v>
      </c>
      <c r="E521" s="53">
        <v>46156.68472222222</v>
      </c>
      <c r="F521" s="53">
        <v>46157.413194444445</v>
      </c>
      <c r="G521" s="53">
        <v>46164.291666666664</v>
      </c>
      <c r="H521" s="52"/>
      <c r="I521" s="52" t="s">
        <v>3693</v>
      </c>
      <c r="J521" s="52" t="s">
        <v>3694</v>
      </c>
      <c r="K521" s="53">
        <v>46160.046527777777</v>
      </c>
      <c r="L521" s="52"/>
      <c r="M521" s="54">
        <v>4.333333333333333</v>
      </c>
      <c r="N521" s="54">
        <v>1.5020833333333334</v>
      </c>
      <c r="O521" s="52"/>
      <c r="P521" s="52"/>
      <c r="Q521" s="52"/>
      <c r="R521" s="52"/>
      <c r="S521" s="52"/>
      <c r="T521" s="52" t="s">
        <v>4007</v>
      </c>
      <c r="U521" s="52" t="s">
        <v>4008</v>
      </c>
      <c r="V521" s="52"/>
      <c r="W521" s="52"/>
      <c r="X521" s="52"/>
      <c r="Y521" s="52"/>
      <c r="Z521" s="52" t="s">
        <v>3696</v>
      </c>
      <c r="AA521" s="52" t="s">
        <v>89</v>
      </c>
      <c r="AB521" s="52" t="s">
        <v>79</v>
      </c>
      <c r="AC521" s="52" t="s">
        <v>3720</v>
      </c>
      <c r="AD521" s="52" t="s">
        <v>3715</v>
      </c>
      <c r="AE521" s="52"/>
      <c r="AF521" s="52" t="s">
        <v>3814</v>
      </c>
      <c r="AG521" s="52" t="s">
        <v>3788</v>
      </c>
      <c r="AH521" s="52"/>
      <c r="AI521" s="52"/>
      <c r="AJ521" s="52"/>
      <c r="AK521" s="52"/>
      <c r="AL521" s="55">
        <v>7.2222222222222215E-2</v>
      </c>
      <c r="AM521" s="52"/>
      <c r="AN521" s="52"/>
      <c r="AO521" s="52"/>
      <c r="AP521" s="52"/>
      <c r="AQ521" s="52"/>
      <c r="AR521" s="52"/>
      <c r="AS521" s="52">
        <v>0</v>
      </c>
      <c r="AT521" s="52"/>
      <c r="AU521" s="52"/>
      <c r="AV521" s="52" t="s">
        <v>198</v>
      </c>
      <c r="AW521" s="52"/>
    </row>
    <row r="522" spans="1:49">
      <c r="A522" s="52">
        <v>6021357</v>
      </c>
      <c r="B522" s="52" t="s">
        <v>3716</v>
      </c>
      <c r="C522" s="52" t="s">
        <v>3698</v>
      </c>
      <c r="D522" s="53">
        <v>46157.75</v>
      </c>
      <c r="E522" s="53">
        <v>46156.68472222222</v>
      </c>
      <c r="F522" s="53">
        <v>46157.415972222225</v>
      </c>
      <c r="G522" s="53">
        <v>46164.291666666664</v>
      </c>
      <c r="H522" s="52"/>
      <c r="I522" s="52"/>
      <c r="J522" s="52" t="s">
        <v>3694</v>
      </c>
      <c r="K522" s="53">
        <v>46160.046527777777</v>
      </c>
      <c r="L522" s="52"/>
      <c r="M522" s="54">
        <v>6.8756944444444441</v>
      </c>
      <c r="N522" s="54">
        <v>1.0402777777777779</v>
      </c>
      <c r="O522" s="52" t="s">
        <v>271</v>
      </c>
      <c r="P522" s="52" t="s">
        <v>89</v>
      </c>
      <c r="Q522" s="52" t="s">
        <v>270</v>
      </c>
      <c r="R522" s="52" t="s">
        <v>278</v>
      </c>
      <c r="S522" s="52" t="s">
        <v>69</v>
      </c>
      <c r="T522" s="52" t="s">
        <v>4007</v>
      </c>
      <c r="U522" s="52" t="s">
        <v>4008</v>
      </c>
      <c r="V522" s="52" t="s">
        <v>3854</v>
      </c>
      <c r="W522" s="52">
        <v>81933061987</v>
      </c>
      <c r="X522" s="52" t="s">
        <v>73</v>
      </c>
      <c r="Y522" s="52"/>
      <c r="Z522" s="52" t="s">
        <v>3696</v>
      </c>
      <c r="AA522" s="52" t="s">
        <v>3710</v>
      </c>
      <c r="AB522" s="52"/>
      <c r="AC522" s="52" t="s">
        <v>3720</v>
      </c>
      <c r="AD522" s="52" t="s">
        <v>3715</v>
      </c>
      <c r="AE522" s="52" t="s">
        <v>79</v>
      </c>
      <c r="AF522" s="52" t="s">
        <v>3814</v>
      </c>
      <c r="AG522" s="52" t="s">
        <v>3788</v>
      </c>
      <c r="AH522" s="52"/>
      <c r="AI522" s="53">
        <v>46157.407638888886</v>
      </c>
      <c r="AJ522" s="53">
        <v>46157.479861111111</v>
      </c>
      <c r="AK522" s="53">
        <v>46157.407638888886</v>
      </c>
      <c r="AL522" s="55">
        <v>7.2222222222222215E-2</v>
      </c>
      <c r="AM522" s="52"/>
      <c r="AN522" s="55">
        <v>7.2222222222222215E-2</v>
      </c>
      <c r="AO522" s="52"/>
      <c r="AP522" s="55">
        <v>7.2222222222222215E-2</v>
      </c>
      <c r="AQ522" s="52"/>
      <c r="AR522" s="52"/>
      <c r="AS522" s="52" t="s">
        <v>3696</v>
      </c>
      <c r="AT522" s="52"/>
      <c r="AU522" s="52"/>
      <c r="AV522" s="52"/>
      <c r="AW522" s="52"/>
    </row>
    <row r="523" spans="1:49">
      <c r="A523" s="52">
        <v>6021357</v>
      </c>
      <c r="B523" s="52" t="s">
        <v>3716</v>
      </c>
      <c r="C523" s="52" t="s">
        <v>3698</v>
      </c>
      <c r="D523" s="53">
        <v>46157.75</v>
      </c>
      <c r="E523" s="53">
        <v>46156.68472222222</v>
      </c>
      <c r="F523" s="53">
        <v>46157.415972222225</v>
      </c>
      <c r="G523" s="53">
        <v>46164.291666666664</v>
      </c>
      <c r="H523" s="52"/>
      <c r="I523" s="52"/>
      <c r="J523" s="52" t="s">
        <v>3694</v>
      </c>
      <c r="K523" s="53">
        <v>46160.046527777777</v>
      </c>
      <c r="L523" s="52"/>
      <c r="M523" s="54">
        <v>6.8756944444444441</v>
      </c>
      <c r="N523" s="54">
        <v>1.0402777777777779</v>
      </c>
      <c r="O523" s="52" t="s">
        <v>271</v>
      </c>
      <c r="P523" s="52" t="s">
        <v>89</v>
      </c>
      <c r="Q523" s="52" t="s">
        <v>270</v>
      </c>
      <c r="R523" s="52" t="s">
        <v>278</v>
      </c>
      <c r="S523" s="52" t="s">
        <v>69</v>
      </c>
      <c r="T523" s="52" t="s">
        <v>4007</v>
      </c>
      <c r="U523" s="52" t="s">
        <v>4008</v>
      </c>
      <c r="V523" s="52" t="s">
        <v>3854</v>
      </c>
      <c r="W523" s="52">
        <v>81933061987</v>
      </c>
      <c r="X523" s="52" t="s">
        <v>73</v>
      </c>
      <c r="Y523" s="52"/>
      <c r="Z523" s="52" t="s">
        <v>3696</v>
      </c>
      <c r="AA523" s="52" t="s">
        <v>3710</v>
      </c>
      <c r="AB523" s="52"/>
      <c r="AC523" s="52" t="s">
        <v>3720</v>
      </c>
      <c r="AD523" s="52" t="s">
        <v>3715</v>
      </c>
      <c r="AE523" s="52"/>
      <c r="AF523" s="52" t="s">
        <v>3814</v>
      </c>
      <c r="AG523" s="52" t="s">
        <v>3788</v>
      </c>
      <c r="AH523" s="52"/>
      <c r="AI523" s="53">
        <v>46157.407638888886</v>
      </c>
      <c r="AJ523" s="53">
        <v>46157.479861111111</v>
      </c>
      <c r="AK523" s="53">
        <v>46157.407638888886</v>
      </c>
      <c r="AL523" s="55">
        <v>7.2222222222222215E-2</v>
      </c>
      <c r="AM523" s="52"/>
      <c r="AN523" s="55">
        <v>7.2222222222222215E-2</v>
      </c>
      <c r="AO523" s="52"/>
      <c r="AP523" s="55">
        <v>7.2222222222222215E-2</v>
      </c>
      <c r="AQ523" s="52"/>
      <c r="AR523" s="52"/>
      <c r="AS523" s="52" t="s">
        <v>3696</v>
      </c>
      <c r="AT523" s="52"/>
      <c r="AU523" s="52"/>
      <c r="AV523" s="52"/>
      <c r="AW523" s="52" t="s">
        <v>198</v>
      </c>
    </row>
    <row r="524" spans="1:49">
      <c r="A524" s="52">
        <v>6021359</v>
      </c>
      <c r="B524" s="52" t="s">
        <v>3699</v>
      </c>
      <c r="C524" s="52" t="s">
        <v>3692</v>
      </c>
      <c r="D524" s="53">
        <v>46155.375</v>
      </c>
      <c r="E524" s="53">
        <v>46154.67083333333</v>
      </c>
      <c r="F524" s="53">
        <v>46155.78125</v>
      </c>
      <c r="G524" s="53">
        <v>46167.333333333336</v>
      </c>
      <c r="H524" s="53">
        <v>46155.853472222225</v>
      </c>
      <c r="I524" s="52" t="s">
        <v>3693</v>
      </c>
      <c r="J524" s="52" t="s">
        <v>3693</v>
      </c>
      <c r="K524" s="53">
        <v>46155.853472222225</v>
      </c>
      <c r="L524" s="52" t="s">
        <v>3700</v>
      </c>
      <c r="M524" s="54">
        <v>6.041666666666667</v>
      </c>
      <c r="N524" s="54">
        <v>3.0812499999999998</v>
      </c>
      <c r="O524" s="52"/>
      <c r="P524" s="52"/>
      <c r="Q524" s="52"/>
      <c r="R524" s="52"/>
      <c r="S524" s="52"/>
      <c r="T524" s="52" t="s">
        <v>3695</v>
      </c>
      <c r="U524" s="52" t="s">
        <v>3695</v>
      </c>
      <c r="V524" s="52"/>
      <c r="W524" s="52"/>
      <c r="X524" s="52"/>
      <c r="Y524" s="52"/>
      <c r="Z524" s="52" t="s">
        <v>3696</v>
      </c>
      <c r="AA524" s="52" t="s">
        <v>1246</v>
      </c>
      <c r="AB524" s="52" t="s">
        <v>140</v>
      </c>
      <c r="AC524" s="52" t="s">
        <v>3703</v>
      </c>
      <c r="AD524" s="52" t="s">
        <v>3704</v>
      </c>
      <c r="AE524" s="52"/>
      <c r="AF524" s="52" t="s">
        <v>3737</v>
      </c>
      <c r="AG524" s="52" t="s">
        <v>3704</v>
      </c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>
        <v>0</v>
      </c>
      <c r="AT524" s="52"/>
      <c r="AU524" s="52"/>
      <c r="AV524" s="52" t="s">
        <v>1296</v>
      </c>
      <c r="AW524" s="52"/>
    </row>
    <row r="525" spans="1:49">
      <c r="A525" s="52">
        <v>6021359</v>
      </c>
      <c r="B525" s="52" t="s">
        <v>3699</v>
      </c>
      <c r="C525" s="52" t="s">
        <v>3698</v>
      </c>
      <c r="D525" s="53">
        <v>46155.375</v>
      </c>
      <c r="E525" s="53">
        <v>46154.67083333333</v>
      </c>
      <c r="F525" s="53">
        <v>46155.821527777778</v>
      </c>
      <c r="G525" s="53">
        <v>46167.333333333336</v>
      </c>
      <c r="H525" s="52"/>
      <c r="I525" s="52"/>
      <c r="J525" s="52" t="s">
        <v>3693</v>
      </c>
      <c r="K525" s="52"/>
      <c r="L525" s="52"/>
      <c r="M525" s="54">
        <v>11.511805555555556</v>
      </c>
      <c r="N525" s="54">
        <v>2.6347222222222224</v>
      </c>
      <c r="O525" s="52" t="s">
        <v>3940</v>
      </c>
      <c r="P525" s="52" t="s">
        <v>1246</v>
      </c>
      <c r="Q525" s="52" t="s">
        <v>3279</v>
      </c>
      <c r="R525" s="52"/>
      <c r="S525" s="52" t="s">
        <v>3756</v>
      </c>
      <c r="T525" s="52" t="s">
        <v>3695</v>
      </c>
      <c r="U525" s="52" t="s">
        <v>3695</v>
      </c>
      <c r="V525" s="52" t="s">
        <v>3281</v>
      </c>
      <c r="W525" s="52">
        <v>49933173871</v>
      </c>
      <c r="X525" s="52" t="s">
        <v>73</v>
      </c>
      <c r="Y525" s="52" t="s">
        <v>3738</v>
      </c>
      <c r="Z525" s="52" t="s">
        <v>3696</v>
      </c>
      <c r="AA525" s="52" t="s">
        <v>3710</v>
      </c>
      <c r="AB525" s="52"/>
      <c r="AC525" s="52" t="s">
        <v>3703</v>
      </c>
      <c r="AD525" s="52" t="s">
        <v>3704</v>
      </c>
      <c r="AE525" s="52" t="s">
        <v>140</v>
      </c>
      <c r="AF525" s="52" t="s">
        <v>3737</v>
      </c>
      <c r="AG525" s="52" t="s">
        <v>3704</v>
      </c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 t="s">
        <v>3696</v>
      </c>
      <c r="AT525" s="52"/>
      <c r="AU525" s="52"/>
      <c r="AV525" s="52"/>
      <c r="AW525" s="52"/>
    </row>
    <row r="526" spans="1:49">
      <c r="A526" s="52">
        <v>6021359</v>
      </c>
      <c r="B526" s="52" t="s">
        <v>3699</v>
      </c>
      <c r="C526" s="52" t="s">
        <v>3698</v>
      </c>
      <c r="D526" s="53">
        <v>46155.375</v>
      </c>
      <c r="E526" s="53">
        <v>46154.67083333333</v>
      </c>
      <c r="F526" s="53">
        <v>46155.821527777778</v>
      </c>
      <c r="G526" s="53">
        <v>46167.333333333336</v>
      </c>
      <c r="H526" s="52"/>
      <c r="I526" s="52"/>
      <c r="J526" s="52" t="s">
        <v>3693</v>
      </c>
      <c r="K526" s="52"/>
      <c r="L526" s="52"/>
      <c r="M526" s="54">
        <v>11.511805555555556</v>
      </c>
      <c r="N526" s="54">
        <v>2.6347222222222224</v>
      </c>
      <c r="O526" s="52" t="s">
        <v>3940</v>
      </c>
      <c r="P526" s="52" t="s">
        <v>1246</v>
      </c>
      <c r="Q526" s="52" t="s">
        <v>3279</v>
      </c>
      <c r="R526" s="52"/>
      <c r="S526" s="52" t="s">
        <v>3756</v>
      </c>
      <c r="T526" s="52" t="s">
        <v>3695</v>
      </c>
      <c r="U526" s="52" t="s">
        <v>3695</v>
      </c>
      <c r="V526" s="52" t="s">
        <v>3281</v>
      </c>
      <c r="W526" s="52">
        <v>49933173871</v>
      </c>
      <c r="X526" s="52" t="s">
        <v>73</v>
      </c>
      <c r="Y526" s="52" t="s">
        <v>3738</v>
      </c>
      <c r="Z526" s="52" t="s">
        <v>3696</v>
      </c>
      <c r="AA526" s="52" t="s">
        <v>3710</v>
      </c>
      <c r="AB526" s="52"/>
      <c r="AC526" s="52" t="s">
        <v>3703</v>
      </c>
      <c r="AD526" s="52" t="s">
        <v>3704</v>
      </c>
      <c r="AE526" s="52"/>
      <c r="AF526" s="52" t="s">
        <v>3737</v>
      </c>
      <c r="AG526" s="52" t="s">
        <v>3704</v>
      </c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 t="s">
        <v>3696</v>
      </c>
      <c r="AT526" s="52"/>
      <c r="AU526" s="52"/>
      <c r="AV526" s="52"/>
      <c r="AW526" s="52" t="s">
        <v>1296</v>
      </c>
    </row>
    <row r="527" spans="1:49">
      <c r="A527" s="52">
        <v>6021359</v>
      </c>
      <c r="B527" s="52" t="s">
        <v>3699</v>
      </c>
      <c r="C527" s="52" t="s">
        <v>3698</v>
      </c>
      <c r="D527" s="53">
        <v>46155.375</v>
      </c>
      <c r="E527" s="53">
        <v>46154.67083333333</v>
      </c>
      <c r="F527" s="53">
        <v>46155.82916666667</v>
      </c>
      <c r="G527" s="53">
        <v>46167.333333333336</v>
      </c>
      <c r="H527" s="53">
        <v>46155.872916666667</v>
      </c>
      <c r="I527" s="52"/>
      <c r="J527" s="52" t="s">
        <v>3693</v>
      </c>
      <c r="K527" s="52"/>
      <c r="L527" s="52"/>
      <c r="M527" s="54">
        <v>11.504166666666666</v>
      </c>
      <c r="N527" s="54">
        <v>2.6270833333333332</v>
      </c>
      <c r="O527" s="52" t="s">
        <v>3280</v>
      </c>
      <c r="P527" s="52" t="s">
        <v>1246</v>
      </c>
      <c r="Q527" s="52" t="s">
        <v>3279</v>
      </c>
      <c r="R527" s="52"/>
      <c r="S527" s="52" t="s">
        <v>789</v>
      </c>
      <c r="T527" s="52" t="s">
        <v>3736</v>
      </c>
      <c r="U527" s="52" t="s">
        <v>3941</v>
      </c>
      <c r="V527" s="52" t="s">
        <v>3281</v>
      </c>
      <c r="W527" s="52">
        <v>49933173871</v>
      </c>
      <c r="X527" s="52" t="s">
        <v>73</v>
      </c>
      <c r="Y527" s="52" t="s">
        <v>3738</v>
      </c>
      <c r="Z527" s="52" t="s">
        <v>3696</v>
      </c>
      <c r="AA527" s="52" t="s">
        <v>3710</v>
      </c>
      <c r="AB527" s="52"/>
      <c r="AC527" s="52" t="s">
        <v>3703</v>
      </c>
      <c r="AD527" s="52" t="s">
        <v>3704</v>
      </c>
      <c r="AE527" s="52" t="s">
        <v>140</v>
      </c>
      <c r="AF527" s="52" t="s">
        <v>3737</v>
      </c>
      <c r="AG527" s="52" t="s">
        <v>3704</v>
      </c>
      <c r="AH527" s="52"/>
      <c r="AI527" s="52"/>
      <c r="AJ527" s="52"/>
      <c r="AK527" s="52"/>
      <c r="AL527" s="55">
        <v>4.027777777777778E-2</v>
      </c>
      <c r="AM527" s="52"/>
      <c r="AN527" s="52"/>
      <c r="AO527" s="52"/>
      <c r="AP527" s="55">
        <v>4.027777777777778E-2</v>
      </c>
      <c r="AQ527" s="52"/>
      <c r="AR527" s="52"/>
      <c r="AS527" s="52" t="s">
        <v>3696</v>
      </c>
      <c r="AT527" s="52"/>
      <c r="AU527" s="52"/>
      <c r="AV527" s="52"/>
      <c r="AW527" s="52"/>
    </row>
    <row r="528" spans="1:49">
      <c r="A528" s="52">
        <v>6021359</v>
      </c>
      <c r="B528" s="52" t="s">
        <v>3699</v>
      </c>
      <c r="C528" s="52" t="s">
        <v>3698</v>
      </c>
      <c r="D528" s="53">
        <v>46155.375</v>
      </c>
      <c r="E528" s="53">
        <v>46154.67083333333</v>
      </c>
      <c r="F528" s="53">
        <v>46155.82916666667</v>
      </c>
      <c r="G528" s="53">
        <v>46167.333333333336</v>
      </c>
      <c r="H528" s="53">
        <v>46155.872916666667</v>
      </c>
      <c r="I528" s="52"/>
      <c r="J528" s="52" t="s">
        <v>3693</v>
      </c>
      <c r="K528" s="52"/>
      <c r="L528" s="52"/>
      <c r="M528" s="54">
        <v>11.504166666666666</v>
      </c>
      <c r="N528" s="54">
        <v>2.6270833333333332</v>
      </c>
      <c r="O528" s="52" t="s">
        <v>3280</v>
      </c>
      <c r="P528" s="52" t="s">
        <v>1246</v>
      </c>
      <c r="Q528" s="52" t="s">
        <v>3279</v>
      </c>
      <c r="R528" s="52"/>
      <c r="S528" s="52" t="s">
        <v>789</v>
      </c>
      <c r="T528" s="52" t="s">
        <v>3736</v>
      </c>
      <c r="U528" s="52" t="s">
        <v>3941</v>
      </c>
      <c r="V528" s="52" t="s">
        <v>3281</v>
      </c>
      <c r="W528" s="52">
        <v>49933173871</v>
      </c>
      <c r="X528" s="52" t="s">
        <v>73</v>
      </c>
      <c r="Y528" s="52" t="s">
        <v>3738</v>
      </c>
      <c r="Z528" s="52" t="s">
        <v>3696</v>
      </c>
      <c r="AA528" s="52" t="s">
        <v>3710</v>
      </c>
      <c r="AB528" s="52"/>
      <c r="AC528" s="52" t="s">
        <v>3703</v>
      </c>
      <c r="AD528" s="52" t="s">
        <v>3704</v>
      </c>
      <c r="AE528" s="52"/>
      <c r="AF528" s="52" t="s">
        <v>3737</v>
      </c>
      <c r="AG528" s="52" t="s">
        <v>3704</v>
      </c>
      <c r="AH528" s="52"/>
      <c r="AI528" s="52"/>
      <c r="AJ528" s="52"/>
      <c r="AK528" s="52"/>
      <c r="AL528" s="55">
        <v>4.027777777777778E-2</v>
      </c>
      <c r="AM528" s="52"/>
      <c r="AN528" s="52"/>
      <c r="AO528" s="52"/>
      <c r="AP528" s="55">
        <v>4.027777777777778E-2</v>
      </c>
      <c r="AQ528" s="52"/>
      <c r="AR528" s="52"/>
      <c r="AS528" s="52" t="s">
        <v>3696</v>
      </c>
      <c r="AT528" s="52"/>
      <c r="AU528" s="52"/>
      <c r="AV528" s="52"/>
      <c r="AW528" s="52" t="s">
        <v>1296</v>
      </c>
    </row>
    <row r="529" spans="1:49">
      <c r="A529" s="52">
        <v>6021361</v>
      </c>
      <c r="B529" s="52" t="s">
        <v>3723</v>
      </c>
      <c r="C529" s="52" t="s">
        <v>3692</v>
      </c>
      <c r="D529" s="53">
        <v>46154.625</v>
      </c>
      <c r="E529" s="53">
        <v>46154.593055555553</v>
      </c>
      <c r="F529" s="53">
        <v>46154.651388888888</v>
      </c>
      <c r="G529" s="53">
        <v>46155.416666666664</v>
      </c>
      <c r="H529" s="53">
        <v>46155.270833333336</v>
      </c>
      <c r="I529" s="52" t="s">
        <v>3693</v>
      </c>
      <c r="J529" s="52" t="s">
        <v>3693</v>
      </c>
      <c r="K529" s="53">
        <v>46155.270833333336</v>
      </c>
      <c r="L529" s="52" t="s">
        <v>3735</v>
      </c>
      <c r="M529" s="55">
        <v>0.79166666666666663</v>
      </c>
      <c r="N529" s="54">
        <v>3.8312499999999998</v>
      </c>
      <c r="O529" s="52"/>
      <c r="P529" s="52"/>
      <c r="Q529" s="52"/>
      <c r="R529" s="52"/>
      <c r="S529" s="52"/>
      <c r="T529" s="52" t="s">
        <v>4009</v>
      </c>
      <c r="U529" s="52" t="s">
        <v>4010</v>
      </c>
      <c r="V529" s="52"/>
      <c r="W529" s="52"/>
      <c r="X529" s="52"/>
      <c r="Y529" s="52"/>
      <c r="Z529" s="52" t="s">
        <v>3696</v>
      </c>
      <c r="AA529" s="52" t="s">
        <v>114</v>
      </c>
      <c r="AB529" s="52" t="s">
        <v>140</v>
      </c>
      <c r="AC529" s="52" t="s">
        <v>3703</v>
      </c>
      <c r="AD529" s="52" t="s">
        <v>3704</v>
      </c>
      <c r="AE529" s="52"/>
      <c r="AF529" s="52" t="s">
        <v>3751</v>
      </c>
      <c r="AG529" s="52" t="s">
        <v>3704</v>
      </c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>
        <v>0</v>
      </c>
      <c r="AT529" s="52"/>
      <c r="AU529" s="52"/>
      <c r="AV529" s="52" t="s">
        <v>3065</v>
      </c>
      <c r="AW529" s="52"/>
    </row>
    <row r="530" spans="1:49">
      <c r="A530" s="52">
        <v>6021361</v>
      </c>
      <c r="B530" s="52" t="s">
        <v>3723</v>
      </c>
      <c r="C530" s="52" t="s">
        <v>3698</v>
      </c>
      <c r="D530" s="53">
        <v>46154.625</v>
      </c>
      <c r="E530" s="53">
        <v>46154.593055555553</v>
      </c>
      <c r="F530" s="53">
        <v>46154.67291666667</v>
      </c>
      <c r="G530" s="53">
        <v>46155.416666666664</v>
      </c>
      <c r="H530" s="53">
        <v>46155.345833333333</v>
      </c>
      <c r="I530" s="52"/>
      <c r="J530" s="52" t="s">
        <v>3693</v>
      </c>
      <c r="K530" s="53">
        <v>46155.270833333336</v>
      </c>
      <c r="L530" s="52"/>
      <c r="M530" s="55">
        <v>0.74375000000000002</v>
      </c>
      <c r="N530" s="54">
        <v>3.7833333333333332</v>
      </c>
      <c r="O530" s="52" t="s">
        <v>3062</v>
      </c>
      <c r="P530" s="52" t="s">
        <v>114</v>
      </c>
      <c r="Q530" s="52" t="s">
        <v>1194</v>
      </c>
      <c r="R530" s="52"/>
      <c r="S530" s="52" t="s">
        <v>789</v>
      </c>
      <c r="T530" s="52" t="s">
        <v>4009</v>
      </c>
      <c r="U530" s="52" t="s">
        <v>4010</v>
      </c>
      <c r="V530" s="52" t="s">
        <v>4011</v>
      </c>
      <c r="W530" s="52">
        <v>23416371836</v>
      </c>
      <c r="X530" s="52" t="s">
        <v>73</v>
      </c>
      <c r="Y530" s="52"/>
      <c r="Z530" s="52" t="s">
        <v>3696</v>
      </c>
      <c r="AA530" s="52" t="s">
        <v>3710</v>
      </c>
      <c r="AB530" s="52"/>
      <c r="AC530" s="52" t="s">
        <v>3703</v>
      </c>
      <c r="AD530" s="52" t="s">
        <v>3704</v>
      </c>
      <c r="AE530" s="52" t="s">
        <v>140</v>
      </c>
      <c r="AF530" s="52" t="s">
        <v>3751</v>
      </c>
      <c r="AG530" s="52" t="s">
        <v>3704</v>
      </c>
      <c r="AH530" s="52"/>
      <c r="AI530" s="52"/>
      <c r="AJ530" s="52"/>
      <c r="AK530" s="52"/>
      <c r="AL530" s="55">
        <v>2.9166666666666667E-2</v>
      </c>
      <c r="AM530" s="52"/>
      <c r="AN530" s="52"/>
      <c r="AO530" s="55">
        <v>2.9166666666666667E-2</v>
      </c>
      <c r="AP530" s="55">
        <v>2.9166666666666667E-2</v>
      </c>
      <c r="AQ530" s="52"/>
      <c r="AR530" s="52"/>
      <c r="AS530" s="52" t="s">
        <v>3696</v>
      </c>
      <c r="AT530" s="52"/>
      <c r="AU530" s="52"/>
      <c r="AV530" s="52"/>
      <c r="AW530" s="52"/>
    </row>
    <row r="531" spans="1:49">
      <c r="A531" s="52">
        <v>6021361</v>
      </c>
      <c r="B531" s="52" t="s">
        <v>3723</v>
      </c>
      <c r="C531" s="52" t="s">
        <v>3698</v>
      </c>
      <c r="D531" s="53">
        <v>46154.625</v>
      </c>
      <c r="E531" s="53">
        <v>46154.593055555553</v>
      </c>
      <c r="F531" s="53">
        <v>46154.67291666667</v>
      </c>
      <c r="G531" s="53">
        <v>46155.416666666664</v>
      </c>
      <c r="H531" s="53">
        <v>46155.345833333333</v>
      </c>
      <c r="I531" s="52"/>
      <c r="J531" s="52" t="s">
        <v>3693</v>
      </c>
      <c r="K531" s="53">
        <v>46155.270833333336</v>
      </c>
      <c r="L531" s="52"/>
      <c r="M531" s="55">
        <v>0.74375000000000002</v>
      </c>
      <c r="N531" s="54">
        <v>3.7833333333333332</v>
      </c>
      <c r="O531" s="52" t="s">
        <v>3062</v>
      </c>
      <c r="P531" s="52" t="s">
        <v>114</v>
      </c>
      <c r="Q531" s="52" t="s">
        <v>1194</v>
      </c>
      <c r="R531" s="52"/>
      <c r="S531" s="52" t="s">
        <v>789</v>
      </c>
      <c r="T531" s="52" t="s">
        <v>4009</v>
      </c>
      <c r="U531" s="52" t="s">
        <v>4010</v>
      </c>
      <c r="V531" s="52" t="s">
        <v>4011</v>
      </c>
      <c r="W531" s="52">
        <v>23416371836</v>
      </c>
      <c r="X531" s="52" t="s">
        <v>73</v>
      </c>
      <c r="Y531" s="52"/>
      <c r="Z531" s="52" t="s">
        <v>3696</v>
      </c>
      <c r="AA531" s="52" t="s">
        <v>3710</v>
      </c>
      <c r="AB531" s="52"/>
      <c r="AC531" s="52" t="s">
        <v>3703</v>
      </c>
      <c r="AD531" s="52" t="s">
        <v>3704</v>
      </c>
      <c r="AE531" s="52"/>
      <c r="AF531" s="52" t="s">
        <v>3751</v>
      </c>
      <c r="AG531" s="52" t="s">
        <v>3704</v>
      </c>
      <c r="AH531" s="52"/>
      <c r="AI531" s="52"/>
      <c r="AJ531" s="52"/>
      <c r="AK531" s="52"/>
      <c r="AL531" s="55">
        <v>2.9166666666666667E-2</v>
      </c>
      <c r="AM531" s="52"/>
      <c r="AN531" s="52"/>
      <c r="AO531" s="55">
        <v>2.9166666666666667E-2</v>
      </c>
      <c r="AP531" s="55">
        <v>2.9166666666666667E-2</v>
      </c>
      <c r="AQ531" s="52"/>
      <c r="AR531" s="52"/>
      <c r="AS531" s="52" t="s">
        <v>3696</v>
      </c>
      <c r="AT531" s="52"/>
      <c r="AU531" s="52"/>
      <c r="AV531" s="52"/>
      <c r="AW531" s="52" t="s">
        <v>3065</v>
      </c>
    </row>
    <row r="532" spans="1:49">
      <c r="A532" s="52">
        <v>6021363</v>
      </c>
      <c r="B532" s="52" t="s">
        <v>3691</v>
      </c>
      <c r="C532" s="52" t="s">
        <v>3692</v>
      </c>
      <c r="D532" s="53">
        <v>46155.75</v>
      </c>
      <c r="E532" s="53">
        <v>46155.323611111111</v>
      </c>
      <c r="F532" s="52"/>
      <c r="G532" s="52"/>
      <c r="H532" s="52"/>
      <c r="I532" s="52" t="s">
        <v>3693</v>
      </c>
      <c r="J532" s="52" t="s">
        <v>3694</v>
      </c>
      <c r="K532" s="52"/>
      <c r="L532" s="52"/>
      <c r="M532" s="55">
        <v>0.44236111111111109</v>
      </c>
      <c r="N532" s="54">
        <v>2.4763888888888888</v>
      </c>
      <c r="O532" s="52"/>
      <c r="P532" s="52"/>
      <c r="Q532" s="52"/>
      <c r="R532" s="52"/>
      <c r="S532" s="52"/>
      <c r="T532" s="52" t="s">
        <v>3695</v>
      </c>
      <c r="U532" s="52" t="s">
        <v>3695</v>
      </c>
      <c r="V532" s="52"/>
      <c r="W532" s="52"/>
      <c r="X532" s="52"/>
      <c r="Y532" s="52"/>
      <c r="Z532" s="52" t="s">
        <v>3696</v>
      </c>
      <c r="AA532" s="52" t="s">
        <v>836</v>
      </c>
      <c r="AB532" s="52" t="s">
        <v>79</v>
      </c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>
        <v>0</v>
      </c>
      <c r="AT532" s="52"/>
      <c r="AU532" s="52"/>
      <c r="AV532" s="52" t="s">
        <v>840</v>
      </c>
      <c r="AW532" s="52"/>
    </row>
    <row r="533" spans="1:49">
      <c r="A533" s="52">
        <v>6021363</v>
      </c>
      <c r="B533" s="52" t="s">
        <v>3691</v>
      </c>
      <c r="C533" s="52" t="s">
        <v>3698</v>
      </c>
      <c r="D533" s="53">
        <v>46155.75</v>
      </c>
      <c r="E533" s="53">
        <v>46155.323611111111</v>
      </c>
      <c r="F533" s="52"/>
      <c r="G533" s="52"/>
      <c r="H533" s="52"/>
      <c r="I533" s="52"/>
      <c r="J533" s="52" t="s">
        <v>3694</v>
      </c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 t="s">
        <v>3696</v>
      </c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>
        <v>0</v>
      </c>
      <c r="AT533" s="52"/>
      <c r="AU533" s="52"/>
      <c r="AV533" s="52"/>
      <c r="AW533" s="52"/>
    </row>
    <row r="534" spans="1:49">
      <c r="A534" s="52">
        <v>6021364</v>
      </c>
      <c r="B534" s="52" t="s">
        <v>3699</v>
      </c>
      <c r="C534" s="52" t="s">
        <v>3692</v>
      </c>
      <c r="D534" s="53">
        <v>46155.375</v>
      </c>
      <c r="E534" s="53">
        <v>46154.669444444444</v>
      </c>
      <c r="F534" s="53">
        <v>46155.78125</v>
      </c>
      <c r="G534" s="53">
        <v>46167.333333333336</v>
      </c>
      <c r="H534" s="53">
        <v>46155.853472222225</v>
      </c>
      <c r="I534" s="52" t="s">
        <v>3693</v>
      </c>
      <c r="J534" s="52" t="s">
        <v>3693</v>
      </c>
      <c r="K534" s="53">
        <v>46155.853472222225</v>
      </c>
      <c r="L534" s="52" t="s">
        <v>3700</v>
      </c>
      <c r="M534" s="54">
        <v>11.958333333333334</v>
      </c>
      <c r="N534" s="54">
        <v>3.0812499999999998</v>
      </c>
      <c r="O534" s="52"/>
      <c r="P534" s="52"/>
      <c r="Q534" s="52"/>
      <c r="R534" s="52"/>
      <c r="S534" s="52"/>
      <c r="T534" s="52" t="s">
        <v>3695</v>
      </c>
      <c r="U534" s="52" t="s">
        <v>3695</v>
      </c>
      <c r="V534" s="52"/>
      <c r="W534" s="52"/>
      <c r="X534" s="52"/>
      <c r="Y534" s="52"/>
      <c r="Z534" s="52" t="s">
        <v>3696</v>
      </c>
      <c r="AA534" s="52" t="s">
        <v>1246</v>
      </c>
      <c r="AB534" s="52" t="s">
        <v>140</v>
      </c>
      <c r="AC534" s="52" t="s">
        <v>3703</v>
      </c>
      <c r="AD534" s="52" t="s">
        <v>3704</v>
      </c>
      <c r="AE534" s="52"/>
      <c r="AF534" s="52" t="s">
        <v>3737</v>
      </c>
      <c r="AG534" s="52" t="s">
        <v>3704</v>
      </c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>
        <v>0</v>
      </c>
      <c r="AT534" s="52"/>
      <c r="AU534" s="52"/>
      <c r="AV534" s="52" t="s">
        <v>1296</v>
      </c>
      <c r="AW534" s="52"/>
    </row>
    <row r="535" spans="1:49">
      <c r="A535" s="52">
        <v>6021364</v>
      </c>
      <c r="B535" s="52" t="s">
        <v>3699</v>
      </c>
      <c r="C535" s="52" t="s">
        <v>3698</v>
      </c>
      <c r="D535" s="53">
        <v>46155.375</v>
      </c>
      <c r="E535" s="53">
        <v>46154.669444444444</v>
      </c>
      <c r="F535" s="53">
        <v>46155.821527777778</v>
      </c>
      <c r="G535" s="53">
        <v>46167.333333333336</v>
      </c>
      <c r="H535" s="52"/>
      <c r="I535" s="52"/>
      <c r="J535" s="52" t="s">
        <v>3693</v>
      </c>
      <c r="K535" s="52"/>
      <c r="L535" s="52"/>
      <c r="M535" s="54">
        <v>11.511805555555556</v>
      </c>
      <c r="N535" s="54">
        <v>2.6347222222222224</v>
      </c>
      <c r="O535" s="52" t="s">
        <v>3940</v>
      </c>
      <c r="P535" s="52" t="s">
        <v>1246</v>
      </c>
      <c r="Q535" s="52" t="s">
        <v>3279</v>
      </c>
      <c r="R535" s="52"/>
      <c r="S535" s="52" t="s">
        <v>3756</v>
      </c>
      <c r="T535" s="52" t="s">
        <v>3695</v>
      </c>
      <c r="U535" s="52" t="s">
        <v>3695</v>
      </c>
      <c r="V535" s="52" t="s">
        <v>3281</v>
      </c>
      <c r="W535" s="52">
        <v>49933173871</v>
      </c>
      <c r="X535" s="52" t="s">
        <v>73</v>
      </c>
      <c r="Y535" s="52" t="s">
        <v>3738</v>
      </c>
      <c r="Z535" s="52" t="s">
        <v>3696</v>
      </c>
      <c r="AA535" s="52" t="s">
        <v>3710</v>
      </c>
      <c r="AB535" s="52"/>
      <c r="AC535" s="52" t="s">
        <v>3703</v>
      </c>
      <c r="AD535" s="52" t="s">
        <v>3704</v>
      </c>
      <c r="AE535" s="52" t="s">
        <v>140</v>
      </c>
      <c r="AF535" s="52" t="s">
        <v>3737</v>
      </c>
      <c r="AG535" s="52" t="s">
        <v>3704</v>
      </c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 t="s">
        <v>3696</v>
      </c>
      <c r="AT535" s="52"/>
      <c r="AU535" s="52"/>
      <c r="AV535" s="52"/>
      <c r="AW535" s="52"/>
    </row>
    <row r="536" spans="1:49">
      <c r="A536" s="52">
        <v>6021364</v>
      </c>
      <c r="B536" s="52" t="s">
        <v>3699</v>
      </c>
      <c r="C536" s="52" t="s">
        <v>3698</v>
      </c>
      <c r="D536" s="53">
        <v>46155.375</v>
      </c>
      <c r="E536" s="53">
        <v>46154.669444444444</v>
      </c>
      <c r="F536" s="53">
        <v>46155.821527777778</v>
      </c>
      <c r="G536" s="53">
        <v>46167.333333333336</v>
      </c>
      <c r="H536" s="52"/>
      <c r="I536" s="52"/>
      <c r="J536" s="52" t="s">
        <v>3693</v>
      </c>
      <c r="K536" s="52"/>
      <c r="L536" s="52"/>
      <c r="M536" s="54">
        <v>11.511805555555556</v>
      </c>
      <c r="N536" s="54">
        <v>2.6347222222222224</v>
      </c>
      <c r="O536" s="52" t="s">
        <v>3940</v>
      </c>
      <c r="P536" s="52" t="s">
        <v>1246</v>
      </c>
      <c r="Q536" s="52" t="s">
        <v>3279</v>
      </c>
      <c r="R536" s="52"/>
      <c r="S536" s="52" t="s">
        <v>3756</v>
      </c>
      <c r="T536" s="52" t="s">
        <v>3695</v>
      </c>
      <c r="U536" s="52" t="s">
        <v>3695</v>
      </c>
      <c r="V536" s="52" t="s">
        <v>3281</v>
      </c>
      <c r="W536" s="52">
        <v>49933173871</v>
      </c>
      <c r="X536" s="52" t="s">
        <v>73</v>
      </c>
      <c r="Y536" s="52" t="s">
        <v>3738</v>
      </c>
      <c r="Z536" s="52" t="s">
        <v>3696</v>
      </c>
      <c r="AA536" s="52" t="s">
        <v>3710</v>
      </c>
      <c r="AB536" s="52"/>
      <c r="AC536" s="52" t="s">
        <v>3703</v>
      </c>
      <c r="AD536" s="52" t="s">
        <v>3704</v>
      </c>
      <c r="AE536" s="52"/>
      <c r="AF536" s="52" t="s">
        <v>3737</v>
      </c>
      <c r="AG536" s="52" t="s">
        <v>3704</v>
      </c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 t="s">
        <v>3696</v>
      </c>
      <c r="AT536" s="52"/>
      <c r="AU536" s="52"/>
      <c r="AV536" s="52"/>
      <c r="AW536" s="52" t="s">
        <v>1296</v>
      </c>
    </row>
    <row r="537" spans="1:49">
      <c r="A537" s="52">
        <v>6021364</v>
      </c>
      <c r="B537" s="52" t="s">
        <v>3699</v>
      </c>
      <c r="C537" s="52" t="s">
        <v>3698</v>
      </c>
      <c r="D537" s="53">
        <v>46155.375</v>
      </c>
      <c r="E537" s="53">
        <v>46154.669444444444</v>
      </c>
      <c r="F537" s="53">
        <v>46155.82916666667</v>
      </c>
      <c r="G537" s="53">
        <v>46167.333333333336</v>
      </c>
      <c r="H537" s="53">
        <v>46155.872916666667</v>
      </c>
      <c r="I537" s="52"/>
      <c r="J537" s="52" t="s">
        <v>3693</v>
      </c>
      <c r="K537" s="52"/>
      <c r="L537" s="52"/>
      <c r="M537" s="54">
        <v>11.504166666666666</v>
      </c>
      <c r="N537" s="54">
        <v>2.6270833333333332</v>
      </c>
      <c r="O537" s="52" t="s">
        <v>3280</v>
      </c>
      <c r="P537" s="52" t="s">
        <v>1246</v>
      </c>
      <c r="Q537" s="52" t="s">
        <v>3279</v>
      </c>
      <c r="R537" s="52"/>
      <c r="S537" s="52" t="s">
        <v>789</v>
      </c>
      <c r="T537" s="52" t="s">
        <v>3736</v>
      </c>
      <c r="U537" s="52" t="s">
        <v>3941</v>
      </c>
      <c r="V537" s="52" t="s">
        <v>3281</v>
      </c>
      <c r="W537" s="52">
        <v>49933173871</v>
      </c>
      <c r="X537" s="52" t="s">
        <v>73</v>
      </c>
      <c r="Y537" s="52" t="s">
        <v>3738</v>
      </c>
      <c r="Z537" s="52" t="s">
        <v>3696</v>
      </c>
      <c r="AA537" s="52" t="s">
        <v>3710</v>
      </c>
      <c r="AB537" s="52"/>
      <c r="AC537" s="52" t="s">
        <v>3703</v>
      </c>
      <c r="AD537" s="52" t="s">
        <v>3704</v>
      </c>
      <c r="AE537" s="52" t="s">
        <v>140</v>
      </c>
      <c r="AF537" s="52" t="s">
        <v>3737</v>
      </c>
      <c r="AG537" s="52" t="s">
        <v>3704</v>
      </c>
      <c r="AH537" s="52"/>
      <c r="AI537" s="52"/>
      <c r="AJ537" s="52"/>
      <c r="AK537" s="52"/>
      <c r="AL537" s="55">
        <v>4.027777777777778E-2</v>
      </c>
      <c r="AM537" s="52"/>
      <c r="AN537" s="52"/>
      <c r="AO537" s="52"/>
      <c r="AP537" s="55">
        <v>4.027777777777778E-2</v>
      </c>
      <c r="AQ537" s="52"/>
      <c r="AR537" s="52"/>
      <c r="AS537" s="52" t="s">
        <v>3696</v>
      </c>
      <c r="AT537" s="52"/>
      <c r="AU537" s="52"/>
      <c r="AV537" s="52"/>
      <c r="AW537" s="52"/>
    </row>
    <row r="538" spans="1:49">
      <c r="A538" s="52">
        <v>6021364</v>
      </c>
      <c r="B538" s="52" t="s">
        <v>3699</v>
      </c>
      <c r="C538" s="52" t="s">
        <v>3698</v>
      </c>
      <c r="D538" s="53">
        <v>46155.375</v>
      </c>
      <c r="E538" s="53">
        <v>46154.669444444444</v>
      </c>
      <c r="F538" s="53">
        <v>46155.82916666667</v>
      </c>
      <c r="G538" s="53">
        <v>46167.333333333336</v>
      </c>
      <c r="H538" s="53">
        <v>46155.872916666667</v>
      </c>
      <c r="I538" s="52"/>
      <c r="J538" s="52" t="s">
        <v>3693</v>
      </c>
      <c r="K538" s="52"/>
      <c r="L538" s="52"/>
      <c r="M538" s="54">
        <v>11.504166666666666</v>
      </c>
      <c r="N538" s="54">
        <v>2.6270833333333332</v>
      </c>
      <c r="O538" s="52" t="s">
        <v>3280</v>
      </c>
      <c r="P538" s="52" t="s">
        <v>1246</v>
      </c>
      <c r="Q538" s="52" t="s">
        <v>3279</v>
      </c>
      <c r="R538" s="52"/>
      <c r="S538" s="52" t="s">
        <v>789</v>
      </c>
      <c r="T538" s="52" t="s">
        <v>3736</v>
      </c>
      <c r="U538" s="52" t="s">
        <v>3941</v>
      </c>
      <c r="V538" s="52" t="s">
        <v>3281</v>
      </c>
      <c r="W538" s="52">
        <v>49933173871</v>
      </c>
      <c r="X538" s="52" t="s">
        <v>73</v>
      </c>
      <c r="Y538" s="52" t="s">
        <v>3738</v>
      </c>
      <c r="Z538" s="52" t="s">
        <v>3696</v>
      </c>
      <c r="AA538" s="52" t="s">
        <v>3710</v>
      </c>
      <c r="AB538" s="52"/>
      <c r="AC538" s="52" t="s">
        <v>3703</v>
      </c>
      <c r="AD538" s="52" t="s">
        <v>3704</v>
      </c>
      <c r="AE538" s="52"/>
      <c r="AF538" s="52" t="s">
        <v>3737</v>
      </c>
      <c r="AG538" s="52" t="s">
        <v>3704</v>
      </c>
      <c r="AH538" s="52"/>
      <c r="AI538" s="52"/>
      <c r="AJ538" s="52"/>
      <c r="AK538" s="52"/>
      <c r="AL538" s="55">
        <v>4.027777777777778E-2</v>
      </c>
      <c r="AM538" s="52"/>
      <c r="AN538" s="52"/>
      <c r="AO538" s="52"/>
      <c r="AP538" s="55">
        <v>4.027777777777778E-2</v>
      </c>
      <c r="AQ538" s="52"/>
      <c r="AR538" s="52"/>
      <c r="AS538" s="52" t="s">
        <v>3696</v>
      </c>
      <c r="AT538" s="52"/>
      <c r="AU538" s="52"/>
      <c r="AV538" s="52"/>
      <c r="AW538" s="52" t="s">
        <v>1296</v>
      </c>
    </row>
    <row r="539" spans="1:49">
      <c r="A539" s="52">
        <v>6021376</v>
      </c>
      <c r="B539" s="52" t="s">
        <v>3699</v>
      </c>
      <c r="C539" s="52" t="s">
        <v>3692</v>
      </c>
      <c r="D539" s="53">
        <v>46155.5625</v>
      </c>
      <c r="E539" s="53">
        <v>46155.323611111111</v>
      </c>
      <c r="F539" s="53">
        <v>46155.421527777777</v>
      </c>
      <c r="G539" s="53">
        <v>46156.541666666664</v>
      </c>
      <c r="H539" s="53">
        <v>46156.649305555555</v>
      </c>
      <c r="I539" s="52" t="s">
        <v>3693</v>
      </c>
      <c r="J539" s="52" t="s">
        <v>3693</v>
      </c>
      <c r="K539" s="53">
        <v>46156.649305555555</v>
      </c>
      <c r="L539" s="52" t="s">
        <v>3711</v>
      </c>
      <c r="M539" s="55">
        <v>0.40416666666666667</v>
      </c>
      <c r="N539" s="54">
        <v>2.3187500000000001</v>
      </c>
      <c r="O539" s="52"/>
      <c r="P539" s="52"/>
      <c r="Q539" s="52"/>
      <c r="R539" s="52"/>
      <c r="S539" s="52"/>
      <c r="T539" s="52" t="s">
        <v>3695</v>
      </c>
      <c r="U539" s="52" t="s">
        <v>3741</v>
      </c>
      <c r="V539" s="52"/>
      <c r="W539" s="52"/>
      <c r="X539" s="52"/>
      <c r="Y539" s="52"/>
      <c r="Z539" s="52" t="s">
        <v>3696</v>
      </c>
      <c r="AA539" s="52" t="s">
        <v>184</v>
      </c>
      <c r="AB539" s="52" t="s">
        <v>79</v>
      </c>
      <c r="AC539" s="52" t="s">
        <v>3720</v>
      </c>
      <c r="AD539" s="52" t="s">
        <v>3715</v>
      </c>
      <c r="AE539" s="52"/>
      <c r="AF539" s="52" t="s">
        <v>4012</v>
      </c>
      <c r="AG539" s="52" t="s">
        <v>3704</v>
      </c>
      <c r="AH539" s="52"/>
      <c r="AI539" s="52"/>
      <c r="AJ539" s="52"/>
      <c r="AK539" s="52"/>
      <c r="AL539" s="55">
        <v>0.27916666666666667</v>
      </c>
      <c r="AM539" s="52"/>
      <c r="AN539" s="52"/>
      <c r="AO539" s="52"/>
      <c r="AP539" s="52"/>
      <c r="AQ539" s="52"/>
      <c r="AR539" s="52"/>
      <c r="AS539" s="52">
        <v>0</v>
      </c>
      <c r="AT539" s="52"/>
      <c r="AU539" s="52"/>
      <c r="AV539" s="52" t="s">
        <v>3203</v>
      </c>
      <c r="AW539" s="52"/>
    </row>
    <row r="540" spans="1:49">
      <c r="A540" s="52">
        <v>6021376</v>
      </c>
      <c r="B540" s="52" t="s">
        <v>3699</v>
      </c>
      <c r="C540" s="52" t="s">
        <v>3698</v>
      </c>
      <c r="D540" s="53">
        <v>46155.5625</v>
      </c>
      <c r="E540" s="53">
        <v>46155.323611111111</v>
      </c>
      <c r="F540" s="53">
        <v>46155.694444444445</v>
      </c>
      <c r="G540" s="53">
        <v>46156.541666666664</v>
      </c>
      <c r="H540" s="53">
        <v>46156.684027777781</v>
      </c>
      <c r="I540" s="52"/>
      <c r="J540" s="52" t="s">
        <v>3693</v>
      </c>
      <c r="K540" s="53">
        <v>46156.649305555555</v>
      </c>
      <c r="L540" s="52"/>
      <c r="M540" s="55">
        <v>0.84722222222222221</v>
      </c>
      <c r="N540" s="54">
        <v>2.7618055555555556</v>
      </c>
      <c r="O540" s="52" t="s">
        <v>3199</v>
      </c>
      <c r="P540" s="52" t="s">
        <v>184</v>
      </c>
      <c r="Q540" s="52" t="s">
        <v>3198</v>
      </c>
      <c r="R540" s="52" t="s">
        <v>3204</v>
      </c>
      <c r="S540" s="52" t="s">
        <v>789</v>
      </c>
      <c r="T540" s="52" t="s">
        <v>3695</v>
      </c>
      <c r="U540" s="52" t="s">
        <v>3741</v>
      </c>
      <c r="V540" s="52" t="s">
        <v>3205</v>
      </c>
      <c r="W540" s="52">
        <v>48697838860</v>
      </c>
      <c r="X540" s="52" t="s">
        <v>73</v>
      </c>
      <c r="Y540" s="52"/>
      <c r="Z540" s="52" t="s">
        <v>3696</v>
      </c>
      <c r="AA540" s="52" t="s">
        <v>3710</v>
      </c>
      <c r="AB540" s="52"/>
      <c r="AC540" s="52" t="s">
        <v>3720</v>
      </c>
      <c r="AD540" s="52" t="s">
        <v>3715</v>
      </c>
      <c r="AE540" s="52" t="s">
        <v>79</v>
      </c>
      <c r="AF540" s="52" t="s">
        <v>4012</v>
      </c>
      <c r="AG540" s="52" t="s">
        <v>3704</v>
      </c>
      <c r="AH540" s="52"/>
      <c r="AI540" s="53">
        <v>46155.636111111111</v>
      </c>
      <c r="AJ540" s="53">
        <v>46155.915277777778</v>
      </c>
      <c r="AK540" s="53">
        <v>46155.636111111111</v>
      </c>
      <c r="AL540" s="55">
        <v>0.31111111111111112</v>
      </c>
      <c r="AM540" s="52"/>
      <c r="AN540" s="55">
        <v>0.27916666666666667</v>
      </c>
      <c r="AO540" s="55">
        <v>3.1944444444444442E-2</v>
      </c>
      <c r="AP540" s="55">
        <v>0.31111111111111112</v>
      </c>
      <c r="AQ540" s="52"/>
      <c r="AR540" s="52"/>
      <c r="AS540" s="52" t="s">
        <v>3696</v>
      </c>
      <c r="AT540" s="52"/>
      <c r="AU540" s="52"/>
      <c r="AV540" s="52"/>
      <c r="AW540" s="52"/>
    </row>
    <row r="541" spans="1:49">
      <c r="A541" s="52">
        <v>6021376</v>
      </c>
      <c r="B541" s="52" t="s">
        <v>3699</v>
      </c>
      <c r="C541" s="52" t="s">
        <v>3698</v>
      </c>
      <c r="D541" s="53">
        <v>46155.5625</v>
      </c>
      <c r="E541" s="53">
        <v>46155.323611111111</v>
      </c>
      <c r="F541" s="53">
        <v>46155.694444444445</v>
      </c>
      <c r="G541" s="53">
        <v>46156.541666666664</v>
      </c>
      <c r="H541" s="53">
        <v>46156.684027777781</v>
      </c>
      <c r="I541" s="52"/>
      <c r="J541" s="52" t="s">
        <v>3693</v>
      </c>
      <c r="K541" s="53">
        <v>46156.649305555555</v>
      </c>
      <c r="L541" s="52"/>
      <c r="M541" s="55">
        <v>0.84722222222222221</v>
      </c>
      <c r="N541" s="54">
        <v>2.7618055555555556</v>
      </c>
      <c r="O541" s="52" t="s">
        <v>3199</v>
      </c>
      <c r="P541" s="52" t="s">
        <v>184</v>
      </c>
      <c r="Q541" s="52" t="s">
        <v>3198</v>
      </c>
      <c r="R541" s="52" t="s">
        <v>3204</v>
      </c>
      <c r="S541" s="52" t="s">
        <v>789</v>
      </c>
      <c r="T541" s="52" t="s">
        <v>3695</v>
      </c>
      <c r="U541" s="52" t="s">
        <v>3741</v>
      </c>
      <c r="V541" s="52" t="s">
        <v>3205</v>
      </c>
      <c r="W541" s="52">
        <v>48697838860</v>
      </c>
      <c r="X541" s="52" t="s">
        <v>73</v>
      </c>
      <c r="Y541" s="52"/>
      <c r="Z541" s="52" t="s">
        <v>3696</v>
      </c>
      <c r="AA541" s="52" t="s">
        <v>3710</v>
      </c>
      <c r="AB541" s="52"/>
      <c r="AC541" s="52" t="s">
        <v>3720</v>
      </c>
      <c r="AD541" s="52" t="s">
        <v>3715</v>
      </c>
      <c r="AE541" s="52"/>
      <c r="AF541" s="52" t="s">
        <v>4012</v>
      </c>
      <c r="AG541" s="52" t="s">
        <v>3704</v>
      </c>
      <c r="AH541" s="52"/>
      <c r="AI541" s="53">
        <v>46155.636111111111</v>
      </c>
      <c r="AJ541" s="53">
        <v>46155.915277777778</v>
      </c>
      <c r="AK541" s="53">
        <v>46155.636111111111</v>
      </c>
      <c r="AL541" s="55">
        <v>0.31111111111111112</v>
      </c>
      <c r="AM541" s="52"/>
      <c r="AN541" s="55">
        <v>0.27916666666666667</v>
      </c>
      <c r="AO541" s="55">
        <v>3.1944444444444442E-2</v>
      </c>
      <c r="AP541" s="55">
        <v>0.31111111111111112</v>
      </c>
      <c r="AQ541" s="52"/>
      <c r="AR541" s="52"/>
      <c r="AS541" s="52" t="s">
        <v>3696</v>
      </c>
      <c r="AT541" s="52"/>
      <c r="AU541" s="52"/>
      <c r="AV541" s="52"/>
      <c r="AW541" s="52" t="s">
        <v>3203</v>
      </c>
    </row>
    <row r="542" spans="1:49">
      <c r="A542" s="52">
        <v>6021377</v>
      </c>
      <c r="B542" s="52" t="s">
        <v>3699</v>
      </c>
      <c r="C542" s="52" t="s">
        <v>3692</v>
      </c>
      <c r="D542" s="53">
        <v>46155.5625</v>
      </c>
      <c r="E542" s="53">
        <v>46155.323611111111</v>
      </c>
      <c r="F542" s="53">
        <v>46155.421527777777</v>
      </c>
      <c r="G542" s="53">
        <v>46156.541666666664</v>
      </c>
      <c r="H542" s="53">
        <v>46156.649305555555</v>
      </c>
      <c r="I542" s="52" t="s">
        <v>3693</v>
      </c>
      <c r="J542" s="52" t="s">
        <v>3693</v>
      </c>
      <c r="K542" s="53">
        <v>46156.649305555555</v>
      </c>
      <c r="L542" s="52" t="s">
        <v>3711</v>
      </c>
      <c r="M542" s="55">
        <v>0.40416666666666667</v>
      </c>
      <c r="N542" s="54">
        <v>2.3187500000000001</v>
      </c>
      <c r="O542" s="52"/>
      <c r="P542" s="52"/>
      <c r="Q542" s="52"/>
      <c r="R542" s="52"/>
      <c r="S542" s="52"/>
      <c r="T542" s="52" t="s">
        <v>3695</v>
      </c>
      <c r="U542" s="52" t="s">
        <v>3741</v>
      </c>
      <c r="V542" s="52"/>
      <c r="W542" s="52"/>
      <c r="X542" s="52"/>
      <c r="Y542" s="52"/>
      <c r="Z542" s="52" t="s">
        <v>3696</v>
      </c>
      <c r="AA542" s="52" t="s">
        <v>184</v>
      </c>
      <c r="AB542" s="52" t="s">
        <v>79</v>
      </c>
      <c r="AC542" s="52" t="s">
        <v>3720</v>
      </c>
      <c r="AD542" s="52" t="s">
        <v>3715</v>
      </c>
      <c r="AE542" s="52"/>
      <c r="AF542" s="52" t="s">
        <v>4012</v>
      </c>
      <c r="AG542" s="52" t="s">
        <v>3704</v>
      </c>
      <c r="AH542" s="52"/>
      <c r="AI542" s="52"/>
      <c r="AJ542" s="52"/>
      <c r="AK542" s="52"/>
      <c r="AL542" s="55">
        <v>0.27916666666666667</v>
      </c>
      <c r="AM542" s="52"/>
      <c r="AN542" s="52"/>
      <c r="AO542" s="52"/>
      <c r="AP542" s="52"/>
      <c r="AQ542" s="52"/>
      <c r="AR542" s="52"/>
      <c r="AS542" s="52">
        <v>0</v>
      </c>
      <c r="AT542" s="52"/>
      <c r="AU542" s="52"/>
      <c r="AV542" s="52" t="s">
        <v>3203</v>
      </c>
      <c r="AW542" s="52"/>
    </row>
    <row r="543" spans="1:49">
      <c r="A543" s="52">
        <v>6021377</v>
      </c>
      <c r="B543" s="52" t="s">
        <v>3699</v>
      </c>
      <c r="C543" s="52" t="s">
        <v>3698</v>
      </c>
      <c r="D543" s="53">
        <v>46155.5625</v>
      </c>
      <c r="E543" s="53">
        <v>46155.323611111111</v>
      </c>
      <c r="F543" s="53">
        <v>46155.694444444445</v>
      </c>
      <c r="G543" s="53">
        <v>46156.541666666664</v>
      </c>
      <c r="H543" s="53">
        <v>46156.684027777781</v>
      </c>
      <c r="I543" s="52"/>
      <c r="J543" s="52" t="s">
        <v>3693</v>
      </c>
      <c r="K543" s="53">
        <v>46156.649305555555</v>
      </c>
      <c r="L543" s="52"/>
      <c r="M543" s="55">
        <v>0.84722222222222221</v>
      </c>
      <c r="N543" s="54">
        <v>2.7618055555555556</v>
      </c>
      <c r="O543" s="52" t="s">
        <v>3199</v>
      </c>
      <c r="P543" s="52" t="s">
        <v>184</v>
      </c>
      <c r="Q543" s="52" t="s">
        <v>3198</v>
      </c>
      <c r="R543" s="52" t="s">
        <v>3204</v>
      </c>
      <c r="S543" s="52" t="s">
        <v>789</v>
      </c>
      <c r="T543" s="52" t="s">
        <v>3695</v>
      </c>
      <c r="U543" s="52" t="s">
        <v>3741</v>
      </c>
      <c r="V543" s="52" t="s">
        <v>3205</v>
      </c>
      <c r="W543" s="52">
        <v>48697838860</v>
      </c>
      <c r="X543" s="52" t="s">
        <v>73</v>
      </c>
      <c r="Y543" s="52"/>
      <c r="Z543" s="52" t="s">
        <v>3696</v>
      </c>
      <c r="AA543" s="52" t="s">
        <v>3710</v>
      </c>
      <c r="AB543" s="52"/>
      <c r="AC543" s="52" t="s">
        <v>3720</v>
      </c>
      <c r="AD543" s="52" t="s">
        <v>3715</v>
      </c>
      <c r="AE543" s="52" t="s">
        <v>79</v>
      </c>
      <c r="AF543" s="52" t="s">
        <v>4012</v>
      </c>
      <c r="AG543" s="52" t="s">
        <v>3704</v>
      </c>
      <c r="AH543" s="52"/>
      <c r="AI543" s="53">
        <v>46155.636111111111</v>
      </c>
      <c r="AJ543" s="53">
        <v>46155.915277777778</v>
      </c>
      <c r="AK543" s="53">
        <v>46155.636111111111</v>
      </c>
      <c r="AL543" s="55">
        <v>0.31111111111111112</v>
      </c>
      <c r="AM543" s="52"/>
      <c r="AN543" s="55">
        <v>0.27916666666666667</v>
      </c>
      <c r="AO543" s="55">
        <v>3.1944444444444442E-2</v>
      </c>
      <c r="AP543" s="55">
        <v>0.31111111111111112</v>
      </c>
      <c r="AQ543" s="52"/>
      <c r="AR543" s="52"/>
      <c r="AS543" s="52" t="s">
        <v>3696</v>
      </c>
      <c r="AT543" s="52"/>
      <c r="AU543" s="52"/>
      <c r="AV543" s="52"/>
      <c r="AW543" s="52"/>
    </row>
    <row r="544" spans="1:49">
      <c r="A544" s="52">
        <v>6021377</v>
      </c>
      <c r="B544" s="52" t="s">
        <v>3699</v>
      </c>
      <c r="C544" s="52" t="s">
        <v>3698</v>
      </c>
      <c r="D544" s="53">
        <v>46155.5625</v>
      </c>
      <c r="E544" s="53">
        <v>46155.323611111111</v>
      </c>
      <c r="F544" s="53">
        <v>46155.694444444445</v>
      </c>
      <c r="G544" s="53">
        <v>46156.541666666664</v>
      </c>
      <c r="H544" s="53">
        <v>46156.684027777781</v>
      </c>
      <c r="I544" s="52"/>
      <c r="J544" s="52" t="s">
        <v>3693</v>
      </c>
      <c r="K544" s="53">
        <v>46156.649305555555</v>
      </c>
      <c r="L544" s="52"/>
      <c r="M544" s="55">
        <v>0.84722222222222221</v>
      </c>
      <c r="N544" s="54">
        <v>2.7618055555555556</v>
      </c>
      <c r="O544" s="52" t="s">
        <v>3199</v>
      </c>
      <c r="P544" s="52" t="s">
        <v>184</v>
      </c>
      <c r="Q544" s="52" t="s">
        <v>3198</v>
      </c>
      <c r="R544" s="52" t="s">
        <v>3204</v>
      </c>
      <c r="S544" s="52" t="s">
        <v>789</v>
      </c>
      <c r="T544" s="52" t="s">
        <v>3695</v>
      </c>
      <c r="U544" s="52" t="s">
        <v>3741</v>
      </c>
      <c r="V544" s="52" t="s">
        <v>3205</v>
      </c>
      <c r="W544" s="52">
        <v>48697838860</v>
      </c>
      <c r="X544" s="52" t="s">
        <v>73</v>
      </c>
      <c r="Y544" s="52"/>
      <c r="Z544" s="52" t="s">
        <v>3696</v>
      </c>
      <c r="AA544" s="52" t="s">
        <v>3710</v>
      </c>
      <c r="AB544" s="52"/>
      <c r="AC544" s="52" t="s">
        <v>3720</v>
      </c>
      <c r="AD544" s="52" t="s">
        <v>3715</v>
      </c>
      <c r="AE544" s="52"/>
      <c r="AF544" s="52" t="s">
        <v>4012</v>
      </c>
      <c r="AG544" s="52" t="s">
        <v>3704</v>
      </c>
      <c r="AH544" s="52"/>
      <c r="AI544" s="53">
        <v>46155.636111111111</v>
      </c>
      <c r="AJ544" s="53">
        <v>46155.915277777778</v>
      </c>
      <c r="AK544" s="53">
        <v>46155.636111111111</v>
      </c>
      <c r="AL544" s="55">
        <v>0.31111111111111112</v>
      </c>
      <c r="AM544" s="52"/>
      <c r="AN544" s="55">
        <v>0.27916666666666667</v>
      </c>
      <c r="AO544" s="55">
        <v>3.1944444444444442E-2</v>
      </c>
      <c r="AP544" s="55">
        <v>0.31111111111111112</v>
      </c>
      <c r="AQ544" s="52"/>
      <c r="AR544" s="52"/>
      <c r="AS544" s="52" t="s">
        <v>3696</v>
      </c>
      <c r="AT544" s="52"/>
      <c r="AU544" s="52"/>
      <c r="AV544" s="52"/>
      <c r="AW544" s="52" t="s">
        <v>3203</v>
      </c>
    </row>
    <row r="545" spans="1:49">
      <c r="A545" s="52">
        <v>6021427</v>
      </c>
      <c r="B545" s="52" t="s">
        <v>3691</v>
      </c>
      <c r="C545" s="52" t="s">
        <v>3692</v>
      </c>
      <c r="D545" s="53">
        <v>46155.75</v>
      </c>
      <c r="E545" s="53">
        <v>46155.323611111111</v>
      </c>
      <c r="F545" s="52"/>
      <c r="G545" s="52"/>
      <c r="H545" s="52"/>
      <c r="I545" s="52" t="s">
        <v>3693</v>
      </c>
      <c r="J545" s="52" t="s">
        <v>3694</v>
      </c>
      <c r="K545" s="52"/>
      <c r="L545" s="52"/>
      <c r="M545" s="55">
        <v>0.44236111111111109</v>
      </c>
      <c r="N545" s="54">
        <v>2.4763888888888888</v>
      </c>
      <c r="O545" s="52"/>
      <c r="P545" s="52"/>
      <c r="Q545" s="52"/>
      <c r="R545" s="52"/>
      <c r="S545" s="52"/>
      <c r="T545" s="52" t="s">
        <v>3695</v>
      </c>
      <c r="U545" s="52" t="s">
        <v>3695</v>
      </c>
      <c r="V545" s="52"/>
      <c r="W545" s="52"/>
      <c r="X545" s="52"/>
      <c r="Y545" s="52"/>
      <c r="Z545" s="52" t="s">
        <v>3696</v>
      </c>
      <c r="AA545" s="52" t="s">
        <v>836</v>
      </c>
      <c r="AB545" s="52" t="s">
        <v>79</v>
      </c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>
        <v>0</v>
      </c>
      <c r="AT545" s="52"/>
      <c r="AU545" s="52"/>
      <c r="AV545" s="52" t="s">
        <v>840</v>
      </c>
      <c r="AW545" s="52"/>
    </row>
    <row r="546" spans="1:49">
      <c r="A546" s="52">
        <v>6021427</v>
      </c>
      <c r="B546" s="52" t="s">
        <v>3691</v>
      </c>
      <c r="C546" s="52" t="s">
        <v>3698</v>
      </c>
      <c r="D546" s="53">
        <v>46155.75</v>
      </c>
      <c r="E546" s="53">
        <v>46155.323611111111</v>
      </c>
      <c r="F546" s="52"/>
      <c r="G546" s="52"/>
      <c r="H546" s="52"/>
      <c r="I546" s="52"/>
      <c r="J546" s="52" t="s">
        <v>3694</v>
      </c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 t="s">
        <v>3696</v>
      </c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>
        <v>0</v>
      </c>
      <c r="AT546" s="52"/>
      <c r="AU546" s="52"/>
      <c r="AV546" s="52"/>
      <c r="AW546" s="52"/>
    </row>
    <row r="547" spans="1:49">
      <c r="A547" s="52">
        <v>6021428</v>
      </c>
      <c r="B547" s="52" t="s">
        <v>3691</v>
      </c>
      <c r="C547" s="52" t="s">
        <v>3692</v>
      </c>
      <c r="D547" s="53">
        <v>46155.75</v>
      </c>
      <c r="E547" s="53">
        <v>46155.323611111111</v>
      </c>
      <c r="F547" s="52"/>
      <c r="G547" s="52"/>
      <c r="H547" s="52"/>
      <c r="I547" s="52" t="s">
        <v>3693</v>
      </c>
      <c r="J547" s="52" t="s">
        <v>3694</v>
      </c>
      <c r="K547" s="52"/>
      <c r="L547" s="52"/>
      <c r="M547" s="55">
        <v>0.44236111111111109</v>
      </c>
      <c r="N547" s="54">
        <v>2.4763888888888888</v>
      </c>
      <c r="O547" s="52"/>
      <c r="P547" s="52"/>
      <c r="Q547" s="52"/>
      <c r="R547" s="52"/>
      <c r="S547" s="52"/>
      <c r="T547" s="52" t="s">
        <v>3695</v>
      </c>
      <c r="U547" s="52" t="s">
        <v>3695</v>
      </c>
      <c r="V547" s="52"/>
      <c r="W547" s="52"/>
      <c r="X547" s="52"/>
      <c r="Y547" s="52"/>
      <c r="Z547" s="52" t="s">
        <v>3696</v>
      </c>
      <c r="AA547" s="52" t="s">
        <v>836</v>
      </c>
      <c r="AB547" s="52" t="s">
        <v>79</v>
      </c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>
        <v>0</v>
      </c>
      <c r="AT547" s="52"/>
      <c r="AU547" s="52"/>
      <c r="AV547" s="52" t="s">
        <v>840</v>
      </c>
      <c r="AW547" s="52"/>
    </row>
    <row r="548" spans="1:49">
      <c r="A548" s="52">
        <v>6021428</v>
      </c>
      <c r="B548" s="52" t="s">
        <v>3691</v>
      </c>
      <c r="C548" s="52" t="s">
        <v>3698</v>
      </c>
      <c r="D548" s="53">
        <v>46155.75</v>
      </c>
      <c r="E548" s="53">
        <v>46155.323611111111</v>
      </c>
      <c r="F548" s="52"/>
      <c r="G548" s="52"/>
      <c r="H548" s="52"/>
      <c r="I548" s="52"/>
      <c r="J548" s="52" t="s">
        <v>3694</v>
      </c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 t="s">
        <v>3696</v>
      </c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>
        <v>0</v>
      </c>
      <c r="AT548" s="52"/>
      <c r="AU548" s="52"/>
      <c r="AV548" s="52"/>
      <c r="AW548" s="52"/>
    </row>
    <row r="549" spans="1:49">
      <c r="A549" s="52">
        <v>6021429</v>
      </c>
      <c r="B549" s="52" t="s">
        <v>3691</v>
      </c>
      <c r="C549" s="52" t="s">
        <v>3692</v>
      </c>
      <c r="D549" s="53">
        <v>46155.75</v>
      </c>
      <c r="E549" s="53">
        <v>46155.323611111111</v>
      </c>
      <c r="F549" s="52"/>
      <c r="G549" s="52"/>
      <c r="H549" s="52"/>
      <c r="I549" s="52" t="s">
        <v>3693</v>
      </c>
      <c r="J549" s="52" t="s">
        <v>3694</v>
      </c>
      <c r="K549" s="52"/>
      <c r="L549" s="52"/>
      <c r="M549" s="55">
        <v>0.44236111111111109</v>
      </c>
      <c r="N549" s="54">
        <v>2.4763888888888888</v>
      </c>
      <c r="O549" s="52"/>
      <c r="P549" s="52"/>
      <c r="Q549" s="52"/>
      <c r="R549" s="52"/>
      <c r="S549" s="52"/>
      <c r="T549" s="52" t="s">
        <v>3695</v>
      </c>
      <c r="U549" s="52" t="s">
        <v>3695</v>
      </c>
      <c r="V549" s="52"/>
      <c r="W549" s="52"/>
      <c r="X549" s="52"/>
      <c r="Y549" s="52"/>
      <c r="Z549" s="52" t="s">
        <v>3696</v>
      </c>
      <c r="AA549" s="52" t="s">
        <v>836</v>
      </c>
      <c r="AB549" s="52" t="s">
        <v>79</v>
      </c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>
        <v>0</v>
      </c>
      <c r="AT549" s="52"/>
      <c r="AU549" s="52"/>
      <c r="AV549" s="52" t="s">
        <v>840</v>
      </c>
      <c r="AW549" s="52"/>
    </row>
    <row r="550" spans="1:49">
      <c r="A550" s="52">
        <v>6021429</v>
      </c>
      <c r="B550" s="52" t="s">
        <v>3691</v>
      </c>
      <c r="C550" s="52" t="s">
        <v>3698</v>
      </c>
      <c r="D550" s="53">
        <v>46155.75</v>
      </c>
      <c r="E550" s="53">
        <v>46155.323611111111</v>
      </c>
      <c r="F550" s="52"/>
      <c r="G550" s="52"/>
      <c r="H550" s="52"/>
      <c r="I550" s="52"/>
      <c r="J550" s="52" t="s">
        <v>3694</v>
      </c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 t="s">
        <v>3696</v>
      </c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>
        <v>0</v>
      </c>
      <c r="AT550" s="52"/>
      <c r="AU550" s="52"/>
      <c r="AV550" s="52"/>
      <c r="AW550" s="52"/>
    </row>
    <row r="551" spans="1:49">
      <c r="A551" s="52">
        <v>6021430</v>
      </c>
      <c r="B551" s="52" t="s">
        <v>3691</v>
      </c>
      <c r="C551" s="52" t="s">
        <v>3692</v>
      </c>
      <c r="D551" s="53">
        <v>46155.75</v>
      </c>
      <c r="E551" s="53">
        <v>46155.323611111111</v>
      </c>
      <c r="F551" s="52"/>
      <c r="G551" s="52"/>
      <c r="H551" s="52"/>
      <c r="I551" s="52" t="s">
        <v>3693</v>
      </c>
      <c r="J551" s="52" t="s">
        <v>3694</v>
      </c>
      <c r="K551" s="52"/>
      <c r="L551" s="52"/>
      <c r="M551" s="55">
        <v>0.44236111111111109</v>
      </c>
      <c r="N551" s="54">
        <v>2.4763888888888888</v>
      </c>
      <c r="O551" s="52"/>
      <c r="P551" s="52"/>
      <c r="Q551" s="52"/>
      <c r="R551" s="52"/>
      <c r="S551" s="52"/>
      <c r="T551" s="52" t="s">
        <v>3695</v>
      </c>
      <c r="U551" s="52" t="s">
        <v>3695</v>
      </c>
      <c r="V551" s="52"/>
      <c r="W551" s="52"/>
      <c r="X551" s="52"/>
      <c r="Y551" s="52"/>
      <c r="Z551" s="52" t="s">
        <v>3696</v>
      </c>
      <c r="AA551" s="52" t="s">
        <v>836</v>
      </c>
      <c r="AB551" s="52" t="s">
        <v>79</v>
      </c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>
        <v>0</v>
      </c>
      <c r="AT551" s="52"/>
      <c r="AU551" s="52"/>
      <c r="AV551" s="52" t="s">
        <v>840</v>
      </c>
      <c r="AW551" s="52"/>
    </row>
    <row r="552" spans="1:49">
      <c r="A552" s="52">
        <v>6021430</v>
      </c>
      <c r="B552" s="52" t="s">
        <v>3691</v>
      </c>
      <c r="C552" s="52" t="s">
        <v>3698</v>
      </c>
      <c r="D552" s="53">
        <v>46155.75</v>
      </c>
      <c r="E552" s="53">
        <v>46155.323611111111</v>
      </c>
      <c r="F552" s="52"/>
      <c r="G552" s="52"/>
      <c r="H552" s="52"/>
      <c r="I552" s="52"/>
      <c r="J552" s="52" t="s">
        <v>3694</v>
      </c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 t="s">
        <v>3696</v>
      </c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>
        <v>0</v>
      </c>
      <c r="AT552" s="52"/>
      <c r="AU552" s="52"/>
      <c r="AV552" s="52"/>
      <c r="AW552" s="52"/>
    </row>
    <row r="553" spans="1:49">
      <c r="A553" s="52">
        <v>6021431</v>
      </c>
      <c r="B553" s="52" t="s">
        <v>3691</v>
      </c>
      <c r="C553" s="52" t="s">
        <v>3692</v>
      </c>
      <c r="D553" s="53">
        <v>46155.75</v>
      </c>
      <c r="E553" s="53">
        <v>46155.323611111111</v>
      </c>
      <c r="F553" s="52"/>
      <c r="G553" s="52"/>
      <c r="H553" s="52"/>
      <c r="I553" s="52" t="s">
        <v>3693</v>
      </c>
      <c r="J553" s="52" t="s">
        <v>3694</v>
      </c>
      <c r="K553" s="52"/>
      <c r="L553" s="52"/>
      <c r="M553" s="55">
        <v>0.44236111111111109</v>
      </c>
      <c r="N553" s="54">
        <v>2.4763888888888888</v>
      </c>
      <c r="O553" s="52"/>
      <c r="P553" s="52"/>
      <c r="Q553" s="52"/>
      <c r="R553" s="52"/>
      <c r="S553" s="52"/>
      <c r="T553" s="52" t="s">
        <v>3695</v>
      </c>
      <c r="U553" s="52" t="s">
        <v>3695</v>
      </c>
      <c r="V553" s="52"/>
      <c r="W553" s="52"/>
      <c r="X553" s="52"/>
      <c r="Y553" s="52"/>
      <c r="Z553" s="52" t="s">
        <v>3696</v>
      </c>
      <c r="AA553" s="52" t="s">
        <v>836</v>
      </c>
      <c r="AB553" s="52" t="s">
        <v>79</v>
      </c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>
        <v>0</v>
      </c>
      <c r="AT553" s="52"/>
      <c r="AU553" s="52"/>
      <c r="AV553" s="52" t="s">
        <v>840</v>
      </c>
      <c r="AW553" s="52"/>
    </row>
    <row r="554" spans="1:49">
      <c r="A554" s="52">
        <v>6021431</v>
      </c>
      <c r="B554" s="52" t="s">
        <v>3691</v>
      </c>
      <c r="C554" s="52" t="s">
        <v>3698</v>
      </c>
      <c r="D554" s="53">
        <v>46155.75</v>
      </c>
      <c r="E554" s="53">
        <v>46155.323611111111</v>
      </c>
      <c r="F554" s="52"/>
      <c r="G554" s="52"/>
      <c r="H554" s="52"/>
      <c r="I554" s="52"/>
      <c r="J554" s="52" t="s">
        <v>3694</v>
      </c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 t="s">
        <v>3696</v>
      </c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>
        <v>0</v>
      </c>
      <c r="AT554" s="52"/>
      <c r="AU554" s="52"/>
      <c r="AV554" s="52"/>
      <c r="AW554" s="52"/>
    </row>
    <row r="555" spans="1:49">
      <c r="A555" s="52">
        <v>6021438</v>
      </c>
      <c r="B555" s="52" t="s">
        <v>3699</v>
      </c>
      <c r="C555" s="52" t="s">
        <v>3717</v>
      </c>
      <c r="D555" s="53">
        <v>46156.416666666664</v>
      </c>
      <c r="E555" s="53">
        <v>46155.650694444441</v>
      </c>
      <c r="F555" s="53">
        <v>46156.469444444447</v>
      </c>
      <c r="G555" s="53">
        <v>46157.509722222225</v>
      </c>
      <c r="H555" s="53">
        <v>46157.51666666667</v>
      </c>
      <c r="I555" s="52" t="s">
        <v>3693</v>
      </c>
      <c r="J555" s="52" t="s">
        <v>3693</v>
      </c>
      <c r="K555" s="53">
        <v>46157.51666666667</v>
      </c>
      <c r="L555" s="52" t="s">
        <v>3711</v>
      </c>
      <c r="M555" s="55">
        <v>0.1</v>
      </c>
      <c r="N555" s="54">
        <v>1.1395833333333334</v>
      </c>
      <c r="O555" s="52"/>
      <c r="P555" s="52"/>
      <c r="Q555" s="52"/>
      <c r="R555" s="52"/>
      <c r="S555" s="52"/>
      <c r="T555" s="52" t="s">
        <v>3695</v>
      </c>
      <c r="U555" s="52" t="s">
        <v>3695</v>
      </c>
      <c r="V555" s="52"/>
      <c r="W555" s="52"/>
      <c r="X555" s="52"/>
      <c r="Y555" s="52"/>
      <c r="Z555" s="52" t="s">
        <v>3696</v>
      </c>
      <c r="AA555" s="52" t="s">
        <v>114</v>
      </c>
      <c r="AB555" s="52" t="s">
        <v>140</v>
      </c>
      <c r="AC555" s="52" t="s">
        <v>3703</v>
      </c>
      <c r="AD555" s="52" t="s">
        <v>3704</v>
      </c>
      <c r="AE555" s="52"/>
      <c r="AF555" s="52" t="s">
        <v>3958</v>
      </c>
      <c r="AG555" s="52" t="s">
        <v>3704</v>
      </c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>
        <v>0</v>
      </c>
      <c r="AT555" s="52"/>
      <c r="AU555" s="52"/>
      <c r="AV555" s="52" t="s">
        <v>3417</v>
      </c>
      <c r="AW555" s="52"/>
    </row>
    <row r="556" spans="1:49">
      <c r="A556" s="52">
        <v>6021438</v>
      </c>
      <c r="B556" s="52" t="s">
        <v>3699</v>
      </c>
      <c r="C556" s="52" t="s">
        <v>3698</v>
      </c>
      <c r="D556" s="53">
        <v>46156.416666666664</v>
      </c>
      <c r="E556" s="53">
        <v>46155.650694444441</v>
      </c>
      <c r="F556" s="52"/>
      <c r="G556" s="53">
        <v>46157.416666666664</v>
      </c>
      <c r="H556" s="52"/>
      <c r="I556" s="52"/>
      <c r="J556" s="52" t="s">
        <v>3693</v>
      </c>
      <c r="K556" s="52"/>
      <c r="L556" s="52"/>
      <c r="M556" s="52"/>
      <c r="N556" s="52"/>
      <c r="O556" s="52" t="s">
        <v>4013</v>
      </c>
      <c r="P556" s="52" t="s">
        <v>114</v>
      </c>
      <c r="Q556" s="52" t="s">
        <v>1194</v>
      </c>
      <c r="R556" s="52"/>
      <c r="S556" s="52" t="s">
        <v>3756</v>
      </c>
      <c r="T556" s="52" t="s">
        <v>3695</v>
      </c>
      <c r="U556" s="52" t="s">
        <v>3695</v>
      </c>
      <c r="V556" s="52" t="s">
        <v>4011</v>
      </c>
      <c r="W556" s="52">
        <v>23416371836</v>
      </c>
      <c r="X556" s="52" t="s">
        <v>73</v>
      </c>
      <c r="Y556" s="52"/>
      <c r="Z556" s="52" t="s">
        <v>3696</v>
      </c>
      <c r="AA556" s="52" t="s">
        <v>3710</v>
      </c>
      <c r="AB556" s="52"/>
      <c r="AC556" s="52" t="s">
        <v>3703</v>
      </c>
      <c r="AD556" s="52" t="s">
        <v>3704</v>
      </c>
      <c r="AE556" s="52" t="s">
        <v>140</v>
      </c>
      <c r="AF556" s="52" t="s">
        <v>3958</v>
      </c>
      <c r="AG556" s="52" t="s">
        <v>3704</v>
      </c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 t="s">
        <v>3696</v>
      </c>
      <c r="AT556" s="52"/>
      <c r="AU556" s="52"/>
      <c r="AV556" s="52"/>
      <c r="AW556" s="52"/>
    </row>
    <row r="557" spans="1:49">
      <c r="A557" s="52">
        <v>6021438</v>
      </c>
      <c r="B557" s="52" t="s">
        <v>3699</v>
      </c>
      <c r="C557" s="52" t="s">
        <v>3698</v>
      </c>
      <c r="D557" s="53">
        <v>46156.416666666664</v>
      </c>
      <c r="E557" s="53">
        <v>46155.650694444441</v>
      </c>
      <c r="F557" s="52"/>
      <c r="G557" s="53">
        <v>46157.416666666664</v>
      </c>
      <c r="H557" s="52"/>
      <c r="I557" s="52"/>
      <c r="J557" s="52" t="s">
        <v>3693</v>
      </c>
      <c r="K557" s="52"/>
      <c r="L557" s="52"/>
      <c r="M557" s="52"/>
      <c r="N557" s="52"/>
      <c r="O557" s="52" t="s">
        <v>4013</v>
      </c>
      <c r="P557" s="52" t="s">
        <v>114</v>
      </c>
      <c r="Q557" s="52" t="s">
        <v>1194</v>
      </c>
      <c r="R557" s="52"/>
      <c r="S557" s="52" t="s">
        <v>3756</v>
      </c>
      <c r="T557" s="52" t="s">
        <v>3695</v>
      </c>
      <c r="U557" s="52" t="s">
        <v>3695</v>
      </c>
      <c r="V557" s="52" t="s">
        <v>4011</v>
      </c>
      <c r="W557" s="52">
        <v>23416371836</v>
      </c>
      <c r="X557" s="52" t="s">
        <v>73</v>
      </c>
      <c r="Y557" s="52"/>
      <c r="Z557" s="52" t="s">
        <v>3696</v>
      </c>
      <c r="AA557" s="52" t="s">
        <v>3710</v>
      </c>
      <c r="AB557" s="52"/>
      <c r="AC557" s="52" t="s">
        <v>3703</v>
      </c>
      <c r="AD557" s="52" t="s">
        <v>3704</v>
      </c>
      <c r="AE557" s="52"/>
      <c r="AF557" s="52" t="s">
        <v>3958</v>
      </c>
      <c r="AG557" s="52" t="s">
        <v>3704</v>
      </c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 t="s">
        <v>3696</v>
      </c>
      <c r="AT557" s="52"/>
      <c r="AU557" s="52"/>
      <c r="AV557" s="52"/>
      <c r="AW557" s="52" t="s">
        <v>3417</v>
      </c>
    </row>
    <row r="558" spans="1:49">
      <c r="A558" s="52">
        <v>6021438</v>
      </c>
      <c r="B558" s="52" t="s">
        <v>3699</v>
      </c>
      <c r="C558" s="52" t="s">
        <v>3698</v>
      </c>
      <c r="D558" s="53">
        <v>46156.416666666664</v>
      </c>
      <c r="E558" s="53">
        <v>46155.650694444441</v>
      </c>
      <c r="F558" s="53">
        <v>46156.622916666667</v>
      </c>
      <c r="G558" s="53">
        <v>46157.416666666664</v>
      </c>
      <c r="H558" s="53">
        <v>46157.631944444445</v>
      </c>
      <c r="I558" s="52"/>
      <c r="J558" s="52" t="s">
        <v>3693</v>
      </c>
      <c r="K558" s="52"/>
      <c r="L558" s="52"/>
      <c r="M558" s="55">
        <v>0.79374999999999996</v>
      </c>
      <c r="N558" s="54">
        <v>1.8333333333333333</v>
      </c>
      <c r="O558" s="52" t="s">
        <v>3413</v>
      </c>
      <c r="P558" s="52" t="s">
        <v>114</v>
      </c>
      <c r="Q558" s="52" t="s">
        <v>3412</v>
      </c>
      <c r="R558" s="52"/>
      <c r="S558" s="52" t="s">
        <v>789</v>
      </c>
      <c r="T558" s="52" t="s">
        <v>4014</v>
      </c>
      <c r="U558" s="52" t="s">
        <v>3859</v>
      </c>
      <c r="V558" s="52" t="s">
        <v>3419</v>
      </c>
      <c r="W558" s="52">
        <v>38659395115</v>
      </c>
      <c r="X558" s="52" t="s">
        <v>73</v>
      </c>
      <c r="Y558" s="52"/>
      <c r="Z558" s="52" t="s">
        <v>3696</v>
      </c>
      <c r="AA558" s="52" t="s">
        <v>3710</v>
      </c>
      <c r="AB558" s="52"/>
      <c r="AC558" s="52" t="s">
        <v>3703</v>
      </c>
      <c r="AD558" s="52" t="s">
        <v>3704</v>
      </c>
      <c r="AE558" s="52" t="s">
        <v>140</v>
      </c>
      <c r="AF558" s="52" t="s">
        <v>3958</v>
      </c>
      <c r="AG558" s="52" t="s">
        <v>3704</v>
      </c>
      <c r="AH558" s="52"/>
      <c r="AI558" s="52"/>
      <c r="AJ558" s="52"/>
      <c r="AK558" s="52"/>
      <c r="AL558" s="55">
        <v>0.94513888888888886</v>
      </c>
      <c r="AM558" s="52"/>
      <c r="AN558" s="52"/>
      <c r="AO558" s="52"/>
      <c r="AP558" s="55">
        <v>0.94513888888888886</v>
      </c>
      <c r="AQ558" s="52"/>
      <c r="AR558" s="52"/>
      <c r="AS558" s="52" t="s">
        <v>3696</v>
      </c>
      <c r="AT558" s="52"/>
      <c r="AU558" s="52"/>
      <c r="AV558" s="52"/>
      <c r="AW558" s="52"/>
    </row>
    <row r="559" spans="1:49">
      <c r="A559" s="52">
        <v>6021438</v>
      </c>
      <c r="B559" s="52" t="s">
        <v>3699</v>
      </c>
      <c r="C559" s="52" t="s">
        <v>3698</v>
      </c>
      <c r="D559" s="53">
        <v>46156.416666666664</v>
      </c>
      <c r="E559" s="53">
        <v>46155.650694444441</v>
      </c>
      <c r="F559" s="53">
        <v>46156.622916666667</v>
      </c>
      <c r="G559" s="53">
        <v>46157.416666666664</v>
      </c>
      <c r="H559" s="53">
        <v>46157.631944444445</v>
      </c>
      <c r="I559" s="52"/>
      <c r="J559" s="52" t="s">
        <v>3693</v>
      </c>
      <c r="K559" s="52"/>
      <c r="L559" s="52"/>
      <c r="M559" s="55">
        <v>0.79374999999999996</v>
      </c>
      <c r="N559" s="54">
        <v>1.8333333333333333</v>
      </c>
      <c r="O559" s="52" t="s">
        <v>3413</v>
      </c>
      <c r="P559" s="52" t="s">
        <v>114</v>
      </c>
      <c r="Q559" s="52" t="s">
        <v>3412</v>
      </c>
      <c r="R559" s="52"/>
      <c r="S559" s="52" t="s">
        <v>789</v>
      </c>
      <c r="T559" s="52" t="s">
        <v>4014</v>
      </c>
      <c r="U559" s="52" t="s">
        <v>3859</v>
      </c>
      <c r="V559" s="52" t="s">
        <v>3419</v>
      </c>
      <c r="W559" s="52">
        <v>38659395115</v>
      </c>
      <c r="X559" s="52" t="s">
        <v>73</v>
      </c>
      <c r="Y559" s="52"/>
      <c r="Z559" s="52" t="s">
        <v>3696</v>
      </c>
      <c r="AA559" s="52" t="s">
        <v>3710</v>
      </c>
      <c r="AB559" s="52"/>
      <c r="AC559" s="52" t="s">
        <v>3703</v>
      </c>
      <c r="AD559" s="52" t="s">
        <v>3704</v>
      </c>
      <c r="AE559" s="52"/>
      <c r="AF559" s="52" t="s">
        <v>3958</v>
      </c>
      <c r="AG559" s="52" t="s">
        <v>3704</v>
      </c>
      <c r="AH559" s="52"/>
      <c r="AI559" s="52"/>
      <c r="AJ559" s="52"/>
      <c r="AK559" s="52"/>
      <c r="AL559" s="55">
        <v>0.94513888888888886</v>
      </c>
      <c r="AM559" s="52"/>
      <c r="AN559" s="52"/>
      <c r="AO559" s="52"/>
      <c r="AP559" s="55">
        <v>0.94513888888888886</v>
      </c>
      <c r="AQ559" s="52"/>
      <c r="AR559" s="52"/>
      <c r="AS559" s="52" t="s">
        <v>3696</v>
      </c>
      <c r="AT559" s="52"/>
      <c r="AU559" s="52"/>
      <c r="AV559" s="52"/>
      <c r="AW559" s="52" t="s">
        <v>3417</v>
      </c>
    </row>
    <row r="560" spans="1:49">
      <c r="A560" s="52">
        <v>6021539</v>
      </c>
      <c r="B560" s="52" t="s">
        <v>3716</v>
      </c>
      <c r="C560" s="52" t="s">
        <v>3692</v>
      </c>
      <c r="D560" s="53">
        <v>46157.333333333336</v>
      </c>
      <c r="E560" s="53">
        <v>46156.68472222222</v>
      </c>
      <c r="F560" s="53">
        <v>46157.607638888891</v>
      </c>
      <c r="G560" s="53">
        <v>46160.291666666664</v>
      </c>
      <c r="H560" s="52"/>
      <c r="I560" s="52" t="s">
        <v>3693</v>
      </c>
      <c r="J560" s="52" t="s">
        <v>3694</v>
      </c>
      <c r="K560" s="53">
        <v>46158.584027777775</v>
      </c>
      <c r="L560" s="52"/>
      <c r="M560" s="54">
        <v>1.0534722222222221</v>
      </c>
      <c r="N560" s="55">
        <v>0.78194444444444444</v>
      </c>
      <c r="O560" s="52"/>
      <c r="P560" s="52"/>
      <c r="Q560" s="52"/>
      <c r="R560" s="52"/>
      <c r="S560" s="52"/>
      <c r="T560" s="52" t="s">
        <v>4015</v>
      </c>
      <c r="U560" s="52" t="s">
        <v>4016</v>
      </c>
      <c r="V560" s="52"/>
      <c r="W560" s="52"/>
      <c r="X560" s="52"/>
      <c r="Y560" s="52"/>
      <c r="Z560" s="52" t="s">
        <v>3696</v>
      </c>
      <c r="AA560" s="52" t="s">
        <v>216</v>
      </c>
      <c r="AB560" s="52" t="s">
        <v>140</v>
      </c>
      <c r="AC560" s="52" t="s">
        <v>3703</v>
      </c>
      <c r="AD560" s="52" t="s">
        <v>3704</v>
      </c>
      <c r="AE560" s="52"/>
      <c r="AF560" s="52" t="s">
        <v>3705</v>
      </c>
      <c r="AG560" s="52" t="s">
        <v>3706</v>
      </c>
      <c r="AH560" s="52"/>
      <c r="AI560" s="52"/>
      <c r="AJ560" s="52"/>
      <c r="AK560" s="52"/>
      <c r="AL560" s="55">
        <v>5.2777777777777778E-2</v>
      </c>
      <c r="AM560" s="52"/>
      <c r="AN560" s="52"/>
      <c r="AO560" s="52"/>
      <c r="AP560" s="52"/>
      <c r="AQ560" s="52"/>
      <c r="AR560" s="52"/>
      <c r="AS560" s="52">
        <v>0</v>
      </c>
      <c r="AT560" s="52"/>
      <c r="AU560" s="52"/>
      <c r="AV560" s="52" t="s">
        <v>350</v>
      </c>
      <c r="AW560" s="52"/>
    </row>
    <row r="561" spans="1:49">
      <c r="A561" s="52">
        <v>6021539</v>
      </c>
      <c r="B561" s="52" t="s">
        <v>3716</v>
      </c>
      <c r="C561" s="52" t="s">
        <v>3698</v>
      </c>
      <c r="D561" s="53">
        <v>46157.333333333336</v>
      </c>
      <c r="E561" s="53">
        <v>46156.68472222222</v>
      </c>
      <c r="F561" s="53">
        <v>46157.636111111111</v>
      </c>
      <c r="G561" s="53">
        <v>46160.291666666664</v>
      </c>
      <c r="H561" s="52"/>
      <c r="I561" s="52"/>
      <c r="J561" s="52" t="s">
        <v>3694</v>
      </c>
      <c r="K561" s="53">
        <v>46158.584027777775</v>
      </c>
      <c r="L561" s="52"/>
      <c r="M561" s="54">
        <v>2.6555555555555554</v>
      </c>
      <c r="N561" s="55">
        <v>0.82013888888888886</v>
      </c>
      <c r="O561" s="52" t="s">
        <v>345</v>
      </c>
      <c r="P561" s="52" t="s">
        <v>216</v>
      </c>
      <c r="Q561" s="52" t="s">
        <v>344</v>
      </c>
      <c r="R561" s="52" t="s">
        <v>353</v>
      </c>
      <c r="S561" s="52" t="s">
        <v>69</v>
      </c>
      <c r="T561" s="52" t="s">
        <v>4015</v>
      </c>
      <c r="U561" s="52" t="s">
        <v>4016</v>
      </c>
      <c r="V561" s="52" t="s">
        <v>354</v>
      </c>
      <c r="W561" s="52">
        <v>9558692778</v>
      </c>
      <c r="X561" s="52" t="s">
        <v>73</v>
      </c>
      <c r="Y561" s="52"/>
      <c r="Z561" s="52" t="s">
        <v>3696</v>
      </c>
      <c r="AA561" s="52" t="s">
        <v>3710</v>
      </c>
      <c r="AB561" s="52"/>
      <c r="AC561" s="52" t="s">
        <v>3703</v>
      </c>
      <c r="AD561" s="52" t="s">
        <v>3704</v>
      </c>
      <c r="AE561" s="52" t="s">
        <v>140</v>
      </c>
      <c r="AF561" s="52" t="s">
        <v>3705</v>
      </c>
      <c r="AG561" s="52" t="s">
        <v>3706</v>
      </c>
      <c r="AH561" s="52"/>
      <c r="AI561" s="53">
        <v>46157.607638888891</v>
      </c>
      <c r="AJ561" s="53">
        <v>46157.660416666666</v>
      </c>
      <c r="AK561" s="53">
        <v>46157.607638888891</v>
      </c>
      <c r="AL561" s="55">
        <v>5.2777777777777778E-2</v>
      </c>
      <c r="AM561" s="52"/>
      <c r="AN561" s="55">
        <v>5.2777777777777778E-2</v>
      </c>
      <c r="AO561" s="52"/>
      <c r="AP561" s="55">
        <v>5.2777777777777778E-2</v>
      </c>
      <c r="AQ561" s="52"/>
      <c r="AR561" s="52"/>
      <c r="AS561" s="52" t="s">
        <v>3696</v>
      </c>
      <c r="AT561" s="52"/>
      <c r="AU561" s="52"/>
      <c r="AV561" s="52"/>
      <c r="AW561" s="52"/>
    </row>
    <row r="562" spans="1:49">
      <c r="A562" s="52">
        <v>6021539</v>
      </c>
      <c r="B562" s="52" t="s">
        <v>3716</v>
      </c>
      <c r="C562" s="52" t="s">
        <v>3698</v>
      </c>
      <c r="D562" s="53">
        <v>46157.333333333336</v>
      </c>
      <c r="E562" s="53">
        <v>46156.68472222222</v>
      </c>
      <c r="F562" s="53">
        <v>46157.636111111111</v>
      </c>
      <c r="G562" s="53">
        <v>46160.291666666664</v>
      </c>
      <c r="H562" s="52"/>
      <c r="I562" s="52"/>
      <c r="J562" s="52" t="s">
        <v>3694</v>
      </c>
      <c r="K562" s="53">
        <v>46158.584027777775</v>
      </c>
      <c r="L562" s="52"/>
      <c r="M562" s="54">
        <v>2.6555555555555554</v>
      </c>
      <c r="N562" s="55">
        <v>0.82013888888888886</v>
      </c>
      <c r="O562" s="52" t="s">
        <v>345</v>
      </c>
      <c r="P562" s="52" t="s">
        <v>216</v>
      </c>
      <c r="Q562" s="52" t="s">
        <v>344</v>
      </c>
      <c r="R562" s="52" t="s">
        <v>353</v>
      </c>
      <c r="S562" s="52" t="s">
        <v>69</v>
      </c>
      <c r="T562" s="52" t="s">
        <v>4015</v>
      </c>
      <c r="U562" s="52" t="s">
        <v>4016</v>
      </c>
      <c r="V562" s="52" t="s">
        <v>354</v>
      </c>
      <c r="W562" s="52">
        <v>9558692778</v>
      </c>
      <c r="X562" s="52" t="s">
        <v>73</v>
      </c>
      <c r="Y562" s="52"/>
      <c r="Z562" s="52" t="s">
        <v>3696</v>
      </c>
      <c r="AA562" s="52" t="s">
        <v>3710</v>
      </c>
      <c r="AB562" s="52"/>
      <c r="AC562" s="52" t="s">
        <v>3703</v>
      </c>
      <c r="AD562" s="52" t="s">
        <v>3704</v>
      </c>
      <c r="AE562" s="52"/>
      <c r="AF562" s="52" t="s">
        <v>3705</v>
      </c>
      <c r="AG562" s="52" t="s">
        <v>3706</v>
      </c>
      <c r="AH562" s="52"/>
      <c r="AI562" s="53">
        <v>46157.607638888891</v>
      </c>
      <c r="AJ562" s="53">
        <v>46157.660416666666</v>
      </c>
      <c r="AK562" s="53">
        <v>46157.607638888891</v>
      </c>
      <c r="AL562" s="55">
        <v>5.2777777777777778E-2</v>
      </c>
      <c r="AM562" s="52"/>
      <c r="AN562" s="55">
        <v>5.2777777777777778E-2</v>
      </c>
      <c r="AO562" s="52"/>
      <c r="AP562" s="55">
        <v>5.2777777777777778E-2</v>
      </c>
      <c r="AQ562" s="52"/>
      <c r="AR562" s="52"/>
      <c r="AS562" s="52" t="s">
        <v>3696</v>
      </c>
      <c r="AT562" s="52"/>
      <c r="AU562" s="52"/>
      <c r="AV562" s="52"/>
      <c r="AW562" s="52" t="s">
        <v>350</v>
      </c>
    </row>
    <row r="563" spans="1:49">
      <c r="A563" s="52">
        <v>6021540</v>
      </c>
      <c r="B563" s="52" t="s">
        <v>3716</v>
      </c>
      <c r="C563" s="52" t="s">
        <v>3692</v>
      </c>
      <c r="D563" s="53">
        <v>46157.333333333336</v>
      </c>
      <c r="E563" s="53">
        <v>46156.68472222222</v>
      </c>
      <c r="F563" s="53">
        <v>46157.607638888891</v>
      </c>
      <c r="G563" s="53">
        <v>46160.291666666664</v>
      </c>
      <c r="H563" s="52"/>
      <c r="I563" s="52" t="s">
        <v>3693</v>
      </c>
      <c r="J563" s="52" t="s">
        <v>3694</v>
      </c>
      <c r="K563" s="53">
        <v>46158.584027777775</v>
      </c>
      <c r="L563" s="52"/>
      <c r="M563" s="54">
        <v>1.0534722222222221</v>
      </c>
      <c r="N563" s="55">
        <v>0.78194444444444444</v>
      </c>
      <c r="O563" s="52"/>
      <c r="P563" s="52"/>
      <c r="Q563" s="52"/>
      <c r="R563" s="52"/>
      <c r="S563" s="52"/>
      <c r="T563" s="52" t="s">
        <v>4015</v>
      </c>
      <c r="U563" s="52" t="s">
        <v>4016</v>
      </c>
      <c r="V563" s="52"/>
      <c r="W563" s="52"/>
      <c r="X563" s="52"/>
      <c r="Y563" s="52"/>
      <c r="Z563" s="52" t="s">
        <v>3696</v>
      </c>
      <c r="AA563" s="52" t="s">
        <v>216</v>
      </c>
      <c r="AB563" s="52" t="s">
        <v>140</v>
      </c>
      <c r="AC563" s="52" t="s">
        <v>3703</v>
      </c>
      <c r="AD563" s="52" t="s">
        <v>3704</v>
      </c>
      <c r="AE563" s="52"/>
      <c r="AF563" s="52" t="s">
        <v>3705</v>
      </c>
      <c r="AG563" s="52" t="s">
        <v>3706</v>
      </c>
      <c r="AH563" s="52"/>
      <c r="AI563" s="52"/>
      <c r="AJ563" s="52"/>
      <c r="AK563" s="52"/>
      <c r="AL563" s="55">
        <v>5.2777777777777778E-2</v>
      </c>
      <c r="AM563" s="52"/>
      <c r="AN563" s="52"/>
      <c r="AO563" s="52"/>
      <c r="AP563" s="52"/>
      <c r="AQ563" s="52"/>
      <c r="AR563" s="52"/>
      <c r="AS563" s="52">
        <v>0</v>
      </c>
      <c r="AT563" s="52"/>
      <c r="AU563" s="52"/>
      <c r="AV563" s="52" t="s">
        <v>350</v>
      </c>
      <c r="AW563" s="52"/>
    </row>
    <row r="564" spans="1:49">
      <c r="A564" s="52">
        <v>6021540</v>
      </c>
      <c r="B564" s="52" t="s">
        <v>3716</v>
      </c>
      <c r="C564" s="52" t="s">
        <v>3698</v>
      </c>
      <c r="D564" s="53">
        <v>46157.333333333336</v>
      </c>
      <c r="E564" s="53">
        <v>46156.68472222222</v>
      </c>
      <c r="F564" s="53">
        <v>46157.636111111111</v>
      </c>
      <c r="G564" s="53">
        <v>46160.291666666664</v>
      </c>
      <c r="H564" s="52"/>
      <c r="I564" s="52"/>
      <c r="J564" s="52" t="s">
        <v>3694</v>
      </c>
      <c r="K564" s="53">
        <v>46158.584027777775</v>
      </c>
      <c r="L564" s="52"/>
      <c r="M564" s="54">
        <v>2.6555555555555554</v>
      </c>
      <c r="N564" s="55">
        <v>0.82013888888888886</v>
      </c>
      <c r="O564" s="52" t="s">
        <v>345</v>
      </c>
      <c r="P564" s="52" t="s">
        <v>216</v>
      </c>
      <c r="Q564" s="52" t="s">
        <v>344</v>
      </c>
      <c r="R564" s="52" t="s">
        <v>353</v>
      </c>
      <c r="S564" s="52" t="s">
        <v>69</v>
      </c>
      <c r="T564" s="52" t="s">
        <v>4015</v>
      </c>
      <c r="U564" s="52" t="s">
        <v>4016</v>
      </c>
      <c r="V564" s="52" t="s">
        <v>354</v>
      </c>
      <c r="W564" s="52">
        <v>9558692778</v>
      </c>
      <c r="X564" s="52" t="s">
        <v>73</v>
      </c>
      <c r="Y564" s="52"/>
      <c r="Z564" s="52" t="s">
        <v>3696</v>
      </c>
      <c r="AA564" s="52" t="s">
        <v>3710</v>
      </c>
      <c r="AB564" s="52"/>
      <c r="AC564" s="52" t="s">
        <v>3703</v>
      </c>
      <c r="AD564" s="52" t="s">
        <v>3704</v>
      </c>
      <c r="AE564" s="52" t="s">
        <v>140</v>
      </c>
      <c r="AF564" s="52" t="s">
        <v>3705</v>
      </c>
      <c r="AG564" s="52" t="s">
        <v>3706</v>
      </c>
      <c r="AH564" s="52"/>
      <c r="AI564" s="53">
        <v>46157.607638888891</v>
      </c>
      <c r="AJ564" s="53">
        <v>46157.660416666666</v>
      </c>
      <c r="AK564" s="53">
        <v>46157.607638888891</v>
      </c>
      <c r="AL564" s="55">
        <v>5.2777777777777778E-2</v>
      </c>
      <c r="AM564" s="52"/>
      <c r="AN564" s="55">
        <v>5.2777777777777778E-2</v>
      </c>
      <c r="AO564" s="52"/>
      <c r="AP564" s="55">
        <v>5.2777777777777778E-2</v>
      </c>
      <c r="AQ564" s="52"/>
      <c r="AR564" s="52"/>
      <c r="AS564" s="52" t="s">
        <v>3696</v>
      </c>
      <c r="AT564" s="52"/>
      <c r="AU564" s="52"/>
      <c r="AV564" s="52"/>
      <c r="AW564" s="52"/>
    </row>
    <row r="565" spans="1:49">
      <c r="A565" s="52">
        <v>6021540</v>
      </c>
      <c r="B565" s="52" t="s">
        <v>3716</v>
      </c>
      <c r="C565" s="52" t="s">
        <v>3698</v>
      </c>
      <c r="D565" s="53">
        <v>46157.333333333336</v>
      </c>
      <c r="E565" s="53">
        <v>46156.68472222222</v>
      </c>
      <c r="F565" s="53">
        <v>46157.636111111111</v>
      </c>
      <c r="G565" s="53">
        <v>46160.291666666664</v>
      </c>
      <c r="H565" s="52"/>
      <c r="I565" s="52"/>
      <c r="J565" s="52" t="s">
        <v>3694</v>
      </c>
      <c r="K565" s="53">
        <v>46158.584027777775</v>
      </c>
      <c r="L565" s="52"/>
      <c r="M565" s="54">
        <v>2.6555555555555554</v>
      </c>
      <c r="N565" s="55">
        <v>0.82013888888888886</v>
      </c>
      <c r="O565" s="52" t="s">
        <v>345</v>
      </c>
      <c r="P565" s="52" t="s">
        <v>216</v>
      </c>
      <c r="Q565" s="52" t="s">
        <v>344</v>
      </c>
      <c r="R565" s="52" t="s">
        <v>353</v>
      </c>
      <c r="S565" s="52" t="s">
        <v>69</v>
      </c>
      <c r="T565" s="52" t="s">
        <v>4015</v>
      </c>
      <c r="U565" s="52" t="s">
        <v>4016</v>
      </c>
      <c r="V565" s="52" t="s">
        <v>354</v>
      </c>
      <c r="W565" s="52">
        <v>9558692778</v>
      </c>
      <c r="X565" s="52" t="s">
        <v>73</v>
      </c>
      <c r="Y565" s="52"/>
      <c r="Z565" s="52" t="s">
        <v>3696</v>
      </c>
      <c r="AA565" s="52" t="s">
        <v>3710</v>
      </c>
      <c r="AB565" s="52"/>
      <c r="AC565" s="52" t="s">
        <v>3703</v>
      </c>
      <c r="AD565" s="52" t="s">
        <v>3704</v>
      </c>
      <c r="AE565" s="52"/>
      <c r="AF565" s="52" t="s">
        <v>3705</v>
      </c>
      <c r="AG565" s="52" t="s">
        <v>3706</v>
      </c>
      <c r="AH565" s="52"/>
      <c r="AI565" s="53">
        <v>46157.607638888891</v>
      </c>
      <c r="AJ565" s="53">
        <v>46157.660416666666</v>
      </c>
      <c r="AK565" s="53">
        <v>46157.607638888891</v>
      </c>
      <c r="AL565" s="55">
        <v>5.2777777777777778E-2</v>
      </c>
      <c r="AM565" s="52"/>
      <c r="AN565" s="55">
        <v>5.2777777777777778E-2</v>
      </c>
      <c r="AO565" s="52"/>
      <c r="AP565" s="55">
        <v>5.2777777777777778E-2</v>
      </c>
      <c r="AQ565" s="52"/>
      <c r="AR565" s="52"/>
      <c r="AS565" s="52" t="s">
        <v>3696</v>
      </c>
      <c r="AT565" s="52"/>
      <c r="AU565" s="52"/>
      <c r="AV565" s="52"/>
      <c r="AW565" s="52" t="s">
        <v>350</v>
      </c>
    </row>
    <row r="566" spans="1:49">
      <c r="A566" s="52">
        <v>6021562</v>
      </c>
      <c r="B566" s="52" t="s">
        <v>3699</v>
      </c>
      <c r="C566" s="52" t="s">
        <v>3692</v>
      </c>
      <c r="D566" s="53">
        <v>46154.958333333336</v>
      </c>
      <c r="E566" s="53">
        <v>46154.876388888886</v>
      </c>
      <c r="F566" s="53">
        <v>46154.884722222225</v>
      </c>
      <c r="G566" s="53">
        <v>46155.958333333336</v>
      </c>
      <c r="H566" s="53">
        <v>46155.612500000003</v>
      </c>
      <c r="I566" s="52" t="s">
        <v>3693</v>
      </c>
      <c r="J566" s="52" t="s">
        <v>3693</v>
      </c>
      <c r="K566" s="53">
        <v>46155.612500000003</v>
      </c>
      <c r="L566" s="52" t="s">
        <v>3700</v>
      </c>
      <c r="M566" s="54">
        <v>1</v>
      </c>
      <c r="N566" s="54">
        <v>3.4979166666666668</v>
      </c>
      <c r="O566" s="52"/>
      <c r="P566" s="52"/>
      <c r="Q566" s="52"/>
      <c r="R566" s="52"/>
      <c r="S566" s="52"/>
      <c r="T566" s="52" t="s">
        <v>3861</v>
      </c>
      <c r="U566" s="52" t="s">
        <v>4017</v>
      </c>
      <c r="V566" s="52"/>
      <c r="W566" s="52"/>
      <c r="X566" s="52"/>
      <c r="Y566" s="52"/>
      <c r="Z566" s="52" t="s">
        <v>3696</v>
      </c>
      <c r="AA566" s="52" t="s">
        <v>227</v>
      </c>
      <c r="AB566" s="52" t="s">
        <v>79</v>
      </c>
      <c r="AC566" s="52" t="s">
        <v>3720</v>
      </c>
      <c r="AD566" s="52" t="s">
        <v>3715</v>
      </c>
      <c r="AE566" s="52"/>
      <c r="AF566" s="52" t="s">
        <v>3703</v>
      </c>
      <c r="AG566" s="52" t="s">
        <v>3704</v>
      </c>
      <c r="AH566" s="52"/>
      <c r="AI566" s="52"/>
      <c r="AJ566" s="52"/>
      <c r="AK566" s="52"/>
      <c r="AL566" s="55">
        <v>4.1666666666666666E-3</v>
      </c>
      <c r="AM566" s="52"/>
      <c r="AN566" s="52"/>
      <c r="AO566" s="52"/>
      <c r="AP566" s="52"/>
      <c r="AQ566" s="52"/>
      <c r="AR566" s="52"/>
      <c r="AS566" s="52">
        <v>0</v>
      </c>
      <c r="AT566" s="52"/>
      <c r="AU566" s="52"/>
      <c r="AV566" s="52" t="s">
        <v>308</v>
      </c>
      <c r="AW566" s="52"/>
    </row>
    <row r="567" spans="1:49">
      <c r="A567" s="52">
        <v>6021562</v>
      </c>
      <c r="B567" s="52" t="s">
        <v>3699</v>
      </c>
      <c r="C567" s="52" t="s">
        <v>3698</v>
      </c>
      <c r="D567" s="53">
        <v>46154.958333333336</v>
      </c>
      <c r="E567" s="53">
        <v>46154.876388888886</v>
      </c>
      <c r="F567" s="53">
        <v>46154.887499999997</v>
      </c>
      <c r="G567" s="53">
        <v>46155.958333333336</v>
      </c>
      <c r="H567" s="53">
        <v>46155.65902777778</v>
      </c>
      <c r="I567" s="52"/>
      <c r="J567" s="52" t="s">
        <v>3693</v>
      </c>
      <c r="K567" s="53">
        <v>46155.612500000003</v>
      </c>
      <c r="L567" s="52"/>
      <c r="M567" s="54">
        <v>1.0708333333333333</v>
      </c>
      <c r="N567" s="54">
        <v>3.5687500000000001</v>
      </c>
      <c r="O567" s="52" t="s">
        <v>3135</v>
      </c>
      <c r="P567" s="52" t="s">
        <v>227</v>
      </c>
      <c r="Q567" s="52" t="s">
        <v>323</v>
      </c>
      <c r="R567" s="52" t="s">
        <v>3136</v>
      </c>
      <c r="S567" s="52" t="s">
        <v>789</v>
      </c>
      <c r="T567" s="52" t="s">
        <v>3861</v>
      </c>
      <c r="U567" s="52" t="s">
        <v>4017</v>
      </c>
      <c r="V567" s="52" t="s">
        <v>332</v>
      </c>
      <c r="W567" s="52">
        <v>371751900</v>
      </c>
      <c r="X567" s="52" t="s">
        <v>772</v>
      </c>
      <c r="Y567" s="52"/>
      <c r="Z567" s="52" t="s">
        <v>3696</v>
      </c>
      <c r="AA567" s="52" t="s">
        <v>3710</v>
      </c>
      <c r="AB567" s="52"/>
      <c r="AC567" s="52" t="s">
        <v>3720</v>
      </c>
      <c r="AD567" s="52" t="s">
        <v>3715</v>
      </c>
      <c r="AE567" s="52" t="s">
        <v>79</v>
      </c>
      <c r="AF567" s="52" t="s">
        <v>3703</v>
      </c>
      <c r="AG567" s="52" t="s">
        <v>3704</v>
      </c>
      <c r="AH567" s="52"/>
      <c r="AI567" s="53">
        <v>46154.959027777775</v>
      </c>
      <c r="AJ567" s="53">
        <v>46154.963194444441</v>
      </c>
      <c r="AK567" s="53">
        <v>46154.959027777775</v>
      </c>
      <c r="AL567" s="55">
        <v>5.0694444444444445E-2</v>
      </c>
      <c r="AM567" s="52"/>
      <c r="AN567" s="55">
        <v>4.1666666666666666E-3</v>
      </c>
      <c r="AO567" s="55">
        <v>4.6527777777777779E-2</v>
      </c>
      <c r="AP567" s="55">
        <v>5.0694444444444445E-2</v>
      </c>
      <c r="AQ567" s="52"/>
      <c r="AR567" s="52"/>
      <c r="AS567" s="52" t="s">
        <v>3696</v>
      </c>
      <c r="AT567" s="52"/>
      <c r="AU567" s="52"/>
      <c r="AV567" s="52"/>
      <c r="AW567" s="52"/>
    </row>
    <row r="568" spans="1:49">
      <c r="A568" s="52">
        <v>6021562</v>
      </c>
      <c r="B568" s="52" t="s">
        <v>3699</v>
      </c>
      <c r="C568" s="52" t="s">
        <v>3698</v>
      </c>
      <c r="D568" s="53">
        <v>46154.958333333336</v>
      </c>
      <c r="E568" s="53">
        <v>46154.876388888886</v>
      </c>
      <c r="F568" s="53">
        <v>46154.887499999997</v>
      </c>
      <c r="G568" s="53">
        <v>46155.958333333336</v>
      </c>
      <c r="H568" s="53">
        <v>46155.65902777778</v>
      </c>
      <c r="I568" s="52"/>
      <c r="J568" s="52" t="s">
        <v>3693</v>
      </c>
      <c r="K568" s="53">
        <v>46155.612500000003</v>
      </c>
      <c r="L568" s="52"/>
      <c r="M568" s="54">
        <v>1.0708333333333333</v>
      </c>
      <c r="N568" s="54">
        <v>3.5687500000000001</v>
      </c>
      <c r="O568" s="52" t="s">
        <v>3135</v>
      </c>
      <c r="P568" s="52" t="s">
        <v>227</v>
      </c>
      <c r="Q568" s="52" t="s">
        <v>323</v>
      </c>
      <c r="R568" s="52" t="s">
        <v>3136</v>
      </c>
      <c r="S568" s="52" t="s">
        <v>789</v>
      </c>
      <c r="T568" s="52" t="s">
        <v>3861</v>
      </c>
      <c r="U568" s="52" t="s">
        <v>4017</v>
      </c>
      <c r="V568" s="52" t="s">
        <v>332</v>
      </c>
      <c r="W568" s="52">
        <v>371751900</v>
      </c>
      <c r="X568" s="52" t="s">
        <v>772</v>
      </c>
      <c r="Y568" s="52"/>
      <c r="Z568" s="52" t="s">
        <v>3696</v>
      </c>
      <c r="AA568" s="52" t="s">
        <v>3710</v>
      </c>
      <c r="AB568" s="52"/>
      <c r="AC568" s="52" t="s">
        <v>3720</v>
      </c>
      <c r="AD568" s="52" t="s">
        <v>3715</v>
      </c>
      <c r="AE568" s="52"/>
      <c r="AF568" s="52" t="s">
        <v>3703</v>
      </c>
      <c r="AG568" s="52" t="s">
        <v>3704</v>
      </c>
      <c r="AH568" s="52"/>
      <c r="AI568" s="53">
        <v>46154.959027777775</v>
      </c>
      <c r="AJ568" s="53">
        <v>46154.963194444441</v>
      </c>
      <c r="AK568" s="53">
        <v>46154.959027777775</v>
      </c>
      <c r="AL568" s="55">
        <v>5.0694444444444445E-2</v>
      </c>
      <c r="AM568" s="52"/>
      <c r="AN568" s="55">
        <v>4.1666666666666666E-3</v>
      </c>
      <c r="AO568" s="55">
        <v>4.6527777777777779E-2</v>
      </c>
      <c r="AP568" s="55">
        <v>5.0694444444444445E-2</v>
      </c>
      <c r="AQ568" s="52"/>
      <c r="AR568" s="52"/>
      <c r="AS568" s="52" t="s">
        <v>3696</v>
      </c>
      <c r="AT568" s="52"/>
      <c r="AU568" s="52"/>
      <c r="AV568" s="52"/>
      <c r="AW568" s="52" t="s">
        <v>308</v>
      </c>
    </row>
    <row r="569" spans="1:49">
      <c r="A569" s="52">
        <v>6021583</v>
      </c>
      <c r="B569" s="52" t="s">
        <v>3699</v>
      </c>
      <c r="C569" s="52" t="s">
        <v>3692</v>
      </c>
      <c r="D569" s="53">
        <v>46155.541666666664</v>
      </c>
      <c r="E569" s="53">
        <v>46155.390277777777</v>
      </c>
      <c r="F569" s="53">
        <v>46155.722222222219</v>
      </c>
      <c r="G569" s="53">
        <v>46167.416666666664</v>
      </c>
      <c r="H569" s="53">
        <v>46156.484722222223</v>
      </c>
      <c r="I569" s="52" t="s">
        <v>3693</v>
      </c>
      <c r="J569" s="52" t="s">
        <v>3693</v>
      </c>
      <c r="K569" s="53">
        <v>46156.484722222223</v>
      </c>
      <c r="L569" s="52" t="s">
        <v>3700</v>
      </c>
      <c r="M569" s="55">
        <v>0.58750000000000002</v>
      </c>
      <c r="N569" s="54">
        <v>8.3729166666666668</v>
      </c>
      <c r="O569" s="52"/>
      <c r="P569" s="52"/>
      <c r="Q569" s="52"/>
      <c r="R569" s="52"/>
      <c r="S569" s="52"/>
      <c r="T569" s="52" t="s">
        <v>3695</v>
      </c>
      <c r="U569" s="52" t="s">
        <v>4018</v>
      </c>
      <c r="V569" s="52"/>
      <c r="W569" s="52"/>
      <c r="X569" s="52"/>
      <c r="Y569" s="52"/>
      <c r="Z569" s="52" t="s">
        <v>3696</v>
      </c>
      <c r="AA569" s="52" t="s">
        <v>114</v>
      </c>
      <c r="AB569" s="52" t="s">
        <v>79</v>
      </c>
      <c r="AC569" s="52" t="s">
        <v>3720</v>
      </c>
      <c r="AD569" s="52" t="s">
        <v>3715</v>
      </c>
      <c r="AE569" s="52"/>
      <c r="AF569" s="52" t="s">
        <v>3987</v>
      </c>
      <c r="AG569" s="52" t="s">
        <v>3704</v>
      </c>
      <c r="AH569" s="52"/>
      <c r="AI569" s="52"/>
      <c r="AJ569" s="52"/>
      <c r="AK569" s="52"/>
      <c r="AL569" s="55">
        <v>0.15833333333333333</v>
      </c>
      <c r="AM569" s="52"/>
      <c r="AN569" s="52"/>
      <c r="AO569" s="52"/>
      <c r="AP569" s="52"/>
      <c r="AQ569" s="52"/>
      <c r="AR569" s="52"/>
      <c r="AS569" s="52">
        <v>0</v>
      </c>
      <c r="AT569" s="52"/>
      <c r="AU569" s="52"/>
      <c r="AV569" s="52" t="s">
        <v>1258</v>
      </c>
      <c r="AW569" s="52"/>
    </row>
    <row r="570" spans="1:49">
      <c r="A570" s="52">
        <v>6021583</v>
      </c>
      <c r="B570" s="52" t="s">
        <v>3699</v>
      </c>
      <c r="C570" s="52" t="s">
        <v>3698</v>
      </c>
      <c r="D570" s="53">
        <v>46155.541666666664</v>
      </c>
      <c r="E570" s="53">
        <v>46155.390277777777</v>
      </c>
      <c r="F570" s="53">
        <v>46155.738194444442</v>
      </c>
      <c r="G570" s="53">
        <v>46167.416666666664</v>
      </c>
      <c r="H570" s="53">
        <v>46156.59097222222</v>
      </c>
      <c r="I570" s="52"/>
      <c r="J570" s="52" t="s">
        <v>3693</v>
      </c>
      <c r="K570" s="53">
        <v>46156.484722222223</v>
      </c>
      <c r="L570" s="52"/>
      <c r="M570" s="54">
        <v>11.678472222222222</v>
      </c>
      <c r="N570" s="54">
        <v>2.7180555555555554</v>
      </c>
      <c r="O570" s="52" t="s">
        <v>3252</v>
      </c>
      <c r="P570" s="52" t="s">
        <v>114</v>
      </c>
      <c r="Q570" s="52" t="s">
        <v>3251</v>
      </c>
      <c r="R570" s="52" t="s">
        <v>3255</v>
      </c>
      <c r="S570" s="52" t="s">
        <v>789</v>
      </c>
      <c r="T570" s="52" t="s">
        <v>3695</v>
      </c>
      <c r="U570" s="52" t="s">
        <v>4018</v>
      </c>
      <c r="V570" s="52" t="s">
        <v>3256</v>
      </c>
      <c r="W570" s="52">
        <v>929724976</v>
      </c>
      <c r="X570" s="52" t="s">
        <v>772</v>
      </c>
      <c r="Y570" s="52"/>
      <c r="Z570" s="52" t="s">
        <v>3696</v>
      </c>
      <c r="AA570" s="52" t="s">
        <v>3710</v>
      </c>
      <c r="AB570" s="52"/>
      <c r="AC570" s="52" t="s">
        <v>3720</v>
      </c>
      <c r="AD570" s="52" t="s">
        <v>3715</v>
      </c>
      <c r="AE570" s="52" t="s">
        <v>79</v>
      </c>
      <c r="AF570" s="52" t="s">
        <v>3987</v>
      </c>
      <c r="AG570" s="52" t="s">
        <v>3704</v>
      </c>
      <c r="AH570" s="52"/>
      <c r="AI570" s="53">
        <v>46155.795138888891</v>
      </c>
      <c r="AJ570" s="53">
        <v>46155.953472222223</v>
      </c>
      <c r="AK570" s="53">
        <v>46155.795138888891</v>
      </c>
      <c r="AL570" s="55">
        <v>0.26458333333333334</v>
      </c>
      <c r="AM570" s="52"/>
      <c r="AN570" s="55">
        <v>0.15833333333333333</v>
      </c>
      <c r="AO570" s="55">
        <v>0.10625</v>
      </c>
      <c r="AP570" s="55">
        <v>0.26458333333333334</v>
      </c>
      <c r="AQ570" s="52"/>
      <c r="AR570" s="52"/>
      <c r="AS570" s="52" t="s">
        <v>3696</v>
      </c>
      <c r="AT570" s="52"/>
      <c r="AU570" s="52"/>
      <c r="AV570" s="52"/>
      <c r="AW570" s="52"/>
    </row>
    <row r="571" spans="1:49">
      <c r="A571" s="52">
        <v>6021583</v>
      </c>
      <c r="B571" s="52" t="s">
        <v>3699</v>
      </c>
      <c r="C571" s="52" t="s">
        <v>3698</v>
      </c>
      <c r="D571" s="53">
        <v>46155.541666666664</v>
      </c>
      <c r="E571" s="53">
        <v>46155.390277777777</v>
      </c>
      <c r="F571" s="53">
        <v>46155.738194444442</v>
      </c>
      <c r="G571" s="53">
        <v>46167.416666666664</v>
      </c>
      <c r="H571" s="53">
        <v>46156.59097222222</v>
      </c>
      <c r="I571" s="52"/>
      <c r="J571" s="52" t="s">
        <v>3693</v>
      </c>
      <c r="K571" s="53">
        <v>46156.484722222223</v>
      </c>
      <c r="L571" s="52"/>
      <c r="M571" s="54">
        <v>11.678472222222222</v>
      </c>
      <c r="N571" s="54">
        <v>2.7180555555555554</v>
      </c>
      <c r="O571" s="52" t="s">
        <v>3252</v>
      </c>
      <c r="P571" s="52" t="s">
        <v>114</v>
      </c>
      <c r="Q571" s="52" t="s">
        <v>3251</v>
      </c>
      <c r="R571" s="52" t="s">
        <v>3255</v>
      </c>
      <c r="S571" s="52" t="s">
        <v>789</v>
      </c>
      <c r="T571" s="52" t="s">
        <v>3695</v>
      </c>
      <c r="U571" s="52" t="s">
        <v>4018</v>
      </c>
      <c r="V571" s="52" t="s">
        <v>3256</v>
      </c>
      <c r="W571" s="52">
        <v>929724976</v>
      </c>
      <c r="X571" s="52" t="s">
        <v>772</v>
      </c>
      <c r="Y571" s="52"/>
      <c r="Z571" s="52" t="s">
        <v>3696</v>
      </c>
      <c r="AA571" s="52" t="s">
        <v>3710</v>
      </c>
      <c r="AB571" s="52"/>
      <c r="AC571" s="52" t="s">
        <v>3720</v>
      </c>
      <c r="AD571" s="52" t="s">
        <v>3715</v>
      </c>
      <c r="AE571" s="52"/>
      <c r="AF571" s="52" t="s">
        <v>3987</v>
      </c>
      <c r="AG571" s="52" t="s">
        <v>3704</v>
      </c>
      <c r="AH571" s="52"/>
      <c r="AI571" s="53">
        <v>46155.795138888891</v>
      </c>
      <c r="AJ571" s="53">
        <v>46155.953472222223</v>
      </c>
      <c r="AK571" s="53">
        <v>46155.795138888891</v>
      </c>
      <c r="AL571" s="55">
        <v>0.26458333333333334</v>
      </c>
      <c r="AM571" s="52"/>
      <c r="AN571" s="55">
        <v>0.15833333333333333</v>
      </c>
      <c r="AO571" s="55">
        <v>0.10625</v>
      </c>
      <c r="AP571" s="55">
        <v>0.26458333333333334</v>
      </c>
      <c r="AQ571" s="52"/>
      <c r="AR571" s="52"/>
      <c r="AS571" s="52" t="s">
        <v>3696</v>
      </c>
      <c r="AT571" s="52"/>
      <c r="AU571" s="52"/>
      <c r="AV571" s="52"/>
      <c r="AW571" s="52" t="s">
        <v>1258</v>
      </c>
    </row>
    <row r="572" spans="1:49">
      <c r="A572" s="52">
        <v>6021584</v>
      </c>
      <c r="B572" s="52" t="s">
        <v>3699</v>
      </c>
      <c r="C572" s="52" t="s">
        <v>3717</v>
      </c>
      <c r="D572" s="53">
        <v>46157.416666666664</v>
      </c>
      <c r="E572" s="53">
        <v>46156.68472222222</v>
      </c>
      <c r="F572" s="53">
        <v>46157.460416666669</v>
      </c>
      <c r="G572" s="53">
        <v>46157.583333333336</v>
      </c>
      <c r="H572" s="53">
        <v>46157.590277777781</v>
      </c>
      <c r="I572" s="52" t="s">
        <v>3693</v>
      </c>
      <c r="J572" s="52" t="s">
        <v>3693</v>
      </c>
      <c r="K572" s="53">
        <v>46157.590277777781</v>
      </c>
      <c r="L572" s="52" t="s">
        <v>3711</v>
      </c>
      <c r="M572" s="55">
        <v>9.166666666666666E-2</v>
      </c>
      <c r="N572" s="55">
        <v>0.96458333333333335</v>
      </c>
      <c r="O572" s="52"/>
      <c r="P572" s="52"/>
      <c r="Q572" s="52"/>
      <c r="R572" s="52"/>
      <c r="S572" s="52"/>
      <c r="T572" s="52" t="s">
        <v>4019</v>
      </c>
      <c r="U572" s="52" t="s">
        <v>3858</v>
      </c>
      <c r="V572" s="52"/>
      <c r="W572" s="52"/>
      <c r="X572" s="52"/>
      <c r="Y572" s="52"/>
      <c r="Z572" s="52" t="s">
        <v>3696</v>
      </c>
      <c r="AA572" s="52" t="s">
        <v>114</v>
      </c>
      <c r="AB572" s="52" t="s">
        <v>140</v>
      </c>
      <c r="AC572" s="52" t="s">
        <v>3703</v>
      </c>
      <c r="AD572" s="52" t="s">
        <v>3704</v>
      </c>
      <c r="AE572" s="52"/>
      <c r="AF572" s="52" t="s">
        <v>3958</v>
      </c>
      <c r="AG572" s="52" t="s">
        <v>3704</v>
      </c>
      <c r="AH572" s="52"/>
      <c r="AI572" s="52"/>
      <c r="AJ572" s="52"/>
      <c r="AK572" s="52"/>
      <c r="AL572" s="55">
        <v>7.4999999999999997E-2</v>
      </c>
      <c r="AM572" s="52"/>
      <c r="AN572" s="52"/>
      <c r="AO572" s="52"/>
      <c r="AP572" s="52"/>
      <c r="AQ572" s="52"/>
      <c r="AR572" s="52"/>
      <c r="AS572" s="52">
        <v>0</v>
      </c>
      <c r="AT572" s="52"/>
      <c r="AU572" s="52"/>
      <c r="AV572" s="52" t="s">
        <v>3565</v>
      </c>
      <c r="AW572" s="52"/>
    </row>
    <row r="573" spans="1:49">
      <c r="A573" s="52">
        <v>6021584</v>
      </c>
      <c r="B573" s="52" t="s">
        <v>3699</v>
      </c>
      <c r="C573" s="52" t="s">
        <v>3698</v>
      </c>
      <c r="D573" s="53">
        <v>46157.416666666664</v>
      </c>
      <c r="E573" s="53">
        <v>46156.68472222222</v>
      </c>
      <c r="F573" s="53">
        <v>46157.527083333334</v>
      </c>
      <c r="G573" s="53">
        <v>46157.583333333336</v>
      </c>
      <c r="H573" s="53">
        <v>46157.620138888888</v>
      </c>
      <c r="I573" s="52"/>
      <c r="J573" s="52" t="s">
        <v>3693</v>
      </c>
      <c r="K573" s="53">
        <v>46157.590277777781</v>
      </c>
      <c r="L573" s="52"/>
      <c r="M573" s="55">
        <v>5.6250000000000001E-2</v>
      </c>
      <c r="N573" s="55">
        <v>0.9291666666666667</v>
      </c>
      <c r="O573" s="52" t="s">
        <v>3562</v>
      </c>
      <c r="P573" s="52" t="s">
        <v>114</v>
      </c>
      <c r="Q573" s="52" t="s">
        <v>1194</v>
      </c>
      <c r="R573" s="52"/>
      <c r="S573" s="52" t="s">
        <v>789</v>
      </c>
      <c r="T573" s="52" t="s">
        <v>4019</v>
      </c>
      <c r="U573" s="52" t="s">
        <v>3858</v>
      </c>
      <c r="V573" s="52" t="s">
        <v>4011</v>
      </c>
      <c r="W573" s="52">
        <v>23416371836</v>
      </c>
      <c r="X573" s="52" t="s">
        <v>73</v>
      </c>
      <c r="Y573" s="52"/>
      <c r="Z573" s="52" t="s">
        <v>3696</v>
      </c>
      <c r="AA573" s="52" t="s">
        <v>3710</v>
      </c>
      <c r="AB573" s="52"/>
      <c r="AC573" s="52" t="s">
        <v>3703</v>
      </c>
      <c r="AD573" s="52" t="s">
        <v>3704</v>
      </c>
      <c r="AE573" s="52" t="s">
        <v>140</v>
      </c>
      <c r="AF573" s="52" t="s">
        <v>3958</v>
      </c>
      <c r="AG573" s="52" t="s">
        <v>3704</v>
      </c>
      <c r="AH573" s="52"/>
      <c r="AI573" s="53">
        <v>46157.460416666669</v>
      </c>
      <c r="AJ573" s="53">
        <v>46157.535416666666</v>
      </c>
      <c r="AK573" s="53">
        <v>46157.460416666669</v>
      </c>
      <c r="AL573" s="55">
        <v>0.10486111111111111</v>
      </c>
      <c r="AM573" s="52"/>
      <c r="AN573" s="55">
        <v>7.4999999999999997E-2</v>
      </c>
      <c r="AO573" s="55">
        <v>2.9861111111111113E-2</v>
      </c>
      <c r="AP573" s="55">
        <v>0.10486111111111111</v>
      </c>
      <c r="AQ573" s="52"/>
      <c r="AR573" s="52"/>
      <c r="AS573" s="52" t="s">
        <v>3696</v>
      </c>
      <c r="AT573" s="52"/>
      <c r="AU573" s="52"/>
      <c r="AV573" s="52"/>
      <c r="AW573" s="52"/>
    </row>
    <row r="574" spans="1:49">
      <c r="A574" s="52">
        <v>6021584</v>
      </c>
      <c r="B574" s="52" t="s">
        <v>3699</v>
      </c>
      <c r="C574" s="52" t="s">
        <v>3698</v>
      </c>
      <c r="D574" s="53">
        <v>46157.416666666664</v>
      </c>
      <c r="E574" s="53">
        <v>46156.68472222222</v>
      </c>
      <c r="F574" s="53">
        <v>46157.527083333334</v>
      </c>
      <c r="G574" s="53">
        <v>46157.583333333336</v>
      </c>
      <c r="H574" s="53">
        <v>46157.620138888888</v>
      </c>
      <c r="I574" s="52"/>
      <c r="J574" s="52" t="s">
        <v>3693</v>
      </c>
      <c r="K574" s="53">
        <v>46157.590277777781</v>
      </c>
      <c r="L574" s="52"/>
      <c r="M574" s="55">
        <v>5.6250000000000001E-2</v>
      </c>
      <c r="N574" s="55">
        <v>0.9291666666666667</v>
      </c>
      <c r="O574" s="52" t="s">
        <v>3562</v>
      </c>
      <c r="P574" s="52" t="s">
        <v>114</v>
      </c>
      <c r="Q574" s="52" t="s">
        <v>1194</v>
      </c>
      <c r="R574" s="52"/>
      <c r="S574" s="52" t="s">
        <v>789</v>
      </c>
      <c r="T574" s="52" t="s">
        <v>4019</v>
      </c>
      <c r="U574" s="52" t="s">
        <v>3858</v>
      </c>
      <c r="V574" s="52" t="s">
        <v>4011</v>
      </c>
      <c r="W574" s="52">
        <v>23416371836</v>
      </c>
      <c r="X574" s="52" t="s">
        <v>73</v>
      </c>
      <c r="Y574" s="52"/>
      <c r="Z574" s="52" t="s">
        <v>3696</v>
      </c>
      <c r="AA574" s="52" t="s">
        <v>3710</v>
      </c>
      <c r="AB574" s="52"/>
      <c r="AC574" s="52" t="s">
        <v>3703</v>
      </c>
      <c r="AD574" s="52" t="s">
        <v>3704</v>
      </c>
      <c r="AE574" s="52"/>
      <c r="AF574" s="52" t="s">
        <v>3958</v>
      </c>
      <c r="AG574" s="52" t="s">
        <v>3704</v>
      </c>
      <c r="AH574" s="52"/>
      <c r="AI574" s="53">
        <v>46157.460416666669</v>
      </c>
      <c r="AJ574" s="53">
        <v>46157.535416666666</v>
      </c>
      <c r="AK574" s="53">
        <v>46157.460416666669</v>
      </c>
      <c r="AL574" s="55">
        <v>0.10486111111111111</v>
      </c>
      <c r="AM574" s="52"/>
      <c r="AN574" s="55">
        <v>7.4999999999999997E-2</v>
      </c>
      <c r="AO574" s="55">
        <v>2.9861111111111113E-2</v>
      </c>
      <c r="AP574" s="55">
        <v>0.10486111111111111</v>
      </c>
      <c r="AQ574" s="52"/>
      <c r="AR574" s="52"/>
      <c r="AS574" s="52" t="s">
        <v>3696</v>
      </c>
      <c r="AT574" s="52"/>
      <c r="AU574" s="52"/>
      <c r="AV574" s="52"/>
      <c r="AW574" s="52" t="s">
        <v>3565</v>
      </c>
    </row>
    <row r="575" spans="1:49">
      <c r="A575" s="52">
        <v>6021659</v>
      </c>
      <c r="B575" s="52" t="s">
        <v>3723</v>
      </c>
      <c r="C575" s="52" t="s">
        <v>3692</v>
      </c>
      <c r="D575" s="53">
        <v>46157.416666666664</v>
      </c>
      <c r="E575" s="53">
        <v>46156.68472222222</v>
      </c>
      <c r="F575" s="53">
        <v>46158.377083333333</v>
      </c>
      <c r="G575" s="53">
        <v>46162.25</v>
      </c>
      <c r="H575" s="52"/>
      <c r="I575" s="52" t="s">
        <v>3693</v>
      </c>
      <c r="J575" s="52" t="s">
        <v>3693</v>
      </c>
      <c r="K575" s="53">
        <v>46158.822916666664</v>
      </c>
      <c r="L575" s="52"/>
      <c r="M575" s="55">
        <v>0.2361111111111111</v>
      </c>
      <c r="N575" s="54">
        <v>3.0993055555555555</v>
      </c>
      <c r="O575" s="52"/>
      <c r="P575" s="52"/>
      <c r="Q575" s="52"/>
      <c r="R575" s="52"/>
      <c r="S575" s="52"/>
      <c r="T575" s="52" t="s">
        <v>3695</v>
      </c>
      <c r="U575" s="52" t="s">
        <v>3695</v>
      </c>
      <c r="V575" s="52"/>
      <c r="W575" s="52"/>
      <c r="X575" s="52"/>
      <c r="Y575" s="52"/>
      <c r="Z575" s="52" t="s">
        <v>3696</v>
      </c>
      <c r="AA575" s="52" t="s">
        <v>227</v>
      </c>
      <c r="AB575" s="52" t="s">
        <v>79</v>
      </c>
      <c r="AC575" s="52" t="s">
        <v>3720</v>
      </c>
      <c r="AD575" s="52" t="s">
        <v>3715</v>
      </c>
      <c r="AE575" s="52"/>
      <c r="AF575" s="52" t="s">
        <v>4020</v>
      </c>
      <c r="AG575" s="52" t="s">
        <v>3715</v>
      </c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>
        <v>0</v>
      </c>
      <c r="AT575" s="52"/>
      <c r="AU575" s="52"/>
      <c r="AV575" s="52" t="s">
        <v>1493</v>
      </c>
      <c r="AW575" s="52"/>
    </row>
    <row r="576" spans="1:49">
      <c r="A576" s="52">
        <v>6021659</v>
      </c>
      <c r="B576" s="52" t="s">
        <v>3723</v>
      </c>
      <c r="C576" s="52" t="s">
        <v>3698</v>
      </c>
      <c r="D576" s="53">
        <v>46157.416666666664</v>
      </c>
      <c r="E576" s="53">
        <v>46156.68472222222</v>
      </c>
      <c r="F576" s="53">
        <v>46158.381944444445</v>
      </c>
      <c r="G576" s="53">
        <v>46162.25</v>
      </c>
      <c r="H576" s="52"/>
      <c r="I576" s="52"/>
      <c r="J576" s="52" t="s">
        <v>3693</v>
      </c>
      <c r="K576" s="53">
        <v>46158.822916666664</v>
      </c>
      <c r="L576" s="52"/>
      <c r="M576" s="54">
        <v>3.8680555555555554</v>
      </c>
      <c r="N576" s="55">
        <v>7.4305555555555555E-2</v>
      </c>
      <c r="O576" s="52" t="s">
        <v>4021</v>
      </c>
      <c r="P576" s="52" t="s">
        <v>227</v>
      </c>
      <c r="Q576" s="52" t="s">
        <v>2028</v>
      </c>
      <c r="R576" s="52" t="s">
        <v>1496</v>
      </c>
      <c r="S576" s="52" t="s">
        <v>3756</v>
      </c>
      <c r="T576" s="52" t="s">
        <v>3695</v>
      </c>
      <c r="U576" s="52" t="s">
        <v>3695</v>
      </c>
      <c r="V576" s="52" t="s">
        <v>2032</v>
      </c>
      <c r="W576" s="52">
        <v>60372788904</v>
      </c>
      <c r="X576" s="52" t="s">
        <v>73</v>
      </c>
      <c r="Y576" s="52"/>
      <c r="Z576" s="52" t="s">
        <v>3696</v>
      </c>
      <c r="AA576" s="52" t="s">
        <v>3710</v>
      </c>
      <c r="AB576" s="52"/>
      <c r="AC576" s="52" t="s">
        <v>3720</v>
      </c>
      <c r="AD576" s="52" t="s">
        <v>3715</v>
      </c>
      <c r="AE576" s="52" t="s">
        <v>79</v>
      </c>
      <c r="AF576" s="52" t="s">
        <v>4020</v>
      </c>
      <c r="AG576" s="52" t="s">
        <v>3715</v>
      </c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 t="s">
        <v>3696</v>
      </c>
      <c r="AT576" s="52"/>
      <c r="AU576" s="52"/>
      <c r="AV576" s="52"/>
      <c r="AW576" s="52"/>
    </row>
    <row r="577" spans="1:49">
      <c r="A577" s="52">
        <v>6021659</v>
      </c>
      <c r="B577" s="52" t="s">
        <v>3723</v>
      </c>
      <c r="C577" s="52" t="s">
        <v>3698</v>
      </c>
      <c r="D577" s="53">
        <v>46157.416666666664</v>
      </c>
      <c r="E577" s="53">
        <v>46156.68472222222</v>
      </c>
      <c r="F577" s="53">
        <v>46158.381944444445</v>
      </c>
      <c r="G577" s="53">
        <v>46162.25</v>
      </c>
      <c r="H577" s="52"/>
      <c r="I577" s="52"/>
      <c r="J577" s="52" t="s">
        <v>3693</v>
      </c>
      <c r="K577" s="53">
        <v>46158.822916666664</v>
      </c>
      <c r="L577" s="52"/>
      <c r="M577" s="54">
        <v>3.8680555555555554</v>
      </c>
      <c r="N577" s="55">
        <v>7.4305555555555555E-2</v>
      </c>
      <c r="O577" s="52" t="s">
        <v>4021</v>
      </c>
      <c r="P577" s="52" t="s">
        <v>227</v>
      </c>
      <c r="Q577" s="52" t="s">
        <v>2028</v>
      </c>
      <c r="R577" s="52" t="s">
        <v>1496</v>
      </c>
      <c r="S577" s="52" t="s">
        <v>3756</v>
      </c>
      <c r="T577" s="52" t="s">
        <v>3695</v>
      </c>
      <c r="U577" s="52" t="s">
        <v>3695</v>
      </c>
      <c r="V577" s="52" t="s">
        <v>2032</v>
      </c>
      <c r="W577" s="52">
        <v>60372788904</v>
      </c>
      <c r="X577" s="52" t="s">
        <v>73</v>
      </c>
      <c r="Y577" s="52"/>
      <c r="Z577" s="52" t="s">
        <v>3696</v>
      </c>
      <c r="AA577" s="52" t="s">
        <v>3710</v>
      </c>
      <c r="AB577" s="52"/>
      <c r="AC577" s="52" t="s">
        <v>3720</v>
      </c>
      <c r="AD577" s="52" t="s">
        <v>3715</v>
      </c>
      <c r="AE577" s="52"/>
      <c r="AF577" s="52" t="s">
        <v>4020</v>
      </c>
      <c r="AG577" s="52" t="s">
        <v>3715</v>
      </c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 t="s">
        <v>3696</v>
      </c>
      <c r="AT577" s="52"/>
      <c r="AU577" s="52"/>
      <c r="AV577" s="52"/>
      <c r="AW577" s="52" t="s">
        <v>1493</v>
      </c>
    </row>
    <row r="578" spans="1:49">
      <c r="A578" s="52">
        <v>6021660</v>
      </c>
      <c r="B578" s="52" t="s">
        <v>3699</v>
      </c>
      <c r="C578" s="52" t="s">
        <v>3692</v>
      </c>
      <c r="D578" s="53">
        <v>46155.375</v>
      </c>
      <c r="E578" s="53">
        <v>46155.390277777777</v>
      </c>
      <c r="F578" s="53">
        <v>46155.78125</v>
      </c>
      <c r="G578" s="53">
        <v>46167.333333333336</v>
      </c>
      <c r="H578" s="53">
        <v>46155.853472222225</v>
      </c>
      <c r="I578" s="52" t="s">
        <v>3693</v>
      </c>
      <c r="J578" s="52" t="s">
        <v>3693</v>
      </c>
      <c r="K578" s="53">
        <v>46155.853472222225</v>
      </c>
      <c r="L578" s="52" t="s">
        <v>3700</v>
      </c>
      <c r="M578" s="55">
        <v>8.3333333333333329E-2</v>
      </c>
      <c r="N578" s="54">
        <v>8.8770833333333332</v>
      </c>
      <c r="O578" s="52"/>
      <c r="P578" s="52"/>
      <c r="Q578" s="52"/>
      <c r="R578" s="52"/>
      <c r="S578" s="52"/>
      <c r="T578" s="52" t="s">
        <v>3695</v>
      </c>
      <c r="U578" s="52" t="s">
        <v>3695</v>
      </c>
      <c r="V578" s="52"/>
      <c r="W578" s="52"/>
      <c r="X578" s="52"/>
      <c r="Y578" s="52"/>
      <c r="Z578" s="52" t="s">
        <v>3696</v>
      </c>
      <c r="AA578" s="52" t="s">
        <v>1246</v>
      </c>
      <c r="AB578" s="52" t="s">
        <v>140</v>
      </c>
      <c r="AC578" s="52" t="s">
        <v>3703</v>
      </c>
      <c r="AD578" s="52" t="s">
        <v>3704</v>
      </c>
      <c r="AE578" s="52"/>
      <c r="AF578" s="52" t="s">
        <v>3737</v>
      </c>
      <c r="AG578" s="52" t="s">
        <v>3704</v>
      </c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>
        <v>0</v>
      </c>
      <c r="AT578" s="52"/>
      <c r="AU578" s="52"/>
      <c r="AV578" s="52" t="s">
        <v>1296</v>
      </c>
      <c r="AW578" s="52"/>
    </row>
    <row r="579" spans="1:49">
      <c r="A579" s="52">
        <v>6021660</v>
      </c>
      <c r="B579" s="52" t="s">
        <v>3699</v>
      </c>
      <c r="C579" s="52" t="s">
        <v>3698</v>
      </c>
      <c r="D579" s="53">
        <v>46155.375</v>
      </c>
      <c r="E579" s="53">
        <v>46155.390277777777</v>
      </c>
      <c r="F579" s="53">
        <v>46155.821527777778</v>
      </c>
      <c r="G579" s="53">
        <v>46167.333333333336</v>
      </c>
      <c r="H579" s="52"/>
      <c r="I579" s="52"/>
      <c r="J579" s="52" t="s">
        <v>3693</v>
      </c>
      <c r="K579" s="52"/>
      <c r="L579" s="52"/>
      <c r="M579" s="54">
        <v>11.511805555555556</v>
      </c>
      <c r="N579" s="54">
        <v>2.6347222222222224</v>
      </c>
      <c r="O579" s="52" t="s">
        <v>3940</v>
      </c>
      <c r="P579" s="52" t="s">
        <v>1246</v>
      </c>
      <c r="Q579" s="52" t="s">
        <v>3279</v>
      </c>
      <c r="R579" s="52"/>
      <c r="S579" s="52" t="s">
        <v>3756</v>
      </c>
      <c r="T579" s="52" t="s">
        <v>3695</v>
      </c>
      <c r="U579" s="52" t="s">
        <v>3695</v>
      </c>
      <c r="V579" s="52" t="s">
        <v>3281</v>
      </c>
      <c r="W579" s="52">
        <v>49933173871</v>
      </c>
      <c r="X579" s="52" t="s">
        <v>73</v>
      </c>
      <c r="Y579" s="52" t="s">
        <v>3738</v>
      </c>
      <c r="Z579" s="52" t="s">
        <v>3696</v>
      </c>
      <c r="AA579" s="52" t="s">
        <v>3710</v>
      </c>
      <c r="AB579" s="52"/>
      <c r="AC579" s="52" t="s">
        <v>3703</v>
      </c>
      <c r="AD579" s="52" t="s">
        <v>3704</v>
      </c>
      <c r="AE579" s="52" t="s">
        <v>140</v>
      </c>
      <c r="AF579" s="52" t="s">
        <v>3737</v>
      </c>
      <c r="AG579" s="52" t="s">
        <v>3704</v>
      </c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 t="s">
        <v>3696</v>
      </c>
      <c r="AT579" s="52"/>
      <c r="AU579" s="52"/>
      <c r="AV579" s="52"/>
      <c r="AW579" s="52"/>
    </row>
    <row r="580" spans="1:49">
      <c r="A580" s="52">
        <v>6021660</v>
      </c>
      <c r="B580" s="52" t="s">
        <v>3699</v>
      </c>
      <c r="C580" s="52" t="s">
        <v>3698</v>
      </c>
      <c r="D580" s="53">
        <v>46155.375</v>
      </c>
      <c r="E580" s="53">
        <v>46155.390277777777</v>
      </c>
      <c r="F580" s="53">
        <v>46155.821527777778</v>
      </c>
      <c r="G580" s="53">
        <v>46167.333333333336</v>
      </c>
      <c r="H580" s="52"/>
      <c r="I580" s="52"/>
      <c r="J580" s="52" t="s">
        <v>3693</v>
      </c>
      <c r="K580" s="52"/>
      <c r="L580" s="52"/>
      <c r="M580" s="54">
        <v>11.511805555555556</v>
      </c>
      <c r="N580" s="54">
        <v>2.6347222222222224</v>
      </c>
      <c r="O580" s="52" t="s">
        <v>3940</v>
      </c>
      <c r="P580" s="52" t="s">
        <v>1246</v>
      </c>
      <c r="Q580" s="52" t="s">
        <v>3279</v>
      </c>
      <c r="R580" s="52"/>
      <c r="S580" s="52" t="s">
        <v>3756</v>
      </c>
      <c r="T580" s="52" t="s">
        <v>3695</v>
      </c>
      <c r="U580" s="52" t="s">
        <v>3695</v>
      </c>
      <c r="V580" s="52" t="s">
        <v>3281</v>
      </c>
      <c r="W580" s="52">
        <v>49933173871</v>
      </c>
      <c r="X580" s="52" t="s">
        <v>73</v>
      </c>
      <c r="Y580" s="52" t="s">
        <v>3738</v>
      </c>
      <c r="Z580" s="52" t="s">
        <v>3696</v>
      </c>
      <c r="AA580" s="52" t="s">
        <v>3710</v>
      </c>
      <c r="AB580" s="52"/>
      <c r="AC580" s="52" t="s">
        <v>3703</v>
      </c>
      <c r="AD580" s="52" t="s">
        <v>3704</v>
      </c>
      <c r="AE580" s="52"/>
      <c r="AF580" s="52" t="s">
        <v>3737</v>
      </c>
      <c r="AG580" s="52" t="s">
        <v>3704</v>
      </c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 t="s">
        <v>3696</v>
      </c>
      <c r="AT580" s="52"/>
      <c r="AU580" s="52"/>
      <c r="AV580" s="52"/>
      <c r="AW580" s="52" t="s">
        <v>1296</v>
      </c>
    </row>
    <row r="581" spans="1:49">
      <c r="A581" s="52">
        <v>6021660</v>
      </c>
      <c r="B581" s="52" t="s">
        <v>3699</v>
      </c>
      <c r="C581" s="52" t="s">
        <v>3698</v>
      </c>
      <c r="D581" s="53">
        <v>46155.375</v>
      </c>
      <c r="E581" s="53">
        <v>46155.390277777777</v>
      </c>
      <c r="F581" s="53">
        <v>46155.82916666667</v>
      </c>
      <c r="G581" s="53">
        <v>46167.333333333336</v>
      </c>
      <c r="H581" s="53">
        <v>46155.872916666667</v>
      </c>
      <c r="I581" s="52"/>
      <c r="J581" s="52" t="s">
        <v>3693</v>
      </c>
      <c r="K581" s="52"/>
      <c r="L581" s="52"/>
      <c r="M581" s="54">
        <v>11.504166666666666</v>
      </c>
      <c r="N581" s="54">
        <v>2.6270833333333332</v>
      </c>
      <c r="O581" s="52" t="s">
        <v>3280</v>
      </c>
      <c r="P581" s="52" t="s">
        <v>1246</v>
      </c>
      <c r="Q581" s="52" t="s">
        <v>3279</v>
      </c>
      <c r="R581" s="52"/>
      <c r="S581" s="52" t="s">
        <v>789</v>
      </c>
      <c r="T581" s="52" t="s">
        <v>3736</v>
      </c>
      <c r="U581" s="52" t="s">
        <v>3941</v>
      </c>
      <c r="V581" s="52" t="s">
        <v>3281</v>
      </c>
      <c r="W581" s="52">
        <v>49933173871</v>
      </c>
      <c r="X581" s="52" t="s">
        <v>73</v>
      </c>
      <c r="Y581" s="52" t="s">
        <v>3738</v>
      </c>
      <c r="Z581" s="52" t="s">
        <v>3696</v>
      </c>
      <c r="AA581" s="52" t="s">
        <v>3710</v>
      </c>
      <c r="AB581" s="52"/>
      <c r="AC581" s="52" t="s">
        <v>3703</v>
      </c>
      <c r="AD581" s="52" t="s">
        <v>3704</v>
      </c>
      <c r="AE581" s="52" t="s">
        <v>140</v>
      </c>
      <c r="AF581" s="52" t="s">
        <v>3737</v>
      </c>
      <c r="AG581" s="52" t="s">
        <v>3704</v>
      </c>
      <c r="AH581" s="52"/>
      <c r="AI581" s="52"/>
      <c r="AJ581" s="52"/>
      <c r="AK581" s="52"/>
      <c r="AL581" s="55">
        <v>4.027777777777778E-2</v>
      </c>
      <c r="AM581" s="52"/>
      <c r="AN581" s="52"/>
      <c r="AO581" s="52"/>
      <c r="AP581" s="55">
        <v>4.027777777777778E-2</v>
      </c>
      <c r="AQ581" s="52"/>
      <c r="AR581" s="52"/>
      <c r="AS581" s="52" t="s">
        <v>3696</v>
      </c>
      <c r="AT581" s="52"/>
      <c r="AU581" s="52"/>
      <c r="AV581" s="52"/>
      <c r="AW581" s="52"/>
    </row>
    <row r="582" spans="1:49">
      <c r="A582" s="52">
        <v>6021660</v>
      </c>
      <c r="B582" s="52" t="s">
        <v>3699</v>
      </c>
      <c r="C582" s="52" t="s">
        <v>3698</v>
      </c>
      <c r="D582" s="53">
        <v>46155.375</v>
      </c>
      <c r="E582" s="53">
        <v>46155.390277777777</v>
      </c>
      <c r="F582" s="53">
        <v>46155.82916666667</v>
      </c>
      <c r="G582" s="53">
        <v>46167.333333333336</v>
      </c>
      <c r="H582" s="53">
        <v>46155.872916666667</v>
      </c>
      <c r="I582" s="52"/>
      <c r="J582" s="52" t="s">
        <v>3693</v>
      </c>
      <c r="K582" s="52"/>
      <c r="L582" s="52"/>
      <c r="M582" s="54">
        <v>11.504166666666666</v>
      </c>
      <c r="N582" s="54">
        <v>2.6270833333333332</v>
      </c>
      <c r="O582" s="52" t="s">
        <v>3280</v>
      </c>
      <c r="P582" s="52" t="s">
        <v>1246</v>
      </c>
      <c r="Q582" s="52" t="s">
        <v>3279</v>
      </c>
      <c r="R582" s="52"/>
      <c r="S582" s="52" t="s">
        <v>789</v>
      </c>
      <c r="T582" s="52" t="s">
        <v>3736</v>
      </c>
      <c r="U582" s="52" t="s">
        <v>3941</v>
      </c>
      <c r="V582" s="52" t="s">
        <v>3281</v>
      </c>
      <c r="W582" s="52">
        <v>49933173871</v>
      </c>
      <c r="X582" s="52" t="s">
        <v>73</v>
      </c>
      <c r="Y582" s="52" t="s">
        <v>3738</v>
      </c>
      <c r="Z582" s="52" t="s">
        <v>3696</v>
      </c>
      <c r="AA582" s="52" t="s">
        <v>3710</v>
      </c>
      <c r="AB582" s="52"/>
      <c r="AC582" s="52" t="s">
        <v>3703</v>
      </c>
      <c r="AD582" s="52" t="s">
        <v>3704</v>
      </c>
      <c r="AE582" s="52"/>
      <c r="AF582" s="52" t="s">
        <v>3737</v>
      </c>
      <c r="AG582" s="52" t="s">
        <v>3704</v>
      </c>
      <c r="AH582" s="52"/>
      <c r="AI582" s="52"/>
      <c r="AJ582" s="52"/>
      <c r="AK582" s="52"/>
      <c r="AL582" s="55">
        <v>4.027777777777778E-2</v>
      </c>
      <c r="AM582" s="52"/>
      <c r="AN582" s="52"/>
      <c r="AO582" s="52"/>
      <c r="AP582" s="55">
        <v>4.027777777777778E-2</v>
      </c>
      <c r="AQ582" s="52"/>
      <c r="AR582" s="52"/>
      <c r="AS582" s="52" t="s">
        <v>3696</v>
      </c>
      <c r="AT582" s="52"/>
      <c r="AU582" s="52"/>
      <c r="AV582" s="52"/>
      <c r="AW582" s="52" t="s">
        <v>1296</v>
      </c>
    </row>
    <row r="583" spans="1:49">
      <c r="A583" s="52">
        <v>6021675</v>
      </c>
      <c r="B583" s="52" t="s">
        <v>3691</v>
      </c>
      <c r="C583" s="52" t="s">
        <v>3692</v>
      </c>
      <c r="D583" s="53">
        <v>46160.666666666664</v>
      </c>
      <c r="E583" s="53">
        <v>46157.584722222222</v>
      </c>
      <c r="F583" s="52"/>
      <c r="G583" s="52"/>
      <c r="H583" s="52"/>
      <c r="I583" s="52" t="s">
        <v>3693</v>
      </c>
      <c r="J583" s="52" t="s">
        <v>3694</v>
      </c>
      <c r="K583" s="52"/>
      <c r="L583" s="52"/>
      <c r="M583" s="55">
        <v>0.37847222222222221</v>
      </c>
      <c r="N583" s="54">
        <v>2.4152777777777779</v>
      </c>
      <c r="O583" s="52"/>
      <c r="P583" s="52"/>
      <c r="Q583" s="52"/>
      <c r="R583" s="52"/>
      <c r="S583" s="52"/>
      <c r="T583" s="52" t="s">
        <v>3695</v>
      </c>
      <c r="U583" s="52" t="s">
        <v>3695</v>
      </c>
      <c r="V583" s="52"/>
      <c r="W583" s="52"/>
      <c r="X583" s="52"/>
      <c r="Y583" s="52"/>
      <c r="Z583" s="52" t="s">
        <v>3696</v>
      </c>
      <c r="AA583" s="52" t="s">
        <v>3387</v>
      </c>
      <c r="AB583" s="52" t="s">
        <v>140</v>
      </c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>
        <v>0</v>
      </c>
      <c r="AT583" s="52"/>
      <c r="AU583" s="52"/>
      <c r="AV583" s="52" t="s">
        <v>383</v>
      </c>
      <c r="AW583" s="52"/>
    </row>
    <row r="584" spans="1:49">
      <c r="A584" s="52">
        <v>6021675</v>
      </c>
      <c r="B584" s="52" t="s">
        <v>3691</v>
      </c>
      <c r="C584" s="52" t="s">
        <v>3698</v>
      </c>
      <c r="D584" s="53">
        <v>46160.666666666664</v>
      </c>
      <c r="E584" s="53">
        <v>46157.584722222222</v>
      </c>
      <c r="F584" s="52"/>
      <c r="G584" s="52"/>
      <c r="H584" s="52"/>
      <c r="I584" s="52"/>
      <c r="J584" s="52" t="s">
        <v>3694</v>
      </c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 t="s">
        <v>3696</v>
      </c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>
        <v>0</v>
      </c>
      <c r="AT584" s="52"/>
      <c r="AU584" s="52"/>
      <c r="AV584" s="52"/>
      <c r="AW584" s="52"/>
    </row>
    <row r="585" spans="1:49">
      <c r="A585" s="52">
        <v>6021676</v>
      </c>
      <c r="B585" s="52" t="s">
        <v>3691</v>
      </c>
      <c r="C585" s="52" t="s">
        <v>3692</v>
      </c>
      <c r="D585" s="53">
        <v>46160.666666666664</v>
      </c>
      <c r="E585" s="53">
        <v>46157.584722222222</v>
      </c>
      <c r="F585" s="52"/>
      <c r="G585" s="52"/>
      <c r="H585" s="52"/>
      <c r="I585" s="52" t="s">
        <v>3693</v>
      </c>
      <c r="J585" s="52" t="s">
        <v>3694</v>
      </c>
      <c r="K585" s="52"/>
      <c r="L585" s="52"/>
      <c r="M585" s="55">
        <v>0.46666666666666667</v>
      </c>
      <c r="N585" s="54">
        <v>2.3270833333333334</v>
      </c>
      <c r="O585" s="52"/>
      <c r="P585" s="52"/>
      <c r="Q585" s="52"/>
      <c r="R585" s="52"/>
      <c r="S585" s="52"/>
      <c r="T585" s="52" t="s">
        <v>3695</v>
      </c>
      <c r="U585" s="52" t="s">
        <v>3695</v>
      </c>
      <c r="V585" s="52"/>
      <c r="W585" s="52"/>
      <c r="X585" s="52"/>
      <c r="Y585" s="52"/>
      <c r="Z585" s="52" t="s">
        <v>3696</v>
      </c>
      <c r="AA585" s="52" t="s">
        <v>3387</v>
      </c>
      <c r="AB585" s="52" t="s">
        <v>140</v>
      </c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>
        <v>0</v>
      </c>
      <c r="AT585" s="52"/>
      <c r="AU585" s="52"/>
      <c r="AV585" s="52" t="s">
        <v>383</v>
      </c>
      <c r="AW585" s="52"/>
    </row>
    <row r="586" spans="1:49">
      <c r="A586" s="52">
        <v>6021676</v>
      </c>
      <c r="B586" s="52" t="s">
        <v>3691</v>
      </c>
      <c r="C586" s="52" t="s">
        <v>3698</v>
      </c>
      <c r="D586" s="53">
        <v>46160.666666666664</v>
      </c>
      <c r="E586" s="53">
        <v>46157.584722222222</v>
      </c>
      <c r="F586" s="52"/>
      <c r="G586" s="52"/>
      <c r="H586" s="52"/>
      <c r="I586" s="52"/>
      <c r="J586" s="52" t="s">
        <v>3694</v>
      </c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 t="s">
        <v>3696</v>
      </c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>
        <v>0</v>
      </c>
      <c r="AT586" s="52"/>
      <c r="AU586" s="52"/>
      <c r="AV586" s="52"/>
      <c r="AW586" s="52"/>
    </row>
    <row r="587" spans="1:49">
      <c r="A587" s="52">
        <v>6021677</v>
      </c>
      <c r="B587" s="52" t="s">
        <v>3691</v>
      </c>
      <c r="C587" s="52" t="s">
        <v>3692</v>
      </c>
      <c r="D587" s="53">
        <v>46160.375</v>
      </c>
      <c r="E587" s="53">
        <v>46157.584722222222</v>
      </c>
      <c r="F587" s="52"/>
      <c r="G587" s="52"/>
      <c r="H587" s="52"/>
      <c r="I587" s="52" t="s">
        <v>3693</v>
      </c>
      <c r="J587" s="52" t="s">
        <v>3694</v>
      </c>
      <c r="K587" s="52"/>
      <c r="L587" s="52"/>
      <c r="M587" s="55">
        <v>0.46666666666666667</v>
      </c>
      <c r="N587" s="54">
        <v>2.3270833333333334</v>
      </c>
      <c r="O587" s="52"/>
      <c r="P587" s="52"/>
      <c r="Q587" s="52"/>
      <c r="R587" s="52"/>
      <c r="S587" s="52"/>
      <c r="T587" s="52" t="s">
        <v>3695</v>
      </c>
      <c r="U587" s="52" t="s">
        <v>3695</v>
      </c>
      <c r="V587" s="52"/>
      <c r="W587" s="52"/>
      <c r="X587" s="52"/>
      <c r="Y587" s="52"/>
      <c r="Z587" s="52" t="s">
        <v>3696</v>
      </c>
      <c r="AA587" s="52" t="s">
        <v>1635</v>
      </c>
      <c r="AB587" s="52" t="s">
        <v>140</v>
      </c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>
        <v>0</v>
      </c>
      <c r="AT587" s="52"/>
      <c r="AU587" s="52"/>
      <c r="AV587" s="52" t="s">
        <v>383</v>
      </c>
      <c r="AW587" s="52"/>
    </row>
    <row r="588" spans="1:49">
      <c r="A588" s="52">
        <v>6021677</v>
      </c>
      <c r="B588" s="52" t="s">
        <v>3691</v>
      </c>
      <c r="C588" s="52" t="s">
        <v>3698</v>
      </c>
      <c r="D588" s="53">
        <v>46160.375</v>
      </c>
      <c r="E588" s="53">
        <v>46157.584722222222</v>
      </c>
      <c r="F588" s="52"/>
      <c r="G588" s="52"/>
      <c r="H588" s="52"/>
      <c r="I588" s="52"/>
      <c r="J588" s="52" t="s">
        <v>3694</v>
      </c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 t="s">
        <v>3696</v>
      </c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>
        <v>0</v>
      </c>
      <c r="AT588" s="52"/>
      <c r="AU588" s="52"/>
      <c r="AV588" s="52"/>
      <c r="AW588" s="52"/>
    </row>
    <row r="589" spans="1:49">
      <c r="A589" s="52">
        <v>6021731</v>
      </c>
      <c r="B589" s="52" t="s">
        <v>3691</v>
      </c>
      <c r="C589" s="52" t="s">
        <v>3692</v>
      </c>
      <c r="D589" s="53">
        <v>46160.895833333336</v>
      </c>
      <c r="E589" s="53">
        <v>46157.584722222222</v>
      </c>
      <c r="F589" s="52"/>
      <c r="G589" s="52"/>
      <c r="H589" s="52"/>
      <c r="I589" s="52" t="s">
        <v>3693</v>
      </c>
      <c r="J589" s="52" t="s">
        <v>3694</v>
      </c>
      <c r="K589" s="52"/>
      <c r="L589" s="52"/>
      <c r="M589" s="54">
        <v>1.3541666666666667</v>
      </c>
      <c r="N589" s="54">
        <v>2.4395833333333332</v>
      </c>
      <c r="O589" s="52"/>
      <c r="P589" s="52"/>
      <c r="Q589" s="52"/>
      <c r="R589" s="52"/>
      <c r="S589" s="52"/>
      <c r="T589" s="52" t="s">
        <v>3695</v>
      </c>
      <c r="U589" s="52" t="s">
        <v>3695</v>
      </c>
      <c r="V589" s="52"/>
      <c r="W589" s="52"/>
      <c r="X589" s="52"/>
      <c r="Y589" s="52"/>
      <c r="Z589" s="52" t="s">
        <v>3696</v>
      </c>
      <c r="AA589" s="52" t="s">
        <v>420</v>
      </c>
      <c r="AB589" s="52" t="s">
        <v>1918</v>
      </c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>
        <v>0</v>
      </c>
      <c r="AT589" s="52"/>
      <c r="AU589" s="52"/>
      <c r="AV589" s="52" t="s">
        <v>4022</v>
      </c>
      <c r="AW589" s="52"/>
    </row>
    <row r="590" spans="1:49">
      <c r="A590" s="52">
        <v>6021731</v>
      </c>
      <c r="B590" s="52" t="s">
        <v>3691</v>
      </c>
      <c r="C590" s="52" t="s">
        <v>3698</v>
      </c>
      <c r="D590" s="53">
        <v>46160.895833333336</v>
      </c>
      <c r="E590" s="53">
        <v>46157.584722222222</v>
      </c>
      <c r="F590" s="52"/>
      <c r="G590" s="52"/>
      <c r="H590" s="52"/>
      <c r="I590" s="52"/>
      <c r="J590" s="52" t="s">
        <v>3694</v>
      </c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 t="s">
        <v>3696</v>
      </c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>
        <v>0</v>
      </c>
      <c r="AT590" s="52"/>
      <c r="AU590" s="52"/>
      <c r="AV590" s="52"/>
      <c r="AW590" s="52"/>
    </row>
    <row r="591" spans="1:49">
      <c r="A591" s="52">
        <v>6021732</v>
      </c>
      <c r="B591" s="52" t="s">
        <v>3691</v>
      </c>
      <c r="C591" s="52" t="s">
        <v>3692</v>
      </c>
      <c r="D591" s="53">
        <v>46160.895833333336</v>
      </c>
      <c r="E591" s="53">
        <v>46157.584722222222</v>
      </c>
      <c r="F591" s="52"/>
      <c r="G591" s="52"/>
      <c r="H591" s="52"/>
      <c r="I591" s="52" t="s">
        <v>3693</v>
      </c>
      <c r="J591" s="52" t="s">
        <v>3694</v>
      </c>
      <c r="K591" s="52"/>
      <c r="L591" s="52"/>
      <c r="M591" s="54">
        <v>1.3541666666666667</v>
      </c>
      <c r="N591" s="54">
        <v>2.4395833333333332</v>
      </c>
      <c r="O591" s="52"/>
      <c r="P591" s="52"/>
      <c r="Q591" s="52"/>
      <c r="R591" s="52"/>
      <c r="S591" s="52"/>
      <c r="T591" s="52" t="s">
        <v>3695</v>
      </c>
      <c r="U591" s="52" t="s">
        <v>3695</v>
      </c>
      <c r="V591" s="52"/>
      <c r="W591" s="52"/>
      <c r="X591" s="52"/>
      <c r="Y591" s="52"/>
      <c r="Z591" s="52" t="s">
        <v>3696</v>
      </c>
      <c r="AA591" s="52" t="s">
        <v>1912</v>
      </c>
      <c r="AB591" s="52" t="s">
        <v>1918</v>
      </c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>
        <v>0</v>
      </c>
      <c r="AT591" s="52"/>
      <c r="AU591" s="52"/>
      <c r="AV591" s="52" t="s">
        <v>4022</v>
      </c>
      <c r="AW591" s="52"/>
    </row>
    <row r="592" spans="1:49">
      <c r="A592" s="52">
        <v>6021732</v>
      </c>
      <c r="B592" s="52" t="s">
        <v>3691</v>
      </c>
      <c r="C592" s="52" t="s">
        <v>3698</v>
      </c>
      <c r="D592" s="53">
        <v>46160.895833333336</v>
      </c>
      <c r="E592" s="53">
        <v>46157.584722222222</v>
      </c>
      <c r="F592" s="52"/>
      <c r="G592" s="52"/>
      <c r="H592" s="52"/>
      <c r="I592" s="52"/>
      <c r="J592" s="52" t="s">
        <v>3694</v>
      </c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 t="s">
        <v>3696</v>
      </c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>
        <v>0</v>
      </c>
      <c r="AT592" s="52"/>
      <c r="AU592" s="52"/>
      <c r="AV592" s="52"/>
      <c r="AW592" s="52"/>
    </row>
    <row r="593" spans="1:49">
      <c r="A593" s="52">
        <v>6021733</v>
      </c>
      <c r="B593" s="52" t="s">
        <v>3691</v>
      </c>
      <c r="C593" s="52" t="s">
        <v>3692</v>
      </c>
      <c r="D593" s="53">
        <v>46160.854166666664</v>
      </c>
      <c r="E593" s="53">
        <v>46157.584722222222</v>
      </c>
      <c r="F593" s="52"/>
      <c r="G593" s="52"/>
      <c r="H593" s="52"/>
      <c r="I593" s="52" t="s">
        <v>3693</v>
      </c>
      <c r="J593" s="52" t="s">
        <v>3694</v>
      </c>
      <c r="K593" s="52"/>
      <c r="L593" s="52"/>
      <c r="M593" s="54">
        <v>1.3958333333333333</v>
      </c>
      <c r="N593" s="54">
        <v>2.3979166666666667</v>
      </c>
      <c r="O593" s="52"/>
      <c r="P593" s="52"/>
      <c r="Q593" s="52"/>
      <c r="R593" s="52"/>
      <c r="S593" s="52"/>
      <c r="T593" s="52" t="s">
        <v>3695</v>
      </c>
      <c r="U593" s="52" t="s">
        <v>3695</v>
      </c>
      <c r="V593" s="52"/>
      <c r="W593" s="52"/>
      <c r="X593" s="52"/>
      <c r="Y593" s="52"/>
      <c r="Z593" s="52" t="s">
        <v>3696</v>
      </c>
      <c r="AA593" s="52" t="s">
        <v>3992</v>
      </c>
      <c r="AB593" s="52" t="s">
        <v>1918</v>
      </c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>
        <v>0</v>
      </c>
      <c r="AT593" s="52"/>
      <c r="AU593" s="52"/>
      <c r="AV593" s="52" t="s">
        <v>594</v>
      </c>
      <c r="AW593" s="52"/>
    </row>
    <row r="594" spans="1:49">
      <c r="A594" s="52">
        <v>6021733</v>
      </c>
      <c r="B594" s="52" t="s">
        <v>3691</v>
      </c>
      <c r="C594" s="52" t="s">
        <v>3698</v>
      </c>
      <c r="D594" s="53">
        <v>46160.854166666664</v>
      </c>
      <c r="E594" s="53">
        <v>46157.584722222222</v>
      </c>
      <c r="F594" s="52"/>
      <c r="G594" s="52"/>
      <c r="H594" s="52"/>
      <c r="I594" s="52"/>
      <c r="J594" s="52" t="s">
        <v>3694</v>
      </c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 t="s">
        <v>3696</v>
      </c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>
        <v>0</v>
      </c>
      <c r="AT594" s="52"/>
      <c r="AU594" s="52"/>
      <c r="AV594" s="52"/>
      <c r="AW594" s="52"/>
    </row>
    <row r="595" spans="1:49">
      <c r="A595" s="52">
        <v>6021734</v>
      </c>
      <c r="B595" s="52" t="s">
        <v>3691</v>
      </c>
      <c r="C595" s="52" t="s">
        <v>3692</v>
      </c>
      <c r="D595" s="53">
        <v>46160.854166666664</v>
      </c>
      <c r="E595" s="53">
        <v>46157.584722222222</v>
      </c>
      <c r="F595" s="52"/>
      <c r="G595" s="52"/>
      <c r="H595" s="52"/>
      <c r="I595" s="52" t="s">
        <v>3693</v>
      </c>
      <c r="J595" s="52" t="s">
        <v>3694</v>
      </c>
      <c r="K595" s="52"/>
      <c r="L595" s="52"/>
      <c r="M595" s="54">
        <v>1.3958333333333333</v>
      </c>
      <c r="N595" s="54">
        <v>2.3979166666666667</v>
      </c>
      <c r="O595" s="52"/>
      <c r="P595" s="52"/>
      <c r="Q595" s="52"/>
      <c r="R595" s="52"/>
      <c r="S595" s="52"/>
      <c r="T595" s="52" t="s">
        <v>3695</v>
      </c>
      <c r="U595" s="52" t="s">
        <v>3695</v>
      </c>
      <c r="V595" s="52"/>
      <c r="W595" s="52"/>
      <c r="X595" s="52"/>
      <c r="Y595" s="52"/>
      <c r="Z595" s="52" t="s">
        <v>3696</v>
      </c>
      <c r="AA595" s="52" t="s">
        <v>1912</v>
      </c>
      <c r="AB595" s="52" t="s">
        <v>1918</v>
      </c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>
        <v>0</v>
      </c>
      <c r="AT595" s="52"/>
      <c r="AU595" s="52"/>
      <c r="AV595" s="52" t="s">
        <v>594</v>
      </c>
      <c r="AW595" s="52"/>
    </row>
    <row r="596" spans="1:49">
      <c r="A596" s="52">
        <v>6021734</v>
      </c>
      <c r="B596" s="52" t="s">
        <v>3691</v>
      </c>
      <c r="C596" s="52" t="s">
        <v>3698</v>
      </c>
      <c r="D596" s="53">
        <v>46160.854166666664</v>
      </c>
      <c r="E596" s="53">
        <v>46157.584722222222</v>
      </c>
      <c r="F596" s="52"/>
      <c r="G596" s="52"/>
      <c r="H596" s="52"/>
      <c r="I596" s="52"/>
      <c r="J596" s="52" t="s">
        <v>3694</v>
      </c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 t="s">
        <v>3696</v>
      </c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>
        <v>0</v>
      </c>
      <c r="AT596" s="52"/>
      <c r="AU596" s="52"/>
      <c r="AV596" s="52"/>
      <c r="AW596" s="52"/>
    </row>
    <row r="597" spans="1:49">
      <c r="A597" s="52">
        <v>6021735</v>
      </c>
      <c r="B597" s="52" t="s">
        <v>3691</v>
      </c>
      <c r="C597" s="52" t="s">
        <v>3692</v>
      </c>
      <c r="D597" s="53">
        <v>46160.854166666664</v>
      </c>
      <c r="E597" s="53">
        <v>46157.584722222222</v>
      </c>
      <c r="F597" s="52"/>
      <c r="G597" s="52"/>
      <c r="H597" s="52"/>
      <c r="I597" s="52" t="s">
        <v>3693</v>
      </c>
      <c r="J597" s="52" t="s">
        <v>3694</v>
      </c>
      <c r="K597" s="52"/>
      <c r="L597" s="52"/>
      <c r="M597" s="54">
        <v>1.3958333333333333</v>
      </c>
      <c r="N597" s="54">
        <v>2.3979166666666667</v>
      </c>
      <c r="O597" s="52"/>
      <c r="P597" s="52"/>
      <c r="Q597" s="52"/>
      <c r="R597" s="52"/>
      <c r="S597" s="52"/>
      <c r="T597" s="52" t="s">
        <v>3695</v>
      </c>
      <c r="U597" s="52" t="s">
        <v>3695</v>
      </c>
      <c r="V597" s="52"/>
      <c r="W597" s="52"/>
      <c r="X597" s="52"/>
      <c r="Y597" s="52"/>
      <c r="Z597" s="52" t="s">
        <v>3696</v>
      </c>
      <c r="AA597" s="52" t="s">
        <v>1912</v>
      </c>
      <c r="AB597" s="52" t="s">
        <v>1918</v>
      </c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>
        <v>0</v>
      </c>
      <c r="AT597" s="52"/>
      <c r="AU597" s="52"/>
      <c r="AV597" s="52" t="s">
        <v>594</v>
      </c>
      <c r="AW597" s="52"/>
    </row>
    <row r="598" spans="1:49">
      <c r="A598" s="52">
        <v>6021735</v>
      </c>
      <c r="B598" s="52" t="s">
        <v>3691</v>
      </c>
      <c r="C598" s="52" t="s">
        <v>3698</v>
      </c>
      <c r="D598" s="53">
        <v>46160.854166666664</v>
      </c>
      <c r="E598" s="53">
        <v>46157.584722222222</v>
      </c>
      <c r="F598" s="52"/>
      <c r="G598" s="52"/>
      <c r="H598" s="52"/>
      <c r="I598" s="52"/>
      <c r="J598" s="52" t="s">
        <v>3694</v>
      </c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 t="s">
        <v>3696</v>
      </c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>
        <v>0</v>
      </c>
      <c r="AT598" s="52"/>
      <c r="AU598" s="52"/>
      <c r="AV598" s="52"/>
      <c r="AW598" s="52"/>
    </row>
    <row r="599" spans="1:49">
      <c r="A599" s="52">
        <v>6021827</v>
      </c>
      <c r="B599" s="52" t="s">
        <v>3699</v>
      </c>
      <c r="C599" s="52" t="s">
        <v>3692</v>
      </c>
      <c r="D599" s="53">
        <v>46154.958333333336</v>
      </c>
      <c r="E599" s="53">
        <v>46154.84652777778</v>
      </c>
      <c r="F599" s="53">
        <v>46154.850694444445</v>
      </c>
      <c r="G599" s="53">
        <v>46157.958333333336</v>
      </c>
      <c r="H599" s="53">
        <v>46156.215277777781</v>
      </c>
      <c r="I599" s="52" t="s">
        <v>3693</v>
      </c>
      <c r="J599" s="52" t="s">
        <v>3693</v>
      </c>
      <c r="K599" s="53">
        <v>46156.215277777781</v>
      </c>
      <c r="L599" s="52" t="s">
        <v>3700</v>
      </c>
      <c r="M599" s="54">
        <v>2</v>
      </c>
      <c r="N599" s="54">
        <v>3.4979166666666668</v>
      </c>
      <c r="O599" s="52"/>
      <c r="P599" s="52"/>
      <c r="Q599" s="52"/>
      <c r="R599" s="52"/>
      <c r="S599" s="52"/>
      <c r="T599" s="52" t="s">
        <v>3695</v>
      </c>
      <c r="U599" s="52" t="s">
        <v>3695</v>
      </c>
      <c r="V599" s="52"/>
      <c r="W599" s="52"/>
      <c r="X599" s="52"/>
      <c r="Y599" s="52"/>
      <c r="Z599" s="52" t="s">
        <v>3696</v>
      </c>
      <c r="AA599" s="52" t="s">
        <v>114</v>
      </c>
      <c r="AB599" s="52" t="s">
        <v>140</v>
      </c>
      <c r="AC599" s="52" t="s">
        <v>3703</v>
      </c>
      <c r="AD599" s="52" t="s">
        <v>3704</v>
      </c>
      <c r="AE599" s="52"/>
      <c r="AF599" s="52" t="s">
        <v>3714</v>
      </c>
      <c r="AG599" s="52" t="s">
        <v>3715</v>
      </c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>
        <v>0</v>
      </c>
      <c r="AT599" s="52"/>
      <c r="AU599" s="52"/>
      <c r="AV599" s="52" t="s">
        <v>984</v>
      </c>
      <c r="AW599" s="52"/>
    </row>
    <row r="600" spans="1:49">
      <c r="A600" s="52">
        <v>6021827</v>
      </c>
      <c r="B600" s="52" t="s">
        <v>3699</v>
      </c>
      <c r="C600" s="52" t="s">
        <v>3698</v>
      </c>
      <c r="D600" s="53">
        <v>46154.958333333336</v>
      </c>
      <c r="E600" s="53">
        <v>46154.84652777778</v>
      </c>
      <c r="F600" s="53">
        <v>46155.239583333336</v>
      </c>
      <c r="G600" s="53">
        <v>46156.958333333336</v>
      </c>
      <c r="H600" s="52"/>
      <c r="I600" s="52"/>
      <c r="J600" s="52" t="s">
        <v>3693</v>
      </c>
      <c r="K600" s="52"/>
      <c r="L600" s="52"/>
      <c r="M600" s="54">
        <v>1.71875</v>
      </c>
      <c r="N600" s="54">
        <v>3.2166666666666668</v>
      </c>
      <c r="O600" s="52" t="s">
        <v>4023</v>
      </c>
      <c r="P600" s="52" t="s">
        <v>114</v>
      </c>
      <c r="Q600" s="52" t="s">
        <v>292</v>
      </c>
      <c r="R600" s="52"/>
      <c r="S600" s="52" t="s">
        <v>3756</v>
      </c>
      <c r="T600" s="52" t="s">
        <v>3695</v>
      </c>
      <c r="U600" s="52" t="s">
        <v>3695</v>
      </c>
      <c r="V600" s="52" t="s">
        <v>4024</v>
      </c>
      <c r="W600" s="52">
        <v>2461816999</v>
      </c>
      <c r="X600" s="52" t="s">
        <v>73</v>
      </c>
      <c r="Y600" s="52"/>
      <c r="Z600" s="52" t="s">
        <v>3696</v>
      </c>
      <c r="AA600" s="52" t="s">
        <v>3710</v>
      </c>
      <c r="AB600" s="52"/>
      <c r="AC600" s="52" t="s">
        <v>3703</v>
      </c>
      <c r="AD600" s="52" t="s">
        <v>3704</v>
      </c>
      <c r="AE600" s="52" t="s">
        <v>140</v>
      </c>
      <c r="AF600" s="52" t="s">
        <v>3714</v>
      </c>
      <c r="AG600" s="52" t="s">
        <v>3715</v>
      </c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 t="s">
        <v>3696</v>
      </c>
      <c r="AT600" s="52"/>
      <c r="AU600" s="52"/>
      <c r="AV600" s="52"/>
      <c r="AW600" s="52"/>
    </row>
    <row r="601" spans="1:49">
      <c r="A601" s="52">
        <v>6021827</v>
      </c>
      <c r="B601" s="52" t="s">
        <v>3699</v>
      </c>
      <c r="C601" s="52" t="s">
        <v>3698</v>
      </c>
      <c r="D601" s="53">
        <v>46154.958333333336</v>
      </c>
      <c r="E601" s="53">
        <v>46154.84652777778</v>
      </c>
      <c r="F601" s="53">
        <v>46155.239583333336</v>
      </c>
      <c r="G601" s="53">
        <v>46156.958333333336</v>
      </c>
      <c r="H601" s="52"/>
      <c r="I601" s="52"/>
      <c r="J601" s="52" t="s">
        <v>3693</v>
      </c>
      <c r="K601" s="52"/>
      <c r="L601" s="52"/>
      <c r="M601" s="54">
        <v>1.71875</v>
      </c>
      <c r="N601" s="54">
        <v>3.2166666666666668</v>
      </c>
      <c r="O601" s="52" t="s">
        <v>4023</v>
      </c>
      <c r="P601" s="52" t="s">
        <v>114</v>
      </c>
      <c r="Q601" s="52" t="s">
        <v>292</v>
      </c>
      <c r="R601" s="52"/>
      <c r="S601" s="52" t="s">
        <v>3756</v>
      </c>
      <c r="T601" s="52" t="s">
        <v>3695</v>
      </c>
      <c r="U601" s="52" t="s">
        <v>3695</v>
      </c>
      <c r="V601" s="52" t="s">
        <v>4024</v>
      </c>
      <c r="W601" s="52">
        <v>2461816999</v>
      </c>
      <c r="X601" s="52" t="s">
        <v>73</v>
      </c>
      <c r="Y601" s="52"/>
      <c r="Z601" s="52" t="s">
        <v>3696</v>
      </c>
      <c r="AA601" s="52" t="s">
        <v>3710</v>
      </c>
      <c r="AB601" s="52"/>
      <c r="AC601" s="52" t="s">
        <v>3703</v>
      </c>
      <c r="AD601" s="52" t="s">
        <v>3704</v>
      </c>
      <c r="AE601" s="52"/>
      <c r="AF601" s="52" t="s">
        <v>3714</v>
      </c>
      <c r="AG601" s="52" t="s">
        <v>3715</v>
      </c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 t="s">
        <v>3696</v>
      </c>
      <c r="AT601" s="52"/>
      <c r="AU601" s="52"/>
      <c r="AV601" s="52"/>
      <c r="AW601" s="52" t="s">
        <v>984</v>
      </c>
    </row>
    <row r="602" spans="1:49">
      <c r="A602" s="52">
        <v>6021827</v>
      </c>
      <c r="B602" s="52" t="s">
        <v>3699</v>
      </c>
      <c r="C602" s="52" t="s">
        <v>3698</v>
      </c>
      <c r="D602" s="53">
        <v>46154.958333333336</v>
      </c>
      <c r="E602" s="53">
        <v>46154.84652777778</v>
      </c>
      <c r="F602" s="53">
        <v>46155.24722222222</v>
      </c>
      <c r="G602" s="53">
        <v>46156.958333333336</v>
      </c>
      <c r="H602" s="53">
        <v>46156.302083333336</v>
      </c>
      <c r="I602" s="52"/>
      <c r="J602" s="52" t="s">
        <v>3693</v>
      </c>
      <c r="K602" s="52"/>
      <c r="L602" s="52"/>
      <c r="M602" s="54">
        <v>1.711111111111111</v>
      </c>
      <c r="N602" s="54">
        <v>3.2090277777777776</v>
      </c>
      <c r="O602" s="52" t="s">
        <v>3177</v>
      </c>
      <c r="P602" s="52" t="s">
        <v>114</v>
      </c>
      <c r="Q602" s="52" t="s">
        <v>292</v>
      </c>
      <c r="R602" s="52" t="s">
        <v>300</v>
      </c>
      <c r="S602" s="52" t="s">
        <v>789</v>
      </c>
      <c r="T602" s="52" t="s">
        <v>3712</v>
      </c>
      <c r="U602" s="52" t="s">
        <v>4025</v>
      </c>
      <c r="V602" s="52" t="s">
        <v>4024</v>
      </c>
      <c r="W602" s="52">
        <v>2461816999</v>
      </c>
      <c r="X602" s="52" t="s">
        <v>73</v>
      </c>
      <c r="Y602" s="52"/>
      <c r="Z602" s="52" t="s">
        <v>3696</v>
      </c>
      <c r="AA602" s="52" t="s">
        <v>3710</v>
      </c>
      <c r="AB602" s="52"/>
      <c r="AC602" s="52" t="s">
        <v>3703</v>
      </c>
      <c r="AD602" s="52" t="s">
        <v>3704</v>
      </c>
      <c r="AE602" s="52" t="s">
        <v>140</v>
      </c>
      <c r="AF602" s="52" t="s">
        <v>3714</v>
      </c>
      <c r="AG602" s="52" t="s">
        <v>3715</v>
      </c>
      <c r="AH602" s="52"/>
      <c r="AI602" s="52"/>
      <c r="AJ602" s="52"/>
      <c r="AK602" s="52"/>
      <c r="AL602" s="55">
        <v>0.59444444444444444</v>
      </c>
      <c r="AM602" s="52"/>
      <c r="AN602" s="52"/>
      <c r="AO602" s="52"/>
      <c r="AP602" s="55">
        <v>0.59444444444444444</v>
      </c>
      <c r="AQ602" s="52"/>
      <c r="AR602" s="52"/>
      <c r="AS602" s="52" t="s">
        <v>3696</v>
      </c>
      <c r="AT602" s="52"/>
      <c r="AU602" s="52"/>
      <c r="AV602" s="52"/>
      <c r="AW602" s="52"/>
    </row>
    <row r="603" spans="1:49">
      <c r="A603" s="52">
        <v>6021827</v>
      </c>
      <c r="B603" s="52" t="s">
        <v>3699</v>
      </c>
      <c r="C603" s="52" t="s">
        <v>3698</v>
      </c>
      <c r="D603" s="53">
        <v>46154.958333333336</v>
      </c>
      <c r="E603" s="53">
        <v>46154.84652777778</v>
      </c>
      <c r="F603" s="53">
        <v>46155.24722222222</v>
      </c>
      <c r="G603" s="53">
        <v>46156.958333333336</v>
      </c>
      <c r="H603" s="53">
        <v>46156.302083333336</v>
      </c>
      <c r="I603" s="52"/>
      <c r="J603" s="52" t="s">
        <v>3693</v>
      </c>
      <c r="K603" s="52"/>
      <c r="L603" s="52"/>
      <c r="M603" s="54">
        <v>1.711111111111111</v>
      </c>
      <c r="N603" s="54">
        <v>3.2090277777777776</v>
      </c>
      <c r="O603" s="52" t="s">
        <v>3177</v>
      </c>
      <c r="P603" s="52" t="s">
        <v>114</v>
      </c>
      <c r="Q603" s="52" t="s">
        <v>292</v>
      </c>
      <c r="R603" s="52" t="s">
        <v>300</v>
      </c>
      <c r="S603" s="52" t="s">
        <v>789</v>
      </c>
      <c r="T603" s="52" t="s">
        <v>3712</v>
      </c>
      <c r="U603" s="52" t="s">
        <v>4025</v>
      </c>
      <c r="V603" s="52" t="s">
        <v>4024</v>
      </c>
      <c r="W603" s="52">
        <v>2461816999</v>
      </c>
      <c r="X603" s="52" t="s">
        <v>73</v>
      </c>
      <c r="Y603" s="52"/>
      <c r="Z603" s="52" t="s">
        <v>3696</v>
      </c>
      <c r="AA603" s="52" t="s">
        <v>3710</v>
      </c>
      <c r="AB603" s="52"/>
      <c r="AC603" s="52" t="s">
        <v>3703</v>
      </c>
      <c r="AD603" s="52" t="s">
        <v>3704</v>
      </c>
      <c r="AE603" s="52"/>
      <c r="AF603" s="52" t="s">
        <v>3714</v>
      </c>
      <c r="AG603" s="52" t="s">
        <v>3715</v>
      </c>
      <c r="AH603" s="52"/>
      <c r="AI603" s="52"/>
      <c r="AJ603" s="52"/>
      <c r="AK603" s="52"/>
      <c r="AL603" s="55">
        <v>0.59444444444444444</v>
      </c>
      <c r="AM603" s="52"/>
      <c r="AN603" s="52"/>
      <c r="AO603" s="52"/>
      <c r="AP603" s="55">
        <v>0.59444444444444444</v>
      </c>
      <c r="AQ603" s="52"/>
      <c r="AR603" s="52"/>
      <c r="AS603" s="52" t="s">
        <v>3696</v>
      </c>
      <c r="AT603" s="52"/>
      <c r="AU603" s="52"/>
      <c r="AV603" s="52"/>
      <c r="AW603" s="52" t="s">
        <v>984</v>
      </c>
    </row>
    <row r="604" spans="1:49">
      <c r="A604" s="52">
        <v>6021908</v>
      </c>
      <c r="B604" s="52" t="s">
        <v>3716</v>
      </c>
      <c r="C604" s="52" t="s">
        <v>3717</v>
      </c>
      <c r="D604" s="53">
        <v>46157.583333333336</v>
      </c>
      <c r="E604" s="53">
        <v>46156.68472222222</v>
      </c>
      <c r="F604" s="53">
        <v>46157.677777777775</v>
      </c>
      <c r="G604" s="53">
        <v>46160.238194444442</v>
      </c>
      <c r="H604" s="53">
        <v>46157.675694444442</v>
      </c>
      <c r="I604" s="52" t="s">
        <v>3693</v>
      </c>
      <c r="J604" s="52" t="s">
        <v>3694</v>
      </c>
      <c r="K604" s="52"/>
      <c r="L604" s="52"/>
      <c r="M604" s="54">
        <v>1.0534722222222221</v>
      </c>
      <c r="N604" s="54">
        <v>1.7819444444444446</v>
      </c>
      <c r="O604" s="52"/>
      <c r="P604" s="52"/>
      <c r="Q604" s="52"/>
      <c r="R604" s="52"/>
      <c r="S604" s="52"/>
      <c r="T604" s="52" t="s">
        <v>3841</v>
      </c>
      <c r="U604" s="52" t="s">
        <v>4026</v>
      </c>
      <c r="V604" s="52"/>
      <c r="W604" s="52"/>
      <c r="X604" s="52"/>
      <c r="Y604" s="52"/>
      <c r="Z604" s="52" t="s">
        <v>3696</v>
      </c>
      <c r="AA604" s="52" t="s">
        <v>216</v>
      </c>
      <c r="AB604" s="52" t="s">
        <v>140</v>
      </c>
      <c r="AC604" s="52" t="s">
        <v>3703</v>
      </c>
      <c r="AD604" s="52" t="s">
        <v>3704</v>
      </c>
      <c r="AE604" s="52"/>
      <c r="AF604" s="52" t="s">
        <v>3703</v>
      </c>
      <c r="AG604" s="52" t="s">
        <v>3704</v>
      </c>
      <c r="AH604" s="52"/>
      <c r="AI604" s="52"/>
      <c r="AJ604" s="52"/>
      <c r="AK604" s="52"/>
      <c r="AL604" s="55">
        <v>2.1527777777777778E-2</v>
      </c>
      <c r="AM604" s="52"/>
      <c r="AN604" s="52"/>
      <c r="AO604" s="52"/>
      <c r="AP604" s="52"/>
      <c r="AQ604" s="52"/>
      <c r="AR604" s="52"/>
      <c r="AS604" s="52">
        <v>0</v>
      </c>
      <c r="AT604" s="52"/>
      <c r="AU604" s="52"/>
      <c r="AV604" s="52" t="s">
        <v>403</v>
      </c>
      <c r="AW604" s="52"/>
    </row>
    <row r="605" spans="1:49">
      <c r="A605" s="52">
        <v>6021908</v>
      </c>
      <c r="B605" s="52" t="s">
        <v>3716</v>
      </c>
      <c r="C605" s="52" t="s">
        <v>3698</v>
      </c>
      <c r="D605" s="53">
        <v>46157.583333333336</v>
      </c>
      <c r="E605" s="53">
        <v>46156.68472222222</v>
      </c>
      <c r="F605" s="53">
        <v>46157.677777777775</v>
      </c>
      <c r="G605" s="53">
        <v>46158.341666666667</v>
      </c>
      <c r="H605" s="52"/>
      <c r="I605" s="52"/>
      <c r="J605" s="52" t="s">
        <v>3694</v>
      </c>
      <c r="K605" s="53">
        <v>46158.631249999999</v>
      </c>
      <c r="L605" s="52"/>
      <c r="M605" s="55">
        <v>0.66388888888888886</v>
      </c>
      <c r="N605" s="55">
        <v>0.77847222222222223</v>
      </c>
      <c r="O605" s="52" t="s">
        <v>397</v>
      </c>
      <c r="P605" s="52" t="s">
        <v>216</v>
      </c>
      <c r="Q605" s="52" t="s">
        <v>396</v>
      </c>
      <c r="R605" s="52"/>
      <c r="S605" s="52" t="s">
        <v>69</v>
      </c>
      <c r="T605" s="52" t="s">
        <v>3841</v>
      </c>
      <c r="U605" s="52" t="s">
        <v>4026</v>
      </c>
      <c r="V605" s="52" t="s">
        <v>405</v>
      </c>
      <c r="W605" s="52">
        <v>9026832761</v>
      </c>
      <c r="X605" s="52" t="s">
        <v>73</v>
      </c>
      <c r="Y605" s="52"/>
      <c r="Z605" s="52" t="s">
        <v>3696</v>
      </c>
      <c r="AA605" s="52" t="s">
        <v>3710</v>
      </c>
      <c r="AB605" s="52"/>
      <c r="AC605" s="52" t="s">
        <v>3703</v>
      </c>
      <c r="AD605" s="52" t="s">
        <v>3704</v>
      </c>
      <c r="AE605" s="52" t="s">
        <v>140</v>
      </c>
      <c r="AF605" s="52" t="s">
        <v>3705</v>
      </c>
      <c r="AG605" s="52" t="s">
        <v>3706</v>
      </c>
      <c r="AH605" s="52"/>
      <c r="AI605" s="53">
        <v>46157.675694444442</v>
      </c>
      <c r="AJ605" s="53">
        <v>46157.697222222225</v>
      </c>
      <c r="AK605" s="53">
        <v>46157.675694444442</v>
      </c>
      <c r="AL605" s="55">
        <v>2.1527777777777778E-2</v>
      </c>
      <c r="AM605" s="52"/>
      <c r="AN605" s="55">
        <v>2.1527777777777778E-2</v>
      </c>
      <c r="AO605" s="52"/>
      <c r="AP605" s="55">
        <v>2.1527777777777778E-2</v>
      </c>
      <c r="AQ605" s="52"/>
      <c r="AR605" s="52"/>
      <c r="AS605" s="52" t="s">
        <v>3696</v>
      </c>
      <c r="AT605" s="52"/>
      <c r="AU605" s="52"/>
      <c r="AV605" s="52"/>
      <c r="AW605" s="52"/>
    </row>
    <row r="606" spans="1:49">
      <c r="A606" s="52">
        <v>6021908</v>
      </c>
      <c r="B606" s="52" t="s">
        <v>3716</v>
      </c>
      <c r="C606" s="52" t="s">
        <v>3698</v>
      </c>
      <c r="D606" s="53">
        <v>46157.583333333336</v>
      </c>
      <c r="E606" s="53">
        <v>46156.68472222222</v>
      </c>
      <c r="F606" s="53">
        <v>46157.677777777775</v>
      </c>
      <c r="G606" s="53">
        <v>46158.341666666667</v>
      </c>
      <c r="H606" s="52"/>
      <c r="I606" s="52"/>
      <c r="J606" s="52" t="s">
        <v>3694</v>
      </c>
      <c r="K606" s="53">
        <v>46158.631249999999</v>
      </c>
      <c r="L606" s="52"/>
      <c r="M606" s="55">
        <v>0.66388888888888886</v>
      </c>
      <c r="N606" s="55">
        <v>0.77847222222222223</v>
      </c>
      <c r="O606" s="52" t="s">
        <v>397</v>
      </c>
      <c r="P606" s="52" t="s">
        <v>216</v>
      </c>
      <c r="Q606" s="52" t="s">
        <v>396</v>
      </c>
      <c r="R606" s="52"/>
      <c r="S606" s="52" t="s">
        <v>69</v>
      </c>
      <c r="T606" s="52" t="s">
        <v>3841</v>
      </c>
      <c r="U606" s="52" t="s">
        <v>4026</v>
      </c>
      <c r="V606" s="52" t="s">
        <v>405</v>
      </c>
      <c r="W606" s="52">
        <v>9026832761</v>
      </c>
      <c r="X606" s="52" t="s">
        <v>73</v>
      </c>
      <c r="Y606" s="52"/>
      <c r="Z606" s="52" t="s">
        <v>3696</v>
      </c>
      <c r="AA606" s="52" t="s">
        <v>3710</v>
      </c>
      <c r="AB606" s="52"/>
      <c r="AC606" s="52" t="s">
        <v>3703</v>
      </c>
      <c r="AD606" s="52" t="s">
        <v>3704</v>
      </c>
      <c r="AE606" s="52"/>
      <c r="AF606" s="52" t="s">
        <v>3705</v>
      </c>
      <c r="AG606" s="52" t="s">
        <v>3706</v>
      </c>
      <c r="AH606" s="52"/>
      <c r="AI606" s="53">
        <v>46157.675694444442</v>
      </c>
      <c r="AJ606" s="53">
        <v>46157.697222222225</v>
      </c>
      <c r="AK606" s="53">
        <v>46157.675694444442</v>
      </c>
      <c r="AL606" s="55">
        <v>2.1527777777777778E-2</v>
      </c>
      <c r="AM606" s="52"/>
      <c r="AN606" s="55">
        <v>2.1527777777777778E-2</v>
      </c>
      <c r="AO606" s="52"/>
      <c r="AP606" s="55">
        <v>2.1527777777777778E-2</v>
      </c>
      <c r="AQ606" s="52"/>
      <c r="AR606" s="52"/>
      <c r="AS606" s="52" t="s">
        <v>3696</v>
      </c>
      <c r="AT606" s="52"/>
      <c r="AU606" s="52"/>
      <c r="AV606" s="52"/>
      <c r="AW606" s="52" t="s">
        <v>403</v>
      </c>
    </row>
    <row r="607" spans="1:49">
      <c r="A607" s="52">
        <v>6021910</v>
      </c>
      <c r="B607" s="52" t="s">
        <v>3716</v>
      </c>
      <c r="C607" s="52" t="s">
        <v>3692</v>
      </c>
      <c r="D607" s="53">
        <v>46157.708333333336</v>
      </c>
      <c r="E607" s="53">
        <v>46157.413888888892</v>
      </c>
      <c r="F607" s="53">
        <v>46157.67083333333</v>
      </c>
      <c r="G607" s="53">
        <v>46159.783333333333</v>
      </c>
      <c r="H607" s="53">
        <v>46157.67083333333</v>
      </c>
      <c r="I607" s="52" t="s">
        <v>3693</v>
      </c>
      <c r="J607" s="52" t="s">
        <v>3694</v>
      </c>
      <c r="K607" s="52"/>
      <c r="L607" s="52"/>
      <c r="M607" s="55">
        <v>0.46666666666666667</v>
      </c>
      <c r="N607" s="54">
        <v>1.3270833333333334</v>
      </c>
      <c r="O607" s="52"/>
      <c r="P607" s="52"/>
      <c r="Q607" s="52"/>
      <c r="R607" s="52"/>
      <c r="S607" s="52"/>
      <c r="T607" s="52" t="s">
        <v>4027</v>
      </c>
      <c r="U607" s="52" t="s">
        <v>4028</v>
      </c>
      <c r="V607" s="52"/>
      <c r="W607" s="52"/>
      <c r="X607" s="52"/>
      <c r="Y607" s="52"/>
      <c r="Z607" s="52" t="s">
        <v>3696</v>
      </c>
      <c r="AA607" s="52" t="s">
        <v>216</v>
      </c>
      <c r="AB607" s="52" t="s">
        <v>140</v>
      </c>
      <c r="AC607" s="52" t="s">
        <v>3703</v>
      </c>
      <c r="AD607" s="52" t="s">
        <v>3704</v>
      </c>
      <c r="AE607" s="52"/>
      <c r="AF607" s="52" t="s">
        <v>3703</v>
      </c>
      <c r="AG607" s="52" t="s">
        <v>3704</v>
      </c>
      <c r="AH607" s="52"/>
      <c r="AI607" s="52"/>
      <c r="AJ607" s="52"/>
      <c r="AK607" s="52"/>
      <c r="AL607" s="55">
        <v>0.64930555555555558</v>
      </c>
      <c r="AM607" s="52"/>
      <c r="AN607" s="52"/>
      <c r="AO607" s="52"/>
      <c r="AP607" s="52"/>
      <c r="AQ607" s="52"/>
      <c r="AR607" s="52"/>
      <c r="AS607" s="52">
        <v>0</v>
      </c>
      <c r="AT607" s="52"/>
      <c r="AU607" s="52"/>
      <c r="AV607" s="52" t="s">
        <v>383</v>
      </c>
      <c r="AW607" s="52"/>
    </row>
    <row r="608" spans="1:49">
      <c r="A608" s="52">
        <v>6021910</v>
      </c>
      <c r="B608" s="52" t="s">
        <v>3716</v>
      </c>
      <c r="C608" s="52" t="s">
        <v>3698</v>
      </c>
      <c r="D608" s="53">
        <v>46157.708333333336</v>
      </c>
      <c r="E608" s="53">
        <v>46157.413888888892</v>
      </c>
      <c r="F608" s="53">
        <v>46157.67083333333</v>
      </c>
      <c r="G608" s="53">
        <v>46158.645833333336</v>
      </c>
      <c r="H608" s="52"/>
      <c r="I608" s="52"/>
      <c r="J608" s="52" t="s">
        <v>3694</v>
      </c>
      <c r="K608" s="53">
        <v>46158.64166666667</v>
      </c>
      <c r="L608" s="52"/>
      <c r="M608" s="55">
        <v>0.97499999999999998</v>
      </c>
      <c r="N608" s="55">
        <v>0.78541666666666665</v>
      </c>
      <c r="O608" s="52" t="s">
        <v>378</v>
      </c>
      <c r="P608" s="52" t="s">
        <v>216</v>
      </c>
      <c r="Q608" s="52" t="s">
        <v>377</v>
      </c>
      <c r="R608" s="52"/>
      <c r="S608" s="52" t="s">
        <v>69</v>
      </c>
      <c r="T608" s="52" t="s">
        <v>4027</v>
      </c>
      <c r="U608" s="52" t="s">
        <v>4028</v>
      </c>
      <c r="V608" s="52" t="s">
        <v>4029</v>
      </c>
      <c r="W608" s="52">
        <v>9056295748</v>
      </c>
      <c r="X608" s="52" t="s">
        <v>73</v>
      </c>
      <c r="Y608" s="52"/>
      <c r="Z608" s="52" t="s">
        <v>3696</v>
      </c>
      <c r="AA608" s="52" t="s">
        <v>3710</v>
      </c>
      <c r="AB608" s="52"/>
      <c r="AC608" s="52" t="s">
        <v>3703</v>
      </c>
      <c r="AD608" s="52" t="s">
        <v>3704</v>
      </c>
      <c r="AE608" s="52" t="s">
        <v>140</v>
      </c>
      <c r="AF608" s="52" t="s">
        <v>3732</v>
      </c>
      <c r="AG608" s="52" t="s">
        <v>3733</v>
      </c>
      <c r="AH608" s="52"/>
      <c r="AI608" s="53">
        <v>46157.67083333333</v>
      </c>
      <c r="AJ608" s="53">
        <v>46158.320138888892</v>
      </c>
      <c r="AK608" s="53">
        <v>46157.67083333333</v>
      </c>
      <c r="AL608" s="55">
        <v>0.64930555555555558</v>
      </c>
      <c r="AM608" s="52"/>
      <c r="AN608" s="55">
        <v>0.64930555555555558</v>
      </c>
      <c r="AO608" s="52"/>
      <c r="AP608" s="55">
        <v>0.64930555555555558</v>
      </c>
      <c r="AQ608" s="52"/>
      <c r="AR608" s="52"/>
      <c r="AS608" s="52" t="s">
        <v>3696</v>
      </c>
      <c r="AT608" s="52"/>
      <c r="AU608" s="52"/>
      <c r="AV608" s="52"/>
      <c r="AW608" s="52"/>
    </row>
    <row r="609" spans="1:49">
      <c r="A609" s="52">
        <v>6021910</v>
      </c>
      <c r="B609" s="52" t="s">
        <v>3716</v>
      </c>
      <c r="C609" s="52" t="s">
        <v>3698</v>
      </c>
      <c r="D609" s="53">
        <v>46157.708333333336</v>
      </c>
      <c r="E609" s="53">
        <v>46157.413888888892</v>
      </c>
      <c r="F609" s="53">
        <v>46157.67083333333</v>
      </c>
      <c r="G609" s="53">
        <v>46158.645833333336</v>
      </c>
      <c r="H609" s="52"/>
      <c r="I609" s="52"/>
      <c r="J609" s="52" t="s">
        <v>3694</v>
      </c>
      <c r="K609" s="53">
        <v>46158.64166666667</v>
      </c>
      <c r="L609" s="52"/>
      <c r="M609" s="55">
        <v>0.97499999999999998</v>
      </c>
      <c r="N609" s="55">
        <v>0.78541666666666665</v>
      </c>
      <c r="O609" s="52" t="s">
        <v>378</v>
      </c>
      <c r="P609" s="52" t="s">
        <v>216</v>
      </c>
      <c r="Q609" s="52" t="s">
        <v>377</v>
      </c>
      <c r="R609" s="52"/>
      <c r="S609" s="52" t="s">
        <v>69</v>
      </c>
      <c r="T609" s="52" t="s">
        <v>4027</v>
      </c>
      <c r="U609" s="52" t="s">
        <v>4028</v>
      </c>
      <c r="V609" s="52" t="s">
        <v>4029</v>
      </c>
      <c r="W609" s="52">
        <v>9056295748</v>
      </c>
      <c r="X609" s="52" t="s">
        <v>73</v>
      </c>
      <c r="Y609" s="52"/>
      <c r="Z609" s="52" t="s">
        <v>3696</v>
      </c>
      <c r="AA609" s="52" t="s">
        <v>3710</v>
      </c>
      <c r="AB609" s="52"/>
      <c r="AC609" s="52" t="s">
        <v>3703</v>
      </c>
      <c r="AD609" s="52" t="s">
        <v>3704</v>
      </c>
      <c r="AE609" s="52"/>
      <c r="AF609" s="52" t="s">
        <v>3732</v>
      </c>
      <c r="AG609" s="52" t="s">
        <v>3733</v>
      </c>
      <c r="AH609" s="52"/>
      <c r="AI609" s="53">
        <v>46157.67083333333</v>
      </c>
      <c r="AJ609" s="53">
        <v>46158.320138888892</v>
      </c>
      <c r="AK609" s="53">
        <v>46157.67083333333</v>
      </c>
      <c r="AL609" s="55">
        <v>0.64930555555555558</v>
      </c>
      <c r="AM609" s="52"/>
      <c r="AN609" s="55">
        <v>0.64930555555555558</v>
      </c>
      <c r="AO609" s="52"/>
      <c r="AP609" s="55">
        <v>0.64930555555555558</v>
      </c>
      <c r="AQ609" s="52"/>
      <c r="AR609" s="52"/>
      <c r="AS609" s="52" t="s">
        <v>3696</v>
      </c>
      <c r="AT609" s="52"/>
      <c r="AU609" s="52"/>
      <c r="AV609" s="52"/>
      <c r="AW609" s="52" t="s">
        <v>383</v>
      </c>
    </row>
    <row r="610" spans="1:49">
      <c r="A610" s="52">
        <v>6022041</v>
      </c>
      <c r="B610" s="52" t="s">
        <v>3716</v>
      </c>
      <c r="C610" s="52" t="s">
        <v>3717</v>
      </c>
      <c r="D610" s="53">
        <v>46157.708333333336</v>
      </c>
      <c r="E610" s="53">
        <v>46156.68472222222</v>
      </c>
      <c r="F610" s="53">
        <v>46157.704861111109</v>
      </c>
      <c r="G610" s="53">
        <v>46159.871527777781</v>
      </c>
      <c r="H610" s="53">
        <v>46157.706250000003</v>
      </c>
      <c r="I610" s="52" t="s">
        <v>3693</v>
      </c>
      <c r="J610" s="52" t="s">
        <v>3694</v>
      </c>
      <c r="K610" s="52"/>
      <c r="L610" s="52"/>
      <c r="M610" s="55">
        <v>0.37847222222222221</v>
      </c>
      <c r="N610" s="54">
        <v>1.4152777777777779</v>
      </c>
      <c r="O610" s="52"/>
      <c r="P610" s="52"/>
      <c r="Q610" s="52"/>
      <c r="R610" s="52"/>
      <c r="S610" s="52"/>
      <c r="T610" s="52" t="s">
        <v>4030</v>
      </c>
      <c r="U610" s="52" t="s">
        <v>4031</v>
      </c>
      <c r="V610" s="52"/>
      <c r="W610" s="52"/>
      <c r="X610" s="52"/>
      <c r="Y610" s="52"/>
      <c r="Z610" s="52" t="s">
        <v>3696</v>
      </c>
      <c r="AA610" s="52" t="s">
        <v>72</v>
      </c>
      <c r="AB610" s="52" t="s">
        <v>140</v>
      </c>
      <c r="AC610" s="52" t="s">
        <v>3703</v>
      </c>
      <c r="AD610" s="52" t="s">
        <v>3704</v>
      </c>
      <c r="AE610" s="52"/>
      <c r="AF610" s="52" t="s">
        <v>3703</v>
      </c>
      <c r="AG610" s="52" t="s">
        <v>3704</v>
      </c>
      <c r="AH610" s="52"/>
      <c r="AI610" s="52"/>
      <c r="AJ610" s="52"/>
      <c r="AK610" s="52"/>
      <c r="AL610" s="55">
        <v>3.888888888888889E-2</v>
      </c>
      <c r="AM610" s="52"/>
      <c r="AN610" s="52"/>
      <c r="AO610" s="52"/>
      <c r="AP610" s="52"/>
      <c r="AQ610" s="52"/>
      <c r="AR610" s="52"/>
      <c r="AS610" s="52">
        <v>0</v>
      </c>
      <c r="AT610" s="52"/>
      <c r="AU610" s="52"/>
      <c r="AV610" s="52" t="s">
        <v>383</v>
      </c>
      <c r="AW610" s="52"/>
    </row>
    <row r="611" spans="1:49">
      <c r="A611" s="52">
        <v>6022041</v>
      </c>
      <c r="B611" s="52" t="s">
        <v>3716</v>
      </c>
      <c r="C611" s="52" t="s">
        <v>3698</v>
      </c>
      <c r="D611" s="53">
        <v>46157.708333333336</v>
      </c>
      <c r="E611" s="53">
        <v>46156.68472222222</v>
      </c>
      <c r="F611" s="53">
        <v>46157.718055555553</v>
      </c>
      <c r="G611" s="53">
        <v>46158.070833333331</v>
      </c>
      <c r="H611" s="52"/>
      <c r="I611" s="52"/>
      <c r="J611" s="52" t="s">
        <v>3694</v>
      </c>
      <c r="K611" s="53">
        <v>46158.57916666667</v>
      </c>
      <c r="L611" s="52"/>
      <c r="M611" s="55">
        <v>0.3527777777777778</v>
      </c>
      <c r="N611" s="55">
        <v>0.73819444444444449</v>
      </c>
      <c r="O611" s="52" t="s">
        <v>451</v>
      </c>
      <c r="P611" s="52" t="s">
        <v>72</v>
      </c>
      <c r="Q611" s="52" t="s">
        <v>450</v>
      </c>
      <c r="R611" s="52" t="s">
        <v>459</v>
      </c>
      <c r="S611" s="52" t="s">
        <v>69</v>
      </c>
      <c r="T611" s="52" t="s">
        <v>4030</v>
      </c>
      <c r="U611" s="52" t="s">
        <v>4031</v>
      </c>
      <c r="V611" s="52" t="s">
        <v>460</v>
      </c>
      <c r="W611" s="52">
        <v>11672044847</v>
      </c>
      <c r="X611" s="52" t="s">
        <v>73</v>
      </c>
      <c r="Y611" s="52"/>
      <c r="Z611" s="52" t="s">
        <v>3696</v>
      </c>
      <c r="AA611" s="52" t="s">
        <v>3710</v>
      </c>
      <c r="AB611" s="52"/>
      <c r="AC611" s="52" t="s">
        <v>3703</v>
      </c>
      <c r="AD611" s="52" t="s">
        <v>3704</v>
      </c>
      <c r="AE611" s="52" t="s">
        <v>140</v>
      </c>
      <c r="AF611" s="52" t="s">
        <v>3732</v>
      </c>
      <c r="AG611" s="52" t="s">
        <v>3733</v>
      </c>
      <c r="AH611" s="52"/>
      <c r="AI611" s="53">
        <v>46157.706250000003</v>
      </c>
      <c r="AJ611" s="53">
        <v>46157.745138888888</v>
      </c>
      <c r="AK611" s="53">
        <v>46157.706250000003</v>
      </c>
      <c r="AL611" s="55">
        <v>3.888888888888889E-2</v>
      </c>
      <c r="AM611" s="52"/>
      <c r="AN611" s="55">
        <v>3.888888888888889E-2</v>
      </c>
      <c r="AO611" s="52"/>
      <c r="AP611" s="55">
        <v>3.888888888888889E-2</v>
      </c>
      <c r="AQ611" s="52"/>
      <c r="AR611" s="52"/>
      <c r="AS611" s="52" t="s">
        <v>3696</v>
      </c>
      <c r="AT611" s="52"/>
      <c r="AU611" s="52"/>
      <c r="AV611" s="52"/>
      <c r="AW611" s="52"/>
    </row>
    <row r="612" spans="1:49">
      <c r="A612" s="52">
        <v>6022041</v>
      </c>
      <c r="B612" s="52" t="s">
        <v>3716</v>
      </c>
      <c r="C612" s="52" t="s">
        <v>3698</v>
      </c>
      <c r="D612" s="53">
        <v>46157.708333333336</v>
      </c>
      <c r="E612" s="53">
        <v>46156.68472222222</v>
      </c>
      <c r="F612" s="53">
        <v>46157.718055555553</v>
      </c>
      <c r="G612" s="53">
        <v>46158.070833333331</v>
      </c>
      <c r="H612" s="52"/>
      <c r="I612" s="52"/>
      <c r="J612" s="52" t="s">
        <v>3694</v>
      </c>
      <c r="K612" s="53">
        <v>46158.57916666667</v>
      </c>
      <c r="L612" s="52"/>
      <c r="M612" s="55">
        <v>0.3527777777777778</v>
      </c>
      <c r="N612" s="55">
        <v>0.73819444444444449</v>
      </c>
      <c r="O612" s="52" t="s">
        <v>451</v>
      </c>
      <c r="P612" s="52" t="s">
        <v>72</v>
      </c>
      <c r="Q612" s="52" t="s">
        <v>450</v>
      </c>
      <c r="R612" s="52" t="s">
        <v>459</v>
      </c>
      <c r="S612" s="52" t="s">
        <v>69</v>
      </c>
      <c r="T612" s="52" t="s">
        <v>4030</v>
      </c>
      <c r="U612" s="52" t="s">
        <v>4031</v>
      </c>
      <c r="V612" s="52" t="s">
        <v>460</v>
      </c>
      <c r="W612" s="52">
        <v>11672044847</v>
      </c>
      <c r="X612" s="52" t="s">
        <v>73</v>
      </c>
      <c r="Y612" s="52"/>
      <c r="Z612" s="52" t="s">
        <v>3696</v>
      </c>
      <c r="AA612" s="52" t="s">
        <v>3710</v>
      </c>
      <c r="AB612" s="52"/>
      <c r="AC612" s="52" t="s">
        <v>3703</v>
      </c>
      <c r="AD612" s="52" t="s">
        <v>3704</v>
      </c>
      <c r="AE612" s="52"/>
      <c r="AF612" s="52" t="s">
        <v>3732</v>
      </c>
      <c r="AG612" s="52" t="s">
        <v>3733</v>
      </c>
      <c r="AH612" s="52"/>
      <c r="AI612" s="53">
        <v>46157.706250000003</v>
      </c>
      <c r="AJ612" s="53">
        <v>46157.745138888888</v>
      </c>
      <c r="AK612" s="53">
        <v>46157.706250000003</v>
      </c>
      <c r="AL612" s="55">
        <v>3.888888888888889E-2</v>
      </c>
      <c r="AM612" s="52"/>
      <c r="AN612" s="55">
        <v>3.888888888888889E-2</v>
      </c>
      <c r="AO612" s="52"/>
      <c r="AP612" s="55">
        <v>3.888888888888889E-2</v>
      </c>
      <c r="AQ612" s="52"/>
      <c r="AR612" s="52"/>
      <c r="AS612" s="52" t="s">
        <v>3696</v>
      </c>
      <c r="AT612" s="52"/>
      <c r="AU612" s="52"/>
      <c r="AV612" s="52"/>
      <c r="AW612" s="52" t="s">
        <v>383</v>
      </c>
    </row>
    <row r="613" spans="1:49">
      <c r="A613" s="52">
        <v>6022044</v>
      </c>
      <c r="B613" s="52" t="s">
        <v>3691</v>
      </c>
      <c r="C613" s="52" t="s">
        <v>3692</v>
      </c>
      <c r="D613" s="53">
        <v>46156.541666666664</v>
      </c>
      <c r="E613" s="53">
        <v>46156.519444444442</v>
      </c>
      <c r="F613" s="52"/>
      <c r="G613" s="52"/>
      <c r="H613" s="52"/>
      <c r="I613" s="52" t="s">
        <v>3693</v>
      </c>
      <c r="J613" s="52" t="s">
        <v>3694</v>
      </c>
      <c r="K613" s="52"/>
      <c r="L613" s="52"/>
      <c r="M613" s="55">
        <v>9.583333333333334E-2</v>
      </c>
      <c r="N613" s="54">
        <v>1.6979166666666667</v>
      </c>
      <c r="O613" s="52"/>
      <c r="P613" s="52"/>
      <c r="Q613" s="52"/>
      <c r="R613" s="52"/>
      <c r="S613" s="52"/>
      <c r="T613" s="52" t="s">
        <v>3695</v>
      </c>
      <c r="U613" s="52" t="s">
        <v>3695</v>
      </c>
      <c r="V613" s="52"/>
      <c r="W613" s="52"/>
      <c r="X613" s="52"/>
      <c r="Y613" s="52"/>
      <c r="Z613" s="52" t="s">
        <v>3696</v>
      </c>
      <c r="AA613" s="52" t="s">
        <v>1635</v>
      </c>
      <c r="AB613" s="52" t="s">
        <v>140</v>
      </c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>
        <v>0</v>
      </c>
      <c r="AT613" s="52"/>
      <c r="AU613" s="52"/>
      <c r="AV613" s="52" t="s">
        <v>297</v>
      </c>
      <c r="AW613" s="52"/>
    </row>
    <row r="614" spans="1:49">
      <c r="A614" s="52">
        <v>6022044</v>
      </c>
      <c r="B614" s="52" t="s">
        <v>3691</v>
      </c>
      <c r="C614" s="52" t="s">
        <v>3698</v>
      </c>
      <c r="D614" s="53">
        <v>46156.541666666664</v>
      </c>
      <c r="E614" s="53">
        <v>46156.519444444442</v>
      </c>
      <c r="F614" s="52"/>
      <c r="G614" s="52"/>
      <c r="H614" s="52"/>
      <c r="I614" s="52"/>
      <c r="J614" s="52" t="s">
        <v>3694</v>
      </c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 t="s">
        <v>3696</v>
      </c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>
        <v>0</v>
      </c>
      <c r="AT614" s="52"/>
      <c r="AU614" s="52"/>
      <c r="AV614" s="52"/>
      <c r="AW614" s="52"/>
    </row>
    <row r="615" spans="1:49">
      <c r="A615" s="52">
        <v>6022045</v>
      </c>
      <c r="B615" s="52" t="s">
        <v>3691</v>
      </c>
      <c r="C615" s="52" t="s">
        <v>3692</v>
      </c>
      <c r="D615" s="53">
        <v>46160.416666666664</v>
      </c>
      <c r="E615" s="53">
        <v>46157.584722222222</v>
      </c>
      <c r="F615" s="52"/>
      <c r="G615" s="52"/>
      <c r="H615" s="52"/>
      <c r="I615" s="52" t="s">
        <v>3693</v>
      </c>
      <c r="J615" s="52" t="s">
        <v>3694</v>
      </c>
      <c r="K615" s="52"/>
      <c r="L615" s="52"/>
      <c r="M615" s="55">
        <v>9.583333333333334E-2</v>
      </c>
      <c r="N615" s="54">
        <v>2.6979166666666665</v>
      </c>
      <c r="O615" s="52"/>
      <c r="P615" s="52"/>
      <c r="Q615" s="52"/>
      <c r="R615" s="52"/>
      <c r="S615" s="52"/>
      <c r="T615" s="52" t="s">
        <v>3695</v>
      </c>
      <c r="U615" s="52" t="s">
        <v>3695</v>
      </c>
      <c r="V615" s="52"/>
      <c r="W615" s="52"/>
      <c r="X615" s="52"/>
      <c r="Y615" s="52"/>
      <c r="Z615" s="52" t="s">
        <v>3696</v>
      </c>
      <c r="AA615" s="52" t="s">
        <v>1635</v>
      </c>
      <c r="AB615" s="52" t="s">
        <v>140</v>
      </c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>
        <v>0</v>
      </c>
      <c r="AT615" s="52"/>
      <c r="AU615" s="52"/>
      <c r="AV615" s="52" t="s">
        <v>297</v>
      </c>
      <c r="AW615" s="52"/>
    </row>
    <row r="616" spans="1:49">
      <c r="A616" s="52">
        <v>6022045</v>
      </c>
      <c r="B616" s="52" t="s">
        <v>3691</v>
      </c>
      <c r="C616" s="52" t="s">
        <v>3698</v>
      </c>
      <c r="D616" s="53">
        <v>46160.416666666664</v>
      </c>
      <c r="E616" s="53">
        <v>46157.584722222222</v>
      </c>
      <c r="F616" s="52"/>
      <c r="G616" s="52"/>
      <c r="H616" s="52"/>
      <c r="I616" s="52"/>
      <c r="J616" s="52" t="s">
        <v>3694</v>
      </c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 t="s">
        <v>3696</v>
      </c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>
        <v>0</v>
      </c>
      <c r="AT616" s="52"/>
      <c r="AU616" s="52"/>
      <c r="AV616" s="52"/>
      <c r="AW616" s="52"/>
    </row>
    <row r="617" spans="1:49">
      <c r="A617" s="52">
        <v>6022048</v>
      </c>
      <c r="B617" s="52" t="s">
        <v>3723</v>
      </c>
      <c r="C617" s="52" t="s">
        <v>3692</v>
      </c>
      <c r="D617" s="53">
        <v>46157.375</v>
      </c>
      <c r="E617" s="53">
        <v>46157.829861111109</v>
      </c>
      <c r="F617" s="53">
        <v>46157.835416666669</v>
      </c>
      <c r="G617" s="53">
        <v>46158.400000000001</v>
      </c>
      <c r="H617" s="53">
        <v>46157.868055555555</v>
      </c>
      <c r="I617" s="52" t="s">
        <v>3693</v>
      </c>
      <c r="J617" s="52" t="s">
        <v>3693</v>
      </c>
      <c r="K617" s="53">
        <v>46157.868055555555</v>
      </c>
      <c r="L617" s="52"/>
      <c r="M617" s="54">
        <v>9.875</v>
      </c>
      <c r="N617" s="54">
        <v>1.08125</v>
      </c>
      <c r="O617" s="52"/>
      <c r="P617" s="52"/>
      <c r="Q617" s="52"/>
      <c r="R617" s="52"/>
      <c r="S617" s="52"/>
      <c r="T617" s="52" t="s">
        <v>3736</v>
      </c>
      <c r="U617" s="52" t="s">
        <v>3952</v>
      </c>
      <c r="V617" s="52"/>
      <c r="W617" s="52"/>
      <c r="X617" s="52"/>
      <c r="Y617" s="52"/>
      <c r="Z617" s="52" t="s">
        <v>3696</v>
      </c>
      <c r="AA617" s="52" t="s">
        <v>1246</v>
      </c>
      <c r="AB617" s="52" t="s">
        <v>140</v>
      </c>
      <c r="AC617" s="52" t="s">
        <v>3703</v>
      </c>
      <c r="AD617" s="52" t="s">
        <v>3704</v>
      </c>
      <c r="AE617" s="52"/>
      <c r="AF617" s="52" t="s">
        <v>3737</v>
      </c>
      <c r="AG617" s="52" t="s">
        <v>3704</v>
      </c>
      <c r="AH617" s="52"/>
      <c r="AI617" s="52"/>
      <c r="AJ617" s="52"/>
      <c r="AK617" s="52"/>
      <c r="AL617" s="55">
        <v>1.4583333333333334E-2</v>
      </c>
      <c r="AM617" s="52"/>
      <c r="AN617" s="52"/>
      <c r="AO617" s="52"/>
      <c r="AP617" s="52"/>
      <c r="AQ617" s="52"/>
      <c r="AR617" s="52"/>
      <c r="AS617" s="52">
        <v>0</v>
      </c>
      <c r="AT617" s="52"/>
      <c r="AU617" s="52"/>
      <c r="AV617" s="52" t="s">
        <v>474</v>
      </c>
      <c r="AW617" s="52"/>
    </row>
    <row r="618" spans="1:49">
      <c r="A618" s="52">
        <v>6022048</v>
      </c>
      <c r="B618" s="52" t="s">
        <v>3723</v>
      </c>
      <c r="C618" s="52" t="s">
        <v>3698</v>
      </c>
      <c r="D618" s="53">
        <v>46157.375</v>
      </c>
      <c r="E618" s="53">
        <v>46157.829861111109</v>
      </c>
      <c r="F618" s="53">
        <v>46157.838194444441</v>
      </c>
      <c r="G618" s="53">
        <v>46158.400000000001</v>
      </c>
      <c r="H618" s="53">
        <v>46157.938194444447</v>
      </c>
      <c r="I618" s="52"/>
      <c r="J618" s="52" t="s">
        <v>3693</v>
      </c>
      <c r="K618" s="53">
        <v>46157.868055555555</v>
      </c>
      <c r="L618" s="52"/>
      <c r="M618" s="55">
        <v>0.56180555555555556</v>
      </c>
      <c r="N618" s="55">
        <v>0.61805555555555558</v>
      </c>
      <c r="O618" s="52" t="s">
        <v>3607</v>
      </c>
      <c r="P618" s="52" t="s">
        <v>1246</v>
      </c>
      <c r="Q618" s="52" t="s">
        <v>1762</v>
      </c>
      <c r="R618" s="52"/>
      <c r="S618" s="52" t="s">
        <v>789</v>
      </c>
      <c r="T618" s="52" t="s">
        <v>3736</v>
      </c>
      <c r="U618" s="52" t="s">
        <v>3952</v>
      </c>
      <c r="V618" s="52" t="s">
        <v>1960</v>
      </c>
      <c r="W618" s="52">
        <v>23227296802</v>
      </c>
      <c r="X618" s="52" t="s">
        <v>73</v>
      </c>
      <c r="Y618" s="52" t="s">
        <v>3738</v>
      </c>
      <c r="Z618" s="52" t="s">
        <v>3696</v>
      </c>
      <c r="AA618" s="52" t="s">
        <v>3710</v>
      </c>
      <c r="AB618" s="52"/>
      <c r="AC618" s="52" t="s">
        <v>3703</v>
      </c>
      <c r="AD618" s="52" t="s">
        <v>3704</v>
      </c>
      <c r="AE618" s="52" t="s">
        <v>140</v>
      </c>
      <c r="AF618" s="52" t="s">
        <v>3737</v>
      </c>
      <c r="AG618" s="52" t="s">
        <v>3704</v>
      </c>
      <c r="AH618" s="52"/>
      <c r="AI618" s="53">
        <v>46157.834722222222</v>
      </c>
      <c r="AJ618" s="53">
        <v>46157.849305555559</v>
      </c>
      <c r="AK618" s="53">
        <v>46157.834722222222</v>
      </c>
      <c r="AL618" s="55">
        <v>8.4722222222222227E-2</v>
      </c>
      <c r="AM618" s="52"/>
      <c r="AN618" s="55">
        <v>1.4583333333333334E-2</v>
      </c>
      <c r="AO618" s="55">
        <v>7.013888888888889E-2</v>
      </c>
      <c r="AP618" s="55">
        <v>8.4722222222222227E-2</v>
      </c>
      <c r="AQ618" s="52"/>
      <c r="AR618" s="52"/>
      <c r="AS618" s="52" t="s">
        <v>3696</v>
      </c>
      <c r="AT618" s="52"/>
      <c r="AU618" s="52"/>
      <c r="AV618" s="52"/>
      <c r="AW618" s="52"/>
    </row>
    <row r="619" spans="1:49">
      <c r="A619" s="52">
        <v>6022048</v>
      </c>
      <c r="B619" s="52" t="s">
        <v>3723</v>
      </c>
      <c r="C619" s="52" t="s">
        <v>3698</v>
      </c>
      <c r="D619" s="53">
        <v>46157.375</v>
      </c>
      <c r="E619" s="53">
        <v>46157.829861111109</v>
      </c>
      <c r="F619" s="53">
        <v>46157.838194444441</v>
      </c>
      <c r="G619" s="53">
        <v>46158.400000000001</v>
      </c>
      <c r="H619" s="53">
        <v>46157.938194444447</v>
      </c>
      <c r="I619" s="52"/>
      <c r="J619" s="52" t="s">
        <v>3693</v>
      </c>
      <c r="K619" s="53">
        <v>46157.868055555555</v>
      </c>
      <c r="L619" s="52"/>
      <c r="M619" s="55">
        <v>0.56180555555555556</v>
      </c>
      <c r="N619" s="55">
        <v>0.61805555555555558</v>
      </c>
      <c r="O619" s="52" t="s">
        <v>3607</v>
      </c>
      <c r="P619" s="52" t="s">
        <v>1246</v>
      </c>
      <c r="Q619" s="52" t="s">
        <v>1762</v>
      </c>
      <c r="R619" s="52"/>
      <c r="S619" s="52" t="s">
        <v>789</v>
      </c>
      <c r="T619" s="52" t="s">
        <v>3736</v>
      </c>
      <c r="U619" s="52" t="s">
        <v>3952</v>
      </c>
      <c r="V619" s="52" t="s">
        <v>1960</v>
      </c>
      <c r="W619" s="52">
        <v>23227296802</v>
      </c>
      <c r="X619" s="52" t="s">
        <v>73</v>
      </c>
      <c r="Y619" s="52" t="s">
        <v>3738</v>
      </c>
      <c r="Z619" s="52" t="s">
        <v>3696</v>
      </c>
      <c r="AA619" s="52" t="s">
        <v>3710</v>
      </c>
      <c r="AB619" s="52"/>
      <c r="AC619" s="52" t="s">
        <v>3703</v>
      </c>
      <c r="AD619" s="52" t="s">
        <v>3704</v>
      </c>
      <c r="AE619" s="52"/>
      <c r="AF619" s="52" t="s">
        <v>3737</v>
      </c>
      <c r="AG619" s="52" t="s">
        <v>3704</v>
      </c>
      <c r="AH619" s="52"/>
      <c r="AI619" s="53">
        <v>46157.834722222222</v>
      </c>
      <c r="AJ619" s="53">
        <v>46157.849305555559</v>
      </c>
      <c r="AK619" s="53">
        <v>46157.834722222222</v>
      </c>
      <c r="AL619" s="55">
        <v>8.4722222222222227E-2</v>
      </c>
      <c r="AM619" s="52"/>
      <c r="AN619" s="55">
        <v>1.4583333333333334E-2</v>
      </c>
      <c r="AO619" s="55">
        <v>7.013888888888889E-2</v>
      </c>
      <c r="AP619" s="55">
        <v>8.4722222222222227E-2</v>
      </c>
      <c r="AQ619" s="52"/>
      <c r="AR619" s="52"/>
      <c r="AS619" s="52" t="s">
        <v>3696</v>
      </c>
      <c r="AT619" s="52"/>
      <c r="AU619" s="52"/>
      <c r="AV619" s="52"/>
      <c r="AW619" s="52" t="s">
        <v>474</v>
      </c>
    </row>
    <row r="620" spans="1:49">
      <c r="A620" s="52">
        <v>6022052</v>
      </c>
      <c r="B620" s="52" t="s">
        <v>3716</v>
      </c>
      <c r="C620" s="52" t="s">
        <v>3692</v>
      </c>
      <c r="D620" s="53">
        <v>46157.583333333336</v>
      </c>
      <c r="E620" s="53">
        <v>46157.413888888892</v>
      </c>
      <c r="F620" s="53">
        <v>46157.740972222222</v>
      </c>
      <c r="G620" s="53">
        <v>46160.25</v>
      </c>
      <c r="H620" s="52"/>
      <c r="I620" s="52" t="s">
        <v>3693</v>
      </c>
      <c r="J620" s="52" t="s">
        <v>3694</v>
      </c>
      <c r="K620" s="53">
        <v>46158.717361111114</v>
      </c>
      <c r="L620" s="52"/>
      <c r="M620" s="54">
        <v>1.0208333333333333</v>
      </c>
      <c r="N620" s="55">
        <v>0.7729166666666667</v>
      </c>
      <c r="O620" s="52"/>
      <c r="P620" s="52"/>
      <c r="Q620" s="52"/>
      <c r="R620" s="52"/>
      <c r="S620" s="52"/>
      <c r="T620" s="52" t="s">
        <v>3869</v>
      </c>
      <c r="U620" s="52" t="s">
        <v>3831</v>
      </c>
      <c r="V620" s="52"/>
      <c r="W620" s="52"/>
      <c r="X620" s="52"/>
      <c r="Y620" s="52"/>
      <c r="Z620" s="52" t="s">
        <v>3696</v>
      </c>
      <c r="AA620" s="52" t="s">
        <v>114</v>
      </c>
      <c r="AB620" s="52" t="s">
        <v>140</v>
      </c>
      <c r="AC620" s="52" t="s">
        <v>3703</v>
      </c>
      <c r="AD620" s="52" t="s">
        <v>3704</v>
      </c>
      <c r="AE620" s="52"/>
      <c r="AF620" s="52" t="s">
        <v>4032</v>
      </c>
      <c r="AG620" s="52" t="s">
        <v>3722</v>
      </c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>
        <v>0</v>
      </c>
      <c r="AT620" s="52"/>
      <c r="AU620" s="52"/>
      <c r="AV620" s="52" t="s">
        <v>494</v>
      </c>
      <c r="AW620" s="52"/>
    </row>
    <row r="621" spans="1:49">
      <c r="A621" s="52">
        <v>6022052</v>
      </c>
      <c r="B621" s="52" t="s">
        <v>3716</v>
      </c>
      <c r="C621" s="52" t="s">
        <v>3698</v>
      </c>
      <c r="D621" s="53">
        <v>46157.583333333336</v>
      </c>
      <c r="E621" s="53">
        <v>46157.413888888892</v>
      </c>
      <c r="F621" s="53">
        <v>46158.409722222219</v>
      </c>
      <c r="G621" s="53">
        <v>46160.25</v>
      </c>
      <c r="H621" s="52"/>
      <c r="I621" s="52"/>
      <c r="J621" s="52" t="s">
        <v>3694</v>
      </c>
      <c r="K621" s="53">
        <v>46158.717361111114</v>
      </c>
      <c r="L621" s="52"/>
      <c r="M621" s="54">
        <v>1.8402777777777777</v>
      </c>
      <c r="N621" s="55">
        <v>4.6527777777777779E-2</v>
      </c>
      <c r="O621" s="52" t="s">
        <v>490</v>
      </c>
      <c r="P621" s="52" t="s">
        <v>114</v>
      </c>
      <c r="Q621" s="52" t="s">
        <v>489</v>
      </c>
      <c r="R621" s="52"/>
      <c r="S621" s="52" t="s">
        <v>69</v>
      </c>
      <c r="T621" s="52" t="s">
        <v>3869</v>
      </c>
      <c r="U621" s="52" t="s">
        <v>3831</v>
      </c>
      <c r="V621" s="52" t="s">
        <v>497</v>
      </c>
      <c r="W621" s="52">
        <v>27534161843</v>
      </c>
      <c r="X621" s="52" t="s">
        <v>73</v>
      </c>
      <c r="Y621" s="52"/>
      <c r="Z621" s="52" t="s">
        <v>3696</v>
      </c>
      <c r="AA621" s="52" t="s">
        <v>3710</v>
      </c>
      <c r="AB621" s="52"/>
      <c r="AC621" s="52" t="s">
        <v>3703</v>
      </c>
      <c r="AD621" s="52" t="s">
        <v>3704</v>
      </c>
      <c r="AE621" s="52" t="s">
        <v>140</v>
      </c>
      <c r="AF621" s="52" t="s">
        <v>4032</v>
      </c>
      <c r="AG621" s="52" t="s">
        <v>3722</v>
      </c>
      <c r="AH621" s="52"/>
      <c r="AI621" s="53">
        <v>46157.742361111108</v>
      </c>
      <c r="AJ621" s="52"/>
      <c r="AK621" s="53">
        <v>46157.742361111108</v>
      </c>
      <c r="AL621" s="52"/>
      <c r="AM621" s="52"/>
      <c r="AN621" s="52"/>
      <c r="AO621" s="52"/>
      <c r="AP621" s="52"/>
      <c r="AQ621" s="52"/>
      <c r="AR621" s="52"/>
      <c r="AS621" s="52" t="s">
        <v>3696</v>
      </c>
      <c r="AT621" s="52"/>
      <c r="AU621" s="52"/>
      <c r="AV621" s="52"/>
      <c r="AW621" s="52"/>
    </row>
    <row r="622" spans="1:49">
      <c r="A622" s="52">
        <v>6022052</v>
      </c>
      <c r="B622" s="52" t="s">
        <v>3716</v>
      </c>
      <c r="C622" s="52" t="s">
        <v>3698</v>
      </c>
      <c r="D622" s="53">
        <v>46157.583333333336</v>
      </c>
      <c r="E622" s="53">
        <v>46157.413888888892</v>
      </c>
      <c r="F622" s="53">
        <v>46158.409722222219</v>
      </c>
      <c r="G622" s="53">
        <v>46160.25</v>
      </c>
      <c r="H622" s="52"/>
      <c r="I622" s="52"/>
      <c r="J622" s="52" t="s">
        <v>3694</v>
      </c>
      <c r="K622" s="53">
        <v>46158.717361111114</v>
      </c>
      <c r="L622" s="52"/>
      <c r="M622" s="54">
        <v>1.8402777777777777</v>
      </c>
      <c r="N622" s="55">
        <v>4.6527777777777779E-2</v>
      </c>
      <c r="O622" s="52" t="s">
        <v>490</v>
      </c>
      <c r="P622" s="52" t="s">
        <v>114</v>
      </c>
      <c r="Q622" s="52" t="s">
        <v>489</v>
      </c>
      <c r="R622" s="52"/>
      <c r="S622" s="52" t="s">
        <v>69</v>
      </c>
      <c r="T622" s="52" t="s">
        <v>3869</v>
      </c>
      <c r="U622" s="52" t="s">
        <v>3831</v>
      </c>
      <c r="V622" s="52" t="s">
        <v>497</v>
      </c>
      <c r="W622" s="52">
        <v>27534161843</v>
      </c>
      <c r="X622" s="52" t="s">
        <v>73</v>
      </c>
      <c r="Y622" s="52"/>
      <c r="Z622" s="52" t="s">
        <v>3696</v>
      </c>
      <c r="AA622" s="52" t="s">
        <v>3710</v>
      </c>
      <c r="AB622" s="52"/>
      <c r="AC622" s="52" t="s">
        <v>3703</v>
      </c>
      <c r="AD622" s="52" t="s">
        <v>3704</v>
      </c>
      <c r="AE622" s="52"/>
      <c r="AF622" s="52" t="s">
        <v>4032</v>
      </c>
      <c r="AG622" s="52" t="s">
        <v>3722</v>
      </c>
      <c r="AH622" s="52"/>
      <c r="AI622" s="53">
        <v>46157.742361111108</v>
      </c>
      <c r="AJ622" s="52"/>
      <c r="AK622" s="53">
        <v>46157.742361111108</v>
      </c>
      <c r="AL622" s="52"/>
      <c r="AM622" s="52"/>
      <c r="AN622" s="52"/>
      <c r="AO622" s="52"/>
      <c r="AP622" s="52"/>
      <c r="AQ622" s="52"/>
      <c r="AR622" s="52"/>
      <c r="AS622" s="52" t="s">
        <v>3696</v>
      </c>
      <c r="AT622" s="52"/>
      <c r="AU622" s="52"/>
      <c r="AV622" s="52"/>
      <c r="AW622" s="52" t="s">
        <v>494</v>
      </c>
    </row>
    <row r="623" spans="1:49">
      <c r="A623" s="52">
        <v>6022053</v>
      </c>
      <c r="B623" s="52" t="s">
        <v>3691</v>
      </c>
      <c r="C623" s="52" t="s">
        <v>3692</v>
      </c>
      <c r="D623" s="53">
        <v>46157.458333333336</v>
      </c>
      <c r="E623" s="53">
        <v>46157.413888888892</v>
      </c>
      <c r="F623" s="52"/>
      <c r="G623" s="52"/>
      <c r="H623" s="52"/>
      <c r="I623" s="52" t="s">
        <v>3693</v>
      </c>
      <c r="J623" s="52" t="s">
        <v>3694</v>
      </c>
      <c r="K623" s="52"/>
      <c r="L623" s="52"/>
      <c r="M623" s="55">
        <v>9.583333333333334E-2</v>
      </c>
      <c r="N623" s="54">
        <v>1.6979166666666667</v>
      </c>
      <c r="O623" s="52"/>
      <c r="P623" s="52"/>
      <c r="Q623" s="52"/>
      <c r="R623" s="52"/>
      <c r="S623" s="52"/>
      <c r="T623" s="52" t="s">
        <v>3695</v>
      </c>
      <c r="U623" s="52" t="s">
        <v>3695</v>
      </c>
      <c r="V623" s="52"/>
      <c r="W623" s="52"/>
      <c r="X623" s="52"/>
      <c r="Y623" s="52"/>
      <c r="Z623" s="52" t="s">
        <v>3696</v>
      </c>
      <c r="AA623" s="52" t="s">
        <v>171</v>
      </c>
      <c r="AB623" s="52" t="s">
        <v>140</v>
      </c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>
        <v>0</v>
      </c>
      <c r="AT623" s="52"/>
      <c r="AU623" s="52"/>
      <c r="AV623" s="52" t="s">
        <v>297</v>
      </c>
      <c r="AW623" s="52"/>
    </row>
    <row r="624" spans="1:49">
      <c r="A624" s="52">
        <v>6022053</v>
      </c>
      <c r="B624" s="52" t="s">
        <v>3691</v>
      </c>
      <c r="C624" s="52" t="s">
        <v>3698</v>
      </c>
      <c r="D624" s="53">
        <v>46157.458333333336</v>
      </c>
      <c r="E624" s="53">
        <v>46157.413888888892</v>
      </c>
      <c r="F624" s="52"/>
      <c r="G624" s="52"/>
      <c r="H624" s="52"/>
      <c r="I624" s="52"/>
      <c r="J624" s="52" t="s">
        <v>3694</v>
      </c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 t="s">
        <v>3696</v>
      </c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>
        <v>0</v>
      </c>
      <c r="AT624" s="52"/>
      <c r="AU624" s="52"/>
      <c r="AV624" s="52"/>
      <c r="AW624" s="52"/>
    </row>
    <row r="625" spans="1:49">
      <c r="A625" s="52">
        <v>6022057</v>
      </c>
      <c r="B625" s="52" t="s">
        <v>3716</v>
      </c>
      <c r="C625" s="52" t="s">
        <v>3692</v>
      </c>
      <c r="D625" s="53">
        <v>46157.291666666664</v>
      </c>
      <c r="E625" s="53">
        <v>46157.878472222219</v>
      </c>
      <c r="F625" s="53">
        <v>46157.897222222222</v>
      </c>
      <c r="G625" s="53">
        <v>46158.95208333333</v>
      </c>
      <c r="H625" s="52"/>
      <c r="I625" s="52" t="s">
        <v>3693</v>
      </c>
      <c r="J625" s="52" t="s">
        <v>3694</v>
      </c>
      <c r="K625" s="53">
        <v>46158.875</v>
      </c>
      <c r="L625" s="52"/>
      <c r="M625" s="54">
        <v>3</v>
      </c>
      <c r="N625" s="54">
        <v>1.1645833333333333</v>
      </c>
      <c r="O625" s="52"/>
      <c r="P625" s="52"/>
      <c r="Q625" s="52"/>
      <c r="R625" s="52"/>
      <c r="S625" s="52"/>
      <c r="T625" s="52" t="s">
        <v>3815</v>
      </c>
      <c r="U625" s="52" t="s">
        <v>4033</v>
      </c>
      <c r="V625" s="52"/>
      <c r="W625" s="52"/>
      <c r="X625" s="52"/>
      <c r="Y625" s="52"/>
      <c r="Z625" s="52" t="s">
        <v>3696</v>
      </c>
      <c r="AA625" s="52" t="s">
        <v>171</v>
      </c>
      <c r="AB625" s="52" t="s">
        <v>140</v>
      </c>
      <c r="AC625" s="52" t="s">
        <v>3703</v>
      </c>
      <c r="AD625" s="52" t="s">
        <v>3704</v>
      </c>
      <c r="AE625" s="52"/>
      <c r="AF625" s="52" t="s">
        <v>4034</v>
      </c>
      <c r="AG625" s="52" t="s">
        <v>3766</v>
      </c>
      <c r="AH625" s="52"/>
      <c r="AI625" s="52"/>
      <c r="AJ625" s="52"/>
      <c r="AK625" s="52"/>
      <c r="AL625" s="55">
        <v>8.1250000000000003E-2</v>
      </c>
      <c r="AM625" s="52"/>
      <c r="AN625" s="52"/>
      <c r="AO625" s="52"/>
      <c r="AP625" s="52"/>
      <c r="AQ625" s="52"/>
      <c r="AR625" s="52"/>
      <c r="AS625" s="52">
        <v>0</v>
      </c>
      <c r="AT625" s="52"/>
      <c r="AU625" s="52"/>
      <c r="AV625" s="52" t="s">
        <v>253</v>
      </c>
      <c r="AW625" s="52"/>
    </row>
    <row r="626" spans="1:49">
      <c r="A626" s="52">
        <v>6022057</v>
      </c>
      <c r="B626" s="52" t="s">
        <v>3716</v>
      </c>
      <c r="C626" s="52" t="s">
        <v>3698</v>
      </c>
      <c r="D626" s="53">
        <v>46157.291666666664</v>
      </c>
      <c r="E626" s="53">
        <v>46157.878472222219</v>
      </c>
      <c r="F626" s="53">
        <v>46158.323611111111</v>
      </c>
      <c r="G626" s="53">
        <v>46158.95208333333</v>
      </c>
      <c r="H626" s="52"/>
      <c r="I626" s="52"/>
      <c r="J626" s="52" t="s">
        <v>3694</v>
      </c>
      <c r="K626" s="53">
        <v>46158.875</v>
      </c>
      <c r="L626" s="52"/>
      <c r="M626" s="55">
        <v>0.62847222222222221</v>
      </c>
      <c r="N626" s="55">
        <v>0.13263888888888889</v>
      </c>
      <c r="O626" s="52" t="s">
        <v>660</v>
      </c>
      <c r="P626" s="52" t="s">
        <v>171</v>
      </c>
      <c r="Q626" s="52" t="s">
        <v>659</v>
      </c>
      <c r="R626" s="52" t="s">
        <v>667</v>
      </c>
      <c r="S626" s="52" t="s">
        <v>69</v>
      </c>
      <c r="T626" s="52" t="s">
        <v>3815</v>
      </c>
      <c r="U626" s="52" t="s">
        <v>4033</v>
      </c>
      <c r="V626" s="52" t="s">
        <v>668</v>
      </c>
      <c r="W626" s="52">
        <v>93268831400</v>
      </c>
      <c r="X626" s="52" t="s">
        <v>73</v>
      </c>
      <c r="Y626" s="52"/>
      <c r="Z626" s="52" t="s">
        <v>3696</v>
      </c>
      <c r="AA626" s="52" t="s">
        <v>3710</v>
      </c>
      <c r="AB626" s="52"/>
      <c r="AC626" s="52" t="s">
        <v>3703</v>
      </c>
      <c r="AD626" s="52" t="s">
        <v>3704</v>
      </c>
      <c r="AE626" s="52" t="s">
        <v>140</v>
      </c>
      <c r="AF626" s="52" t="s">
        <v>4034</v>
      </c>
      <c r="AG626" s="52" t="s">
        <v>3766</v>
      </c>
      <c r="AH626" s="52"/>
      <c r="AI626" s="53">
        <v>46158.262499999997</v>
      </c>
      <c r="AJ626" s="53">
        <v>46158.34375</v>
      </c>
      <c r="AK626" s="53">
        <v>46158.262499999997</v>
      </c>
      <c r="AL626" s="55">
        <v>8.1250000000000003E-2</v>
      </c>
      <c r="AM626" s="52"/>
      <c r="AN626" s="55">
        <v>8.1250000000000003E-2</v>
      </c>
      <c r="AO626" s="52"/>
      <c r="AP626" s="55">
        <v>8.1250000000000003E-2</v>
      </c>
      <c r="AQ626" s="52"/>
      <c r="AR626" s="52"/>
      <c r="AS626" s="52" t="s">
        <v>3696</v>
      </c>
      <c r="AT626" s="52"/>
      <c r="AU626" s="52"/>
      <c r="AV626" s="52"/>
      <c r="AW626" s="52"/>
    </row>
    <row r="627" spans="1:49">
      <c r="A627" s="52">
        <v>6022057</v>
      </c>
      <c r="B627" s="52" t="s">
        <v>3716</v>
      </c>
      <c r="C627" s="52" t="s">
        <v>3698</v>
      </c>
      <c r="D627" s="53">
        <v>46157.291666666664</v>
      </c>
      <c r="E627" s="53">
        <v>46157.878472222219</v>
      </c>
      <c r="F627" s="53">
        <v>46158.323611111111</v>
      </c>
      <c r="G627" s="53">
        <v>46158.95208333333</v>
      </c>
      <c r="H627" s="52"/>
      <c r="I627" s="52"/>
      <c r="J627" s="52" t="s">
        <v>3694</v>
      </c>
      <c r="K627" s="53">
        <v>46158.875</v>
      </c>
      <c r="L627" s="52"/>
      <c r="M627" s="55">
        <v>0.62847222222222221</v>
      </c>
      <c r="N627" s="55">
        <v>0.13263888888888889</v>
      </c>
      <c r="O627" s="52" t="s">
        <v>660</v>
      </c>
      <c r="P627" s="52" t="s">
        <v>171</v>
      </c>
      <c r="Q627" s="52" t="s">
        <v>659</v>
      </c>
      <c r="R627" s="52" t="s">
        <v>667</v>
      </c>
      <c r="S627" s="52" t="s">
        <v>69</v>
      </c>
      <c r="T627" s="52" t="s">
        <v>3815</v>
      </c>
      <c r="U627" s="52" t="s">
        <v>4033</v>
      </c>
      <c r="V627" s="52" t="s">
        <v>668</v>
      </c>
      <c r="W627" s="52">
        <v>93268831400</v>
      </c>
      <c r="X627" s="52" t="s">
        <v>73</v>
      </c>
      <c r="Y627" s="52"/>
      <c r="Z627" s="52" t="s">
        <v>3696</v>
      </c>
      <c r="AA627" s="52" t="s">
        <v>3710</v>
      </c>
      <c r="AB627" s="52"/>
      <c r="AC627" s="52" t="s">
        <v>3703</v>
      </c>
      <c r="AD627" s="52" t="s">
        <v>3704</v>
      </c>
      <c r="AE627" s="52"/>
      <c r="AF627" s="52" t="s">
        <v>4034</v>
      </c>
      <c r="AG627" s="52" t="s">
        <v>3766</v>
      </c>
      <c r="AH627" s="52"/>
      <c r="AI627" s="53">
        <v>46158.262499999997</v>
      </c>
      <c r="AJ627" s="53">
        <v>46158.34375</v>
      </c>
      <c r="AK627" s="53">
        <v>46158.262499999997</v>
      </c>
      <c r="AL627" s="55">
        <v>8.1250000000000003E-2</v>
      </c>
      <c r="AM627" s="52"/>
      <c r="AN627" s="55">
        <v>8.1250000000000003E-2</v>
      </c>
      <c r="AO627" s="52"/>
      <c r="AP627" s="55">
        <v>8.1250000000000003E-2</v>
      </c>
      <c r="AQ627" s="52"/>
      <c r="AR627" s="52"/>
      <c r="AS627" s="52" t="s">
        <v>3696</v>
      </c>
      <c r="AT627" s="52"/>
      <c r="AU627" s="52"/>
      <c r="AV627" s="52"/>
      <c r="AW627" s="52" t="s">
        <v>253</v>
      </c>
    </row>
    <row r="628" spans="1:49">
      <c r="A628" s="52">
        <v>6022058</v>
      </c>
      <c r="B628" s="52" t="s">
        <v>3716</v>
      </c>
      <c r="C628" s="52" t="s">
        <v>3692</v>
      </c>
      <c r="D628" s="53">
        <v>46157.291666666664</v>
      </c>
      <c r="E628" s="53">
        <v>46157.87777777778</v>
      </c>
      <c r="F628" s="53">
        <v>46157.897222222222</v>
      </c>
      <c r="G628" s="53">
        <v>46158.95208333333</v>
      </c>
      <c r="H628" s="52"/>
      <c r="I628" s="52" t="s">
        <v>3693</v>
      </c>
      <c r="J628" s="52" t="s">
        <v>3694</v>
      </c>
      <c r="K628" s="53">
        <v>46158.875</v>
      </c>
      <c r="L628" s="52"/>
      <c r="M628" s="54">
        <v>3</v>
      </c>
      <c r="N628" s="54">
        <v>1.1645833333333333</v>
      </c>
      <c r="O628" s="52"/>
      <c r="P628" s="52"/>
      <c r="Q628" s="52"/>
      <c r="R628" s="52"/>
      <c r="S628" s="52"/>
      <c r="T628" s="52" t="s">
        <v>3815</v>
      </c>
      <c r="U628" s="52" t="s">
        <v>4033</v>
      </c>
      <c r="V628" s="52"/>
      <c r="W628" s="52"/>
      <c r="X628" s="52"/>
      <c r="Y628" s="52"/>
      <c r="Z628" s="52" t="s">
        <v>3696</v>
      </c>
      <c r="AA628" s="52" t="s">
        <v>171</v>
      </c>
      <c r="AB628" s="52" t="s">
        <v>140</v>
      </c>
      <c r="AC628" s="52" t="s">
        <v>3703</v>
      </c>
      <c r="AD628" s="52" t="s">
        <v>3704</v>
      </c>
      <c r="AE628" s="52"/>
      <c r="AF628" s="52" t="s">
        <v>4034</v>
      </c>
      <c r="AG628" s="52" t="s">
        <v>3766</v>
      </c>
      <c r="AH628" s="52"/>
      <c r="AI628" s="52"/>
      <c r="AJ628" s="52"/>
      <c r="AK628" s="52"/>
      <c r="AL628" s="55">
        <v>8.1250000000000003E-2</v>
      </c>
      <c r="AM628" s="52"/>
      <c r="AN628" s="52"/>
      <c r="AO628" s="52"/>
      <c r="AP628" s="52"/>
      <c r="AQ628" s="52"/>
      <c r="AR628" s="52"/>
      <c r="AS628" s="52">
        <v>0</v>
      </c>
      <c r="AT628" s="52"/>
      <c r="AU628" s="52"/>
      <c r="AV628" s="52" t="s">
        <v>253</v>
      </c>
      <c r="AW628" s="52"/>
    </row>
    <row r="629" spans="1:49">
      <c r="A629" s="52">
        <v>6022058</v>
      </c>
      <c r="B629" s="52" t="s">
        <v>3716</v>
      </c>
      <c r="C629" s="52" t="s">
        <v>3698</v>
      </c>
      <c r="D629" s="53">
        <v>46157.291666666664</v>
      </c>
      <c r="E629" s="53">
        <v>46157.87777777778</v>
      </c>
      <c r="F629" s="53">
        <v>46158.323611111111</v>
      </c>
      <c r="G629" s="53">
        <v>46158.95208333333</v>
      </c>
      <c r="H629" s="52"/>
      <c r="I629" s="52"/>
      <c r="J629" s="52" t="s">
        <v>3694</v>
      </c>
      <c r="K629" s="53">
        <v>46158.875</v>
      </c>
      <c r="L629" s="52"/>
      <c r="M629" s="55">
        <v>0.62847222222222221</v>
      </c>
      <c r="N629" s="55">
        <v>0.13263888888888889</v>
      </c>
      <c r="O629" s="52" t="s">
        <v>660</v>
      </c>
      <c r="P629" s="52" t="s">
        <v>171</v>
      </c>
      <c r="Q629" s="52" t="s">
        <v>659</v>
      </c>
      <c r="R629" s="52" t="s">
        <v>667</v>
      </c>
      <c r="S629" s="52" t="s">
        <v>69</v>
      </c>
      <c r="T629" s="52" t="s">
        <v>3815</v>
      </c>
      <c r="U629" s="52" t="s">
        <v>4033</v>
      </c>
      <c r="V629" s="52" t="s">
        <v>668</v>
      </c>
      <c r="W629" s="52">
        <v>93268831400</v>
      </c>
      <c r="X629" s="52" t="s">
        <v>73</v>
      </c>
      <c r="Y629" s="52"/>
      <c r="Z629" s="52" t="s">
        <v>3696</v>
      </c>
      <c r="AA629" s="52" t="s">
        <v>3710</v>
      </c>
      <c r="AB629" s="52"/>
      <c r="AC629" s="52" t="s">
        <v>3703</v>
      </c>
      <c r="AD629" s="52" t="s">
        <v>3704</v>
      </c>
      <c r="AE629" s="52" t="s">
        <v>140</v>
      </c>
      <c r="AF629" s="52" t="s">
        <v>4034</v>
      </c>
      <c r="AG629" s="52" t="s">
        <v>3766</v>
      </c>
      <c r="AH629" s="52"/>
      <c r="AI629" s="53">
        <v>46158.262499999997</v>
      </c>
      <c r="AJ629" s="53">
        <v>46158.34375</v>
      </c>
      <c r="AK629" s="53">
        <v>46158.262499999997</v>
      </c>
      <c r="AL629" s="55">
        <v>8.1250000000000003E-2</v>
      </c>
      <c r="AM629" s="52"/>
      <c r="AN629" s="55">
        <v>8.1250000000000003E-2</v>
      </c>
      <c r="AO629" s="52"/>
      <c r="AP629" s="55">
        <v>8.1250000000000003E-2</v>
      </c>
      <c r="AQ629" s="52"/>
      <c r="AR629" s="52"/>
      <c r="AS629" s="52" t="s">
        <v>3696</v>
      </c>
      <c r="AT629" s="52"/>
      <c r="AU629" s="52"/>
      <c r="AV629" s="52"/>
      <c r="AW629" s="52"/>
    </row>
    <row r="630" spans="1:49">
      <c r="A630" s="52">
        <v>6022058</v>
      </c>
      <c r="B630" s="52" t="s">
        <v>3716</v>
      </c>
      <c r="C630" s="52" t="s">
        <v>3698</v>
      </c>
      <c r="D630" s="53">
        <v>46157.291666666664</v>
      </c>
      <c r="E630" s="53">
        <v>46157.87777777778</v>
      </c>
      <c r="F630" s="53">
        <v>46158.323611111111</v>
      </c>
      <c r="G630" s="53">
        <v>46158.95208333333</v>
      </c>
      <c r="H630" s="52"/>
      <c r="I630" s="52"/>
      <c r="J630" s="52" t="s">
        <v>3694</v>
      </c>
      <c r="K630" s="53">
        <v>46158.875</v>
      </c>
      <c r="L630" s="52"/>
      <c r="M630" s="55">
        <v>0.62847222222222221</v>
      </c>
      <c r="N630" s="55">
        <v>0.13263888888888889</v>
      </c>
      <c r="O630" s="52" t="s">
        <v>660</v>
      </c>
      <c r="P630" s="52" t="s">
        <v>171</v>
      </c>
      <c r="Q630" s="52" t="s">
        <v>659</v>
      </c>
      <c r="R630" s="52" t="s">
        <v>667</v>
      </c>
      <c r="S630" s="52" t="s">
        <v>69</v>
      </c>
      <c r="T630" s="52" t="s">
        <v>3815</v>
      </c>
      <c r="U630" s="52" t="s">
        <v>4033</v>
      </c>
      <c r="V630" s="52" t="s">
        <v>668</v>
      </c>
      <c r="W630" s="52">
        <v>93268831400</v>
      </c>
      <c r="X630" s="52" t="s">
        <v>73</v>
      </c>
      <c r="Y630" s="52"/>
      <c r="Z630" s="52" t="s">
        <v>3696</v>
      </c>
      <c r="AA630" s="52" t="s">
        <v>3710</v>
      </c>
      <c r="AB630" s="52"/>
      <c r="AC630" s="52" t="s">
        <v>3703</v>
      </c>
      <c r="AD630" s="52" t="s">
        <v>3704</v>
      </c>
      <c r="AE630" s="52"/>
      <c r="AF630" s="52" t="s">
        <v>4034</v>
      </c>
      <c r="AG630" s="52" t="s">
        <v>3766</v>
      </c>
      <c r="AH630" s="52"/>
      <c r="AI630" s="53">
        <v>46158.262499999997</v>
      </c>
      <c r="AJ630" s="53">
        <v>46158.34375</v>
      </c>
      <c r="AK630" s="53">
        <v>46158.262499999997</v>
      </c>
      <c r="AL630" s="55">
        <v>8.1250000000000003E-2</v>
      </c>
      <c r="AM630" s="52"/>
      <c r="AN630" s="55">
        <v>8.1250000000000003E-2</v>
      </c>
      <c r="AO630" s="52"/>
      <c r="AP630" s="55">
        <v>8.1250000000000003E-2</v>
      </c>
      <c r="AQ630" s="52"/>
      <c r="AR630" s="52"/>
      <c r="AS630" s="52" t="s">
        <v>3696</v>
      </c>
      <c r="AT630" s="52"/>
      <c r="AU630" s="52"/>
      <c r="AV630" s="52"/>
      <c r="AW630" s="52" t="s">
        <v>253</v>
      </c>
    </row>
    <row r="631" spans="1:49">
      <c r="A631" s="52">
        <v>6022059</v>
      </c>
      <c r="B631" s="52" t="s">
        <v>3716</v>
      </c>
      <c r="C631" s="52" t="s">
        <v>3692</v>
      </c>
      <c r="D631" s="53">
        <v>46157.625</v>
      </c>
      <c r="E631" s="53">
        <v>46156.68472222222</v>
      </c>
      <c r="F631" s="53">
        <v>46157.745138888888</v>
      </c>
      <c r="G631" s="53">
        <v>46160.291666666664</v>
      </c>
      <c r="H631" s="52"/>
      <c r="I631" s="52" t="s">
        <v>3693</v>
      </c>
      <c r="J631" s="52" t="s">
        <v>3694</v>
      </c>
      <c r="K631" s="53">
        <v>46159.063194444447</v>
      </c>
      <c r="L631" s="52"/>
      <c r="M631" s="54">
        <v>1.117361111111111</v>
      </c>
      <c r="N631" s="55">
        <v>0.71805555555555556</v>
      </c>
      <c r="O631" s="52"/>
      <c r="P631" s="52"/>
      <c r="Q631" s="52"/>
      <c r="R631" s="52"/>
      <c r="S631" s="52"/>
      <c r="T631" s="52" t="s">
        <v>4035</v>
      </c>
      <c r="U631" s="52" t="s">
        <v>3831</v>
      </c>
      <c r="V631" s="52"/>
      <c r="W631" s="52"/>
      <c r="X631" s="52"/>
      <c r="Y631" s="52"/>
      <c r="Z631" s="52" t="s">
        <v>3696</v>
      </c>
      <c r="AA631" s="52" t="s">
        <v>114</v>
      </c>
      <c r="AB631" s="52" t="s">
        <v>140</v>
      </c>
      <c r="AC631" s="52" t="s">
        <v>3703</v>
      </c>
      <c r="AD631" s="52" t="s">
        <v>3704</v>
      </c>
      <c r="AE631" s="52"/>
      <c r="AF631" s="52" t="s">
        <v>4034</v>
      </c>
      <c r="AG631" s="52" t="s">
        <v>3766</v>
      </c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>
        <v>0</v>
      </c>
      <c r="AT631" s="52"/>
      <c r="AU631" s="52"/>
      <c r="AV631" s="52" t="s">
        <v>253</v>
      </c>
      <c r="AW631" s="52"/>
    </row>
    <row r="632" spans="1:49">
      <c r="A632" s="52">
        <v>6022059</v>
      </c>
      <c r="B632" s="52" t="s">
        <v>3716</v>
      </c>
      <c r="C632" s="52" t="s">
        <v>3698</v>
      </c>
      <c r="D632" s="53">
        <v>46157.625</v>
      </c>
      <c r="E632" s="53">
        <v>46156.68472222222</v>
      </c>
      <c r="F632" s="52"/>
      <c r="G632" s="53">
        <v>46160.291666666664</v>
      </c>
      <c r="H632" s="52"/>
      <c r="I632" s="52"/>
      <c r="J632" s="52" t="s">
        <v>3694</v>
      </c>
      <c r="K632" s="53">
        <v>46159.063194444447</v>
      </c>
      <c r="L632" s="52"/>
      <c r="M632" s="52"/>
      <c r="N632" s="52"/>
      <c r="O632" s="52" t="s">
        <v>3636</v>
      </c>
      <c r="P632" s="52" t="s">
        <v>114</v>
      </c>
      <c r="Q632" s="52" t="s">
        <v>1349</v>
      </c>
      <c r="R632" s="52"/>
      <c r="S632" s="52" t="s">
        <v>3609</v>
      </c>
      <c r="T632" s="52" t="s">
        <v>4035</v>
      </c>
      <c r="U632" s="52" t="s">
        <v>3831</v>
      </c>
      <c r="V632" s="52" t="s">
        <v>1355</v>
      </c>
      <c r="W632" s="52">
        <v>34669080865</v>
      </c>
      <c r="X632" s="52" t="s">
        <v>73</v>
      </c>
      <c r="Y632" s="52" t="s">
        <v>3879</v>
      </c>
      <c r="Z632" s="52" t="s">
        <v>3696</v>
      </c>
      <c r="AA632" s="52" t="s">
        <v>3710</v>
      </c>
      <c r="AB632" s="52"/>
      <c r="AC632" s="52" t="s">
        <v>3703</v>
      </c>
      <c r="AD632" s="52" t="s">
        <v>3704</v>
      </c>
      <c r="AE632" s="52" t="s">
        <v>140</v>
      </c>
      <c r="AF632" s="52" t="s">
        <v>4034</v>
      </c>
      <c r="AG632" s="52" t="s">
        <v>3766</v>
      </c>
      <c r="AH632" s="52"/>
      <c r="AI632" s="53">
        <v>46157.777083333334</v>
      </c>
      <c r="AJ632" s="52"/>
      <c r="AK632" s="53">
        <v>46157.777083333334</v>
      </c>
      <c r="AL632" s="52"/>
      <c r="AM632" s="52"/>
      <c r="AN632" s="52"/>
      <c r="AO632" s="52"/>
      <c r="AP632" s="52"/>
      <c r="AQ632" s="52"/>
      <c r="AR632" s="52"/>
      <c r="AS632" s="52" t="s">
        <v>3696</v>
      </c>
      <c r="AT632" s="52"/>
      <c r="AU632" s="52"/>
      <c r="AV632" s="52"/>
      <c r="AW632" s="52"/>
    </row>
    <row r="633" spans="1:49">
      <c r="A633" s="52">
        <v>6022059</v>
      </c>
      <c r="B633" s="52" t="s">
        <v>3716</v>
      </c>
      <c r="C633" s="52" t="s">
        <v>3698</v>
      </c>
      <c r="D633" s="53">
        <v>46157.625</v>
      </c>
      <c r="E633" s="53">
        <v>46156.68472222222</v>
      </c>
      <c r="F633" s="52"/>
      <c r="G633" s="53">
        <v>46160.291666666664</v>
      </c>
      <c r="H633" s="52"/>
      <c r="I633" s="52"/>
      <c r="J633" s="52" t="s">
        <v>3694</v>
      </c>
      <c r="K633" s="53">
        <v>46159.063194444447</v>
      </c>
      <c r="L633" s="52"/>
      <c r="M633" s="52"/>
      <c r="N633" s="52"/>
      <c r="O633" s="52" t="s">
        <v>3636</v>
      </c>
      <c r="P633" s="52" t="s">
        <v>114</v>
      </c>
      <c r="Q633" s="52" t="s">
        <v>1349</v>
      </c>
      <c r="R633" s="52"/>
      <c r="S633" s="52" t="s">
        <v>3609</v>
      </c>
      <c r="T633" s="52" t="s">
        <v>4035</v>
      </c>
      <c r="U633" s="52" t="s">
        <v>3831</v>
      </c>
      <c r="V633" s="52" t="s">
        <v>1355</v>
      </c>
      <c r="W633" s="52">
        <v>34669080865</v>
      </c>
      <c r="X633" s="52" t="s">
        <v>73</v>
      </c>
      <c r="Y633" s="52" t="s">
        <v>3879</v>
      </c>
      <c r="Z633" s="52" t="s">
        <v>3696</v>
      </c>
      <c r="AA633" s="52" t="s">
        <v>3710</v>
      </c>
      <c r="AB633" s="52"/>
      <c r="AC633" s="52" t="s">
        <v>3703</v>
      </c>
      <c r="AD633" s="52" t="s">
        <v>3704</v>
      </c>
      <c r="AE633" s="52"/>
      <c r="AF633" s="52" t="s">
        <v>4034</v>
      </c>
      <c r="AG633" s="52" t="s">
        <v>3766</v>
      </c>
      <c r="AH633" s="52"/>
      <c r="AI633" s="53">
        <v>46157.777083333334</v>
      </c>
      <c r="AJ633" s="52"/>
      <c r="AK633" s="53">
        <v>46157.777083333334</v>
      </c>
      <c r="AL633" s="52"/>
      <c r="AM633" s="52"/>
      <c r="AN633" s="52"/>
      <c r="AO633" s="52"/>
      <c r="AP633" s="52"/>
      <c r="AQ633" s="52"/>
      <c r="AR633" s="52"/>
      <c r="AS633" s="52" t="s">
        <v>3696</v>
      </c>
      <c r="AT633" s="52"/>
      <c r="AU633" s="52"/>
      <c r="AV633" s="52"/>
      <c r="AW633" s="52" t="s">
        <v>253</v>
      </c>
    </row>
    <row r="634" spans="1:49">
      <c r="A634" s="52">
        <v>6022060</v>
      </c>
      <c r="B634" s="52" t="s">
        <v>3691</v>
      </c>
      <c r="C634" s="52" t="s">
        <v>3692</v>
      </c>
      <c r="D634" s="53">
        <v>46157.833333333336</v>
      </c>
      <c r="E634" s="53">
        <v>46156.68472222222</v>
      </c>
      <c r="F634" s="52"/>
      <c r="G634" s="52"/>
      <c r="H634" s="52"/>
      <c r="I634" s="52" t="s">
        <v>3693</v>
      </c>
      <c r="J634" s="52" t="s">
        <v>3694</v>
      </c>
      <c r="K634" s="52"/>
      <c r="L634" s="52"/>
      <c r="M634" s="54">
        <v>1.117361111111111</v>
      </c>
      <c r="N634" s="55">
        <v>0.71805555555555556</v>
      </c>
      <c r="O634" s="52"/>
      <c r="P634" s="52"/>
      <c r="Q634" s="52"/>
      <c r="R634" s="52"/>
      <c r="S634" s="52"/>
      <c r="T634" s="52" t="s">
        <v>3695</v>
      </c>
      <c r="U634" s="52" t="s">
        <v>3695</v>
      </c>
      <c r="V634" s="52"/>
      <c r="W634" s="52"/>
      <c r="X634" s="52"/>
      <c r="Y634" s="52"/>
      <c r="Z634" s="52" t="s">
        <v>3696</v>
      </c>
      <c r="AA634" s="52" t="s">
        <v>102</v>
      </c>
      <c r="AB634" s="52" t="s">
        <v>140</v>
      </c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>
        <v>0</v>
      </c>
      <c r="AT634" s="52"/>
      <c r="AU634" s="52"/>
      <c r="AV634" s="52" t="s">
        <v>253</v>
      </c>
      <c r="AW634" s="52"/>
    </row>
    <row r="635" spans="1:49">
      <c r="A635" s="52">
        <v>6022060</v>
      </c>
      <c r="B635" s="52" t="s">
        <v>3691</v>
      </c>
      <c r="C635" s="52" t="s">
        <v>3698</v>
      </c>
      <c r="D635" s="53">
        <v>46157.833333333336</v>
      </c>
      <c r="E635" s="53">
        <v>46156.68472222222</v>
      </c>
      <c r="F635" s="52"/>
      <c r="G635" s="52"/>
      <c r="H635" s="52"/>
      <c r="I635" s="52"/>
      <c r="J635" s="52" t="s">
        <v>3694</v>
      </c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 t="s">
        <v>3696</v>
      </c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>
        <v>0</v>
      </c>
      <c r="AT635" s="52"/>
      <c r="AU635" s="52"/>
      <c r="AV635" s="52"/>
      <c r="AW635" s="52"/>
    </row>
    <row r="636" spans="1:49">
      <c r="A636" s="52">
        <v>6022061</v>
      </c>
      <c r="B636" s="52" t="s">
        <v>3691</v>
      </c>
      <c r="C636" s="52" t="s">
        <v>3692</v>
      </c>
      <c r="D636" s="53">
        <v>46157.833333333336</v>
      </c>
      <c r="E636" s="53">
        <v>46156.68472222222</v>
      </c>
      <c r="F636" s="52"/>
      <c r="G636" s="52"/>
      <c r="H636" s="52"/>
      <c r="I636" s="52" t="s">
        <v>3693</v>
      </c>
      <c r="J636" s="52" t="s">
        <v>3694</v>
      </c>
      <c r="K636" s="52"/>
      <c r="L636" s="52"/>
      <c r="M636" s="54">
        <v>1.117361111111111</v>
      </c>
      <c r="N636" s="55">
        <v>0.71805555555555556</v>
      </c>
      <c r="O636" s="52"/>
      <c r="P636" s="52"/>
      <c r="Q636" s="52"/>
      <c r="R636" s="52"/>
      <c r="S636" s="52"/>
      <c r="T636" s="52" t="s">
        <v>3695</v>
      </c>
      <c r="U636" s="52" t="s">
        <v>3695</v>
      </c>
      <c r="V636" s="52"/>
      <c r="W636" s="52"/>
      <c r="X636" s="52"/>
      <c r="Y636" s="52"/>
      <c r="Z636" s="52" t="s">
        <v>3696</v>
      </c>
      <c r="AA636" s="52" t="s">
        <v>102</v>
      </c>
      <c r="AB636" s="52" t="s">
        <v>140</v>
      </c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>
        <v>0</v>
      </c>
      <c r="AT636" s="52"/>
      <c r="AU636" s="52"/>
      <c r="AV636" s="52" t="s">
        <v>253</v>
      </c>
      <c r="AW636" s="52"/>
    </row>
    <row r="637" spans="1:49">
      <c r="A637" s="52">
        <v>6022061</v>
      </c>
      <c r="B637" s="52" t="s">
        <v>3691</v>
      </c>
      <c r="C637" s="52" t="s">
        <v>3698</v>
      </c>
      <c r="D637" s="53">
        <v>46157.833333333336</v>
      </c>
      <c r="E637" s="53">
        <v>46156.68472222222</v>
      </c>
      <c r="F637" s="52"/>
      <c r="G637" s="52"/>
      <c r="H637" s="52"/>
      <c r="I637" s="52"/>
      <c r="J637" s="52" t="s">
        <v>3694</v>
      </c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 t="s">
        <v>3696</v>
      </c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>
        <v>0</v>
      </c>
      <c r="AT637" s="52"/>
      <c r="AU637" s="52"/>
      <c r="AV637" s="52"/>
      <c r="AW637" s="52"/>
    </row>
    <row r="638" spans="1:49">
      <c r="A638" s="52">
        <v>6022062</v>
      </c>
      <c r="B638" s="52" t="s">
        <v>3716</v>
      </c>
      <c r="C638" s="52" t="s">
        <v>3692</v>
      </c>
      <c r="D638" s="53">
        <v>46157.333333333336</v>
      </c>
      <c r="E638" s="53">
        <v>46157.875</v>
      </c>
      <c r="F638" s="53">
        <v>46157.887499999997</v>
      </c>
      <c r="G638" s="53">
        <v>46161.291666666664</v>
      </c>
      <c r="H638" s="52"/>
      <c r="I638" s="52" t="s">
        <v>3693</v>
      </c>
      <c r="J638" s="52" t="s">
        <v>3694</v>
      </c>
      <c r="K638" s="53">
        <v>46158.892361111109</v>
      </c>
      <c r="L638" s="52"/>
      <c r="M638" s="54">
        <v>3.9583333333333335</v>
      </c>
      <c r="N638" s="54">
        <v>1.1229166666666666</v>
      </c>
      <c r="O638" s="52"/>
      <c r="P638" s="52"/>
      <c r="Q638" s="52"/>
      <c r="R638" s="52"/>
      <c r="S638" s="52"/>
      <c r="T638" s="52" t="s">
        <v>4036</v>
      </c>
      <c r="U638" s="52" t="s">
        <v>4037</v>
      </c>
      <c r="V638" s="52"/>
      <c r="W638" s="52"/>
      <c r="X638" s="52"/>
      <c r="Y638" s="52"/>
      <c r="Z638" s="52" t="s">
        <v>3696</v>
      </c>
      <c r="AA638" s="52" t="s">
        <v>171</v>
      </c>
      <c r="AB638" s="52" t="s">
        <v>140</v>
      </c>
      <c r="AC638" s="52" t="s">
        <v>3703</v>
      </c>
      <c r="AD638" s="52" t="s">
        <v>3704</v>
      </c>
      <c r="AE638" s="52"/>
      <c r="AF638" s="52" t="s">
        <v>4034</v>
      </c>
      <c r="AG638" s="52" t="s">
        <v>3766</v>
      </c>
      <c r="AH638" s="52"/>
      <c r="AI638" s="52"/>
      <c r="AJ638" s="52"/>
      <c r="AK638" s="52"/>
      <c r="AL638" s="55">
        <v>2.5694444444444443E-2</v>
      </c>
      <c r="AM638" s="52"/>
      <c r="AN638" s="52"/>
      <c r="AO638" s="52"/>
      <c r="AP638" s="52"/>
      <c r="AQ638" s="52"/>
      <c r="AR638" s="52"/>
      <c r="AS638" s="52">
        <v>0</v>
      </c>
      <c r="AT638" s="52"/>
      <c r="AU638" s="52"/>
      <c r="AV638" s="52" t="s">
        <v>253</v>
      </c>
      <c r="AW638" s="52"/>
    </row>
    <row r="639" spans="1:49">
      <c r="A639" s="52">
        <v>6022062</v>
      </c>
      <c r="B639" s="52" t="s">
        <v>3716</v>
      </c>
      <c r="C639" s="52" t="s">
        <v>3698</v>
      </c>
      <c r="D639" s="53">
        <v>46157.333333333336</v>
      </c>
      <c r="E639" s="53">
        <v>46157.875</v>
      </c>
      <c r="F639" s="53">
        <v>46158.261805555558</v>
      </c>
      <c r="G639" s="53">
        <v>46161.291666666664</v>
      </c>
      <c r="H639" s="52"/>
      <c r="I639" s="52"/>
      <c r="J639" s="52" t="s">
        <v>3694</v>
      </c>
      <c r="K639" s="53">
        <v>46158.892361111109</v>
      </c>
      <c r="L639" s="52"/>
      <c r="M639" s="54">
        <v>3.0298611111111109</v>
      </c>
      <c r="N639" s="55">
        <v>0.19444444444444445</v>
      </c>
      <c r="O639" s="52" t="s">
        <v>643</v>
      </c>
      <c r="P639" s="52" t="s">
        <v>171</v>
      </c>
      <c r="Q639" s="52" t="s">
        <v>642</v>
      </c>
      <c r="R639" s="52" t="s">
        <v>647</v>
      </c>
      <c r="S639" s="52" t="s">
        <v>69</v>
      </c>
      <c r="T639" s="52" t="s">
        <v>4036</v>
      </c>
      <c r="U639" s="52" t="s">
        <v>4037</v>
      </c>
      <c r="V639" s="52" t="s">
        <v>4038</v>
      </c>
      <c r="W639" s="52">
        <v>81265050953</v>
      </c>
      <c r="X639" s="52" t="s">
        <v>73</v>
      </c>
      <c r="Y639" s="52"/>
      <c r="Z639" s="52" t="s">
        <v>3696</v>
      </c>
      <c r="AA639" s="52" t="s">
        <v>3710</v>
      </c>
      <c r="AB639" s="52"/>
      <c r="AC639" s="52" t="s">
        <v>3703</v>
      </c>
      <c r="AD639" s="52" t="s">
        <v>3704</v>
      </c>
      <c r="AE639" s="52" t="s">
        <v>140</v>
      </c>
      <c r="AF639" s="52" t="s">
        <v>4034</v>
      </c>
      <c r="AG639" s="52" t="s">
        <v>3766</v>
      </c>
      <c r="AH639" s="52"/>
      <c r="AI639" s="53">
        <v>46157.887499999997</v>
      </c>
      <c r="AJ639" s="53">
        <v>46157.913194444445</v>
      </c>
      <c r="AK639" s="53">
        <v>46157.887499999997</v>
      </c>
      <c r="AL639" s="55">
        <v>2.5694444444444443E-2</v>
      </c>
      <c r="AM639" s="52"/>
      <c r="AN639" s="55">
        <v>2.5694444444444443E-2</v>
      </c>
      <c r="AO639" s="52"/>
      <c r="AP639" s="55">
        <v>2.5694444444444443E-2</v>
      </c>
      <c r="AQ639" s="52"/>
      <c r="AR639" s="52"/>
      <c r="AS639" s="52" t="s">
        <v>3696</v>
      </c>
      <c r="AT639" s="52"/>
      <c r="AU639" s="52"/>
      <c r="AV639" s="52"/>
      <c r="AW639" s="52"/>
    </row>
    <row r="640" spans="1:49">
      <c r="A640" s="52">
        <v>6022062</v>
      </c>
      <c r="B640" s="52" t="s">
        <v>3716</v>
      </c>
      <c r="C640" s="52" t="s">
        <v>3698</v>
      </c>
      <c r="D640" s="53">
        <v>46157.333333333336</v>
      </c>
      <c r="E640" s="53">
        <v>46157.875</v>
      </c>
      <c r="F640" s="53">
        <v>46158.261805555558</v>
      </c>
      <c r="G640" s="53">
        <v>46161.291666666664</v>
      </c>
      <c r="H640" s="52"/>
      <c r="I640" s="52"/>
      <c r="J640" s="52" t="s">
        <v>3694</v>
      </c>
      <c r="K640" s="53">
        <v>46158.892361111109</v>
      </c>
      <c r="L640" s="52"/>
      <c r="M640" s="54">
        <v>3.0298611111111109</v>
      </c>
      <c r="N640" s="55">
        <v>0.19444444444444445</v>
      </c>
      <c r="O640" s="52" t="s">
        <v>643</v>
      </c>
      <c r="P640" s="52" t="s">
        <v>171</v>
      </c>
      <c r="Q640" s="52" t="s">
        <v>642</v>
      </c>
      <c r="R640" s="52" t="s">
        <v>647</v>
      </c>
      <c r="S640" s="52" t="s">
        <v>69</v>
      </c>
      <c r="T640" s="52" t="s">
        <v>4036</v>
      </c>
      <c r="U640" s="52" t="s">
        <v>4037</v>
      </c>
      <c r="V640" s="52" t="s">
        <v>4038</v>
      </c>
      <c r="W640" s="52">
        <v>81265050953</v>
      </c>
      <c r="X640" s="52" t="s">
        <v>73</v>
      </c>
      <c r="Y640" s="52"/>
      <c r="Z640" s="52" t="s">
        <v>3696</v>
      </c>
      <c r="AA640" s="52" t="s">
        <v>3710</v>
      </c>
      <c r="AB640" s="52"/>
      <c r="AC640" s="52" t="s">
        <v>3703</v>
      </c>
      <c r="AD640" s="52" t="s">
        <v>3704</v>
      </c>
      <c r="AE640" s="52"/>
      <c r="AF640" s="52" t="s">
        <v>4034</v>
      </c>
      <c r="AG640" s="52" t="s">
        <v>3766</v>
      </c>
      <c r="AH640" s="52"/>
      <c r="AI640" s="53">
        <v>46157.887499999997</v>
      </c>
      <c r="AJ640" s="53">
        <v>46157.913194444445</v>
      </c>
      <c r="AK640" s="53">
        <v>46157.887499999997</v>
      </c>
      <c r="AL640" s="55">
        <v>2.5694444444444443E-2</v>
      </c>
      <c r="AM640" s="52"/>
      <c r="AN640" s="55">
        <v>2.5694444444444443E-2</v>
      </c>
      <c r="AO640" s="52"/>
      <c r="AP640" s="55">
        <v>2.5694444444444443E-2</v>
      </c>
      <c r="AQ640" s="52"/>
      <c r="AR640" s="52"/>
      <c r="AS640" s="52" t="s">
        <v>3696</v>
      </c>
      <c r="AT640" s="52"/>
      <c r="AU640" s="52"/>
      <c r="AV640" s="52"/>
      <c r="AW640" s="52" t="s">
        <v>253</v>
      </c>
    </row>
    <row r="641" spans="1:49">
      <c r="A641" s="52">
        <v>6022063</v>
      </c>
      <c r="B641" s="52" t="s">
        <v>3716</v>
      </c>
      <c r="C641" s="52" t="s">
        <v>3692</v>
      </c>
      <c r="D641" s="53">
        <v>46157.333333333336</v>
      </c>
      <c r="E641" s="53">
        <v>46157.873611111114</v>
      </c>
      <c r="F641" s="53">
        <v>46157.887499999997</v>
      </c>
      <c r="G641" s="53">
        <v>46161.291666666664</v>
      </c>
      <c r="H641" s="52"/>
      <c r="I641" s="52" t="s">
        <v>3693</v>
      </c>
      <c r="J641" s="52" t="s">
        <v>3694</v>
      </c>
      <c r="K641" s="53">
        <v>46158.892361111109</v>
      </c>
      <c r="L641" s="52"/>
      <c r="M641" s="54">
        <v>3.9583333333333335</v>
      </c>
      <c r="N641" s="54">
        <v>1.1229166666666666</v>
      </c>
      <c r="O641" s="52"/>
      <c r="P641" s="52"/>
      <c r="Q641" s="52"/>
      <c r="R641" s="52"/>
      <c r="S641" s="52"/>
      <c r="T641" s="52" t="s">
        <v>4036</v>
      </c>
      <c r="U641" s="52" t="s">
        <v>4037</v>
      </c>
      <c r="V641" s="52"/>
      <c r="W641" s="52"/>
      <c r="X641" s="52"/>
      <c r="Y641" s="52"/>
      <c r="Z641" s="52" t="s">
        <v>3696</v>
      </c>
      <c r="AA641" s="52" t="s">
        <v>171</v>
      </c>
      <c r="AB641" s="52" t="s">
        <v>140</v>
      </c>
      <c r="AC641" s="52" t="s">
        <v>3703</v>
      </c>
      <c r="AD641" s="52" t="s">
        <v>3704</v>
      </c>
      <c r="AE641" s="52"/>
      <c r="AF641" s="52" t="s">
        <v>4034</v>
      </c>
      <c r="AG641" s="52" t="s">
        <v>3766</v>
      </c>
      <c r="AH641" s="52"/>
      <c r="AI641" s="52"/>
      <c r="AJ641" s="52"/>
      <c r="AK641" s="52"/>
      <c r="AL641" s="55">
        <v>2.5694444444444443E-2</v>
      </c>
      <c r="AM641" s="52"/>
      <c r="AN641" s="52"/>
      <c r="AO641" s="52"/>
      <c r="AP641" s="52"/>
      <c r="AQ641" s="52"/>
      <c r="AR641" s="52"/>
      <c r="AS641" s="52">
        <v>0</v>
      </c>
      <c r="AT641" s="52"/>
      <c r="AU641" s="52"/>
      <c r="AV641" s="52" t="s">
        <v>253</v>
      </c>
      <c r="AW641" s="52"/>
    </row>
    <row r="642" spans="1:49">
      <c r="A642" s="52">
        <v>6022063</v>
      </c>
      <c r="B642" s="52" t="s">
        <v>3716</v>
      </c>
      <c r="C642" s="52" t="s">
        <v>3698</v>
      </c>
      <c r="D642" s="53">
        <v>46157.333333333336</v>
      </c>
      <c r="E642" s="53">
        <v>46157.873611111114</v>
      </c>
      <c r="F642" s="53">
        <v>46158.261805555558</v>
      </c>
      <c r="G642" s="53">
        <v>46161.291666666664</v>
      </c>
      <c r="H642" s="52"/>
      <c r="I642" s="52"/>
      <c r="J642" s="52" t="s">
        <v>3694</v>
      </c>
      <c r="K642" s="53">
        <v>46158.892361111109</v>
      </c>
      <c r="L642" s="52"/>
      <c r="M642" s="54">
        <v>3.0298611111111109</v>
      </c>
      <c r="N642" s="55">
        <v>0.19444444444444445</v>
      </c>
      <c r="O642" s="52" t="s">
        <v>643</v>
      </c>
      <c r="P642" s="52" t="s">
        <v>171</v>
      </c>
      <c r="Q642" s="52" t="s">
        <v>642</v>
      </c>
      <c r="R642" s="52" t="s">
        <v>647</v>
      </c>
      <c r="S642" s="52" t="s">
        <v>69</v>
      </c>
      <c r="T642" s="52" t="s">
        <v>4036</v>
      </c>
      <c r="U642" s="52" t="s">
        <v>4037</v>
      </c>
      <c r="V642" s="52" t="s">
        <v>4038</v>
      </c>
      <c r="W642" s="52">
        <v>81265050953</v>
      </c>
      <c r="X642" s="52" t="s">
        <v>73</v>
      </c>
      <c r="Y642" s="52"/>
      <c r="Z642" s="52" t="s">
        <v>3696</v>
      </c>
      <c r="AA642" s="52" t="s">
        <v>3710</v>
      </c>
      <c r="AB642" s="52"/>
      <c r="AC642" s="52" t="s">
        <v>3703</v>
      </c>
      <c r="AD642" s="52" t="s">
        <v>3704</v>
      </c>
      <c r="AE642" s="52" t="s">
        <v>140</v>
      </c>
      <c r="AF642" s="52" t="s">
        <v>4034</v>
      </c>
      <c r="AG642" s="52" t="s">
        <v>3766</v>
      </c>
      <c r="AH642" s="52"/>
      <c r="AI642" s="53">
        <v>46157.887499999997</v>
      </c>
      <c r="AJ642" s="53">
        <v>46157.913194444445</v>
      </c>
      <c r="AK642" s="53">
        <v>46157.887499999997</v>
      </c>
      <c r="AL642" s="55">
        <v>2.5694444444444443E-2</v>
      </c>
      <c r="AM642" s="52"/>
      <c r="AN642" s="55">
        <v>2.5694444444444443E-2</v>
      </c>
      <c r="AO642" s="52"/>
      <c r="AP642" s="55">
        <v>2.5694444444444443E-2</v>
      </c>
      <c r="AQ642" s="52"/>
      <c r="AR642" s="52"/>
      <c r="AS642" s="52" t="s">
        <v>3696</v>
      </c>
      <c r="AT642" s="52"/>
      <c r="AU642" s="52"/>
      <c r="AV642" s="52"/>
      <c r="AW642" s="52"/>
    </row>
    <row r="643" spans="1:49">
      <c r="A643" s="52">
        <v>6022063</v>
      </c>
      <c r="B643" s="52" t="s">
        <v>3716</v>
      </c>
      <c r="C643" s="52" t="s">
        <v>3698</v>
      </c>
      <c r="D643" s="53">
        <v>46157.333333333336</v>
      </c>
      <c r="E643" s="53">
        <v>46157.873611111114</v>
      </c>
      <c r="F643" s="53">
        <v>46158.261805555558</v>
      </c>
      <c r="G643" s="53">
        <v>46161.291666666664</v>
      </c>
      <c r="H643" s="52"/>
      <c r="I643" s="52"/>
      <c r="J643" s="52" t="s">
        <v>3694</v>
      </c>
      <c r="K643" s="53">
        <v>46158.892361111109</v>
      </c>
      <c r="L643" s="52"/>
      <c r="M643" s="54">
        <v>3.0298611111111109</v>
      </c>
      <c r="N643" s="55">
        <v>0.19444444444444445</v>
      </c>
      <c r="O643" s="52" t="s">
        <v>643</v>
      </c>
      <c r="P643" s="52" t="s">
        <v>171</v>
      </c>
      <c r="Q643" s="52" t="s">
        <v>642</v>
      </c>
      <c r="R643" s="52" t="s">
        <v>647</v>
      </c>
      <c r="S643" s="52" t="s">
        <v>69</v>
      </c>
      <c r="T643" s="52" t="s">
        <v>4036</v>
      </c>
      <c r="U643" s="52" t="s">
        <v>4037</v>
      </c>
      <c r="V643" s="52" t="s">
        <v>4038</v>
      </c>
      <c r="W643" s="52">
        <v>81265050953</v>
      </c>
      <c r="X643" s="52" t="s">
        <v>73</v>
      </c>
      <c r="Y643" s="52"/>
      <c r="Z643" s="52" t="s">
        <v>3696</v>
      </c>
      <c r="AA643" s="52" t="s">
        <v>3710</v>
      </c>
      <c r="AB643" s="52"/>
      <c r="AC643" s="52" t="s">
        <v>3703</v>
      </c>
      <c r="AD643" s="52" t="s">
        <v>3704</v>
      </c>
      <c r="AE643" s="52"/>
      <c r="AF643" s="52" t="s">
        <v>4034</v>
      </c>
      <c r="AG643" s="52" t="s">
        <v>3766</v>
      </c>
      <c r="AH643" s="52"/>
      <c r="AI643" s="53">
        <v>46157.887499999997</v>
      </c>
      <c r="AJ643" s="53">
        <v>46157.913194444445</v>
      </c>
      <c r="AK643" s="53">
        <v>46157.887499999997</v>
      </c>
      <c r="AL643" s="55">
        <v>2.5694444444444443E-2</v>
      </c>
      <c r="AM643" s="52"/>
      <c r="AN643" s="55">
        <v>2.5694444444444443E-2</v>
      </c>
      <c r="AO643" s="52"/>
      <c r="AP643" s="55">
        <v>2.5694444444444443E-2</v>
      </c>
      <c r="AQ643" s="52"/>
      <c r="AR643" s="52"/>
      <c r="AS643" s="52" t="s">
        <v>3696</v>
      </c>
      <c r="AT643" s="52"/>
      <c r="AU643" s="52"/>
      <c r="AV643" s="52"/>
      <c r="AW643" s="52" t="s">
        <v>253</v>
      </c>
    </row>
    <row r="644" spans="1:49">
      <c r="A644" s="52">
        <v>6022064</v>
      </c>
      <c r="B644" s="52" t="s">
        <v>3716</v>
      </c>
      <c r="C644" s="52" t="s">
        <v>3692</v>
      </c>
      <c r="D644" s="53">
        <v>46157.875</v>
      </c>
      <c r="E644" s="53">
        <v>46156.68472222222</v>
      </c>
      <c r="F644" s="53">
        <v>46157.309027777781</v>
      </c>
      <c r="G644" s="53">
        <v>46161.291666666664</v>
      </c>
      <c r="H644" s="52"/>
      <c r="I644" s="52" t="s">
        <v>3693</v>
      </c>
      <c r="J644" s="52" t="s">
        <v>3694</v>
      </c>
      <c r="K644" s="53">
        <v>46158.701388888891</v>
      </c>
      <c r="L644" s="52"/>
      <c r="M644" s="54">
        <v>1.117361111111111</v>
      </c>
      <c r="N644" s="54">
        <v>1.7180555555555554</v>
      </c>
      <c r="O644" s="52"/>
      <c r="P644" s="52"/>
      <c r="Q644" s="52"/>
      <c r="R644" s="52"/>
      <c r="S644" s="52"/>
      <c r="T644" s="52" t="s">
        <v>4036</v>
      </c>
      <c r="U644" s="52" t="s">
        <v>4039</v>
      </c>
      <c r="V644" s="52"/>
      <c r="W644" s="52"/>
      <c r="X644" s="52"/>
      <c r="Y644" s="52"/>
      <c r="Z644" s="52" t="s">
        <v>3696</v>
      </c>
      <c r="AA644" s="52" t="s">
        <v>184</v>
      </c>
      <c r="AB644" s="52" t="s">
        <v>140</v>
      </c>
      <c r="AC644" s="52" t="s">
        <v>3703</v>
      </c>
      <c r="AD644" s="52" t="s">
        <v>3704</v>
      </c>
      <c r="AE644" s="52"/>
      <c r="AF644" s="52" t="s">
        <v>4034</v>
      </c>
      <c r="AG644" s="52" t="s">
        <v>3766</v>
      </c>
      <c r="AH644" s="52"/>
      <c r="AI644" s="52"/>
      <c r="AJ644" s="52"/>
      <c r="AK644" s="52"/>
      <c r="AL644" s="55">
        <v>8.3333333333333329E-2</v>
      </c>
      <c r="AM644" s="52"/>
      <c r="AN644" s="52"/>
      <c r="AO644" s="52"/>
      <c r="AP644" s="52"/>
      <c r="AQ644" s="52"/>
      <c r="AR644" s="52"/>
      <c r="AS644" s="52">
        <v>0</v>
      </c>
      <c r="AT644" s="52"/>
      <c r="AU644" s="52"/>
      <c r="AV644" s="52" t="s">
        <v>253</v>
      </c>
      <c r="AW644" s="52"/>
    </row>
    <row r="645" spans="1:49">
      <c r="A645" s="52">
        <v>6022064</v>
      </c>
      <c r="B645" s="52" t="s">
        <v>3716</v>
      </c>
      <c r="C645" s="52" t="s">
        <v>3698</v>
      </c>
      <c r="D645" s="53">
        <v>46157.875</v>
      </c>
      <c r="E645" s="53">
        <v>46156.68472222222</v>
      </c>
      <c r="F645" s="53">
        <v>46157.376388888886</v>
      </c>
      <c r="G645" s="53">
        <v>46161.291666666664</v>
      </c>
      <c r="H645" s="52"/>
      <c r="I645" s="52"/>
      <c r="J645" s="52" t="s">
        <v>3694</v>
      </c>
      <c r="K645" s="53">
        <v>46158.701388888891</v>
      </c>
      <c r="L645" s="52"/>
      <c r="M645" s="54">
        <v>3.9152777777777779</v>
      </c>
      <c r="N645" s="54">
        <v>1.0798611111111112</v>
      </c>
      <c r="O645" s="52" t="s">
        <v>249</v>
      </c>
      <c r="P645" s="52" t="s">
        <v>184</v>
      </c>
      <c r="Q645" s="52" t="s">
        <v>248</v>
      </c>
      <c r="R645" s="52" t="s">
        <v>256</v>
      </c>
      <c r="S645" s="52" t="s">
        <v>69</v>
      </c>
      <c r="T645" s="52" t="s">
        <v>4036</v>
      </c>
      <c r="U645" s="52" t="s">
        <v>4039</v>
      </c>
      <c r="V645" s="52" t="s">
        <v>257</v>
      </c>
      <c r="W645" s="52">
        <v>10753554607</v>
      </c>
      <c r="X645" s="52" t="s">
        <v>73</v>
      </c>
      <c r="Y645" s="52"/>
      <c r="Z645" s="52" t="s">
        <v>3696</v>
      </c>
      <c r="AA645" s="52" t="s">
        <v>3710</v>
      </c>
      <c r="AB645" s="52"/>
      <c r="AC645" s="52" t="s">
        <v>3703</v>
      </c>
      <c r="AD645" s="52" t="s">
        <v>3704</v>
      </c>
      <c r="AE645" s="52" t="s">
        <v>140</v>
      </c>
      <c r="AF645" s="52" t="s">
        <v>4034</v>
      </c>
      <c r="AG645" s="52" t="s">
        <v>3766</v>
      </c>
      <c r="AH645" s="52"/>
      <c r="AI645" s="53">
        <v>46157.311805555553</v>
      </c>
      <c r="AJ645" s="53">
        <v>46157.395138888889</v>
      </c>
      <c r="AK645" s="53">
        <v>46157.311805555553</v>
      </c>
      <c r="AL645" s="55">
        <v>8.819444444444445E-2</v>
      </c>
      <c r="AM645" s="52"/>
      <c r="AN645" s="55">
        <v>8.3333333333333329E-2</v>
      </c>
      <c r="AO645" s="52"/>
      <c r="AP645" s="55">
        <v>8.819444444444445E-2</v>
      </c>
      <c r="AQ645" s="52"/>
      <c r="AR645" s="52"/>
      <c r="AS645" s="52" t="s">
        <v>3696</v>
      </c>
      <c r="AT645" s="52"/>
      <c r="AU645" s="52"/>
      <c r="AV645" s="52"/>
      <c r="AW645" s="52"/>
    </row>
    <row r="646" spans="1:49">
      <c r="A646" s="52">
        <v>6022064</v>
      </c>
      <c r="B646" s="52" t="s">
        <v>3716</v>
      </c>
      <c r="C646" s="52" t="s">
        <v>3698</v>
      </c>
      <c r="D646" s="53">
        <v>46157.875</v>
      </c>
      <c r="E646" s="53">
        <v>46156.68472222222</v>
      </c>
      <c r="F646" s="53">
        <v>46157.376388888886</v>
      </c>
      <c r="G646" s="53">
        <v>46161.291666666664</v>
      </c>
      <c r="H646" s="52"/>
      <c r="I646" s="52"/>
      <c r="J646" s="52" t="s">
        <v>3694</v>
      </c>
      <c r="K646" s="53">
        <v>46158.701388888891</v>
      </c>
      <c r="L646" s="52"/>
      <c r="M646" s="54">
        <v>3.9152777777777779</v>
      </c>
      <c r="N646" s="54">
        <v>1.0798611111111112</v>
      </c>
      <c r="O646" s="52" t="s">
        <v>249</v>
      </c>
      <c r="P646" s="52" t="s">
        <v>184</v>
      </c>
      <c r="Q646" s="52" t="s">
        <v>248</v>
      </c>
      <c r="R646" s="52" t="s">
        <v>256</v>
      </c>
      <c r="S646" s="52" t="s">
        <v>69</v>
      </c>
      <c r="T646" s="52" t="s">
        <v>4036</v>
      </c>
      <c r="U646" s="52" t="s">
        <v>4039</v>
      </c>
      <c r="V646" s="52" t="s">
        <v>257</v>
      </c>
      <c r="W646" s="52">
        <v>10753554607</v>
      </c>
      <c r="X646" s="52" t="s">
        <v>73</v>
      </c>
      <c r="Y646" s="52"/>
      <c r="Z646" s="52" t="s">
        <v>3696</v>
      </c>
      <c r="AA646" s="52" t="s">
        <v>3710</v>
      </c>
      <c r="AB646" s="52"/>
      <c r="AC646" s="52" t="s">
        <v>3703</v>
      </c>
      <c r="AD646" s="52" t="s">
        <v>3704</v>
      </c>
      <c r="AE646" s="52"/>
      <c r="AF646" s="52" t="s">
        <v>4034</v>
      </c>
      <c r="AG646" s="52" t="s">
        <v>3766</v>
      </c>
      <c r="AH646" s="52"/>
      <c r="AI646" s="53">
        <v>46157.311805555553</v>
      </c>
      <c r="AJ646" s="53">
        <v>46157.395138888889</v>
      </c>
      <c r="AK646" s="53">
        <v>46157.311805555553</v>
      </c>
      <c r="AL646" s="55">
        <v>8.819444444444445E-2</v>
      </c>
      <c r="AM646" s="52"/>
      <c r="AN646" s="55">
        <v>8.3333333333333329E-2</v>
      </c>
      <c r="AO646" s="52"/>
      <c r="AP646" s="55">
        <v>8.819444444444445E-2</v>
      </c>
      <c r="AQ646" s="52"/>
      <c r="AR646" s="52"/>
      <c r="AS646" s="52" t="s">
        <v>3696</v>
      </c>
      <c r="AT646" s="52"/>
      <c r="AU646" s="52"/>
      <c r="AV646" s="52"/>
      <c r="AW646" s="52" t="s">
        <v>253</v>
      </c>
    </row>
    <row r="647" spans="1:49">
      <c r="A647" s="52">
        <v>6022065</v>
      </c>
      <c r="B647" s="52" t="s">
        <v>3716</v>
      </c>
      <c r="C647" s="52" t="s">
        <v>3717</v>
      </c>
      <c r="D647" s="53">
        <v>46157.833333333336</v>
      </c>
      <c r="E647" s="53">
        <v>46156.68472222222</v>
      </c>
      <c r="F647" s="53">
        <v>46157.655555555553</v>
      </c>
      <c r="G647" s="53">
        <v>46160.174305555556</v>
      </c>
      <c r="H647" s="53">
        <v>46157.657638888886</v>
      </c>
      <c r="I647" s="52" t="s">
        <v>3693</v>
      </c>
      <c r="J647" s="52" t="s">
        <v>3694</v>
      </c>
      <c r="K647" s="52"/>
      <c r="L647" s="52"/>
      <c r="M647" s="54">
        <v>1.117361111111111</v>
      </c>
      <c r="N647" s="54">
        <v>1.7180555555555554</v>
      </c>
      <c r="O647" s="52"/>
      <c r="P647" s="52"/>
      <c r="Q647" s="52"/>
      <c r="R647" s="52"/>
      <c r="S647" s="52"/>
      <c r="T647" s="52" t="s">
        <v>4040</v>
      </c>
      <c r="U647" s="52" t="s">
        <v>4041</v>
      </c>
      <c r="V647" s="52"/>
      <c r="W647" s="52"/>
      <c r="X647" s="52"/>
      <c r="Y647" s="52"/>
      <c r="Z647" s="52" t="s">
        <v>3696</v>
      </c>
      <c r="AA647" s="52" t="s">
        <v>89</v>
      </c>
      <c r="AB647" s="52" t="s">
        <v>140</v>
      </c>
      <c r="AC647" s="52" t="s">
        <v>3703</v>
      </c>
      <c r="AD647" s="52" t="s">
        <v>3704</v>
      </c>
      <c r="AE647" s="52"/>
      <c r="AF647" s="52" t="s">
        <v>3703</v>
      </c>
      <c r="AG647" s="52" t="s">
        <v>3704</v>
      </c>
      <c r="AH647" s="52"/>
      <c r="AI647" s="52"/>
      <c r="AJ647" s="52"/>
      <c r="AK647" s="52"/>
      <c r="AL647" s="55">
        <v>4.1666666666666664E-2</v>
      </c>
      <c r="AM647" s="52"/>
      <c r="AN647" s="52"/>
      <c r="AO647" s="52"/>
      <c r="AP647" s="52"/>
      <c r="AQ647" s="52"/>
      <c r="AR647" s="52"/>
      <c r="AS647" s="52">
        <v>0</v>
      </c>
      <c r="AT647" s="52"/>
      <c r="AU647" s="52"/>
      <c r="AV647" s="52" t="s">
        <v>253</v>
      </c>
      <c r="AW647" s="52"/>
    </row>
    <row r="648" spans="1:49">
      <c r="A648" s="52">
        <v>6022065</v>
      </c>
      <c r="B648" s="52" t="s">
        <v>3716</v>
      </c>
      <c r="C648" s="52" t="s">
        <v>3698</v>
      </c>
      <c r="D648" s="53">
        <v>46157.833333333336</v>
      </c>
      <c r="E648" s="53">
        <v>46156.68472222222</v>
      </c>
      <c r="F648" s="53">
        <v>46157.680555555555</v>
      </c>
      <c r="G648" s="53">
        <v>46158.336111111108</v>
      </c>
      <c r="H648" s="52"/>
      <c r="I648" s="52"/>
      <c r="J648" s="52" t="s">
        <v>3694</v>
      </c>
      <c r="K648" s="53">
        <v>46158.841666666667</v>
      </c>
      <c r="L648" s="52"/>
      <c r="M648" s="55">
        <v>0.65555555555555556</v>
      </c>
      <c r="N648" s="55">
        <v>0.77569444444444446</v>
      </c>
      <c r="O648" s="52" t="s">
        <v>356</v>
      </c>
      <c r="P648" s="52" t="s">
        <v>89</v>
      </c>
      <c r="Q648" s="52" t="s">
        <v>355</v>
      </c>
      <c r="R648" s="52" t="s">
        <v>363</v>
      </c>
      <c r="S648" s="52" t="s">
        <v>69</v>
      </c>
      <c r="T648" s="52" t="s">
        <v>4040</v>
      </c>
      <c r="U648" s="52" t="s">
        <v>4041</v>
      </c>
      <c r="V648" s="52" t="s">
        <v>364</v>
      </c>
      <c r="W648" s="52">
        <v>3315226083</v>
      </c>
      <c r="X648" s="52" t="s">
        <v>73</v>
      </c>
      <c r="Y648" s="52" t="s">
        <v>3879</v>
      </c>
      <c r="Z648" s="52" t="s">
        <v>3696</v>
      </c>
      <c r="AA648" s="52" t="s">
        <v>3710</v>
      </c>
      <c r="AB648" s="52"/>
      <c r="AC648" s="52" t="s">
        <v>3703</v>
      </c>
      <c r="AD648" s="52" t="s">
        <v>3704</v>
      </c>
      <c r="AE648" s="52" t="s">
        <v>140</v>
      </c>
      <c r="AF648" s="52" t="s">
        <v>4034</v>
      </c>
      <c r="AG648" s="52" t="s">
        <v>3766</v>
      </c>
      <c r="AH648" s="52"/>
      <c r="AI648" s="53">
        <v>46157.657638888886</v>
      </c>
      <c r="AJ648" s="53">
        <v>46157.699305555558</v>
      </c>
      <c r="AK648" s="53">
        <v>46157.657638888886</v>
      </c>
      <c r="AL648" s="55">
        <v>4.1666666666666664E-2</v>
      </c>
      <c r="AM648" s="52"/>
      <c r="AN648" s="55">
        <v>4.1666666666666664E-2</v>
      </c>
      <c r="AO648" s="52"/>
      <c r="AP648" s="55">
        <v>4.1666666666666664E-2</v>
      </c>
      <c r="AQ648" s="52"/>
      <c r="AR648" s="52"/>
      <c r="AS648" s="52" t="s">
        <v>3696</v>
      </c>
      <c r="AT648" s="52"/>
      <c r="AU648" s="52"/>
      <c r="AV648" s="52"/>
      <c r="AW648" s="52"/>
    </row>
    <row r="649" spans="1:49">
      <c r="A649" s="52">
        <v>6022065</v>
      </c>
      <c r="B649" s="52" t="s">
        <v>3716</v>
      </c>
      <c r="C649" s="52" t="s">
        <v>3698</v>
      </c>
      <c r="D649" s="53">
        <v>46157.833333333336</v>
      </c>
      <c r="E649" s="53">
        <v>46156.68472222222</v>
      </c>
      <c r="F649" s="53">
        <v>46157.680555555555</v>
      </c>
      <c r="G649" s="53">
        <v>46158.336111111108</v>
      </c>
      <c r="H649" s="52"/>
      <c r="I649" s="52"/>
      <c r="J649" s="52" t="s">
        <v>3694</v>
      </c>
      <c r="K649" s="53">
        <v>46158.841666666667</v>
      </c>
      <c r="L649" s="52"/>
      <c r="M649" s="55">
        <v>0.65555555555555556</v>
      </c>
      <c r="N649" s="55">
        <v>0.77569444444444446</v>
      </c>
      <c r="O649" s="52" t="s">
        <v>356</v>
      </c>
      <c r="P649" s="52" t="s">
        <v>89</v>
      </c>
      <c r="Q649" s="52" t="s">
        <v>355</v>
      </c>
      <c r="R649" s="52" t="s">
        <v>363</v>
      </c>
      <c r="S649" s="52" t="s">
        <v>69</v>
      </c>
      <c r="T649" s="52" t="s">
        <v>4040</v>
      </c>
      <c r="U649" s="52" t="s">
        <v>4041</v>
      </c>
      <c r="V649" s="52" t="s">
        <v>364</v>
      </c>
      <c r="W649" s="52">
        <v>3315226083</v>
      </c>
      <c r="X649" s="52" t="s">
        <v>73</v>
      </c>
      <c r="Y649" s="52" t="s">
        <v>3879</v>
      </c>
      <c r="Z649" s="52" t="s">
        <v>3696</v>
      </c>
      <c r="AA649" s="52" t="s">
        <v>3710</v>
      </c>
      <c r="AB649" s="52"/>
      <c r="AC649" s="52" t="s">
        <v>3703</v>
      </c>
      <c r="AD649" s="52" t="s">
        <v>3704</v>
      </c>
      <c r="AE649" s="52"/>
      <c r="AF649" s="52" t="s">
        <v>4034</v>
      </c>
      <c r="AG649" s="52" t="s">
        <v>3766</v>
      </c>
      <c r="AH649" s="52"/>
      <c r="AI649" s="53">
        <v>46157.657638888886</v>
      </c>
      <c r="AJ649" s="53">
        <v>46157.699305555558</v>
      </c>
      <c r="AK649" s="53">
        <v>46157.657638888886</v>
      </c>
      <c r="AL649" s="55">
        <v>4.1666666666666664E-2</v>
      </c>
      <c r="AM649" s="52"/>
      <c r="AN649" s="55">
        <v>4.1666666666666664E-2</v>
      </c>
      <c r="AO649" s="52"/>
      <c r="AP649" s="55">
        <v>4.1666666666666664E-2</v>
      </c>
      <c r="AQ649" s="52"/>
      <c r="AR649" s="52"/>
      <c r="AS649" s="52" t="s">
        <v>3696</v>
      </c>
      <c r="AT649" s="52"/>
      <c r="AU649" s="52"/>
      <c r="AV649" s="52"/>
      <c r="AW649" s="52" t="s">
        <v>253</v>
      </c>
    </row>
    <row r="650" spans="1:49">
      <c r="A650" s="52">
        <v>6022066</v>
      </c>
      <c r="B650" s="52" t="s">
        <v>3691</v>
      </c>
      <c r="C650" s="52" t="s">
        <v>3692</v>
      </c>
      <c r="D650" s="53">
        <v>46160.25</v>
      </c>
      <c r="E650" s="53">
        <v>46156.68472222222</v>
      </c>
      <c r="F650" s="52"/>
      <c r="G650" s="52"/>
      <c r="H650" s="52"/>
      <c r="I650" s="52" t="s">
        <v>3693</v>
      </c>
      <c r="J650" s="52" t="s">
        <v>3694</v>
      </c>
      <c r="K650" s="52"/>
      <c r="L650" s="52"/>
      <c r="M650" s="54">
        <v>1.0416666666666667</v>
      </c>
      <c r="N650" s="54">
        <v>1.79375</v>
      </c>
      <c r="O650" s="52"/>
      <c r="P650" s="52"/>
      <c r="Q650" s="52"/>
      <c r="R650" s="52"/>
      <c r="S650" s="52"/>
      <c r="T650" s="52" t="s">
        <v>3695</v>
      </c>
      <c r="U650" s="52" t="s">
        <v>3695</v>
      </c>
      <c r="V650" s="52"/>
      <c r="W650" s="52"/>
      <c r="X650" s="52"/>
      <c r="Y650" s="52"/>
      <c r="Z650" s="52" t="s">
        <v>3696</v>
      </c>
      <c r="AA650" s="52" t="s">
        <v>3050</v>
      </c>
      <c r="AB650" s="52" t="s">
        <v>140</v>
      </c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>
        <v>0</v>
      </c>
      <c r="AT650" s="52"/>
      <c r="AU650" s="52"/>
      <c r="AV650" s="52" t="s">
        <v>253</v>
      </c>
      <c r="AW650" s="52"/>
    </row>
    <row r="651" spans="1:49">
      <c r="A651" s="52">
        <v>6022066</v>
      </c>
      <c r="B651" s="52" t="s">
        <v>3691</v>
      </c>
      <c r="C651" s="52" t="s">
        <v>3698</v>
      </c>
      <c r="D651" s="53">
        <v>46160.25</v>
      </c>
      <c r="E651" s="53">
        <v>46156.68472222222</v>
      </c>
      <c r="F651" s="52"/>
      <c r="G651" s="52"/>
      <c r="H651" s="52"/>
      <c r="I651" s="52"/>
      <c r="J651" s="52" t="s">
        <v>3694</v>
      </c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 t="s">
        <v>3696</v>
      </c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>
        <v>0</v>
      </c>
      <c r="AT651" s="52"/>
      <c r="AU651" s="52"/>
      <c r="AV651" s="52"/>
      <c r="AW651" s="52"/>
    </row>
    <row r="652" spans="1:49">
      <c r="A652" s="52">
        <v>6022144</v>
      </c>
      <c r="B652" s="52" t="s">
        <v>3723</v>
      </c>
      <c r="C652" s="52" t="s">
        <v>3692</v>
      </c>
      <c r="D652" s="53">
        <v>46155.75</v>
      </c>
      <c r="E652" s="53">
        <v>46155.650694444441</v>
      </c>
      <c r="F652" s="53">
        <v>46155.762499999997</v>
      </c>
      <c r="G652" s="53">
        <v>46160.291666666664</v>
      </c>
      <c r="H652" s="52"/>
      <c r="I652" s="52" t="s">
        <v>3693</v>
      </c>
      <c r="J652" s="52" t="s">
        <v>3693</v>
      </c>
      <c r="K652" s="53">
        <v>46156.628472222219</v>
      </c>
      <c r="L652" s="52"/>
      <c r="M652" s="55">
        <v>0.1076388888888889</v>
      </c>
      <c r="N652" s="54">
        <v>1.7277777777777779</v>
      </c>
      <c r="O652" s="52"/>
      <c r="P652" s="52"/>
      <c r="Q652" s="52"/>
      <c r="R652" s="52"/>
      <c r="S652" s="52"/>
      <c r="T652" s="52" t="s">
        <v>3897</v>
      </c>
      <c r="U652" s="52" t="s">
        <v>4042</v>
      </c>
      <c r="V652" s="52"/>
      <c r="W652" s="52"/>
      <c r="X652" s="52"/>
      <c r="Y652" s="52"/>
      <c r="Z652" s="52" t="s">
        <v>3696</v>
      </c>
      <c r="AA652" s="52" t="s">
        <v>227</v>
      </c>
      <c r="AB652" s="52" t="s">
        <v>79</v>
      </c>
      <c r="AC652" s="52" t="s">
        <v>3720</v>
      </c>
      <c r="AD652" s="52" t="s">
        <v>3715</v>
      </c>
      <c r="AE652" s="52"/>
      <c r="AF652" s="52" t="s">
        <v>3899</v>
      </c>
      <c r="AG652" s="52" t="s">
        <v>3704</v>
      </c>
      <c r="AH652" s="52"/>
      <c r="AI652" s="52"/>
      <c r="AJ652" s="52"/>
      <c r="AK652" s="52"/>
      <c r="AL652" s="55">
        <v>0.17083333333333334</v>
      </c>
      <c r="AM652" s="52"/>
      <c r="AN652" s="52"/>
      <c r="AO652" s="52"/>
      <c r="AP652" s="52"/>
      <c r="AQ652" s="52"/>
      <c r="AR652" s="52"/>
      <c r="AS652" s="52">
        <v>0</v>
      </c>
      <c r="AT652" s="52"/>
      <c r="AU652" s="52"/>
      <c r="AV652" s="52" t="s">
        <v>176</v>
      </c>
      <c r="AW652" s="52"/>
    </row>
    <row r="653" spans="1:49">
      <c r="A653" s="52">
        <v>6022144</v>
      </c>
      <c r="B653" s="52" t="s">
        <v>3723</v>
      </c>
      <c r="C653" s="52" t="s">
        <v>3698</v>
      </c>
      <c r="D653" s="53">
        <v>46155.75</v>
      </c>
      <c r="E653" s="53">
        <v>46155.650694444441</v>
      </c>
      <c r="F653" s="53">
        <v>46155.765277777777</v>
      </c>
      <c r="G653" s="53">
        <v>46160.291666666664</v>
      </c>
      <c r="H653" s="53">
        <v>46156.571527777778</v>
      </c>
      <c r="I653" s="52"/>
      <c r="J653" s="52" t="s">
        <v>3693</v>
      </c>
      <c r="K653" s="53">
        <v>46156.628472222219</v>
      </c>
      <c r="L653" s="52"/>
      <c r="M653" s="54">
        <v>4.5263888888888886</v>
      </c>
      <c r="N653" s="54">
        <v>2.6909722222222223</v>
      </c>
      <c r="O653" s="52" t="s">
        <v>3268</v>
      </c>
      <c r="P653" s="52" t="s">
        <v>227</v>
      </c>
      <c r="Q653" s="52" t="s">
        <v>1925</v>
      </c>
      <c r="R653" s="52" t="s">
        <v>3271</v>
      </c>
      <c r="S653" s="52" t="s">
        <v>789</v>
      </c>
      <c r="T653" s="52" t="s">
        <v>3897</v>
      </c>
      <c r="U653" s="52" t="s">
        <v>4042</v>
      </c>
      <c r="V653" s="52" t="s">
        <v>1932</v>
      </c>
      <c r="W653" s="52">
        <v>96487143987</v>
      </c>
      <c r="X653" s="52" t="s">
        <v>73</v>
      </c>
      <c r="Y653" s="52"/>
      <c r="Z653" s="52" t="s">
        <v>3696</v>
      </c>
      <c r="AA653" s="52" t="s">
        <v>3710</v>
      </c>
      <c r="AB653" s="52"/>
      <c r="AC653" s="52" t="s">
        <v>3720</v>
      </c>
      <c r="AD653" s="52" t="s">
        <v>3715</v>
      </c>
      <c r="AE653" s="52" t="s">
        <v>79</v>
      </c>
      <c r="AF653" s="52" t="s">
        <v>3899</v>
      </c>
      <c r="AG653" s="52" t="s">
        <v>3704</v>
      </c>
      <c r="AH653" s="52"/>
      <c r="AI653" s="53">
        <v>46155.765277777777</v>
      </c>
      <c r="AJ653" s="53">
        <v>46155.936111111114</v>
      </c>
      <c r="AK653" s="53">
        <v>46155.765277777777</v>
      </c>
      <c r="AL653" s="55">
        <v>0.18680555555555556</v>
      </c>
      <c r="AM653" s="52"/>
      <c r="AN653" s="55">
        <v>0.17083333333333334</v>
      </c>
      <c r="AO653" s="52"/>
      <c r="AP653" s="55">
        <v>0.18680555555555556</v>
      </c>
      <c r="AQ653" s="52"/>
      <c r="AR653" s="52"/>
      <c r="AS653" s="52" t="s">
        <v>3696</v>
      </c>
      <c r="AT653" s="52"/>
      <c r="AU653" s="52"/>
      <c r="AV653" s="52"/>
      <c r="AW653" s="52"/>
    </row>
    <row r="654" spans="1:49">
      <c r="A654" s="52">
        <v>6022144</v>
      </c>
      <c r="B654" s="52" t="s">
        <v>3723</v>
      </c>
      <c r="C654" s="52" t="s">
        <v>3698</v>
      </c>
      <c r="D654" s="53">
        <v>46155.75</v>
      </c>
      <c r="E654" s="53">
        <v>46155.650694444441</v>
      </c>
      <c r="F654" s="53">
        <v>46155.765277777777</v>
      </c>
      <c r="G654" s="53">
        <v>46160.291666666664</v>
      </c>
      <c r="H654" s="53">
        <v>46156.571527777778</v>
      </c>
      <c r="I654" s="52"/>
      <c r="J654" s="52" t="s">
        <v>3693</v>
      </c>
      <c r="K654" s="53">
        <v>46156.628472222219</v>
      </c>
      <c r="L654" s="52"/>
      <c r="M654" s="54">
        <v>4.5263888888888886</v>
      </c>
      <c r="N654" s="54">
        <v>2.6909722222222223</v>
      </c>
      <c r="O654" s="52" t="s">
        <v>3268</v>
      </c>
      <c r="P654" s="52" t="s">
        <v>227</v>
      </c>
      <c r="Q654" s="52" t="s">
        <v>1925</v>
      </c>
      <c r="R654" s="52" t="s">
        <v>3271</v>
      </c>
      <c r="S654" s="52" t="s">
        <v>789</v>
      </c>
      <c r="T654" s="52" t="s">
        <v>3897</v>
      </c>
      <c r="U654" s="52" t="s">
        <v>4042</v>
      </c>
      <c r="V654" s="52" t="s">
        <v>1932</v>
      </c>
      <c r="W654" s="52">
        <v>96487143987</v>
      </c>
      <c r="X654" s="52" t="s">
        <v>73</v>
      </c>
      <c r="Y654" s="52"/>
      <c r="Z654" s="52" t="s">
        <v>3696</v>
      </c>
      <c r="AA654" s="52" t="s">
        <v>3710</v>
      </c>
      <c r="AB654" s="52"/>
      <c r="AC654" s="52" t="s">
        <v>3720</v>
      </c>
      <c r="AD654" s="52" t="s">
        <v>3715</v>
      </c>
      <c r="AE654" s="52"/>
      <c r="AF654" s="52" t="s">
        <v>3899</v>
      </c>
      <c r="AG654" s="52" t="s">
        <v>3704</v>
      </c>
      <c r="AH654" s="52"/>
      <c r="AI654" s="53">
        <v>46155.765277777777</v>
      </c>
      <c r="AJ654" s="53">
        <v>46155.936111111114</v>
      </c>
      <c r="AK654" s="53">
        <v>46155.765277777777</v>
      </c>
      <c r="AL654" s="55">
        <v>0.18680555555555556</v>
      </c>
      <c r="AM654" s="52"/>
      <c r="AN654" s="55">
        <v>0.17083333333333334</v>
      </c>
      <c r="AO654" s="52"/>
      <c r="AP654" s="55">
        <v>0.18680555555555556</v>
      </c>
      <c r="AQ654" s="52"/>
      <c r="AR654" s="52"/>
      <c r="AS654" s="52" t="s">
        <v>3696</v>
      </c>
      <c r="AT654" s="52"/>
      <c r="AU654" s="52"/>
      <c r="AV654" s="52"/>
      <c r="AW654" s="52" t="s">
        <v>176</v>
      </c>
    </row>
    <row r="655" spans="1:49">
      <c r="A655" s="52">
        <v>6022145</v>
      </c>
      <c r="B655" s="52" t="s">
        <v>3723</v>
      </c>
      <c r="C655" s="52" t="s">
        <v>3692</v>
      </c>
      <c r="D655" s="53">
        <v>46155.625</v>
      </c>
      <c r="E655" s="53">
        <v>46155.650694444441</v>
      </c>
      <c r="F655" s="53">
        <v>46155.73333333333</v>
      </c>
      <c r="G655" s="53">
        <v>46160.291666666664</v>
      </c>
      <c r="H655" s="52"/>
      <c r="I655" s="52" t="s">
        <v>3693</v>
      </c>
      <c r="J655" s="52" t="s">
        <v>3693</v>
      </c>
      <c r="K655" s="53">
        <v>46156.359027777777</v>
      </c>
      <c r="L655" s="52"/>
      <c r="M655" s="55">
        <v>0.42986111111111114</v>
      </c>
      <c r="N655" s="54">
        <v>1.4055555555555554</v>
      </c>
      <c r="O655" s="52"/>
      <c r="P655" s="52"/>
      <c r="Q655" s="52"/>
      <c r="R655" s="52"/>
      <c r="S655" s="52"/>
      <c r="T655" s="52" t="s">
        <v>3695</v>
      </c>
      <c r="U655" s="52" t="s">
        <v>4043</v>
      </c>
      <c r="V655" s="52"/>
      <c r="W655" s="52"/>
      <c r="X655" s="52"/>
      <c r="Y655" s="52"/>
      <c r="Z655" s="52" t="s">
        <v>3696</v>
      </c>
      <c r="AA655" s="52" t="s">
        <v>724</v>
      </c>
      <c r="AB655" s="52" t="s">
        <v>79</v>
      </c>
      <c r="AC655" s="52" t="s">
        <v>3720</v>
      </c>
      <c r="AD655" s="52" t="s">
        <v>3715</v>
      </c>
      <c r="AE655" s="52"/>
      <c r="AF655" s="52" t="s">
        <v>3899</v>
      </c>
      <c r="AG655" s="52" t="s">
        <v>3704</v>
      </c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>
        <v>0</v>
      </c>
      <c r="AT655" s="52"/>
      <c r="AU655" s="52"/>
      <c r="AV655" s="52" t="s">
        <v>176</v>
      </c>
      <c r="AW655" s="52"/>
    </row>
    <row r="656" spans="1:49">
      <c r="A656" s="52">
        <v>6022145</v>
      </c>
      <c r="B656" s="52" t="s">
        <v>3723</v>
      </c>
      <c r="C656" s="52" t="s">
        <v>3698</v>
      </c>
      <c r="D656" s="53">
        <v>46155.625</v>
      </c>
      <c r="E656" s="53">
        <v>46155.650694444441</v>
      </c>
      <c r="F656" s="53">
        <v>46155.736111111109</v>
      </c>
      <c r="G656" s="53">
        <v>46160.291666666664</v>
      </c>
      <c r="H656" s="53">
        <v>46155.852777777778</v>
      </c>
      <c r="I656" s="52"/>
      <c r="J656" s="52" t="s">
        <v>3693</v>
      </c>
      <c r="K656" s="53">
        <v>46156.359027777777</v>
      </c>
      <c r="L656" s="52"/>
      <c r="M656" s="54">
        <v>4.5555555555555554</v>
      </c>
      <c r="N656" s="54">
        <v>2.7201388888888891</v>
      </c>
      <c r="O656" s="52" t="s">
        <v>3258</v>
      </c>
      <c r="P656" s="52" t="s">
        <v>724</v>
      </c>
      <c r="Q656" s="52" t="s">
        <v>3257</v>
      </c>
      <c r="R656" s="52" t="s">
        <v>3261</v>
      </c>
      <c r="S656" s="52" t="s">
        <v>789</v>
      </c>
      <c r="T656" s="52" t="s">
        <v>3695</v>
      </c>
      <c r="U656" s="52" t="s">
        <v>4043</v>
      </c>
      <c r="V656" s="52" t="s">
        <v>3750</v>
      </c>
      <c r="W656" s="52">
        <v>93406576915</v>
      </c>
      <c r="X656" s="52" t="s">
        <v>73</v>
      </c>
      <c r="Y656" s="52"/>
      <c r="Z656" s="52" t="s">
        <v>3696</v>
      </c>
      <c r="AA656" s="52" t="s">
        <v>3710</v>
      </c>
      <c r="AB656" s="52"/>
      <c r="AC656" s="52" t="s">
        <v>3720</v>
      </c>
      <c r="AD656" s="52" t="s">
        <v>3715</v>
      </c>
      <c r="AE656" s="52" t="s">
        <v>79</v>
      </c>
      <c r="AF656" s="52" t="s">
        <v>3899</v>
      </c>
      <c r="AG656" s="52" t="s">
        <v>3704</v>
      </c>
      <c r="AH656" s="52"/>
      <c r="AI656" s="52"/>
      <c r="AJ656" s="52"/>
      <c r="AK656" s="52"/>
      <c r="AL656" s="55">
        <v>4.1666666666666666E-3</v>
      </c>
      <c r="AM656" s="52"/>
      <c r="AN656" s="52"/>
      <c r="AO656" s="52"/>
      <c r="AP656" s="55">
        <v>4.1666666666666666E-3</v>
      </c>
      <c r="AQ656" s="52"/>
      <c r="AR656" s="52"/>
      <c r="AS656" s="52" t="s">
        <v>3696</v>
      </c>
      <c r="AT656" s="52"/>
      <c r="AU656" s="52"/>
      <c r="AV656" s="52"/>
      <c r="AW656" s="52"/>
    </row>
    <row r="657" spans="1:49">
      <c r="A657" s="52">
        <v>6022145</v>
      </c>
      <c r="B657" s="52" t="s">
        <v>3723</v>
      </c>
      <c r="C657" s="52" t="s">
        <v>3698</v>
      </c>
      <c r="D657" s="53">
        <v>46155.625</v>
      </c>
      <c r="E657" s="53">
        <v>46155.650694444441</v>
      </c>
      <c r="F657" s="53">
        <v>46155.736111111109</v>
      </c>
      <c r="G657" s="53">
        <v>46160.291666666664</v>
      </c>
      <c r="H657" s="53">
        <v>46155.852777777778</v>
      </c>
      <c r="I657" s="52"/>
      <c r="J657" s="52" t="s">
        <v>3693</v>
      </c>
      <c r="K657" s="53">
        <v>46156.359027777777</v>
      </c>
      <c r="L657" s="52"/>
      <c r="M657" s="54">
        <v>4.5555555555555554</v>
      </c>
      <c r="N657" s="54">
        <v>2.7201388888888891</v>
      </c>
      <c r="O657" s="52" t="s">
        <v>3258</v>
      </c>
      <c r="P657" s="52" t="s">
        <v>724</v>
      </c>
      <c r="Q657" s="52" t="s">
        <v>3257</v>
      </c>
      <c r="R657" s="52" t="s">
        <v>3261</v>
      </c>
      <c r="S657" s="52" t="s">
        <v>789</v>
      </c>
      <c r="T657" s="52" t="s">
        <v>3695</v>
      </c>
      <c r="U657" s="52" t="s">
        <v>4043</v>
      </c>
      <c r="V657" s="52" t="s">
        <v>3750</v>
      </c>
      <c r="W657" s="52">
        <v>93406576915</v>
      </c>
      <c r="X657" s="52" t="s">
        <v>73</v>
      </c>
      <c r="Y657" s="52"/>
      <c r="Z657" s="52" t="s">
        <v>3696</v>
      </c>
      <c r="AA657" s="52" t="s">
        <v>3710</v>
      </c>
      <c r="AB657" s="52"/>
      <c r="AC657" s="52" t="s">
        <v>3720</v>
      </c>
      <c r="AD657" s="52" t="s">
        <v>3715</v>
      </c>
      <c r="AE657" s="52"/>
      <c r="AF657" s="52" t="s">
        <v>3899</v>
      </c>
      <c r="AG657" s="52" t="s">
        <v>3704</v>
      </c>
      <c r="AH657" s="52"/>
      <c r="AI657" s="52"/>
      <c r="AJ657" s="52"/>
      <c r="AK657" s="52"/>
      <c r="AL657" s="55">
        <v>4.1666666666666666E-3</v>
      </c>
      <c r="AM657" s="52"/>
      <c r="AN657" s="52"/>
      <c r="AO657" s="52"/>
      <c r="AP657" s="55">
        <v>4.1666666666666666E-3</v>
      </c>
      <c r="AQ657" s="52"/>
      <c r="AR657" s="52"/>
      <c r="AS657" s="52" t="s">
        <v>3696</v>
      </c>
      <c r="AT657" s="52"/>
      <c r="AU657" s="52"/>
      <c r="AV657" s="52"/>
      <c r="AW657" s="52" t="s">
        <v>176</v>
      </c>
    </row>
    <row r="658" spans="1:49">
      <c r="A658" s="52">
        <v>6022146</v>
      </c>
      <c r="B658" s="52" t="s">
        <v>3723</v>
      </c>
      <c r="C658" s="52" t="s">
        <v>3692</v>
      </c>
      <c r="D658" s="53">
        <v>46155.729166666664</v>
      </c>
      <c r="E658" s="53">
        <v>46155.650694444441</v>
      </c>
      <c r="F658" s="53">
        <v>46155.789583333331</v>
      </c>
      <c r="G658" s="53">
        <v>46160.291666666664</v>
      </c>
      <c r="H658" s="52"/>
      <c r="I658" s="52" t="s">
        <v>3693</v>
      </c>
      <c r="J658" s="52" t="s">
        <v>3693</v>
      </c>
      <c r="K658" s="53">
        <v>46156.227083333331</v>
      </c>
      <c r="L658" s="52"/>
      <c r="M658" s="55">
        <v>0.1076388888888889</v>
      </c>
      <c r="N658" s="54">
        <v>1.7277777777777779</v>
      </c>
      <c r="O658" s="52"/>
      <c r="P658" s="52"/>
      <c r="Q658" s="52"/>
      <c r="R658" s="52"/>
      <c r="S658" s="52"/>
      <c r="T658" s="52" t="s">
        <v>3695</v>
      </c>
      <c r="U658" s="52" t="s">
        <v>4044</v>
      </c>
      <c r="V658" s="52"/>
      <c r="W658" s="52"/>
      <c r="X658" s="52"/>
      <c r="Y658" s="52"/>
      <c r="Z658" s="52" t="s">
        <v>3696</v>
      </c>
      <c r="AA658" s="52" t="s">
        <v>227</v>
      </c>
      <c r="AB658" s="52" t="s">
        <v>79</v>
      </c>
      <c r="AC658" s="52" t="s">
        <v>3720</v>
      </c>
      <c r="AD658" s="52" t="s">
        <v>3715</v>
      </c>
      <c r="AE658" s="52"/>
      <c r="AF658" s="52" t="s">
        <v>3899</v>
      </c>
      <c r="AG658" s="52" t="s">
        <v>3704</v>
      </c>
      <c r="AH658" s="52"/>
      <c r="AI658" s="52"/>
      <c r="AJ658" s="52"/>
      <c r="AK658" s="52"/>
      <c r="AL658" s="55">
        <v>7.6388888888888886E-3</v>
      </c>
      <c r="AM658" s="52"/>
      <c r="AN658" s="52"/>
      <c r="AO658" s="52"/>
      <c r="AP658" s="52"/>
      <c r="AQ658" s="52"/>
      <c r="AR658" s="52"/>
      <c r="AS658" s="52">
        <v>0</v>
      </c>
      <c r="AT658" s="52"/>
      <c r="AU658" s="52"/>
      <c r="AV658" s="52" t="s">
        <v>176</v>
      </c>
      <c r="AW658" s="52"/>
    </row>
    <row r="659" spans="1:49">
      <c r="A659" s="52">
        <v>6022146</v>
      </c>
      <c r="B659" s="52" t="s">
        <v>3723</v>
      </c>
      <c r="C659" s="52" t="s">
        <v>3698</v>
      </c>
      <c r="D659" s="53">
        <v>46155.729166666664</v>
      </c>
      <c r="E659" s="53">
        <v>46155.650694444441</v>
      </c>
      <c r="F659" s="53">
        <v>46155.791666666664</v>
      </c>
      <c r="G659" s="53">
        <v>46160.291666666664</v>
      </c>
      <c r="H659" s="53">
        <v>46156.17083333333</v>
      </c>
      <c r="I659" s="52"/>
      <c r="J659" s="52" t="s">
        <v>3693</v>
      </c>
      <c r="K659" s="53">
        <v>46156.227083333331</v>
      </c>
      <c r="L659" s="52"/>
      <c r="M659" s="54">
        <v>4.5</v>
      </c>
      <c r="N659" s="54">
        <v>2.6645833333333333</v>
      </c>
      <c r="O659" s="52" t="s">
        <v>3275</v>
      </c>
      <c r="P659" s="52" t="s">
        <v>227</v>
      </c>
      <c r="Q659" s="52" t="s">
        <v>302</v>
      </c>
      <c r="R659" s="52" t="s">
        <v>2249</v>
      </c>
      <c r="S659" s="52" t="s">
        <v>789</v>
      </c>
      <c r="T659" s="52" t="s">
        <v>3695</v>
      </c>
      <c r="U659" s="52" t="s">
        <v>4044</v>
      </c>
      <c r="V659" s="52" t="s">
        <v>312</v>
      </c>
      <c r="W659" s="52">
        <v>10303825812</v>
      </c>
      <c r="X659" s="52" t="s">
        <v>73</v>
      </c>
      <c r="Y659" s="52" t="s">
        <v>3745</v>
      </c>
      <c r="Z659" s="52" t="s">
        <v>3696</v>
      </c>
      <c r="AA659" s="52" t="s">
        <v>3710</v>
      </c>
      <c r="AB659" s="52"/>
      <c r="AC659" s="52" t="s">
        <v>3720</v>
      </c>
      <c r="AD659" s="52" t="s">
        <v>3715</v>
      </c>
      <c r="AE659" s="52" t="s">
        <v>79</v>
      </c>
      <c r="AF659" s="52" t="s">
        <v>3899</v>
      </c>
      <c r="AG659" s="52" t="s">
        <v>3704</v>
      </c>
      <c r="AH659" s="52"/>
      <c r="AI659" s="53">
        <v>46155.789583333331</v>
      </c>
      <c r="AJ659" s="53">
        <v>46155.797222222223</v>
      </c>
      <c r="AK659" s="53">
        <v>46155.789583333331</v>
      </c>
      <c r="AL659" s="55">
        <v>9.7222222222222224E-3</v>
      </c>
      <c r="AM659" s="52"/>
      <c r="AN659" s="55">
        <v>7.6388888888888886E-3</v>
      </c>
      <c r="AO659" s="52"/>
      <c r="AP659" s="55">
        <v>9.7222222222222224E-3</v>
      </c>
      <c r="AQ659" s="52"/>
      <c r="AR659" s="52"/>
      <c r="AS659" s="52" t="s">
        <v>3696</v>
      </c>
      <c r="AT659" s="52"/>
      <c r="AU659" s="52"/>
      <c r="AV659" s="52"/>
      <c r="AW659" s="52"/>
    </row>
    <row r="660" spans="1:49">
      <c r="A660" s="52">
        <v>6022146</v>
      </c>
      <c r="B660" s="52" t="s">
        <v>3723</v>
      </c>
      <c r="C660" s="52" t="s">
        <v>3698</v>
      </c>
      <c r="D660" s="53">
        <v>46155.729166666664</v>
      </c>
      <c r="E660" s="53">
        <v>46155.650694444441</v>
      </c>
      <c r="F660" s="53">
        <v>46155.791666666664</v>
      </c>
      <c r="G660" s="53">
        <v>46160.291666666664</v>
      </c>
      <c r="H660" s="53">
        <v>46156.17083333333</v>
      </c>
      <c r="I660" s="52"/>
      <c r="J660" s="52" t="s">
        <v>3693</v>
      </c>
      <c r="K660" s="53">
        <v>46156.227083333331</v>
      </c>
      <c r="L660" s="52"/>
      <c r="M660" s="54">
        <v>4.5</v>
      </c>
      <c r="N660" s="54">
        <v>2.6645833333333333</v>
      </c>
      <c r="O660" s="52" t="s">
        <v>3275</v>
      </c>
      <c r="P660" s="52" t="s">
        <v>227</v>
      </c>
      <c r="Q660" s="52" t="s">
        <v>302</v>
      </c>
      <c r="R660" s="52" t="s">
        <v>2249</v>
      </c>
      <c r="S660" s="52" t="s">
        <v>789</v>
      </c>
      <c r="T660" s="52" t="s">
        <v>3695</v>
      </c>
      <c r="U660" s="52" t="s">
        <v>4044</v>
      </c>
      <c r="V660" s="52" t="s">
        <v>312</v>
      </c>
      <c r="W660" s="52">
        <v>10303825812</v>
      </c>
      <c r="X660" s="52" t="s">
        <v>73</v>
      </c>
      <c r="Y660" s="52" t="s">
        <v>3745</v>
      </c>
      <c r="Z660" s="52" t="s">
        <v>3696</v>
      </c>
      <c r="AA660" s="52" t="s">
        <v>3710</v>
      </c>
      <c r="AB660" s="52"/>
      <c r="AC660" s="52" t="s">
        <v>3720</v>
      </c>
      <c r="AD660" s="52" t="s">
        <v>3715</v>
      </c>
      <c r="AE660" s="52"/>
      <c r="AF660" s="52" t="s">
        <v>3899</v>
      </c>
      <c r="AG660" s="52" t="s">
        <v>3704</v>
      </c>
      <c r="AH660" s="52"/>
      <c r="AI660" s="53">
        <v>46155.789583333331</v>
      </c>
      <c r="AJ660" s="53">
        <v>46155.797222222223</v>
      </c>
      <c r="AK660" s="53">
        <v>46155.789583333331</v>
      </c>
      <c r="AL660" s="55">
        <v>9.7222222222222224E-3</v>
      </c>
      <c r="AM660" s="52"/>
      <c r="AN660" s="55">
        <v>7.6388888888888886E-3</v>
      </c>
      <c r="AO660" s="52"/>
      <c r="AP660" s="55">
        <v>9.7222222222222224E-3</v>
      </c>
      <c r="AQ660" s="52"/>
      <c r="AR660" s="52"/>
      <c r="AS660" s="52" t="s">
        <v>3696</v>
      </c>
      <c r="AT660" s="52"/>
      <c r="AU660" s="52"/>
      <c r="AV660" s="52"/>
      <c r="AW660" s="52" t="s">
        <v>176</v>
      </c>
    </row>
    <row r="661" spans="1:49">
      <c r="A661" s="52">
        <v>6022147</v>
      </c>
      <c r="B661" s="52" t="s">
        <v>3723</v>
      </c>
      <c r="C661" s="52" t="s">
        <v>3692</v>
      </c>
      <c r="D661" s="53">
        <v>46155.708333333336</v>
      </c>
      <c r="E661" s="53">
        <v>46155.650694444441</v>
      </c>
      <c r="F661" s="53">
        <v>46155.79791666667</v>
      </c>
      <c r="G661" s="53">
        <v>46160.291666666664</v>
      </c>
      <c r="H661" s="52"/>
      <c r="I661" s="52" t="s">
        <v>3693</v>
      </c>
      <c r="J661" s="52" t="s">
        <v>3693</v>
      </c>
      <c r="K661" s="53">
        <v>46156.773611111108</v>
      </c>
      <c r="L661" s="52"/>
      <c r="M661" s="55">
        <v>0.1076388888888889</v>
      </c>
      <c r="N661" s="54">
        <v>1.7277777777777779</v>
      </c>
      <c r="O661" s="52"/>
      <c r="P661" s="52"/>
      <c r="Q661" s="52"/>
      <c r="R661" s="52"/>
      <c r="S661" s="52"/>
      <c r="T661" s="52" t="s">
        <v>3897</v>
      </c>
      <c r="U661" s="52" t="s">
        <v>4045</v>
      </c>
      <c r="V661" s="52"/>
      <c r="W661" s="52"/>
      <c r="X661" s="52"/>
      <c r="Y661" s="52"/>
      <c r="Z661" s="52" t="s">
        <v>3696</v>
      </c>
      <c r="AA661" s="52" t="s">
        <v>227</v>
      </c>
      <c r="AB661" s="52" t="s">
        <v>79</v>
      </c>
      <c r="AC661" s="52" t="s">
        <v>3720</v>
      </c>
      <c r="AD661" s="52" t="s">
        <v>3715</v>
      </c>
      <c r="AE661" s="52"/>
      <c r="AF661" s="52" t="s">
        <v>3899</v>
      </c>
      <c r="AG661" s="52" t="s">
        <v>3704</v>
      </c>
      <c r="AH661" s="52"/>
      <c r="AI661" s="52"/>
      <c r="AJ661" s="52"/>
      <c r="AK661" s="52"/>
      <c r="AL661" s="55">
        <v>0.36736111111111114</v>
      </c>
      <c r="AM661" s="52"/>
      <c r="AN661" s="52"/>
      <c r="AO661" s="52"/>
      <c r="AP661" s="52"/>
      <c r="AQ661" s="52"/>
      <c r="AR661" s="52"/>
      <c r="AS661" s="52">
        <v>0</v>
      </c>
      <c r="AT661" s="52"/>
      <c r="AU661" s="52"/>
      <c r="AV661" s="52" t="s">
        <v>176</v>
      </c>
      <c r="AW661" s="52"/>
    </row>
    <row r="662" spans="1:49">
      <c r="A662" s="52">
        <v>6022147</v>
      </c>
      <c r="B662" s="52" t="s">
        <v>3723</v>
      </c>
      <c r="C662" s="52" t="s">
        <v>3698</v>
      </c>
      <c r="D662" s="53">
        <v>46155.708333333336</v>
      </c>
      <c r="E662" s="53">
        <v>46155.650694444441</v>
      </c>
      <c r="F662" s="53">
        <v>46155.801388888889</v>
      </c>
      <c r="G662" s="53">
        <v>46160.291666666664</v>
      </c>
      <c r="H662" s="53">
        <v>46156.698611111111</v>
      </c>
      <c r="I662" s="52"/>
      <c r="J662" s="52" t="s">
        <v>3693</v>
      </c>
      <c r="K662" s="53">
        <v>46156.773611111108</v>
      </c>
      <c r="L662" s="52"/>
      <c r="M662" s="54">
        <v>4.490277777777778</v>
      </c>
      <c r="N662" s="54">
        <v>2.6548611111111109</v>
      </c>
      <c r="O662" s="52" t="s">
        <v>3276</v>
      </c>
      <c r="P662" s="52" t="s">
        <v>227</v>
      </c>
      <c r="Q662" s="52" t="s">
        <v>1176</v>
      </c>
      <c r="R662" s="52" t="s">
        <v>3277</v>
      </c>
      <c r="S662" s="52" t="s">
        <v>789</v>
      </c>
      <c r="T662" s="52" t="s">
        <v>3897</v>
      </c>
      <c r="U662" s="52" t="s">
        <v>4045</v>
      </c>
      <c r="V662" s="52" t="s">
        <v>1182</v>
      </c>
      <c r="W662" s="52">
        <v>29795098845</v>
      </c>
      <c r="X662" s="52" t="s">
        <v>73</v>
      </c>
      <c r="Y662" s="52"/>
      <c r="Z662" s="52" t="s">
        <v>3696</v>
      </c>
      <c r="AA662" s="52" t="s">
        <v>3710</v>
      </c>
      <c r="AB662" s="52"/>
      <c r="AC662" s="52" t="s">
        <v>3720</v>
      </c>
      <c r="AD662" s="52" t="s">
        <v>3715</v>
      </c>
      <c r="AE662" s="52" t="s">
        <v>79</v>
      </c>
      <c r="AF662" s="52" t="s">
        <v>3899</v>
      </c>
      <c r="AG662" s="52" t="s">
        <v>3704</v>
      </c>
      <c r="AH662" s="52"/>
      <c r="AI662" s="53">
        <v>46155.799305555556</v>
      </c>
      <c r="AJ662" s="53">
        <v>46156.166666666664</v>
      </c>
      <c r="AK662" s="53">
        <v>46155.799305555556</v>
      </c>
      <c r="AL662" s="55">
        <v>0.39166666666666666</v>
      </c>
      <c r="AM662" s="52"/>
      <c r="AN662" s="55">
        <v>0.36736111111111114</v>
      </c>
      <c r="AO662" s="52"/>
      <c r="AP662" s="55">
        <v>0.39166666666666666</v>
      </c>
      <c r="AQ662" s="52"/>
      <c r="AR662" s="52"/>
      <c r="AS662" s="52" t="s">
        <v>3696</v>
      </c>
      <c r="AT662" s="52"/>
      <c r="AU662" s="52"/>
      <c r="AV662" s="52"/>
      <c r="AW662" s="52"/>
    </row>
    <row r="663" spans="1:49">
      <c r="A663" s="52">
        <v>6022147</v>
      </c>
      <c r="B663" s="52" t="s">
        <v>3723</v>
      </c>
      <c r="C663" s="52" t="s">
        <v>3698</v>
      </c>
      <c r="D663" s="53">
        <v>46155.708333333336</v>
      </c>
      <c r="E663" s="53">
        <v>46155.650694444441</v>
      </c>
      <c r="F663" s="53">
        <v>46155.801388888889</v>
      </c>
      <c r="G663" s="53">
        <v>46160.291666666664</v>
      </c>
      <c r="H663" s="53">
        <v>46156.698611111111</v>
      </c>
      <c r="I663" s="52"/>
      <c r="J663" s="52" t="s">
        <v>3693</v>
      </c>
      <c r="K663" s="53">
        <v>46156.773611111108</v>
      </c>
      <c r="L663" s="52"/>
      <c r="M663" s="54">
        <v>4.490277777777778</v>
      </c>
      <c r="N663" s="54">
        <v>2.6548611111111109</v>
      </c>
      <c r="O663" s="52" t="s">
        <v>3276</v>
      </c>
      <c r="P663" s="52" t="s">
        <v>227</v>
      </c>
      <c r="Q663" s="52" t="s">
        <v>1176</v>
      </c>
      <c r="R663" s="52" t="s">
        <v>3277</v>
      </c>
      <c r="S663" s="52" t="s">
        <v>789</v>
      </c>
      <c r="T663" s="52" t="s">
        <v>3897</v>
      </c>
      <c r="U663" s="52" t="s">
        <v>4045</v>
      </c>
      <c r="V663" s="52" t="s">
        <v>1182</v>
      </c>
      <c r="W663" s="52">
        <v>29795098845</v>
      </c>
      <c r="X663" s="52" t="s">
        <v>73</v>
      </c>
      <c r="Y663" s="52"/>
      <c r="Z663" s="52" t="s">
        <v>3696</v>
      </c>
      <c r="AA663" s="52" t="s">
        <v>3710</v>
      </c>
      <c r="AB663" s="52"/>
      <c r="AC663" s="52" t="s">
        <v>3720</v>
      </c>
      <c r="AD663" s="52" t="s">
        <v>3715</v>
      </c>
      <c r="AE663" s="52"/>
      <c r="AF663" s="52" t="s">
        <v>3899</v>
      </c>
      <c r="AG663" s="52" t="s">
        <v>3704</v>
      </c>
      <c r="AH663" s="52"/>
      <c r="AI663" s="53">
        <v>46155.799305555556</v>
      </c>
      <c r="AJ663" s="53">
        <v>46156.166666666664</v>
      </c>
      <c r="AK663" s="53">
        <v>46155.799305555556</v>
      </c>
      <c r="AL663" s="55">
        <v>0.39166666666666666</v>
      </c>
      <c r="AM663" s="52"/>
      <c r="AN663" s="55">
        <v>0.36736111111111114</v>
      </c>
      <c r="AO663" s="52"/>
      <c r="AP663" s="55">
        <v>0.39166666666666666</v>
      </c>
      <c r="AQ663" s="52"/>
      <c r="AR663" s="52"/>
      <c r="AS663" s="52" t="s">
        <v>3696</v>
      </c>
      <c r="AT663" s="52"/>
      <c r="AU663" s="52"/>
      <c r="AV663" s="52"/>
      <c r="AW663" s="52" t="s">
        <v>176</v>
      </c>
    </row>
    <row r="664" spans="1:49">
      <c r="A664" s="52">
        <v>6022148</v>
      </c>
      <c r="B664" s="52" t="s">
        <v>3723</v>
      </c>
      <c r="C664" s="52" t="s">
        <v>3692</v>
      </c>
      <c r="D664" s="53">
        <v>46156.75</v>
      </c>
      <c r="E664" s="53">
        <v>46155.650694444441</v>
      </c>
      <c r="F664" s="53">
        <v>46156.683333333334</v>
      </c>
      <c r="G664" s="53">
        <v>46161.291666666664</v>
      </c>
      <c r="H664" s="52"/>
      <c r="I664" s="52" t="s">
        <v>3693</v>
      </c>
      <c r="J664" s="52" t="s">
        <v>3693</v>
      </c>
      <c r="K664" s="53">
        <v>46157.402083333334</v>
      </c>
      <c r="L664" s="52"/>
      <c r="M664" s="55">
        <v>0.42986111111111114</v>
      </c>
      <c r="N664" s="54">
        <v>2.4055555555555554</v>
      </c>
      <c r="O664" s="52"/>
      <c r="P664" s="52"/>
      <c r="Q664" s="52"/>
      <c r="R664" s="52"/>
      <c r="S664" s="52"/>
      <c r="T664" s="52" t="s">
        <v>3906</v>
      </c>
      <c r="U664" s="52" t="s">
        <v>4046</v>
      </c>
      <c r="V664" s="52"/>
      <c r="W664" s="52"/>
      <c r="X664" s="52"/>
      <c r="Y664" s="52"/>
      <c r="Z664" s="52" t="s">
        <v>3696</v>
      </c>
      <c r="AA664" s="52" t="s">
        <v>724</v>
      </c>
      <c r="AB664" s="52" t="s">
        <v>79</v>
      </c>
      <c r="AC664" s="52" t="s">
        <v>3720</v>
      </c>
      <c r="AD664" s="52" t="s">
        <v>3715</v>
      </c>
      <c r="AE664" s="52"/>
      <c r="AF664" s="52" t="s">
        <v>3899</v>
      </c>
      <c r="AG664" s="52" t="s">
        <v>3704</v>
      </c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>
        <v>0</v>
      </c>
      <c r="AT664" s="52"/>
      <c r="AU664" s="52"/>
      <c r="AV664" s="52" t="s">
        <v>176</v>
      </c>
      <c r="AW664" s="52"/>
    </row>
    <row r="665" spans="1:49">
      <c r="A665" s="52">
        <v>6022148</v>
      </c>
      <c r="B665" s="52" t="s">
        <v>3723</v>
      </c>
      <c r="C665" s="52" t="s">
        <v>3698</v>
      </c>
      <c r="D665" s="53">
        <v>46156.75</v>
      </c>
      <c r="E665" s="53">
        <v>46155.650694444441</v>
      </c>
      <c r="F665" s="53">
        <v>46156.688194444447</v>
      </c>
      <c r="G665" s="53">
        <v>46161.291666666664</v>
      </c>
      <c r="H665" s="53">
        <v>46156.894444444442</v>
      </c>
      <c r="I665" s="52"/>
      <c r="J665" s="52" t="s">
        <v>3693</v>
      </c>
      <c r="K665" s="53">
        <v>46157.402083333334</v>
      </c>
      <c r="L665" s="52"/>
      <c r="M665" s="54">
        <v>4.603472222222222</v>
      </c>
      <c r="N665" s="54">
        <v>1.7680555555555555</v>
      </c>
      <c r="O665" s="52" t="s">
        <v>3442</v>
      </c>
      <c r="P665" s="52" t="s">
        <v>724</v>
      </c>
      <c r="Q665" s="52" t="s">
        <v>778</v>
      </c>
      <c r="R665" s="52" t="s">
        <v>3445</v>
      </c>
      <c r="S665" s="52" t="s">
        <v>789</v>
      </c>
      <c r="T665" s="52" t="s">
        <v>3906</v>
      </c>
      <c r="U665" s="52" t="s">
        <v>4046</v>
      </c>
      <c r="V665" s="52" t="s">
        <v>3915</v>
      </c>
      <c r="W665" s="52">
        <v>2526774985</v>
      </c>
      <c r="X665" s="52" t="s">
        <v>73</v>
      </c>
      <c r="Y665" s="52"/>
      <c r="Z665" s="52" t="s">
        <v>3696</v>
      </c>
      <c r="AA665" s="52" t="s">
        <v>3710</v>
      </c>
      <c r="AB665" s="52"/>
      <c r="AC665" s="52" t="s">
        <v>3720</v>
      </c>
      <c r="AD665" s="52" t="s">
        <v>3715</v>
      </c>
      <c r="AE665" s="52" t="s">
        <v>79</v>
      </c>
      <c r="AF665" s="52" t="s">
        <v>3899</v>
      </c>
      <c r="AG665" s="52" t="s">
        <v>3704</v>
      </c>
      <c r="AH665" s="52"/>
      <c r="AI665" s="52"/>
      <c r="AJ665" s="52"/>
      <c r="AK665" s="52"/>
      <c r="AL665" s="55">
        <v>1.5972222222222221E-2</v>
      </c>
      <c r="AM665" s="52"/>
      <c r="AN665" s="52"/>
      <c r="AO665" s="52"/>
      <c r="AP665" s="55">
        <v>1.5972222222222221E-2</v>
      </c>
      <c r="AQ665" s="52"/>
      <c r="AR665" s="52"/>
      <c r="AS665" s="52" t="s">
        <v>3696</v>
      </c>
      <c r="AT665" s="52"/>
      <c r="AU665" s="52"/>
      <c r="AV665" s="52"/>
      <c r="AW665" s="52"/>
    </row>
    <row r="666" spans="1:49">
      <c r="A666" s="52">
        <v>6022148</v>
      </c>
      <c r="B666" s="52" t="s">
        <v>3723</v>
      </c>
      <c r="C666" s="52" t="s">
        <v>3698</v>
      </c>
      <c r="D666" s="53">
        <v>46156.75</v>
      </c>
      <c r="E666" s="53">
        <v>46155.650694444441</v>
      </c>
      <c r="F666" s="53">
        <v>46156.688194444447</v>
      </c>
      <c r="G666" s="53">
        <v>46161.291666666664</v>
      </c>
      <c r="H666" s="53">
        <v>46156.894444444442</v>
      </c>
      <c r="I666" s="52"/>
      <c r="J666" s="52" t="s">
        <v>3693</v>
      </c>
      <c r="K666" s="53">
        <v>46157.402083333334</v>
      </c>
      <c r="L666" s="52"/>
      <c r="M666" s="54">
        <v>4.603472222222222</v>
      </c>
      <c r="N666" s="54">
        <v>1.7680555555555555</v>
      </c>
      <c r="O666" s="52" t="s">
        <v>3442</v>
      </c>
      <c r="P666" s="52" t="s">
        <v>724</v>
      </c>
      <c r="Q666" s="52" t="s">
        <v>778</v>
      </c>
      <c r="R666" s="52" t="s">
        <v>3445</v>
      </c>
      <c r="S666" s="52" t="s">
        <v>789</v>
      </c>
      <c r="T666" s="52" t="s">
        <v>3906</v>
      </c>
      <c r="U666" s="52" t="s">
        <v>4046</v>
      </c>
      <c r="V666" s="52" t="s">
        <v>3915</v>
      </c>
      <c r="W666" s="52">
        <v>2526774985</v>
      </c>
      <c r="X666" s="52" t="s">
        <v>73</v>
      </c>
      <c r="Y666" s="52"/>
      <c r="Z666" s="52" t="s">
        <v>3696</v>
      </c>
      <c r="AA666" s="52" t="s">
        <v>3710</v>
      </c>
      <c r="AB666" s="52"/>
      <c r="AC666" s="52" t="s">
        <v>3720</v>
      </c>
      <c r="AD666" s="52" t="s">
        <v>3715</v>
      </c>
      <c r="AE666" s="52"/>
      <c r="AF666" s="52" t="s">
        <v>3899</v>
      </c>
      <c r="AG666" s="52" t="s">
        <v>3704</v>
      </c>
      <c r="AH666" s="52"/>
      <c r="AI666" s="52"/>
      <c r="AJ666" s="52"/>
      <c r="AK666" s="52"/>
      <c r="AL666" s="55">
        <v>1.5972222222222221E-2</v>
      </c>
      <c r="AM666" s="52"/>
      <c r="AN666" s="52"/>
      <c r="AO666" s="52"/>
      <c r="AP666" s="55">
        <v>1.5972222222222221E-2</v>
      </c>
      <c r="AQ666" s="52"/>
      <c r="AR666" s="52"/>
      <c r="AS666" s="52" t="s">
        <v>3696</v>
      </c>
      <c r="AT666" s="52"/>
      <c r="AU666" s="52"/>
      <c r="AV666" s="52"/>
      <c r="AW666" s="52" t="s">
        <v>176</v>
      </c>
    </row>
    <row r="667" spans="1:49">
      <c r="A667" s="52">
        <v>6022149</v>
      </c>
      <c r="B667" s="52" t="s">
        <v>3723</v>
      </c>
      <c r="C667" s="52" t="s">
        <v>3692</v>
      </c>
      <c r="D667" s="53">
        <v>46156.270833333336</v>
      </c>
      <c r="E667" s="53">
        <v>46155.650694444441</v>
      </c>
      <c r="F667" s="53">
        <v>46156.368055555555</v>
      </c>
      <c r="G667" s="53">
        <v>46161.291666666664</v>
      </c>
      <c r="H667" s="52"/>
      <c r="I667" s="52" t="s">
        <v>3693</v>
      </c>
      <c r="J667" s="52" t="s">
        <v>3693</v>
      </c>
      <c r="K667" s="53">
        <v>46156.874305555553</v>
      </c>
      <c r="L667" s="52"/>
      <c r="M667" s="55">
        <v>0.42986111111111114</v>
      </c>
      <c r="N667" s="54">
        <v>2.4055555555555554</v>
      </c>
      <c r="O667" s="52"/>
      <c r="P667" s="52"/>
      <c r="Q667" s="52"/>
      <c r="R667" s="52"/>
      <c r="S667" s="52"/>
      <c r="T667" s="52" t="s">
        <v>3908</v>
      </c>
      <c r="U667" s="52" t="s">
        <v>3695</v>
      </c>
      <c r="V667" s="52"/>
      <c r="W667" s="52"/>
      <c r="X667" s="52"/>
      <c r="Y667" s="52"/>
      <c r="Z667" s="52" t="s">
        <v>3696</v>
      </c>
      <c r="AA667" s="52" t="s">
        <v>724</v>
      </c>
      <c r="AB667" s="52" t="s">
        <v>79</v>
      </c>
      <c r="AC667" s="52" t="s">
        <v>3720</v>
      </c>
      <c r="AD667" s="52" t="s">
        <v>3715</v>
      </c>
      <c r="AE667" s="52"/>
      <c r="AF667" s="52" t="s">
        <v>3899</v>
      </c>
      <c r="AG667" s="52" t="s">
        <v>3704</v>
      </c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>
        <v>0</v>
      </c>
      <c r="AT667" s="52"/>
      <c r="AU667" s="52"/>
      <c r="AV667" s="52" t="s">
        <v>176</v>
      </c>
      <c r="AW667" s="52"/>
    </row>
    <row r="668" spans="1:49">
      <c r="A668" s="52">
        <v>6022149</v>
      </c>
      <c r="B668" s="52" t="s">
        <v>3723</v>
      </c>
      <c r="C668" s="52" t="s">
        <v>3698</v>
      </c>
      <c r="D668" s="53">
        <v>46156.270833333336</v>
      </c>
      <c r="E668" s="53">
        <v>46155.650694444441</v>
      </c>
      <c r="F668" s="53">
        <v>46156.369444444441</v>
      </c>
      <c r="G668" s="53">
        <v>46161.291666666664</v>
      </c>
      <c r="H668" s="53">
        <v>46156.493055555555</v>
      </c>
      <c r="I668" s="52"/>
      <c r="J668" s="52" t="s">
        <v>3693</v>
      </c>
      <c r="K668" s="53">
        <v>46156.874305555553</v>
      </c>
      <c r="L668" s="52"/>
      <c r="M668" s="54">
        <v>4.9222222222222225</v>
      </c>
      <c r="N668" s="54">
        <v>2.0868055555555554</v>
      </c>
      <c r="O668" s="52" t="s">
        <v>3365</v>
      </c>
      <c r="P668" s="52" t="s">
        <v>724</v>
      </c>
      <c r="Q668" s="52" t="s">
        <v>778</v>
      </c>
      <c r="R668" s="52" t="s">
        <v>3369</v>
      </c>
      <c r="S668" s="52" t="s">
        <v>789</v>
      </c>
      <c r="T668" s="52" t="s">
        <v>3908</v>
      </c>
      <c r="U668" s="52" t="s">
        <v>3695</v>
      </c>
      <c r="V668" s="52" t="s">
        <v>3915</v>
      </c>
      <c r="W668" s="52">
        <v>2526774985</v>
      </c>
      <c r="X668" s="52" t="s">
        <v>73</v>
      </c>
      <c r="Y668" s="52"/>
      <c r="Z668" s="52" t="s">
        <v>3696</v>
      </c>
      <c r="AA668" s="52" t="s">
        <v>3710</v>
      </c>
      <c r="AB668" s="52"/>
      <c r="AC668" s="52" t="s">
        <v>3720</v>
      </c>
      <c r="AD668" s="52" t="s">
        <v>3715</v>
      </c>
      <c r="AE668" s="52" t="s">
        <v>79</v>
      </c>
      <c r="AF668" s="52" t="s">
        <v>3899</v>
      </c>
      <c r="AG668" s="52" t="s">
        <v>3704</v>
      </c>
      <c r="AH668" s="52"/>
      <c r="AI668" s="52"/>
      <c r="AJ668" s="52"/>
      <c r="AK668" s="52"/>
      <c r="AL668" s="55">
        <v>1.1805555555555555E-2</v>
      </c>
      <c r="AM668" s="52"/>
      <c r="AN668" s="52"/>
      <c r="AO668" s="52"/>
      <c r="AP668" s="55">
        <v>1.1805555555555555E-2</v>
      </c>
      <c r="AQ668" s="52"/>
      <c r="AR668" s="52"/>
      <c r="AS668" s="52" t="s">
        <v>3696</v>
      </c>
      <c r="AT668" s="52"/>
      <c r="AU668" s="52"/>
      <c r="AV668" s="52"/>
      <c r="AW668" s="52"/>
    </row>
    <row r="669" spans="1:49">
      <c r="A669" s="52">
        <v>6022149</v>
      </c>
      <c r="B669" s="52" t="s">
        <v>3723</v>
      </c>
      <c r="C669" s="52" t="s">
        <v>3698</v>
      </c>
      <c r="D669" s="53">
        <v>46156.270833333336</v>
      </c>
      <c r="E669" s="53">
        <v>46155.650694444441</v>
      </c>
      <c r="F669" s="53">
        <v>46156.369444444441</v>
      </c>
      <c r="G669" s="53">
        <v>46161.291666666664</v>
      </c>
      <c r="H669" s="53">
        <v>46156.493055555555</v>
      </c>
      <c r="I669" s="52"/>
      <c r="J669" s="52" t="s">
        <v>3693</v>
      </c>
      <c r="K669" s="53">
        <v>46156.874305555553</v>
      </c>
      <c r="L669" s="52"/>
      <c r="M669" s="54">
        <v>4.9222222222222225</v>
      </c>
      <c r="N669" s="54">
        <v>2.0868055555555554</v>
      </c>
      <c r="O669" s="52" t="s">
        <v>3365</v>
      </c>
      <c r="P669" s="52" t="s">
        <v>724</v>
      </c>
      <c r="Q669" s="52" t="s">
        <v>778</v>
      </c>
      <c r="R669" s="52" t="s">
        <v>3369</v>
      </c>
      <c r="S669" s="52" t="s">
        <v>789</v>
      </c>
      <c r="T669" s="52" t="s">
        <v>3908</v>
      </c>
      <c r="U669" s="52" t="s">
        <v>3695</v>
      </c>
      <c r="V669" s="52" t="s">
        <v>3915</v>
      </c>
      <c r="W669" s="52">
        <v>2526774985</v>
      </c>
      <c r="X669" s="52" t="s">
        <v>73</v>
      </c>
      <c r="Y669" s="52"/>
      <c r="Z669" s="52" t="s">
        <v>3696</v>
      </c>
      <c r="AA669" s="52" t="s">
        <v>3710</v>
      </c>
      <c r="AB669" s="52"/>
      <c r="AC669" s="52" t="s">
        <v>3720</v>
      </c>
      <c r="AD669" s="52" t="s">
        <v>3715</v>
      </c>
      <c r="AE669" s="52"/>
      <c r="AF669" s="52" t="s">
        <v>3899</v>
      </c>
      <c r="AG669" s="52" t="s">
        <v>3704</v>
      </c>
      <c r="AH669" s="52"/>
      <c r="AI669" s="52"/>
      <c r="AJ669" s="52"/>
      <c r="AK669" s="52"/>
      <c r="AL669" s="55">
        <v>1.1805555555555555E-2</v>
      </c>
      <c r="AM669" s="52"/>
      <c r="AN669" s="52"/>
      <c r="AO669" s="52"/>
      <c r="AP669" s="55">
        <v>1.1805555555555555E-2</v>
      </c>
      <c r="AQ669" s="52"/>
      <c r="AR669" s="52"/>
      <c r="AS669" s="52" t="s">
        <v>3696</v>
      </c>
      <c r="AT669" s="52"/>
      <c r="AU669" s="52"/>
      <c r="AV669" s="52"/>
      <c r="AW669" s="52" t="s">
        <v>176</v>
      </c>
    </row>
    <row r="670" spans="1:49">
      <c r="A670" s="52">
        <v>6022150</v>
      </c>
      <c r="B670" s="52" t="s">
        <v>3723</v>
      </c>
      <c r="C670" s="52" t="s">
        <v>3692</v>
      </c>
      <c r="D670" s="53">
        <v>46156.291666666664</v>
      </c>
      <c r="E670" s="53">
        <v>46155.650694444441</v>
      </c>
      <c r="F670" s="53">
        <v>46156.34097222222</v>
      </c>
      <c r="G670" s="53">
        <v>46161.291666666664</v>
      </c>
      <c r="H670" s="52"/>
      <c r="I670" s="52" t="s">
        <v>3693</v>
      </c>
      <c r="J670" s="52" t="s">
        <v>3693</v>
      </c>
      <c r="K670" s="53">
        <v>46156.8125</v>
      </c>
      <c r="L670" s="52"/>
      <c r="M670" s="55">
        <v>0.42986111111111114</v>
      </c>
      <c r="N670" s="54">
        <v>2.4055555555555554</v>
      </c>
      <c r="O670" s="52"/>
      <c r="P670" s="52"/>
      <c r="Q670" s="52"/>
      <c r="R670" s="52"/>
      <c r="S670" s="52"/>
      <c r="T670" s="52" t="s">
        <v>3906</v>
      </c>
      <c r="U670" s="52" t="s">
        <v>4047</v>
      </c>
      <c r="V670" s="52"/>
      <c r="W670" s="52"/>
      <c r="X670" s="52"/>
      <c r="Y670" s="52"/>
      <c r="Z670" s="52" t="s">
        <v>3696</v>
      </c>
      <c r="AA670" s="52" t="s">
        <v>724</v>
      </c>
      <c r="AB670" s="52" t="s">
        <v>79</v>
      </c>
      <c r="AC670" s="52" t="s">
        <v>3720</v>
      </c>
      <c r="AD670" s="52" t="s">
        <v>3715</v>
      </c>
      <c r="AE670" s="52"/>
      <c r="AF670" s="52" t="s">
        <v>3899</v>
      </c>
      <c r="AG670" s="52" t="s">
        <v>3704</v>
      </c>
      <c r="AH670" s="52"/>
      <c r="AI670" s="52"/>
      <c r="AJ670" s="52"/>
      <c r="AK670" s="52"/>
      <c r="AL670" s="55">
        <v>6.9444444444444441E-3</v>
      </c>
      <c r="AM670" s="52"/>
      <c r="AN670" s="52"/>
      <c r="AO670" s="52"/>
      <c r="AP670" s="52"/>
      <c r="AQ670" s="52"/>
      <c r="AR670" s="52"/>
      <c r="AS670" s="52">
        <v>0</v>
      </c>
      <c r="AT670" s="52"/>
      <c r="AU670" s="52"/>
      <c r="AV670" s="52" t="s">
        <v>176</v>
      </c>
      <c r="AW670" s="52"/>
    </row>
    <row r="671" spans="1:49">
      <c r="A671" s="52">
        <v>6022150</v>
      </c>
      <c r="B671" s="52" t="s">
        <v>3723</v>
      </c>
      <c r="C671" s="52" t="s">
        <v>3698</v>
      </c>
      <c r="D671" s="53">
        <v>46156.291666666664</v>
      </c>
      <c r="E671" s="53">
        <v>46155.650694444441</v>
      </c>
      <c r="F671" s="53">
        <v>46156.341666666667</v>
      </c>
      <c r="G671" s="53">
        <v>46161.291666666664</v>
      </c>
      <c r="H671" s="52"/>
      <c r="I671" s="52"/>
      <c r="J671" s="52" t="s">
        <v>3693</v>
      </c>
      <c r="K671" s="53">
        <v>46156.8125</v>
      </c>
      <c r="L671" s="52"/>
      <c r="M671" s="54">
        <v>4.95</v>
      </c>
      <c r="N671" s="54">
        <v>2.1145833333333335</v>
      </c>
      <c r="O671" s="52" t="s">
        <v>4048</v>
      </c>
      <c r="P671" s="52" t="s">
        <v>724</v>
      </c>
      <c r="Q671" s="52" t="s">
        <v>3257</v>
      </c>
      <c r="R671" s="52" t="s">
        <v>4049</v>
      </c>
      <c r="S671" s="52" t="s">
        <v>3756</v>
      </c>
      <c r="T671" s="52" t="s">
        <v>3906</v>
      </c>
      <c r="U671" s="52" t="s">
        <v>4047</v>
      </c>
      <c r="V671" s="52" t="s">
        <v>3750</v>
      </c>
      <c r="W671" s="52">
        <v>93406576915</v>
      </c>
      <c r="X671" s="52" t="s">
        <v>73</v>
      </c>
      <c r="Y671" s="52"/>
      <c r="Z671" s="52" t="s">
        <v>3696</v>
      </c>
      <c r="AA671" s="52" t="s">
        <v>3710</v>
      </c>
      <c r="AB671" s="52"/>
      <c r="AC671" s="52" t="s">
        <v>3720</v>
      </c>
      <c r="AD671" s="52" t="s">
        <v>3715</v>
      </c>
      <c r="AE671" s="52" t="s">
        <v>79</v>
      </c>
      <c r="AF671" s="52" t="s">
        <v>3899</v>
      </c>
      <c r="AG671" s="52" t="s">
        <v>3704</v>
      </c>
      <c r="AH671" s="52"/>
      <c r="AI671" s="53">
        <v>46156.35</v>
      </c>
      <c r="AJ671" s="53">
        <v>46156.356944444444</v>
      </c>
      <c r="AK671" s="53">
        <v>46156.35</v>
      </c>
      <c r="AL671" s="55">
        <v>6.9444444444444441E-3</v>
      </c>
      <c r="AM671" s="52"/>
      <c r="AN671" s="55">
        <v>6.9444444444444441E-3</v>
      </c>
      <c r="AO671" s="52"/>
      <c r="AP671" s="55">
        <v>6.9444444444444441E-3</v>
      </c>
      <c r="AQ671" s="52"/>
      <c r="AR671" s="52"/>
      <c r="AS671" s="52" t="s">
        <v>3696</v>
      </c>
      <c r="AT671" s="52"/>
      <c r="AU671" s="52"/>
      <c r="AV671" s="52"/>
      <c r="AW671" s="52"/>
    </row>
    <row r="672" spans="1:49">
      <c r="A672" s="52">
        <v>6022150</v>
      </c>
      <c r="B672" s="52" t="s">
        <v>3723</v>
      </c>
      <c r="C672" s="52" t="s">
        <v>3698</v>
      </c>
      <c r="D672" s="53">
        <v>46156.291666666664</v>
      </c>
      <c r="E672" s="53">
        <v>46155.650694444441</v>
      </c>
      <c r="F672" s="53">
        <v>46156.341666666667</v>
      </c>
      <c r="G672" s="53">
        <v>46161.291666666664</v>
      </c>
      <c r="H672" s="52"/>
      <c r="I672" s="52"/>
      <c r="J672" s="52" t="s">
        <v>3693</v>
      </c>
      <c r="K672" s="53">
        <v>46156.8125</v>
      </c>
      <c r="L672" s="52"/>
      <c r="M672" s="54">
        <v>4.95</v>
      </c>
      <c r="N672" s="54">
        <v>2.1145833333333335</v>
      </c>
      <c r="O672" s="52" t="s">
        <v>4048</v>
      </c>
      <c r="P672" s="52" t="s">
        <v>724</v>
      </c>
      <c r="Q672" s="52" t="s">
        <v>3257</v>
      </c>
      <c r="R672" s="52" t="s">
        <v>4049</v>
      </c>
      <c r="S672" s="52" t="s">
        <v>3756</v>
      </c>
      <c r="T672" s="52" t="s">
        <v>3906</v>
      </c>
      <c r="U672" s="52" t="s">
        <v>4047</v>
      </c>
      <c r="V672" s="52" t="s">
        <v>3750</v>
      </c>
      <c r="W672" s="52">
        <v>93406576915</v>
      </c>
      <c r="X672" s="52" t="s">
        <v>73</v>
      </c>
      <c r="Y672" s="52"/>
      <c r="Z672" s="52" t="s">
        <v>3696</v>
      </c>
      <c r="AA672" s="52" t="s">
        <v>3710</v>
      </c>
      <c r="AB672" s="52"/>
      <c r="AC672" s="52" t="s">
        <v>3720</v>
      </c>
      <c r="AD672" s="52" t="s">
        <v>3715</v>
      </c>
      <c r="AE672" s="52"/>
      <c r="AF672" s="52" t="s">
        <v>3899</v>
      </c>
      <c r="AG672" s="52" t="s">
        <v>3704</v>
      </c>
      <c r="AH672" s="52"/>
      <c r="AI672" s="53">
        <v>46156.35</v>
      </c>
      <c r="AJ672" s="53">
        <v>46156.356944444444</v>
      </c>
      <c r="AK672" s="53">
        <v>46156.35</v>
      </c>
      <c r="AL672" s="55">
        <v>6.9444444444444441E-3</v>
      </c>
      <c r="AM672" s="52"/>
      <c r="AN672" s="55">
        <v>6.9444444444444441E-3</v>
      </c>
      <c r="AO672" s="52"/>
      <c r="AP672" s="55">
        <v>6.9444444444444441E-3</v>
      </c>
      <c r="AQ672" s="52"/>
      <c r="AR672" s="52"/>
      <c r="AS672" s="52" t="s">
        <v>3696</v>
      </c>
      <c r="AT672" s="52"/>
      <c r="AU672" s="52"/>
      <c r="AV672" s="52"/>
      <c r="AW672" s="52" t="s">
        <v>176</v>
      </c>
    </row>
    <row r="673" spans="1:49">
      <c r="A673" s="52">
        <v>6022151</v>
      </c>
      <c r="B673" s="52" t="s">
        <v>3723</v>
      </c>
      <c r="C673" s="52" t="s">
        <v>3692</v>
      </c>
      <c r="D673" s="53">
        <v>46156.625</v>
      </c>
      <c r="E673" s="53">
        <v>46155.650694444441</v>
      </c>
      <c r="F673" s="53">
        <v>46156.522222222222</v>
      </c>
      <c r="G673" s="53">
        <v>46161.291666666664</v>
      </c>
      <c r="H673" s="52"/>
      <c r="I673" s="52" t="s">
        <v>3693</v>
      </c>
      <c r="J673" s="52" t="s">
        <v>3693</v>
      </c>
      <c r="K673" s="53">
        <v>46157.906944444447</v>
      </c>
      <c r="L673" s="52"/>
      <c r="M673" s="55">
        <v>0.42986111111111114</v>
      </c>
      <c r="N673" s="54">
        <v>2.4055555555555554</v>
      </c>
      <c r="O673" s="52"/>
      <c r="P673" s="52"/>
      <c r="Q673" s="52"/>
      <c r="R673" s="52"/>
      <c r="S673" s="52"/>
      <c r="T673" s="52" t="s">
        <v>4050</v>
      </c>
      <c r="U673" s="52" t="s">
        <v>4051</v>
      </c>
      <c r="V673" s="52"/>
      <c r="W673" s="52"/>
      <c r="X673" s="52"/>
      <c r="Y673" s="52"/>
      <c r="Z673" s="52" t="s">
        <v>3696</v>
      </c>
      <c r="AA673" s="52" t="s">
        <v>227</v>
      </c>
      <c r="AB673" s="52" t="s">
        <v>79</v>
      </c>
      <c r="AC673" s="52" t="s">
        <v>3720</v>
      </c>
      <c r="AD673" s="52" t="s">
        <v>3715</v>
      </c>
      <c r="AE673" s="52"/>
      <c r="AF673" s="52" t="s">
        <v>3899</v>
      </c>
      <c r="AG673" s="52" t="s">
        <v>3704</v>
      </c>
      <c r="AH673" s="52"/>
      <c r="AI673" s="52"/>
      <c r="AJ673" s="52"/>
      <c r="AK673" s="52"/>
      <c r="AL673" s="55">
        <v>0.10694444444444444</v>
      </c>
      <c r="AM673" s="52"/>
      <c r="AN673" s="52"/>
      <c r="AO673" s="52"/>
      <c r="AP673" s="52"/>
      <c r="AQ673" s="52"/>
      <c r="AR673" s="52"/>
      <c r="AS673" s="52">
        <v>0</v>
      </c>
      <c r="AT673" s="52"/>
      <c r="AU673" s="52"/>
      <c r="AV673" s="52" t="s">
        <v>176</v>
      </c>
      <c r="AW673" s="52"/>
    </row>
    <row r="674" spans="1:49">
      <c r="A674" s="52">
        <v>6022151</v>
      </c>
      <c r="B674" s="52" t="s">
        <v>3723</v>
      </c>
      <c r="C674" s="52" t="s">
        <v>3698</v>
      </c>
      <c r="D674" s="53">
        <v>46156.625</v>
      </c>
      <c r="E674" s="53">
        <v>46155.650694444441</v>
      </c>
      <c r="F674" s="53">
        <v>46156.533333333333</v>
      </c>
      <c r="G674" s="53">
        <v>46161.291666666664</v>
      </c>
      <c r="H674" s="53">
        <v>46157.811111111114</v>
      </c>
      <c r="I674" s="52"/>
      <c r="J674" s="52" t="s">
        <v>3693</v>
      </c>
      <c r="K674" s="53">
        <v>46157.906944444447</v>
      </c>
      <c r="L674" s="52"/>
      <c r="M674" s="54">
        <v>4.7583333333333337</v>
      </c>
      <c r="N674" s="54">
        <v>1.9229166666666666</v>
      </c>
      <c r="O674" s="52" t="s">
        <v>3399</v>
      </c>
      <c r="P674" s="52" t="s">
        <v>227</v>
      </c>
      <c r="Q674" s="52" t="s">
        <v>3398</v>
      </c>
      <c r="R674" s="52" t="s">
        <v>3403</v>
      </c>
      <c r="S674" s="52" t="s">
        <v>789</v>
      </c>
      <c r="T674" s="52" t="s">
        <v>4050</v>
      </c>
      <c r="U674" s="52" t="s">
        <v>4051</v>
      </c>
      <c r="V674" s="52" t="s">
        <v>3404</v>
      </c>
      <c r="W674" s="52">
        <v>11864686960</v>
      </c>
      <c r="X674" s="52" t="s">
        <v>73</v>
      </c>
      <c r="Y674" s="52" t="s">
        <v>3826</v>
      </c>
      <c r="Z674" s="52" t="s">
        <v>3696</v>
      </c>
      <c r="AA674" s="52" t="s">
        <v>3710</v>
      </c>
      <c r="AB674" s="52"/>
      <c r="AC674" s="52" t="s">
        <v>3720</v>
      </c>
      <c r="AD674" s="52" t="s">
        <v>3715</v>
      </c>
      <c r="AE674" s="52" t="s">
        <v>79</v>
      </c>
      <c r="AF674" s="52" t="s">
        <v>3899</v>
      </c>
      <c r="AG674" s="52" t="s">
        <v>3704</v>
      </c>
      <c r="AH674" s="52"/>
      <c r="AI674" s="53">
        <v>46156.611111111109</v>
      </c>
      <c r="AJ674" s="53">
        <v>46156.718055555553</v>
      </c>
      <c r="AK674" s="53">
        <v>46156.611111111109</v>
      </c>
      <c r="AL674" s="55">
        <v>0.61388888888888893</v>
      </c>
      <c r="AM674" s="52"/>
      <c r="AN674" s="55">
        <v>0.10694444444444444</v>
      </c>
      <c r="AO674" s="52"/>
      <c r="AP674" s="55">
        <v>0.61388888888888893</v>
      </c>
      <c r="AQ674" s="52"/>
      <c r="AR674" s="52"/>
      <c r="AS674" s="52" t="s">
        <v>3696</v>
      </c>
      <c r="AT674" s="52"/>
      <c r="AU674" s="52"/>
      <c r="AV674" s="52"/>
      <c r="AW674" s="52"/>
    </row>
    <row r="675" spans="1:49">
      <c r="A675" s="52">
        <v>6022151</v>
      </c>
      <c r="B675" s="52" t="s">
        <v>3723</v>
      </c>
      <c r="C675" s="52" t="s">
        <v>3698</v>
      </c>
      <c r="D675" s="53">
        <v>46156.625</v>
      </c>
      <c r="E675" s="53">
        <v>46155.650694444441</v>
      </c>
      <c r="F675" s="53">
        <v>46156.533333333333</v>
      </c>
      <c r="G675" s="53">
        <v>46161.291666666664</v>
      </c>
      <c r="H675" s="53">
        <v>46157.811111111114</v>
      </c>
      <c r="I675" s="52"/>
      <c r="J675" s="52" t="s">
        <v>3693</v>
      </c>
      <c r="K675" s="53">
        <v>46157.906944444447</v>
      </c>
      <c r="L675" s="52"/>
      <c r="M675" s="54">
        <v>4.7583333333333337</v>
      </c>
      <c r="N675" s="54">
        <v>1.9229166666666666</v>
      </c>
      <c r="O675" s="52" t="s">
        <v>3399</v>
      </c>
      <c r="P675" s="52" t="s">
        <v>227</v>
      </c>
      <c r="Q675" s="52" t="s">
        <v>3398</v>
      </c>
      <c r="R675" s="52" t="s">
        <v>3403</v>
      </c>
      <c r="S675" s="52" t="s">
        <v>789</v>
      </c>
      <c r="T675" s="52" t="s">
        <v>4050</v>
      </c>
      <c r="U675" s="52" t="s">
        <v>4051</v>
      </c>
      <c r="V675" s="52" t="s">
        <v>3404</v>
      </c>
      <c r="W675" s="52">
        <v>11864686960</v>
      </c>
      <c r="X675" s="52" t="s">
        <v>73</v>
      </c>
      <c r="Y675" s="52" t="s">
        <v>3826</v>
      </c>
      <c r="Z675" s="52" t="s">
        <v>3696</v>
      </c>
      <c r="AA675" s="52" t="s">
        <v>3710</v>
      </c>
      <c r="AB675" s="52"/>
      <c r="AC675" s="52" t="s">
        <v>3720</v>
      </c>
      <c r="AD675" s="52" t="s">
        <v>3715</v>
      </c>
      <c r="AE675" s="52"/>
      <c r="AF675" s="52" t="s">
        <v>3899</v>
      </c>
      <c r="AG675" s="52" t="s">
        <v>3704</v>
      </c>
      <c r="AH675" s="52"/>
      <c r="AI675" s="53">
        <v>46156.611111111109</v>
      </c>
      <c r="AJ675" s="53">
        <v>46156.718055555553</v>
      </c>
      <c r="AK675" s="53">
        <v>46156.611111111109</v>
      </c>
      <c r="AL675" s="55">
        <v>0.61388888888888893</v>
      </c>
      <c r="AM675" s="52"/>
      <c r="AN675" s="55">
        <v>0.10694444444444444</v>
      </c>
      <c r="AO675" s="52"/>
      <c r="AP675" s="55">
        <v>0.61388888888888893</v>
      </c>
      <c r="AQ675" s="52"/>
      <c r="AR675" s="52"/>
      <c r="AS675" s="52" t="s">
        <v>3696</v>
      </c>
      <c r="AT675" s="52"/>
      <c r="AU675" s="52"/>
      <c r="AV675" s="52"/>
      <c r="AW675" s="52" t="s">
        <v>176</v>
      </c>
    </row>
    <row r="676" spans="1:49">
      <c r="A676" s="52">
        <v>6022152</v>
      </c>
      <c r="B676" s="52" t="s">
        <v>3723</v>
      </c>
      <c r="C676" s="52" t="s">
        <v>3692</v>
      </c>
      <c r="D676" s="53">
        <v>46156.333333333336</v>
      </c>
      <c r="E676" s="53">
        <v>46155.650694444441</v>
      </c>
      <c r="F676" s="53">
        <v>46156.689583333333</v>
      </c>
      <c r="G676" s="53">
        <v>46162.291666666664</v>
      </c>
      <c r="H676" s="52"/>
      <c r="I676" s="52" t="s">
        <v>3693</v>
      </c>
      <c r="J676" s="52" t="s">
        <v>3693</v>
      </c>
      <c r="K676" s="53">
        <v>46157.268055555556</v>
      </c>
      <c r="L676" s="52"/>
      <c r="M676" s="55">
        <v>0.42986111111111114</v>
      </c>
      <c r="N676" s="54">
        <v>3.4055555555555554</v>
      </c>
      <c r="O676" s="52"/>
      <c r="P676" s="52"/>
      <c r="Q676" s="52"/>
      <c r="R676" s="52"/>
      <c r="S676" s="52"/>
      <c r="T676" s="52" t="s">
        <v>3908</v>
      </c>
      <c r="U676" s="52" t="s">
        <v>4052</v>
      </c>
      <c r="V676" s="52"/>
      <c r="W676" s="52"/>
      <c r="X676" s="52"/>
      <c r="Y676" s="52"/>
      <c r="Z676" s="52" t="s">
        <v>3696</v>
      </c>
      <c r="AA676" s="52" t="s">
        <v>724</v>
      </c>
      <c r="AB676" s="52" t="s">
        <v>79</v>
      </c>
      <c r="AC676" s="52" t="s">
        <v>3720</v>
      </c>
      <c r="AD676" s="52" t="s">
        <v>3715</v>
      </c>
      <c r="AE676" s="52"/>
      <c r="AF676" s="52" t="s">
        <v>3899</v>
      </c>
      <c r="AG676" s="52" t="s">
        <v>3704</v>
      </c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>
        <v>0</v>
      </c>
      <c r="AT676" s="52"/>
      <c r="AU676" s="52"/>
      <c r="AV676" s="52" t="s">
        <v>176</v>
      </c>
      <c r="AW676" s="52"/>
    </row>
    <row r="677" spans="1:49">
      <c r="A677" s="52">
        <v>6022152</v>
      </c>
      <c r="B677" s="52" t="s">
        <v>3723</v>
      </c>
      <c r="C677" s="52" t="s">
        <v>3698</v>
      </c>
      <c r="D677" s="53">
        <v>46156.333333333336</v>
      </c>
      <c r="E677" s="53">
        <v>46155.650694444441</v>
      </c>
      <c r="F677" s="53">
        <v>46156.720833333333</v>
      </c>
      <c r="G677" s="53">
        <v>46162.291666666664</v>
      </c>
      <c r="H677" s="53">
        <v>46156.893750000003</v>
      </c>
      <c r="I677" s="52"/>
      <c r="J677" s="52" t="s">
        <v>3693</v>
      </c>
      <c r="K677" s="53">
        <v>46157.268055555556</v>
      </c>
      <c r="L677" s="52"/>
      <c r="M677" s="54">
        <v>5.5708333333333337</v>
      </c>
      <c r="N677" s="54">
        <v>1.7354166666666666</v>
      </c>
      <c r="O677" s="52" t="s">
        <v>3448</v>
      </c>
      <c r="P677" s="52" t="s">
        <v>724</v>
      </c>
      <c r="Q677" s="52" t="s">
        <v>3447</v>
      </c>
      <c r="R677" s="52" t="s">
        <v>3451</v>
      </c>
      <c r="S677" s="52" t="s">
        <v>789</v>
      </c>
      <c r="T677" s="52" t="s">
        <v>3908</v>
      </c>
      <c r="U677" s="52" t="s">
        <v>4052</v>
      </c>
      <c r="V677" s="52" t="s">
        <v>3452</v>
      </c>
      <c r="W677" s="52">
        <v>11432957902</v>
      </c>
      <c r="X677" s="52" t="s">
        <v>73</v>
      </c>
      <c r="Y677" s="52"/>
      <c r="Z677" s="52" t="s">
        <v>3696</v>
      </c>
      <c r="AA677" s="52" t="s">
        <v>3710</v>
      </c>
      <c r="AB677" s="52"/>
      <c r="AC677" s="52" t="s">
        <v>3720</v>
      </c>
      <c r="AD677" s="52" t="s">
        <v>3715</v>
      </c>
      <c r="AE677" s="52" t="s">
        <v>79</v>
      </c>
      <c r="AF677" s="52" t="s">
        <v>3899</v>
      </c>
      <c r="AG677" s="52" t="s">
        <v>3704</v>
      </c>
      <c r="AH677" s="52"/>
      <c r="AI677" s="52"/>
      <c r="AJ677" s="52"/>
      <c r="AK677" s="52"/>
      <c r="AL677" s="55">
        <v>1.8749999999999999E-2</v>
      </c>
      <c r="AM677" s="52"/>
      <c r="AN677" s="52"/>
      <c r="AO677" s="52"/>
      <c r="AP677" s="55">
        <v>1.8749999999999999E-2</v>
      </c>
      <c r="AQ677" s="52"/>
      <c r="AR677" s="52"/>
      <c r="AS677" s="52" t="s">
        <v>3696</v>
      </c>
      <c r="AT677" s="52"/>
      <c r="AU677" s="52"/>
      <c r="AV677" s="52"/>
      <c r="AW677" s="52"/>
    </row>
    <row r="678" spans="1:49">
      <c r="A678" s="52">
        <v>6022152</v>
      </c>
      <c r="B678" s="52" t="s">
        <v>3723</v>
      </c>
      <c r="C678" s="52" t="s">
        <v>3698</v>
      </c>
      <c r="D678" s="53">
        <v>46156.333333333336</v>
      </c>
      <c r="E678" s="53">
        <v>46155.650694444441</v>
      </c>
      <c r="F678" s="53">
        <v>46156.720833333333</v>
      </c>
      <c r="G678" s="53">
        <v>46162.291666666664</v>
      </c>
      <c r="H678" s="53">
        <v>46156.893750000003</v>
      </c>
      <c r="I678" s="52"/>
      <c r="J678" s="52" t="s">
        <v>3693</v>
      </c>
      <c r="K678" s="53">
        <v>46157.268055555556</v>
      </c>
      <c r="L678" s="52"/>
      <c r="M678" s="54">
        <v>5.5708333333333337</v>
      </c>
      <c r="N678" s="54">
        <v>1.7354166666666666</v>
      </c>
      <c r="O678" s="52" t="s">
        <v>3448</v>
      </c>
      <c r="P678" s="52" t="s">
        <v>724</v>
      </c>
      <c r="Q678" s="52" t="s">
        <v>3447</v>
      </c>
      <c r="R678" s="52" t="s">
        <v>3451</v>
      </c>
      <c r="S678" s="52" t="s">
        <v>789</v>
      </c>
      <c r="T678" s="52" t="s">
        <v>3908</v>
      </c>
      <c r="U678" s="52" t="s">
        <v>4052</v>
      </c>
      <c r="V678" s="52" t="s">
        <v>3452</v>
      </c>
      <c r="W678" s="52">
        <v>11432957902</v>
      </c>
      <c r="X678" s="52" t="s">
        <v>73</v>
      </c>
      <c r="Y678" s="52"/>
      <c r="Z678" s="52" t="s">
        <v>3696</v>
      </c>
      <c r="AA678" s="52" t="s">
        <v>3710</v>
      </c>
      <c r="AB678" s="52"/>
      <c r="AC678" s="52" t="s">
        <v>3720</v>
      </c>
      <c r="AD678" s="52" t="s">
        <v>3715</v>
      </c>
      <c r="AE678" s="52"/>
      <c r="AF678" s="52" t="s">
        <v>3899</v>
      </c>
      <c r="AG678" s="52" t="s">
        <v>3704</v>
      </c>
      <c r="AH678" s="52"/>
      <c r="AI678" s="52"/>
      <c r="AJ678" s="52"/>
      <c r="AK678" s="52"/>
      <c r="AL678" s="55">
        <v>1.8749999999999999E-2</v>
      </c>
      <c r="AM678" s="52"/>
      <c r="AN678" s="52"/>
      <c r="AO678" s="52"/>
      <c r="AP678" s="55">
        <v>1.8749999999999999E-2</v>
      </c>
      <c r="AQ678" s="52"/>
      <c r="AR678" s="52"/>
      <c r="AS678" s="52" t="s">
        <v>3696</v>
      </c>
      <c r="AT678" s="52"/>
      <c r="AU678" s="52"/>
      <c r="AV678" s="52"/>
      <c r="AW678" s="52" t="s">
        <v>176</v>
      </c>
    </row>
    <row r="679" spans="1:49">
      <c r="A679" s="52">
        <v>6022153</v>
      </c>
      <c r="B679" s="52" t="s">
        <v>3723</v>
      </c>
      <c r="C679" s="52" t="s">
        <v>3692</v>
      </c>
      <c r="D679" s="53">
        <v>46156.583333333336</v>
      </c>
      <c r="E679" s="53">
        <v>46155.650694444441</v>
      </c>
      <c r="F679" s="53">
        <v>46156.513194444444</v>
      </c>
      <c r="G679" s="53">
        <v>46161.291666666664</v>
      </c>
      <c r="H679" s="52"/>
      <c r="I679" s="52" t="s">
        <v>3693</v>
      </c>
      <c r="J679" s="52" t="s">
        <v>3693</v>
      </c>
      <c r="K679" s="53">
        <v>46157.652083333334</v>
      </c>
      <c r="L679" s="52"/>
      <c r="M679" s="55">
        <v>0.42986111111111114</v>
      </c>
      <c r="N679" s="54">
        <v>2.4055555555555554</v>
      </c>
      <c r="O679" s="52"/>
      <c r="P679" s="52"/>
      <c r="Q679" s="52"/>
      <c r="R679" s="52"/>
      <c r="S679" s="52"/>
      <c r="T679" s="52" t="s">
        <v>3897</v>
      </c>
      <c r="U679" s="52" t="s">
        <v>4053</v>
      </c>
      <c r="V679" s="52"/>
      <c r="W679" s="52"/>
      <c r="X679" s="52"/>
      <c r="Y679" s="52"/>
      <c r="Z679" s="52" t="s">
        <v>3696</v>
      </c>
      <c r="AA679" s="52" t="s">
        <v>227</v>
      </c>
      <c r="AB679" s="52" t="s">
        <v>79</v>
      </c>
      <c r="AC679" s="52" t="s">
        <v>3720</v>
      </c>
      <c r="AD679" s="52" t="s">
        <v>3715</v>
      </c>
      <c r="AE679" s="52"/>
      <c r="AF679" s="52" t="s">
        <v>3899</v>
      </c>
      <c r="AG679" s="52" t="s">
        <v>3704</v>
      </c>
      <c r="AH679" s="52"/>
      <c r="AI679" s="52"/>
      <c r="AJ679" s="52"/>
      <c r="AK679" s="52"/>
      <c r="AL679" s="55">
        <v>0.10347222222222222</v>
      </c>
      <c r="AM679" s="52"/>
      <c r="AN679" s="52"/>
      <c r="AO679" s="52"/>
      <c r="AP679" s="52"/>
      <c r="AQ679" s="52"/>
      <c r="AR679" s="52"/>
      <c r="AS679" s="52">
        <v>0</v>
      </c>
      <c r="AT679" s="52"/>
      <c r="AU679" s="52"/>
      <c r="AV679" s="52" t="s">
        <v>176</v>
      </c>
      <c r="AW679" s="52"/>
    </row>
    <row r="680" spans="1:49">
      <c r="A680" s="52">
        <v>6022153</v>
      </c>
      <c r="B680" s="52" t="s">
        <v>3723</v>
      </c>
      <c r="C680" s="52" t="s">
        <v>3698</v>
      </c>
      <c r="D680" s="53">
        <v>46156.583333333336</v>
      </c>
      <c r="E680" s="53">
        <v>46155.650694444441</v>
      </c>
      <c r="F680" s="53">
        <v>46156.53402777778</v>
      </c>
      <c r="G680" s="53">
        <v>46161.291666666664</v>
      </c>
      <c r="H680" s="53">
        <v>46157.587500000001</v>
      </c>
      <c r="I680" s="52"/>
      <c r="J680" s="52" t="s">
        <v>3693</v>
      </c>
      <c r="K680" s="53">
        <v>46157.652083333334</v>
      </c>
      <c r="L680" s="52"/>
      <c r="M680" s="54">
        <v>4.7576388888888888</v>
      </c>
      <c r="N680" s="54">
        <v>1.9222222222222223</v>
      </c>
      <c r="O680" s="52" t="s">
        <v>3397</v>
      </c>
      <c r="P680" s="52" t="s">
        <v>227</v>
      </c>
      <c r="Q680" s="52" t="s">
        <v>1732</v>
      </c>
      <c r="R680" s="52" t="s">
        <v>1806</v>
      </c>
      <c r="S680" s="52" t="s">
        <v>789</v>
      </c>
      <c r="T680" s="52" t="s">
        <v>3897</v>
      </c>
      <c r="U680" s="52" t="s">
        <v>4053</v>
      </c>
      <c r="V680" s="52" t="s">
        <v>1735</v>
      </c>
      <c r="W680" s="52">
        <v>2072834864</v>
      </c>
      <c r="X680" s="52" t="s">
        <v>73</v>
      </c>
      <c r="Y680" s="52" t="s">
        <v>3745</v>
      </c>
      <c r="Z680" s="52" t="s">
        <v>3696</v>
      </c>
      <c r="AA680" s="52" t="s">
        <v>3710</v>
      </c>
      <c r="AB680" s="52"/>
      <c r="AC680" s="52" t="s">
        <v>3720</v>
      </c>
      <c r="AD680" s="52" t="s">
        <v>3715</v>
      </c>
      <c r="AE680" s="52" t="s">
        <v>79</v>
      </c>
      <c r="AF680" s="52" t="s">
        <v>3899</v>
      </c>
      <c r="AG680" s="52" t="s">
        <v>3704</v>
      </c>
      <c r="AH680" s="52"/>
      <c r="AI680" s="53">
        <v>46156.628472222219</v>
      </c>
      <c r="AJ680" s="53">
        <v>46156.731944444444</v>
      </c>
      <c r="AK680" s="53">
        <v>46156.628472222219</v>
      </c>
      <c r="AL680" s="55">
        <v>0.56458333333333333</v>
      </c>
      <c r="AM680" s="52"/>
      <c r="AN680" s="55">
        <v>0.10347222222222222</v>
      </c>
      <c r="AO680" s="52"/>
      <c r="AP680" s="55">
        <v>0.56458333333333333</v>
      </c>
      <c r="AQ680" s="52"/>
      <c r="AR680" s="52"/>
      <c r="AS680" s="52" t="s">
        <v>3696</v>
      </c>
      <c r="AT680" s="52"/>
      <c r="AU680" s="52"/>
      <c r="AV680" s="52"/>
      <c r="AW680" s="52"/>
    </row>
    <row r="681" spans="1:49">
      <c r="A681" s="52">
        <v>6022153</v>
      </c>
      <c r="B681" s="52" t="s">
        <v>3723</v>
      </c>
      <c r="C681" s="52" t="s">
        <v>3698</v>
      </c>
      <c r="D681" s="53">
        <v>46156.583333333336</v>
      </c>
      <c r="E681" s="53">
        <v>46155.650694444441</v>
      </c>
      <c r="F681" s="53">
        <v>46156.53402777778</v>
      </c>
      <c r="G681" s="53">
        <v>46161.291666666664</v>
      </c>
      <c r="H681" s="53">
        <v>46157.587500000001</v>
      </c>
      <c r="I681" s="52"/>
      <c r="J681" s="52" t="s">
        <v>3693</v>
      </c>
      <c r="K681" s="53">
        <v>46157.652083333334</v>
      </c>
      <c r="L681" s="52"/>
      <c r="M681" s="54">
        <v>4.7576388888888888</v>
      </c>
      <c r="N681" s="54">
        <v>1.9222222222222223</v>
      </c>
      <c r="O681" s="52" t="s">
        <v>3397</v>
      </c>
      <c r="P681" s="52" t="s">
        <v>227</v>
      </c>
      <c r="Q681" s="52" t="s">
        <v>1732</v>
      </c>
      <c r="R681" s="52" t="s">
        <v>1806</v>
      </c>
      <c r="S681" s="52" t="s">
        <v>789</v>
      </c>
      <c r="T681" s="52" t="s">
        <v>3897</v>
      </c>
      <c r="U681" s="52" t="s">
        <v>4053</v>
      </c>
      <c r="V681" s="52" t="s">
        <v>1735</v>
      </c>
      <c r="W681" s="52">
        <v>2072834864</v>
      </c>
      <c r="X681" s="52" t="s">
        <v>73</v>
      </c>
      <c r="Y681" s="52" t="s">
        <v>3745</v>
      </c>
      <c r="Z681" s="52" t="s">
        <v>3696</v>
      </c>
      <c r="AA681" s="52" t="s">
        <v>3710</v>
      </c>
      <c r="AB681" s="52"/>
      <c r="AC681" s="52" t="s">
        <v>3720</v>
      </c>
      <c r="AD681" s="52" t="s">
        <v>3715</v>
      </c>
      <c r="AE681" s="52"/>
      <c r="AF681" s="52" t="s">
        <v>3899</v>
      </c>
      <c r="AG681" s="52" t="s">
        <v>3704</v>
      </c>
      <c r="AH681" s="52"/>
      <c r="AI681" s="53">
        <v>46156.628472222219</v>
      </c>
      <c r="AJ681" s="53">
        <v>46156.731944444444</v>
      </c>
      <c r="AK681" s="53">
        <v>46156.628472222219</v>
      </c>
      <c r="AL681" s="55">
        <v>0.56458333333333333</v>
      </c>
      <c r="AM681" s="52"/>
      <c r="AN681" s="55">
        <v>0.10347222222222222</v>
      </c>
      <c r="AO681" s="52"/>
      <c r="AP681" s="55">
        <v>0.56458333333333333</v>
      </c>
      <c r="AQ681" s="52"/>
      <c r="AR681" s="52"/>
      <c r="AS681" s="52" t="s">
        <v>3696</v>
      </c>
      <c r="AT681" s="52"/>
      <c r="AU681" s="52"/>
      <c r="AV681" s="52"/>
      <c r="AW681" s="52" t="s">
        <v>176</v>
      </c>
    </row>
    <row r="682" spans="1:49">
      <c r="A682" s="52">
        <v>6022154</v>
      </c>
      <c r="B682" s="52" t="s">
        <v>3723</v>
      </c>
      <c r="C682" s="52" t="s">
        <v>3692</v>
      </c>
      <c r="D682" s="53">
        <v>46156.708333333336</v>
      </c>
      <c r="E682" s="53">
        <v>46155.650694444441</v>
      </c>
      <c r="F682" s="53">
        <v>46156.692361111112</v>
      </c>
      <c r="G682" s="53">
        <v>46161.861805555556</v>
      </c>
      <c r="H682" s="53">
        <v>46156.696527777778</v>
      </c>
      <c r="I682" s="52" t="s">
        <v>3693</v>
      </c>
      <c r="J682" s="52" t="s">
        <v>3693</v>
      </c>
      <c r="K682" s="52"/>
      <c r="L682" s="52"/>
      <c r="M682" s="55">
        <v>0.42986111111111114</v>
      </c>
      <c r="N682" s="54">
        <v>3.4055555555555554</v>
      </c>
      <c r="O682" s="52"/>
      <c r="P682" s="52"/>
      <c r="Q682" s="52"/>
      <c r="R682" s="52"/>
      <c r="S682" s="52"/>
      <c r="T682" s="52" t="s">
        <v>4054</v>
      </c>
      <c r="U682" s="52" t="s">
        <v>3719</v>
      </c>
      <c r="V682" s="52"/>
      <c r="W682" s="52"/>
      <c r="X682" s="52"/>
      <c r="Y682" s="52"/>
      <c r="Z682" s="52" t="s">
        <v>3696</v>
      </c>
      <c r="AA682" s="52" t="s">
        <v>724</v>
      </c>
      <c r="AB682" s="52" t="s">
        <v>79</v>
      </c>
      <c r="AC682" s="52" t="s">
        <v>3720</v>
      </c>
      <c r="AD682" s="52" t="s">
        <v>3715</v>
      </c>
      <c r="AE682" s="52"/>
      <c r="AF682" s="52" t="s">
        <v>3720</v>
      </c>
      <c r="AG682" s="52" t="s">
        <v>3715</v>
      </c>
      <c r="AH682" s="52"/>
      <c r="AI682" s="52"/>
      <c r="AJ682" s="52"/>
      <c r="AK682" s="52"/>
      <c r="AL682" s="55">
        <v>4.3055555555555555E-2</v>
      </c>
      <c r="AM682" s="52"/>
      <c r="AN682" s="52"/>
      <c r="AO682" s="52"/>
      <c r="AP682" s="52"/>
      <c r="AQ682" s="52"/>
      <c r="AR682" s="52"/>
      <c r="AS682" s="52">
        <v>0</v>
      </c>
      <c r="AT682" s="52"/>
      <c r="AU682" s="52"/>
      <c r="AV682" s="52" t="s">
        <v>176</v>
      </c>
      <c r="AW682" s="52"/>
    </row>
    <row r="683" spans="1:49">
      <c r="A683" s="52">
        <v>6022154</v>
      </c>
      <c r="B683" s="52" t="s">
        <v>3723</v>
      </c>
      <c r="C683" s="52" t="s">
        <v>3698</v>
      </c>
      <c r="D683" s="53">
        <v>46156.708333333336</v>
      </c>
      <c r="E683" s="53">
        <v>46155.650694444441</v>
      </c>
      <c r="F683" s="53">
        <v>46156.707638888889</v>
      </c>
      <c r="G683" s="53">
        <v>46157.237500000003</v>
      </c>
      <c r="H683" s="53">
        <v>46156.893750000003</v>
      </c>
      <c r="I683" s="52"/>
      <c r="J683" s="52" t="s">
        <v>3693</v>
      </c>
      <c r="K683" s="53">
        <v>46157.25</v>
      </c>
      <c r="L683" s="52"/>
      <c r="M683" s="55">
        <v>0.52986111111111112</v>
      </c>
      <c r="N683" s="54">
        <v>1.7486111111111111</v>
      </c>
      <c r="O683" s="52" t="s">
        <v>3453</v>
      </c>
      <c r="P683" s="52" t="s">
        <v>724</v>
      </c>
      <c r="Q683" s="52" t="s">
        <v>3257</v>
      </c>
      <c r="R683" s="52" t="s">
        <v>3457</v>
      </c>
      <c r="S683" s="52" t="s">
        <v>789</v>
      </c>
      <c r="T683" s="52" t="s">
        <v>4054</v>
      </c>
      <c r="U683" s="52" t="s">
        <v>3719</v>
      </c>
      <c r="V683" s="52" t="s">
        <v>3750</v>
      </c>
      <c r="W683" s="52">
        <v>93406576915</v>
      </c>
      <c r="X683" s="52" t="s">
        <v>73</v>
      </c>
      <c r="Y683" s="52"/>
      <c r="Z683" s="52" t="s">
        <v>3696</v>
      </c>
      <c r="AA683" s="52" t="s">
        <v>3710</v>
      </c>
      <c r="AB683" s="52"/>
      <c r="AC683" s="52" t="s">
        <v>3720</v>
      </c>
      <c r="AD683" s="52" t="s">
        <v>3715</v>
      </c>
      <c r="AE683" s="52" t="s">
        <v>79</v>
      </c>
      <c r="AF683" s="52" t="s">
        <v>3899</v>
      </c>
      <c r="AG683" s="52" t="s">
        <v>3704</v>
      </c>
      <c r="AH683" s="52"/>
      <c r="AI683" s="53">
        <v>46156.696527777778</v>
      </c>
      <c r="AJ683" s="53">
        <v>46156.739583333336</v>
      </c>
      <c r="AK683" s="53">
        <v>46156.696527777778</v>
      </c>
      <c r="AL683" s="55">
        <v>6.7361111111111108E-2</v>
      </c>
      <c r="AM683" s="52"/>
      <c r="AN683" s="55">
        <v>4.3055555555555555E-2</v>
      </c>
      <c r="AO683" s="52"/>
      <c r="AP683" s="55">
        <v>6.7361111111111108E-2</v>
      </c>
      <c r="AQ683" s="52"/>
      <c r="AR683" s="52"/>
      <c r="AS683" s="52" t="s">
        <v>3696</v>
      </c>
      <c r="AT683" s="52"/>
      <c r="AU683" s="52"/>
      <c r="AV683" s="52"/>
      <c r="AW683" s="52"/>
    </row>
    <row r="684" spans="1:49">
      <c r="A684" s="52">
        <v>6022154</v>
      </c>
      <c r="B684" s="52" t="s">
        <v>3723</v>
      </c>
      <c r="C684" s="52" t="s">
        <v>3698</v>
      </c>
      <c r="D684" s="53">
        <v>46156.708333333336</v>
      </c>
      <c r="E684" s="53">
        <v>46155.650694444441</v>
      </c>
      <c r="F684" s="53">
        <v>46156.707638888889</v>
      </c>
      <c r="G684" s="53">
        <v>46157.237500000003</v>
      </c>
      <c r="H684" s="53">
        <v>46156.893750000003</v>
      </c>
      <c r="I684" s="52"/>
      <c r="J684" s="52" t="s">
        <v>3693</v>
      </c>
      <c r="K684" s="53">
        <v>46157.25</v>
      </c>
      <c r="L684" s="52"/>
      <c r="M684" s="55">
        <v>0.52986111111111112</v>
      </c>
      <c r="N684" s="54">
        <v>1.7486111111111111</v>
      </c>
      <c r="O684" s="52" t="s">
        <v>3453</v>
      </c>
      <c r="P684" s="52" t="s">
        <v>724</v>
      </c>
      <c r="Q684" s="52" t="s">
        <v>3257</v>
      </c>
      <c r="R684" s="52" t="s">
        <v>3457</v>
      </c>
      <c r="S684" s="52" t="s">
        <v>789</v>
      </c>
      <c r="T684" s="52" t="s">
        <v>4054</v>
      </c>
      <c r="U684" s="52" t="s">
        <v>3719</v>
      </c>
      <c r="V684" s="52" t="s">
        <v>3750</v>
      </c>
      <c r="W684" s="52">
        <v>93406576915</v>
      </c>
      <c r="X684" s="52" t="s">
        <v>73</v>
      </c>
      <c r="Y684" s="52"/>
      <c r="Z684" s="52" t="s">
        <v>3696</v>
      </c>
      <c r="AA684" s="52" t="s">
        <v>3710</v>
      </c>
      <c r="AB684" s="52"/>
      <c r="AC684" s="52" t="s">
        <v>3720</v>
      </c>
      <c r="AD684" s="52" t="s">
        <v>3715</v>
      </c>
      <c r="AE684" s="52"/>
      <c r="AF684" s="52" t="s">
        <v>3899</v>
      </c>
      <c r="AG684" s="52" t="s">
        <v>3704</v>
      </c>
      <c r="AH684" s="52"/>
      <c r="AI684" s="53">
        <v>46156.696527777778</v>
      </c>
      <c r="AJ684" s="53">
        <v>46156.739583333336</v>
      </c>
      <c r="AK684" s="53">
        <v>46156.696527777778</v>
      </c>
      <c r="AL684" s="55">
        <v>6.7361111111111108E-2</v>
      </c>
      <c r="AM684" s="52"/>
      <c r="AN684" s="55">
        <v>4.3055555555555555E-2</v>
      </c>
      <c r="AO684" s="52"/>
      <c r="AP684" s="55">
        <v>6.7361111111111108E-2</v>
      </c>
      <c r="AQ684" s="52"/>
      <c r="AR684" s="52"/>
      <c r="AS684" s="52" t="s">
        <v>3696</v>
      </c>
      <c r="AT684" s="52"/>
      <c r="AU684" s="52"/>
      <c r="AV684" s="52"/>
      <c r="AW684" s="52" t="s">
        <v>176</v>
      </c>
    </row>
    <row r="685" spans="1:49">
      <c r="A685" s="52">
        <v>6022155</v>
      </c>
      <c r="B685" s="52" t="s">
        <v>3723</v>
      </c>
      <c r="C685" s="52" t="s">
        <v>3692</v>
      </c>
      <c r="D685" s="53">
        <v>46156.541666666664</v>
      </c>
      <c r="E685" s="53">
        <v>46155.650694444441</v>
      </c>
      <c r="F685" s="53">
        <v>46156.338194444441</v>
      </c>
      <c r="G685" s="53">
        <v>46162.291666666664</v>
      </c>
      <c r="H685" s="52"/>
      <c r="I685" s="52" t="s">
        <v>3693</v>
      </c>
      <c r="J685" s="52" t="s">
        <v>3693</v>
      </c>
      <c r="K685" s="53">
        <v>46157.156944444447</v>
      </c>
      <c r="L685" s="52"/>
      <c r="M685" s="55">
        <v>0.42986111111111114</v>
      </c>
      <c r="N685" s="54">
        <v>3.4055555555555554</v>
      </c>
      <c r="O685" s="52"/>
      <c r="P685" s="52"/>
      <c r="Q685" s="52"/>
      <c r="R685" s="52"/>
      <c r="S685" s="52"/>
      <c r="T685" s="52" t="s">
        <v>3908</v>
      </c>
      <c r="U685" s="52" t="s">
        <v>3952</v>
      </c>
      <c r="V685" s="52"/>
      <c r="W685" s="52"/>
      <c r="X685" s="52"/>
      <c r="Y685" s="52"/>
      <c r="Z685" s="52" t="s">
        <v>3696</v>
      </c>
      <c r="AA685" s="52" t="s">
        <v>227</v>
      </c>
      <c r="AB685" s="52" t="s">
        <v>79</v>
      </c>
      <c r="AC685" s="52" t="s">
        <v>3720</v>
      </c>
      <c r="AD685" s="52" t="s">
        <v>3715</v>
      </c>
      <c r="AE685" s="52"/>
      <c r="AF685" s="52" t="s">
        <v>3899</v>
      </c>
      <c r="AG685" s="52" t="s">
        <v>3704</v>
      </c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>
        <v>0</v>
      </c>
      <c r="AT685" s="52"/>
      <c r="AU685" s="52"/>
      <c r="AV685" s="52" t="s">
        <v>176</v>
      </c>
      <c r="AW685" s="52"/>
    </row>
    <row r="686" spans="1:49">
      <c r="A686" s="52">
        <v>6022155</v>
      </c>
      <c r="B686" s="52" t="s">
        <v>3723</v>
      </c>
      <c r="C686" s="52" t="s">
        <v>3698</v>
      </c>
      <c r="D686" s="53">
        <v>46156.541666666664</v>
      </c>
      <c r="E686" s="53">
        <v>46155.650694444441</v>
      </c>
      <c r="F686" s="53">
        <v>46156.338888888888</v>
      </c>
      <c r="G686" s="53">
        <v>46162.291666666664</v>
      </c>
      <c r="H686" s="53">
        <v>46156.810416666667</v>
      </c>
      <c r="I686" s="52"/>
      <c r="J686" s="52" t="s">
        <v>3693</v>
      </c>
      <c r="K686" s="53">
        <v>46157.156944444447</v>
      </c>
      <c r="L686" s="52"/>
      <c r="M686" s="54">
        <v>5.9527777777777775</v>
      </c>
      <c r="N686" s="54">
        <v>2.1173611111111112</v>
      </c>
      <c r="O686" s="52" t="s">
        <v>3352</v>
      </c>
      <c r="P686" s="52" t="s">
        <v>227</v>
      </c>
      <c r="Q686" s="52" t="s">
        <v>3351</v>
      </c>
      <c r="R686" s="52" t="s">
        <v>3356</v>
      </c>
      <c r="S686" s="52" t="s">
        <v>789</v>
      </c>
      <c r="T686" s="52" t="s">
        <v>3908</v>
      </c>
      <c r="U686" s="52" t="s">
        <v>3952</v>
      </c>
      <c r="V686" s="52" t="s">
        <v>4055</v>
      </c>
      <c r="W686" s="52">
        <v>82908494949</v>
      </c>
      <c r="X686" s="52" t="s">
        <v>73</v>
      </c>
      <c r="Y686" s="52"/>
      <c r="Z686" s="52" t="s">
        <v>3696</v>
      </c>
      <c r="AA686" s="52" t="s">
        <v>3710</v>
      </c>
      <c r="AB686" s="52"/>
      <c r="AC686" s="52" t="s">
        <v>3720</v>
      </c>
      <c r="AD686" s="52" t="s">
        <v>3715</v>
      </c>
      <c r="AE686" s="52" t="s">
        <v>79</v>
      </c>
      <c r="AF686" s="52" t="s">
        <v>3899</v>
      </c>
      <c r="AG686" s="52" t="s">
        <v>3704</v>
      </c>
      <c r="AH686" s="52"/>
      <c r="AI686" s="52"/>
      <c r="AJ686" s="52"/>
      <c r="AK686" s="52"/>
      <c r="AL686" s="55">
        <v>0.34583333333333333</v>
      </c>
      <c r="AM686" s="52"/>
      <c r="AN686" s="52"/>
      <c r="AO686" s="52"/>
      <c r="AP686" s="55">
        <v>0.34583333333333333</v>
      </c>
      <c r="AQ686" s="52"/>
      <c r="AR686" s="52"/>
      <c r="AS686" s="52" t="s">
        <v>3696</v>
      </c>
      <c r="AT686" s="52"/>
      <c r="AU686" s="52"/>
      <c r="AV686" s="52"/>
      <c r="AW686" s="52"/>
    </row>
    <row r="687" spans="1:49">
      <c r="A687" s="52">
        <v>6022155</v>
      </c>
      <c r="B687" s="52" t="s">
        <v>3723</v>
      </c>
      <c r="C687" s="52" t="s">
        <v>3698</v>
      </c>
      <c r="D687" s="53">
        <v>46156.541666666664</v>
      </c>
      <c r="E687" s="53">
        <v>46155.650694444441</v>
      </c>
      <c r="F687" s="53">
        <v>46156.338888888888</v>
      </c>
      <c r="G687" s="53">
        <v>46162.291666666664</v>
      </c>
      <c r="H687" s="53">
        <v>46156.810416666667</v>
      </c>
      <c r="I687" s="52"/>
      <c r="J687" s="52" t="s">
        <v>3693</v>
      </c>
      <c r="K687" s="53">
        <v>46157.156944444447</v>
      </c>
      <c r="L687" s="52"/>
      <c r="M687" s="54">
        <v>5.9527777777777775</v>
      </c>
      <c r="N687" s="54">
        <v>2.1173611111111112</v>
      </c>
      <c r="O687" s="52" t="s">
        <v>3352</v>
      </c>
      <c r="P687" s="52" t="s">
        <v>227</v>
      </c>
      <c r="Q687" s="52" t="s">
        <v>3351</v>
      </c>
      <c r="R687" s="52" t="s">
        <v>3356</v>
      </c>
      <c r="S687" s="52" t="s">
        <v>789</v>
      </c>
      <c r="T687" s="52" t="s">
        <v>3908</v>
      </c>
      <c r="U687" s="52" t="s">
        <v>3952</v>
      </c>
      <c r="V687" s="52" t="s">
        <v>4055</v>
      </c>
      <c r="W687" s="52">
        <v>82908494949</v>
      </c>
      <c r="X687" s="52" t="s">
        <v>73</v>
      </c>
      <c r="Y687" s="52"/>
      <c r="Z687" s="52" t="s">
        <v>3696</v>
      </c>
      <c r="AA687" s="52" t="s">
        <v>3710</v>
      </c>
      <c r="AB687" s="52"/>
      <c r="AC687" s="52" t="s">
        <v>3720</v>
      </c>
      <c r="AD687" s="52" t="s">
        <v>3715</v>
      </c>
      <c r="AE687" s="52"/>
      <c r="AF687" s="52" t="s">
        <v>3899</v>
      </c>
      <c r="AG687" s="52" t="s">
        <v>3704</v>
      </c>
      <c r="AH687" s="52"/>
      <c r="AI687" s="52"/>
      <c r="AJ687" s="52"/>
      <c r="AK687" s="52"/>
      <c r="AL687" s="55">
        <v>0.34583333333333333</v>
      </c>
      <c r="AM687" s="52"/>
      <c r="AN687" s="52"/>
      <c r="AO687" s="52"/>
      <c r="AP687" s="55">
        <v>0.34583333333333333</v>
      </c>
      <c r="AQ687" s="52"/>
      <c r="AR687" s="52"/>
      <c r="AS687" s="52" t="s">
        <v>3696</v>
      </c>
      <c r="AT687" s="52"/>
      <c r="AU687" s="52"/>
      <c r="AV687" s="52"/>
      <c r="AW687" s="52" t="s">
        <v>176</v>
      </c>
    </row>
    <row r="688" spans="1:49">
      <c r="A688" s="52">
        <v>6022155</v>
      </c>
      <c r="B688" s="52" t="s">
        <v>3723</v>
      </c>
      <c r="C688" s="52" t="s">
        <v>3698</v>
      </c>
      <c r="D688" s="53">
        <v>46156.541666666664</v>
      </c>
      <c r="E688" s="53">
        <v>46155.650694444441</v>
      </c>
      <c r="F688" s="53">
        <v>46156.647916666669</v>
      </c>
      <c r="G688" s="53">
        <v>46162.291666666664</v>
      </c>
      <c r="H688" s="53">
        <v>46157.035416666666</v>
      </c>
      <c r="I688" s="52"/>
      <c r="J688" s="52" t="s">
        <v>3693</v>
      </c>
      <c r="K688" s="53">
        <v>46157.156944444447</v>
      </c>
      <c r="L688" s="52"/>
      <c r="M688" s="54">
        <v>5.6437499999999998</v>
      </c>
      <c r="N688" s="54">
        <v>1.8083333333333333</v>
      </c>
      <c r="O688" s="52" t="s">
        <v>3423</v>
      </c>
      <c r="P688" s="52" t="s">
        <v>227</v>
      </c>
      <c r="Q688" s="52" t="s">
        <v>3422</v>
      </c>
      <c r="R688" s="52" t="s">
        <v>3356</v>
      </c>
      <c r="S688" s="52" t="s">
        <v>789</v>
      </c>
      <c r="T688" s="52" t="s">
        <v>3897</v>
      </c>
      <c r="U688" s="52" t="s">
        <v>4056</v>
      </c>
      <c r="V688" s="52" t="s">
        <v>4057</v>
      </c>
      <c r="W688" s="52">
        <v>74909223991</v>
      </c>
      <c r="X688" s="52" t="s">
        <v>73</v>
      </c>
      <c r="Y688" s="52" t="s">
        <v>3930</v>
      </c>
      <c r="Z688" s="52" t="s">
        <v>3696</v>
      </c>
      <c r="AA688" s="52" t="s">
        <v>3710</v>
      </c>
      <c r="AB688" s="52"/>
      <c r="AC688" s="52" t="s">
        <v>3720</v>
      </c>
      <c r="AD688" s="52" t="s">
        <v>3715</v>
      </c>
      <c r="AE688" s="52" t="s">
        <v>79</v>
      </c>
      <c r="AF688" s="52" t="s">
        <v>3899</v>
      </c>
      <c r="AG688" s="52" t="s">
        <v>3704</v>
      </c>
      <c r="AH688" s="52"/>
      <c r="AI688" s="52"/>
      <c r="AJ688" s="52"/>
      <c r="AK688" s="52"/>
      <c r="AL688" s="55">
        <v>3.6111111111111108E-2</v>
      </c>
      <c r="AM688" s="52"/>
      <c r="AN688" s="52"/>
      <c r="AO688" s="52"/>
      <c r="AP688" s="55">
        <v>3.6111111111111108E-2</v>
      </c>
      <c r="AQ688" s="52"/>
      <c r="AR688" s="52"/>
      <c r="AS688" s="52" t="s">
        <v>3696</v>
      </c>
      <c r="AT688" s="52"/>
      <c r="AU688" s="52"/>
      <c r="AV688" s="52"/>
      <c r="AW688" s="52"/>
    </row>
    <row r="689" spans="1:49">
      <c r="A689" s="52">
        <v>6022155</v>
      </c>
      <c r="B689" s="52" t="s">
        <v>3723</v>
      </c>
      <c r="C689" s="52" t="s">
        <v>3698</v>
      </c>
      <c r="D689" s="53">
        <v>46156.541666666664</v>
      </c>
      <c r="E689" s="53">
        <v>46155.650694444441</v>
      </c>
      <c r="F689" s="53">
        <v>46156.647916666669</v>
      </c>
      <c r="G689" s="53">
        <v>46162.291666666664</v>
      </c>
      <c r="H689" s="53">
        <v>46157.035416666666</v>
      </c>
      <c r="I689" s="52"/>
      <c r="J689" s="52" t="s">
        <v>3693</v>
      </c>
      <c r="K689" s="53">
        <v>46157.156944444447</v>
      </c>
      <c r="L689" s="52"/>
      <c r="M689" s="54">
        <v>5.6437499999999998</v>
      </c>
      <c r="N689" s="54">
        <v>1.8083333333333333</v>
      </c>
      <c r="O689" s="52" t="s">
        <v>3423</v>
      </c>
      <c r="P689" s="52" t="s">
        <v>227</v>
      </c>
      <c r="Q689" s="52" t="s">
        <v>3422</v>
      </c>
      <c r="R689" s="52" t="s">
        <v>3356</v>
      </c>
      <c r="S689" s="52" t="s">
        <v>789</v>
      </c>
      <c r="T689" s="52" t="s">
        <v>3897</v>
      </c>
      <c r="U689" s="52" t="s">
        <v>4056</v>
      </c>
      <c r="V689" s="52" t="s">
        <v>4057</v>
      </c>
      <c r="W689" s="52">
        <v>74909223991</v>
      </c>
      <c r="X689" s="52" t="s">
        <v>73</v>
      </c>
      <c r="Y689" s="52" t="s">
        <v>3930</v>
      </c>
      <c r="Z689" s="52" t="s">
        <v>3696</v>
      </c>
      <c r="AA689" s="52" t="s">
        <v>3710</v>
      </c>
      <c r="AB689" s="52"/>
      <c r="AC689" s="52" t="s">
        <v>3720</v>
      </c>
      <c r="AD689" s="52" t="s">
        <v>3715</v>
      </c>
      <c r="AE689" s="52"/>
      <c r="AF689" s="52" t="s">
        <v>3899</v>
      </c>
      <c r="AG689" s="52" t="s">
        <v>3704</v>
      </c>
      <c r="AH689" s="52"/>
      <c r="AI689" s="52"/>
      <c r="AJ689" s="52"/>
      <c r="AK689" s="52"/>
      <c r="AL689" s="55">
        <v>3.6111111111111108E-2</v>
      </c>
      <c r="AM689" s="52"/>
      <c r="AN689" s="52"/>
      <c r="AO689" s="52"/>
      <c r="AP689" s="55">
        <v>3.6111111111111108E-2</v>
      </c>
      <c r="AQ689" s="52"/>
      <c r="AR689" s="52"/>
      <c r="AS689" s="52" t="s">
        <v>3696</v>
      </c>
      <c r="AT689" s="52"/>
      <c r="AU689" s="52"/>
      <c r="AV689" s="52"/>
      <c r="AW689" s="52" t="s">
        <v>176</v>
      </c>
    </row>
    <row r="690" spans="1:49">
      <c r="A690" s="52">
        <v>6022156</v>
      </c>
      <c r="B690" s="52" t="s">
        <v>3723</v>
      </c>
      <c r="C690" s="52" t="s">
        <v>3692</v>
      </c>
      <c r="D690" s="53">
        <v>46155.6875</v>
      </c>
      <c r="E690" s="53">
        <v>46155.650694444441</v>
      </c>
      <c r="F690" s="53">
        <v>46155.759027777778</v>
      </c>
      <c r="G690" s="53">
        <v>46160.291666666664</v>
      </c>
      <c r="H690" s="52"/>
      <c r="I690" s="52" t="s">
        <v>3693</v>
      </c>
      <c r="J690" s="52" t="s">
        <v>3693</v>
      </c>
      <c r="K690" s="53">
        <v>46156.89166666667</v>
      </c>
      <c r="L690" s="52"/>
      <c r="M690" s="55">
        <v>0.1076388888888889</v>
      </c>
      <c r="N690" s="54">
        <v>1.7277777777777779</v>
      </c>
      <c r="O690" s="52"/>
      <c r="P690" s="52"/>
      <c r="Q690" s="52"/>
      <c r="R690" s="52"/>
      <c r="S690" s="52"/>
      <c r="T690" s="52" t="s">
        <v>3695</v>
      </c>
      <c r="U690" s="52" t="s">
        <v>4058</v>
      </c>
      <c r="V690" s="52"/>
      <c r="W690" s="52"/>
      <c r="X690" s="52"/>
      <c r="Y690" s="52"/>
      <c r="Z690" s="52" t="s">
        <v>3696</v>
      </c>
      <c r="AA690" s="52" t="s">
        <v>227</v>
      </c>
      <c r="AB690" s="52" t="s">
        <v>79</v>
      </c>
      <c r="AC690" s="52" t="s">
        <v>3720</v>
      </c>
      <c r="AD690" s="52" t="s">
        <v>3715</v>
      </c>
      <c r="AE690" s="52"/>
      <c r="AF690" s="52" t="s">
        <v>3899</v>
      </c>
      <c r="AG690" s="52" t="s">
        <v>3704</v>
      </c>
      <c r="AH690" s="52"/>
      <c r="AI690" s="52"/>
      <c r="AJ690" s="52"/>
      <c r="AK690" s="52"/>
      <c r="AL690" s="55">
        <v>2.1527777777777778E-2</v>
      </c>
      <c r="AM690" s="52"/>
      <c r="AN690" s="52"/>
      <c r="AO690" s="52"/>
      <c r="AP690" s="52"/>
      <c r="AQ690" s="52"/>
      <c r="AR690" s="52"/>
      <c r="AS690" s="52">
        <v>0</v>
      </c>
      <c r="AT690" s="52"/>
      <c r="AU690" s="52"/>
      <c r="AV690" s="52" t="s">
        <v>176</v>
      </c>
      <c r="AW690" s="52"/>
    </row>
    <row r="691" spans="1:49">
      <c r="A691" s="52">
        <v>6022156</v>
      </c>
      <c r="B691" s="52" t="s">
        <v>3723</v>
      </c>
      <c r="C691" s="52" t="s">
        <v>3698</v>
      </c>
      <c r="D691" s="53">
        <v>46155.6875</v>
      </c>
      <c r="E691" s="53">
        <v>46155.650694444441</v>
      </c>
      <c r="F691" s="53">
        <v>46155.76458333333</v>
      </c>
      <c r="G691" s="53">
        <v>46160.291666666664</v>
      </c>
      <c r="H691" s="53">
        <v>46156.838194444441</v>
      </c>
      <c r="I691" s="52"/>
      <c r="J691" s="52" t="s">
        <v>3693</v>
      </c>
      <c r="K691" s="53">
        <v>46156.89166666667</v>
      </c>
      <c r="L691" s="52"/>
      <c r="M691" s="54">
        <v>4.5270833333333336</v>
      </c>
      <c r="N691" s="54">
        <v>2.6916666666666669</v>
      </c>
      <c r="O691" s="52" t="s">
        <v>3267</v>
      </c>
      <c r="P691" s="52" t="s">
        <v>227</v>
      </c>
      <c r="Q691" s="52" t="s">
        <v>1801</v>
      </c>
      <c r="R691" s="52" t="s">
        <v>1811</v>
      </c>
      <c r="S691" s="52" t="s">
        <v>789</v>
      </c>
      <c r="T691" s="52" t="s">
        <v>3695</v>
      </c>
      <c r="U691" s="52" t="s">
        <v>4058</v>
      </c>
      <c r="V691" s="52" t="s">
        <v>1807</v>
      </c>
      <c r="W691" s="52">
        <v>49605372991</v>
      </c>
      <c r="X691" s="52" t="s">
        <v>73</v>
      </c>
      <c r="Y691" s="52"/>
      <c r="Z691" s="52" t="s">
        <v>3696</v>
      </c>
      <c r="AA691" s="52" t="s">
        <v>3710</v>
      </c>
      <c r="AB691" s="52"/>
      <c r="AC691" s="52" t="s">
        <v>3720</v>
      </c>
      <c r="AD691" s="52" t="s">
        <v>3715</v>
      </c>
      <c r="AE691" s="52" t="s">
        <v>79</v>
      </c>
      <c r="AF691" s="52" t="s">
        <v>3899</v>
      </c>
      <c r="AG691" s="52" t="s">
        <v>3704</v>
      </c>
      <c r="AH691" s="52"/>
      <c r="AI691" s="53">
        <v>46155.770138888889</v>
      </c>
      <c r="AJ691" s="53">
        <v>46155.791666666664</v>
      </c>
      <c r="AK691" s="53">
        <v>46155.770138888889</v>
      </c>
      <c r="AL691" s="55">
        <v>2.361111111111111E-2</v>
      </c>
      <c r="AM691" s="52"/>
      <c r="AN691" s="55">
        <v>2.1527777777777778E-2</v>
      </c>
      <c r="AO691" s="52"/>
      <c r="AP691" s="55">
        <v>2.361111111111111E-2</v>
      </c>
      <c r="AQ691" s="52"/>
      <c r="AR691" s="52"/>
      <c r="AS691" s="52" t="s">
        <v>3696</v>
      </c>
      <c r="AT691" s="52"/>
      <c r="AU691" s="52"/>
      <c r="AV691" s="52"/>
      <c r="AW691" s="52"/>
    </row>
    <row r="692" spans="1:49">
      <c r="A692" s="52">
        <v>6022156</v>
      </c>
      <c r="B692" s="52" t="s">
        <v>3723</v>
      </c>
      <c r="C692" s="52" t="s">
        <v>3698</v>
      </c>
      <c r="D692" s="53">
        <v>46155.6875</v>
      </c>
      <c r="E692" s="53">
        <v>46155.650694444441</v>
      </c>
      <c r="F692" s="53">
        <v>46155.76458333333</v>
      </c>
      <c r="G692" s="53">
        <v>46160.291666666664</v>
      </c>
      <c r="H692" s="53">
        <v>46156.838194444441</v>
      </c>
      <c r="I692" s="52"/>
      <c r="J692" s="52" t="s">
        <v>3693</v>
      </c>
      <c r="K692" s="53">
        <v>46156.89166666667</v>
      </c>
      <c r="L692" s="52"/>
      <c r="M692" s="54">
        <v>4.5270833333333336</v>
      </c>
      <c r="N692" s="54">
        <v>2.6916666666666669</v>
      </c>
      <c r="O692" s="52" t="s">
        <v>3267</v>
      </c>
      <c r="P692" s="52" t="s">
        <v>227</v>
      </c>
      <c r="Q692" s="52" t="s">
        <v>1801</v>
      </c>
      <c r="R692" s="52" t="s">
        <v>1811</v>
      </c>
      <c r="S692" s="52" t="s">
        <v>789</v>
      </c>
      <c r="T692" s="52" t="s">
        <v>3695</v>
      </c>
      <c r="U692" s="52" t="s">
        <v>4058</v>
      </c>
      <c r="V692" s="52" t="s">
        <v>1807</v>
      </c>
      <c r="W692" s="52">
        <v>49605372991</v>
      </c>
      <c r="X692" s="52" t="s">
        <v>73</v>
      </c>
      <c r="Y692" s="52"/>
      <c r="Z692" s="52" t="s">
        <v>3696</v>
      </c>
      <c r="AA692" s="52" t="s">
        <v>3710</v>
      </c>
      <c r="AB692" s="52"/>
      <c r="AC692" s="52" t="s">
        <v>3720</v>
      </c>
      <c r="AD692" s="52" t="s">
        <v>3715</v>
      </c>
      <c r="AE692" s="52"/>
      <c r="AF692" s="52" t="s">
        <v>3899</v>
      </c>
      <c r="AG692" s="52" t="s">
        <v>3704</v>
      </c>
      <c r="AH692" s="52"/>
      <c r="AI692" s="53">
        <v>46155.770138888889</v>
      </c>
      <c r="AJ692" s="53">
        <v>46155.791666666664</v>
      </c>
      <c r="AK692" s="53">
        <v>46155.770138888889</v>
      </c>
      <c r="AL692" s="55">
        <v>2.361111111111111E-2</v>
      </c>
      <c r="AM692" s="52"/>
      <c r="AN692" s="55">
        <v>2.1527777777777778E-2</v>
      </c>
      <c r="AO692" s="52"/>
      <c r="AP692" s="55">
        <v>2.361111111111111E-2</v>
      </c>
      <c r="AQ692" s="52"/>
      <c r="AR692" s="52"/>
      <c r="AS692" s="52" t="s">
        <v>3696</v>
      </c>
      <c r="AT692" s="52"/>
      <c r="AU692" s="52"/>
      <c r="AV692" s="52"/>
      <c r="AW692" s="52" t="s">
        <v>176</v>
      </c>
    </row>
    <row r="693" spans="1:49">
      <c r="A693" s="52">
        <v>6022158</v>
      </c>
      <c r="B693" s="52" t="s">
        <v>3716</v>
      </c>
      <c r="C693" s="52" t="s">
        <v>3717</v>
      </c>
      <c r="D693" s="53">
        <v>46157.479166666664</v>
      </c>
      <c r="E693" s="53">
        <v>46157.332638888889</v>
      </c>
      <c r="F693" s="53">
        <v>46157.887499999997</v>
      </c>
      <c r="G693" s="53">
        <v>46159.138888888891</v>
      </c>
      <c r="H693" s="53">
        <v>46157.88958333333</v>
      </c>
      <c r="I693" s="52" t="s">
        <v>3693</v>
      </c>
      <c r="J693" s="52" t="s">
        <v>3694</v>
      </c>
      <c r="K693" s="52"/>
      <c r="L693" s="52"/>
      <c r="M693" s="54">
        <v>1.1111111111111112</v>
      </c>
      <c r="N693" s="55">
        <v>0.68263888888888891</v>
      </c>
      <c r="O693" s="52"/>
      <c r="P693" s="52"/>
      <c r="Q693" s="52"/>
      <c r="R693" s="52"/>
      <c r="S693" s="52"/>
      <c r="T693" s="52" t="s">
        <v>3862</v>
      </c>
      <c r="U693" s="52" t="s">
        <v>4059</v>
      </c>
      <c r="V693" s="52"/>
      <c r="W693" s="52"/>
      <c r="X693" s="52"/>
      <c r="Y693" s="52"/>
      <c r="Z693" s="52" t="s">
        <v>3696</v>
      </c>
      <c r="AA693" s="52" t="s">
        <v>216</v>
      </c>
      <c r="AB693" s="52" t="s">
        <v>79</v>
      </c>
      <c r="AC693" s="52" t="s">
        <v>3720</v>
      </c>
      <c r="AD693" s="52" t="s">
        <v>3715</v>
      </c>
      <c r="AE693" s="52"/>
      <c r="AF693" s="52" t="s">
        <v>3720</v>
      </c>
      <c r="AG693" s="52" t="s">
        <v>3715</v>
      </c>
      <c r="AH693" s="52"/>
      <c r="AI693" s="52"/>
      <c r="AJ693" s="52"/>
      <c r="AK693" s="52"/>
      <c r="AL693" s="55">
        <v>3.4722222222222224E-2</v>
      </c>
      <c r="AM693" s="52"/>
      <c r="AN693" s="52"/>
      <c r="AO693" s="52"/>
      <c r="AP693" s="52"/>
      <c r="AQ693" s="52"/>
      <c r="AR693" s="52"/>
      <c r="AS693" s="52">
        <v>0</v>
      </c>
      <c r="AT693" s="52"/>
      <c r="AU693" s="52"/>
      <c r="AV693" s="52" t="s">
        <v>383</v>
      </c>
      <c r="AW693" s="52"/>
    </row>
    <row r="694" spans="1:49">
      <c r="A694" s="52">
        <v>6022158</v>
      </c>
      <c r="B694" s="52" t="s">
        <v>3716</v>
      </c>
      <c r="C694" s="52" t="s">
        <v>3698</v>
      </c>
      <c r="D694" s="53">
        <v>46157.479166666664</v>
      </c>
      <c r="E694" s="53">
        <v>46157.332638888889</v>
      </c>
      <c r="F694" s="53">
        <v>46157.88958333333</v>
      </c>
      <c r="G694" s="53">
        <v>46158.609027777777</v>
      </c>
      <c r="H694" s="52"/>
      <c r="I694" s="52"/>
      <c r="J694" s="52" t="s">
        <v>3694</v>
      </c>
      <c r="K694" s="53">
        <v>46159.084722222222</v>
      </c>
      <c r="L694" s="52"/>
      <c r="M694" s="55">
        <v>0.71944444444444444</v>
      </c>
      <c r="N694" s="55">
        <v>0.56666666666666665</v>
      </c>
      <c r="O694" s="52" t="s">
        <v>634</v>
      </c>
      <c r="P694" s="52" t="s">
        <v>216</v>
      </c>
      <c r="Q694" s="52" t="s">
        <v>633</v>
      </c>
      <c r="R694" s="52" t="s">
        <v>639</v>
      </c>
      <c r="S694" s="52" t="s">
        <v>69</v>
      </c>
      <c r="T694" s="52" t="s">
        <v>3862</v>
      </c>
      <c r="U694" s="52" t="s">
        <v>4059</v>
      </c>
      <c r="V694" s="52" t="s">
        <v>640</v>
      </c>
      <c r="W694" s="52">
        <v>9311752916</v>
      </c>
      <c r="X694" s="52" t="s">
        <v>73</v>
      </c>
      <c r="Y694" s="52" t="s">
        <v>3923</v>
      </c>
      <c r="Z694" s="52" t="s">
        <v>3696</v>
      </c>
      <c r="AA694" s="52" t="s">
        <v>3710</v>
      </c>
      <c r="AB694" s="52"/>
      <c r="AC694" s="52" t="s">
        <v>3720</v>
      </c>
      <c r="AD694" s="52" t="s">
        <v>3715</v>
      </c>
      <c r="AE694" s="52" t="s">
        <v>79</v>
      </c>
      <c r="AF694" s="52" t="s">
        <v>3732</v>
      </c>
      <c r="AG694" s="52" t="s">
        <v>3733</v>
      </c>
      <c r="AH694" s="52"/>
      <c r="AI694" s="53">
        <v>46157.88958333333</v>
      </c>
      <c r="AJ694" s="53">
        <v>46157.924305555556</v>
      </c>
      <c r="AK694" s="53">
        <v>46157.88958333333</v>
      </c>
      <c r="AL694" s="55">
        <v>3.4722222222222224E-2</v>
      </c>
      <c r="AM694" s="52"/>
      <c r="AN694" s="55">
        <v>3.4722222222222224E-2</v>
      </c>
      <c r="AO694" s="52"/>
      <c r="AP694" s="55">
        <v>3.4722222222222224E-2</v>
      </c>
      <c r="AQ694" s="52"/>
      <c r="AR694" s="52"/>
      <c r="AS694" s="52" t="s">
        <v>3696</v>
      </c>
      <c r="AT694" s="52"/>
      <c r="AU694" s="52"/>
      <c r="AV694" s="52"/>
      <c r="AW694" s="52"/>
    </row>
    <row r="695" spans="1:49">
      <c r="A695" s="52">
        <v>6022158</v>
      </c>
      <c r="B695" s="52" t="s">
        <v>3716</v>
      </c>
      <c r="C695" s="52" t="s">
        <v>3698</v>
      </c>
      <c r="D695" s="53">
        <v>46157.479166666664</v>
      </c>
      <c r="E695" s="53">
        <v>46157.332638888889</v>
      </c>
      <c r="F695" s="53">
        <v>46157.88958333333</v>
      </c>
      <c r="G695" s="53">
        <v>46158.609027777777</v>
      </c>
      <c r="H695" s="52"/>
      <c r="I695" s="52"/>
      <c r="J695" s="52" t="s">
        <v>3694</v>
      </c>
      <c r="K695" s="53">
        <v>46159.084722222222</v>
      </c>
      <c r="L695" s="52"/>
      <c r="M695" s="55">
        <v>0.71944444444444444</v>
      </c>
      <c r="N695" s="55">
        <v>0.56666666666666665</v>
      </c>
      <c r="O695" s="52" t="s">
        <v>634</v>
      </c>
      <c r="P695" s="52" t="s">
        <v>216</v>
      </c>
      <c r="Q695" s="52" t="s">
        <v>633</v>
      </c>
      <c r="R695" s="52" t="s">
        <v>639</v>
      </c>
      <c r="S695" s="52" t="s">
        <v>69</v>
      </c>
      <c r="T695" s="52" t="s">
        <v>3862</v>
      </c>
      <c r="U695" s="52" t="s">
        <v>4059</v>
      </c>
      <c r="V695" s="52" t="s">
        <v>640</v>
      </c>
      <c r="W695" s="52">
        <v>9311752916</v>
      </c>
      <c r="X695" s="52" t="s">
        <v>73</v>
      </c>
      <c r="Y695" s="52" t="s">
        <v>3923</v>
      </c>
      <c r="Z695" s="52" t="s">
        <v>3696</v>
      </c>
      <c r="AA695" s="52" t="s">
        <v>3710</v>
      </c>
      <c r="AB695" s="52"/>
      <c r="AC695" s="52" t="s">
        <v>3720</v>
      </c>
      <c r="AD695" s="52" t="s">
        <v>3715</v>
      </c>
      <c r="AE695" s="52"/>
      <c r="AF695" s="52" t="s">
        <v>3732</v>
      </c>
      <c r="AG695" s="52" t="s">
        <v>3733</v>
      </c>
      <c r="AH695" s="52"/>
      <c r="AI695" s="53">
        <v>46157.88958333333</v>
      </c>
      <c r="AJ695" s="53">
        <v>46157.924305555556</v>
      </c>
      <c r="AK695" s="53">
        <v>46157.88958333333</v>
      </c>
      <c r="AL695" s="55">
        <v>3.4722222222222224E-2</v>
      </c>
      <c r="AM695" s="52"/>
      <c r="AN695" s="55">
        <v>3.4722222222222224E-2</v>
      </c>
      <c r="AO695" s="52"/>
      <c r="AP695" s="55">
        <v>3.4722222222222224E-2</v>
      </c>
      <c r="AQ695" s="52"/>
      <c r="AR695" s="52"/>
      <c r="AS695" s="52" t="s">
        <v>3696</v>
      </c>
      <c r="AT695" s="52"/>
      <c r="AU695" s="52"/>
      <c r="AV695" s="52"/>
      <c r="AW695" s="52" t="s">
        <v>383</v>
      </c>
    </row>
    <row r="696" spans="1:49">
      <c r="A696" s="52">
        <v>6022159</v>
      </c>
      <c r="B696" s="52" t="s">
        <v>3716</v>
      </c>
      <c r="C696" s="52" t="s">
        <v>3692</v>
      </c>
      <c r="D696" s="53">
        <v>46157.3125</v>
      </c>
      <c r="E696" s="53">
        <v>46157.332638888889</v>
      </c>
      <c r="F696" s="53">
        <v>46157.884722222225</v>
      </c>
      <c r="G696" s="53">
        <v>46160.25</v>
      </c>
      <c r="H696" s="52"/>
      <c r="I696" s="52" t="s">
        <v>3693</v>
      </c>
      <c r="J696" s="52" t="s">
        <v>3694</v>
      </c>
      <c r="K696" s="53">
        <v>46159.281944444447</v>
      </c>
      <c r="L696" s="52"/>
      <c r="M696" s="54">
        <v>1.1111111111111112</v>
      </c>
      <c r="N696" s="55">
        <v>0.68263888888888891</v>
      </c>
      <c r="O696" s="52"/>
      <c r="P696" s="52"/>
      <c r="Q696" s="52"/>
      <c r="R696" s="52"/>
      <c r="S696" s="52"/>
      <c r="T696" s="52" t="s">
        <v>3862</v>
      </c>
      <c r="U696" s="52" t="s">
        <v>4060</v>
      </c>
      <c r="V696" s="52"/>
      <c r="W696" s="52"/>
      <c r="X696" s="52"/>
      <c r="Y696" s="52"/>
      <c r="Z696" s="52" t="s">
        <v>3696</v>
      </c>
      <c r="AA696" s="52" t="s">
        <v>216</v>
      </c>
      <c r="AB696" s="52" t="s">
        <v>79</v>
      </c>
      <c r="AC696" s="52" t="s">
        <v>3720</v>
      </c>
      <c r="AD696" s="52" t="s">
        <v>3715</v>
      </c>
      <c r="AE696" s="52"/>
      <c r="AF696" s="52" t="s">
        <v>3732</v>
      </c>
      <c r="AG696" s="52" t="s">
        <v>3733</v>
      </c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>
        <v>0</v>
      </c>
      <c r="AT696" s="52"/>
      <c r="AU696" s="52"/>
      <c r="AV696" s="52" t="s">
        <v>383</v>
      </c>
      <c r="AW696" s="52"/>
    </row>
    <row r="697" spans="1:49">
      <c r="A697" s="52">
        <v>6022159</v>
      </c>
      <c r="B697" s="52" t="s">
        <v>3716</v>
      </c>
      <c r="C697" s="52" t="s">
        <v>3698</v>
      </c>
      <c r="D697" s="53">
        <v>46157.3125</v>
      </c>
      <c r="E697" s="53">
        <v>46157.332638888889</v>
      </c>
      <c r="F697" s="52"/>
      <c r="G697" s="53">
        <v>46160.25</v>
      </c>
      <c r="H697" s="52"/>
      <c r="I697" s="52"/>
      <c r="J697" s="52" t="s">
        <v>3694</v>
      </c>
      <c r="K697" s="53">
        <v>46159.281944444447</v>
      </c>
      <c r="L697" s="52"/>
      <c r="M697" s="52"/>
      <c r="N697" s="52"/>
      <c r="O697" s="52" t="s">
        <v>3641</v>
      </c>
      <c r="P697" s="52" t="s">
        <v>216</v>
      </c>
      <c r="Q697" s="52" t="s">
        <v>3640</v>
      </c>
      <c r="R697" s="52" t="s">
        <v>3644</v>
      </c>
      <c r="S697" s="52" t="s">
        <v>3609</v>
      </c>
      <c r="T697" s="52" t="s">
        <v>3862</v>
      </c>
      <c r="U697" s="52" t="s">
        <v>4060</v>
      </c>
      <c r="V697" s="52" t="s">
        <v>3863</v>
      </c>
      <c r="W697" s="52">
        <v>2653503018</v>
      </c>
      <c r="X697" s="52" t="s">
        <v>73</v>
      </c>
      <c r="Y697" s="52"/>
      <c r="Z697" s="52" t="s">
        <v>3696</v>
      </c>
      <c r="AA697" s="52" t="s">
        <v>3710</v>
      </c>
      <c r="AB697" s="52"/>
      <c r="AC697" s="52" t="s">
        <v>3720</v>
      </c>
      <c r="AD697" s="52" t="s">
        <v>3715</v>
      </c>
      <c r="AE697" s="52" t="s">
        <v>79</v>
      </c>
      <c r="AF697" s="52" t="s">
        <v>3732</v>
      </c>
      <c r="AG697" s="52" t="s">
        <v>3733</v>
      </c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 t="s">
        <v>3696</v>
      </c>
      <c r="AT697" s="52"/>
      <c r="AU697" s="52"/>
      <c r="AV697" s="52"/>
      <c r="AW697" s="52"/>
    </row>
    <row r="698" spans="1:49">
      <c r="A698" s="52">
        <v>6022159</v>
      </c>
      <c r="B698" s="52" t="s">
        <v>3716</v>
      </c>
      <c r="C698" s="52" t="s">
        <v>3698</v>
      </c>
      <c r="D698" s="53">
        <v>46157.3125</v>
      </c>
      <c r="E698" s="53">
        <v>46157.332638888889</v>
      </c>
      <c r="F698" s="52"/>
      <c r="G698" s="53">
        <v>46160.25</v>
      </c>
      <c r="H698" s="52"/>
      <c r="I698" s="52"/>
      <c r="J698" s="52" t="s">
        <v>3694</v>
      </c>
      <c r="K698" s="53">
        <v>46159.281944444447</v>
      </c>
      <c r="L698" s="52"/>
      <c r="M698" s="52"/>
      <c r="N698" s="52"/>
      <c r="O698" s="52" t="s">
        <v>3641</v>
      </c>
      <c r="P698" s="52" t="s">
        <v>216</v>
      </c>
      <c r="Q698" s="52" t="s">
        <v>3640</v>
      </c>
      <c r="R698" s="52" t="s">
        <v>3644</v>
      </c>
      <c r="S698" s="52" t="s">
        <v>3609</v>
      </c>
      <c r="T698" s="52" t="s">
        <v>3862</v>
      </c>
      <c r="U698" s="52" t="s">
        <v>4060</v>
      </c>
      <c r="V698" s="52" t="s">
        <v>3863</v>
      </c>
      <c r="W698" s="52">
        <v>2653503018</v>
      </c>
      <c r="X698" s="52" t="s">
        <v>73</v>
      </c>
      <c r="Y698" s="52"/>
      <c r="Z698" s="52" t="s">
        <v>3696</v>
      </c>
      <c r="AA698" s="52" t="s">
        <v>3710</v>
      </c>
      <c r="AB698" s="52"/>
      <c r="AC698" s="52" t="s">
        <v>3720</v>
      </c>
      <c r="AD698" s="52" t="s">
        <v>3715</v>
      </c>
      <c r="AE698" s="52"/>
      <c r="AF698" s="52" t="s">
        <v>3732</v>
      </c>
      <c r="AG698" s="52" t="s">
        <v>3733</v>
      </c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 t="s">
        <v>3696</v>
      </c>
      <c r="AT698" s="52"/>
      <c r="AU698" s="52"/>
      <c r="AV698" s="52"/>
      <c r="AW698" s="52" t="s">
        <v>383</v>
      </c>
    </row>
    <row r="699" spans="1:49">
      <c r="A699" s="52">
        <v>6022160</v>
      </c>
      <c r="B699" s="52" t="s">
        <v>3716</v>
      </c>
      <c r="C699" s="52" t="s">
        <v>3692</v>
      </c>
      <c r="D699" s="53">
        <v>46157.645833333336</v>
      </c>
      <c r="E699" s="53">
        <v>46157.332638888889</v>
      </c>
      <c r="F699" s="53">
        <v>46157.696527777778</v>
      </c>
      <c r="G699" s="53">
        <v>46159.138888888891</v>
      </c>
      <c r="H699" s="53">
        <v>46157.697916666664</v>
      </c>
      <c r="I699" s="52" t="s">
        <v>3693</v>
      </c>
      <c r="J699" s="52" t="s">
        <v>3694</v>
      </c>
      <c r="K699" s="52"/>
      <c r="L699" s="52"/>
      <c r="M699" s="54">
        <v>1.1111111111111112</v>
      </c>
      <c r="N699" s="55">
        <v>0.68263888888888891</v>
      </c>
      <c r="O699" s="52"/>
      <c r="P699" s="52"/>
      <c r="Q699" s="52"/>
      <c r="R699" s="52"/>
      <c r="S699" s="52"/>
      <c r="T699" s="52" t="s">
        <v>4061</v>
      </c>
      <c r="U699" s="52" t="s">
        <v>4062</v>
      </c>
      <c r="V699" s="52"/>
      <c r="W699" s="52"/>
      <c r="X699" s="52"/>
      <c r="Y699" s="52"/>
      <c r="Z699" s="52" t="s">
        <v>3696</v>
      </c>
      <c r="AA699" s="52" t="s">
        <v>420</v>
      </c>
      <c r="AB699" s="52" t="s">
        <v>79</v>
      </c>
      <c r="AC699" s="52" t="s">
        <v>3720</v>
      </c>
      <c r="AD699" s="52" t="s">
        <v>3715</v>
      </c>
      <c r="AE699" s="52"/>
      <c r="AF699" s="52" t="s">
        <v>3720</v>
      </c>
      <c r="AG699" s="52" t="s">
        <v>3715</v>
      </c>
      <c r="AH699" s="52"/>
      <c r="AI699" s="52"/>
      <c r="AJ699" s="52"/>
      <c r="AK699" s="52"/>
      <c r="AL699" s="55">
        <v>7.8472222222222221E-2</v>
      </c>
      <c r="AM699" s="52"/>
      <c r="AN699" s="52"/>
      <c r="AO699" s="52"/>
      <c r="AP699" s="52"/>
      <c r="AQ699" s="52"/>
      <c r="AR699" s="52"/>
      <c r="AS699" s="52">
        <v>0</v>
      </c>
      <c r="AT699" s="52"/>
      <c r="AU699" s="52"/>
      <c r="AV699" s="52" t="s">
        <v>383</v>
      </c>
      <c r="AW699" s="52"/>
    </row>
    <row r="700" spans="1:49">
      <c r="A700" s="52">
        <v>6022160</v>
      </c>
      <c r="B700" s="52" t="s">
        <v>3716</v>
      </c>
      <c r="C700" s="52" t="s">
        <v>3698</v>
      </c>
      <c r="D700" s="53">
        <v>46157.645833333336</v>
      </c>
      <c r="E700" s="53">
        <v>46157.332638888889</v>
      </c>
      <c r="F700" s="53">
        <v>46157.7</v>
      </c>
      <c r="G700" s="53">
        <v>46158.443055555559</v>
      </c>
      <c r="H700" s="52"/>
      <c r="I700" s="52"/>
      <c r="J700" s="52" t="s">
        <v>3694</v>
      </c>
      <c r="K700" s="53">
        <v>46159.045138888891</v>
      </c>
      <c r="L700" s="52"/>
      <c r="M700" s="55">
        <v>0.74305555555555558</v>
      </c>
      <c r="N700" s="55">
        <v>0.75624999999999998</v>
      </c>
      <c r="O700" s="52" t="s">
        <v>419</v>
      </c>
      <c r="P700" s="52" t="s">
        <v>420</v>
      </c>
      <c r="Q700" s="52" t="s">
        <v>418</v>
      </c>
      <c r="R700" s="52" t="s">
        <v>427</v>
      </c>
      <c r="S700" s="52" t="s">
        <v>69</v>
      </c>
      <c r="T700" s="52" t="s">
        <v>4061</v>
      </c>
      <c r="U700" s="52" t="s">
        <v>4062</v>
      </c>
      <c r="V700" s="52" t="s">
        <v>428</v>
      </c>
      <c r="W700" s="52">
        <v>3462591932</v>
      </c>
      <c r="X700" s="52" t="s">
        <v>73</v>
      </c>
      <c r="Y700" s="52"/>
      <c r="Z700" s="52" t="s">
        <v>3696</v>
      </c>
      <c r="AA700" s="52" t="s">
        <v>3710</v>
      </c>
      <c r="AB700" s="52"/>
      <c r="AC700" s="52" t="s">
        <v>3720</v>
      </c>
      <c r="AD700" s="52" t="s">
        <v>3715</v>
      </c>
      <c r="AE700" s="52" t="s">
        <v>79</v>
      </c>
      <c r="AF700" s="52" t="s">
        <v>3732</v>
      </c>
      <c r="AG700" s="52" t="s">
        <v>3733</v>
      </c>
      <c r="AH700" s="52"/>
      <c r="AI700" s="53">
        <v>46157.697916666664</v>
      </c>
      <c r="AJ700" s="53">
        <v>46157.776388888888</v>
      </c>
      <c r="AK700" s="53">
        <v>46157.697916666664</v>
      </c>
      <c r="AL700" s="55">
        <v>7.8472222222222221E-2</v>
      </c>
      <c r="AM700" s="52"/>
      <c r="AN700" s="55">
        <v>7.8472222222222221E-2</v>
      </c>
      <c r="AO700" s="52"/>
      <c r="AP700" s="55">
        <v>7.8472222222222221E-2</v>
      </c>
      <c r="AQ700" s="52"/>
      <c r="AR700" s="52"/>
      <c r="AS700" s="52" t="s">
        <v>3696</v>
      </c>
      <c r="AT700" s="52"/>
      <c r="AU700" s="52"/>
      <c r="AV700" s="52"/>
      <c r="AW700" s="52"/>
    </row>
    <row r="701" spans="1:49">
      <c r="A701" s="52">
        <v>6022160</v>
      </c>
      <c r="B701" s="52" t="s">
        <v>3716</v>
      </c>
      <c r="C701" s="52" t="s">
        <v>3698</v>
      </c>
      <c r="D701" s="53">
        <v>46157.645833333336</v>
      </c>
      <c r="E701" s="53">
        <v>46157.332638888889</v>
      </c>
      <c r="F701" s="53">
        <v>46157.7</v>
      </c>
      <c r="G701" s="53">
        <v>46158.443055555559</v>
      </c>
      <c r="H701" s="52"/>
      <c r="I701" s="52"/>
      <c r="J701" s="52" t="s">
        <v>3694</v>
      </c>
      <c r="K701" s="53">
        <v>46159.045138888891</v>
      </c>
      <c r="L701" s="52"/>
      <c r="M701" s="55">
        <v>0.74305555555555558</v>
      </c>
      <c r="N701" s="55">
        <v>0.75624999999999998</v>
      </c>
      <c r="O701" s="52" t="s">
        <v>419</v>
      </c>
      <c r="P701" s="52" t="s">
        <v>420</v>
      </c>
      <c r="Q701" s="52" t="s">
        <v>418</v>
      </c>
      <c r="R701" s="52" t="s">
        <v>427</v>
      </c>
      <c r="S701" s="52" t="s">
        <v>69</v>
      </c>
      <c r="T701" s="52" t="s">
        <v>4061</v>
      </c>
      <c r="U701" s="52" t="s">
        <v>4062</v>
      </c>
      <c r="V701" s="52" t="s">
        <v>428</v>
      </c>
      <c r="W701" s="52">
        <v>3462591932</v>
      </c>
      <c r="X701" s="52" t="s">
        <v>73</v>
      </c>
      <c r="Y701" s="52"/>
      <c r="Z701" s="52" t="s">
        <v>3696</v>
      </c>
      <c r="AA701" s="52" t="s">
        <v>3710</v>
      </c>
      <c r="AB701" s="52"/>
      <c r="AC701" s="52" t="s">
        <v>3720</v>
      </c>
      <c r="AD701" s="52" t="s">
        <v>3715</v>
      </c>
      <c r="AE701" s="52"/>
      <c r="AF701" s="52" t="s">
        <v>3732</v>
      </c>
      <c r="AG701" s="52" t="s">
        <v>3733</v>
      </c>
      <c r="AH701" s="52"/>
      <c r="AI701" s="53">
        <v>46157.697916666664</v>
      </c>
      <c r="AJ701" s="53">
        <v>46157.776388888888</v>
      </c>
      <c r="AK701" s="53">
        <v>46157.697916666664</v>
      </c>
      <c r="AL701" s="55">
        <v>7.8472222222222221E-2</v>
      </c>
      <c r="AM701" s="52"/>
      <c r="AN701" s="55">
        <v>7.8472222222222221E-2</v>
      </c>
      <c r="AO701" s="52"/>
      <c r="AP701" s="55">
        <v>7.8472222222222221E-2</v>
      </c>
      <c r="AQ701" s="52"/>
      <c r="AR701" s="52"/>
      <c r="AS701" s="52" t="s">
        <v>3696</v>
      </c>
      <c r="AT701" s="52"/>
      <c r="AU701" s="52"/>
      <c r="AV701" s="52"/>
      <c r="AW701" s="52" t="s">
        <v>383</v>
      </c>
    </row>
    <row r="702" spans="1:49">
      <c r="A702" s="52">
        <v>6022171</v>
      </c>
      <c r="B702" s="52" t="s">
        <v>3691</v>
      </c>
      <c r="C702" s="52" t="s">
        <v>3692</v>
      </c>
      <c r="D702" s="53">
        <v>46158.333333333336</v>
      </c>
      <c r="E702" s="53">
        <v>46157.584722222222</v>
      </c>
      <c r="F702" s="52"/>
      <c r="G702" s="52"/>
      <c r="H702" s="52"/>
      <c r="I702" s="52" t="s">
        <v>3693</v>
      </c>
      <c r="J702" s="52" t="s">
        <v>3694</v>
      </c>
      <c r="K702" s="52"/>
      <c r="L702" s="52"/>
      <c r="M702" s="54">
        <v>1.1111111111111112</v>
      </c>
      <c r="N702" s="55">
        <v>0.68263888888888891</v>
      </c>
      <c r="O702" s="52"/>
      <c r="P702" s="52"/>
      <c r="Q702" s="52"/>
      <c r="R702" s="52"/>
      <c r="S702" s="52"/>
      <c r="T702" s="52" t="s">
        <v>3695</v>
      </c>
      <c r="U702" s="52" t="s">
        <v>3695</v>
      </c>
      <c r="V702" s="52"/>
      <c r="W702" s="52"/>
      <c r="X702" s="52"/>
      <c r="Y702" s="52"/>
      <c r="Z702" s="52" t="s">
        <v>3696</v>
      </c>
      <c r="AA702" s="52" t="s">
        <v>216</v>
      </c>
      <c r="AB702" s="52" t="s">
        <v>79</v>
      </c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>
        <v>0</v>
      </c>
      <c r="AT702" s="52"/>
      <c r="AU702" s="52"/>
      <c r="AV702" s="52" t="s">
        <v>383</v>
      </c>
      <c r="AW702" s="52"/>
    </row>
    <row r="703" spans="1:49">
      <c r="A703" s="52">
        <v>6022171</v>
      </c>
      <c r="B703" s="52" t="s">
        <v>3691</v>
      </c>
      <c r="C703" s="52" t="s">
        <v>3698</v>
      </c>
      <c r="D703" s="53">
        <v>46158.333333333336</v>
      </c>
      <c r="E703" s="53">
        <v>46157.584722222222</v>
      </c>
      <c r="F703" s="52"/>
      <c r="G703" s="52"/>
      <c r="H703" s="52"/>
      <c r="I703" s="52"/>
      <c r="J703" s="52" t="s">
        <v>3694</v>
      </c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 t="s">
        <v>3696</v>
      </c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>
        <v>0</v>
      </c>
      <c r="AT703" s="52"/>
      <c r="AU703" s="52"/>
      <c r="AV703" s="52"/>
      <c r="AW703" s="52"/>
    </row>
    <row r="704" spans="1:49">
      <c r="A704" s="52">
        <v>6022172</v>
      </c>
      <c r="B704" s="52" t="s">
        <v>3691</v>
      </c>
      <c r="C704" s="52" t="s">
        <v>3692</v>
      </c>
      <c r="D704" s="53">
        <v>46160.75</v>
      </c>
      <c r="E704" s="53">
        <v>46157.709027777775</v>
      </c>
      <c r="F704" s="52"/>
      <c r="G704" s="52"/>
      <c r="H704" s="52"/>
      <c r="I704" s="52" t="s">
        <v>3693</v>
      </c>
      <c r="J704" s="52" t="s">
        <v>3694</v>
      </c>
      <c r="K704" s="52"/>
      <c r="L704" s="52"/>
      <c r="M704" s="55">
        <v>0.44236111111111109</v>
      </c>
      <c r="N704" s="54">
        <v>15.35138888888889</v>
      </c>
      <c r="O704" s="52"/>
      <c r="P704" s="52"/>
      <c r="Q704" s="52"/>
      <c r="R704" s="52"/>
      <c r="S704" s="52"/>
      <c r="T704" s="52" t="s">
        <v>3695</v>
      </c>
      <c r="U704" s="52" t="s">
        <v>3695</v>
      </c>
      <c r="V704" s="52"/>
      <c r="W704" s="52"/>
      <c r="X704" s="52"/>
      <c r="Y704" s="52"/>
      <c r="Z704" s="52" t="s">
        <v>3696</v>
      </c>
      <c r="AA704" s="52" t="s">
        <v>836</v>
      </c>
      <c r="AB704" s="52" t="s">
        <v>79</v>
      </c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>
        <v>0</v>
      </c>
      <c r="AT704" s="52"/>
      <c r="AU704" s="52"/>
      <c r="AV704" s="52" t="s">
        <v>840</v>
      </c>
      <c r="AW704" s="52"/>
    </row>
    <row r="705" spans="1:49">
      <c r="A705" s="52">
        <v>6022172</v>
      </c>
      <c r="B705" s="52" t="s">
        <v>3691</v>
      </c>
      <c r="C705" s="52" t="s">
        <v>3698</v>
      </c>
      <c r="D705" s="53">
        <v>46160.75</v>
      </c>
      <c r="E705" s="53">
        <v>46157.709027777775</v>
      </c>
      <c r="F705" s="52"/>
      <c r="G705" s="52"/>
      <c r="H705" s="52"/>
      <c r="I705" s="52"/>
      <c r="J705" s="52" t="s">
        <v>3694</v>
      </c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 t="s">
        <v>3696</v>
      </c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>
        <v>0</v>
      </c>
      <c r="AT705" s="52"/>
      <c r="AU705" s="52"/>
      <c r="AV705" s="52"/>
      <c r="AW705" s="52"/>
    </row>
    <row r="706" spans="1:49">
      <c r="A706" s="52">
        <v>6022173</v>
      </c>
      <c r="B706" s="52" t="s">
        <v>3716</v>
      </c>
      <c r="C706" s="52" t="s">
        <v>3717</v>
      </c>
      <c r="D706" s="53">
        <v>46157.770833333336</v>
      </c>
      <c r="E706" s="53">
        <v>46157.332638888889</v>
      </c>
      <c r="F706" s="53">
        <v>46157.661111111112</v>
      </c>
      <c r="G706" s="53">
        <v>46159.395833333336</v>
      </c>
      <c r="H706" s="53">
        <v>46157.661805555559</v>
      </c>
      <c r="I706" s="52" t="s">
        <v>3693</v>
      </c>
      <c r="J706" s="52" t="s">
        <v>3694</v>
      </c>
      <c r="K706" s="52"/>
      <c r="L706" s="52"/>
      <c r="M706" s="55">
        <v>0.5625</v>
      </c>
      <c r="N706" s="55">
        <v>0.93958333333333333</v>
      </c>
      <c r="O706" s="52"/>
      <c r="P706" s="52"/>
      <c r="Q706" s="52"/>
      <c r="R706" s="52"/>
      <c r="S706" s="52"/>
      <c r="T706" s="52" t="s">
        <v>4063</v>
      </c>
      <c r="U706" s="52" t="s">
        <v>4028</v>
      </c>
      <c r="V706" s="52"/>
      <c r="W706" s="52"/>
      <c r="X706" s="52"/>
      <c r="Y706" s="52"/>
      <c r="Z706" s="52" t="s">
        <v>3696</v>
      </c>
      <c r="AA706" s="52" t="s">
        <v>171</v>
      </c>
      <c r="AB706" s="52" t="s">
        <v>79</v>
      </c>
      <c r="AC706" s="52" t="s">
        <v>3720</v>
      </c>
      <c r="AD706" s="52" t="s">
        <v>3715</v>
      </c>
      <c r="AE706" s="52"/>
      <c r="AF706" s="52" t="s">
        <v>3720</v>
      </c>
      <c r="AG706" s="52" t="s">
        <v>3715</v>
      </c>
      <c r="AH706" s="52"/>
      <c r="AI706" s="52"/>
      <c r="AJ706" s="52"/>
      <c r="AK706" s="52"/>
      <c r="AL706" s="55">
        <v>0.26111111111111113</v>
      </c>
      <c r="AM706" s="52"/>
      <c r="AN706" s="52"/>
      <c r="AO706" s="52"/>
      <c r="AP706" s="52"/>
      <c r="AQ706" s="52"/>
      <c r="AR706" s="52"/>
      <c r="AS706" s="52">
        <v>0</v>
      </c>
      <c r="AT706" s="52"/>
      <c r="AU706" s="52"/>
      <c r="AV706" s="52" t="s">
        <v>372</v>
      </c>
      <c r="AW706" s="52"/>
    </row>
    <row r="707" spans="1:49">
      <c r="A707" s="52">
        <v>6022173</v>
      </c>
      <c r="B707" s="52" t="s">
        <v>3716</v>
      </c>
      <c r="C707" s="52" t="s">
        <v>3698</v>
      </c>
      <c r="D707" s="53">
        <v>46157.770833333336</v>
      </c>
      <c r="E707" s="53">
        <v>46157.332638888889</v>
      </c>
      <c r="F707" s="53">
        <v>46157.672222222223</v>
      </c>
      <c r="G707" s="53">
        <v>46158.304166666669</v>
      </c>
      <c r="H707" s="52"/>
      <c r="I707" s="52"/>
      <c r="J707" s="52" t="s">
        <v>3694</v>
      </c>
      <c r="K707" s="53">
        <v>46158.706250000003</v>
      </c>
      <c r="L707" s="52"/>
      <c r="M707" s="55">
        <v>0.63194444444444442</v>
      </c>
      <c r="N707" s="55">
        <v>0.78402777777777777</v>
      </c>
      <c r="O707" s="52" t="s">
        <v>367</v>
      </c>
      <c r="P707" s="52" t="s">
        <v>171</v>
      </c>
      <c r="Q707" s="52" t="s">
        <v>366</v>
      </c>
      <c r="R707" s="52" t="s">
        <v>375</v>
      </c>
      <c r="S707" s="52" t="s">
        <v>69</v>
      </c>
      <c r="T707" s="52" t="s">
        <v>4063</v>
      </c>
      <c r="U707" s="52" t="s">
        <v>4028</v>
      </c>
      <c r="V707" s="52" t="s">
        <v>3984</v>
      </c>
      <c r="W707" s="52">
        <v>54746680906</v>
      </c>
      <c r="X707" s="52" t="s">
        <v>73</v>
      </c>
      <c r="Y707" s="52"/>
      <c r="Z707" s="52" t="s">
        <v>3696</v>
      </c>
      <c r="AA707" s="52" t="s">
        <v>3710</v>
      </c>
      <c r="AB707" s="52"/>
      <c r="AC707" s="52" t="s">
        <v>3720</v>
      </c>
      <c r="AD707" s="52" t="s">
        <v>3715</v>
      </c>
      <c r="AE707" s="52" t="s">
        <v>79</v>
      </c>
      <c r="AF707" s="52" t="s">
        <v>4064</v>
      </c>
      <c r="AG707" s="52" t="s">
        <v>3704</v>
      </c>
      <c r="AH707" s="52"/>
      <c r="AI707" s="53">
        <v>46157.661805555559</v>
      </c>
      <c r="AJ707" s="53">
        <v>46157.92291666667</v>
      </c>
      <c r="AK707" s="53">
        <v>46157.661805555559</v>
      </c>
      <c r="AL707" s="55">
        <v>0.26111111111111113</v>
      </c>
      <c r="AM707" s="52"/>
      <c r="AN707" s="55">
        <v>0.26111111111111113</v>
      </c>
      <c r="AO707" s="52"/>
      <c r="AP707" s="55">
        <v>0.26111111111111113</v>
      </c>
      <c r="AQ707" s="52"/>
      <c r="AR707" s="52"/>
      <c r="AS707" s="52" t="s">
        <v>3696</v>
      </c>
      <c r="AT707" s="52"/>
      <c r="AU707" s="52"/>
      <c r="AV707" s="52"/>
      <c r="AW707" s="52"/>
    </row>
    <row r="708" spans="1:49">
      <c r="A708" s="52">
        <v>6022173</v>
      </c>
      <c r="B708" s="52" t="s">
        <v>3716</v>
      </c>
      <c r="C708" s="52" t="s">
        <v>3698</v>
      </c>
      <c r="D708" s="53">
        <v>46157.770833333336</v>
      </c>
      <c r="E708" s="53">
        <v>46157.332638888889</v>
      </c>
      <c r="F708" s="53">
        <v>46157.672222222223</v>
      </c>
      <c r="G708" s="53">
        <v>46158.304166666669</v>
      </c>
      <c r="H708" s="52"/>
      <c r="I708" s="52"/>
      <c r="J708" s="52" t="s">
        <v>3694</v>
      </c>
      <c r="K708" s="53">
        <v>46158.706250000003</v>
      </c>
      <c r="L708" s="52"/>
      <c r="M708" s="55">
        <v>0.63194444444444442</v>
      </c>
      <c r="N708" s="55">
        <v>0.78402777777777777</v>
      </c>
      <c r="O708" s="52" t="s">
        <v>367</v>
      </c>
      <c r="P708" s="52" t="s">
        <v>171</v>
      </c>
      <c r="Q708" s="52" t="s">
        <v>366</v>
      </c>
      <c r="R708" s="52" t="s">
        <v>375</v>
      </c>
      <c r="S708" s="52" t="s">
        <v>69</v>
      </c>
      <c r="T708" s="52" t="s">
        <v>4063</v>
      </c>
      <c r="U708" s="52" t="s">
        <v>4028</v>
      </c>
      <c r="V708" s="52" t="s">
        <v>3984</v>
      </c>
      <c r="W708" s="52">
        <v>54746680906</v>
      </c>
      <c r="X708" s="52" t="s">
        <v>73</v>
      </c>
      <c r="Y708" s="52"/>
      <c r="Z708" s="52" t="s">
        <v>3696</v>
      </c>
      <c r="AA708" s="52" t="s">
        <v>3710</v>
      </c>
      <c r="AB708" s="52"/>
      <c r="AC708" s="52" t="s">
        <v>3720</v>
      </c>
      <c r="AD708" s="52" t="s">
        <v>3715</v>
      </c>
      <c r="AE708" s="52"/>
      <c r="AF708" s="52" t="s">
        <v>4064</v>
      </c>
      <c r="AG708" s="52" t="s">
        <v>3704</v>
      </c>
      <c r="AH708" s="52"/>
      <c r="AI708" s="53">
        <v>46157.661805555559</v>
      </c>
      <c r="AJ708" s="53">
        <v>46157.92291666667</v>
      </c>
      <c r="AK708" s="53">
        <v>46157.661805555559</v>
      </c>
      <c r="AL708" s="55">
        <v>0.26111111111111113</v>
      </c>
      <c r="AM708" s="52"/>
      <c r="AN708" s="55">
        <v>0.26111111111111113</v>
      </c>
      <c r="AO708" s="52"/>
      <c r="AP708" s="55">
        <v>0.26111111111111113</v>
      </c>
      <c r="AQ708" s="52"/>
      <c r="AR708" s="52"/>
      <c r="AS708" s="52" t="s">
        <v>3696</v>
      </c>
      <c r="AT708" s="52"/>
      <c r="AU708" s="52"/>
      <c r="AV708" s="52"/>
      <c r="AW708" s="52" t="s">
        <v>372</v>
      </c>
    </row>
    <row r="709" spans="1:49">
      <c r="A709" s="52">
        <v>6022174</v>
      </c>
      <c r="B709" s="52" t="s">
        <v>3716</v>
      </c>
      <c r="C709" s="52" t="s">
        <v>3717</v>
      </c>
      <c r="D709" s="53">
        <v>46157.770833333336</v>
      </c>
      <c r="E709" s="53">
        <v>46157.332638888889</v>
      </c>
      <c r="F709" s="53">
        <v>46157.661111111112</v>
      </c>
      <c r="G709" s="53">
        <v>46159.395833333336</v>
      </c>
      <c r="H709" s="53">
        <v>46157.661805555559</v>
      </c>
      <c r="I709" s="52" t="s">
        <v>3693</v>
      </c>
      <c r="J709" s="52" t="s">
        <v>3694</v>
      </c>
      <c r="K709" s="52"/>
      <c r="L709" s="52"/>
      <c r="M709" s="55">
        <v>0.5625</v>
      </c>
      <c r="N709" s="55">
        <v>0.93958333333333333</v>
      </c>
      <c r="O709" s="52"/>
      <c r="P709" s="52"/>
      <c r="Q709" s="52"/>
      <c r="R709" s="52"/>
      <c r="S709" s="52"/>
      <c r="T709" s="52" t="s">
        <v>4063</v>
      </c>
      <c r="U709" s="52" t="s">
        <v>4028</v>
      </c>
      <c r="V709" s="52"/>
      <c r="W709" s="52"/>
      <c r="X709" s="52"/>
      <c r="Y709" s="52"/>
      <c r="Z709" s="52" t="s">
        <v>3696</v>
      </c>
      <c r="AA709" s="52" t="s">
        <v>171</v>
      </c>
      <c r="AB709" s="52" t="s">
        <v>79</v>
      </c>
      <c r="AC709" s="52" t="s">
        <v>3720</v>
      </c>
      <c r="AD709" s="52" t="s">
        <v>3715</v>
      </c>
      <c r="AE709" s="52"/>
      <c r="AF709" s="52" t="s">
        <v>3720</v>
      </c>
      <c r="AG709" s="52" t="s">
        <v>3715</v>
      </c>
      <c r="AH709" s="52"/>
      <c r="AI709" s="52"/>
      <c r="AJ709" s="52"/>
      <c r="AK709" s="52"/>
      <c r="AL709" s="55">
        <v>0.26111111111111113</v>
      </c>
      <c r="AM709" s="52"/>
      <c r="AN709" s="52"/>
      <c r="AO709" s="52"/>
      <c r="AP709" s="52"/>
      <c r="AQ709" s="52"/>
      <c r="AR709" s="52"/>
      <c r="AS709" s="52">
        <v>0</v>
      </c>
      <c r="AT709" s="52"/>
      <c r="AU709" s="52"/>
      <c r="AV709" s="52" t="s">
        <v>372</v>
      </c>
      <c r="AW709" s="52"/>
    </row>
    <row r="710" spans="1:49">
      <c r="A710" s="52">
        <v>6022174</v>
      </c>
      <c r="B710" s="52" t="s">
        <v>3716</v>
      </c>
      <c r="C710" s="52" t="s">
        <v>3698</v>
      </c>
      <c r="D710" s="53">
        <v>46157.770833333336</v>
      </c>
      <c r="E710" s="53">
        <v>46157.332638888889</v>
      </c>
      <c r="F710" s="53">
        <v>46157.672222222223</v>
      </c>
      <c r="G710" s="53">
        <v>46158.304166666669</v>
      </c>
      <c r="H710" s="52"/>
      <c r="I710" s="52"/>
      <c r="J710" s="52" t="s">
        <v>3694</v>
      </c>
      <c r="K710" s="53">
        <v>46158.706250000003</v>
      </c>
      <c r="L710" s="52"/>
      <c r="M710" s="55">
        <v>0.63194444444444442</v>
      </c>
      <c r="N710" s="55">
        <v>0.78402777777777777</v>
      </c>
      <c r="O710" s="52" t="s">
        <v>367</v>
      </c>
      <c r="P710" s="52" t="s">
        <v>171</v>
      </c>
      <c r="Q710" s="52" t="s">
        <v>366</v>
      </c>
      <c r="R710" s="52" t="s">
        <v>375</v>
      </c>
      <c r="S710" s="52" t="s">
        <v>69</v>
      </c>
      <c r="T710" s="52" t="s">
        <v>4063</v>
      </c>
      <c r="U710" s="52" t="s">
        <v>4028</v>
      </c>
      <c r="V710" s="52" t="s">
        <v>3984</v>
      </c>
      <c r="W710" s="52">
        <v>54746680906</v>
      </c>
      <c r="X710" s="52" t="s">
        <v>73</v>
      </c>
      <c r="Y710" s="52"/>
      <c r="Z710" s="52" t="s">
        <v>3696</v>
      </c>
      <c r="AA710" s="52" t="s">
        <v>3710</v>
      </c>
      <c r="AB710" s="52"/>
      <c r="AC710" s="52" t="s">
        <v>3720</v>
      </c>
      <c r="AD710" s="52" t="s">
        <v>3715</v>
      </c>
      <c r="AE710" s="52" t="s">
        <v>79</v>
      </c>
      <c r="AF710" s="52" t="s">
        <v>4064</v>
      </c>
      <c r="AG710" s="52" t="s">
        <v>3704</v>
      </c>
      <c r="AH710" s="52"/>
      <c r="AI710" s="53">
        <v>46157.661805555559</v>
      </c>
      <c r="AJ710" s="53">
        <v>46157.92291666667</v>
      </c>
      <c r="AK710" s="53">
        <v>46157.661805555559</v>
      </c>
      <c r="AL710" s="55">
        <v>0.26111111111111113</v>
      </c>
      <c r="AM710" s="52"/>
      <c r="AN710" s="55">
        <v>0.26111111111111113</v>
      </c>
      <c r="AO710" s="52"/>
      <c r="AP710" s="55">
        <v>0.26111111111111113</v>
      </c>
      <c r="AQ710" s="52"/>
      <c r="AR710" s="52"/>
      <c r="AS710" s="52" t="s">
        <v>3696</v>
      </c>
      <c r="AT710" s="52"/>
      <c r="AU710" s="52"/>
      <c r="AV710" s="52"/>
      <c r="AW710" s="52"/>
    </row>
    <row r="711" spans="1:49">
      <c r="A711" s="52">
        <v>6022174</v>
      </c>
      <c r="B711" s="52" t="s">
        <v>3716</v>
      </c>
      <c r="C711" s="52" t="s">
        <v>3698</v>
      </c>
      <c r="D711" s="53">
        <v>46157.770833333336</v>
      </c>
      <c r="E711" s="53">
        <v>46157.332638888889</v>
      </c>
      <c r="F711" s="53">
        <v>46157.672222222223</v>
      </c>
      <c r="G711" s="53">
        <v>46158.304166666669</v>
      </c>
      <c r="H711" s="52"/>
      <c r="I711" s="52"/>
      <c r="J711" s="52" t="s">
        <v>3694</v>
      </c>
      <c r="K711" s="53">
        <v>46158.706250000003</v>
      </c>
      <c r="L711" s="52"/>
      <c r="M711" s="55">
        <v>0.63194444444444442</v>
      </c>
      <c r="N711" s="55">
        <v>0.78402777777777777</v>
      </c>
      <c r="O711" s="52" t="s">
        <v>367</v>
      </c>
      <c r="P711" s="52" t="s">
        <v>171</v>
      </c>
      <c r="Q711" s="52" t="s">
        <v>366</v>
      </c>
      <c r="R711" s="52" t="s">
        <v>375</v>
      </c>
      <c r="S711" s="52" t="s">
        <v>69</v>
      </c>
      <c r="T711" s="52" t="s">
        <v>4063</v>
      </c>
      <c r="U711" s="52" t="s">
        <v>4028</v>
      </c>
      <c r="V711" s="52" t="s">
        <v>3984</v>
      </c>
      <c r="W711" s="52">
        <v>54746680906</v>
      </c>
      <c r="X711" s="52" t="s">
        <v>73</v>
      </c>
      <c r="Y711" s="52"/>
      <c r="Z711" s="52" t="s">
        <v>3696</v>
      </c>
      <c r="AA711" s="52" t="s">
        <v>3710</v>
      </c>
      <c r="AB711" s="52"/>
      <c r="AC711" s="52" t="s">
        <v>3720</v>
      </c>
      <c r="AD711" s="52" t="s">
        <v>3715</v>
      </c>
      <c r="AE711" s="52"/>
      <c r="AF711" s="52" t="s">
        <v>4064</v>
      </c>
      <c r="AG711" s="52" t="s">
        <v>3704</v>
      </c>
      <c r="AH711" s="52"/>
      <c r="AI711" s="53">
        <v>46157.661805555559</v>
      </c>
      <c r="AJ711" s="53">
        <v>46157.92291666667</v>
      </c>
      <c r="AK711" s="53">
        <v>46157.661805555559</v>
      </c>
      <c r="AL711" s="55">
        <v>0.26111111111111113</v>
      </c>
      <c r="AM711" s="52"/>
      <c r="AN711" s="55">
        <v>0.26111111111111113</v>
      </c>
      <c r="AO711" s="52"/>
      <c r="AP711" s="55">
        <v>0.26111111111111113</v>
      </c>
      <c r="AQ711" s="52"/>
      <c r="AR711" s="52"/>
      <c r="AS711" s="52" t="s">
        <v>3696</v>
      </c>
      <c r="AT711" s="52"/>
      <c r="AU711" s="52"/>
      <c r="AV711" s="52"/>
      <c r="AW711" s="52" t="s">
        <v>372</v>
      </c>
    </row>
    <row r="712" spans="1:49">
      <c r="A712" s="52">
        <v>6022175</v>
      </c>
      <c r="B712" s="52" t="s">
        <v>3716</v>
      </c>
      <c r="C712" s="52" t="s">
        <v>3692</v>
      </c>
      <c r="D712" s="53">
        <v>46157.291666666664</v>
      </c>
      <c r="E712" s="53">
        <v>46157.332638888889</v>
      </c>
      <c r="F712" s="53">
        <v>46157.899305555555</v>
      </c>
      <c r="G712" s="53">
        <v>46159.522222222222</v>
      </c>
      <c r="H712" s="53">
        <v>46157.901388888888</v>
      </c>
      <c r="I712" s="52" t="s">
        <v>3693</v>
      </c>
      <c r="J712" s="52" t="s">
        <v>3694</v>
      </c>
      <c r="K712" s="52"/>
      <c r="L712" s="52"/>
      <c r="M712" s="55">
        <v>0.43611111111111112</v>
      </c>
      <c r="N712" s="54">
        <v>1.0659722222222223</v>
      </c>
      <c r="O712" s="52"/>
      <c r="P712" s="52"/>
      <c r="Q712" s="52"/>
      <c r="R712" s="52"/>
      <c r="S712" s="52"/>
      <c r="T712" s="52" t="s">
        <v>4063</v>
      </c>
      <c r="U712" s="52" t="s">
        <v>4065</v>
      </c>
      <c r="V712" s="52"/>
      <c r="W712" s="52"/>
      <c r="X712" s="52"/>
      <c r="Y712" s="52"/>
      <c r="Z712" s="52" t="s">
        <v>3696</v>
      </c>
      <c r="AA712" s="52" t="s">
        <v>216</v>
      </c>
      <c r="AB712" s="52" t="s">
        <v>79</v>
      </c>
      <c r="AC712" s="52" t="s">
        <v>3720</v>
      </c>
      <c r="AD712" s="52" t="s">
        <v>3715</v>
      </c>
      <c r="AE712" s="52"/>
      <c r="AF712" s="52" t="s">
        <v>3720</v>
      </c>
      <c r="AG712" s="52" t="s">
        <v>3715</v>
      </c>
      <c r="AH712" s="52"/>
      <c r="AI712" s="52"/>
      <c r="AJ712" s="52"/>
      <c r="AK712" s="52"/>
      <c r="AL712" s="55">
        <v>0.4597222222222222</v>
      </c>
      <c r="AM712" s="52"/>
      <c r="AN712" s="52"/>
      <c r="AO712" s="52"/>
      <c r="AP712" s="52"/>
      <c r="AQ712" s="52"/>
      <c r="AR712" s="52"/>
      <c r="AS712" s="52">
        <v>0</v>
      </c>
      <c r="AT712" s="52"/>
      <c r="AU712" s="52"/>
      <c r="AV712" s="52" t="s">
        <v>372</v>
      </c>
      <c r="AW712" s="52"/>
    </row>
    <row r="713" spans="1:49">
      <c r="A713" s="52">
        <v>6022175</v>
      </c>
      <c r="B713" s="52" t="s">
        <v>3716</v>
      </c>
      <c r="C713" s="52" t="s">
        <v>3698</v>
      </c>
      <c r="D713" s="53">
        <v>46157.291666666664</v>
      </c>
      <c r="E713" s="53">
        <v>46157.332638888889</v>
      </c>
      <c r="F713" s="53">
        <v>46158.209722222222</v>
      </c>
      <c r="G713" s="53">
        <v>46158.742361111108</v>
      </c>
      <c r="H713" s="52"/>
      <c r="I713" s="52"/>
      <c r="J713" s="52" t="s">
        <v>3694</v>
      </c>
      <c r="K713" s="53">
        <v>46158.810416666667</v>
      </c>
      <c r="L713" s="52"/>
      <c r="M713" s="55">
        <v>0.53263888888888888</v>
      </c>
      <c r="N713" s="55">
        <v>0.24652777777777779</v>
      </c>
      <c r="O713" s="52" t="s">
        <v>670</v>
      </c>
      <c r="P713" s="52" t="s">
        <v>216</v>
      </c>
      <c r="Q713" s="52" t="s">
        <v>669</v>
      </c>
      <c r="R713" s="52" t="s">
        <v>675</v>
      </c>
      <c r="S713" s="52" t="s">
        <v>69</v>
      </c>
      <c r="T713" s="52" t="s">
        <v>4063</v>
      </c>
      <c r="U713" s="52" t="s">
        <v>4065</v>
      </c>
      <c r="V713" s="52" t="s">
        <v>676</v>
      </c>
      <c r="W713" s="52">
        <v>10921684940</v>
      </c>
      <c r="X713" s="52" t="s">
        <v>73</v>
      </c>
      <c r="Y713" s="52"/>
      <c r="Z713" s="52" t="s">
        <v>3696</v>
      </c>
      <c r="AA713" s="52" t="s">
        <v>3710</v>
      </c>
      <c r="AB713" s="52"/>
      <c r="AC713" s="52" t="s">
        <v>3720</v>
      </c>
      <c r="AD713" s="52" t="s">
        <v>3715</v>
      </c>
      <c r="AE713" s="52" t="s">
        <v>79</v>
      </c>
      <c r="AF713" s="52" t="s">
        <v>4064</v>
      </c>
      <c r="AG713" s="52" t="s">
        <v>3704</v>
      </c>
      <c r="AH713" s="52"/>
      <c r="AI713" s="53">
        <v>46157.901388888888</v>
      </c>
      <c r="AJ713" s="53">
        <v>46158.361111111109</v>
      </c>
      <c r="AK713" s="53">
        <v>46157.901388888888</v>
      </c>
      <c r="AL713" s="55">
        <v>0.4597222222222222</v>
      </c>
      <c r="AM713" s="52"/>
      <c r="AN713" s="55">
        <v>0.4597222222222222</v>
      </c>
      <c r="AO713" s="52"/>
      <c r="AP713" s="55">
        <v>0.4597222222222222</v>
      </c>
      <c r="AQ713" s="52"/>
      <c r="AR713" s="52"/>
      <c r="AS713" s="52" t="s">
        <v>3696</v>
      </c>
      <c r="AT713" s="52"/>
      <c r="AU713" s="52"/>
      <c r="AV713" s="52"/>
      <c r="AW713" s="52"/>
    </row>
    <row r="714" spans="1:49">
      <c r="A714" s="52">
        <v>6022175</v>
      </c>
      <c r="B714" s="52" t="s">
        <v>3716</v>
      </c>
      <c r="C714" s="52" t="s">
        <v>3698</v>
      </c>
      <c r="D714" s="53">
        <v>46157.291666666664</v>
      </c>
      <c r="E714" s="53">
        <v>46157.332638888889</v>
      </c>
      <c r="F714" s="53">
        <v>46158.209722222222</v>
      </c>
      <c r="G714" s="53">
        <v>46158.742361111108</v>
      </c>
      <c r="H714" s="52"/>
      <c r="I714" s="52"/>
      <c r="J714" s="52" t="s">
        <v>3694</v>
      </c>
      <c r="K714" s="53">
        <v>46158.810416666667</v>
      </c>
      <c r="L714" s="52"/>
      <c r="M714" s="55">
        <v>0.53263888888888888</v>
      </c>
      <c r="N714" s="55">
        <v>0.24652777777777779</v>
      </c>
      <c r="O714" s="52" t="s">
        <v>670</v>
      </c>
      <c r="P714" s="52" t="s">
        <v>216</v>
      </c>
      <c r="Q714" s="52" t="s">
        <v>669</v>
      </c>
      <c r="R714" s="52" t="s">
        <v>675</v>
      </c>
      <c r="S714" s="52" t="s">
        <v>69</v>
      </c>
      <c r="T714" s="52" t="s">
        <v>4063</v>
      </c>
      <c r="U714" s="52" t="s">
        <v>4065</v>
      </c>
      <c r="V714" s="52" t="s">
        <v>676</v>
      </c>
      <c r="W714" s="52">
        <v>10921684940</v>
      </c>
      <c r="X714" s="52" t="s">
        <v>73</v>
      </c>
      <c r="Y714" s="52"/>
      <c r="Z714" s="52" t="s">
        <v>3696</v>
      </c>
      <c r="AA714" s="52" t="s">
        <v>3710</v>
      </c>
      <c r="AB714" s="52"/>
      <c r="AC714" s="52" t="s">
        <v>3720</v>
      </c>
      <c r="AD714" s="52" t="s">
        <v>3715</v>
      </c>
      <c r="AE714" s="52"/>
      <c r="AF714" s="52" t="s">
        <v>4064</v>
      </c>
      <c r="AG714" s="52" t="s">
        <v>3704</v>
      </c>
      <c r="AH714" s="52"/>
      <c r="AI714" s="53">
        <v>46157.901388888888</v>
      </c>
      <c r="AJ714" s="53">
        <v>46158.361111111109</v>
      </c>
      <c r="AK714" s="53">
        <v>46157.901388888888</v>
      </c>
      <c r="AL714" s="55">
        <v>0.4597222222222222</v>
      </c>
      <c r="AM714" s="52"/>
      <c r="AN714" s="55">
        <v>0.4597222222222222</v>
      </c>
      <c r="AO714" s="52"/>
      <c r="AP714" s="55">
        <v>0.4597222222222222</v>
      </c>
      <c r="AQ714" s="52"/>
      <c r="AR714" s="52"/>
      <c r="AS714" s="52" t="s">
        <v>3696</v>
      </c>
      <c r="AT714" s="52"/>
      <c r="AU714" s="52"/>
      <c r="AV714" s="52"/>
      <c r="AW714" s="52" t="s">
        <v>372</v>
      </c>
    </row>
    <row r="715" spans="1:49">
      <c r="A715" s="52">
        <v>6022176</v>
      </c>
      <c r="B715" s="52" t="s">
        <v>3716</v>
      </c>
      <c r="C715" s="52" t="s">
        <v>3692</v>
      </c>
      <c r="D715" s="53">
        <v>46158.520833333336</v>
      </c>
      <c r="E715" s="53">
        <v>46157.584722222222</v>
      </c>
      <c r="F715" s="53">
        <v>46157.700694444444</v>
      </c>
      <c r="G715" s="53">
        <v>46162.25</v>
      </c>
      <c r="H715" s="52"/>
      <c r="I715" s="52" t="s">
        <v>3693</v>
      </c>
      <c r="J715" s="52" t="s">
        <v>3693</v>
      </c>
      <c r="K715" s="53">
        <v>46159.209027777775</v>
      </c>
      <c r="L715" s="52"/>
      <c r="M715" s="54">
        <v>1.9090277777777778</v>
      </c>
      <c r="N715" s="54">
        <v>1.8847222222222222</v>
      </c>
      <c r="O715" s="52"/>
      <c r="P715" s="52"/>
      <c r="Q715" s="52"/>
      <c r="R715" s="52"/>
      <c r="S715" s="52"/>
      <c r="T715" s="52" t="s">
        <v>4066</v>
      </c>
      <c r="U715" s="52" t="s">
        <v>4019</v>
      </c>
      <c r="V715" s="52"/>
      <c r="W715" s="52"/>
      <c r="X715" s="52"/>
      <c r="Y715" s="52"/>
      <c r="Z715" s="52" t="s">
        <v>3696</v>
      </c>
      <c r="AA715" s="52" t="s">
        <v>72</v>
      </c>
      <c r="AB715" s="52" t="s">
        <v>79</v>
      </c>
      <c r="AC715" s="52" t="s">
        <v>3720</v>
      </c>
      <c r="AD715" s="52" t="s">
        <v>3715</v>
      </c>
      <c r="AE715" s="52"/>
      <c r="AF715" s="52" t="s">
        <v>4067</v>
      </c>
      <c r="AG715" s="52" t="s">
        <v>4068</v>
      </c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>
        <v>0</v>
      </c>
      <c r="AT715" s="52"/>
      <c r="AU715" s="52"/>
      <c r="AV715" s="52" t="s">
        <v>484</v>
      </c>
      <c r="AW715" s="52"/>
    </row>
    <row r="716" spans="1:49">
      <c r="A716" s="52">
        <v>6022176</v>
      </c>
      <c r="B716" s="52" t="s">
        <v>3716</v>
      </c>
      <c r="C716" s="52" t="s">
        <v>3698</v>
      </c>
      <c r="D716" s="53">
        <v>46158.520833333336</v>
      </c>
      <c r="E716" s="53">
        <v>46157.584722222222</v>
      </c>
      <c r="F716" s="53">
        <v>46157.701388888891</v>
      </c>
      <c r="G716" s="53">
        <v>46162.25</v>
      </c>
      <c r="H716" s="52"/>
      <c r="I716" s="52"/>
      <c r="J716" s="52" t="s">
        <v>3693</v>
      </c>
      <c r="K716" s="53">
        <v>46158.513194444444</v>
      </c>
      <c r="L716" s="52"/>
      <c r="M716" s="54">
        <v>4.5486111111111107</v>
      </c>
      <c r="N716" s="55">
        <v>0.75486111111111109</v>
      </c>
      <c r="O716" s="52" t="s">
        <v>4069</v>
      </c>
      <c r="P716" s="52" t="s">
        <v>72</v>
      </c>
      <c r="Q716" s="52" t="s">
        <v>479</v>
      </c>
      <c r="R716" s="52" t="s">
        <v>487</v>
      </c>
      <c r="S716" s="52" t="s">
        <v>3756</v>
      </c>
      <c r="T716" s="52" t="s">
        <v>4066</v>
      </c>
      <c r="U716" s="52" t="s">
        <v>4019</v>
      </c>
      <c r="V716" s="52" t="s">
        <v>488</v>
      </c>
      <c r="W716" s="52">
        <v>32030514861</v>
      </c>
      <c r="X716" s="52" t="s">
        <v>73</v>
      </c>
      <c r="Y716" s="52" t="s">
        <v>3845</v>
      </c>
      <c r="Z716" s="52" t="s">
        <v>3696</v>
      </c>
      <c r="AA716" s="52" t="s">
        <v>3710</v>
      </c>
      <c r="AB716" s="52"/>
      <c r="AC716" s="52" t="s">
        <v>3720</v>
      </c>
      <c r="AD716" s="52" t="s">
        <v>3715</v>
      </c>
      <c r="AE716" s="52" t="s">
        <v>79</v>
      </c>
      <c r="AF716" s="52" t="s">
        <v>4067</v>
      </c>
      <c r="AG716" s="52" t="s">
        <v>4068</v>
      </c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 t="s">
        <v>3696</v>
      </c>
      <c r="AT716" s="52"/>
      <c r="AU716" s="52"/>
      <c r="AV716" s="52"/>
      <c r="AW716" s="52"/>
    </row>
    <row r="717" spans="1:49">
      <c r="A717" s="52">
        <v>6022176</v>
      </c>
      <c r="B717" s="52" t="s">
        <v>3716</v>
      </c>
      <c r="C717" s="52" t="s">
        <v>3698</v>
      </c>
      <c r="D717" s="53">
        <v>46158.520833333336</v>
      </c>
      <c r="E717" s="53">
        <v>46157.584722222222</v>
      </c>
      <c r="F717" s="53">
        <v>46157.701388888891</v>
      </c>
      <c r="G717" s="53">
        <v>46162.25</v>
      </c>
      <c r="H717" s="52"/>
      <c r="I717" s="52"/>
      <c r="J717" s="52" t="s">
        <v>3693</v>
      </c>
      <c r="K717" s="53">
        <v>46158.513194444444</v>
      </c>
      <c r="L717" s="52"/>
      <c r="M717" s="54">
        <v>4.5486111111111107</v>
      </c>
      <c r="N717" s="55">
        <v>0.75486111111111109</v>
      </c>
      <c r="O717" s="52" t="s">
        <v>4069</v>
      </c>
      <c r="P717" s="52" t="s">
        <v>72</v>
      </c>
      <c r="Q717" s="52" t="s">
        <v>479</v>
      </c>
      <c r="R717" s="52" t="s">
        <v>487</v>
      </c>
      <c r="S717" s="52" t="s">
        <v>3756</v>
      </c>
      <c r="T717" s="52" t="s">
        <v>4066</v>
      </c>
      <c r="U717" s="52" t="s">
        <v>4019</v>
      </c>
      <c r="V717" s="52" t="s">
        <v>488</v>
      </c>
      <c r="W717" s="52">
        <v>32030514861</v>
      </c>
      <c r="X717" s="52" t="s">
        <v>73</v>
      </c>
      <c r="Y717" s="52" t="s">
        <v>3845</v>
      </c>
      <c r="Z717" s="52" t="s">
        <v>3696</v>
      </c>
      <c r="AA717" s="52" t="s">
        <v>3710</v>
      </c>
      <c r="AB717" s="52"/>
      <c r="AC717" s="52" t="s">
        <v>3720</v>
      </c>
      <c r="AD717" s="52" t="s">
        <v>3715</v>
      </c>
      <c r="AE717" s="52"/>
      <c r="AF717" s="52" t="s">
        <v>4067</v>
      </c>
      <c r="AG717" s="52" t="s">
        <v>4068</v>
      </c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 t="s">
        <v>3696</v>
      </c>
      <c r="AT717" s="52"/>
      <c r="AU717" s="52"/>
      <c r="AV717" s="52"/>
      <c r="AW717" s="52" t="s">
        <v>484</v>
      </c>
    </row>
    <row r="718" spans="1:49">
      <c r="A718" s="52">
        <v>6022176</v>
      </c>
      <c r="B718" s="52" t="s">
        <v>3716</v>
      </c>
      <c r="C718" s="52" t="s">
        <v>3698</v>
      </c>
      <c r="D718" s="53">
        <v>46158.520833333336</v>
      </c>
      <c r="E718" s="53">
        <v>46157.584722222222</v>
      </c>
      <c r="F718" s="53">
        <v>46157.736805555556</v>
      </c>
      <c r="G718" s="53">
        <v>46162.25</v>
      </c>
      <c r="H718" s="52"/>
      <c r="I718" s="52"/>
      <c r="J718" s="52" t="s">
        <v>3693</v>
      </c>
      <c r="K718" s="53">
        <v>46158.513194444444</v>
      </c>
      <c r="L718" s="52"/>
      <c r="M718" s="54">
        <v>4.5131944444444443</v>
      </c>
      <c r="N718" s="55">
        <v>0.71944444444444444</v>
      </c>
      <c r="O718" s="52" t="s">
        <v>480</v>
      </c>
      <c r="P718" s="52" t="s">
        <v>72</v>
      </c>
      <c r="Q718" s="52" t="s">
        <v>479</v>
      </c>
      <c r="R718" s="52" t="s">
        <v>487</v>
      </c>
      <c r="S718" s="52" t="s">
        <v>69</v>
      </c>
      <c r="T718" s="52" t="s">
        <v>4066</v>
      </c>
      <c r="U718" s="52" t="s">
        <v>4019</v>
      </c>
      <c r="V718" s="52" t="s">
        <v>488</v>
      </c>
      <c r="W718" s="52">
        <v>32030514861</v>
      </c>
      <c r="X718" s="52" t="s">
        <v>73</v>
      </c>
      <c r="Y718" s="52" t="s">
        <v>3845</v>
      </c>
      <c r="Z718" s="52" t="s">
        <v>3696</v>
      </c>
      <c r="AA718" s="52" t="s">
        <v>3710</v>
      </c>
      <c r="AB718" s="52"/>
      <c r="AC718" s="52" t="s">
        <v>3720</v>
      </c>
      <c r="AD718" s="52" t="s">
        <v>3715</v>
      </c>
      <c r="AE718" s="52" t="s">
        <v>79</v>
      </c>
      <c r="AF718" s="52" t="s">
        <v>4067</v>
      </c>
      <c r="AG718" s="52" t="s">
        <v>4068</v>
      </c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 t="s">
        <v>3696</v>
      </c>
      <c r="AT718" s="52"/>
      <c r="AU718" s="52"/>
      <c r="AV718" s="52"/>
      <c r="AW718" s="52"/>
    </row>
    <row r="719" spans="1:49">
      <c r="A719" s="52">
        <v>6022176</v>
      </c>
      <c r="B719" s="52" t="s">
        <v>3716</v>
      </c>
      <c r="C719" s="52" t="s">
        <v>3698</v>
      </c>
      <c r="D719" s="53">
        <v>46158.520833333336</v>
      </c>
      <c r="E719" s="53">
        <v>46157.584722222222</v>
      </c>
      <c r="F719" s="53">
        <v>46157.736805555556</v>
      </c>
      <c r="G719" s="53">
        <v>46162.25</v>
      </c>
      <c r="H719" s="52"/>
      <c r="I719" s="52"/>
      <c r="J719" s="52" t="s">
        <v>3693</v>
      </c>
      <c r="K719" s="53">
        <v>46158.513194444444</v>
      </c>
      <c r="L719" s="52"/>
      <c r="M719" s="54">
        <v>4.5131944444444443</v>
      </c>
      <c r="N719" s="55">
        <v>0.71944444444444444</v>
      </c>
      <c r="O719" s="52" t="s">
        <v>480</v>
      </c>
      <c r="P719" s="52" t="s">
        <v>72</v>
      </c>
      <c r="Q719" s="52" t="s">
        <v>479</v>
      </c>
      <c r="R719" s="52" t="s">
        <v>487</v>
      </c>
      <c r="S719" s="52" t="s">
        <v>69</v>
      </c>
      <c r="T719" s="52" t="s">
        <v>4066</v>
      </c>
      <c r="U719" s="52" t="s">
        <v>4019</v>
      </c>
      <c r="V719" s="52" t="s">
        <v>488</v>
      </c>
      <c r="W719" s="52">
        <v>32030514861</v>
      </c>
      <c r="X719" s="52" t="s">
        <v>73</v>
      </c>
      <c r="Y719" s="52" t="s">
        <v>3845</v>
      </c>
      <c r="Z719" s="52" t="s">
        <v>3696</v>
      </c>
      <c r="AA719" s="52" t="s">
        <v>3710</v>
      </c>
      <c r="AB719" s="52"/>
      <c r="AC719" s="52" t="s">
        <v>3720</v>
      </c>
      <c r="AD719" s="52" t="s">
        <v>3715</v>
      </c>
      <c r="AE719" s="52"/>
      <c r="AF719" s="52" t="s">
        <v>4067</v>
      </c>
      <c r="AG719" s="52" t="s">
        <v>4068</v>
      </c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 t="s">
        <v>3696</v>
      </c>
      <c r="AT719" s="52"/>
      <c r="AU719" s="52"/>
      <c r="AV719" s="52"/>
      <c r="AW719" s="52" t="s">
        <v>484</v>
      </c>
    </row>
    <row r="720" spans="1:49">
      <c r="A720" s="52">
        <v>6022177</v>
      </c>
      <c r="B720" s="52" t="s">
        <v>3716</v>
      </c>
      <c r="C720" s="52" t="s">
        <v>3692</v>
      </c>
      <c r="D720" s="53">
        <v>46157.75</v>
      </c>
      <c r="E720" s="53">
        <v>46157.332638888889</v>
      </c>
      <c r="F720" s="53">
        <v>46157.813888888886</v>
      </c>
      <c r="G720" s="53">
        <v>46169.25</v>
      </c>
      <c r="H720" s="52"/>
      <c r="I720" s="52" t="s">
        <v>3693</v>
      </c>
      <c r="J720" s="52" t="s">
        <v>3694</v>
      </c>
      <c r="K720" s="53">
        <v>46159.947916666664</v>
      </c>
      <c r="L720" s="52"/>
      <c r="M720" s="54">
        <v>1.9090277777777778</v>
      </c>
      <c r="N720" s="54">
        <v>6.884722222222222</v>
      </c>
      <c r="O720" s="52"/>
      <c r="P720" s="52"/>
      <c r="Q720" s="52"/>
      <c r="R720" s="52"/>
      <c r="S720" s="52"/>
      <c r="T720" s="52" t="s">
        <v>4000</v>
      </c>
      <c r="U720" s="52" t="s">
        <v>3695</v>
      </c>
      <c r="V720" s="52"/>
      <c r="W720" s="52"/>
      <c r="X720" s="52"/>
      <c r="Y720" s="52"/>
      <c r="Z720" s="52" t="s">
        <v>3696</v>
      </c>
      <c r="AA720" s="52" t="s">
        <v>836</v>
      </c>
      <c r="AB720" s="52" t="s">
        <v>79</v>
      </c>
      <c r="AC720" s="52" t="s">
        <v>3720</v>
      </c>
      <c r="AD720" s="52" t="s">
        <v>3715</v>
      </c>
      <c r="AE720" s="52"/>
      <c r="AF720" s="52" t="s">
        <v>4001</v>
      </c>
      <c r="AG720" s="52" t="s">
        <v>4002</v>
      </c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>
        <v>0</v>
      </c>
      <c r="AT720" s="52"/>
      <c r="AU720" s="52"/>
      <c r="AV720" s="52" t="s">
        <v>484</v>
      </c>
      <c r="AW720" s="52"/>
    </row>
    <row r="721" spans="1:49">
      <c r="A721" s="52">
        <v>6022177</v>
      </c>
      <c r="B721" s="52" t="s">
        <v>3716</v>
      </c>
      <c r="C721" s="52" t="s">
        <v>3698</v>
      </c>
      <c r="D721" s="53">
        <v>46157.75</v>
      </c>
      <c r="E721" s="53">
        <v>46157.332638888889</v>
      </c>
      <c r="F721" s="52"/>
      <c r="G721" s="53">
        <v>46169.25</v>
      </c>
      <c r="H721" s="52"/>
      <c r="I721" s="52"/>
      <c r="J721" s="52" t="s">
        <v>3694</v>
      </c>
      <c r="K721" s="53">
        <v>46159.947916666664</v>
      </c>
      <c r="L721" s="52"/>
      <c r="M721" s="52"/>
      <c r="N721" s="52"/>
      <c r="O721" s="52" t="s">
        <v>4003</v>
      </c>
      <c r="P721" s="52" t="s">
        <v>836</v>
      </c>
      <c r="Q721" s="52" t="s">
        <v>895</v>
      </c>
      <c r="R721" s="52" t="s">
        <v>902</v>
      </c>
      <c r="S721" s="52" t="s">
        <v>3895</v>
      </c>
      <c r="T721" s="52" t="s">
        <v>4000</v>
      </c>
      <c r="U721" s="52" t="s">
        <v>3695</v>
      </c>
      <c r="V721" s="52" t="s">
        <v>903</v>
      </c>
      <c r="W721" s="52">
        <v>61708488987</v>
      </c>
      <c r="X721" s="52" t="s">
        <v>73</v>
      </c>
      <c r="Y721" s="52" t="s">
        <v>3930</v>
      </c>
      <c r="Z721" s="52" t="s">
        <v>3696</v>
      </c>
      <c r="AA721" s="52" t="s">
        <v>3710</v>
      </c>
      <c r="AB721" s="52"/>
      <c r="AC721" s="52" t="s">
        <v>3720</v>
      </c>
      <c r="AD721" s="52" t="s">
        <v>3715</v>
      </c>
      <c r="AE721" s="52" t="s">
        <v>79</v>
      </c>
      <c r="AF721" s="52" t="s">
        <v>4001</v>
      </c>
      <c r="AG721" s="52" t="s">
        <v>4002</v>
      </c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 t="s">
        <v>3696</v>
      </c>
      <c r="AT721" s="52"/>
      <c r="AU721" s="52"/>
      <c r="AV721" s="52"/>
      <c r="AW721" s="52"/>
    </row>
    <row r="722" spans="1:49">
      <c r="A722" s="52">
        <v>6022177</v>
      </c>
      <c r="B722" s="52" t="s">
        <v>3716</v>
      </c>
      <c r="C722" s="52" t="s">
        <v>3698</v>
      </c>
      <c r="D722" s="53">
        <v>46157.75</v>
      </c>
      <c r="E722" s="53">
        <v>46157.332638888889</v>
      </c>
      <c r="F722" s="52"/>
      <c r="G722" s="53">
        <v>46169.25</v>
      </c>
      <c r="H722" s="52"/>
      <c r="I722" s="52"/>
      <c r="J722" s="52" t="s">
        <v>3694</v>
      </c>
      <c r="K722" s="53">
        <v>46159.947916666664</v>
      </c>
      <c r="L722" s="52"/>
      <c r="M722" s="52"/>
      <c r="N722" s="52"/>
      <c r="O722" s="52" t="s">
        <v>4003</v>
      </c>
      <c r="P722" s="52" t="s">
        <v>836</v>
      </c>
      <c r="Q722" s="52" t="s">
        <v>895</v>
      </c>
      <c r="R722" s="52" t="s">
        <v>902</v>
      </c>
      <c r="S722" s="52" t="s">
        <v>3895</v>
      </c>
      <c r="T722" s="52" t="s">
        <v>4000</v>
      </c>
      <c r="U722" s="52" t="s">
        <v>3695</v>
      </c>
      <c r="V722" s="52" t="s">
        <v>903</v>
      </c>
      <c r="W722" s="52">
        <v>61708488987</v>
      </c>
      <c r="X722" s="52" t="s">
        <v>73</v>
      </c>
      <c r="Y722" s="52" t="s">
        <v>3930</v>
      </c>
      <c r="Z722" s="52" t="s">
        <v>3696</v>
      </c>
      <c r="AA722" s="52" t="s">
        <v>3710</v>
      </c>
      <c r="AB722" s="52"/>
      <c r="AC722" s="52" t="s">
        <v>3720</v>
      </c>
      <c r="AD722" s="52" t="s">
        <v>3715</v>
      </c>
      <c r="AE722" s="52"/>
      <c r="AF722" s="52" t="s">
        <v>4001</v>
      </c>
      <c r="AG722" s="52" t="s">
        <v>4002</v>
      </c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 t="s">
        <v>3696</v>
      </c>
      <c r="AT722" s="52"/>
      <c r="AU722" s="52"/>
      <c r="AV722" s="52"/>
      <c r="AW722" s="52" t="s">
        <v>484</v>
      </c>
    </row>
    <row r="723" spans="1:49">
      <c r="A723" s="52">
        <v>6022178</v>
      </c>
      <c r="B723" s="52" t="s">
        <v>3723</v>
      </c>
      <c r="C723" s="52" t="s">
        <v>3717</v>
      </c>
      <c r="D723" s="53">
        <v>46155.458333333336</v>
      </c>
      <c r="E723" s="53">
        <v>46155.409722222219</v>
      </c>
      <c r="F723" s="53">
        <v>46155.457638888889</v>
      </c>
      <c r="G723" s="53">
        <v>46155.541666666664</v>
      </c>
      <c r="H723" s="52"/>
      <c r="I723" s="52" t="s">
        <v>3693</v>
      </c>
      <c r="J723" s="52" t="s">
        <v>3693</v>
      </c>
      <c r="K723" s="53">
        <v>46156.597916666666</v>
      </c>
      <c r="L723" s="52"/>
      <c r="M723" s="55">
        <v>8.7499999999999994E-2</v>
      </c>
      <c r="N723" s="54">
        <v>3.0020833333333332</v>
      </c>
      <c r="O723" s="52"/>
      <c r="P723" s="52"/>
      <c r="Q723" s="52"/>
      <c r="R723" s="52"/>
      <c r="S723" s="52"/>
      <c r="T723" s="52" t="s">
        <v>3928</v>
      </c>
      <c r="U723" s="52" t="s">
        <v>4070</v>
      </c>
      <c r="V723" s="52"/>
      <c r="W723" s="52"/>
      <c r="X723" s="52"/>
      <c r="Y723" s="52"/>
      <c r="Z723" s="52" t="s">
        <v>3696</v>
      </c>
      <c r="AA723" s="52" t="s">
        <v>114</v>
      </c>
      <c r="AB723" s="52" t="s">
        <v>140</v>
      </c>
      <c r="AC723" s="52" t="s">
        <v>3703</v>
      </c>
      <c r="AD723" s="52" t="s">
        <v>3704</v>
      </c>
      <c r="AE723" s="52"/>
      <c r="AF723" s="52" t="s">
        <v>3860</v>
      </c>
      <c r="AG723" s="52" t="s">
        <v>3704</v>
      </c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>
        <v>0</v>
      </c>
      <c r="AT723" s="52"/>
      <c r="AU723" s="52"/>
      <c r="AV723" s="52" t="s">
        <v>3213</v>
      </c>
      <c r="AW723" s="52"/>
    </row>
    <row r="724" spans="1:49">
      <c r="A724" s="52">
        <v>6022178</v>
      </c>
      <c r="B724" s="52" t="s">
        <v>3723</v>
      </c>
      <c r="C724" s="52" t="s">
        <v>3698</v>
      </c>
      <c r="D724" s="53">
        <v>46155.458333333336</v>
      </c>
      <c r="E724" s="53">
        <v>46155.409722222219</v>
      </c>
      <c r="F724" s="53">
        <v>46155.696527777778</v>
      </c>
      <c r="G724" s="53">
        <v>46155.541666666664</v>
      </c>
      <c r="H724" s="53">
        <v>46156.432638888888</v>
      </c>
      <c r="I724" s="52"/>
      <c r="J724" s="52" t="s">
        <v>3693</v>
      </c>
      <c r="K724" s="53">
        <v>46156.597916666666</v>
      </c>
      <c r="L724" s="52"/>
      <c r="M724" s="55">
        <v>0.15486111111111112</v>
      </c>
      <c r="N724" s="54">
        <v>2.7597222222222224</v>
      </c>
      <c r="O724" s="52" t="s">
        <v>3210</v>
      </c>
      <c r="P724" s="52" t="s">
        <v>114</v>
      </c>
      <c r="Q724" s="52" t="s">
        <v>1194</v>
      </c>
      <c r="R724" s="52"/>
      <c r="S724" s="52" t="s">
        <v>789</v>
      </c>
      <c r="T724" s="52" t="s">
        <v>3928</v>
      </c>
      <c r="U724" s="52" t="s">
        <v>4070</v>
      </c>
      <c r="V724" s="52" t="s">
        <v>4011</v>
      </c>
      <c r="W724" s="52">
        <v>23416371836</v>
      </c>
      <c r="X724" s="52" t="s">
        <v>73</v>
      </c>
      <c r="Y724" s="52"/>
      <c r="Z724" s="52" t="s">
        <v>3696</v>
      </c>
      <c r="AA724" s="52" t="s">
        <v>3710</v>
      </c>
      <c r="AB724" s="52"/>
      <c r="AC724" s="52" t="s">
        <v>3703</v>
      </c>
      <c r="AD724" s="52" t="s">
        <v>3704</v>
      </c>
      <c r="AE724" s="52" t="s">
        <v>140</v>
      </c>
      <c r="AF724" s="52" t="s">
        <v>3860</v>
      </c>
      <c r="AG724" s="52" t="s">
        <v>3704</v>
      </c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 t="s">
        <v>3696</v>
      </c>
      <c r="AT724" s="52"/>
      <c r="AU724" s="52"/>
      <c r="AV724" s="52"/>
      <c r="AW724" s="52"/>
    </row>
    <row r="725" spans="1:49">
      <c r="A725" s="52">
        <v>6022178</v>
      </c>
      <c r="B725" s="52" t="s">
        <v>3723</v>
      </c>
      <c r="C725" s="52" t="s">
        <v>3698</v>
      </c>
      <c r="D725" s="53">
        <v>46155.458333333336</v>
      </c>
      <c r="E725" s="53">
        <v>46155.409722222219</v>
      </c>
      <c r="F725" s="53">
        <v>46155.696527777778</v>
      </c>
      <c r="G725" s="53">
        <v>46155.541666666664</v>
      </c>
      <c r="H725" s="53">
        <v>46156.432638888888</v>
      </c>
      <c r="I725" s="52"/>
      <c r="J725" s="52" t="s">
        <v>3693</v>
      </c>
      <c r="K725" s="53">
        <v>46156.597916666666</v>
      </c>
      <c r="L725" s="52"/>
      <c r="M725" s="55">
        <v>0.15486111111111112</v>
      </c>
      <c r="N725" s="54">
        <v>2.7597222222222224</v>
      </c>
      <c r="O725" s="52" t="s">
        <v>3210</v>
      </c>
      <c r="P725" s="52" t="s">
        <v>114</v>
      </c>
      <c r="Q725" s="52" t="s">
        <v>1194</v>
      </c>
      <c r="R725" s="52"/>
      <c r="S725" s="52" t="s">
        <v>789</v>
      </c>
      <c r="T725" s="52" t="s">
        <v>3928</v>
      </c>
      <c r="U725" s="52" t="s">
        <v>4070</v>
      </c>
      <c r="V725" s="52" t="s">
        <v>4011</v>
      </c>
      <c r="W725" s="52">
        <v>23416371836</v>
      </c>
      <c r="X725" s="52" t="s">
        <v>73</v>
      </c>
      <c r="Y725" s="52"/>
      <c r="Z725" s="52" t="s">
        <v>3696</v>
      </c>
      <c r="AA725" s="52" t="s">
        <v>3710</v>
      </c>
      <c r="AB725" s="52"/>
      <c r="AC725" s="52" t="s">
        <v>3703</v>
      </c>
      <c r="AD725" s="52" t="s">
        <v>3704</v>
      </c>
      <c r="AE725" s="52"/>
      <c r="AF725" s="52" t="s">
        <v>3860</v>
      </c>
      <c r="AG725" s="52" t="s">
        <v>3704</v>
      </c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 t="s">
        <v>3696</v>
      </c>
      <c r="AT725" s="52"/>
      <c r="AU725" s="52"/>
      <c r="AV725" s="52"/>
      <c r="AW725" s="52" t="s">
        <v>3213</v>
      </c>
    </row>
    <row r="726" spans="1:49">
      <c r="A726" s="52">
        <v>6022181</v>
      </c>
      <c r="B726" s="52" t="s">
        <v>3716</v>
      </c>
      <c r="C726" s="52" t="s">
        <v>3692</v>
      </c>
      <c r="D726" s="53">
        <v>46157.75</v>
      </c>
      <c r="E726" s="53">
        <v>46157.332638888889</v>
      </c>
      <c r="F726" s="53">
        <v>46157.813888888886</v>
      </c>
      <c r="G726" s="53">
        <v>46169.25</v>
      </c>
      <c r="H726" s="52"/>
      <c r="I726" s="52" t="s">
        <v>3693</v>
      </c>
      <c r="J726" s="52" t="s">
        <v>3694</v>
      </c>
      <c r="K726" s="53">
        <v>46159.947916666664</v>
      </c>
      <c r="L726" s="52"/>
      <c r="M726" s="55">
        <v>0.5708333333333333</v>
      </c>
      <c r="N726" s="54">
        <v>9.2229166666666664</v>
      </c>
      <c r="O726" s="52"/>
      <c r="P726" s="52"/>
      <c r="Q726" s="52"/>
      <c r="R726" s="52"/>
      <c r="S726" s="52"/>
      <c r="T726" s="52" t="s">
        <v>4000</v>
      </c>
      <c r="U726" s="52" t="s">
        <v>3695</v>
      </c>
      <c r="V726" s="52"/>
      <c r="W726" s="52"/>
      <c r="X726" s="52"/>
      <c r="Y726" s="52"/>
      <c r="Z726" s="52" t="s">
        <v>3696</v>
      </c>
      <c r="AA726" s="52" t="s">
        <v>836</v>
      </c>
      <c r="AB726" s="52" t="s">
        <v>79</v>
      </c>
      <c r="AC726" s="52" t="s">
        <v>3720</v>
      </c>
      <c r="AD726" s="52" t="s">
        <v>3715</v>
      </c>
      <c r="AE726" s="52"/>
      <c r="AF726" s="52" t="s">
        <v>4001</v>
      </c>
      <c r="AG726" s="52" t="s">
        <v>4002</v>
      </c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>
        <v>0</v>
      </c>
      <c r="AT726" s="52"/>
      <c r="AU726" s="52"/>
      <c r="AV726" s="52" t="s">
        <v>840</v>
      </c>
      <c r="AW726" s="52"/>
    </row>
    <row r="727" spans="1:49">
      <c r="A727" s="52">
        <v>6022181</v>
      </c>
      <c r="B727" s="52" t="s">
        <v>3716</v>
      </c>
      <c r="C727" s="52" t="s">
        <v>3698</v>
      </c>
      <c r="D727" s="53">
        <v>46157.75</v>
      </c>
      <c r="E727" s="53">
        <v>46157.332638888889</v>
      </c>
      <c r="F727" s="52"/>
      <c r="G727" s="53">
        <v>46169.25</v>
      </c>
      <c r="H727" s="52"/>
      <c r="I727" s="52"/>
      <c r="J727" s="52" t="s">
        <v>3694</v>
      </c>
      <c r="K727" s="53">
        <v>46159.947916666664</v>
      </c>
      <c r="L727" s="52"/>
      <c r="M727" s="52"/>
      <c r="N727" s="52"/>
      <c r="O727" s="52" t="s">
        <v>4003</v>
      </c>
      <c r="P727" s="52" t="s">
        <v>836</v>
      </c>
      <c r="Q727" s="52" t="s">
        <v>895</v>
      </c>
      <c r="R727" s="52" t="s">
        <v>902</v>
      </c>
      <c r="S727" s="52" t="s">
        <v>3895</v>
      </c>
      <c r="T727" s="52" t="s">
        <v>4000</v>
      </c>
      <c r="U727" s="52" t="s">
        <v>3695</v>
      </c>
      <c r="V727" s="52" t="s">
        <v>903</v>
      </c>
      <c r="W727" s="52">
        <v>61708488987</v>
      </c>
      <c r="X727" s="52" t="s">
        <v>73</v>
      </c>
      <c r="Y727" s="52" t="s">
        <v>3930</v>
      </c>
      <c r="Z727" s="52" t="s">
        <v>3696</v>
      </c>
      <c r="AA727" s="52" t="s">
        <v>3710</v>
      </c>
      <c r="AB727" s="52"/>
      <c r="AC727" s="52" t="s">
        <v>3720</v>
      </c>
      <c r="AD727" s="52" t="s">
        <v>3715</v>
      </c>
      <c r="AE727" s="52" t="s">
        <v>79</v>
      </c>
      <c r="AF727" s="52" t="s">
        <v>4001</v>
      </c>
      <c r="AG727" s="52" t="s">
        <v>4002</v>
      </c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 t="s">
        <v>3696</v>
      </c>
      <c r="AT727" s="52"/>
      <c r="AU727" s="52"/>
      <c r="AV727" s="52"/>
      <c r="AW727" s="52"/>
    </row>
    <row r="728" spans="1:49">
      <c r="A728" s="52">
        <v>6022181</v>
      </c>
      <c r="B728" s="52" t="s">
        <v>3716</v>
      </c>
      <c r="C728" s="52" t="s">
        <v>3698</v>
      </c>
      <c r="D728" s="53">
        <v>46157.75</v>
      </c>
      <c r="E728" s="53">
        <v>46157.332638888889</v>
      </c>
      <c r="F728" s="52"/>
      <c r="G728" s="53">
        <v>46169.25</v>
      </c>
      <c r="H728" s="52"/>
      <c r="I728" s="52"/>
      <c r="J728" s="52" t="s">
        <v>3694</v>
      </c>
      <c r="K728" s="53">
        <v>46159.947916666664</v>
      </c>
      <c r="L728" s="52"/>
      <c r="M728" s="52"/>
      <c r="N728" s="52"/>
      <c r="O728" s="52" t="s">
        <v>4003</v>
      </c>
      <c r="P728" s="52" t="s">
        <v>836</v>
      </c>
      <c r="Q728" s="52" t="s">
        <v>895</v>
      </c>
      <c r="R728" s="52" t="s">
        <v>902</v>
      </c>
      <c r="S728" s="52" t="s">
        <v>3895</v>
      </c>
      <c r="T728" s="52" t="s">
        <v>4000</v>
      </c>
      <c r="U728" s="52" t="s">
        <v>3695</v>
      </c>
      <c r="V728" s="52" t="s">
        <v>903</v>
      </c>
      <c r="W728" s="52">
        <v>61708488987</v>
      </c>
      <c r="X728" s="52" t="s">
        <v>73</v>
      </c>
      <c r="Y728" s="52" t="s">
        <v>3930</v>
      </c>
      <c r="Z728" s="52" t="s">
        <v>3696</v>
      </c>
      <c r="AA728" s="52" t="s">
        <v>3710</v>
      </c>
      <c r="AB728" s="52"/>
      <c r="AC728" s="52" t="s">
        <v>3720</v>
      </c>
      <c r="AD728" s="52" t="s">
        <v>3715</v>
      </c>
      <c r="AE728" s="52"/>
      <c r="AF728" s="52" t="s">
        <v>4001</v>
      </c>
      <c r="AG728" s="52" t="s">
        <v>4002</v>
      </c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 t="s">
        <v>3696</v>
      </c>
      <c r="AT728" s="52"/>
      <c r="AU728" s="52"/>
      <c r="AV728" s="52"/>
      <c r="AW728" s="52" t="s">
        <v>840</v>
      </c>
    </row>
    <row r="729" spans="1:49">
      <c r="A729" s="52">
        <v>6022183</v>
      </c>
      <c r="B729" s="52" t="s">
        <v>3716</v>
      </c>
      <c r="C729" s="52" t="s">
        <v>3692</v>
      </c>
      <c r="D729" s="53">
        <v>46157.25</v>
      </c>
      <c r="E729" s="53">
        <v>46156.814583333333</v>
      </c>
      <c r="F729" s="53">
        <v>46157.57916666667</v>
      </c>
      <c r="G729" s="53">
        <v>46158.169444444444</v>
      </c>
      <c r="H729" s="52"/>
      <c r="I729" s="52" t="s">
        <v>3693</v>
      </c>
      <c r="J729" s="52" t="s">
        <v>3694</v>
      </c>
      <c r="K729" s="53">
        <v>46158.776388888888</v>
      </c>
      <c r="L729" s="52"/>
      <c r="M729" s="54">
        <v>3.7083333333333335</v>
      </c>
      <c r="N729" s="54">
        <v>1.20625</v>
      </c>
      <c r="O729" s="52"/>
      <c r="P729" s="52"/>
      <c r="Q729" s="52"/>
      <c r="R729" s="52"/>
      <c r="S729" s="52"/>
      <c r="T729" s="52" t="s">
        <v>4071</v>
      </c>
      <c r="U729" s="52" t="s">
        <v>4072</v>
      </c>
      <c r="V729" s="52"/>
      <c r="W729" s="52"/>
      <c r="X729" s="52"/>
      <c r="Y729" s="52"/>
      <c r="Z729" s="52" t="s">
        <v>3696</v>
      </c>
      <c r="AA729" s="52" t="s">
        <v>184</v>
      </c>
      <c r="AB729" s="52" t="s">
        <v>79</v>
      </c>
      <c r="AC729" s="52" t="s">
        <v>3720</v>
      </c>
      <c r="AD729" s="52" t="s">
        <v>3715</v>
      </c>
      <c r="AE729" s="52"/>
      <c r="AF729" s="52" t="s">
        <v>4073</v>
      </c>
      <c r="AG729" s="52" t="s">
        <v>3704</v>
      </c>
      <c r="AH729" s="52"/>
      <c r="AI729" s="52"/>
      <c r="AJ729" s="52"/>
      <c r="AK729" s="52"/>
      <c r="AL729" s="55">
        <v>3.472222222222222E-3</v>
      </c>
      <c r="AM729" s="52"/>
      <c r="AN729" s="52"/>
      <c r="AO729" s="52"/>
      <c r="AP729" s="52"/>
      <c r="AQ729" s="52"/>
      <c r="AR729" s="52"/>
      <c r="AS729" s="52">
        <v>0</v>
      </c>
      <c r="AT729" s="52"/>
      <c r="AU729" s="52"/>
      <c r="AV729" s="52" t="s">
        <v>297</v>
      </c>
      <c r="AW729" s="52"/>
    </row>
    <row r="730" spans="1:49">
      <c r="A730" s="52">
        <v>6022183</v>
      </c>
      <c r="B730" s="52" t="s">
        <v>3716</v>
      </c>
      <c r="C730" s="52" t="s">
        <v>3698</v>
      </c>
      <c r="D730" s="53">
        <v>46157.25</v>
      </c>
      <c r="E730" s="53">
        <v>46156.814583333333</v>
      </c>
      <c r="F730" s="53">
        <v>46157.595833333333</v>
      </c>
      <c r="G730" s="53">
        <v>46158.169444444444</v>
      </c>
      <c r="H730" s="52"/>
      <c r="I730" s="52"/>
      <c r="J730" s="52" t="s">
        <v>3694</v>
      </c>
      <c r="K730" s="53">
        <v>46158.776388888888</v>
      </c>
      <c r="L730" s="52"/>
      <c r="M730" s="55">
        <v>0.57361111111111107</v>
      </c>
      <c r="N730" s="55">
        <v>0.86041666666666672</v>
      </c>
      <c r="O730" s="52" t="s">
        <v>334</v>
      </c>
      <c r="P730" s="52" t="s">
        <v>184</v>
      </c>
      <c r="Q730" s="52" t="s">
        <v>333</v>
      </c>
      <c r="R730" s="52" t="s">
        <v>341</v>
      </c>
      <c r="S730" s="52" t="s">
        <v>69</v>
      </c>
      <c r="T730" s="52" t="s">
        <v>4071</v>
      </c>
      <c r="U730" s="52" t="s">
        <v>4072</v>
      </c>
      <c r="V730" s="52" t="s">
        <v>342</v>
      </c>
      <c r="W730" s="52">
        <v>42976998850</v>
      </c>
      <c r="X730" s="52" t="s">
        <v>73</v>
      </c>
      <c r="Y730" s="52"/>
      <c r="Z730" s="52" t="s">
        <v>3696</v>
      </c>
      <c r="AA730" s="52" t="s">
        <v>3710</v>
      </c>
      <c r="AB730" s="52"/>
      <c r="AC730" s="52" t="s">
        <v>3720</v>
      </c>
      <c r="AD730" s="52" t="s">
        <v>3715</v>
      </c>
      <c r="AE730" s="52" t="s">
        <v>79</v>
      </c>
      <c r="AF730" s="52" t="s">
        <v>4073</v>
      </c>
      <c r="AG730" s="52" t="s">
        <v>3704</v>
      </c>
      <c r="AH730" s="52"/>
      <c r="AI730" s="53">
        <v>46157.761805555558</v>
      </c>
      <c r="AJ730" s="53">
        <v>46157.765277777777</v>
      </c>
      <c r="AK730" s="53">
        <v>46157.761805555558</v>
      </c>
      <c r="AL730" s="55">
        <v>3.472222222222222E-3</v>
      </c>
      <c r="AM730" s="52"/>
      <c r="AN730" s="55">
        <v>3.472222222222222E-3</v>
      </c>
      <c r="AO730" s="52"/>
      <c r="AP730" s="55">
        <v>3.472222222222222E-3</v>
      </c>
      <c r="AQ730" s="52"/>
      <c r="AR730" s="52"/>
      <c r="AS730" s="52" t="s">
        <v>3696</v>
      </c>
      <c r="AT730" s="52"/>
      <c r="AU730" s="52"/>
      <c r="AV730" s="52"/>
      <c r="AW730" s="52"/>
    </row>
    <row r="731" spans="1:49">
      <c r="A731" s="52">
        <v>6022183</v>
      </c>
      <c r="B731" s="52" t="s">
        <v>3716</v>
      </c>
      <c r="C731" s="52" t="s">
        <v>3698</v>
      </c>
      <c r="D731" s="53">
        <v>46157.25</v>
      </c>
      <c r="E731" s="53">
        <v>46156.814583333333</v>
      </c>
      <c r="F731" s="53">
        <v>46157.595833333333</v>
      </c>
      <c r="G731" s="53">
        <v>46158.169444444444</v>
      </c>
      <c r="H731" s="52"/>
      <c r="I731" s="52"/>
      <c r="J731" s="52" t="s">
        <v>3694</v>
      </c>
      <c r="K731" s="53">
        <v>46158.776388888888</v>
      </c>
      <c r="L731" s="52"/>
      <c r="M731" s="55">
        <v>0.57361111111111107</v>
      </c>
      <c r="N731" s="55">
        <v>0.86041666666666672</v>
      </c>
      <c r="O731" s="52" t="s">
        <v>334</v>
      </c>
      <c r="P731" s="52" t="s">
        <v>184</v>
      </c>
      <c r="Q731" s="52" t="s">
        <v>333</v>
      </c>
      <c r="R731" s="52" t="s">
        <v>341</v>
      </c>
      <c r="S731" s="52" t="s">
        <v>69</v>
      </c>
      <c r="T731" s="52" t="s">
        <v>4071</v>
      </c>
      <c r="U731" s="52" t="s">
        <v>4072</v>
      </c>
      <c r="V731" s="52" t="s">
        <v>342</v>
      </c>
      <c r="W731" s="52">
        <v>42976998850</v>
      </c>
      <c r="X731" s="52" t="s">
        <v>73</v>
      </c>
      <c r="Y731" s="52"/>
      <c r="Z731" s="52" t="s">
        <v>3696</v>
      </c>
      <c r="AA731" s="52" t="s">
        <v>3710</v>
      </c>
      <c r="AB731" s="52"/>
      <c r="AC731" s="52" t="s">
        <v>3720</v>
      </c>
      <c r="AD731" s="52" t="s">
        <v>3715</v>
      </c>
      <c r="AE731" s="52"/>
      <c r="AF731" s="52" t="s">
        <v>4073</v>
      </c>
      <c r="AG731" s="52" t="s">
        <v>3704</v>
      </c>
      <c r="AH731" s="52"/>
      <c r="AI731" s="53">
        <v>46157.761805555558</v>
      </c>
      <c r="AJ731" s="53">
        <v>46157.765277777777</v>
      </c>
      <c r="AK731" s="53">
        <v>46157.761805555558</v>
      </c>
      <c r="AL731" s="55">
        <v>3.472222222222222E-3</v>
      </c>
      <c r="AM731" s="52"/>
      <c r="AN731" s="55">
        <v>3.472222222222222E-3</v>
      </c>
      <c r="AO731" s="52"/>
      <c r="AP731" s="55">
        <v>3.472222222222222E-3</v>
      </c>
      <c r="AQ731" s="52"/>
      <c r="AR731" s="52"/>
      <c r="AS731" s="52" t="s">
        <v>3696</v>
      </c>
      <c r="AT731" s="52"/>
      <c r="AU731" s="52"/>
      <c r="AV731" s="52"/>
      <c r="AW731" s="52" t="s">
        <v>297</v>
      </c>
    </row>
    <row r="732" spans="1:49">
      <c r="A732" s="52">
        <v>6022184</v>
      </c>
      <c r="B732" s="52" t="s">
        <v>3716</v>
      </c>
      <c r="C732" s="52" t="s">
        <v>3692</v>
      </c>
      <c r="D732" s="53">
        <v>46157.333333333336</v>
      </c>
      <c r="E732" s="53">
        <v>46157.332638888889</v>
      </c>
      <c r="F732" s="53">
        <v>46158.345138888886</v>
      </c>
      <c r="G732" s="53">
        <v>46159.826388888891</v>
      </c>
      <c r="H732" s="53">
        <v>46158.345138888886</v>
      </c>
      <c r="I732" s="52" t="s">
        <v>3693</v>
      </c>
      <c r="J732" s="52" t="s">
        <v>3694</v>
      </c>
      <c r="K732" s="52"/>
      <c r="L732" s="52"/>
      <c r="M732" s="55">
        <v>0.4236111111111111</v>
      </c>
      <c r="N732" s="54">
        <v>1.3701388888888888</v>
      </c>
      <c r="O732" s="52"/>
      <c r="P732" s="52"/>
      <c r="Q732" s="52"/>
      <c r="R732" s="52"/>
      <c r="S732" s="52"/>
      <c r="T732" s="52" t="s">
        <v>4074</v>
      </c>
      <c r="U732" s="52" t="s">
        <v>3926</v>
      </c>
      <c r="V732" s="52"/>
      <c r="W732" s="52"/>
      <c r="X732" s="52"/>
      <c r="Y732" s="52"/>
      <c r="Z732" s="52" t="s">
        <v>3696</v>
      </c>
      <c r="AA732" s="52" t="s">
        <v>216</v>
      </c>
      <c r="AB732" s="52" t="s">
        <v>79</v>
      </c>
      <c r="AC732" s="52" t="s">
        <v>3720</v>
      </c>
      <c r="AD732" s="52" t="s">
        <v>3715</v>
      </c>
      <c r="AE732" s="52"/>
      <c r="AF732" s="52" t="s">
        <v>3720</v>
      </c>
      <c r="AG732" s="52" t="s">
        <v>3715</v>
      </c>
      <c r="AH732" s="52"/>
      <c r="AI732" s="52"/>
      <c r="AJ732" s="52"/>
      <c r="AK732" s="52"/>
      <c r="AL732" s="55">
        <v>1.5277777777777777E-2</v>
      </c>
      <c r="AM732" s="52"/>
      <c r="AN732" s="52"/>
      <c r="AO732" s="52"/>
      <c r="AP732" s="52"/>
      <c r="AQ732" s="52"/>
      <c r="AR732" s="52"/>
      <c r="AS732" s="52">
        <v>0</v>
      </c>
      <c r="AT732" s="52"/>
      <c r="AU732" s="52"/>
      <c r="AV732" s="52" t="s">
        <v>297</v>
      </c>
      <c r="AW732" s="52"/>
    </row>
    <row r="733" spans="1:49">
      <c r="A733" s="52">
        <v>6022184</v>
      </c>
      <c r="B733" s="52" t="s">
        <v>3716</v>
      </c>
      <c r="C733" s="52" t="s">
        <v>3698</v>
      </c>
      <c r="D733" s="53">
        <v>46157.333333333336</v>
      </c>
      <c r="E733" s="53">
        <v>46157.332638888889</v>
      </c>
      <c r="F733" s="53">
        <v>46158.345138888886</v>
      </c>
      <c r="G733" s="53">
        <v>46158.71875</v>
      </c>
      <c r="H733" s="52"/>
      <c r="I733" s="52"/>
      <c r="J733" s="52" t="s">
        <v>3694</v>
      </c>
      <c r="K733" s="53">
        <v>46158.551388888889</v>
      </c>
      <c r="L733" s="52"/>
      <c r="M733" s="55">
        <v>0.37361111111111112</v>
      </c>
      <c r="N733" s="55">
        <v>0.1111111111111111</v>
      </c>
      <c r="O733" s="52" t="s">
        <v>737</v>
      </c>
      <c r="P733" s="52" t="s">
        <v>216</v>
      </c>
      <c r="Q733" s="52" t="s">
        <v>736</v>
      </c>
      <c r="R733" s="52" t="s">
        <v>741</v>
      </c>
      <c r="S733" s="52" t="s">
        <v>69</v>
      </c>
      <c r="T733" s="52" t="s">
        <v>4074</v>
      </c>
      <c r="U733" s="52" t="s">
        <v>3926</v>
      </c>
      <c r="V733" s="52" t="s">
        <v>742</v>
      </c>
      <c r="W733" s="52">
        <v>15855194728</v>
      </c>
      <c r="X733" s="52" t="s">
        <v>73</v>
      </c>
      <c r="Y733" s="52"/>
      <c r="Z733" s="52" t="s">
        <v>3696</v>
      </c>
      <c r="AA733" s="52" t="s">
        <v>3710</v>
      </c>
      <c r="AB733" s="52"/>
      <c r="AC733" s="52" t="s">
        <v>3720</v>
      </c>
      <c r="AD733" s="52" t="s">
        <v>3715</v>
      </c>
      <c r="AE733" s="52" t="s">
        <v>79</v>
      </c>
      <c r="AF733" s="52" t="s">
        <v>4073</v>
      </c>
      <c r="AG733" s="52" t="s">
        <v>3704</v>
      </c>
      <c r="AH733" s="52"/>
      <c r="AI733" s="53">
        <v>46158.345138888886</v>
      </c>
      <c r="AJ733" s="53">
        <v>46158.36041666667</v>
      </c>
      <c r="AK733" s="53">
        <v>46158.345138888886</v>
      </c>
      <c r="AL733" s="55">
        <v>1.5277777777777777E-2</v>
      </c>
      <c r="AM733" s="52"/>
      <c r="AN733" s="55">
        <v>1.5277777777777777E-2</v>
      </c>
      <c r="AO733" s="52"/>
      <c r="AP733" s="55">
        <v>1.5277777777777777E-2</v>
      </c>
      <c r="AQ733" s="52"/>
      <c r="AR733" s="52"/>
      <c r="AS733" s="52" t="s">
        <v>3696</v>
      </c>
      <c r="AT733" s="52"/>
      <c r="AU733" s="52"/>
      <c r="AV733" s="52"/>
      <c r="AW733" s="52"/>
    </row>
    <row r="734" spans="1:49">
      <c r="A734" s="52">
        <v>6022184</v>
      </c>
      <c r="B734" s="52" t="s">
        <v>3716</v>
      </c>
      <c r="C734" s="52" t="s">
        <v>3698</v>
      </c>
      <c r="D734" s="53">
        <v>46157.333333333336</v>
      </c>
      <c r="E734" s="53">
        <v>46157.332638888889</v>
      </c>
      <c r="F734" s="53">
        <v>46158.345138888886</v>
      </c>
      <c r="G734" s="53">
        <v>46158.71875</v>
      </c>
      <c r="H734" s="52"/>
      <c r="I734" s="52"/>
      <c r="J734" s="52" t="s">
        <v>3694</v>
      </c>
      <c r="K734" s="53">
        <v>46158.551388888889</v>
      </c>
      <c r="L734" s="52"/>
      <c r="M734" s="55">
        <v>0.37361111111111112</v>
      </c>
      <c r="N734" s="55">
        <v>0.1111111111111111</v>
      </c>
      <c r="O734" s="52" t="s">
        <v>737</v>
      </c>
      <c r="P734" s="52" t="s">
        <v>216</v>
      </c>
      <c r="Q734" s="52" t="s">
        <v>736</v>
      </c>
      <c r="R734" s="52" t="s">
        <v>741</v>
      </c>
      <c r="S734" s="52" t="s">
        <v>69</v>
      </c>
      <c r="T734" s="52" t="s">
        <v>4074</v>
      </c>
      <c r="U734" s="52" t="s">
        <v>3926</v>
      </c>
      <c r="V734" s="52" t="s">
        <v>742</v>
      </c>
      <c r="W734" s="52">
        <v>15855194728</v>
      </c>
      <c r="X734" s="52" t="s">
        <v>73</v>
      </c>
      <c r="Y734" s="52"/>
      <c r="Z734" s="52" t="s">
        <v>3696</v>
      </c>
      <c r="AA734" s="52" t="s">
        <v>3710</v>
      </c>
      <c r="AB734" s="52"/>
      <c r="AC734" s="52" t="s">
        <v>3720</v>
      </c>
      <c r="AD734" s="52" t="s">
        <v>3715</v>
      </c>
      <c r="AE734" s="52"/>
      <c r="AF734" s="52" t="s">
        <v>4073</v>
      </c>
      <c r="AG734" s="52" t="s">
        <v>3704</v>
      </c>
      <c r="AH734" s="52"/>
      <c r="AI734" s="53">
        <v>46158.345138888886</v>
      </c>
      <c r="AJ734" s="53">
        <v>46158.36041666667</v>
      </c>
      <c r="AK734" s="53">
        <v>46158.345138888886</v>
      </c>
      <c r="AL734" s="55">
        <v>1.5277777777777777E-2</v>
      </c>
      <c r="AM734" s="52"/>
      <c r="AN734" s="55">
        <v>1.5277777777777777E-2</v>
      </c>
      <c r="AO734" s="52"/>
      <c r="AP734" s="55">
        <v>1.5277777777777777E-2</v>
      </c>
      <c r="AQ734" s="52"/>
      <c r="AR734" s="52"/>
      <c r="AS734" s="52" t="s">
        <v>3696</v>
      </c>
      <c r="AT734" s="52"/>
      <c r="AU734" s="52"/>
      <c r="AV734" s="52"/>
      <c r="AW734" s="52" t="s">
        <v>297</v>
      </c>
    </row>
    <row r="735" spans="1:49">
      <c r="A735" s="52">
        <v>6022190</v>
      </c>
      <c r="B735" s="52" t="s">
        <v>3716</v>
      </c>
      <c r="C735" s="52" t="s">
        <v>3717</v>
      </c>
      <c r="D735" s="53">
        <v>46157.25</v>
      </c>
      <c r="E735" s="53">
        <v>46156.821527777778</v>
      </c>
      <c r="F735" s="53">
        <v>46157.527777777781</v>
      </c>
      <c r="G735" s="53">
        <v>46160.958333333336</v>
      </c>
      <c r="H735" s="52"/>
      <c r="I735" s="52" t="s">
        <v>3693</v>
      </c>
      <c r="J735" s="52" t="s">
        <v>3693</v>
      </c>
      <c r="K735" s="53">
        <v>46158.114583333336</v>
      </c>
      <c r="L735" s="52"/>
      <c r="M735" s="54">
        <v>3.7083333333333335</v>
      </c>
      <c r="N735" s="54">
        <v>1.20625</v>
      </c>
      <c r="O735" s="52"/>
      <c r="P735" s="52"/>
      <c r="Q735" s="52"/>
      <c r="R735" s="52"/>
      <c r="S735" s="52"/>
      <c r="T735" s="52" t="s">
        <v>4075</v>
      </c>
      <c r="U735" s="52" t="s">
        <v>3729</v>
      </c>
      <c r="V735" s="52"/>
      <c r="W735" s="52"/>
      <c r="X735" s="52"/>
      <c r="Y735" s="52"/>
      <c r="Z735" s="52" t="s">
        <v>3696</v>
      </c>
      <c r="AA735" s="52" t="s">
        <v>114</v>
      </c>
      <c r="AB735" s="52" t="s">
        <v>79</v>
      </c>
      <c r="AC735" s="52" t="s">
        <v>3720</v>
      </c>
      <c r="AD735" s="52" t="s">
        <v>3715</v>
      </c>
      <c r="AE735" s="52"/>
      <c r="AF735" s="52" t="s">
        <v>4073</v>
      </c>
      <c r="AG735" s="52" t="s">
        <v>3704</v>
      </c>
      <c r="AH735" s="52"/>
      <c r="AI735" s="52"/>
      <c r="AJ735" s="52"/>
      <c r="AK735" s="52"/>
      <c r="AL735" s="55">
        <v>0.13541666666666666</v>
      </c>
      <c r="AM735" s="52"/>
      <c r="AN735" s="52"/>
      <c r="AO735" s="52"/>
      <c r="AP735" s="52"/>
      <c r="AQ735" s="52"/>
      <c r="AR735" s="52"/>
      <c r="AS735" s="52">
        <v>0</v>
      </c>
      <c r="AT735" s="52"/>
      <c r="AU735" s="52"/>
      <c r="AV735" s="52" t="s">
        <v>297</v>
      </c>
      <c r="AW735" s="52"/>
    </row>
    <row r="736" spans="1:49">
      <c r="A736" s="52">
        <v>6022190</v>
      </c>
      <c r="B736" s="52" t="s">
        <v>3716</v>
      </c>
      <c r="C736" s="52" t="s">
        <v>3698</v>
      </c>
      <c r="D736" s="53">
        <v>46157.25</v>
      </c>
      <c r="E736" s="53">
        <v>46156.821527777778</v>
      </c>
      <c r="F736" s="53">
        <v>46157.529166666667</v>
      </c>
      <c r="G736" s="53">
        <v>46160.958333333336</v>
      </c>
      <c r="H736" s="52"/>
      <c r="I736" s="52"/>
      <c r="J736" s="52" t="s">
        <v>3693</v>
      </c>
      <c r="K736" s="53">
        <v>46158.114583333336</v>
      </c>
      <c r="L736" s="52"/>
      <c r="M736" s="54">
        <v>3.4291666666666667</v>
      </c>
      <c r="N736" s="55">
        <v>0.92708333333333337</v>
      </c>
      <c r="O736" s="52" t="s">
        <v>4076</v>
      </c>
      <c r="P736" s="52" t="s">
        <v>114</v>
      </c>
      <c r="Q736" s="52" t="s">
        <v>731</v>
      </c>
      <c r="R736" s="52" t="s">
        <v>734</v>
      </c>
      <c r="S736" s="52" t="s">
        <v>3756</v>
      </c>
      <c r="T736" s="52" t="s">
        <v>4075</v>
      </c>
      <c r="U736" s="52" t="s">
        <v>3729</v>
      </c>
      <c r="V736" s="52" t="s">
        <v>735</v>
      </c>
      <c r="W736" s="52">
        <v>5483616901</v>
      </c>
      <c r="X736" s="52" t="s">
        <v>73</v>
      </c>
      <c r="Y736" s="52"/>
      <c r="Z736" s="52" t="s">
        <v>3696</v>
      </c>
      <c r="AA736" s="52" t="s">
        <v>3710</v>
      </c>
      <c r="AB736" s="52"/>
      <c r="AC736" s="52" t="s">
        <v>3720</v>
      </c>
      <c r="AD736" s="52" t="s">
        <v>3715</v>
      </c>
      <c r="AE736" s="52" t="s">
        <v>79</v>
      </c>
      <c r="AF736" s="52" t="s">
        <v>4073</v>
      </c>
      <c r="AG736" s="52" t="s">
        <v>3704</v>
      </c>
      <c r="AH736" s="52"/>
      <c r="AI736" s="53">
        <v>46157.59375</v>
      </c>
      <c r="AJ736" s="53">
        <v>46157.729166666664</v>
      </c>
      <c r="AK736" s="53">
        <v>46157.59375</v>
      </c>
      <c r="AL736" s="55">
        <v>0.13541666666666666</v>
      </c>
      <c r="AM736" s="52"/>
      <c r="AN736" s="55">
        <v>0.13541666666666666</v>
      </c>
      <c r="AO736" s="52"/>
      <c r="AP736" s="55">
        <v>0.13541666666666666</v>
      </c>
      <c r="AQ736" s="52"/>
      <c r="AR736" s="52"/>
      <c r="AS736" s="52" t="s">
        <v>3696</v>
      </c>
      <c r="AT736" s="52"/>
      <c r="AU736" s="52"/>
      <c r="AV736" s="52"/>
      <c r="AW736" s="52"/>
    </row>
    <row r="737" spans="1:49">
      <c r="A737" s="52">
        <v>6022190</v>
      </c>
      <c r="B737" s="52" t="s">
        <v>3716</v>
      </c>
      <c r="C737" s="52" t="s">
        <v>3698</v>
      </c>
      <c r="D737" s="53">
        <v>46157.25</v>
      </c>
      <c r="E737" s="53">
        <v>46156.821527777778</v>
      </c>
      <c r="F737" s="53">
        <v>46157.529166666667</v>
      </c>
      <c r="G737" s="53">
        <v>46160.958333333336</v>
      </c>
      <c r="H737" s="52"/>
      <c r="I737" s="52"/>
      <c r="J737" s="52" t="s">
        <v>3693</v>
      </c>
      <c r="K737" s="53">
        <v>46158.114583333336</v>
      </c>
      <c r="L737" s="52"/>
      <c r="M737" s="54">
        <v>3.4291666666666667</v>
      </c>
      <c r="N737" s="55">
        <v>0.92708333333333337</v>
      </c>
      <c r="O737" s="52" t="s">
        <v>4076</v>
      </c>
      <c r="P737" s="52" t="s">
        <v>114</v>
      </c>
      <c r="Q737" s="52" t="s">
        <v>731</v>
      </c>
      <c r="R737" s="52" t="s">
        <v>734</v>
      </c>
      <c r="S737" s="52" t="s">
        <v>3756</v>
      </c>
      <c r="T737" s="52" t="s">
        <v>4075</v>
      </c>
      <c r="U737" s="52" t="s">
        <v>3729</v>
      </c>
      <c r="V737" s="52" t="s">
        <v>735</v>
      </c>
      <c r="W737" s="52">
        <v>5483616901</v>
      </c>
      <c r="X737" s="52" t="s">
        <v>73</v>
      </c>
      <c r="Y737" s="52"/>
      <c r="Z737" s="52" t="s">
        <v>3696</v>
      </c>
      <c r="AA737" s="52" t="s">
        <v>3710</v>
      </c>
      <c r="AB737" s="52"/>
      <c r="AC737" s="52" t="s">
        <v>3720</v>
      </c>
      <c r="AD737" s="52" t="s">
        <v>3715</v>
      </c>
      <c r="AE737" s="52"/>
      <c r="AF737" s="52" t="s">
        <v>4073</v>
      </c>
      <c r="AG737" s="52" t="s">
        <v>3704</v>
      </c>
      <c r="AH737" s="52"/>
      <c r="AI737" s="53">
        <v>46157.59375</v>
      </c>
      <c r="AJ737" s="53">
        <v>46157.729166666664</v>
      </c>
      <c r="AK737" s="53">
        <v>46157.59375</v>
      </c>
      <c r="AL737" s="55">
        <v>0.13541666666666666</v>
      </c>
      <c r="AM737" s="52"/>
      <c r="AN737" s="55">
        <v>0.13541666666666666</v>
      </c>
      <c r="AO737" s="52"/>
      <c r="AP737" s="55">
        <v>0.13541666666666666</v>
      </c>
      <c r="AQ737" s="52"/>
      <c r="AR737" s="52"/>
      <c r="AS737" s="52" t="s">
        <v>3696</v>
      </c>
      <c r="AT737" s="52"/>
      <c r="AU737" s="52"/>
      <c r="AV737" s="52"/>
      <c r="AW737" s="52" t="s">
        <v>297</v>
      </c>
    </row>
    <row r="738" spans="1:49">
      <c r="A738" s="52">
        <v>6022190</v>
      </c>
      <c r="B738" s="52" t="s">
        <v>3716</v>
      </c>
      <c r="C738" s="52" t="s">
        <v>3698</v>
      </c>
      <c r="D738" s="53">
        <v>46157.25</v>
      </c>
      <c r="E738" s="53">
        <v>46156.821527777778</v>
      </c>
      <c r="F738" s="53">
        <v>46157.730555555558</v>
      </c>
      <c r="G738" s="53">
        <v>46160.958333333336</v>
      </c>
      <c r="H738" s="52"/>
      <c r="I738" s="52"/>
      <c r="J738" s="52" t="s">
        <v>3693</v>
      </c>
      <c r="K738" s="53">
        <v>46158.114583333336</v>
      </c>
      <c r="L738" s="52"/>
      <c r="M738" s="54">
        <v>3.2277777777777779</v>
      </c>
      <c r="N738" s="55">
        <v>0.72569444444444442</v>
      </c>
      <c r="O738" s="52" t="s">
        <v>4077</v>
      </c>
      <c r="P738" s="52" t="s">
        <v>114</v>
      </c>
      <c r="Q738" s="52" t="s">
        <v>731</v>
      </c>
      <c r="R738" s="52" t="s">
        <v>734</v>
      </c>
      <c r="S738" s="52" t="s">
        <v>3756</v>
      </c>
      <c r="T738" s="52" t="s">
        <v>4075</v>
      </c>
      <c r="U738" s="52" t="s">
        <v>3764</v>
      </c>
      <c r="V738" s="52" t="s">
        <v>735</v>
      </c>
      <c r="W738" s="52">
        <v>5483616901</v>
      </c>
      <c r="X738" s="52" t="s">
        <v>73</v>
      </c>
      <c r="Y738" s="52"/>
      <c r="Z738" s="52" t="s">
        <v>3696</v>
      </c>
      <c r="AA738" s="52" t="s">
        <v>3710</v>
      </c>
      <c r="AB738" s="52"/>
      <c r="AC738" s="52" t="s">
        <v>3720</v>
      </c>
      <c r="AD738" s="52" t="s">
        <v>3715</v>
      </c>
      <c r="AE738" s="52" t="s">
        <v>79</v>
      </c>
      <c r="AF738" s="52" t="s">
        <v>4073</v>
      </c>
      <c r="AG738" s="52" t="s">
        <v>3704</v>
      </c>
      <c r="AH738" s="52"/>
      <c r="AI738" s="53">
        <v>46157.59375</v>
      </c>
      <c r="AJ738" s="53">
        <v>46157.729166666664</v>
      </c>
      <c r="AK738" s="53">
        <v>46157.59375</v>
      </c>
      <c r="AL738" s="55">
        <v>0.10902777777777778</v>
      </c>
      <c r="AM738" s="52"/>
      <c r="AN738" s="55">
        <v>0.13541666666666666</v>
      </c>
      <c r="AO738" s="52"/>
      <c r="AP738" s="55">
        <v>0.10902777777777778</v>
      </c>
      <c r="AQ738" s="52"/>
      <c r="AR738" s="52"/>
      <c r="AS738" s="52" t="s">
        <v>3696</v>
      </c>
      <c r="AT738" s="52"/>
      <c r="AU738" s="52"/>
      <c r="AV738" s="52"/>
      <c r="AW738" s="52"/>
    </row>
    <row r="739" spans="1:49">
      <c r="A739" s="52">
        <v>6022190</v>
      </c>
      <c r="B739" s="52" t="s">
        <v>3716</v>
      </c>
      <c r="C739" s="52" t="s">
        <v>3698</v>
      </c>
      <c r="D739" s="53">
        <v>46157.25</v>
      </c>
      <c r="E739" s="53">
        <v>46156.821527777778</v>
      </c>
      <c r="F739" s="53">
        <v>46157.730555555558</v>
      </c>
      <c r="G739" s="53">
        <v>46160.958333333336</v>
      </c>
      <c r="H739" s="52"/>
      <c r="I739" s="52"/>
      <c r="J739" s="52" t="s">
        <v>3693</v>
      </c>
      <c r="K739" s="53">
        <v>46158.114583333336</v>
      </c>
      <c r="L739" s="52"/>
      <c r="M739" s="54">
        <v>3.2277777777777779</v>
      </c>
      <c r="N739" s="55">
        <v>0.72569444444444442</v>
      </c>
      <c r="O739" s="52" t="s">
        <v>4077</v>
      </c>
      <c r="P739" s="52" t="s">
        <v>114</v>
      </c>
      <c r="Q739" s="52" t="s">
        <v>731</v>
      </c>
      <c r="R739" s="52" t="s">
        <v>734</v>
      </c>
      <c r="S739" s="52" t="s">
        <v>3756</v>
      </c>
      <c r="T739" s="52" t="s">
        <v>4075</v>
      </c>
      <c r="U739" s="52" t="s">
        <v>3764</v>
      </c>
      <c r="V739" s="52" t="s">
        <v>735</v>
      </c>
      <c r="W739" s="52">
        <v>5483616901</v>
      </c>
      <c r="X739" s="52" t="s">
        <v>73</v>
      </c>
      <c r="Y739" s="52"/>
      <c r="Z739" s="52" t="s">
        <v>3696</v>
      </c>
      <c r="AA739" s="52" t="s">
        <v>3710</v>
      </c>
      <c r="AB739" s="52"/>
      <c r="AC739" s="52" t="s">
        <v>3720</v>
      </c>
      <c r="AD739" s="52" t="s">
        <v>3715</v>
      </c>
      <c r="AE739" s="52"/>
      <c r="AF739" s="52" t="s">
        <v>4073</v>
      </c>
      <c r="AG739" s="52" t="s">
        <v>3704</v>
      </c>
      <c r="AH739" s="52"/>
      <c r="AI739" s="53">
        <v>46157.59375</v>
      </c>
      <c r="AJ739" s="53">
        <v>46157.729166666664</v>
      </c>
      <c r="AK739" s="53">
        <v>46157.59375</v>
      </c>
      <c r="AL739" s="55">
        <v>0.10902777777777778</v>
      </c>
      <c r="AM739" s="52"/>
      <c r="AN739" s="55">
        <v>0.13541666666666666</v>
      </c>
      <c r="AO739" s="52"/>
      <c r="AP739" s="55">
        <v>0.10902777777777778</v>
      </c>
      <c r="AQ739" s="52"/>
      <c r="AR739" s="52"/>
      <c r="AS739" s="52" t="s">
        <v>3696</v>
      </c>
      <c r="AT739" s="52"/>
      <c r="AU739" s="52"/>
      <c r="AV739" s="52"/>
      <c r="AW739" s="52" t="s">
        <v>297</v>
      </c>
    </row>
    <row r="740" spans="1:49">
      <c r="A740" s="52">
        <v>6022190</v>
      </c>
      <c r="B740" s="52" t="s">
        <v>3716</v>
      </c>
      <c r="C740" s="52" t="s">
        <v>3698</v>
      </c>
      <c r="D740" s="53">
        <v>46157.25</v>
      </c>
      <c r="E740" s="53">
        <v>46156.821527777778</v>
      </c>
      <c r="F740" s="53">
        <v>46158.123611111114</v>
      </c>
      <c r="G740" s="53">
        <v>46160.958333333336</v>
      </c>
      <c r="H740" s="52"/>
      <c r="I740" s="52"/>
      <c r="J740" s="52" t="s">
        <v>3693</v>
      </c>
      <c r="K740" s="53">
        <v>46158.114583333336</v>
      </c>
      <c r="L740" s="52"/>
      <c r="M740" s="54">
        <v>2.8347222222222221</v>
      </c>
      <c r="N740" s="55">
        <v>0.33263888888888887</v>
      </c>
      <c r="O740" s="52" t="s">
        <v>732</v>
      </c>
      <c r="P740" s="52" t="s">
        <v>114</v>
      </c>
      <c r="Q740" s="52" t="s">
        <v>731</v>
      </c>
      <c r="R740" s="52" t="s">
        <v>734</v>
      </c>
      <c r="S740" s="52" t="s">
        <v>69</v>
      </c>
      <c r="T740" s="52" t="s">
        <v>4078</v>
      </c>
      <c r="U740" s="52" t="s">
        <v>3764</v>
      </c>
      <c r="V740" s="52" t="s">
        <v>735</v>
      </c>
      <c r="W740" s="52">
        <v>5483616901</v>
      </c>
      <c r="X740" s="52" t="s">
        <v>73</v>
      </c>
      <c r="Y740" s="52"/>
      <c r="Z740" s="52" t="s">
        <v>3696</v>
      </c>
      <c r="AA740" s="52" t="s">
        <v>3710</v>
      </c>
      <c r="AB740" s="52"/>
      <c r="AC740" s="52" t="s">
        <v>3720</v>
      </c>
      <c r="AD740" s="52" t="s">
        <v>3715</v>
      </c>
      <c r="AE740" s="52" t="s">
        <v>79</v>
      </c>
      <c r="AF740" s="52" t="s">
        <v>4073</v>
      </c>
      <c r="AG740" s="52" t="s">
        <v>3704</v>
      </c>
      <c r="AH740" s="52"/>
      <c r="AI740" s="53">
        <v>46157.59375</v>
      </c>
      <c r="AJ740" s="53">
        <v>46157.729166666664</v>
      </c>
      <c r="AK740" s="53">
        <v>46157.59375</v>
      </c>
      <c r="AL740" s="52"/>
      <c r="AM740" s="52"/>
      <c r="AN740" s="55">
        <v>0.13541666666666666</v>
      </c>
      <c r="AO740" s="52"/>
      <c r="AP740" s="52"/>
      <c r="AQ740" s="52"/>
      <c r="AR740" s="52"/>
      <c r="AS740" s="52" t="s">
        <v>3696</v>
      </c>
      <c r="AT740" s="52"/>
      <c r="AU740" s="52"/>
      <c r="AV740" s="52"/>
      <c r="AW740" s="52"/>
    </row>
    <row r="741" spans="1:49">
      <c r="A741" s="52">
        <v>6022190</v>
      </c>
      <c r="B741" s="52" t="s">
        <v>3716</v>
      </c>
      <c r="C741" s="52" t="s">
        <v>3698</v>
      </c>
      <c r="D741" s="53">
        <v>46157.25</v>
      </c>
      <c r="E741" s="53">
        <v>46156.821527777778</v>
      </c>
      <c r="F741" s="53">
        <v>46158.123611111114</v>
      </c>
      <c r="G741" s="53">
        <v>46160.958333333336</v>
      </c>
      <c r="H741" s="52"/>
      <c r="I741" s="52"/>
      <c r="J741" s="52" t="s">
        <v>3693</v>
      </c>
      <c r="K741" s="53">
        <v>46158.114583333336</v>
      </c>
      <c r="L741" s="52"/>
      <c r="M741" s="54">
        <v>2.8347222222222221</v>
      </c>
      <c r="N741" s="55">
        <v>0.33263888888888887</v>
      </c>
      <c r="O741" s="52" t="s">
        <v>732</v>
      </c>
      <c r="P741" s="52" t="s">
        <v>114</v>
      </c>
      <c r="Q741" s="52" t="s">
        <v>731</v>
      </c>
      <c r="R741" s="52" t="s">
        <v>734</v>
      </c>
      <c r="S741" s="52" t="s">
        <v>69</v>
      </c>
      <c r="T741" s="52" t="s">
        <v>4078</v>
      </c>
      <c r="U741" s="52" t="s">
        <v>3764</v>
      </c>
      <c r="V741" s="52" t="s">
        <v>735</v>
      </c>
      <c r="W741" s="52">
        <v>5483616901</v>
      </c>
      <c r="X741" s="52" t="s">
        <v>73</v>
      </c>
      <c r="Y741" s="52"/>
      <c r="Z741" s="52" t="s">
        <v>3696</v>
      </c>
      <c r="AA741" s="52" t="s">
        <v>3710</v>
      </c>
      <c r="AB741" s="52"/>
      <c r="AC741" s="52" t="s">
        <v>3720</v>
      </c>
      <c r="AD741" s="52" t="s">
        <v>3715</v>
      </c>
      <c r="AE741" s="52"/>
      <c r="AF741" s="52" t="s">
        <v>4073</v>
      </c>
      <c r="AG741" s="52" t="s">
        <v>3704</v>
      </c>
      <c r="AH741" s="52"/>
      <c r="AI741" s="53">
        <v>46157.59375</v>
      </c>
      <c r="AJ741" s="53">
        <v>46157.729166666664</v>
      </c>
      <c r="AK741" s="53">
        <v>46157.59375</v>
      </c>
      <c r="AL741" s="52"/>
      <c r="AM741" s="52"/>
      <c r="AN741" s="55">
        <v>0.13541666666666666</v>
      </c>
      <c r="AO741" s="52"/>
      <c r="AP741" s="52"/>
      <c r="AQ741" s="52"/>
      <c r="AR741" s="52"/>
      <c r="AS741" s="52" t="s">
        <v>3696</v>
      </c>
      <c r="AT741" s="52"/>
      <c r="AU741" s="52"/>
      <c r="AV741" s="52"/>
      <c r="AW741" s="52" t="s">
        <v>297</v>
      </c>
    </row>
    <row r="742" spans="1:49">
      <c r="A742" s="52">
        <v>6022201</v>
      </c>
      <c r="B742" s="52" t="s">
        <v>3716</v>
      </c>
      <c r="C742" s="52" t="s">
        <v>3692</v>
      </c>
      <c r="D742" s="53">
        <v>46157.625</v>
      </c>
      <c r="E742" s="53">
        <v>46157.332638888889</v>
      </c>
      <c r="F742" s="53">
        <v>46157.814583333333</v>
      </c>
      <c r="G742" s="53">
        <v>46160.25</v>
      </c>
      <c r="H742" s="52"/>
      <c r="I742" s="52" t="s">
        <v>3693</v>
      </c>
      <c r="J742" s="52" t="s">
        <v>3694</v>
      </c>
      <c r="K742" s="53">
        <v>46158.9</v>
      </c>
      <c r="L742" s="52"/>
      <c r="M742" s="55">
        <v>0.4236111111111111</v>
      </c>
      <c r="N742" s="54">
        <v>1.3701388888888888</v>
      </c>
      <c r="O742" s="52"/>
      <c r="P742" s="52"/>
      <c r="Q742" s="52"/>
      <c r="R742" s="52"/>
      <c r="S742" s="52"/>
      <c r="T742" s="52" t="s">
        <v>4074</v>
      </c>
      <c r="U742" s="52" t="s">
        <v>4079</v>
      </c>
      <c r="V742" s="52"/>
      <c r="W742" s="52"/>
      <c r="X742" s="52"/>
      <c r="Y742" s="52"/>
      <c r="Z742" s="52" t="s">
        <v>3696</v>
      </c>
      <c r="AA742" s="52" t="s">
        <v>216</v>
      </c>
      <c r="AB742" s="52" t="s">
        <v>79</v>
      </c>
      <c r="AC742" s="52" t="s">
        <v>3720</v>
      </c>
      <c r="AD742" s="52" t="s">
        <v>3715</v>
      </c>
      <c r="AE742" s="52"/>
      <c r="AF742" s="52" t="s">
        <v>4073</v>
      </c>
      <c r="AG742" s="52" t="s">
        <v>3704</v>
      </c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>
        <v>0</v>
      </c>
      <c r="AT742" s="52"/>
      <c r="AU742" s="52"/>
      <c r="AV742" s="52" t="s">
        <v>297</v>
      </c>
      <c r="AW742" s="52"/>
    </row>
    <row r="743" spans="1:49">
      <c r="A743" s="52">
        <v>6022201</v>
      </c>
      <c r="B743" s="52" t="s">
        <v>3716</v>
      </c>
      <c r="C743" s="52" t="s">
        <v>3698</v>
      </c>
      <c r="D743" s="53">
        <v>46157.625</v>
      </c>
      <c r="E743" s="53">
        <v>46157.332638888889</v>
      </c>
      <c r="F743" s="53">
        <v>46157.888194444444</v>
      </c>
      <c r="G743" s="53">
        <v>46160.25</v>
      </c>
      <c r="H743" s="52"/>
      <c r="I743" s="52"/>
      <c r="J743" s="52" t="s">
        <v>3694</v>
      </c>
      <c r="K743" s="53">
        <v>46158.9</v>
      </c>
      <c r="L743" s="52"/>
      <c r="M743" s="54">
        <v>2.3618055555555557</v>
      </c>
      <c r="N743" s="55">
        <v>0.56805555555555554</v>
      </c>
      <c r="O743" s="52" t="s">
        <v>574</v>
      </c>
      <c r="P743" s="52" t="s">
        <v>216</v>
      </c>
      <c r="Q743" s="52" t="s">
        <v>573</v>
      </c>
      <c r="R743" s="52" t="s">
        <v>578</v>
      </c>
      <c r="S743" s="52" t="s">
        <v>69</v>
      </c>
      <c r="T743" s="52" t="s">
        <v>4074</v>
      </c>
      <c r="U743" s="52" t="s">
        <v>4079</v>
      </c>
      <c r="V743" s="52" t="s">
        <v>4080</v>
      </c>
      <c r="W743" s="52">
        <v>11817834703</v>
      </c>
      <c r="X743" s="52" t="s">
        <v>73</v>
      </c>
      <c r="Y743" s="52"/>
      <c r="Z743" s="52" t="s">
        <v>3696</v>
      </c>
      <c r="AA743" s="52" t="s">
        <v>3710</v>
      </c>
      <c r="AB743" s="52"/>
      <c r="AC743" s="52" t="s">
        <v>3720</v>
      </c>
      <c r="AD743" s="52" t="s">
        <v>3715</v>
      </c>
      <c r="AE743" s="52" t="s">
        <v>79</v>
      </c>
      <c r="AF743" s="52" t="s">
        <v>4073</v>
      </c>
      <c r="AG743" s="52" t="s">
        <v>3704</v>
      </c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 t="s">
        <v>3696</v>
      </c>
      <c r="AT743" s="52"/>
      <c r="AU743" s="52"/>
      <c r="AV743" s="52"/>
      <c r="AW743" s="52"/>
    </row>
    <row r="744" spans="1:49">
      <c r="A744" s="52">
        <v>6022201</v>
      </c>
      <c r="B744" s="52" t="s">
        <v>3716</v>
      </c>
      <c r="C744" s="52" t="s">
        <v>3698</v>
      </c>
      <c r="D744" s="53">
        <v>46157.625</v>
      </c>
      <c r="E744" s="53">
        <v>46157.332638888889</v>
      </c>
      <c r="F744" s="53">
        <v>46157.888194444444</v>
      </c>
      <c r="G744" s="53">
        <v>46160.25</v>
      </c>
      <c r="H744" s="52"/>
      <c r="I744" s="52"/>
      <c r="J744" s="52" t="s">
        <v>3694</v>
      </c>
      <c r="K744" s="53">
        <v>46158.9</v>
      </c>
      <c r="L744" s="52"/>
      <c r="M744" s="54">
        <v>2.3618055555555557</v>
      </c>
      <c r="N744" s="55">
        <v>0.56805555555555554</v>
      </c>
      <c r="O744" s="52" t="s">
        <v>574</v>
      </c>
      <c r="P744" s="52" t="s">
        <v>216</v>
      </c>
      <c r="Q744" s="52" t="s">
        <v>573</v>
      </c>
      <c r="R744" s="52" t="s">
        <v>578</v>
      </c>
      <c r="S744" s="52" t="s">
        <v>69</v>
      </c>
      <c r="T744" s="52" t="s">
        <v>4074</v>
      </c>
      <c r="U744" s="52" t="s">
        <v>4079</v>
      </c>
      <c r="V744" s="52" t="s">
        <v>4080</v>
      </c>
      <c r="W744" s="52">
        <v>11817834703</v>
      </c>
      <c r="X744" s="52" t="s">
        <v>73</v>
      </c>
      <c r="Y744" s="52"/>
      <c r="Z744" s="52" t="s">
        <v>3696</v>
      </c>
      <c r="AA744" s="52" t="s">
        <v>3710</v>
      </c>
      <c r="AB744" s="52"/>
      <c r="AC744" s="52" t="s">
        <v>3720</v>
      </c>
      <c r="AD744" s="52" t="s">
        <v>3715</v>
      </c>
      <c r="AE744" s="52"/>
      <c r="AF744" s="52" t="s">
        <v>4073</v>
      </c>
      <c r="AG744" s="52" t="s">
        <v>3704</v>
      </c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 t="s">
        <v>3696</v>
      </c>
      <c r="AT744" s="52"/>
      <c r="AU744" s="52"/>
      <c r="AV744" s="52"/>
      <c r="AW744" s="52" t="s">
        <v>297</v>
      </c>
    </row>
    <row r="745" spans="1:49">
      <c r="A745" s="52">
        <v>6022202</v>
      </c>
      <c r="B745" s="52" t="s">
        <v>3716</v>
      </c>
      <c r="C745" s="52" t="s">
        <v>3692</v>
      </c>
      <c r="D745" s="53">
        <v>46157.25</v>
      </c>
      <c r="E745" s="53">
        <v>46156.81527777778</v>
      </c>
      <c r="F745" s="53">
        <v>46157.672222222223</v>
      </c>
      <c r="G745" s="53">
        <v>46158.302083333336</v>
      </c>
      <c r="H745" s="52"/>
      <c r="I745" s="52" t="s">
        <v>3693</v>
      </c>
      <c r="J745" s="52" t="s">
        <v>3694</v>
      </c>
      <c r="K745" s="53">
        <v>46158.754861111112</v>
      </c>
      <c r="L745" s="52"/>
      <c r="M745" s="54">
        <v>3.7083333333333335</v>
      </c>
      <c r="N745" s="54">
        <v>1.20625</v>
      </c>
      <c r="O745" s="52"/>
      <c r="P745" s="52"/>
      <c r="Q745" s="52"/>
      <c r="R745" s="52"/>
      <c r="S745" s="52"/>
      <c r="T745" s="52" t="s">
        <v>4074</v>
      </c>
      <c r="U745" s="52" t="s">
        <v>4081</v>
      </c>
      <c r="V745" s="52"/>
      <c r="W745" s="52"/>
      <c r="X745" s="52"/>
      <c r="Y745" s="52"/>
      <c r="Z745" s="52" t="s">
        <v>3696</v>
      </c>
      <c r="AA745" s="52" t="s">
        <v>184</v>
      </c>
      <c r="AB745" s="52" t="s">
        <v>79</v>
      </c>
      <c r="AC745" s="52" t="s">
        <v>3720</v>
      </c>
      <c r="AD745" s="52" t="s">
        <v>3715</v>
      </c>
      <c r="AE745" s="52"/>
      <c r="AF745" s="52" t="s">
        <v>4073</v>
      </c>
      <c r="AG745" s="52" t="s">
        <v>3704</v>
      </c>
      <c r="AH745" s="52"/>
      <c r="AI745" s="52"/>
      <c r="AJ745" s="52"/>
      <c r="AK745" s="52"/>
      <c r="AL745" s="55">
        <v>0.1875</v>
      </c>
      <c r="AM745" s="52"/>
      <c r="AN745" s="52"/>
      <c r="AO745" s="52"/>
      <c r="AP745" s="52"/>
      <c r="AQ745" s="52"/>
      <c r="AR745" s="52"/>
      <c r="AS745" s="52">
        <v>0</v>
      </c>
      <c r="AT745" s="52"/>
      <c r="AU745" s="52"/>
      <c r="AV745" s="52" t="s">
        <v>297</v>
      </c>
      <c r="AW745" s="52"/>
    </row>
    <row r="746" spans="1:49">
      <c r="A746" s="52">
        <v>6022202</v>
      </c>
      <c r="B746" s="52" t="s">
        <v>3716</v>
      </c>
      <c r="C746" s="52" t="s">
        <v>3698</v>
      </c>
      <c r="D746" s="53">
        <v>46157.25</v>
      </c>
      <c r="E746" s="53">
        <v>46156.81527777778</v>
      </c>
      <c r="F746" s="53">
        <v>46157.700694444444</v>
      </c>
      <c r="G746" s="53">
        <v>46158.302083333336</v>
      </c>
      <c r="H746" s="52"/>
      <c r="I746" s="52"/>
      <c r="J746" s="52" t="s">
        <v>3694</v>
      </c>
      <c r="K746" s="53">
        <v>46158.754861111112</v>
      </c>
      <c r="L746" s="52"/>
      <c r="M746" s="55">
        <v>0.60138888888888886</v>
      </c>
      <c r="N746" s="55">
        <v>0.75555555555555554</v>
      </c>
      <c r="O746" s="52" t="s">
        <v>388</v>
      </c>
      <c r="P746" s="52" t="s">
        <v>184</v>
      </c>
      <c r="Q746" s="52" t="s">
        <v>387</v>
      </c>
      <c r="R746" s="52" t="s">
        <v>394</v>
      </c>
      <c r="S746" s="52" t="s">
        <v>69</v>
      </c>
      <c r="T746" s="52" t="s">
        <v>4074</v>
      </c>
      <c r="U746" s="52" t="s">
        <v>4081</v>
      </c>
      <c r="V746" s="52" t="s">
        <v>395</v>
      </c>
      <c r="W746" s="52">
        <v>32723150801</v>
      </c>
      <c r="X746" s="52" t="s">
        <v>73</v>
      </c>
      <c r="Y746" s="52"/>
      <c r="Z746" s="52" t="s">
        <v>3696</v>
      </c>
      <c r="AA746" s="52" t="s">
        <v>3710</v>
      </c>
      <c r="AB746" s="52"/>
      <c r="AC746" s="52" t="s">
        <v>3720</v>
      </c>
      <c r="AD746" s="52" t="s">
        <v>3715</v>
      </c>
      <c r="AE746" s="52" t="s">
        <v>79</v>
      </c>
      <c r="AF746" s="52" t="s">
        <v>4073</v>
      </c>
      <c r="AG746" s="52" t="s">
        <v>3704</v>
      </c>
      <c r="AH746" s="52"/>
      <c r="AI746" s="53">
        <v>46157.731944444444</v>
      </c>
      <c r="AJ746" s="53">
        <v>46157.919444444444</v>
      </c>
      <c r="AK746" s="53">
        <v>46157.731944444444</v>
      </c>
      <c r="AL746" s="55">
        <v>0.1875</v>
      </c>
      <c r="AM746" s="52"/>
      <c r="AN746" s="55">
        <v>0.1875</v>
      </c>
      <c r="AO746" s="52"/>
      <c r="AP746" s="55">
        <v>0.1875</v>
      </c>
      <c r="AQ746" s="52"/>
      <c r="AR746" s="52"/>
      <c r="AS746" s="52" t="s">
        <v>3696</v>
      </c>
      <c r="AT746" s="52"/>
      <c r="AU746" s="52"/>
      <c r="AV746" s="52"/>
      <c r="AW746" s="52"/>
    </row>
    <row r="747" spans="1:49">
      <c r="A747" s="52">
        <v>6022202</v>
      </c>
      <c r="B747" s="52" t="s">
        <v>3716</v>
      </c>
      <c r="C747" s="52" t="s">
        <v>3698</v>
      </c>
      <c r="D747" s="53">
        <v>46157.25</v>
      </c>
      <c r="E747" s="53">
        <v>46156.81527777778</v>
      </c>
      <c r="F747" s="53">
        <v>46157.700694444444</v>
      </c>
      <c r="G747" s="53">
        <v>46158.302083333336</v>
      </c>
      <c r="H747" s="52"/>
      <c r="I747" s="52"/>
      <c r="J747" s="52" t="s">
        <v>3694</v>
      </c>
      <c r="K747" s="53">
        <v>46158.754861111112</v>
      </c>
      <c r="L747" s="52"/>
      <c r="M747" s="55">
        <v>0.60138888888888886</v>
      </c>
      <c r="N747" s="55">
        <v>0.75555555555555554</v>
      </c>
      <c r="O747" s="52" t="s">
        <v>388</v>
      </c>
      <c r="P747" s="52" t="s">
        <v>184</v>
      </c>
      <c r="Q747" s="52" t="s">
        <v>387</v>
      </c>
      <c r="R747" s="52" t="s">
        <v>394</v>
      </c>
      <c r="S747" s="52" t="s">
        <v>69</v>
      </c>
      <c r="T747" s="52" t="s">
        <v>4074</v>
      </c>
      <c r="U747" s="52" t="s">
        <v>4081</v>
      </c>
      <c r="V747" s="52" t="s">
        <v>395</v>
      </c>
      <c r="W747" s="52">
        <v>32723150801</v>
      </c>
      <c r="X747" s="52" t="s">
        <v>73</v>
      </c>
      <c r="Y747" s="52"/>
      <c r="Z747" s="52" t="s">
        <v>3696</v>
      </c>
      <c r="AA747" s="52" t="s">
        <v>3710</v>
      </c>
      <c r="AB747" s="52"/>
      <c r="AC747" s="52" t="s">
        <v>3720</v>
      </c>
      <c r="AD747" s="52" t="s">
        <v>3715</v>
      </c>
      <c r="AE747" s="52"/>
      <c r="AF747" s="52" t="s">
        <v>4073</v>
      </c>
      <c r="AG747" s="52" t="s">
        <v>3704</v>
      </c>
      <c r="AH747" s="52"/>
      <c r="AI747" s="53">
        <v>46157.731944444444</v>
      </c>
      <c r="AJ747" s="53">
        <v>46157.919444444444</v>
      </c>
      <c r="AK747" s="53">
        <v>46157.731944444444</v>
      </c>
      <c r="AL747" s="55">
        <v>0.1875</v>
      </c>
      <c r="AM747" s="52"/>
      <c r="AN747" s="55">
        <v>0.1875</v>
      </c>
      <c r="AO747" s="52"/>
      <c r="AP747" s="55">
        <v>0.1875</v>
      </c>
      <c r="AQ747" s="52"/>
      <c r="AR747" s="52"/>
      <c r="AS747" s="52" t="s">
        <v>3696</v>
      </c>
      <c r="AT747" s="52"/>
      <c r="AU747" s="52"/>
      <c r="AV747" s="52"/>
      <c r="AW747" s="52" t="s">
        <v>297</v>
      </c>
    </row>
    <row r="748" spans="1:49">
      <c r="A748" s="52">
        <v>6022203</v>
      </c>
      <c r="B748" s="52" t="s">
        <v>3716</v>
      </c>
      <c r="C748" s="52" t="s">
        <v>3692</v>
      </c>
      <c r="D748" s="53">
        <v>46157.25</v>
      </c>
      <c r="E748" s="53">
        <v>46156.820138888892</v>
      </c>
      <c r="F748" s="53">
        <v>46157.463888888888</v>
      </c>
      <c r="G748" s="53">
        <v>46160.958333333336</v>
      </c>
      <c r="H748" s="52"/>
      <c r="I748" s="52" t="s">
        <v>3693</v>
      </c>
      <c r="J748" s="52" t="s">
        <v>3694</v>
      </c>
      <c r="K748" s="53">
        <v>46158.832638888889</v>
      </c>
      <c r="L748" s="52"/>
      <c r="M748" s="54">
        <v>3.7083333333333335</v>
      </c>
      <c r="N748" s="54">
        <v>1.20625</v>
      </c>
      <c r="O748" s="52"/>
      <c r="P748" s="52"/>
      <c r="Q748" s="52"/>
      <c r="R748" s="52"/>
      <c r="S748" s="52"/>
      <c r="T748" s="52" t="s">
        <v>4075</v>
      </c>
      <c r="U748" s="52" t="s">
        <v>3831</v>
      </c>
      <c r="V748" s="52"/>
      <c r="W748" s="52"/>
      <c r="X748" s="52"/>
      <c r="Y748" s="52"/>
      <c r="Z748" s="52" t="s">
        <v>3696</v>
      </c>
      <c r="AA748" s="52" t="s">
        <v>114</v>
      </c>
      <c r="AB748" s="52" t="s">
        <v>79</v>
      </c>
      <c r="AC748" s="52" t="s">
        <v>3720</v>
      </c>
      <c r="AD748" s="52" t="s">
        <v>3715</v>
      </c>
      <c r="AE748" s="52"/>
      <c r="AF748" s="52" t="s">
        <v>4073</v>
      </c>
      <c r="AG748" s="52" t="s">
        <v>3704</v>
      </c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>
        <v>0</v>
      </c>
      <c r="AT748" s="52"/>
      <c r="AU748" s="52"/>
      <c r="AV748" s="52" t="s">
        <v>297</v>
      </c>
      <c r="AW748" s="52"/>
    </row>
    <row r="749" spans="1:49">
      <c r="A749" s="52">
        <v>6022203</v>
      </c>
      <c r="B749" s="52" t="s">
        <v>3716</v>
      </c>
      <c r="C749" s="52" t="s">
        <v>3698</v>
      </c>
      <c r="D749" s="53">
        <v>46157.25</v>
      </c>
      <c r="E749" s="53">
        <v>46156.820138888892</v>
      </c>
      <c r="F749" s="53">
        <v>46157.493055555555</v>
      </c>
      <c r="G749" s="53">
        <v>46160.958333333336</v>
      </c>
      <c r="H749" s="52"/>
      <c r="I749" s="52"/>
      <c r="J749" s="52" t="s">
        <v>3694</v>
      </c>
      <c r="K749" s="53">
        <v>46158.832638888889</v>
      </c>
      <c r="L749" s="52"/>
      <c r="M749" s="54">
        <v>3.4652777777777777</v>
      </c>
      <c r="N749" s="55">
        <v>0.96319444444444446</v>
      </c>
      <c r="O749" s="52" t="s">
        <v>293</v>
      </c>
      <c r="P749" s="52" t="s">
        <v>114</v>
      </c>
      <c r="Q749" s="52" t="s">
        <v>292</v>
      </c>
      <c r="R749" s="52" t="s">
        <v>300</v>
      </c>
      <c r="S749" s="52" t="s">
        <v>69</v>
      </c>
      <c r="T749" s="52" t="s">
        <v>4075</v>
      </c>
      <c r="U749" s="52" t="s">
        <v>3831</v>
      </c>
      <c r="V749" s="52" t="s">
        <v>4024</v>
      </c>
      <c r="W749" s="52">
        <v>2461816999</v>
      </c>
      <c r="X749" s="52" t="s">
        <v>73</v>
      </c>
      <c r="Y749" s="52"/>
      <c r="Z749" s="52" t="s">
        <v>3696</v>
      </c>
      <c r="AA749" s="52" t="s">
        <v>3710</v>
      </c>
      <c r="AB749" s="52"/>
      <c r="AC749" s="52" t="s">
        <v>3720</v>
      </c>
      <c r="AD749" s="52" t="s">
        <v>3715</v>
      </c>
      <c r="AE749" s="52" t="s">
        <v>79</v>
      </c>
      <c r="AF749" s="52" t="s">
        <v>4073</v>
      </c>
      <c r="AG749" s="52" t="s">
        <v>3704</v>
      </c>
      <c r="AH749" s="52"/>
      <c r="AI749" s="53">
        <v>46157.464583333334</v>
      </c>
      <c r="AJ749" s="52"/>
      <c r="AK749" s="53">
        <v>46157.464583333334</v>
      </c>
      <c r="AL749" s="52"/>
      <c r="AM749" s="52"/>
      <c r="AN749" s="52"/>
      <c r="AO749" s="52"/>
      <c r="AP749" s="52"/>
      <c r="AQ749" s="52"/>
      <c r="AR749" s="52"/>
      <c r="AS749" s="52" t="s">
        <v>3696</v>
      </c>
      <c r="AT749" s="52"/>
      <c r="AU749" s="52"/>
      <c r="AV749" s="52"/>
      <c r="AW749" s="52"/>
    </row>
    <row r="750" spans="1:49">
      <c r="A750" s="52">
        <v>6022203</v>
      </c>
      <c r="B750" s="52" t="s">
        <v>3716</v>
      </c>
      <c r="C750" s="52" t="s">
        <v>3698</v>
      </c>
      <c r="D750" s="53">
        <v>46157.25</v>
      </c>
      <c r="E750" s="53">
        <v>46156.820138888892</v>
      </c>
      <c r="F750" s="53">
        <v>46157.493055555555</v>
      </c>
      <c r="G750" s="53">
        <v>46160.958333333336</v>
      </c>
      <c r="H750" s="52"/>
      <c r="I750" s="52"/>
      <c r="J750" s="52" t="s">
        <v>3694</v>
      </c>
      <c r="K750" s="53">
        <v>46158.832638888889</v>
      </c>
      <c r="L750" s="52"/>
      <c r="M750" s="54">
        <v>3.4652777777777777</v>
      </c>
      <c r="N750" s="55">
        <v>0.96319444444444446</v>
      </c>
      <c r="O750" s="52" t="s">
        <v>293</v>
      </c>
      <c r="P750" s="52" t="s">
        <v>114</v>
      </c>
      <c r="Q750" s="52" t="s">
        <v>292</v>
      </c>
      <c r="R750" s="52" t="s">
        <v>300</v>
      </c>
      <c r="S750" s="52" t="s">
        <v>69</v>
      </c>
      <c r="T750" s="52" t="s">
        <v>4075</v>
      </c>
      <c r="U750" s="52" t="s">
        <v>3831</v>
      </c>
      <c r="V750" s="52" t="s">
        <v>4024</v>
      </c>
      <c r="W750" s="52">
        <v>2461816999</v>
      </c>
      <c r="X750" s="52" t="s">
        <v>73</v>
      </c>
      <c r="Y750" s="52"/>
      <c r="Z750" s="52" t="s">
        <v>3696</v>
      </c>
      <c r="AA750" s="52" t="s">
        <v>3710</v>
      </c>
      <c r="AB750" s="52"/>
      <c r="AC750" s="52" t="s">
        <v>3720</v>
      </c>
      <c r="AD750" s="52" t="s">
        <v>3715</v>
      </c>
      <c r="AE750" s="52"/>
      <c r="AF750" s="52" t="s">
        <v>4073</v>
      </c>
      <c r="AG750" s="52" t="s">
        <v>3704</v>
      </c>
      <c r="AH750" s="52"/>
      <c r="AI750" s="53">
        <v>46157.464583333334</v>
      </c>
      <c r="AJ750" s="52"/>
      <c r="AK750" s="53">
        <v>46157.464583333334</v>
      </c>
      <c r="AL750" s="52"/>
      <c r="AM750" s="52"/>
      <c r="AN750" s="52"/>
      <c r="AO750" s="52"/>
      <c r="AP750" s="52"/>
      <c r="AQ750" s="52"/>
      <c r="AR750" s="52"/>
      <c r="AS750" s="52" t="s">
        <v>3696</v>
      </c>
      <c r="AT750" s="52"/>
      <c r="AU750" s="52"/>
      <c r="AV750" s="52"/>
      <c r="AW750" s="52" t="s">
        <v>297</v>
      </c>
    </row>
    <row r="751" spans="1:49">
      <c r="A751" s="52">
        <v>6022204</v>
      </c>
      <c r="B751" s="52" t="s">
        <v>3716</v>
      </c>
      <c r="C751" s="52" t="s">
        <v>3692</v>
      </c>
      <c r="D751" s="53">
        <v>46157.625</v>
      </c>
      <c r="E751" s="53">
        <v>46157.332638888889</v>
      </c>
      <c r="F751" s="53">
        <v>46157.814583333333</v>
      </c>
      <c r="G751" s="53">
        <v>46160.25</v>
      </c>
      <c r="H751" s="52"/>
      <c r="I751" s="52" t="s">
        <v>3693</v>
      </c>
      <c r="J751" s="52" t="s">
        <v>3694</v>
      </c>
      <c r="K751" s="53">
        <v>46158.9</v>
      </c>
      <c r="L751" s="52"/>
      <c r="M751" s="55">
        <v>0.4236111111111111</v>
      </c>
      <c r="N751" s="54">
        <v>1.3701388888888888</v>
      </c>
      <c r="O751" s="52"/>
      <c r="P751" s="52"/>
      <c r="Q751" s="52"/>
      <c r="R751" s="52"/>
      <c r="S751" s="52"/>
      <c r="T751" s="52" t="s">
        <v>4074</v>
      </c>
      <c r="U751" s="52" t="s">
        <v>4079</v>
      </c>
      <c r="V751" s="52"/>
      <c r="W751" s="52"/>
      <c r="X751" s="52"/>
      <c r="Y751" s="52"/>
      <c r="Z751" s="52" t="s">
        <v>3696</v>
      </c>
      <c r="AA751" s="52" t="s">
        <v>216</v>
      </c>
      <c r="AB751" s="52" t="s">
        <v>79</v>
      </c>
      <c r="AC751" s="52" t="s">
        <v>3720</v>
      </c>
      <c r="AD751" s="52" t="s">
        <v>3715</v>
      </c>
      <c r="AE751" s="52"/>
      <c r="AF751" s="52" t="s">
        <v>4073</v>
      </c>
      <c r="AG751" s="52" t="s">
        <v>3704</v>
      </c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>
        <v>0</v>
      </c>
      <c r="AT751" s="52"/>
      <c r="AU751" s="52"/>
      <c r="AV751" s="52" t="s">
        <v>297</v>
      </c>
      <c r="AW751" s="52"/>
    </row>
    <row r="752" spans="1:49">
      <c r="A752" s="52">
        <v>6022204</v>
      </c>
      <c r="B752" s="52" t="s">
        <v>3716</v>
      </c>
      <c r="C752" s="52" t="s">
        <v>3698</v>
      </c>
      <c r="D752" s="53">
        <v>46157.625</v>
      </c>
      <c r="E752" s="53">
        <v>46157.332638888889</v>
      </c>
      <c r="F752" s="53">
        <v>46157.888194444444</v>
      </c>
      <c r="G752" s="53">
        <v>46160.25</v>
      </c>
      <c r="H752" s="52"/>
      <c r="I752" s="52"/>
      <c r="J752" s="52" t="s">
        <v>3694</v>
      </c>
      <c r="K752" s="53">
        <v>46158.9</v>
      </c>
      <c r="L752" s="52"/>
      <c r="M752" s="54">
        <v>2.3618055555555557</v>
      </c>
      <c r="N752" s="55">
        <v>0.56805555555555554</v>
      </c>
      <c r="O752" s="52" t="s">
        <v>574</v>
      </c>
      <c r="P752" s="52" t="s">
        <v>216</v>
      </c>
      <c r="Q752" s="52" t="s">
        <v>573</v>
      </c>
      <c r="R752" s="52" t="s">
        <v>578</v>
      </c>
      <c r="S752" s="52" t="s">
        <v>69</v>
      </c>
      <c r="T752" s="52" t="s">
        <v>4074</v>
      </c>
      <c r="U752" s="52" t="s">
        <v>4079</v>
      </c>
      <c r="V752" s="52" t="s">
        <v>4080</v>
      </c>
      <c r="W752" s="52">
        <v>11817834703</v>
      </c>
      <c r="X752" s="52" t="s">
        <v>73</v>
      </c>
      <c r="Y752" s="52"/>
      <c r="Z752" s="52" t="s">
        <v>3696</v>
      </c>
      <c r="AA752" s="52" t="s">
        <v>3710</v>
      </c>
      <c r="AB752" s="52"/>
      <c r="AC752" s="52" t="s">
        <v>3720</v>
      </c>
      <c r="AD752" s="52" t="s">
        <v>3715</v>
      </c>
      <c r="AE752" s="52" t="s">
        <v>79</v>
      </c>
      <c r="AF752" s="52" t="s">
        <v>4073</v>
      </c>
      <c r="AG752" s="52" t="s">
        <v>3704</v>
      </c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 t="s">
        <v>3696</v>
      </c>
      <c r="AT752" s="52"/>
      <c r="AU752" s="52"/>
      <c r="AV752" s="52"/>
      <c r="AW752" s="52"/>
    </row>
    <row r="753" spans="1:49">
      <c r="A753" s="52">
        <v>6022204</v>
      </c>
      <c r="B753" s="52" t="s">
        <v>3716</v>
      </c>
      <c r="C753" s="52" t="s">
        <v>3698</v>
      </c>
      <c r="D753" s="53">
        <v>46157.625</v>
      </c>
      <c r="E753" s="53">
        <v>46157.332638888889</v>
      </c>
      <c r="F753" s="53">
        <v>46157.888194444444</v>
      </c>
      <c r="G753" s="53">
        <v>46160.25</v>
      </c>
      <c r="H753" s="52"/>
      <c r="I753" s="52"/>
      <c r="J753" s="52" t="s">
        <v>3694</v>
      </c>
      <c r="K753" s="53">
        <v>46158.9</v>
      </c>
      <c r="L753" s="52"/>
      <c r="M753" s="54">
        <v>2.3618055555555557</v>
      </c>
      <c r="N753" s="55">
        <v>0.56805555555555554</v>
      </c>
      <c r="O753" s="52" t="s">
        <v>574</v>
      </c>
      <c r="P753" s="52" t="s">
        <v>216</v>
      </c>
      <c r="Q753" s="52" t="s">
        <v>573</v>
      </c>
      <c r="R753" s="52" t="s">
        <v>578</v>
      </c>
      <c r="S753" s="52" t="s">
        <v>69</v>
      </c>
      <c r="T753" s="52" t="s">
        <v>4074</v>
      </c>
      <c r="U753" s="52" t="s">
        <v>4079</v>
      </c>
      <c r="V753" s="52" t="s">
        <v>4080</v>
      </c>
      <c r="W753" s="52">
        <v>11817834703</v>
      </c>
      <c r="X753" s="52" t="s">
        <v>73</v>
      </c>
      <c r="Y753" s="52"/>
      <c r="Z753" s="52" t="s">
        <v>3696</v>
      </c>
      <c r="AA753" s="52" t="s">
        <v>3710</v>
      </c>
      <c r="AB753" s="52"/>
      <c r="AC753" s="52" t="s">
        <v>3720</v>
      </c>
      <c r="AD753" s="52" t="s">
        <v>3715</v>
      </c>
      <c r="AE753" s="52"/>
      <c r="AF753" s="52" t="s">
        <v>4073</v>
      </c>
      <c r="AG753" s="52" t="s">
        <v>3704</v>
      </c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 t="s">
        <v>3696</v>
      </c>
      <c r="AT753" s="52"/>
      <c r="AU753" s="52"/>
      <c r="AV753" s="52"/>
      <c r="AW753" s="52" t="s">
        <v>297</v>
      </c>
    </row>
    <row r="754" spans="1:49">
      <c r="A754" s="52">
        <v>6022205</v>
      </c>
      <c r="B754" s="52" t="s">
        <v>3691</v>
      </c>
      <c r="C754" s="52" t="s">
        <v>3692</v>
      </c>
      <c r="D754" s="53">
        <v>46157.25</v>
      </c>
      <c r="E754" s="53">
        <v>46156.822916666664</v>
      </c>
      <c r="F754" s="52"/>
      <c r="G754" s="52"/>
      <c r="H754" s="52"/>
      <c r="I754" s="52" t="s">
        <v>3693</v>
      </c>
      <c r="J754" s="52" t="s">
        <v>3694</v>
      </c>
      <c r="K754" s="52"/>
      <c r="L754" s="52"/>
      <c r="M754" s="54">
        <v>3.7083333333333335</v>
      </c>
      <c r="N754" s="54">
        <v>1.20625</v>
      </c>
      <c r="O754" s="52"/>
      <c r="P754" s="52"/>
      <c r="Q754" s="52"/>
      <c r="R754" s="52"/>
      <c r="S754" s="52"/>
      <c r="T754" s="52" t="s">
        <v>3695</v>
      </c>
      <c r="U754" s="52" t="s">
        <v>3695</v>
      </c>
      <c r="V754" s="52"/>
      <c r="W754" s="52"/>
      <c r="X754" s="52"/>
      <c r="Y754" s="52"/>
      <c r="Z754" s="52" t="s">
        <v>3696</v>
      </c>
      <c r="AA754" s="52" t="s">
        <v>282</v>
      </c>
      <c r="AB754" s="52" t="s">
        <v>79</v>
      </c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>
        <v>0</v>
      </c>
      <c r="AT754" s="52"/>
      <c r="AU754" s="52"/>
      <c r="AV754" s="52" t="s">
        <v>4082</v>
      </c>
      <c r="AW754" s="52"/>
    </row>
    <row r="755" spans="1:49">
      <c r="A755" s="52">
        <v>6022205</v>
      </c>
      <c r="B755" s="52" t="s">
        <v>3691</v>
      </c>
      <c r="C755" s="52" t="s">
        <v>3698</v>
      </c>
      <c r="D755" s="53">
        <v>46157.25</v>
      </c>
      <c r="E755" s="53">
        <v>46156.822916666664</v>
      </c>
      <c r="F755" s="52"/>
      <c r="G755" s="52"/>
      <c r="H755" s="52"/>
      <c r="I755" s="52"/>
      <c r="J755" s="52" t="s">
        <v>3694</v>
      </c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 t="s">
        <v>3696</v>
      </c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>
        <v>0</v>
      </c>
      <c r="AT755" s="52"/>
      <c r="AU755" s="52"/>
      <c r="AV755" s="52"/>
      <c r="AW755" s="52"/>
    </row>
    <row r="756" spans="1:49">
      <c r="A756" s="52">
        <v>6022206</v>
      </c>
      <c r="B756" s="52" t="s">
        <v>3716</v>
      </c>
      <c r="C756" s="52" t="s">
        <v>3692</v>
      </c>
      <c r="D756" s="53">
        <v>46157.458333333336</v>
      </c>
      <c r="E756" s="53">
        <v>46157.332638888889</v>
      </c>
      <c r="F756" s="53">
        <v>46157.881249999999</v>
      </c>
      <c r="G756" s="53">
        <v>46163.25</v>
      </c>
      <c r="H756" s="52"/>
      <c r="I756" s="52" t="s">
        <v>3693</v>
      </c>
      <c r="J756" s="52" t="s">
        <v>3694</v>
      </c>
      <c r="K756" s="53">
        <v>46160.181250000001</v>
      </c>
      <c r="L756" s="52"/>
      <c r="M756" s="54">
        <v>3.5951388888888891</v>
      </c>
      <c r="N756" s="54">
        <v>1.1986111111111111</v>
      </c>
      <c r="O756" s="52"/>
      <c r="P756" s="52"/>
      <c r="Q756" s="52"/>
      <c r="R756" s="52"/>
      <c r="S756" s="52"/>
      <c r="T756" s="52" t="s">
        <v>4083</v>
      </c>
      <c r="U756" s="52" t="s">
        <v>4084</v>
      </c>
      <c r="V756" s="52"/>
      <c r="W756" s="52"/>
      <c r="X756" s="52"/>
      <c r="Y756" s="52"/>
      <c r="Z756" s="52" t="s">
        <v>3696</v>
      </c>
      <c r="AA756" s="52" t="s">
        <v>216</v>
      </c>
      <c r="AB756" s="52" t="s">
        <v>79</v>
      </c>
      <c r="AC756" s="52" t="s">
        <v>3720</v>
      </c>
      <c r="AD756" s="52" t="s">
        <v>3715</v>
      </c>
      <c r="AE756" s="52"/>
      <c r="AF756" s="52" t="s">
        <v>4085</v>
      </c>
      <c r="AG756" s="52" t="s">
        <v>3762</v>
      </c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>
        <v>0</v>
      </c>
      <c r="AT756" s="52"/>
      <c r="AU756" s="52"/>
      <c r="AV756" s="52" t="s">
        <v>594</v>
      </c>
      <c r="AW756" s="52"/>
    </row>
    <row r="757" spans="1:49">
      <c r="A757" s="52">
        <v>6022206</v>
      </c>
      <c r="B757" s="52" t="s">
        <v>3716</v>
      </c>
      <c r="C757" s="52" t="s">
        <v>3698</v>
      </c>
      <c r="D757" s="53">
        <v>46157.458333333336</v>
      </c>
      <c r="E757" s="53">
        <v>46157.332638888889</v>
      </c>
      <c r="F757" s="53">
        <v>46158.416666666664</v>
      </c>
      <c r="G757" s="53">
        <v>46163.25</v>
      </c>
      <c r="H757" s="52"/>
      <c r="I757" s="52"/>
      <c r="J757" s="52" t="s">
        <v>3694</v>
      </c>
      <c r="K757" s="53">
        <v>46160.181250000001</v>
      </c>
      <c r="L757" s="52"/>
      <c r="M757" s="54">
        <v>4.833333333333333</v>
      </c>
      <c r="N757" s="55">
        <v>3.9583333333333331E-2</v>
      </c>
      <c r="O757" s="52" t="s">
        <v>627</v>
      </c>
      <c r="P757" s="52" t="s">
        <v>216</v>
      </c>
      <c r="Q757" s="52" t="s">
        <v>626</v>
      </c>
      <c r="R757" s="52" t="s">
        <v>631</v>
      </c>
      <c r="S757" s="52" t="s">
        <v>69</v>
      </c>
      <c r="T757" s="52" t="s">
        <v>4083</v>
      </c>
      <c r="U757" s="52" t="s">
        <v>4084</v>
      </c>
      <c r="V757" s="52" t="s">
        <v>4086</v>
      </c>
      <c r="W757" s="52">
        <v>5079401990</v>
      </c>
      <c r="X757" s="52" t="s">
        <v>73</v>
      </c>
      <c r="Y757" s="52"/>
      <c r="Z757" s="52" t="s">
        <v>3696</v>
      </c>
      <c r="AA757" s="52" t="s">
        <v>3710</v>
      </c>
      <c r="AB757" s="52"/>
      <c r="AC757" s="52" t="s">
        <v>3720</v>
      </c>
      <c r="AD757" s="52" t="s">
        <v>3715</v>
      </c>
      <c r="AE757" s="52" t="s">
        <v>79</v>
      </c>
      <c r="AF757" s="52" t="s">
        <v>4085</v>
      </c>
      <c r="AG757" s="52" t="s">
        <v>3762</v>
      </c>
      <c r="AH757" s="52"/>
      <c r="AI757" s="53">
        <v>46157.990972222222</v>
      </c>
      <c r="AJ757" s="52"/>
      <c r="AK757" s="53">
        <v>46157.990972222222</v>
      </c>
      <c r="AL757" s="52"/>
      <c r="AM757" s="52"/>
      <c r="AN757" s="52"/>
      <c r="AO757" s="52"/>
      <c r="AP757" s="52"/>
      <c r="AQ757" s="52"/>
      <c r="AR757" s="52"/>
      <c r="AS757" s="52" t="s">
        <v>3696</v>
      </c>
      <c r="AT757" s="52"/>
      <c r="AU757" s="52"/>
      <c r="AV757" s="52"/>
      <c r="AW757" s="52"/>
    </row>
    <row r="758" spans="1:49">
      <c r="A758" s="52">
        <v>6022206</v>
      </c>
      <c r="B758" s="52" t="s">
        <v>3716</v>
      </c>
      <c r="C758" s="52" t="s">
        <v>3698</v>
      </c>
      <c r="D758" s="53">
        <v>46157.458333333336</v>
      </c>
      <c r="E758" s="53">
        <v>46157.332638888889</v>
      </c>
      <c r="F758" s="53">
        <v>46158.416666666664</v>
      </c>
      <c r="G758" s="53">
        <v>46163.25</v>
      </c>
      <c r="H758" s="52"/>
      <c r="I758" s="52"/>
      <c r="J758" s="52" t="s">
        <v>3694</v>
      </c>
      <c r="K758" s="53">
        <v>46160.181250000001</v>
      </c>
      <c r="L758" s="52"/>
      <c r="M758" s="54">
        <v>4.833333333333333</v>
      </c>
      <c r="N758" s="55">
        <v>3.9583333333333331E-2</v>
      </c>
      <c r="O758" s="52" t="s">
        <v>627</v>
      </c>
      <c r="P758" s="52" t="s">
        <v>216</v>
      </c>
      <c r="Q758" s="52" t="s">
        <v>626</v>
      </c>
      <c r="R758" s="52" t="s">
        <v>631</v>
      </c>
      <c r="S758" s="52" t="s">
        <v>69</v>
      </c>
      <c r="T758" s="52" t="s">
        <v>4083</v>
      </c>
      <c r="U758" s="52" t="s">
        <v>4084</v>
      </c>
      <c r="V758" s="52" t="s">
        <v>4086</v>
      </c>
      <c r="W758" s="52">
        <v>5079401990</v>
      </c>
      <c r="X758" s="52" t="s">
        <v>73</v>
      </c>
      <c r="Y758" s="52"/>
      <c r="Z758" s="52" t="s">
        <v>3696</v>
      </c>
      <c r="AA758" s="52" t="s">
        <v>3710</v>
      </c>
      <c r="AB758" s="52"/>
      <c r="AC758" s="52" t="s">
        <v>3720</v>
      </c>
      <c r="AD758" s="52" t="s">
        <v>3715</v>
      </c>
      <c r="AE758" s="52"/>
      <c r="AF758" s="52" t="s">
        <v>4085</v>
      </c>
      <c r="AG758" s="52" t="s">
        <v>3762</v>
      </c>
      <c r="AH758" s="52"/>
      <c r="AI758" s="53">
        <v>46157.990972222222</v>
      </c>
      <c r="AJ758" s="52"/>
      <c r="AK758" s="53">
        <v>46157.990972222222</v>
      </c>
      <c r="AL758" s="52"/>
      <c r="AM758" s="52"/>
      <c r="AN758" s="52"/>
      <c r="AO758" s="52"/>
      <c r="AP758" s="52"/>
      <c r="AQ758" s="52"/>
      <c r="AR758" s="52"/>
      <c r="AS758" s="52" t="s">
        <v>3696</v>
      </c>
      <c r="AT758" s="52"/>
      <c r="AU758" s="52"/>
      <c r="AV758" s="52"/>
      <c r="AW758" s="52" t="s">
        <v>594</v>
      </c>
    </row>
    <row r="759" spans="1:49">
      <c r="A759" s="52">
        <v>6022207</v>
      </c>
      <c r="B759" s="52" t="s">
        <v>3716</v>
      </c>
      <c r="C759" s="52" t="s">
        <v>3717</v>
      </c>
      <c r="D759" s="53">
        <v>46157.354166666664</v>
      </c>
      <c r="E759" s="53">
        <v>46157.332638888889</v>
      </c>
      <c r="F759" s="53">
        <v>46157.87777777778</v>
      </c>
      <c r="G759" s="53">
        <v>46159.660416666666</v>
      </c>
      <c r="H759" s="52"/>
      <c r="I759" s="52" t="s">
        <v>3693</v>
      </c>
      <c r="J759" s="52" t="s">
        <v>3694</v>
      </c>
      <c r="K759" s="53">
        <v>46160.208333333336</v>
      </c>
      <c r="L759" s="52"/>
      <c r="M759" s="54">
        <v>3.5951388888888891</v>
      </c>
      <c r="N759" s="54">
        <v>1.1986111111111111</v>
      </c>
      <c r="O759" s="52"/>
      <c r="P759" s="52"/>
      <c r="Q759" s="52"/>
      <c r="R759" s="52"/>
      <c r="S759" s="52"/>
      <c r="T759" s="52" t="s">
        <v>4087</v>
      </c>
      <c r="U759" s="52" t="s">
        <v>4088</v>
      </c>
      <c r="V759" s="52"/>
      <c r="W759" s="52"/>
      <c r="X759" s="52"/>
      <c r="Y759" s="52"/>
      <c r="Z759" s="52" t="s">
        <v>3696</v>
      </c>
      <c r="AA759" s="52" t="s">
        <v>216</v>
      </c>
      <c r="AB759" s="52" t="s">
        <v>79</v>
      </c>
      <c r="AC759" s="52" t="s">
        <v>3720</v>
      </c>
      <c r="AD759" s="52" t="s">
        <v>3715</v>
      </c>
      <c r="AE759" s="52"/>
      <c r="AF759" s="52" t="s">
        <v>4085</v>
      </c>
      <c r="AG759" s="52" t="s">
        <v>3762</v>
      </c>
      <c r="AH759" s="52"/>
      <c r="AI759" s="52"/>
      <c r="AJ759" s="52"/>
      <c r="AK759" s="52"/>
      <c r="AL759" s="55">
        <v>5.6250000000000001E-2</v>
      </c>
      <c r="AM759" s="52"/>
      <c r="AN759" s="52"/>
      <c r="AO759" s="52"/>
      <c r="AP759" s="52"/>
      <c r="AQ759" s="52"/>
      <c r="AR759" s="52"/>
      <c r="AS759" s="52">
        <v>0</v>
      </c>
      <c r="AT759" s="52"/>
      <c r="AU759" s="52"/>
      <c r="AV759" s="52" t="s">
        <v>594</v>
      </c>
      <c r="AW759" s="52"/>
    </row>
    <row r="760" spans="1:49">
      <c r="A760" s="52">
        <v>6022207</v>
      </c>
      <c r="B760" s="52" t="s">
        <v>3716</v>
      </c>
      <c r="C760" s="52" t="s">
        <v>3698</v>
      </c>
      <c r="D760" s="53">
        <v>46157.354166666664</v>
      </c>
      <c r="E760" s="53">
        <v>46157.332638888889</v>
      </c>
      <c r="F760" s="53">
        <v>46157.887499999997</v>
      </c>
      <c r="G760" s="53">
        <v>46159.660416666666</v>
      </c>
      <c r="H760" s="52"/>
      <c r="I760" s="52"/>
      <c r="J760" s="52" t="s">
        <v>3694</v>
      </c>
      <c r="K760" s="53">
        <v>46160.208333333336</v>
      </c>
      <c r="L760" s="52"/>
      <c r="M760" s="54">
        <v>1.7729166666666667</v>
      </c>
      <c r="N760" s="55">
        <v>0.56874999999999998</v>
      </c>
      <c r="O760" s="52" t="s">
        <v>619</v>
      </c>
      <c r="P760" s="52" t="s">
        <v>216</v>
      </c>
      <c r="Q760" s="52" t="s">
        <v>618</v>
      </c>
      <c r="R760" s="52" t="s">
        <v>624</v>
      </c>
      <c r="S760" s="52" t="s">
        <v>69</v>
      </c>
      <c r="T760" s="52" t="s">
        <v>4087</v>
      </c>
      <c r="U760" s="52" t="s">
        <v>4088</v>
      </c>
      <c r="V760" s="52" t="s">
        <v>625</v>
      </c>
      <c r="W760" s="52">
        <v>2162093901</v>
      </c>
      <c r="X760" s="52" t="s">
        <v>73</v>
      </c>
      <c r="Y760" s="52"/>
      <c r="Z760" s="52" t="s">
        <v>3696</v>
      </c>
      <c r="AA760" s="52" t="s">
        <v>3710</v>
      </c>
      <c r="AB760" s="52"/>
      <c r="AC760" s="52" t="s">
        <v>3720</v>
      </c>
      <c r="AD760" s="52" t="s">
        <v>3715</v>
      </c>
      <c r="AE760" s="52" t="s">
        <v>79</v>
      </c>
      <c r="AF760" s="52" t="s">
        <v>4085</v>
      </c>
      <c r="AG760" s="52" t="s">
        <v>3762</v>
      </c>
      <c r="AH760" s="52"/>
      <c r="AI760" s="53">
        <v>46157.878472222219</v>
      </c>
      <c r="AJ760" s="53">
        <v>46157.93472222222</v>
      </c>
      <c r="AK760" s="53">
        <v>46157.878472222219</v>
      </c>
      <c r="AL760" s="55">
        <v>5.6250000000000001E-2</v>
      </c>
      <c r="AM760" s="52"/>
      <c r="AN760" s="55">
        <v>5.6250000000000001E-2</v>
      </c>
      <c r="AO760" s="52"/>
      <c r="AP760" s="55">
        <v>5.6250000000000001E-2</v>
      </c>
      <c r="AQ760" s="52"/>
      <c r="AR760" s="52"/>
      <c r="AS760" s="52" t="s">
        <v>3696</v>
      </c>
      <c r="AT760" s="52"/>
      <c r="AU760" s="52"/>
      <c r="AV760" s="52"/>
      <c r="AW760" s="52"/>
    </row>
    <row r="761" spans="1:49">
      <c r="A761" s="52">
        <v>6022207</v>
      </c>
      <c r="B761" s="52" t="s">
        <v>3716</v>
      </c>
      <c r="C761" s="52" t="s">
        <v>3698</v>
      </c>
      <c r="D761" s="53">
        <v>46157.354166666664</v>
      </c>
      <c r="E761" s="53">
        <v>46157.332638888889</v>
      </c>
      <c r="F761" s="53">
        <v>46157.887499999997</v>
      </c>
      <c r="G761" s="53">
        <v>46159.660416666666</v>
      </c>
      <c r="H761" s="52"/>
      <c r="I761" s="52"/>
      <c r="J761" s="52" t="s">
        <v>3694</v>
      </c>
      <c r="K761" s="53">
        <v>46160.208333333336</v>
      </c>
      <c r="L761" s="52"/>
      <c r="M761" s="54">
        <v>1.7729166666666667</v>
      </c>
      <c r="N761" s="55">
        <v>0.56874999999999998</v>
      </c>
      <c r="O761" s="52" t="s">
        <v>619</v>
      </c>
      <c r="P761" s="52" t="s">
        <v>216</v>
      </c>
      <c r="Q761" s="52" t="s">
        <v>618</v>
      </c>
      <c r="R761" s="52" t="s">
        <v>624</v>
      </c>
      <c r="S761" s="52" t="s">
        <v>69</v>
      </c>
      <c r="T761" s="52" t="s">
        <v>4087</v>
      </c>
      <c r="U761" s="52" t="s">
        <v>4088</v>
      </c>
      <c r="V761" s="52" t="s">
        <v>625</v>
      </c>
      <c r="W761" s="52">
        <v>2162093901</v>
      </c>
      <c r="X761" s="52" t="s">
        <v>73</v>
      </c>
      <c r="Y761" s="52"/>
      <c r="Z761" s="52" t="s">
        <v>3696</v>
      </c>
      <c r="AA761" s="52" t="s">
        <v>3710</v>
      </c>
      <c r="AB761" s="52"/>
      <c r="AC761" s="52" t="s">
        <v>3720</v>
      </c>
      <c r="AD761" s="52" t="s">
        <v>3715</v>
      </c>
      <c r="AE761" s="52"/>
      <c r="AF761" s="52" t="s">
        <v>4085</v>
      </c>
      <c r="AG761" s="52" t="s">
        <v>3762</v>
      </c>
      <c r="AH761" s="52"/>
      <c r="AI761" s="53">
        <v>46157.878472222219</v>
      </c>
      <c r="AJ761" s="53">
        <v>46157.93472222222</v>
      </c>
      <c r="AK761" s="53">
        <v>46157.878472222219</v>
      </c>
      <c r="AL761" s="55">
        <v>5.6250000000000001E-2</v>
      </c>
      <c r="AM761" s="52"/>
      <c r="AN761" s="55">
        <v>5.6250000000000001E-2</v>
      </c>
      <c r="AO761" s="52"/>
      <c r="AP761" s="55">
        <v>5.6250000000000001E-2</v>
      </c>
      <c r="AQ761" s="52"/>
      <c r="AR761" s="52"/>
      <c r="AS761" s="52" t="s">
        <v>3696</v>
      </c>
      <c r="AT761" s="52"/>
      <c r="AU761" s="52"/>
      <c r="AV761" s="52"/>
      <c r="AW761" s="52" t="s">
        <v>594</v>
      </c>
    </row>
    <row r="762" spans="1:49">
      <c r="A762" s="52">
        <v>6022208</v>
      </c>
      <c r="B762" s="52" t="s">
        <v>3716</v>
      </c>
      <c r="C762" s="52" t="s">
        <v>3717</v>
      </c>
      <c r="D762" s="53">
        <v>46157.833333333336</v>
      </c>
      <c r="E762" s="53">
        <v>46157.332638888889</v>
      </c>
      <c r="F762" s="53">
        <v>46157.850694444445</v>
      </c>
      <c r="G762" s="53">
        <v>46159.745833333334</v>
      </c>
      <c r="H762" s="52"/>
      <c r="I762" s="52" t="s">
        <v>3693</v>
      </c>
      <c r="J762" s="52" t="s">
        <v>3694</v>
      </c>
      <c r="K762" s="53">
        <v>46160.175000000003</v>
      </c>
      <c r="L762" s="52"/>
      <c r="M762" s="54">
        <v>3.5951388888888891</v>
      </c>
      <c r="N762" s="54">
        <v>1.1986111111111111</v>
      </c>
      <c r="O762" s="52"/>
      <c r="P762" s="52"/>
      <c r="Q762" s="52"/>
      <c r="R762" s="52"/>
      <c r="S762" s="52"/>
      <c r="T762" s="52" t="s">
        <v>4089</v>
      </c>
      <c r="U762" s="52" t="s">
        <v>4090</v>
      </c>
      <c r="V762" s="52"/>
      <c r="W762" s="52"/>
      <c r="X762" s="52"/>
      <c r="Y762" s="52"/>
      <c r="Z762" s="52" t="s">
        <v>3696</v>
      </c>
      <c r="AA762" s="52" t="s">
        <v>89</v>
      </c>
      <c r="AB762" s="52" t="s">
        <v>79</v>
      </c>
      <c r="AC762" s="52" t="s">
        <v>3720</v>
      </c>
      <c r="AD762" s="52" t="s">
        <v>3715</v>
      </c>
      <c r="AE762" s="52"/>
      <c r="AF762" s="52" t="s">
        <v>4085</v>
      </c>
      <c r="AG762" s="52" t="s">
        <v>3762</v>
      </c>
      <c r="AH762" s="52"/>
      <c r="AI762" s="52"/>
      <c r="AJ762" s="52"/>
      <c r="AK762" s="52"/>
      <c r="AL762" s="55">
        <v>6.8750000000000006E-2</v>
      </c>
      <c r="AM762" s="52"/>
      <c r="AN762" s="52"/>
      <c r="AO762" s="52"/>
      <c r="AP762" s="52"/>
      <c r="AQ762" s="52"/>
      <c r="AR762" s="52"/>
      <c r="AS762" s="52">
        <v>0</v>
      </c>
      <c r="AT762" s="52"/>
      <c r="AU762" s="52"/>
      <c r="AV762" s="52" t="s">
        <v>594</v>
      </c>
      <c r="AW762" s="52"/>
    </row>
    <row r="763" spans="1:49">
      <c r="A763" s="52">
        <v>6022208</v>
      </c>
      <c r="B763" s="52" t="s">
        <v>3716</v>
      </c>
      <c r="C763" s="52" t="s">
        <v>3698</v>
      </c>
      <c r="D763" s="53">
        <v>46157.833333333336</v>
      </c>
      <c r="E763" s="53">
        <v>46157.332638888889</v>
      </c>
      <c r="F763" s="53">
        <v>46157.888888888891</v>
      </c>
      <c r="G763" s="53">
        <v>46159.745833333334</v>
      </c>
      <c r="H763" s="52"/>
      <c r="I763" s="52"/>
      <c r="J763" s="52" t="s">
        <v>3694</v>
      </c>
      <c r="K763" s="53">
        <v>46160.175000000003</v>
      </c>
      <c r="L763" s="52"/>
      <c r="M763" s="54">
        <v>1.8569444444444445</v>
      </c>
      <c r="N763" s="55">
        <v>0.56736111111111109</v>
      </c>
      <c r="O763" s="52" t="s">
        <v>590</v>
      </c>
      <c r="P763" s="52" t="s">
        <v>89</v>
      </c>
      <c r="Q763" s="52" t="s">
        <v>589</v>
      </c>
      <c r="R763" s="52" t="s">
        <v>597</v>
      </c>
      <c r="S763" s="52" t="s">
        <v>69</v>
      </c>
      <c r="T763" s="52" t="s">
        <v>4089</v>
      </c>
      <c r="U763" s="52" t="s">
        <v>4090</v>
      </c>
      <c r="V763" s="52" t="s">
        <v>598</v>
      </c>
      <c r="W763" s="52">
        <v>95993851015</v>
      </c>
      <c r="X763" s="52" t="s">
        <v>73</v>
      </c>
      <c r="Y763" s="52" t="s">
        <v>3826</v>
      </c>
      <c r="Z763" s="52" t="s">
        <v>3696</v>
      </c>
      <c r="AA763" s="52" t="s">
        <v>3710</v>
      </c>
      <c r="AB763" s="52"/>
      <c r="AC763" s="52" t="s">
        <v>3720</v>
      </c>
      <c r="AD763" s="52" t="s">
        <v>3715</v>
      </c>
      <c r="AE763" s="52" t="s">
        <v>79</v>
      </c>
      <c r="AF763" s="52" t="s">
        <v>4085</v>
      </c>
      <c r="AG763" s="52" t="s">
        <v>3762</v>
      </c>
      <c r="AH763" s="52"/>
      <c r="AI763" s="53">
        <v>46157.855555555558</v>
      </c>
      <c r="AJ763" s="53">
        <v>46157.924305555556</v>
      </c>
      <c r="AK763" s="53">
        <v>46157.855555555558</v>
      </c>
      <c r="AL763" s="55">
        <v>6.8750000000000006E-2</v>
      </c>
      <c r="AM763" s="52"/>
      <c r="AN763" s="55">
        <v>6.8750000000000006E-2</v>
      </c>
      <c r="AO763" s="52"/>
      <c r="AP763" s="55">
        <v>6.8750000000000006E-2</v>
      </c>
      <c r="AQ763" s="52"/>
      <c r="AR763" s="52"/>
      <c r="AS763" s="52" t="s">
        <v>3696</v>
      </c>
      <c r="AT763" s="52"/>
      <c r="AU763" s="52"/>
      <c r="AV763" s="52"/>
      <c r="AW763" s="52"/>
    </row>
    <row r="764" spans="1:49">
      <c r="A764" s="52">
        <v>6022208</v>
      </c>
      <c r="B764" s="52" t="s">
        <v>3716</v>
      </c>
      <c r="C764" s="52" t="s">
        <v>3698</v>
      </c>
      <c r="D764" s="53">
        <v>46157.833333333336</v>
      </c>
      <c r="E764" s="53">
        <v>46157.332638888889</v>
      </c>
      <c r="F764" s="53">
        <v>46157.888888888891</v>
      </c>
      <c r="G764" s="53">
        <v>46159.745833333334</v>
      </c>
      <c r="H764" s="52"/>
      <c r="I764" s="52"/>
      <c r="J764" s="52" t="s">
        <v>3694</v>
      </c>
      <c r="K764" s="53">
        <v>46160.175000000003</v>
      </c>
      <c r="L764" s="52"/>
      <c r="M764" s="54">
        <v>1.8569444444444445</v>
      </c>
      <c r="N764" s="55">
        <v>0.56736111111111109</v>
      </c>
      <c r="O764" s="52" t="s">
        <v>590</v>
      </c>
      <c r="P764" s="52" t="s">
        <v>89</v>
      </c>
      <c r="Q764" s="52" t="s">
        <v>589</v>
      </c>
      <c r="R764" s="52" t="s">
        <v>597</v>
      </c>
      <c r="S764" s="52" t="s">
        <v>69</v>
      </c>
      <c r="T764" s="52" t="s">
        <v>4089</v>
      </c>
      <c r="U764" s="52" t="s">
        <v>4090</v>
      </c>
      <c r="V764" s="52" t="s">
        <v>598</v>
      </c>
      <c r="W764" s="52">
        <v>95993851015</v>
      </c>
      <c r="X764" s="52" t="s">
        <v>73</v>
      </c>
      <c r="Y764" s="52" t="s">
        <v>3826</v>
      </c>
      <c r="Z764" s="52" t="s">
        <v>3696</v>
      </c>
      <c r="AA764" s="52" t="s">
        <v>3710</v>
      </c>
      <c r="AB764" s="52"/>
      <c r="AC764" s="52" t="s">
        <v>3720</v>
      </c>
      <c r="AD764" s="52" t="s">
        <v>3715</v>
      </c>
      <c r="AE764" s="52"/>
      <c r="AF764" s="52" t="s">
        <v>4085</v>
      </c>
      <c r="AG764" s="52" t="s">
        <v>3762</v>
      </c>
      <c r="AH764" s="52"/>
      <c r="AI764" s="53">
        <v>46157.855555555558</v>
      </c>
      <c r="AJ764" s="53">
        <v>46157.924305555556</v>
      </c>
      <c r="AK764" s="53">
        <v>46157.855555555558</v>
      </c>
      <c r="AL764" s="55">
        <v>6.8750000000000006E-2</v>
      </c>
      <c r="AM764" s="52"/>
      <c r="AN764" s="55">
        <v>6.8750000000000006E-2</v>
      </c>
      <c r="AO764" s="52"/>
      <c r="AP764" s="55">
        <v>6.8750000000000006E-2</v>
      </c>
      <c r="AQ764" s="52"/>
      <c r="AR764" s="52"/>
      <c r="AS764" s="52" t="s">
        <v>3696</v>
      </c>
      <c r="AT764" s="52"/>
      <c r="AU764" s="52"/>
      <c r="AV764" s="52"/>
      <c r="AW764" s="52" t="s">
        <v>594</v>
      </c>
    </row>
    <row r="765" spans="1:49">
      <c r="A765" s="52">
        <v>6022209</v>
      </c>
      <c r="B765" s="52" t="s">
        <v>3716</v>
      </c>
      <c r="C765" s="52" t="s">
        <v>3692</v>
      </c>
      <c r="D765" s="53">
        <v>46157.416666666664</v>
      </c>
      <c r="E765" s="53">
        <v>46157.332638888889</v>
      </c>
      <c r="F765" s="53">
        <v>46157.873611111114</v>
      </c>
      <c r="G765" s="53">
        <v>46163.25</v>
      </c>
      <c r="H765" s="52"/>
      <c r="I765" s="52" t="s">
        <v>3693</v>
      </c>
      <c r="J765" s="52" t="s">
        <v>3694</v>
      </c>
      <c r="K765" s="53">
        <v>46160.646527777775</v>
      </c>
      <c r="L765" s="52"/>
      <c r="M765" s="54">
        <v>4.333333333333333</v>
      </c>
      <c r="N765" s="55">
        <v>0.46041666666666664</v>
      </c>
      <c r="O765" s="52"/>
      <c r="P765" s="52"/>
      <c r="Q765" s="52"/>
      <c r="R765" s="52"/>
      <c r="S765" s="52"/>
      <c r="T765" s="52" t="s">
        <v>4091</v>
      </c>
      <c r="U765" s="52" t="s">
        <v>3695</v>
      </c>
      <c r="V765" s="52"/>
      <c r="W765" s="52"/>
      <c r="X765" s="52"/>
      <c r="Y765" s="52"/>
      <c r="Z765" s="52" t="s">
        <v>3696</v>
      </c>
      <c r="AA765" s="52" t="s">
        <v>216</v>
      </c>
      <c r="AB765" s="52" t="s">
        <v>79</v>
      </c>
      <c r="AC765" s="52" t="s">
        <v>3720</v>
      </c>
      <c r="AD765" s="52" t="s">
        <v>3715</v>
      </c>
      <c r="AE765" s="52"/>
      <c r="AF765" s="52" t="s">
        <v>3787</v>
      </c>
      <c r="AG765" s="52" t="s">
        <v>3788</v>
      </c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>
        <v>0</v>
      </c>
      <c r="AT765" s="52"/>
      <c r="AU765" s="52"/>
      <c r="AV765" s="52" t="s">
        <v>613</v>
      </c>
      <c r="AW765" s="52"/>
    </row>
    <row r="766" spans="1:49">
      <c r="A766" s="52">
        <v>6022209</v>
      </c>
      <c r="B766" s="52" t="s">
        <v>3716</v>
      </c>
      <c r="C766" s="52" t="s">
        <v>3698</v>
      </c>
      <c r="D766" s="53">
        <v>46157.416666666664</v>
      </c>
      <c r="E766" s="53">
        <v>46157.332638888889</v>
      </c>
      <c r="F766" s="53">
        <v>46157.888194444444</v>
      </c>
      <c r="G766" s="53">
        <v>46163.25</v>
      </c>
      <c r="H766" s="52"/>
      <c r="I766" s="52"/>
      <c r="J766" s="52" t="s">
        <v>3694</v>
      </c>
      <c r="K766" s="53">
        <v>46160.646527777775</v>
      </c>
      <c r="L766" s="52"/>
      <c r="M766" s="54">
        <v>5.3618055555555557</v>
      </c>
      <c r="N766" s="55">
        <v>0.56805555555555554</v>
      </c>
      <c r="O766" s="52" t="s">
        <v>611</v>
      </c>
      <c r="P766" s="52" t="s">
        <v>216</v>
      </c>
      <c r="Q766" s="52" t="s">
        <v>610</v>
      </c>
      <c r="R766" s="52" t="s">
        <v>616</v>
      </c>
      <c r="S766" s="52" t="s">
        <v>69</v>
      </c>
      <c r="T766" s="52" t="s">
        <v>4091</v>
      </c>
      <c r="U766" s="52" t="s">
        <v>3695</v>
      </c>
      <c r="V766" s="52" t="s">
        <v>617</v>
      </c>
      <c r="W766" s="52">
        <v>68544880010</v>
      </c>
      <c r="X766" s="52" t="s">
        <v>73</v>
      </c>
      <c r="Y766" s="52" t="s">
        <v>3930</v>
      </c>
      <c r="Z766" s="52" t="s">
        <v>3696</v>
      </c>
      <c r="AA766" s="52" t="s">
        <v>3710</v>
      </c>
      <c r="AB766" s="52"/>
      <c r="AC766" s="52" t="s">
        <v>3720</v>
      </c>
      <c r="AD766" s="52" t="s">
        <v>3715</v>
      </c>
      <c r="AE766" s="52" t="s">
        <v>79</v>
      </c>
      <c r="AF766" s="52" t="s">
        <v>3787</v>
      </c>
      <c r="AG766" s="52" t="s">
        <v>3788</v>
      </c>
      <c r="AH766" s="52"/>
      <c r="AI766" s="53">
        <v>46157.875694444447</v>
      </c>
      <c r="AJ766" s="52"/>
      <c r="AK766" s="53">
        <v>46157.875694444447</v>
      </c>
      <c r="AL766" s="52"/>
      <c r="AM766" s="52"/>
      <c r="AN766" s="52"/>
      <c r="AO766" s="52"/>
      <c r="AP766" s="52"/>
      <c r="AQ766" s="52"/>
      <c r="AR766" s="52"/>
      <c r="AS766" s="52" t="s">
        <v>3696</v>
      </c>
      <c r="AT766" s="52"/>
      <c r="AU766" s="52"/>
      <c r="AV766" s="52"/>
      <c r="AW766" s="52"/>
    </row>
    <row r="767" spans="1:49">
      <c r="A767" s="52">
        <v>6022209</v>
      </c>
      <c r="B767" s="52" t="s">
        <v>3716</v>
      </c>
      <c r="C767" s="52" t="s">
        <v>3698</v>
      </c>
      <c r="D767" s="53">
        <v>46157.416666666664</v>
      </c>
      <c r="E767" s="53">
        <v>46157.332638888889</v>
      </c>
      <c r="F767" s="53">
        <v>46157.888194444444</v>
      </c>
      <c r="G767" s="53">
        <v>46163.25</v>
      </c>
      <c r="H767" s="52"/>
      <c r="I767" s="52"/>
      <c r="J767" s="52" t="s">
        <v>3694</v>
      </c>
      <c r="K767" s="53">
        <v>46160.646527777775</v>
      </c>
      <c r="L767" s="52"/>
      <c r="M767" s="54">
        <v>5.3618055555555557</v>
      </c>
      <c r="N767" s="55">
        <v>0.56805555555555554</v>
      </c>
      <c r="O767" s="52" t="s">
        <v>611</v>
      </c>
      <c r="P767" s="52" t="s">
        <v>216</v>
      </c>
      <c r="Q767" s="52" t="s">
        <v>610</v>
      </c>
      <c r="R767" s="52" t="s">
        <v>616</v>
      </c>
      <c r="S767" s="52" t="s">
        <v>69</v>
      </c>
      <c r="T767" s="52" t="s">
        <v>4091</v>
      </c>
      <c r="U767" s="52" t="s">
        <v>3695</v>
      </c>
      <c r="V767" s="52" t="s">
        <v>617</v>
      </c>
      <c r="W767" s="52">
        <v>68544880010</v>
      </c>
      <c r="X767" s="52" t="s">
        <v>73</v>
      </c>
      <c r="Y767" s="52" t="s">
        <v>3930</v>
      </c>
      <c r="Z767" s="52" t="s">
        <v>3696</v>
      </c>
      <c r="AA767" s="52" t="s">
        <v>3710</v>
      </c>
      <c r="AB767" s="52"/>
      <c r="AC767" s="52" t="s">
        <v>3720</v>
      </c>
      <c r="AD767" s="52" t="s">
        <v>3715</v>
      </c>
      <c r="AE767" s="52"/>
      <c r="AF767" s="52" t="s">
        <v>3787</v>
      </c>
      <c r="AG767" s="52" t="s">
        <v>3788</v>
      </c>
      <c r="AH767" s="52"/>
      <c r="AI767" s="53">
        <v>46157.875694444447</v>
      </c>
      <c r="AJ767" s="52"/>
      <c r="AK767" s="53">
        <v>46157.875694444447</v>
      </c>
      <c r="AL767" s="52"/>
      <c r="AM767" s="52"/>
      <c r="AN767" s="52"/>
      <c r="AO767" s="52"/>
      <c r="AP767" s="52"/>
      <c r="AQ767" s="52"/>
      <c r="AR767" s="52"/>
      <c r="AS767" s="52" t="s">
        <v>3696</v>
      </c>
      <c r="AT767" s="52"/>
      <c r="AU767" s="52"/>
      <c r="AV767" s="52"/>
      <c r="AW767" s="52" t="s">
        <v>613</v>
      </c>
    </row>
    <row r="768" spans="1:49">
      <c r="A768" s="52">
        <v>6022210</v>
      </c>
      <c r="B768" s="52" t="s">
        <v>3716</v>
      </c>
      <c r="C768" s="52" t="s">
        <v>3692</v>
      </c>
      <c r="D768" s="53">
        <v>46157.75</v>
      </c>
      <c r="E768" s="53">
        <v>46157.332638888889</v>
      </c>
      <c r="F768" s="53">
        <v>46157.813888888886</v>
      </c>
      <c r="G768" s="53">
        <v>46169.25</v>
      </c>
      <c r="H768" s="52"/>
      <c r="I768" s="52" t="s">
        <v>3693</v>
      </c>
      <c r="J768" s="52" t="s">
        <v>3694</v>
      </c>
      <c r="K768" s="53">
        <v>46159.947916666664</v>
      </c>
      <c r="L768" s="52"/>
      <c r="M768" s="54">
        <v>5.708333333333333</v>
      </c>
      <c r="N768" s="54">
        <v>3.0854166666666667</v>
      </c>
      <c r="O768" s="52"/>
      <c r="P768" s="52"/>
      <c r="Q768" s="52"/>
      <c r="R768" s="52"/>
      <c r="S768" s="52"/>
      <c r="T768" s="52" t="s">
        <v>4000</v>
      </c>
      <c r="U768" s="52" t="s">
        <v>3695</v>
      </c>
      <c r="V768" s="52"/>
      <c r="W768" s="52"/>
      <c r="X768" s="52"/>
      <c r="Y768" s="52"/>
      <c r="Z768" s="52" t="s">
        <v>3696</v>
      </c>
      <c r="AA768" s="52" t="s">
        <v>836</v>
      </c>
      <c r="AB768" s="52" t="s">
        <v>79</v>
      </c>
      <c r="AC768" s="52" t="s">
        <v>3720</v>
      </c>
      <c r="AD768" s="52" t="s">
        <v>3715</v>
      </c>
      <c r="AE768" s="52"/>
      <c r="AF768" s="52" t="s">
        <v>4001</v>
      </c>
      <c r="AG768" s="52" t="s">
        <v>4002</v>
      </c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>
        <v>0</v>
      </c>
      <c r="AT768" s="52"/>
      <c r="AU768" s="52"/>
      <c r="AV768" s="52" t="s">
        <v>613</v>
      </c>
      <c r="AW768" s="52"/>
    </row>
    <row r="769" spans="1:49">
      <c r="A769" s="52">
        <v>6022210</v>
      </c>
      <c r="B769" s="52" t="s">
        <v>3716</v>
      </c>
      <c r="C769" s="52" t="s">
        <v>3698</v>
      </c>
      <c r="D769" s="53">
        <v>46157.75</v>
      </c>
      <c r="E769" s="53">
        <v>46157.332638888889</v>
      </c>
      <c r="F769" s="52"/>
      <c r="G769" s="53">
        <v>46169.25</v>
      </c>
      <c r="H769" s="52"/>
      <c r="I769" s="52"/>
      <c r="J769" s="52" t="s">
        <v>3694</v>
      </c>
      <c r="K769" s="53">
        <v>46159.947916666664</v>
      </c>
      <c r="L769" s="52"/>
      <c r="M769" s="52"/>
      <c r="N769" s="52"/>
      <c r="O769" s="52" t="s">
        <v>4003</v>
      </c>
      <c r="P769" s="52" t="s">
        <v>836</v>
      </c>
      <c r="Q769" s="52" t="s">
        <v>895</v>
      </c>
      <c r="R769" s="52" t="s">
        <v>902</v>
      </c>
      <c r="S769" s="52" t="s">
        <v>3895</v>
      </c>
      <c r="T769" s="52" t="s">
        <v>4000</v>
      </c>
      <c r="U769" s="52" t="s">
        <v>3695</v>
      </c>
      <c r="V769" s="52" t="s">
        <v>903</v>
      </c>
      <c r="W769" s="52">
        <v>61708488987</v>
      </c>
      <c r="X769" s="52" t="s">
        <v>73</v>
      </c>
      <c r="Y769" s="52" t="s">
        <v>3930</v>
      </c>
      <c r="Z769" s="52" t="s">
        <v>3696</v>
      </c>
      <c r="AA769" s="52" t="s">
        <v>3710</v>
      </c>
      <c r="AB769" s="52"/>
      <c r="AC769" s="52" t="s">
        <v>3720</v>
      </c>
      <c r="AD769" s="52" t="s">
        <v>3715</v>
      </c>
      <c r="AE769" s="52" t="s">
        <v>79</v>
      </c>
      <c r="AF769" s="52" t="s">
        <v>4001</v>
      </c>
      <c r="AG769" s="52" t="s">
        <v>4002</v>
      </c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 t="s">
        <v>3696</v>
      </c>
      <c r="AT769" s="52"/>
      <c r="AU769" s="52"/>
      <c r="AV769" s="52"/>
      <c r="AW769" s="52"/>
    </row>
    <row r="770" spans="1:49">
      <c r="A770" s="52">
        <v>6022210</v>
      </c>
      <c r="B770" s="52" t="s">
        <v>3716</v>
      </c>
      <c r="C770" s="52" t="s">
        <v>3698</v>
      </c>
      <c r="D770" s="53">
        <v>46157.75</v>
      </c>
      <c r="E770" s="53">
        <v>46157.332638888889</v>
      </c>
      <c r="F770" s="52"/>
      <c r="G770" s="53">
        <v>46169.25</v>
      </c>
      <c r="H770" s="52"/>
      <c r="I770" s="52"/>
      <c r="J770" s="52" t="s">
        <v>3694</v>
      </c>
      <c r="K770" s="53">
        <v>46159.947916666664</v>
      </c>
      <c r="L770" s="52"/>
      <c r="M770" s="52"/>
      <c r="N770" s="52"/>
      <c r="O770" s="52" t="s">
        <v>4003</v>
      </c>
      <c r="P770" s="52" t="s">
        <v>836</v>
      </c>
      <c r="Q770" s="52" t="s">
        <v>895</v>
      </c>
      <c r="R770" s="52" t="s">
        <v>902</v>
      </c>
      <c r="S770" s="52" t="s">
        <v>3895</v>
      </c>
      <c r="T770" s="52" t="s">
        <v>4000</v>
      </c>
      <c r="U770" s="52" t="s">
        <v>3695</v>
      </c>
      <c r="V770" s="52" t="s">
        <v>903</v>
      </c>
      <c r="W770" s="52">
        <v>61708488987</v>
      </c>
      <c r="X770" s="52" t="s">
        <v>73</v>
      </c>
      <c r="Y770" s="52" t="s">
        <v>3930</v>
      </c>
      <c r="Z770" s="52" t="s">
        <v>3696</v>
      </c>
      <c r="AA770" s="52" t="s">
        <v>3710</v>
      </c>
      <c r="AB770" s="52"/>
      <c r="AC770" s="52" t="s">
        <v>3720</v>
      </c>
      <c r="AD770" s="52" t="s">
        <v>3715</v>
      </c>
      <c r="AE770" s="52"/>
      <c r="AF770" s="52" t="s">
        <v>4001</v>
      </c>
      <c r="AG770" s="52" t="s">
        <v>4002</v>
      </c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 t="s">
        <v>3696</v>
      </c>
      <c r="AT770" s="52"/>
      <c r="AU770" s="52"/>
      <c r="AV770" s="52"/>
      <c r="AW770" s="52" t="s">
        <v>613</v>
      </c>
    </row>
    <row r="771" spans="1:49">
      <c r="A771" s="52">
        <v>6022213</v>
      </c>
      <c r="B771" s="52" t="s">
        <v>3716</v>
      </c>
      <c r="C771" s="52" t="s">
        <v>3692</v>
      </c>
      <c r="D771" s="53">
        <v>46158.5</v>
      </c>
      <c r="E771" s="53">
        <v>46157.584722222222</v>
      </c>
      <c r="F771" s="53">
        <v>46157.940972222219</v>
      </c>
      <c r="G771" s="53">
        <v>46162.25</v>
      </c>
      <c r="H771" s="52"/>
      <c r="I771" s="52" t="s">
        <v>3693</v>
      </c>
      <c r="J771" s="52" t="s">
        <v>3694</v>
      </c>
      <c r="K771" s="53">
        <v>46159.493055555555</v>
      </c>
      <c r="L771" s="52"/>
      <c r="M771" s="54">
        <v>1.9284722222222221</v>
      </c>
      <c r="N771" s="54">
        <v>1.8652777777777778</v>
      </c>
      <c r="O771" s="52"/>
      <c r="P771" s="52"/>
      <c r="Q771" s="52"/>
      <c r="R771" s="52"/>
      <c r="S771" s="52"/>
      <c r="T771" s="52" t="s">
        <v>4092</v>
      </c>
      <c r="U771" s="52" t="s">
        <v>4052</v>
      </c>
      <c r="V771" s="52"/>
      <c r="W771" s="52"/>
      <c r="X771" s="52"/>
      <c r="Y771" s="52"/>
      <c r="Z771" s="52" t="s">
        <v>3696</v>
      </c>
      <c r="AA771" s="52" t="s">
        <v>72</v>
      </c>
      <c r="AB771" s="52" t="s">
        <v>79</v>
      </c>
      <c r="AC771" s="52" t="s">
        <v>3720</v>
      </c>
      <c r="AD771" s="52" t="s">
        <v>3715</v>
      </c>
      <c r="AE771" s="52"/>
      <c r="AF771" s="52" t="s">
        <v>3765</v>
      </c>
      <c r="AG771" s="52" t="s">
        <v>3766</v>
      </c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>
        <v>0</v>
      </c>
      <c r="AT771" s="52"/>
      <c r="AU771" s="52"/>
      <c r="AV771" s="52" t="s">
        <v>717</v>
      </c>
      <c r="AW771" s="52"/>
    </row>
    <row r="772" spans="1:49">
      <c r="A772" s="52">
        <v>6022213</v>
      </c>
      <c r="B772" s="52" t="s">
        <v>3716</v>
      </c>
      <c r="C772" s="52" t="s">
        <v>3698</v>
      </c>
      <c r="D772" s="53">
        <v>46158.5</v>
      </c>
      <c r="E772" s="53">
        <v>46157.584722222222</v>
      </c>
      <c r="F772" s="53">
        <v>46157.940972222219</v>
      </c>
      <c r="G772" s="53">
        <v>46162.25</v>
      </c>
      <c r="H772" s="52"/>
      <c r="I772" s="52"/>
      <c r="J772" s="52" t="s">
        <v>3694</v>
      </c>
      <c r="K772" s="53">
        <v>46159.493055555555</v>
      </c>
      <c r="L772" s="52"/>
      <c r="M772" s="54">
        <v>4.3090277777777777</v>
      </c>
      <c r="N772" s="55">
        <v>0.51527777777777772</v>
      </c>
      <c r="O772" s="52" t="s">
        <v>713</v>
      </c>
      <c r="P772" s="52" t="s">
        <v>72</v>
      </c>
      <c r="Q772" s="52" t="s">
        <v>712</v>
      </c>
      <c r="R772" s="52" t="s">
        <v>720</v>
      </c>
      <c r="S772" s="52" t="s">
        <v>69</v>
      </c>
      <c r="T772" s="52" t="s">
        <v>4092</v>
      </c>
      <c r="U772" s="52" t="s">
        <v>4052</v>
      </c>
      <c r="V772" s="52" t="s">
        <v>4093</v>
      </c>
      <c r="W772" s="52">
        <v>60314486968</v>
      </c>
      <c r="X772" s="52" t="s">
        <v>73</v>
      </c>
      <c r="Y772" s="52"/>
      <c r="Z772" s="52" t="s">
        <v>3696</v>
      </c>
      <c r="AA772" s="52" t="s">
        <v>3710</v>
      </c>
      <c r="AB772" s="52"/>
      <c r="AC772" s="52" t="s">
        <v>3720</v>
      </c>
      <c r="AD772" s="52" t="s">
        <v>3715</v>
      </c>
      <c r="AE772" s="52" t="s">
        <v>79</v>
      </c>
      <c r="AF772" s="52" t="s">
        <v>3765</v>
      </c>
      <c r="AG772" s="52" t="s">
        <v>3766</v>
      </c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 t="s">
        <v>3696</v>
      </c>
      <c r="AT772" s="52"/>
      <c r="AU772" s="52"/>
      <c r="AV772" s="52"/>
      <c r="AW772" s="52"/>
    </row>
    <row r="773" spans="1:49">
      <c r="A773" s="52">
        <v>6022213</v>
      </c>
      <c r="B773" s="52" t="s">
        <v>3716</v>
      </c>
      <c r="C773" s="52" t="s">
        <v>3698</v>
      </c>
      <c r="D773" s="53">
        <v>46158.5</v>
      </c>
      <c r="E773" s="53">
        <v>46157.584722222222</v>
      </c>
      <c r="F773" s="53">
        <v>46157.940972222219</v>
      </c>
      <c r="G773" s="53">
        <v>46162.25</v>
      </c>
      <c r="H773" s="52"/>
      <c r="I773" s="52"/>
      <c r="J773" s="52" t="s">
        <v>3694</v>
      </c>
      <c r="K773" s="53">
        <v>46159.493055555555</v>
      </c>
      <c r="L773" s="52"/>
      <c r="M773" s="54">
        <v>4.3090277777777777</v>
      </c>
      <c r="N773" s="55">
        <v>0.51527777777777772</v>
      </c>
      <c r="O773" s="52" t="s">
        <v>713</v>
      </c>
      <c r="P773" s="52" t="s">
        <v>72</v>
      </c>
      <c r="Q773" s="52" t="s">
        <v>712</v>
      </c>
      <c r="R773" s="52" t="s">
        <v>720</v>
      </c>
      <c r="S773" s="52" t="s">
        <v>69</v>
      </c>
      <c r="T773" s="52" t="s">
        <v>4092</v>
      </c>
      <c r="U773" s="52" t="s">
        <v>4052</v>
      </c>
      <c r="V773" s="52" t="s">
        <v>4093</v>
      </c>
      <c r="W773" s="52">
        <v>60314486968</v>
      </c>
      <c r="X773" s="52" t="s">
        <v>73</v>
      </c>
      <c r="Y773" s="52"/>
      <c r="Z773" s="52" t="s">
        <v>3696</v>
      </c>
      <c r="AA773" s="52" t="s">
        <v>3710</v>
      </c>
      <c r="AB773" s="52"/>
      <c r="AC773" s="52" t="s">
        <v>3720</v>
      </c>
      <c r="AD773" s="52" t="s">
        <v>3715</v>
      </c>
      <c r="AE773" s="52"/>
      <c r="AF773" s="52" t="s">
        <v>3765</v>
      </c>
      <c r="AG773" s="52" t="s">
        <v>3766</v>
      </c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 t="s">
        <v>3696</v>
      </c>
      <c r="AT773" s="52"/>
      <c r="AU773" s="52"/>
      <c r="AV773" s="52"/>
      <c r="AW773" s="52" t="s">
        <v>717</v>
      </c>
    </row>
    <row r="774" spans="1:49">
      <c r="A774" s="52">
        <v>6022217</v>
      </c>
      <c r="B774" s="52" t="s">
        <v>3716</v>
      </c>
      <c r="C774" s="52" t="s">
        <v>3692</v>
      </c>
      <c r="D774" s="53">
        <v>46158.333333333336</v>
      </c>
      <c r="E774" s="53">
        <v>46157.584722222222</v>
      </c>
      <c r="F774" s="53">
        <v>46157.717361111114</v>
      </c>
      <c r="G774" s="53">
        <v>46160.25</v>
      </c>
      <c r="H774" s="52"/>
      <c r="I774" s="52" t="s">
        <v>3693</v>
      </c>
      <c r="J774" s="52" t="s">
        <v>3694</v>
      </c>
      <c r="K774" s="53">
        <v>46158.456250000003</v>
      </c>
      <c r="L774" s="52"/>
      <c r="M774" s="55">
        <v>0.15277777777777779</v>
      </c>
      <c r="N774" s="54">
        <v>1.6409722222222223</v>
      </c>
      <c r="O774" s="52"/>
      <c r="P774" s="52"/>
      <c r="Q774" s="52"/>
      <c r="R774" s="52"/>
      <c r="S774" s="52"/>
      <c r="T774" s="52" t="s">
        <v>4094</v>
      </c>
      <c r="U774" s="52" t="s">
        <v>4095</v>
      </c>
      <c r="V774" s="52"/>
      <c r="W774" s="52"/>
      <c r="X774" s="52"/>
      <c r="Y774" s="52"/>
      <c r="Z774" s="52" t="s">
        <v>3696</v>
      </c>
      <c r="AA774" s="52" t="s">
        <v>260</v>
      </c>
      <c r="AB774" s="52" t="s">
        <v>79</v>
      </c>
      <c r="AC774" s="52" t="s">
        <v>3720</v>
      </c>
      <c r="AD774" s="52" t="s">
        <v>3715</v>
      </c>
      <c r="AE774" s="52"/>
      <c r="AF774" s="52" t="s">
        <v>3834</v>
      </c>
      <c r="AG774" s="52" t="s">
        <v>3770</v>
      </c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>
        <v>0</v>
      </c>
      <c r="AT774" s="52"/>
      <c r="AU774" s="52"/>
      <c r="AV774" s="52" t="s">
        <v>466</v>
      </c>
      <c r="AW774" s="52"/>
    </row>
    <row r="775" spans="1:49">
      <c r="A775" s="52">
        <v>6022217</v>
      </c>
      <c r="B775" s="52" t="s">
        <v>3716</v>
      </c>
      <c r="C775" s="52" t="s">
        <v>3698</v>
      </c>
      <c r="D775" s="53">
        <v>46158.333333333336</v>
      </c>
      <c r="E775" s="53">
        <v>46157.584722222222</v>
      </c>
      <c r="F775" s="53">
        <v>46157.804166666669</v>
      </c>
      <c r="G775" s="53">
        <v>46160.25</v>
      </c>
      <c r="H775" s="52"/>
      <c r="I775" s="52"/>
      <c r="J775" s="52" t="s">
        <v>3694</v>
      </c>
      <c r="K775" s="53">
        <v>46158.456250000003</v>
      </c>
      <c r="L775" s="52"/>
      <c r="M775" s="54">
        <v>2.4458333333333333</v>
      </c>
      <c r="N775" s="55">
        <v>0.65208333333333335</v>
      </c>
      <c r="O775" s="52" t="s">
        <v>462</v>
      </c>
      <c r="P775" s="52" t="s">
        <v>260</v>
      </c>
      <c r="Q775" s="52" t="s">
        <v>461</v>
      </c>
      <c r="R775" s="52" t="s">
        <v>469</v>
      </c>
      <c r="S775" s="52" t="s">
        <v>69</v>
      </c>
      <c r="T775" s="52" t="s">
        <v>4094</v>
      </c>
      <c r="U775" s="52" t="s">
        <v>4095</v>
      </c>
      <c r="V775" s="52" t="s">
        <v>470</v>
      </c>
      <c r="W775" s="52">
        <v>8765021924</v>
      </c>
      <c r="X775" s="52" t="s">
        <v>73</v>
      </c>
      <c r="Y775" s="52"/>
      <c r="Z775" s="52" t="s">
        <v>3696</v>
      </c>
      <c r="AA775" s="52" t="s">
        <v>3710</v>
      </c>
      <c r="AB775" s="52"/>
      <c r="AC775" s="52" t="s">
        <v>3720</v>
      </c>
      <c r="AD775" s="52" t="s">
        <v>3715</v>
      </c>
      <c r="AE775" s="52" t="s">
        <v>79</v>
      </c>
      <c r="AF775" s="52" t="s">
        <v>3834</v>
      </c>
      <c r="AG775" s="52" t="s">
        <v>3770</v>
      </c>
      <c r="AH775" s="52"/>
      <c r="AI775" s="52"/>
      <c r="AJ775" s="52"/>
      <c r="AK775" s="52"/>
      <c r="AL775" s="55">
        <v>0.49861111111111112</v>
      </c>
      <c r="AM775" s="52"/>
      <c r="AN775" s="52"/>
      <c r="AO775" s="52"/>
      <c r="AP775" s="55">
        <v>0.49861111111111112</v>
      </c>
      <c r="AQ775" s="52"/>
      <c r="AR775" s="52"/>
      <c r="AS775" s="52" t="s">
        <v>3696</v>
      </c>
      <c r="AT775" s="52"/>
      <c r="AU775" s="52"/>
      <c r="AV775" s="52"/>
      <c r="AW775" s="52"/>
    </row>
    <row r="776" spans="1:49">
      <c r="A776" s="52">
        <v>6022217</v>
      </c>
      <c r="B776" s="52" t="s">
        <v>3716</v>
      </c>
      <c r="C776" s="52" t="s">
        <v>3698</v>
      </c>
      <c r="D776" s="53">
        <v>46158.333333333336</v>
      </c>
      <c r="E776" s="53">
        <v>46157.584722222222</v>
      </c>
      <c r="F776" s="53">
        <v>46157.804166666669</v>
      </c>
      <c r="G776" s="53">
        <v>46160.25</v>
      </c>
      <c r="H776" s="52"/>
      <c r="I776" s="52"/>
      <c r="J776" s="52" t="s">
        <v>3694</v>
      </c>
      <c r="K776" s="53">
        <v>46158.456250000003</v>
      </c>
      <c r="L776" s="52"/>
      <c r="M776" s="54">
        <v>2.4458333333333333</v>
      </c>
      <c r="N776" s="55">
        <v>0.65208333333333335</v>
      </c>
      <c r="O776" s="52" t="s">
        <v>462</v>
      </c>
      <c r="P776" s="52" t="s">
        <v>260</v>
      </c>
      <c r="Q776" s="52" t="s">
        <v>461</v>
      </c>
      <c r="R776" s="52" t="s">
        <v>469</v>
      </c>
      <c r="S776" s="52" t="s">
        <v>69</v>
      </c>
      <c r="T776" s="52" t="s">
        <v>4094</v>
      </c>
      <c r="U776" s="52" t="s">
        <v>4095</v>
      </c>
      <c r="V776" s="52" t="s">
        <v>470</v>
      </c>
      <c r="W776" s="52">
        <v>8765021924</v>
      </c>
      <c r="X776" s="52" t="s">
        <v>73</v>
      </c>
      <c r="Y776" s="52"/>
      <c r="Z776" s="52" t="s">
        <v>3696</v>
      </c>
      <c r="AA776" s="52" t="s">
        <v>3710</v>
      </c>
      <c r="AB776" s="52"/>
      <c r="AC776" s="52" t="s">
        <v>3720</v>
      </c>
      <c r="AD776" s="52" t="s">
        <v>3715</v>
      </c>
      <c r="AE776" s="52"/>
      <c r="AF776" s="52" t="s">
        <v>3834</v>
      </c>
      <c r="AG776" s="52" t="s">
        <v>3770</v>
      </c>
      <c r="AH776" s="52"/>
      <c r="AI776" s="52"/>
      <c r="AJ776" s="52"/>
      <c r="AK776" s="52"/>
      <c r="AL776" s="55">
        <v>0.49861111111111112</v>
      </c>
      <c r="AM776" s="52"/>
      <c r="AN776" s="52"/>
      <c r="AO776" s="52"/>
      <c r="AP776" s="55">
        <v>0.49861111111111112</v>
      </c>
      <c r="AQ776" s="52"/>
      <c r="AR776" s="52"/>
      <c r="AS776" s="52" t="s">
        <v>3696</v>
      </c>
      <c r="AT776" s="52"/>
      <c r="AU776" s="52"/>
      <c r="AV776" s="52"/>
      <c r="AW776" s="52" t="s">
        <v>466</v>
      </c>
    </row>
    <row r="777" spans="1:49">
      <c r="A777" s="52">
        <v>6022218</v>
      </c>
      <c r="B777" s="52" t="s">
        <v>3691</v>
      </c>
      <c r="C777" s="52" t="s">
        <v>3692</v>
      </c>
      <c r="D777" s="53">
        <v>46157.25</v>
      </c>
      <c r="E777" s="53">
        <v>46156.822222222225</v>
      </c>
      <c r="F777" s="52"/>
      <c r="G777" s="52"/>
      <c r="H777" s="52"/>
      <c r="I777" s="52" t="s">
        <v>3693</v>
      </c>
      <c r="J777" s="52" t="s">
        <v>3694</v>
      </c>
      <c r="K777" s="52"/>
      <c r="L777" s="52"/>
      <c r="M777" s="54">
        <v>3.7083333333333335</v>
      </c>
      <c r="N777" s="54">
        <v>1.20625</v>
      </c>
      <c r="O777" s="52"/>
      <c r="P777" s="52"/>
      <c r="Q777" s="52"/>
      <c r="R777" s="52"/>
      <c r="S777" s="52"/>
      <c r="T777" s="52" t="s">
        <v>3695</v>
      </c>
      <c r="U777" s="52" t="s">
        <v>3695</v>
      </c>
      <c r="V777" s="52"/>
      <c r="W777" s="52"/>
      <c r="X777" s="52"/>
      <c r="Y777" s="52"/>
      <c r="Z777" s="52" t="s">
        <v>3696</v>
      </c>
      <c r="AA777" s="52" t="s">
        <v>282</v>
      </c>
      <c r="AB777" s="52" t="s">
        <v>79</v>
      </c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>
        <v>0</v>
      </c>
      <c r="AT777" s="52"/>
      <c r="AU777" s="52"/>
      <c r="AV777" s="52" t="s">
        <v>466</v>
      </c>
      <c r="AW777" s="52"/>
    </row>
    <row r="778" spans="1:49">
      <c r="A778" s="52">
        <v>6022218</v>
      </c>
      <c r="B778" s="52" t="s">
        <v>3691</v>
      </c>
      <c r="C778" s="52" t="s">
        <v>3698</v>
      </c>
      <c r="D778" s="53">
        <v>46157.25</v>
      </c>
      <c r="E778" s="53">
        <v>46156.822222222225</v>
      </c>
      <c r="F778" s="52"/>
      <c r="G778" s="52"/>
      <c r="H778" s="52"/>
      <c r="I778" s="52"/>
      <c r="J778" s="52" t="s">
        <v>3694</v>
      </c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 t="s">
        <v>3696</v>
      </c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>
        <v>0</v>
      </c>
      <c r="AT778" s="52"/>
      <c r="AU778" s="52"/>
      <c r="AV778" s="52"/>
      <c r="AW778" s="52"/>
    </row>
    <row r="779" spans="1:49">
      <c r="A779" s="52">
        <v>6022219</v>
      </c>
      <c r="B779" s="52" t="s">
        <v>3716</v>
      </c>
      <c r="C779" s="52" t="s">
        <v>3692</v>
      </c>
      <c r="D779" s="53">
        <v>46157.25</v>
      </c>
      <c r="E779" s="53">
        <v>46156.816666666666</v>
      </c>
      <c r="F779" s="53">
        <v>46157.556250000001</v>
      </c>
      <c r="G779" s="53">
        <v>46160.958333333336</v>
      </c>
      <c r="H779" s="52"/>
      <c r="I779" s="52" t="s">
        <v>3693</v>
      </c>
      <c r="J779" s="52" t="s">
        <v>3693</v>
      </c>
      <c r="K779" s="53">
        <v>46158.911111111112</v>
      </c>
      <c r="L779" s="52"/>
      <c r="M779" s="54">
        <v>3.7083333333333335</v>
      </c>
      <c r="N779" s="54">
        <v>1.20625</v>
      </c>
      <c r="O779" s="52"/>
      <c r="P779" s="52"/>
      <c r="Q779" s="52"/>
      <c r="R779" s="52"/>
      <c r="S779" s="52"/>
      <c r="T779" s="52" t="s">
        <v>4096</v>
      </c>
      <c r="U779" s="52" t="s">
        <v>4097</v>
      </c>
      <c r="V779" s="52"/>
      <c r="W779" s="52"/>
      <c r="X779" s="52"/>
      <c r="Y779" s="52"/>
      <c r="Z779" s="52" t="s">
        <v>3696</v>
      </c>
      <c r="AA779" s="52" t="s">
        <v>260</v>
      </c>
      <c r="AB779" s="52" t="s">
        <v>79</v>
      </c>
      <c r="AC779" s="52" t="s">
        <v>3720</v>
      </c>
      <c r="AD779" s="52" t="s">
        <v>3715</v>
      </c>
      <c r="AE779" s="52"/>
      <c r="AF779" s="52" t="s">
        <v>4098</v>
      </c>
      <c r="AG779" s="52" t="s">
        <v>3726</v>
      </c>
      <c r="AH779" s="52"/>
      <c r="AI779" s="52"/>
      <c r="AJ779" s="52"/>
      <c r="AK779" s="52"/>
      <c r="AL779" s="55">
        <v>4.5138888888888888E-2</v>
      </c>
      <c r="AM779" s="52"/>
      <c r="AN779" s="52"/>
      <c r="AO779" s="52"/>
      <c r="AP779" s="52"/>
      <c r="AQ779" s="52"/>
      <c r="AR779" s="52"/>
      <c r="AS779" s="52">
        <v>0</v>
      </c>
      <c r="AT779" s="52"/>
      <c r="AU779" s="52"/>
      <c r="AV779" s="52" t="s">
        <v>474</v>
      </c>
      <c r="AW779" s="52"/>
    </row>
    <row r="780" spans="1:49">
      <c r="A780" s="52">
        <v>6022219</v>
      </c>
      <c r="B780" s="52" t="s">
        <v>3716</v>
      </c>
      <c r="C780" s="52" t="s">
        <v>3698</v>
      </c>
      <c r="D780" s="53">
        <v>46157.25</v>
      </c>
      <c r="E780" s="53">
        <v>46156.816666666666</v>
      </c>
      <c r="F780" s="53">
        <v>46157.568749999999</v>
      </c>
      <c r="G780" s="53">
        <v>46160.958333333336</v>
      </c>
      <c r="H780" s="52"/>
      <c r="I780" s="52"/>
      <c r="J780" s="52" t="s">
        <v>3693</v>
      </c>
      <c r="K780" s="53">
        <v>46158.206944444442</v>
      </c>
      <c r="L780" s="52"/>
      <c r="M780" s="54">
        <v>3.3895833333333334</v>
      </c>
      <c r="N780" s="55">
        <v>0.88749999999999996</v>
      </c>
      <c r="O780" s="52" t="s">
        <v>4099</v>
      </c>
      <c r="P780" s="52" t="s">
        <v>260</v>
      </c>
      <c r="Q780" s="52" t="s">
        <v>471</v>
      </c>
      <c r="R780" s="52" t="s">
        <v>477</v>
      </c>
      <c r="S780" s="52" t="s">
        <v>3756</v>
      </c>
      <c r="T780" s="52" t="s">
        <v>4096</v>
      </c>
      <c r="U780" s="52" t="s">
        <v>4097</v>
      </c>
      <c r="V780" s="52" t="s">
        <v>4100</v>
      </c>
      <c r="W780" s="52">
        <v>4897144043</v>
      </c>
      <c r="X780" s="52" t="s">
        <v>73</v>
      </c>
      <c r="Y780" s="52"/>
      <c r="Z780" s="52" t="s">
        <v>3696</v>
      </c>
      <c r="AA780" s="52" t="s">
        <v>3710</v>
      </c>
      <c r="AB780" s="52"/>
      <c r="AC780" s="52" t="s">
        <v>3720</v>
      </c>
      <c r="AD780" s="52" t="s">
        <v>3715</v>
      </c>
      <c r="AE780" s="52" t="s">
        <v>79</v>
      </c>
      <c r="AF780" s="52" t="s">
        <v>4098</v>
      </c>
      <c r="AG780" s="52" t="s">
        <v>3726</v>
      </c>
      <c r="AH780" s="52"/>
      <c r="AI780" s="53">
        <v>46157.675694444442</v>
      </c>
      <c r="AJ780" s="53">
        <v>46157.720833333333</v>
      </c>
      <c r="AK780" s="53">
        <v>46157.675694444442</v>
      </c>
      <c r="AL780" s="55">
        <v>4.5138888888888888E-2</v>
      </c>
      <c r="AM780" s="52"/>
      <c r="AN780" s="55">
        <v>4.5138888888888888E-2</v>
      </c>
      <c r="AO780" s="52"/>
      <c r="AP780" s="55">
        <v>4.5138888888888888E-2</v>
      </c>
      <c r="AQ780" s="52"/>
      <c r="AR780" s="52"/>
      <c r="AS780" s="52" t="s">
        <v>3696</v>
      </c>
      <c r="AT780" s="52"/>
      <c r="AU780" s="52"/>
      <c r="AV780" s="52"/>
      <c r="AW780" s="52"/>
    </row>
    <row r="781" spans="1:49">
      <c r="A781" s="52">
        <v>6022219</v>
      </c>
      <c r="B781" s="52" t="s">
        <v>3716</v>
      </c>
      <c r="C781" s="52" t="s">
        <v>3698</v>
      </c>
      <c r="D781" s="53">
        <v>46157.25</v>
      </c>
      <c r="E781" s="53">
        <v>46156.816666666666</v>
      </c>
      <c r="F781" s="53">
        <v>46157.568749999999</v>
      </c>
      <c r="G781" s="53">
        <v>46160.958333333336</v>
      </c>
      <c r="H781" s="52"/>
      <c r="I781" s="52"/>
      <c r="J781" s="52" t="s">
        <v>3693</v>
      </c>
      <c r="K781" s="53">
        <v>46158.206944444442</v>
      </c>
      <c r="L781" s="52"/>
      <c r="M781" s="54">
        <v>3.3895833333333334</v>
      </c>
      <c r="N781" s="55">
        <v>0.88749999999999996</v>
      </c>
      <c r="O781" s="52" t="s">
        <v>4099</v>
      </c>
      <c r="P781" s="52" t="s">
        <v>260</v>
      </c>
      <c r="Q781" s="52" t="s">
        <v>471</v>
      </c>
      <c r="R781" s="52" t="s">
        <v>477</v>
      </c>
      <c r="S781" s="52" t="s">
        <v>3756</v>
      </c>
      <c r="T781" s="52" t="s">
        <v>4096</v>
      </c>
      <c r="U781" s="52" t="s">
        <v>4097</v>
      </c>
      <c r="V781" s="52" t="s">
        <v>4100</v>
      </c>
      <c r="W781" s="52">
        <v>4897144043</v>
      </c>
      <c r="X781" s="52" t="s">
        <v>73</v>
      </c>
      <c r="Y781" s="52"/>
      <c r="Z781" s="52" t="s">
        <v>3696</v>
      </c>
      <c r="AA781" s="52" t="s">
        <v>3710</v>
      </c>
      <c r="AB781" s="52"/>
      <c r="AC781" s="52" t="s">
        <v>3720</v>
      </c>
      <c r="AD781" s="52" t="s">
        <v>3715</v>
      </c>
      <c r="AE781" s="52"/>
      <c r="AF781" s="52" t="s">
        <v>4098</v>
      </c>
      <c r="AG781" s="52" t="s">
        <v>3726</v>
      </c>
      <c r="AH781" s="52"/>
      <c r="AI781" s="53">
        <v>46157.675694444442</v>
      </c>
      <c r="AJ781" s="53">
        <v>46157.720833333333</v>
      </c>
      <c r="AK781" s="53">
        <v>46157.675694444442</v>
      </c>
      <c r="AL781" s="55">
        <v>4.5138888888888888E-2</v>
      </c>
      <c r="AM781" s="52"/>
      <c r="AN781" s="55">
        <v>4.5138888888888888E-2</v>
      </c>
      <c r="AO781" s="52"/>
      <c r="AP781" s="55">
        <v>4.5138888888888888E-2</v>
      </c>
      <c r="AQ781" s="52"/>
      <c r="AR781" s="52"/>
      <c r="AS781" s="52" t="s">
        <v>3696</v>
      </c>
      <c r="AT781" s="52"/>
      <c r="AU781" s="52"/>
      <c r="AV781" s="52"/>
      <c r="AW781" s="52" t="s">
        <v>474</v>
      </c>
    </row>
    <row r="782" spans="1:49">
      <c r="A782" s="52">
        <v>6022219</v>
      </c>
      <c r="B782" s="52" t="s">
        <v>3716</v>
      </c>
      <c r="C782" s="52" t="s">
        <v>3698</v>
      </c>
      <c r="D782" s="53">
        <v>46157.25</v>
      </c>
      <c r="E782" s="53">
        <v>46156.816666666666</v>
      </c>
      <c r="F782" s="53">
        <v>46157.722222222219</v>
      </c>
      <c r="G782" s="53">
        <v>46160.958333333336</v>
      </c>
      <c r="H782" s="52"/>
      <c r="I782" s="52"/>
      <c r="J782" s="52" t="s">
        <v>3693</v>
      </c>
      <c r="K782" s="53">
        <v>46158.206944444442</v>
      </c>
      <c r="L782" s="52"/>
      <c r="M782" s="54">
        <v>3.2361111111111112</v>
      </c>
      <c r="N782" s="55">
        <v>0.73402777777777772</v>
      </c>
      <c r="O782" s="52" t="s">
        <v>472</v>
      </c>
      <c r="P782" s="52" t="s">
        <v>260</v>
      </c>
      <c r="Q782" s="52" t="s">
        <v>471</v>
      </c>
      <c r="R782" s="52" t="s">
        <v>477</v>
      </c>
      <c r="S782" s="52" t="s">
        <v>69</v>
      </c>
      <c r="T782" s="52" t="s">
        <v>4096</v>
      </c>
      <c r="U782" s="52" t="s">
        <v>3695</v>
      </c>
      <c r="V782" s="52" t="s">
        <v>4100</v>
      </c>
      <c r="W782" s="52">
        <v>4897144043</v>
      </c>
      <c r="X782" s="52" t="s">
        <v>73</v>
      </c>
      <c r="Y782" s="52"/>
      <c r="Z782" s="52" t="s">
        <v>3696</v>
      </c>
      <c r="AA782" s="52" t="s">
        <v>3710</v>
      </c>
      <c r="AB782" s="52"/>
      <c r="AC782" s="52" t="s">
        <v>3720</v>
      </c>
      <c r="AD782" s="52" t="s">
        <v>3715</v>
      </c>
      <c r="AE782" s="52" t="s">
        <v>79</v>
      </c>
      <c r="AF782" s="52" t="s">
        <v>4098</v>
      </c>
      <c r="AG782" s="52" t="s">
        <v>3726</v>
      </c>
      <c r="AH782" s="52"/>
      <c r="AI782" s="53">
        <v>46157.675694444442</v>
      </c>
      <c r="AJ782" s="53">
        <v>46157.720833333333</v>
      </c>
      <c r="AK782" s="53">
        <v>46157.675694444442</v>
      </c>
      <c r="AL782" s="52"/>
      <c r="AM782" s="52"/>
      <c r="AN782" s="55">
        <v>4.5138888888888888E-2</v>
      </c>
      <c r="AO782" s="52"/>
      <c r="AP782" s="52"/>
      <c r="AQ782" s="52"/>
      <c r="AR782" s="52"/>
      <c r="AS782" s="52" t="s">
        <v>3696</v>
      </c>
      <c r="AT782" s="52"/>
      <c r="AU782" s="52"/>
      <c r="AV782" s="52"/>
      <c r="AW782" s="52"/>
    </row>
    <row r="783" spans="1:49">
      <c r="A783" s="52">
        <v>6022219</v>
      </c>
      <c r="B783" s="52" t="s">
        <v>3716</v>
      </c>
      <c r="C783" s="52" t="s">
        <v>3698</v>
      </c>
      <c r="D783" s="53">
        <v>46157.25</v>
      </c>
      <c r="E783" s="53">
        <v>46156.816666666666</v>
      </c>
      <c r="F783" s="53">
        <v>46157.722222222219</v>
      </c>
      <c r="G783" s="53">
        <v>46160.958333333336</v>
      </c>
      <c r="H783" s="52"/>
      <c r="I783" s="52"/>
      <c r="J783" s="52" t="s">
        <v>3693</v>
      </c>
      <c r="K783" s="53">
        <v>46158.206944444442</v>
      </c>
      <c r="L783" s="52"/>
      <c r="M783" s="54">
        <v>3.2361111111111112</v>
      </c>
      <c r="N783" s="55">
        <v>0.73402777777777772</v>
      </c>
      <c r="O783" s="52" t="s">
        <v>472</v>
      </c>
      <c r="P783" s="52" t="s">
        <v>260</v>
      </c>
      <c r="Q783" s="52" t="s">
        <v>471</v>
      </c>
      <c r="R783" s="52" t="s">
        <v>477</v>
      </c>
      <c r="S783" s="52" t="s">
        <v>69</v>
      </c>
      <c r="T783" s="52" t="s">
        <v>4096</v>
      </c>
      <c r="U783" s="52" t="s">
        <v>3695</v>
      </c>
      <c r="V783" s="52" t="s">
        <v>4100</v>
      </c>
      <c r="W783" s="52">
        <v>4897144043</v>
      </c>
      <c r="X783" s="52" t="s">
        <v>73</v>
      </c>
      <c r="Y783" s="52"/>
      <c r="Z783" s="52" t="s">
        <v>3696</v>
      </c>
      <c r="AA783" s="52" t="s">
        <v>3710</v>
      </c>
      <c r="AB783" s="52"/>
      <c r="AC783" s="52" t="s">
        <v>3720</v>
      </c>
      <c r="AD783" s="52" t="s">
        <v>3715</v>
      </c>
      <c r="AE783" s="52"/>
      <c r="AF783" s="52" t="s">
        <v>4098</v>
      </c>
      <c r="AG783" s="52" t="s">
        <v>3726</v>
      </c>
      <c r="AH783" s="52"/>
      <c r="AI783" s="53">
        <v>46157.675694444442</v>
      </c>
      <c r="AJ783" s="53">
        <v>46157.720833333333</v>
      </c>
      <c r="AK783" s="53">
        <v>46157.675694444442</v>
      </c>
      <c r="AL783" s="52"/>
      <c r="AM783" s="52"/>
      <c r="AN783" s="55">
        <v>4.5138888888888888E-2</v>
      </c>
      <c r="AO783" s="52"/>
      <c r="AP783" s="52"/>
      <c r="AQ783" s="52"/>
      <c r="AR783" s="52"/>
      <c r="AS783" s="52" t="s">
        <v>3696</v>
      </c>
      <c r="AT783" s="52"/>
      <c r="AU783" s="52"/>
      <c r="AV783" s="52"/>
      <c r="AW783" s="52" t="s">
        <v>474</v>
      </c>
    </row>
    <row r="784" spans="1:49">
      <c r="A784" s="52">
        <v>6022220</v>
      </c>
      <c r="B784" s="52" t="s">
        <v>3691</v>
      </c>
      <c r="C784" s="52" t="s">
        <v>3692</v>
      </c>
      <c r="D784" s="53">
        <v>46160.375</v>
      </c>
      <c r="E784" s="53">
        <v>46157.709027777775</v>
      </c>
      <c r="F784" s="52"/>
      <c r="G784" s="52"/>
      <c r="H784" s="52"/>
      <c r="I784" s="52" t="s">
        <v>3693</v>
      </c>
      <c r="J784" s="52" t="s">
        <v>3694</v>
      </c>
      <c r="K784" s="52"/>
      <c r="L784" s="52"/>
      <c r="M784" s="55">
        <v>0.20833333333333334</v>
      </c>
      <c r="N784" s="54">
        <v>8.5854166666666671</v>
      </c>
      <c r="O784" s="52"/>
      <c r="P784" s="52"/>
      <c r="Q784" s="52"/>
      <c r="R784" s="52"/>
      <c r="S784" s="52"/>
      <c r="T784" s="52" t="s">
        <v>3695</v>
      </c>
      <c r="U784" s="52" t="s">
        <v>3695</v>
      </c>
      <c r="V784" s="52"/>
      <c r="W784" s="52"/>
      <c r="X784" s="52"/>
      <c r="Y784" s="52"/>
      <c r="Z784" s="52" t="s">
        <v>3696</v>
      </c>
      <c r="AA784" s="52" t="s">
        <v>1246</v>
      </c>
      <c r="AB784" s="52" t="s">
        <v>79</v>
      </c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>
        <v>0</v>
      </c>
      <c r="AT784" s="52"/>
      <c r="AU784" s="52"/>
      <c r="AV784" s="52" t="s">
        <v>1250</v>
      </c>
      <c r="AW784" s="52"/>
    </row>
    <row r="785" spans="1:49">
      <c r="A785" s="52">
        <v>6022220</v>
      </c>
      <c r="B785" s="52" t="s">
        <v>3691</v>
      </c>
      <c r="C785" s="52" t="s">
        <v>3698</v>
      </c>
      <c r="D785" s="53">
        <v>46160.375</v>
      </c>
      <c r="E785" s="53">
        <v>46157.709027777775</v>
      </c>
      <c r="F785" s="52"/>
      <c r="G785" s="52"/>
      <c r="H785" s="52"/>
      <c r="I785" s="52"/>
      <c r="J785" s="52" t="s">
        <v>3694</v>
      </c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 t="s">
        <v>3696</v>
      </c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>
        <v>0</v>
      </c>
      <c r="AT785" s="52"/>
      <c r="AU785" s="52"/>
      <c r="AV785" s="52"/>
      <c r="AW785" s="52"/>
    </row>
    <row r="786" spans="1:49">
      <c r="A786" s="52">
        <v>6022221</v>
      </c>
      <c r="B786" s="52" t="s">
        <v>3716</v>
      </c>
      <c r="C786" s="52" t="s">
        <v>3717</v>
      </c>
      <c r="D786" s="53">
        <v>46157.25</v>
      </c>
      <c r="E786" s="53">
        <v>46156.819444444445</v>
      </c>
      <c r="F786" s="53">
        <v>46157.479166666664</v>
      </c>
      <c r="G786" s="53">
        <v>46162.958333333336</v>
      </c>
      <c r="H786" s="52"/>
      <c r="I786" s="52" t="s">
        <v>3693</v>
      </c>
      <c r="J786" s="52" t="s">
        <v>3693</v>
      </c>
      <c r="K786" s="52"/>
      <c r="L786" s="52"/>
      <c r="M786" s="54">
        <v>5.708333333333333</v>
      </c>
      <c r="N786" s="54">
        <v>1.20625</v>
      </c>
      <c r="O786" s="52"/>
      <c r="P786" s="52"/>
      <c r="Q786" s="52"/>
      <c r="R786" s="52"/>
      <c r="S786" s="52"/>
      <c r="T786" s="52" t="s">
        <v>4101</v>
      </c>
      <c r="U786" s="52" t="s">
        <v>4102</v>
      </c>
      <c r="V786" s="52"/>
      <c r="W786" s="52"/>
      <c r="X786" s="52"/>
      <c r="Y786" s="52"/>
      <c r="Z786" s="52" t="s">
        <v>3696</v>
      </c>
      <c r="AA786" s="52" t="s">
        <v>114</v>
      </c>
      <c r="AB786" s="52" t="s">
        <v>79</v>
      </c>
      <c r="AC786" s="52" t="s">
        <v>3720</v>
      </c>
      <c r="AD786" s="52" t="s">
        <v>3715</v>
      </c>
      <c r="AE786" s="52"/>
      <c r="AF786" s="52" t="s">
        <v>4001</v>
      </c>
      <c r="AG786" s="52" t="s">
        <v>4002</v>
      </c>
      <c r="AH786" s="52"/>
      <c r="AI786" s="52"/>
      <c r="AJ786" s="52"/>
      <c r="AK786" s="52"/>
      <c r="AL786" s="55">
        <v>0.19444444444444445</v>
      </c>
      <c r="AM786" s="52"/>
      <c r="AN786" s="52"/>
      <c r="AO786" s="52"/>
      <c r="AP786" s="52"/>
      <c r="AQ786" s="52"/>
      <c r="AR786" s="52"/>
      <c r="AS786" s="52">
        <v>0</v>
      </c>
      <c r="AT786" s="52"/>
      <c r="AU786" s="52"/>
      <c r="AV786" s="52" t="s">
        <v>318</v>
      </c>
      <c r="AW786" s="52"/>
    </row>
    <row r="787" spans="1:49">
      <c r="A787" s="52">
        <v>6022221</v>
      </c>
      <c r="B787" s="52" t="s">
        <v>3716</v>
      </c>
      <c r="C787" s="52" t="s">
        <v>3698</v>
      </c>
      <c r="D787" s="53">
        <v>46157.25</v>
      </c>
      <c r="E787" s="53">
        <v>46156.819444444445</v>
      </c>
      <c r="F787" s="53">
        <v>46157.510416666664</v>
      </c>
      <c r="G787" s="53">
        <v>46158.962500000001</v>
      </c>
      <c r="H787" s="52"/>
      <c r="I787" s="52"/>
      <c r="J787" s="52" t="s">
        <v>3693</v>
      </c>
      <c r="K787" s="53">
        <v>46159.685416666667</v>
      </c>
      <c r="L787" s="52"/>
      <c r="M787" s="54">
        <v>1.4520833333333334</v>
      </c>
      <c r="N787" s="55">
        <v>0.9458333333333333</v>
      </c>
      <c r="O787" s="52" t="s">
        <v>314</v>
      </c>
      <c r="P787" s="52" t="s">
        <v>114</v>
      </c>
      <c r="Q787" s="52" t="s">
        <v>313</v>
      </c>
      <c r="R787" s="52" t="s">
        <v>321</v>
      </c>
      <c r="S787" s="52" t="s">
        <v>69</v>
      </c>
      <c r="T787" s="52" t="s">
        <v>4101</v>
      </c>
      <c r="U787" s="52" t="s">
        <v>4102</v>
      </c>
      <c r="V787" s="52" t="s">
        <v>4103</v>
      </c>
      <c r="W787" s="52">
        <v>92061214991</v>
      </c>
      <c r="X787" s="52" t="s">
        <v>73</v>
      </c>
      <c r="Y787" s="52"/>
      <c r="Z787" s="52" t="s">
        <v>3696</v>
      </c>
      <c r="AA787" s="52" t="s">
        <v>3710</v>
      </c>
      <c r="AB787" s="52"/>
      <c r="AC787" s="52" t="s">
        <v>3720</v>
      </c>
      <c r="AD787" s="52" t="s">
        <v>3715</v>
      </c>
      <c r="AE787" s="52" t="s">
        <v>79</v>
      </c>
      <c r="AF787" s="52" t="s">
        <v>4001</v>
      </c>
      <c r="AG787" s="52" t="s">
        <v>4002</v>
      </c>
      <c r="AH787" s="52"/>
      <c r="AI787" s="53">
        <v>46157.511805555558</v>
      </c>
      <c r="AJ787" s="53">
        <v>46157.706250000003</v>
      </c>
      <c r="AK787" s="53">
        <v>46157.511805555558</v>
      </c>
      <c r="AL787" s="55">
        <v>0.19444444444444445</v>
      </c>
      <c r="AM787" s="52"/>
      <c r="AN787" s="55">
        <v>0.19444444444444445</v>
      </c>
      <c r="AO787" s="52"/>
      <c r="AP787" s="55">
        <v>0.19444444444444445</v>
      </c>
      <c r="AQ787" s="52"/>
      <c r="AR787" s="52"/>
      <c r="AS787" s="52" t="s">
        <v>3696</v>
      </c>
      <c r="AT787" s="52"/>
      <c r="AU787" s="52"/>
      <c r="AV787" s="52"/>
      <c r="AW787" s="52"/>
    </row>
    <row r="788" spans="1:49">
      <c r="A788" s="52">
        <v>6022221</v>
      </c>
      <c r="B788" s="52" t="s">
        <v>3716</v>
      </c>
      <c r="C788" s="52" t="s">
        <v>3698</v>
      </c>
      <c r="D788" s="53">
        <v>46157.25</v>
      </c>
      <c r="E788" s="53">
        <v>46156.819444444445</v>
      </c>
      <c r="F788" s="53">
        <v>46157.510416666664</v>
      </c>
      <c r="G788" s="53">
        <v>46158.962500000001</v>
      </c>
      <c r="H788" s="52"/>
      <c r="I788" s="52"/>
      <c r="J788" s="52" t="s">
        <v>3693</v>
      </c>
      <c r="K788" s="53">
        <v>46159.685416666667</v>
      </c>
      <c r="L788" s="52"/>
      <c r="M788" s="54">
        <v>1.4520833333333334</v>
      </c>
      <c r="N788" s="55">
        <v>0.9458333333333333</v>
      </c>
      <c r="O788" s="52" t="s">
        <v>314</v>
      </c>
      <c r="P788" s="52" t="s">
        <v>114</v>
      </c>
      <c r="Q788" s="52" t="s">
        <v>313</v>
      </c>
      <c r="R788" s="52" t="s">
        <v>321</v>
      </c>
      <c r="S788" s="52" t="s">
        <v>69</v>
      </c>
      <c r="T788" s="52" t="s">
        <v>4101</v>
      </c>
      <c r="U788" s="52" t="s">
        <v>4102</v>
      </c>
      <c r="V788" s="52" t="s">
        <v>4103</v>
      </c>
      <c r="W788" s="52">
        <v>92061214991</v>
      </c>
      <c r="X788" s="52" t="s">
        <v>73</v>
      </c>
      <c r="Y788" s="52"/>
      <c r="Z788" s="52" t="s">
        <v>3696</v>
      </c>
      <c r="AA788" s="52" t="s">
        <v>3710</v>
      </c>
      <c r="AB788" s="52"/>
      <c r="AC788" s="52" t="s">
        <v>3720</v>
      </c>
      <c r="AD788" s="52" t="s">
        <v>3715</v>
      </c>
      <c r="AE788" s="52"/>
      <c r="AF788" s="52" t="s">
        <v>4001</v>
      </c>
      <c r="AG788" s="52" t="s">
        <v>4002</v>
      </c>
      <c r="AH788" s="52"/>
      <c r="AI788" s="53">
        <v>46157.511805555558</v>
      </c>
      <c r="AJ788" s="53">
        <v>46157.706250000003</v>
      </c>
      <c r="AK788" s="53">
        <v>46157.511805555558</v>
      </c>
      <c r="AL788" s="55">
        <v>0.19444444444444445</v>
      </c>
      <c r="AM788" s="52"/>
      <c r="AN788" s="55">
        <v>0.19444444444444445</v>
      </c>
      <c r="AO788" s="52"/>
      <c r="AP788" s="55">
        <v>0.19444444444444445</v>
      </c>
      <c r="AQ788" s="52"/>
      <c r="AR788" s="52"/>
      <c r="AS788" s="52" t="s">
        <v>3696</v>
      </c>
      <c r="AT788" s="52"/>
      <c r="AU788" s="52"/>
      <c r="AV788" s="52"/>
      <c r="AW788" s="52" t="s">
        <v>318</v>
      </c>
    </row>
    <row r="789" spans="1:49">
      <c r="A789" s="52">
        <v>6022221</v>
      </c>
      <c r="B789" s="52" t="s">
        <v>3716</v>
      </c>
      <c r="C789" s="52" t="s">
        <v>3698</v>
      </c>
      <c r="D789" s="53">
        <v>46157.25</v>
      </c>
      <c r="E789" s="53">
        <v>46156.819444444445</v>
      </c>
      <c r="F789" s="52"/>
      <c r="G789" s="53">
        <v>46158.962500000001</v>
      </c>
      <c r="H789" s="52"/>
      <c r="I789" s="52"/>
      <c r="J789" s="52" t="s">
        <v>3693</v>
      </c>
      <c r="K789" s="53">
        <v>46159.685416666667</v>
      </c>
      <c r="L789" s="52"/>
      <c r="M789" s="52"/>
      <c r="N789" s="52"/>
      <c r="O789" s="52" t="s">
        <v>4104</v>
      </c>
      <c r="P789" s="52" t="s">
        <v>114</v>
      </c>
      <c r="Q789" s="52" t="s">
        <v>313</v>
      </c>
      <c r="R789" s="52" t="s">
        <v>321</v>
      </c>
      <c r="S789" s="52" t="s">
        <v>3756</v>
      </c>
      <c r="T789" s="52" t="s">
        <v>3695</v>
      </c>
      <c r="U789" s="52" t="s">
        <v>3695</v>
      </c>
      <c r="V789" s="52" t="s">
        <v>4103</v>
      </c>
      <c r="W789" s="52">
        <v>92061214991</v>
      </c>
      <c r="X789" s="52" t="s">
        <v>73</v>
      </c>
      <c r="Y789" s="52"/>
      <c r="Z789" s="52" t="s">
        <v>3696</v>
      </c>
      <c r="AA789" s="52" t="s">
        <v>3710</v>
      </c>
      <c r="AB789" s="52"/>
      <c r="AC789" s="52" t="s">
        <v>3720</v>
      </c>
      <c r="AD789" s="52" t="s">
        <v>3715</v>
      </c>
      <c r="AE789" s="52" t="s">
        <v>79</v>
      </c>
      <c r="AF789" s="52" t="s">
        <v>4001</v>
      </c>
      <c r="AG789" s="52" t="s">
        <v>4002</v>
      </c>
      <c r="AH789" s="52"/>
      <c r="AI789" s="53">
        <v>46157.511805555558</v>
      </c>
      <c r="AJ789" s="53">
        <v>46157.706250000003</v>
      </c>
      <c r="AK789" s="53">
        <v>46157.511805555558</v>
      </c>
      <c r="AL789" s="52"/>
      <c r="AM789" s="52"/>
      <c r="AN789" s="55">
        <v>0.19444444444444445</v>
      </c>
      <c r="AO789" s="52"/>
      <c r="AP789" s="52"/>
      <c r="AQ789" s="52"/>
      <c r="AR789" s="52"/>
      <c r="AS789" s="52" t="s">
        <v>3696</v>
      </c>
      <c r="AT789" s="52"/>
      <c r="AU789" s="52"/>
      <c r="AV789" s="52"/>
      <c r="AW789" s="52"/>
    </row>
    <row r="790" spans="1:49">
      <c r="A790" s="52">
        <v>6022221</v>
      </c>
      <c r="B790" s="52" t="s">
        <v>3716</v>
      </c>
      <c r="C790" s="52" t="s">
        <v>3698</v>
      </c>
      <c r="D790" s="53">
        <v>46157.25</v>
      </c>
      <c r="E790" s="53">
        <v>46156.819444444445</v>
      </c>
      <c r="F790" s="52"/>
      <c r="G790" s="53">
        <v>46158.962500000001</v>
      </c>
      <c r="H790" s="52"/>
      <c r="I790" s="52"/>
      <c r="J790" s="52" t="s">
        <v>3693</v>
      </c>
      <c r="K790" s="53">
        <v>46159.685416666667</v>
      </c>
      <c r="L790" s="52"/>
      <c r="M790" s="52"/>
      <c r="N790" s="52"/>
      <c r="O790" s="52" t="s">
        <v>4104</v>
      </c>
      <c r="P790" s="52" t="s">
        <v>114</v>
      </c>
      <c r="Q790" s="52" t="s">
        <v>313</v>
      </c>
      <c r="R790" s="52" t="s">
        <v>321</v>
      </c>
      <c r="S790" s="52" t="s">
        <v>3756</v>
      </c>
      <c r="T790" s="52" t="s">
        <v>3695</v>
      </c>
      <c r="U790" s="52" t="s">
        <v>3695</v>
      </c>
      <c r="V790" s="52" t="s">
        <v>4103</v>
      </c>
      <c r="W790" s="52">
        <v>92061214991</v>
      </c>
      <c r="X790" s="52" t="s">
        <v>73</v>
      </c>
      <c r="Y790" s="52"/>
      <c r="Z790" s="52" t="s">
        <v>3696</v>
      </c>
      <c r="AA790" s="52" t="s">
        <v>3710</v>
      </c>
      <c r="AB790" s="52"/>
      <c r="AC790" s="52" t="s">
        <v>3720</v>
      </c>
      <c r="AD790" s="52" t="s">
        <v>3715</v>
      </c>
      <c r="AE790" s="52"/>
      <c r="AF790" s="52" t="s">
        <v>4001</v>
      </c>
      <c r="AG790" s="52" t="s">
        <v>4002</v>
      </c>
      <c r="AH790" s="52"/>
      <c r="AI790" s="53">
        <v>46157.511805555558</v>
      </c>
      <c r="AJ790" s="53">
        <v>46157.706250000003</v>
      </c>
      <c r="AK790" s="53">
        <v>46157.511805555558</v>
      </c>
      <c r="AL790" s="52"/>
      <c r="AM790" s="52"/>
      <c r="AN790" s="55">
        <v>0.19444444444444445</v>
      </c>
      <c r="AO790" s="52"/>
      <c r="AP790" s="52"/>
      <c r="AQ790" s="52"/>
      <c r="AR790" s="52"/>
      <c r="AS790" s="52" t="s">
        <v>3696</v>
      </c>
      <c r="AT790" s="52"/>
      <c r="AU790" s="52"/>
      <c r="AV790" s="52"/>
      <c r="AW790" s="52" t="s">
        <v>318</v>
      </c>
    </row>
    <row r="791" spans="1:49">
      <c r="A791" s="52">
        <v>6022222</v>
      </c>
      <c r="B791" s="52" t="s">
        <v>3716</v>
      </c>
      <c r="C791" s="52" t="s">
        <v>3717</v>
      </c>
      <c r="D791" s="53">
        <v>46157.25</v>
      </c>
      <c r="E791" s="53">
        <v>46156.818749999999</v>
      </c>
      <c r="F791" s="53">
        <v>46157.890972222223</v>
      </c>
      <c r="G791" s="53">
        <v>46158.725694444445</v>
      </c>
      <c r="H791" s="52"/>
      <c r="I791" s="52" t="s">
        <v>3693</v>
      </c>
      <c r="J791" s="52" t="s">
        <v>3694</v>
      </c>
      <c r="K791" s="53">
        <v>46159.15</v>
      </c>
      <c r="L791" s="52"/>
      <c r="M791" s="54">
        <v>4.708333333333333</v>
      </c>
      <c r="N791" s="54">
        <v>1.20625</v>
      </c>
      <c r="O791" s="52"/>
      <c r="P791" s="52"/>
      <c r="Q791" s="52"/>
      <c r="R791" s="52"/>
      <c r="S791" s="52"/>
      <c r="T791" s="52" t="s">
        <v>4105</v>
      </c>
      <c r="U791" s="52" t="s">
        <v>4106</v>
      </c>
      <c r="V791" s="52"/>
      <c r="W791" s="52"/>
      <c r="X791" s="52"/>
      <c r="Y791" s="52"/>
      <c r="Z791" s="52" t="s">
        <v>3696</v>
      </c>
      <c r="AA791" s="52" t="s">
        <v>114</v>
      </c>
      <c r="AB791" s="52" t="s">
        <v>79</v>
      </c>
      <c r="AC791" s="52" t="s">
        <v>3720</v>
      </c>
      <c r="AD791" s="52" t="s">
        <v>3715</v>
      </c>
      <c r="AE791" s="52"/>
      <c r="AF791" s="52" t="s">
        <v>4032</v>
      </c>
      <c r="AG791" s="52" t="s">
        <v>3722</v>
      </c>
      <c r="AH791" s="52"/>
      <c r="AI791" s="52"/>
      <c r="AJ791" s="52"/>
      <c r="AK791" s="52"/>
      <c r="AL791" s="55">
        <v>6.1111111111111109E-2</v>
      </c>
      <c r="AM791" s="52"/>
      <c r="AN791" s="52"/>
      <c r="AO791" s="52"/>
      <c r="AP791" s="52"/>
      <c r="AQ791" s="52"/>
      <c r="AR791" s="52"/>
      <c r="AS791" s="52">
        <v>0</v>
      </c>
      <c r="AT791" s="52"/>
      <c r="AU791" s="52"/>
      <c r="AV791" s="52" t="s">
        <v>567</v>
      </c>
      <c r="AW791" s="52"/>
    </row>
    <row r="792" spans="1:49">
      <c r="A792" s="52">
        <v>6022222</v>
      </c>
      <c r="B792" s="52" t="s">
        <v>3716</v>
      </c>
      <c r="C792" s="52" t="s">
        <v>3698</v>
      </c>
      <c r="D792" s="53">
        <v>46157.25</v>
      </c>
      <c r="E792" s="53">
        <v>46156.818749999999</v>
      </c>
      <c r="F792" s="53">
        <v>46157.902777777781</v>
      </c>
      <c r="G792" s="53">
        <v>46158.725694444445</v>
      </c>
      <c r="H792" s="52"/>
      <c r="I792" s="52"/>
      <c r="J792" s="52" t="s">
        <v>3694</v>
      </c>
      <c r="K792" s="53">
        <v>46159.15</v>
      </c>
      <c r="L792" s="52"/>
      <c r="M792" s="55">
        <v>0.82291666666666663</v>
      </c>
      <c r="N792" s="55">
        <v>0.55347222222222225</v>
      </c>
      <c r="O792" s="52" t="s">
        <v>650</v>
      </c>
      <c r="P792" s="52" t="s">
        <v>114</v>
      </c>
      <c r="Q792" s="52" t="s">
        <v>649</v>
      </c>
      <c r="R792" s="52" t="s">
        <v>656</v>
      </c>
      <c r="S792" s="52" t="s">
        <v>69</v>
      </c>
      <c r="T792" s="52" t="s">
        <v>4105</v>
      </c>
      <c r="U792" s="52" t="s">
        <v>4106</v>
      </c>
      <c r="V792" s="52" t="s">
        <v>4107</v>
      </c>
      <c r="W792" s="52">
        <v>5009686910</v>
      </c>
      <c r="X792" s="52" t="s">
        <v>73</v>
      </c>
      <c r="Y792" s="52"/>
      <c r="Z792" s="52" t="s">
        <v>3696</v>
      </c>
      <c r="AA792" s="52" t="s">
        <v>3710</v>
      </c>
      <c r="AB792" s="52"/>
      <c r="AC792" s="52" t="s">
        <v>3720</v>
      </c>
      <c r="AD792" s="52" t="s">
        <v>3715</v>
      </c>
      <c r="AE792" s="52" t="s">
        <v>79</v>
      </c>
      <c r="AF792" s="52" t="s">
        <v>4032</v>
      </c>
      <c r="AG792" s="52" t="s">
        <v>3722</v>
      </c>
      <c r="AH792" s="52"/>
      <c r="AI792" s="53">
        <v>46157.902777777781</v>
      </c>
      <c r="AJ792" s="53">
        <v>46157.963888888888</v>
      </c>
      <c r="AK792" s="53">
        <v>46157.902777777781</v>
      </c>
      <c r="AL792" s="55">
        <v>6.1111111111111109E-2</v>
      </c>
      <c r="AM792" s="52"/>
      <c r="AN792" s="55">
        <v>6.1111111111111109E-2</v>
      </c>
      <c r="AO792" s="52"/>
      <c r="AP792" s="55">
        <v>6.1111111111111109E-2</v>
      </c>
      <c r="AQ792" s="52"/>
      <c r="AR792" s="52"/>
      <c r="AS792" s="52" t="s">
        <v>3696</v>
      </c>
      <c r="AT792" s="52"/>
      <c r="AU792" s="52"/>
      <c r="AV792" s="52"/>
      <c r="AW792" s="52"/>
    </row>
    <row r="793" spans="1:49">
      <c r="A793" s="52">
        <v>6022222</v>
      </c>
      <c r="B793" s="52" t="s">
        <v>3716</v>
      </c>
      <c r="C793" s="52" t="s">
        <v>3698</v>
      </c>
      <c r="D793" s="53">
        <v>46157.25</v>
      </c>
      <c r="E793" s="53">
        <v>46156.818749999999</v>
      </c>
      <c r="F793" s="53">
        <v>46157.902777777781</v>
      </c>
      <c r="G793" s="53">
        <v>46158.725694444445</v>
      </c>
      <c r="H793" s="52"/>
      <c r="I793" s="52"/>
      <c r="J793" s="52" t="s">
        <v>3694</v>
      </c>
      <c r="K793" s="53">
        <v>46159.15</v>
      </c>
      <c r="L793" s="52"/>
      <c r="M793" s="55">
        <v>0.82291666666666663</v>
      </c>
      <c r="N793" s="55">
        <v>0.55347222222222225</v>
      </c>
      <c r="O793" s="52" t="s">
        <v>650</v>
      </c>
      <c r="P793" s="52" t="s">
        <v>114</v>
      </c>
      <c r="Q793" s="52" t="s">
        <v>649</v>
      </c>
      <c r="R793" s="52" t="s">
        <v>656</v>
      </c>
      <c r="S793" s="52" t="s">
        <v>69</v>
      </c>
      <c r="T793" s="52" t="s">
        <v>4105</v>
      </c>
      <c r="U793" s="52" t="s">
        <v>4106</v>
      </c>
      <c r="V793" s="52" t="s">
        <v>4107</v>
      </c>
      <c r="W793" s="52">
        <v>5009686910</v>
      </c>
      <c r="X793" s="52" t="s">
        <v>73</v>
      </c>
      <c r="Y793" s="52"/>
      <c r="Z793" s="52" t="s">
        <v>3696</v>
      </c>
      <c r="AA793" s="52" t="s">
        <v>3710</v>
      </c>
      <c r="AB793" s="52"/>
      <c r="AC793" s="52" t="s">
        <v>3720</v>
      </c>
      <c r="AD793" s="52" t="s">
        <v>3715</v>
      </c>
      <c r="AE793" s="52"/>
      <c r="AF793" s="52" t="s">
        <v>4032</v>
      </c>
      <c r="AG793" s="52" t="s">
        <v>3722</v>
      </c>
      <c r="AH793" s="52"/>
      <c r="AI793" s="53">
        <v>46157.902777777781</v>
      </c>
      <c r="AJ793" s="53">
        <v>46157.963888888888</v>
      </c>
      <c r="AK793" s="53">
        <v>46157.902777777781</v>
      </c>
      <c r="AL793" s="55">
        <v>6.1111111111111109E-2</v>
      </c>
      <c r="AM793" s="52"/>
      <c r="AN793" s="55">
        <v>6.1111111111111109E-2</v>
      </c>
      <c r="AO793" s="52"/>
      <c r="AP793" s="55">
        <v>6.1111111111111109E-2</v>
      </c>
      <c r="AQ793" s="52"/>
      <c r="AR793" s="52"/>
      <c r="AS793" s="52" t="s">
        <v>3696</v>
      </c>
      <c r="AT793" s="52"/>
      <c r="AU793" s="52"/>
      <c r="AV793" s="52"/>
      <c r="AW793" s="52" t="s">
        <v>567</v>
      </c>
    </row>
    <row r="794" spans="1:49">
      <c r="A794" s="52">
        <v>6022223</v>
      </c>
      <c r="B794" s="52" t="s">
        <v>3716</v>
      </c>
      <c r="C794" s="52" t="s">
        <v>3692</v>
      </c>
      <c r="D794" s="53">
        <v>46157.25</v>
      </c>
      <c r="E794" s="53">
        <v>46156.818055555559</v>
      </c>
      <c r="F794" s="53">
        <v>46157.807638888888</v>
      </c>
      <c r="G794" s="53">
        <v>46161.958333333336</v>
      </c>
      <c r="H794" s="52"/>
      <c r="I794" s="52" t="s">
        <v>3693</v>
      </c>
      <c r="J794" s="52" t="s">
        <v>3694</v>
      </c>
      <c r="K794" s="53">
        <v>46159.298611111109</v>
      </c>
      <c r="L794" s="52"/>
      <c r="M794" s="54">
        <v>4.708333333333333</v>
      </c>
      <c r="N794" s="54">
        <v>1.20625</v>
      </c>
      <c r="O794" s="52"/>
      <c r="P794" s="52"/>
      <c r="Q794" s="52"/>
      <c r="R794" s="52"/>
      <c r="S794" s="52"/>
      <c r="T794" s="52" t="s">
        <v>4108</v>
      </c>
      <c r="U794" s="52" t="s">
        <v>4109</v>
      </c>
      <c r="V794" s="52"/>
      <c r="W794" s="52"/>
      <c r="X794" s="52"/>
      <c r="Y794" s="52"/>
      <c r="Z794" s="52" t="s">
        <v>3696</v>
      </c>
      <c r="AA794" s="52" t="s">
        <v>114</v>
      </c>
      <c r="AB794" s="52" t="s">
        <v>79</v>
      </c>
      <c r="AC794" s="52" t="s">
        <v>3720</v>
      </c>
      <c r="AD794" s="52" t="s">
        <v>3715</v>
      </c>
      <c r="AE794" s="52"/>
      <c r="AF794" s="52" t="s">
        <v>4032</v>
      </c>
      <c r="AG794" s="52" t="s">
        <v>3722</v>
      </c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>
        <v>0</v>
      </c>
      <c r="AT794" s="52"/>
      <c r="AU794" s="52"/>
      <c r="AV794" s="52" t="s">
        <v>567</v>
      </c>
      <c r="AW794" s="52"/>
    </row>
    <row r="795" spans="1:49">
      <c r="A795" s="52">
        <v>6022223</v>
      </c>
      <c r="B795" s="52" t="s">
        <v>3716</v>
      </c>
      <c r="C795" s="52" t="s">
        <v>3698</v>
      </c>
      <c r="D795" s="53">
        <v>46157.25</v>
      </c>
      <c r="E795" s="53">
        <v>46156.818055555559</v>
      </c>
      <c r="F795" s="53">
        <v>46157.888888888891</v>
      </c>
      <c r="G795" s="53">
        <v>46161.958333333336</v>
      </c>
      <c r="H795" s="52"/>
      <c r="I795" s="52"/>
      <c r="J795" s="52" t="s">
        <v>3694</v>
      </c>
      <c r="K795" s="53">
        <v>46159.298611111109</v>
      </c>
      <c r="L795" s="52"/>
      <c r="M795" s="54">
        <v>4.0694444444444446</v>
      </c>
      <c r="N795" s="55">
        <v>0.56736111111111109</v>
      </c>
      <c r="O795" s="52" t="s">
        <v>563</v>
      </c>
      <c r="P795" s="52" t="s">
        <v>114</v>
      </c>
      <c r="Q795" s="52" t="s">
        <v>562</v>
      </c>
      <c r="R795" s="52" t="s">
        <v>570</v>
      </c>
      <c r="S795" s="52" t="s">
        <v>69</v>
      </c>
      <c r="T795" s="52" t="s">
        <v>4108</v>
      </c>
      <c r="U795" s="52" t="s">
        <v>4109</v>
      </c>
      <c r="V795" s="52" t="s">
        <v>571</v>
      </c>
      <c r="W795" s="52">
        <v>99663546972</v>
      </c>
      <c r="X795" s="52" t="s">
        <v>73</v>
      </c>
      <c r="Y795" s="52"/>
      <c r="Z795" s="52" t="s">
        <v>3696</v>
      </c>
      <c r="AA795" s="52" t="s">
        <v>3710</v>
      </c>
      <c r="AB795" s="52"/>
      <c r="AC795" s="52" t="s">
        <v>3720</v>
      </c>
      <c r="AD795" s="52" t="s">
        <v>3715</v>
      </c>
      <c r="AE795" s="52" t="s">
        <v>79</v>
      </c>
      <c r="AF795" s="52" t="s">
        <v>4032</v>
      </c>
      <c r="AG795" s="52" t="s">
        <v>3722</v>
      </c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 t="s">
        <v>3696</v>
      </c>
      <c r="AT795" s="52"/>
      <c r="AU795" s="52"/>
      <c r="AV795" s="52"/>
      <c r="AW795" s="52"/>
    </row>
    <row r="796" spans="1:49">
      <c r="A796" s="52">
        <v>6022223</v>
      </c>
      <c r="B796" s="52" t="s">
        <v>3716</v>
      </c>
      <c r="C796" s="52" t="s">
        <v>3698</v>
      </c>
      <c r="D796" s="53">
        <v>46157.25</v>
      </c>
      <c r="E796" s="53">
        <v>46156.818055555559</v>
      </c>
      <c r="F796" s="53">
        <v>46157.888888888891</v>
      </c>
      <c r="G796" s="53">
        <v>46161.958333333336</v>
      </c>
      <c r="H796" s="52"/>
      <c r="I796" s="52"/>
      <c r="J796" s="52" t="s">
        <v>3694</v>
      </c>
      <c r="K796" s="53">
        <v>46159.298611111109</v>
      </c>
      <c r="L796" s="52"/>
      <c r="M796" s="54">
        <v>4.0694444444444446</v>
      </c>
      <c r="N796" s="55">
        <v>0.56736111111111109</v>
      </c>
      <c r="O796" s="52" t="s">
        <v>563</v>
      </c>
      <c r="P796" s="52" t="s">
        <v>114</v>
      </c>
      <c r="Q796" s="52" t="s">
        <v>562</v>
      </c>
      <c r="R796" s="52" t="s">
        <v>570</v>
      </c>
      <c r="S796" s="52" t="s">
        <v>69</v>
      </c>
      <c r="T796" s="52" t="s">
        <v>4108</v>
      </c>
      <c r="U796" s="52" t="s">
        <v>4109</v>
      </c>
      <c r="V796" s="52" t="s">
        <v>571</v>
      </c>
      <c r="W796" s="52">
        <v>99663546972</v>
      </c>
      <c r="X796" s="52" t="s">
        <v>73</v>
      </c>
      <c r="Y796" s="52"/>
      <c r="Z796" s="52" t="s">
        <v>3696</v>
      </c>
      <c r="AA796" s="52" t="s">
        <v>3710</v>
      </c>
      <c r="AB796" s="52"/>
      <c r="AC796" s="52" t="s">
        <v>3720</v>
      </c>
      <c r="AD796" s="52" t="s">
        <v>3715</v>
      </c>
      <c r="AE796" s="52"/>
      <c r="AF796" s="52" t="s">
        <v>4032</v>
      </c>
      <c r="AG796" s="52" t="s">
        <v>3722</v>
      </c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 t="s">
        <v>3696</v>
      </c>
      <c r="AT796" s="52"/>
      <c r="AU796" s="52"/>
      <c r="AV796" s="52"/>
      <c r="AW796" s="52" t="s">
        <v>567</v>
      </c>
    </row>
    <row r="797" spans="1:49">
      <c r="A797" s="52">
        <v>6022224</v>
      </c>
      <c r="B797" s="52" t="s">
        <v>3691</v>
      </c>
      <c r="C797" s="52" t="s">
        <v>3692</v>
      </c>
      <c r="D797" s="53">
        <v>46156.375</v>
      </c>
      <c r="E797" s="53">
        <v>46155.650694444441</v>
      </c>
      <c r="F797" s="52"/>
      <c r="G797" s="52"/>
      <c r="H797" s="52"/>
      <c r="I797" s="52" t="s">
        <v>3693</v>
      </c>
      <c r="J797" s="52" t="s">
        <v>3694</v>
      </c>
      <c r="K797" s="52"/>
      <c r="L797" s="52"/>
      <c r="M797" s="55">
        <v>6.25E-2</v>
      </c>
      <c r="N797" s="54">
        <v>5.8979166666666663</v>
      </c>
      <c r="O797" s="52"/>
      <c r="P797" s="52"/>
      <c r="Q797" s="52"/>
      <c r="R797" s="52"/>
      <c r="S797" s="52"/>
      <c r="T797" s="52" t="s">
        <v>3695</v>
      </c>
      <c r="U797" s="52" t="s">
        <v>3695</v>
      </c>
      <c r="V797" s="52"/>
      <c r="W797" s="52"/>
      <c r="X797" s="52"/>
      <c r="Y797" s="52"/>
      <c r="Z797" s="52" t="s">
        <v>3696</v>
      </c>
      <c r="AA797" s="52" t="s">
        <v>836</v>
      </c>
      <c r="AB797" s="52" t="s">
        <v>140</v>
      </c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>
        <v>0</v>
      </c>
      <c r="AT797" s="52"/>
      <c r="AU797" s="52"/>
      <c r="AV797" s="52" t="s">
        <v>840</v>
      </c>
      <c r="AW797" s="52"/>
    </row>
    <row r="798" spans="1:49">
      <c r="A798" s="52">
        <v>6022224</v>
      </c>
      <c r="B798" s="52" t="s">
        <v>3691</v>
      </c>
      <c r="C798" s="52" t="s">
        <v>3698</v>
      </c>
      <c r="D798" s="53">
        <v>46156.375</v>
      </c>
      <c r="E798" s="53">
        <v>46155.650694444441</v>
      </c>
      <c r="F798" s="52"/>
      <c r="G798" s="52"/>
      <c r="H798" s="52"/>
      <c r="I798" s="52"/>
      <c r="J798" s="52" t="s">
        <v>3694</v>
      </c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 t="s">
        <v>3696</v>
      </c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>
        <v>0</v>
      </c>
      <c r="AT798" s="52"/>
      <c r="AU798" s="52"/>
      <c r="AV798" s="52"/>
      <c r="AW798" s="52"/>
    </row>
    <row r="799" spans="1:49">
      <c r="A799" s="52">
        <v>6022227</v>
      </c>
      <c r="B799" s="52" t="s">
        <v>3691</v>
      </c>
      <c r="C799" s="52" t="s">
        <v>3692</v>
      </c>
      <c r="D799" s="53">
        <v>46158.333333333336</v>
      </c>
      <c r="E799" s="53">
        <v>46157.584722222222</v>
      </c>
      <c r="F799" s="52"/>
      <c r="G799" s="52"/>
      <c r="H799" s="52"/>
      <c r="I799" s="52" t="s">
        <v>3693</v>
      </c>
      <c r="J799" s="52" t="s">
        <v>3694</v>
      </c>
      <c r="K799" s="52"/>
      <c r="L799" s="52"/>
      <c r="M799" s="54">
        <v>1.1111111111111112</v>
      </c>
      <c r="N799" s="54">
        <v>4.6826388888888886</v>
      </c>
      <c r="O799" s="52"/>
      <c r="P799" s="52"/>
      <c r="Q799" s="52"/>
      <c r="R799" s="52"/>
      <c r="S799" s="52"/>
      <c r="T799" s="52" t="s">
        <v>3695</v>
      </c>
      <c r="U799" s="52" t="s">
        <v>3695</v>
      </c>
      <c r="V799" s="52"/>
      <c r="W799" s="52"/>
      <c r="X799" s="52"/>
      <c r="Y799" s="52"/>
      <c r="Z799" s="52" t="s">
        <v>3696</v>
      </c>
      <c r="AA799" s="52" t="s">
        <v>216</v>
      </c>
      <c r="AB799" s="52" t="s">
        <v>79</v>
      </c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>
        <v>0</v>
      </c>
      <c r="AT799" s="52"/>
      <c r="AU799" s="52"/>
      <c r="AV799" s="52" t="s">
        <v>503</v>
      </c>
      <c r="AW799" s="52"/>
    </row>
    <row r="800" spans="1:49">
      <c r="A800" s="52">
        <v>6022227</v>
      </c>
      <c r="B800" s="52" t="s">
        <v>3691</v>
      </c>
      <c r="C800" s="52" t="s">
        <v>3698</v>
      </c>
      <c r="D800" s="53">
        <v>46158.333333333336</v>
      </c>
      <c r="E800" s="53">
        <v>46157.584722222222</v>
      </c>
      <c r="F800" s="52"/>
      <c r="G800" s="52"/>
      <c r="H800" s="52"/>
      <c r="I800" s="52"/>
      <c r="J800" s="52" t="s">
        <v>3694</v>
      </c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 t="s">
        <v>3696</v>
      </c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>
        <v>0</v>
      </c>
      <c r="AT800" s="52"/>
      <c r="AU800" s="52"/>
      <c r="AV800" s="52"/>
      <c r="AW800" s="52"/>
    </row>
    <row r="801" spans="1:49">
      <c r="A801" s="52">
        <v>6022228</v>
      </c>
      <c r="B801" s="52" t="s">
        <v>3691</v>
      </c>
      <c r="C801" s="52" t="s">
        <v>3692</v>
      </c>
      <c r="D801" s="53">
        <v>46156.375</v>
      </c>
      <c r="E801" s="53">
        <v>46155.650694444441</v>
      </c>
      <c r="F801" s="52"/>
      <c r="G801" s="52"/>
      <c r="H801" s="52"/>
      <c r="I801" s="52" t="s">
        <v>3693</v>
      </c>
      <c r="J801" s="52" t="s">
        <v>3694</v>
      </c>
      <c r="K801" s="52"/>
      <c r="L801" s="52"/>
      <c r="M801" s="55">
        <v>6.25E-2</v>
      </c>
      <c r="N801" s="54">
        <v>4.8979166666666663</v>
      </c>
      <c r="O801" s="52"/>
      <c r="P801" s="52"/>
      <c r="Q801" s="52"/>
      <c r="R801" s="52"/>
      <c r="S801" s="52"/>
      <c r="T801" s="52" t="s">
        <v>3695</v>
      </c>
      <c r="U801" s="52" t="s">
        <v>3695</v>
      </c>
      <c r="V801" s="52"/>
      <c r="W801" s="52"/>
      <c r="X801" s="52"/>
      <c r="Y801" s="52"/>
      <c r="Z801" s="52" t="s">
        <v>3696</v>
      </c>
      <c r="AA801" s="52" t="s">
        <v>836</v>
      </c>
      <c r="AB801" s="52" t="s">
        <v>140</v>
      </c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>
        <v>0</v>
      </c>
      <c r="AT801" s="52"/>
      <c r="AU801" s="52"/>
      <c r="AV801" s="52" t="s">
        <v>840</v>
      </c>
      <c r="AW801" s="52"/>
    </row>
    <row r="802" spans="1:49">
      <c r="A802" s="52">
        <v>6022228</v>
      </c>
      <c r="B802" s="52" t="s">
        <v>3691</v>
      </c>
      <c r="C802" s="52" t="s">
        <v>3698</v>
      </c>
      <c r="D802" s="53">
        <v>46156.375</v>
      </c>
      <c r="E802" s="53">
        <v>46155.650694444441</v>
      </c>
      <c r="F802" s="52"/>
      <c r="G802" s="52"/>
      <c r="H802" s="52"/>
      <c r="I802" s="52"/>
      <c r="J802" s="52" t="s">
        <v>3694</v>
      </c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 t="s">
        <v>3696</v>
      </c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>
        <v>0</v>
      </c>
      <c r="AT802" s="52"/>
      <c r="AU802" s="52"/>
      <c r="AV802" s="52"/>
      <c r="AW802" s="52"/>
    </row>
    <row r="803" spans="1:49">
      <c r="A803" s="52">
        <v>6022235</v>
      </c>
      <c r="B803" s="52" t="s">
        <v>3723</v>
      </c>
      <c r="C803" s="52" t="s">
        <v>3692</v>
      </c>
      <c r="D803" s="53">
        <v>46157.375</v>
      </c>
      <c r="E803" s="53">
        <v>46157.830555555556</v>
      </c>
      <c r="F803" s="53">
        <v>46157.835416666669</v>
      </c>
      <c r="G803" s="53">
        <v>46158.400000000001</v>
      </c>
      <c r="H803" s="53">
        <v>46157.868055555555</v>
      </c>
      <c r="I803" s="52" t="s">
        <v>3693</v>
      </c>
      <c r="J803" s="52" t="s">
        <v>3693</v>
      </c>
      <c r="K803" s="53">
        <v>46157.868055555555</v>
      </c>
      <c r="L803" s="52"/>
      <c r="M803" s="54">
        <v>9.9583333333333339</v>
      </c>
      <c r="N803" s="54">
        <v>1.08125</v>
      </c>
      <c r="O803" s="52"/>
      <c r="P803" s="52"/>
      <c r="Q803" s="52"/>
      <c r="R803" s="52"/>
      <c r="S803" s="52"/>
      <c r="T803" s="52" t="s">
        <v>3736</v>
      </c>
      <c r="U803" s="52" t="s">
        <v>3952</v>
      </c>
      <c r="V803" s="52"/>
      <c r="W803" s="52"/>
      <c r="X803" s="52"/>
      <c r="Y803" s="52"/>
      <c r="Z803" s="52" t="s">
        <v>3696</v>
      </c>
      <c r="AA803" s="52" t="s">
        <v>1246</v>
      </c>
      <c r="AB803" s="52" t="s">
        <v>140</v>
      </c>
      <c r="AC803" s="52" t="s">
        <v>3703</v>
      </c>
      <c r="AD803" s="52" t="s">
        <v>3704</v>
      </c>
      <c r="AE803" s="52"/>
      <c r="AF803" s="52" t="s">
        <v>3737</v>
      </c>
      <c r="AG803" s="52" t="s">
        <v>3704</v>
      </c>
      <c r="AH803" s="52"/>
      <c r="AI803" s="52"/>
      <c r="AJ803" s="52"/>
      <c r="AK803" s="52"/>
      <c r="AL803" s="55">
        <v>1.4583333333333334E-2</v>
      </c>
      <c r="AM803" s="52"/>
      <c r="AN803" s="52"/>
      <c r="AO803" s="52"/>
      <c r="AP803" s="52"/>
      <c r="AQ803" s="52"/>
      <c r="AR803" s="52"/>
      <c r="AS803" s="52">
        <v>0</v>
      </c>
      <c r="AT803" s="52"/>
      <c r="AU803" s="52"/>
      <c r="AV803" s="52" t="s">
        <v>2791</v>
      </c>
      <c r="AW803" s="52"/>
    </row>
    <row r="804" spans="1:49">
      <c r="A804" s="52">
        <v>6022235</v>
      </c>
      <c r="B804" s="52" t="s">
        <v>3723</v>
      </c>
      <c r="C804" s="52" t="s">
        <v>3698</v>
      </c>
      <c r="D804" s="53">
        <v>46157.375</v>
      </c>
      <c r="E804" s="53">
        <v>46157.830555555556</v>
      </c>
      <c r="F804" s="53">
        <v>46157.838194444441</v>
      </c>
      <c r="G804" s="53">
        <v>46158.400000000001</v>
      </c>
      <c r="H804" s="53">
        <v>46157.938194444447</v>
      </c>
      <c r="I804" s="52"/>
      <c r="J804" s="52" t="s">
        <v>3693</v>
      </c>
      <c r="K804" s="53">
        <v>46157.868055555555</v>
      </c>
      <c r="L804" s="52"/>
      <c r="M804" s="55">
        <v>0.56180555555555556</v>
      </c>
      <c r="N804" s="55">
        <v>0.61805555555555558</v>
      </c>
      <c r="O804" s="52" t="s">
        <v>3607</v>
      </c>
      <c r="P804" s="52" t="s">
        <v>1246</v>
      </c>
      <c r="Q804" s="52" t="s">
        <v>1762</v>
      </c>
      <c r="R804" s="52"/>
      <c r="S804" s="52" t="s">
        <v>789</v>
      </c>
      <c r="T804" s="52" t="s">
        <v>3736</v>
      </c>
      <c r="U804" s="52" t="s">
        <v>3952</v>
      </c>
      <c r="V804" s="52" t="s">
        <v>1960</v>
      </c>
      <c r="W804" s="52">
        <v>23227296802</v>
      </c>
      <c r="X804" s="52" t="s">
        <v>73</v>
      </c>
      <c r="Y804" s="52" t="s">
        <v>3738</v>
      </c>
      <c r="Z804" s="52" t="s">
        <v>3696</v>
      </c>
      <c r="AA804" s="52" t="s">
        <v>3710</v>
      </c>
      <c r="AB804" s="52"/>
      <c r="AC804" s="52" t="s">
        <v>3703</v>
      </c>
      <c r="AD804" s="52" t="s">
        <v>3704</v>
      </c>
      <c r="AE804" s="52" t="s">
        <v>140</v>
      </c>
      <c r="AF804" s="52" t="s">
        <v>3737</v>
      </c>
      <c r="AG804" s="52" t="s">
        <v>3704</v>
      </c>
      <c r="AH804" s="52"/>
      <c r="AI804" s="53">
        <v>46157.834722222222</v>
      </c>
      <c r="AJ804" s="53">
        <v>46157.849305555559</v>
      </c>
      <c r="AK804" s="53">
        <v>46157.834722222222</v>
      </c>
      <c r="AL804" s="55">
        <v>8.4722222222222227E-2</v>
      </c>
      <c r="AM804" s="52"/>
      <c r="AN804" s="55">
        <v>1.4583333333333334E-2</v>
      </c>
      <c r="AO804" s="55">
        <v>7.013888888888889E-2</v>
      </c>
      <c r="AP804" s="55">
        <v>8.4722222222222227E-2</v>
      </c>
      <c r="AQ804" s="52"/>
      <c r="AR804" s="52"/>
      <c r="AS804" s="52" t="s">
        <v>3696</v>
      </c>
      <c r="AT804" s="52"/>
      <c r="AU804" s="52"/>
      <c r="AV804" s="52"/>
      <c r="AW804" s="52"/>
    </row>
    <row r="805" spans="1:49">
      <c r="A805" s="52">
        <v>6022235</v>
      </c>
      <c r="B805" s="52" t="s">
        <v>3723</v>
      </c>
      <c r="C805" s="52" t="s">
        <v>3698</v>
      </c>
      <c r="D805" s="53">
        <v>46157.375</v>
      </c>
      <c r="E805" s="53">
        <v>46157.830555555556</v>
      </c>
      <c r="F805" s="53">
        <v>46157.838194444441</v>
      </c>
      <c r="G805" s="53">
        <v>46158.400000000001</v>
      </c>
      <c r="H805" s="53">
        <v>46157.938194444447</v>
      </c>
      <c r="I805" s="52"/>
      <c r="J805" s="52" t="s">
        <v>3693</v>
      </c>
      <c r="K805" s="53">
        <v>46157.868055555555</v>
      </c>
      <c r="L805" s="52"/>
      <c r="M805" s="55">
        <v>0.56180555555555556</v>
      </c>
      <c r="N805" s="55">
        <v>0.61805555555555558</v>
      </c>
      <c r="O805" s="52" t="s">
        <v>3607</v>
      </c>
      <c r="P805" s="52" t="s">
        <v>1246</v>
      </c>
      <c r="Q805" s="52" t="s">
        <v>1762</v>
      </c>
      <c r="R805" s="52"/>
      <c r="S805" s="52" t="s">
        <v>789</v>
      </c>
      <c r="T805" s="52" t="s">
        <v>3736</v>
      </c>
      <c r="U805" s="52" t="s">
        <v>3952</v>
      </c>
      <c r="V805" s="52" t="s">
        <v>1960</v>
      </c>
      <c r="W805" s="52">
        <v>23227296802</v>
      </c>
      <c r="X805" s="52" t="s">
        <v>73</v>
      </c>
      <c r="Y805" s="52" t="s">
        <v>3738</v>
      </c>
      <c r="Z805" s="52" t="s">
        <v>3696</v>
      </c>
      <c r="AA805" s="52" t="s">
        <v>3710</v>
      </c>
      <c r="AB805" s="52"/>
      <c r="AC805" s="52" t="s">
        <v>3703</v>
      </c>
      <c r="AD805" s="52" t="s">
        <v>3704</v>
      </c>
      <c r="AE805" s="52"/>
      <c r="AF805" s="52" t="s">
        <v>3737</v>
      </c>
      <c r="AG805" s="52" t="s">
        <v>3704</v>
      </c>
      <c r="AH805" s="52"/>
      <c r="AI805" s="53">
        <v>46157.834722222222</v>
      </c>
      <c r="AJ805" s="53">
        <v>46157.849305555559</v>
      </c>
      <c r="AK805" s="53">
        <v>46157.834722222222</v>
      </c>
      <c r="AL805" s="55">
        <v>8.4722222222222227E-2</v>
      </c>
      <c r="AM805" s="52"/>
      <c r="AN805" s="55">
        <v>1.4583333333333334E-2</v>
      </c>
      <c r="AO805" s="55">
        <v>7.013888888888889E-2</v>
      </c>
      <c r="AP805" s="55">
        <v>8.4722222222222227E-2</v>
      </c>
      <c r="AQ805" s="52"/>
      <c r="AR805" s="52"/>
      <c r="AS805" s="52" t="s">
        <v>3696</v>
      </c>
      <c r="AT805" s="52"/>
      <c r="AU805" s="52"/>
      <c r="AV805" s="52"/>
      <c r="AW805" s="52" t="s">
        <v>2791</v>
      </c>
    </row>
    <row r="806" spans="1:49">
      <c r="A806" s="52">
        <v>6022236</v>
      </c>
      <c r="B806" s="52" t="s">
        <v>3691</v>
      </c>
      <c r="C806" s="52" t="s">
        <v>3692</v>
      </c>
      <c r="D806" s="53">
        <v>46160.375</v>
      </c>
      <c r="E806" s="53">
        <v>46157.584722222222</v>
      </c>
      <c r="F806" s="52"/>
      <c r="G806" s="52"/>
      <c r="H806" s="52"/>
      <c r="I806" s="52" t="s">
        <v>3693</v>
      </c>
      <c r="J806" s="52" t="s">
        <v>3694</v>
      </c>
      <c r="K806" s="52"/>
      <c r="L806" s="52"/>
      <c r="M806" s="54">
        <v>2.375</v>
      </c>
      <c r="N806" s="54">
        <v>9.4604166666666671</v>
      </c>
      <c r="O806" s="52"/>
      <c r="P806" s="52"/>
      <c r="Q806" s="52"/>
      <c r="R806" s="52"/>
      <c r="S806" s="52"/>
      <c r="T806" s="52" t="s">
        <v>3695</v>
      </c>
      <c r="U806" s="52" t="s">
        <v>3695</v>
      </c>
      <c r="V806" s="52"/>
      <c r="W806" s="52"/>
      <c r="X806" s="52"/>
      <c r="Y806" s="52"/>
      <c r="Z806" s="52" t="s">
        <v>3696</v>
      </c>
      <c r="AA806" s="52" t="s">
        <v>1246</v>
      </c>
      <c r="AB806" s="52" t="s">
        <v>140</v>
      </c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>
        <v>0</v>
      </c>
      <c r="AT806" s="52"/>
      <c r="AU806" s="52"/>
      <c r="AV806" s="52" t="s">
        <v>726</v>
      </c>
      <c r="AW806" s="52"/>
    </row>
    <row r="807" spans="1:49">
      <c r="A807" s="52">
        <v>6022236</v>
      </c>
      <c r="B807" s="52" t="s">
        <v>3691</v>
      </c>
      <c r="C807" s="52" t="s">
        <v>3698</v>
      </c>
      <c r="D807" s="53">
        <v>46160.375</v>
      </c>
      <c r="E807" s="53">
        <v>46157.584722222222</v>
      </c>
      <c r="F807" s="52"/>
      <c r="G807" s="52"/>
      <c r="H807" s="52"/>
      <c r="I807" s="52"/>
      <c r="J807" s="52" t="s">
        <v>3694</v>
      </c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 t="s">
        <v>3696</v>
      </c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>
        <v>0</v>
      </c>
      <c r="AT807" s="52"/>
      <c r="AU807" s="52"/>
      <c r="AV807" s="52"/>
      <c r="AW807" s="52"/>
    </row>
    <row r="808" spans="1:49">
      <c r="A808" s="52">
        <v>6022245</v>
      </c>
      <c r="B808" s="52" t="s">
        <v>3723</v>
      </c>
      <c r="C808" s="52" t="s">
        <v>3692</v>
      </c>
      <c r="D808" s="53">
        <v>46156.5</v>
      </c>
      <c r="E808" s="53">
        <v>46156.412499999999</v>
      </c>
      <c r="F808" s="53">
        <v>46156.659722222219</v>
      </c>
      <c r="G808" s="53">
        <v>46161.333333333336</v>
      </c>
      <c r="H808" s="52"/>
      <c r="I808" s="52" t="s">
        <v>3693</v>
      </c>
      <c r="J808" s="52" t="s">
        <v>3693</v>
      </c>
      <c r="K808" s="53">
        <v>46157.907638888886</v>
      </c>
      <c r="L808" s="52"/>
      <c r="M808" s="54">
        <v>1.4270833333333333</v>
      </c>
      <c r="N808" s="54">
        <v>1.45</v>
      </c>
      <c r="O808" s="52"/>
      <c r="P808" s="52"/>
      <c r="Q808" s="52"/>
      <c r="R808" s="52"/>
      <c r="S808" s="52"/>
      <c r="T808" s="52" t="s">
        <v>3832</v>
      </c>
      <c r="U808" s="52" t="s">
        <v>3833</v>
      </c>
      <c r="V808" s="52"/>
      <c r="W808" s="52"/>
      <c r="X808" s="52"/>
      <c r="Y808" s="52"/>
      <c r="Z808" s="52" t="s">
        <v>3696</v>
      </c>
      <c r="AA808" s="52" t="s">
        <v>216</v>
      </c>
      <c r="AB808" s="52" t="s">
        <v>140</v>
      </c>
      <c r="AC808" s="52" t="s">
        <v>3703</v>
      </c>
      <c r="AD808" s="52" t="s">
        <v>3704</v>
      </c>
      <c r="AE808" s="52"/>
      <c r="AF808" s="52" t="s">
        <v>3705</v>
      </c>
      <c r="AG808" s="52" t="s">
        <v>3706</v>
      </c>
      <c r="AH808" s="52"/>
      <c r="AI808" s="52"/>
      <c r="AJ808" s="52"/>
      <c r="AK808" s="52"/>
      <c r="AL808" s="55">
        <v>1.3888888888888889E-3</v>
      </c>
      <c r="AM808" s="52"/>
      <c r="AN808" s="52"/>
      <c r="AO808" s="52"/>
      <c r="AP808" s="52"/>
      <c r="AQ808" s="52"/>
      <c r="AR808" s="52"/>
      <c r="AS808" s="52">
        <v>0</v>
      </c>
      <c r="AT808" s="52"/>
      <c r="AU808" s="52"/>
      <c r="AV808" s="52" t="s">
        <v>1540</v>
      </c>
      <c r="AW808" s="52"/>
    </row>
    <row r="809" spans="1:49">
      <c r="A809" s="52">
        <v>6022245</v>
      </c>
      <c r="B809" s="52" t="s">
        <v>3723</v>
      </c>
      <c r="C809" s="52" t="s">
        <v>3698</v>
      </c>
      <c r="D809" s="53">
        <v>46156.5</v>
      </c>
      <c r="E809" s="53">
        <v>46156.412499999999</v>
      </c>
      <c r="F809" s="53">
        <v>46156.666666666664</v>
      </c>
      <c r="G809" s="53">
        <v>46161.333333333336</v>
      </c>
      <c r="H809" s="53">
        <v>46157.709027777775</v>
      </c>
      <c r="I809" s="52"/>
      <c r="J809" s="52" t="s">
        <v>3693</v>
      </c>
      <c r="K809" s="53">
        <v>46157.907638888886</v>
      </c>
      <c r="L809" s="52"/>
      <c r="M809" s="54">
        <v>4.666666666666667</v>
      </c>
      <c r="N809" s="54">
        <v>1.7895833333333333</v>
      </c>
      <c r="O809" s="52" t="s">
        <v>3433</v>
      </c>
      <c r="P809" s="52" t="s">
        <v>216</v>
      </c>
      <c r="Q809" s="52" t="s">
        <v>2697</v>
      </c>
      <c r="R809" s="52"/>
      <c r="S809" s="52" t="s">
        <v>789</v>
      </c>
      <c r="T809" s="52" t="s">
        <v>3832</v>
      </c>
      <c r="U809" s="52" t="s">
        <v>3833</v>
      </c>
      <c r="V809" s="52" t="s">
        <v>2026</v>
      </c>
      <c r="W809" s="52">
        <v>11829277774</v>
      </c>
      <c r="X809" s="52" t="s">
        <v>73</v>
      </c>
      <c r="Y809" s="52"/>
      <c r="Z809" s="52" t="s">
        <v>3696</v>
      </c>
      <c r="AA809" s="52" t="s">
        <v>3710</v>
      </c>
      <c r="AB809" s="52"/>
      <c r="AC809" s="52" t="s">
        <v>3703</v>
      </c>
      <c r="AD809" s="52" t="s">
        <v>3704</v>
      </c>
      <c r="AE809" s="52" t="s">
        <v>140</v>
      </c>
      <c r="AF809" s="52" t="s">
        <v>3705</v>
      </c>
      <c r="AG809" s="52" t="s">
        <v>3706</v>
      </c>
      <c r="AH809" s="52"/>
      <c r="AI809" s="53">
        <v>46156.688888888886</v>
      </c>
      <c r="AJ809" s="53">
        <v>46156.69027777778</v>
      </c>
      <c r="AK809" s="53">
        <v>46156.688888888886</v>
      </c>
      <c r="AL809" s="55">
        <v>1.1805555555555555E-2</v>
      </c>
      <c r="AM809" s="52"/>
      <c r="AN809" s="55">
        <v>1.3888888888888889E-3</v>
      </c>
      <c r="AO809" s="52"/>
      <c r="AP809" s="55">
        <v>1.1805555555555555E-2</v>
      </c>
      <c r="AQ809" s="52"/>
      <c r="AR809" s="52"/>
      <c r="AS809" s="52" t="s">
        <v>3696</v>
      </c>
      <c r="AT809" s="52"/>
      <c r="AU809" s="52"/>
      <c r="AV809" s="52"/>
      <c r="AW809" s="52"/>
    </row>
    <row r="810" spans="1:49">
      <c r="A810" s="52">
        <v>6022245</v>
      </c>
      <c r="B810" s="52" t="s">
        <v>3723</v>
      </c>
      <c r="C810" s="52" t="s">
        <v>3698</v>
      </c>
      <c r="D810" s="53">
        <v>46156.5</v>
      </c>
      <c r="E810" s="53">
        <v>46156.412499999999</v>
      </c>
      <c r="F810" s="53">
        <v>46156.666666666664</v>
      </c>
      <c r="G810" s="53">
        <v>46161.333333333336</v>
      </c>
      <c r="H810" s="53">
        <v>46157.709027777775</v>
      </c>
      <c r="I810" s="52"/>
      <c r="J810" s="52" t="s">
        <v>3693</v>
      </c>
      <c r="K810" s="53">
        <v>46157.907638888886</v>
      </c>
      <c r="L810" s="52"/>
      <c r="M810" s="54">
        <v>4.666666666666667</v>
      </c>
      <c r="N810" s="54">
        <v>1.7895833333333333</v>
      </c>
      <c r="O810" s="52" t="s">
        <v>3433</v>
      </c>
      <c r="P810" s="52" t="s">
        <v>216</v>
      </c>
      <c r="Q810" s="52" t="s">
        <v>2697</v>
      </c>
      <c r="R810" s="52"/>
      <c r="S810" s="52" t="s">
        <v>789</v>
      </c>
      <c r="T810" s="52" t="s">
        <v>3832</v>
      </c>
      <c r="U810" s="52" t="s">
        <v>3833</v>
      </c>
      <c r="V810" s="52" t="s">
        <v>2026</v>
      </c>
      <c r="W810" s="52">
        <v>11829277774</v>
      </c>
      <c r="X810" s="52" t="s">
        <v>73</v>
      </c>
      <c r="Y810" s="52"/>
      <c r="Z810" s="52" t="s">
        <v>3696</v>
      </c>
      <c r="AA810" s="52" t="s">
        <v>3710</v>
      </c>
      <c r="AB810" s="52"/>
      <c r="AC810" s="52" t="s">
        <v>3703</v>
      </c>
      <c r="AD810" s="52" t="s">
        <v>3704</v>
      </c>
      <c r="AE810" s="52"/>
      <c r="AF810" s="52" t="s">
        <v>3705</v>
      </c>
      <c r="AG810" s="52" t="s">
        <v>3706</v>
      </c>
      <c r="AH810" s="52"/>
      <c r="AI810" s="53">
        <v>46156.688888888886</v>
      </c>
      <c r="AJ810" s="53">
        <v>46156.69027777778</v>
      </c>
      <c r="AK810" s="53">
        <v>46156.688888888886</v>
      </c>
      <c r="AL810" s="55">
        <v>1.1805555555555555E-2</v>
      </c>
      <c r="AM810" s="52"/>
      <c r="AN810" s="55">
        <v>1.3888888888888889E-3</v>
      </c>
      <c r="AO810" s="52"/>
      <c r="AP810" s="55">
        <v>1.1805555555555555E-2</v>
      </c>
      <c r="AQ810" s="52"/>
      <c r="AR810" s="52"/>
      <c r="AS810" s="52" t="s">
        <v>3696</v>
      </c>
      <c r="AT810" s="52"/>
      <c r="AU810" s="52"/>
      <c r="AV810" s="52"/>
      <c r="AW810" s="52" t="s">
        <v>1540</v>
      </c>
    </row>
    <row r="811" spans="1:49">
      <c r="A811" s="52">
        <v>6022251</v>
      </c>
      <c r="B811" s="52" t="s">
        <v>3691</v>
      </c>
      <c r="C811" s="52" t="s">
        <v>3692</v>
      </c>
      <c r="D811" s="53">
        <v>46157.791666666664</v>
      </c>
      <c r="E811" s="53">
        <v>46156.68472222222</v>
      </c>
      <c r="F811" s="52"/>
      <c r="G811" s="52"/>
      <c r="H811" s="52"/>
      <c r="I811" s="52" t="s">
        <v>3693</v>
      </c>
      <c r="J811" s="52" t="s">
        <v>3694</v>
      </c>
      <c r="K811" s="52"/>
      <c r="L811" s="52"/>
      <c r="M811" s="54">
        <v>5.1895833333333332</v>
      </c>
      <c r="N811" s="54">
        <v>5.604166666666667</v>
      </c>
      <c r="O811" s="52"/>
      <c r="P811" s="52"/>
      <c r="Q811" s="52"/>
      <c r="R811" s="52"/>
      <c r="S811" s="52"/>
      <c r="T811" s="52" t="s">
        <v>3695</v>
      </c>
      <c r="U811" s="52" t="s">
        <v>3695</v>
      </c>
      <c r="V811" s="52"/>
      <c r="W811" s="52"/>
      <c r="X811" s="52"/>
      <c r="Y811" s="52"/>
      <c r="Z811" s="52" t="s">
        <v>3696</v>
      </c>
      <c r="AA811" s="52" t="s">
        <v>102</v>
      </c>
      <c r="AB811" s="52" t="s">
        <v>79</v>
      </c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>
        <v>0</v>
      </c>
      <c r="AT811" s="52"/>
      <c r="AU811" s="52"/>
      <c r="AV811" s="52" t="s">
        <v>4110</v>
      </c>
      <c r="AW811" s="52"/>
    </row>
    <row r="812" spans="1:49">
      <c r="A812" s="52">
        <v>6022251</v>
      </c>
      <c r="B812" s="52" t="s">
        <v>3691</v>
      </c>
      <c r="C812" s="52" t="s">
        <v>3698</v>
      </c>
      <c r="D812" s="53">
        <v>46157.791666666664</v>
      </c>
      <c r="E812" s="53">
        <v>46156.68472222222</v>
      </c>
      <c r="F812" s="52"/>
      <c r="G812" s="52"/>
      <c r="H812" s="52"/>
      <c r="I812" s="52"/>
      <c r="J812" s="52" t="s">
        <v>3694</v>
      </c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 t="s">
        <v>3696</v>
      </c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>
        <v>0</v>
      </c>
      <c r="AT812" s="52"/>
      <c r="AU812" s="52"/>
      <c r="AV812" s="52"/>
      <c r="AW812" s="52"/>
    </row>
    <row r="813" spans="1:49">
      <c r="A813" s="52">
        <v>6022253</v>
      </c>
      <c r="B813" s="52" t="s">
        <v>3691</v>
      </c>
      <c r="C813" s="52" t="s">
        <v>3692</v>
      </c>
      <c r="D813" s="53">
        <v>46157.75</v>
      </c>
      <c r="E813" s="53">
        <v>46156.68472222222</v>
      </c>
      <c r="F813" s="52"/>
      <c r="G813" s="52"/>
      <c r="H813" s="52"/>
      <c r="I813" s="52" t="s">
        <v>3693</v>
      </c>
      <c r="J813" s="52" t="s">
        <v>3694</v>
      </c>
      <c r="K813" s="52"/>
      <c r="L813" s="52"/>
      <c r="M813" s="54">
        <v>5.1895833333333332</v>
      </c>
      <c r="N813" s="54">
        <v>7.604166666666667</v>
      </c>
      <c r="O813" s="52"/>
      <c r="P813" s="52"/>
      <c r="Q813" s="52"/>
      <c r="R813" s="52"/>
      <c r="S813" s="52"/>
      <c r="T813" s="52" t="s">
        <v>3695</v>
      </c>
      <c r="U813" s="52" t="s">
        <v>3695</v>
      </c>
      <c r="V813" s="52"/>
      <c r="W813" s="52"/>
      <c r="X813" s="52"/>
      <c r="Y813" s="52"/>
      <c r="Z813" s="52" t="s">
        <v>3696</v>
      </c>
      <c r="AA813" s="52" t="s">
        <v>102</v>
      </c>
      <c r="AB813" s="52" t="s">
        <v>79</v>
      </c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>
        <v>0</v>
      </c>
      <c r="AT813" s="52"/>
      <c r="AU813" s="52"/>
      <c r="AV813" s="52" t="s">
        <v>4110</v>
      </c>
      <c r="AW813" s="52"/>
    </row>
    <row r="814" spans="1:49">
      <c r="A814" s="52">
        <v>6022253</v>
      </c>
      <c r="B814" s="52" t="s">
        <v>3691</v>
      </c>
      <c r="C814" s="52" t="s">
        <v>3698</v>
      </c>
      <c r="D814" s="53">
        <v>46157.75</v>
      </c>
      <c r="E814" s="53">
        <v>46156.68472222222</v>
      </c>
      <c r="F814" s="52"/>
      <c r="G814" s="52"/>
      <c r="H814" s="52"/>
      <c r="I814" s="52"/>
      <c r="J814" s="52" t="s">
        <v>3694</v>
      </c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 t="s">
        <v>3696</v>
      </c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>
        <v>0</v>
      </c>
      <c r="AT814" s="52"/>
      <c r="AU814" s="52"/>
      <c r="AV814" s="52"/>
      <c r="AW814" s="52"/>
    </row>
    <row r="815" spans="1:49">
      <c r="A815" s="52">
        <v>6022260</v>
      </c>
      <c r="B815" s="52" t="s">
        <v>3691</v>
      </c>
      <c r="C815" s="52" t="s">
        <v>3692</v>
      </c>
      <c r="D815" s="53">
        <v>46157.4375</v>
      </c>
      <c r="E815" s="53">
        <v>46157.332638888889</v>
      </c>
      <c r="F815" s="52"/>
      <c r="G815" s="52"/>
      <c r="H815" s="52"/>
      <c r="I815" s="52" t="s">
        <v>3693</v>
      </c>
      <c r="J815" s="52" t="s">
        <v>3694</v>
      </c>
      <c r="K815" s="52"/>
      <c r="L815" s="52"/>
      <c r="M815" s="54">
        <v>4.5020833333333332</v>
      </c>
      <c r="N815" s="54">
        <v>1.2916666666666667</v>
      </c>
      <c r="O815" s="52"/>
      <c r="P815" s="52"/>
      <c r="Q815" s="52"/>
      <c r="R815" s="52"/>
      <c r="S815" s="52"/>
      <c r="T815" s="52" t="s">
        <v>3695</v>
      </c>
      <c r="U815" s="52" t="s">
        <v>3695</v>
      </c>
      <c r="V815" s="52"/>
      <c r="W815" s="52"/>
      <c r="X815" s="52"/>
      <c r="Y815" s="52"/>
      <c r="Z815" s="52" t="s">
        <v>3696</v>
      </c>
      <c r="AA815" s="52" t="s">
        <v>216</v>
      </c>
      <c r="AB815" s="52" t="s">
        <v>79</v>
      </c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>
        <v>0</v>
      </c>
      <c r="AT815" s="52"/>
      <c r="AU815" s="52"/>
      <c r="AV815" s="52" t="s">
        <v>80</v>
      </c>
      <c r="AW815" s="52"/>
    </row>
    <row r="816" spans="1:49">
      <c r="A816" s="52">
        <v>6022260</v>
      </c>
      <c r="B816" s="52" t="s">
        <v>3691</v>
      </c>
      <c r="C816" s="52" t="s">
        <v>3698</v>
      </c>
      <c r="D816" s="53">
        <v>46157.4375</v>
      </c>
      <c r="E816" s="53">
        <v>46157.332638888889</v>
      </c>
      <c r="F816" s="52"/>
      <c r="G816" s="52"/>
      <c r="H816" s="52"/>
      <c r="I816" s="52"/>
      <c r="J816" s="52" t="s">
        <v>3694</v>
      </c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 t="s">
        <v>3696</v>
      </c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>
        <v>0</v>
      </c>
      <c r="AT816" s="52"/>
      <c r="AU816" s="52"/>
      <c r="AV816" s="52"/>
      <c r="AW816" s="52"/>
    </row>
    <row r="817" spans="1:49">
      <c r="A817" s="52">
        <v>6022327</v>
      </c>
      <c r="B817" s="52" t="s">
        <v>3691</v>
      </c>
      <c r="C817" s="52" t="s">
        <v>3692</v>
      </c>
      <c r="D817" s="53">
        <v>46156.375</v>
      </c>
      <c r="E817" s="53">
        <v>46155.650694444441</v>
      </c>
      <c r="F817" s="52"/>
      <c r="G817" s="52"/>
      <c r="H817" s="52"/>
      <c r="I817" s="52" t="s">
        <v>3693</v>
      </c>
      <c r="J817" s="52" t="s">
        <v>3694</v>
      </c>
      <c r="K817" s="52"/>
      <c r="L817" s="52"/>
      <c r="M817" s="55">
        <v>6.25E-2</v>
      </c>
      <c r="N817" s="54">
        <v>2.8979166666666667</v>
      </c>
      <c r="O817" s="52"/>
      <c r="P817" s="52"/>
      <c r="Q817" s="52"/>
      <c r="R817" s="52"/>
      <c r="S817" s="52"/>
      <c r="T817" s="52" t="s">
        <v>3695</v>
      </c>
      <c r="U817" s="52" t="s">
        <v>3695</v>
      </c>
      <c r="V817" s="52"/>
      <c r="W817" s="52"/>
      <c r="X817" s="52"/>
      <c r="Y817" s="52"/>
      <c r="Z817" s="52" t="s">
        <v>3696</v>
      </c>
      <c r="AA817" s="52" t="s">
        <v>836</v>
      </c>
      <c r="AB817" s="52" t="s">
        <v>140</v>
      </c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>
        <v>0</v>
      </c>
      <c r="AT817" s="52"/>
      <c r="AU817" s="52"/>
      <c r="AV817" s="52" t="s">
        <v>840</v>
      </c>
      <c r="AW817" s="52"/>
    </row>
    <row r="818" spans="1:49">
      <c r="A818" s="52">
        <v>6022327</v>
      </c>
      <c r="B818" s="52" t="s">
        <v>3691</v>
      </c>
      <c r="C818" s="52" t="s">
        <v>3698</v>
      </c>
      <c r="D818" s="53">
        <v>46156.375</v>
      </c>
      <c r="E818" s="53">
        <v>46155.650694444441</v>
      </c>
      <c r="F818" s="52"/>
      <c r="G818" s="52"/>
      <c r="H818" s="52"/>
      <c r="I818" s="52"/>
      <c r="J818" s="52" t="s">
        <v>3694</v>
      </c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 t="s">
        <v>3696</v>
      </c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>
        <v>0</v>
      </c>
      <c r="AT818" s="52"/>
      <c r="AU818" s="52"/>
      <c r="AV818" s="52"/>
      <c r="AW818" s="52"/>
    </row>
    <row r="819" spans="1:49">
      <c r="A819" s="52">
        <v>6022337</v>
      </c>
      <c r="B819" s="52" t="s">
        <v>3716</v>
      </c>
      <c r="C819" s="52" t="s">
        <v>3692</v>
      </c>
      <c r="D819" s="53">
        <v>46157.583333333336</v>
      </c>
      <c r="E819" s="53">
        <v>46156.68472222222</v>
      </c>
      <c r="F819" s="53">
        <v>46158.388194444444</v>
      </c>
      <c r="G819" s="53">
        <v>46159.990277777775</v>
      </c>
      <c r="H819" s="53">
        <v>46158.388888888891</v>
      </c>
      <c r="I819" s="52" t="s">
        <v>3693</v>
      </c>
      <c r="J819" s="52" t="s">
        <v>3694</v>
      </c>
      <c r="K819" s="52"/>
      <c r="L819" s="52"/>
      <c r="M819" s="54">
        <v>1.2597222222222222</v>
      </c>
      <c r="N819" s="54">
        <v>1.5340277777777778</v>
      </c>
      <c r="O819" s="52"/>
      <c r="P819" s="52"/>
      <c r="Q819" s="52"/>
      <c r="R819" s="52"/>
      <c r="S819" s="52"/>
      <c r="T819" s="52" t="s">
        <v>3963</v>
      </c>
      <c r="U819" s="52" t="s">
        <v>3764</v>
      </c>
      <c r="V819" s="52"/>
      <c r="W819" s="52"/>
      <c r="X819" s="52"/>
      <c r="Y819" s="52"/>
      <c r="Z819" s="52" t="s">
        <v>3696</v>
      </c>
      <c r="AA819" s="52" t="s">
        <v>227</v>
      </c>
      <c r="AB819" s="52" t="s">
        <v>140</v>
      </c>
      <c r="AC819" s="52" t="s">
        <v>3703</v>
      </c>
      <c r="AD819" s="52" t="s">
        <v>3704</v>
      </c>
      <c r="AE819" s="52"/>
      <c r="AF819" s="52" t="s">
        <v>3703</v>
      </c>
      <c r="AG819" s="52" t="s">
        <v>3704</v>
      </c>
      <c r="AH819" s="52"/>
      <c r="AI819" s="52"/>
      <c r="AJ819" s="52"/>
      <c r="AK819" s="52"/>
      <c r="AL819" s="55">
        <v>4.2361111111111113E-2</v>
      </c>
      <c r="AM819" s="52"/>
      <c r="AN819" s="52"/>
      <c r="AO819" s="52"/>
      <c r="AP819" s="52"/>
      <c r="AQ819" s="52"/>
      <c r="AR819" s="52"/>
      <c r="AS819" s="52">
        <v>0</v>
      </c>
      <c r="AT819" s="52"/>
      <c r="AU819" s="52"/>
      <c r="AV819" s="52" t="s">
        <v>765</v>
      </c>
      <c r="AW819" s="52"/>
    </row>
    <row r="820" spans="1:49">
      <c r="A820" s="52">
        <v>6022337</v>
      </c>
      <c r="B820" s="52" t="s">
        <v>3716</v>
      </c>
      <c r="C820" s="52" t="s">
        <v>3698</v>
      </c>
      <c r="D820" s="53">
        <v>46157.583333333336</v>
      </c>
      <c r="E820" s="53">
        <v>46156.68472222222</v>
      </c>
      <c r="F820" s="53">
        <v>46158.412499999999</v>
      </c>
      <c r="G820" s="53">
        <v>46159.218055555553</v>
      </c>
      <c r="H820" s="52"/>
      <c r="I820" s="52"/>
      <c r="J820" s="52" t="s">
        <v>3694</v>
      </c>
      <c r="K820" s="53">
        <v>46159.034722222219</v>
      </c>
      <c r="L820" s="52"/>
      <c r="M820" s="55">
        <v>0.80555555555555558</v>
      </c>
      <c r="N820" s="55">
        <v>4.3749999999999997E-2</v>
      </c>
      <c r="O820" s="52" t="s">
        <v>760</v>
      </c>
      <c r="P820" s="52" t="s">
        <v>227</v>
      </c>
      <c r="Q820" s="52" t="s">
        <v>759</v>
      </c>
      <c r="R820" s="52" t="s">
        <v>768</v>
      </c>
      <c r="S820" s="52" t="s">
        <v>69</v>
      </c>
      <c r="T820" s="52" t="s">
        <v>3963</v>
      </c>
      <c r="U820" s="52" t="s">
        <v>3764</v>
      </c>
      <c r="V820" s="52" t="s">
        <v>4111</v>
      </c>
      <c r="W820" s="52">
        <v>1659959047</v>
      </c>
      <c r="X820" s="52" t="s">
        <v>73</v>
      </c>
      <c r="Y820" s="52"/>
      <c r="Z820" s="52" t="s">
        <v>3696</v>
      </c>
      <c r="AA820" s="52" t="s">
        <v>3710</v>
      </c>
      <c r="AB820" s="52"/>
      <c r="AC820" s="52" t="s">
        <v>3703</v>
      </c>
      <c r="AD820" s="52" t="s">
        <v>3704</v>
      </c>
      <c r="AE820" s="52" t="s">
        <v>140</v>
      </c>
      <c r="AF820" s="52" t="s">
        <v>3807</v>
      </c>
      <c r="AG820" s="52" t="s">
        <v>3726</v>
      </c>
      <c r="AH820" s="52"/>
      <c r="AI820" s="53">
        <v>46158.388888888891</v>
      </c>
      <c r="AJ820" s="53">
        <v>46158.431250000001</v>
      </c>
      <c r="AK820" s="53">
        <v>46158.388888888891</v>
      </c>
      <c r="AL820" s="55">
        <v>4.2361111111111113E-2</v>
      </c>
      <c r="AM820" s="52"/>
      <c r="AN820" s="55">
        <v>4.2361111111111113E-2</v>
      </c>
      <c r="AO820" s="52"/>
      <c r="AP820" s="55">
        <v>4.2361111111111113E-2</v>
      </c>
      <c r="AQ820" s="52"/>
      <c r="AR820" s="52"/>
      <c r="AS820" s="52" t="s">
        <v>3696</v>
      </c>
      <c r="AT820" s="52"/>
      <c r="AU820" s="52"/>
      <c r="AV820" s="52"/>
      <c r="AW820" s="52"/>
    </row>
    <row r="821" spans="1:49">
      <c r="A821" s="52">
        <v>6022337</v>
      </c>
      <c r="B821" s="52" t="s">
        <v>3716</v>
      </c>
      <c r="C821" s="52" t="s">
        <v>3698</v>
      </c>
      <c r="D821" s="53">
        <v>46157.583333333336</v>
      </c>
      <c r="E821" s="53">
        <v>46156.68472222222</v>
      </c>
      <c r="F821" s="53">
        <v>46158.412499999999</v>
      </c>
      <c r="G821" s="53">
        <v>46159.218055555553</v>
      </c>
      <c r="H821" s="52"/>
      <c r="I821" s="52"/>
      <c r="J821" s="52" t="s">
        <v>3694</v>
      </c>
      <c r="K821" s="53">
        <v>46159.034722222219</v>
      </c>
      <c r="L821" s="52"/>
      <c r="M821" s="55">
        <v>0.80555555555555558</v>
      </c>
      <c r="N821" s="55">
        <v>4.3749999999999997E-2</v>
      </c>
      <c r="O821" s="52" t="s">
        <v>760</v>
      </c>
      <c r="P821" s="52" t="s">
        <v>227</v>
      </c>
      <c r="Q821" s="52" t="s">
        <v>759</v>
      </c>
      <c r="R821" s="52" t="s">
        <v>768</v>
      </c>
      <c r="S821" s="52" t="s">
        <v>69</v>
      </c>
      <c r="T821" s="52" t="s">
        <v>3963</v>
      </c>
      <c r="U821" s="52" t="s">
        <v>3764</v>
      </c>
      <c r="V821" s="52" t="s">
        <v>4111</v>
      </c>
      <c r="W821" s="52">
        <v>1659959047</v>
      </c>
      <c r="X821" s="52" t="s">
        <v>73</v>
      </c>
      <c r="Y821" s="52"/>
      <c r="Z821" s="52" t="s">
        <v>3696</v>
      </c>
      <c r="AA821" s="52" t="s">
        <v>3710</v>
      </c>
      <c r="AB821" s="52"/>
      <c r="AC821" s="52" t="s">
        <v>3703</v>
      </c>
      <c r="AD821" s="52" t="s">
        <v>3704</v>
      </c>
      <c r="AE821" s="52"/>
      <c r="AF821" s="52" t="s">
        <v>3807</v>
      </c>
      <c r="AG821" s="52" t="s">
        <v>3726</v>
      </c>
      <c r="AH821" s="52"/>
      <c r="AI821" s="53">
        <v>46158.388888888891</v>
      </c>
      <c r="AJ821" s="53">
        <v>46158.431250000001</v>
      </c>
      <c r="AK821" s="53">
        <v>46158.388888888891</v>
      </c>
      <c r="AL821" s="55">
        <v>4.2361111111111113E-2</v>
      </c>
      <c r="AM821" s="52"/>
      <c r="AN821" s="55">
        <v>4.2361111111111113E-2</v>
      </c>
      <c r="AO821" s="52"/>
      <c r="AP821" s="55">
        <v>4.2361111111111113E-2</v>
      </c>
      <c r="AQ821" s="52"/>
      <c r="AR821" s="52"/>
      <c r="AS821" s="52" t="s">
        <v>3696</v>
      </c>
      <c r="AT821" s="52"/>
      <c r="AU821" s="52"/>
      <c r="AV821" s="52"/>
      <c r="AW821" s="52" t="s">
        <v>765</v>
      </c>
    </row>
    <row r="822" spans="1:49">
      <c r="A822" s="52">
        <v>6022338</v>
      </c>
      <c r="B822" s="52" t="s">
        <v>3691</v>
      </c>
      <c r="C822" s="52" t="s">
        <v>3692</v>
      </c>
      <c r="D822" s="53">
        <v>46160.75</v>
      </c>
      <c r="E822" s="53">
        <v>46157.584722222222</v>
      </c>
      <c r="F822" s="52"/>
      <c r="G822" s="52"/>
      <c r="H822" s="52"/>
      <c r="I822" s="52" t="s">
        <v>3693</v>
      </c>
      <c r="J822" s="52" t="s">
        <v>3694</v>
      </c>
      <c r="K822" s="52"/>
      <c r="L822" s="52"/>
      <c r="M822" s="54">
        <v>1.2152777777777777</v>
      </c>
      <c r="N822" s="54">
        <v>2.6618055555555555</v>
      </c>
      <c r="O822" s="52"/>
      <c r="P822" s="52"/>
      <c r="Q822" s="52"/>
      <c r="R822" s="52"/>
      <c r="S822" s="52"/>
      <c r="T822" s="52" t="s">
        <v>3695</v>
      </c>
      <c r="U822" s="52" t="s">
        <v>3695</v>
      </c>
      <c r="V822" s="52"/>
      <c r="W822" s="52"/>
      <c r="X822" s="52"/>
      <c r="Y822" s="52"/>
      <c r="Z822" s="52" t="s">
        <v>3696</v>
      </c>
      <c r="AA822" s="52" t="s">
        <v>184</v>
      </c>
      <c r="AB822" s="52" t="s">
        <v>140</v>
      </c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>
        <v>0</v>
      </c>
      <c r="AT822" s="52"/>
      <c r="AU822" s="52"/>
      <c r="AV822" s="52" t="s">
        <v>2190</v>
      </c>
      <c r="AW822" s="52"/>
    </row>
    <row r="823" spans="1:49">
      <c r="A823" s="52">
        <v>6022338</v>
      </c>
      <c r="B823" s="52" t="s">
        <v>3691</v>
      </c>
      <c r="C823" s="52" t="s">
        <v>3698</v>
      </c>
      <c r="D823" s="53">
        <v>46160.75</v>
      </c>
      <c r="E823" s="53">
        <v>46157.584722222222</v>
      </c>
      <c r="F823" s="52"/>
      <c r="G823" s="52"/>
      <c r="H823" s="52"/>
      <c r="I823" s="52"/>
      <c r="J823" s="52" t="s">
        <v>3694</v>
      </c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 t="s">
        <v>3696</v>
      </c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>
        <v>0</v>
      </c>
      <c r="AT823" s="52"/>
      <c r="AU823" s="52"/>
      <c r="AV823" s="52"/>
      <c r="AW823" s="52"/>
    </row>
    <row r="824" spans="1:49">
      <c r="A824" s="52">
        <v>6022339</v>
      </c>
      <c r="B824" s="52" t="s">
        <v>3716</v>
      </c>
      <c r="C824" s="52" t="s">
        <v>3692</v>
      </c>
      <c r="D824" s="53">
        <v>46157.416666666664</v>
      </c>
      <c r="E824" s="53">
        <v>46156.68472222222</v>
      </c>
      <c r="F824" s="53">
        <v>46157.856944444444</v>
      </c>
      <c r="G824" s="53">
        <v>46160.291666666664</v>
      </c>
      <c r="H824" s="52"/>
      <c r="I824" s="52" t="s">
        <v>3693</v>
      </c>
      <c r="J824" s="52" t="s">
        <v>3693</v>
      </c>
      <c r="K824" s="53">
        <v>46159.045138888891</v>
      </c>
      <c r="L824" s="52"/>
      <c r="M824" s="54">
        <v>1.0465277777777777</v>
      </c>
      <c r="N824" s="55">
        <v>0.78888888888888886</v>
      </c>
      <c r="O824" s="52"/>
      <c r="P824" s="52"/>
      <c r="Q824" s="52"/>
      <c r="R824" s="52"/>
      <c r="S824" s="52"/>
      <c r="T824" s="52" t="s">
        <v>3980</v>
      </c>
      <c r="U824" s="52" t="s">
        <v>4112</v>
      </c>
      <c r="V824" s="52"/>
      <c r="W824" s="52"/>
      <c r="X824" s="52"/>
      <c r="Y824" s="52"/>
      <c r="Z824" s="52" t="s">
        <v>3696</v>
      </c>
      <c r="AA824" s="52" t="s">
        <v>724</v>
      </c>
      <c r="AB824" s="52" t="s">
        <v>79</v>
      </c>
      <c r="AC824" s="52" t="s">
        <v>3720</v>
      </c>
      <c r="AD824" s="52" t="s">
        <v>3715</v>
      </c>
      <c r="AE824" s="52"/>
      <c r="AF824" s="52" t="s">
        <v>4113</v>
      </c>
      <c r="AG824" s="52" t="s">
        <v>3726</v>
      </c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>
        <v>0</v>
      </c>
      <c r="AT824" s="52"/>
      <c r="AU824" s="52"/>
      <c r="AV824" s="52" t="s">
        <v>726</v>
      </c>
      <c r="AW824" s="52"/>
    </row>
    <row r="825" spans="1:49">
      <c r="A825" s="52">
        <v>6022339</v>
      </c>
      <c r="B825" s="52" t="s">
        <v>3716</v>
      </c>
      <c r="C825" s="52" t="s">
        <v>3698</v>
      </c>
      <c r="D825" s="53">
        <v>46157.416666666664</v>
      </c>
      <c r="E825" s="53">
        <v>46156.68472222222</v>
      </c>
      <c r="F825" s="53">
        <v>46157.888194444444</v>
      </c>
      <c r="G825" s="53">
        <v>46160.291666666664</v>
      </c>
      <c r="H825" s="52"/>
      <c r="I825" s="52"/>
      <c r="J825" s="52" t="s">
        <v>3693</v>
      </c>
      <c r="K825" s="53">
        <v>46158.719444444447</v>
      </c>
      <c r="L825" s="52"/>
      <c r="M825" s="54">
        <v>2.4034722222222222</v>
      </c>
      <c r="N825" s="55">
        <v>0.56805555555555554</v>
      </c>
      <c r="O825" s="52" t="s">
        <v>4114</v>
      </c>
      <c r="P825" s="52" t="s">
        <v>724</v>
      </c>
      <c r="Q825" s="52" t="s">
        <v>722</v>
      </c>
      <c r="R825" s="52" t="s">
        <v>729</v>
      </c>
      <c r="S825" s="52" t="s">
        <v>3756</v>
      </c>
      <c r="T825" s="52" t="s">
        <v>3980</v>
      </c>
      <c r="U825" s="52" t="s">
        <v>4112</v>
      </c>
      <c r="V825" s="52" t="s">
        <v>730</v>
      </c>
      <c r="W825" s="52">
        <v>44190662291</v>
      </c>
      <c r="X825" s="52" t="s">
        <v>73</v>
      </c>
      <c r="Y825" s="52"/>
      <c r="Z825" s="52" t="s">
        <v>3696</v>
      </c>
      <c r="AA825" s="52" t="s">
        <v>3710</v>
      </c>
      <c r="AB825" s="52"/>
      <c r="AC825" s="52" t="s">
        <v>3720</v>
      </c>
      <c r="AD825" s="52" t="s">
        <v>3715</v>
      </c>
      <c r="AE825" s="52" t="s">
        <v>79</v>
      </c>
      <c r="AF825" s="52" t="s">
        <v>4113</v>
      </c>
      <c r="AG825" s="52" t="s">
        <v>3726</v>
      </c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 t="s">
        <v>3696</v>
      </c>
      <c r="AT825" s="52"/>
      <c r="AU825" s="52"/>
      <c r="AV825" s="52"/>
      <c r="AW825" s="52"/>
    </row>
    <row r="826" spans="1:49">
      <c r="A826" s="52">
        <v>6022339</v>
      </c>
      <c r="B826" s="52" t="s">
        <v>3716</v>
      </c>
      <c r="C826" s="52" t="s">
        <v>3698</v>
      </c>
      <c r="D826" s="53">
        <v>46157.416666666664</v>
      </c>
      <c r="E826" s="53">
        <v>46156.68472222222</v>
      </c>
      <c r="F826" s="53">
        <v>46157.888194444444</v>
      </c>
      <c r="G826" s="53">
        <v>46160.291666666664</v>
      </c>
      <c r="H826" s="52"/>
      <c r="I826" s="52"/>
      <c r="J826" s="52" t="s">
        <v>3693</v>
      </c>
      <c r="K826" s="53">
        <v>46158.719444444447</v>
      </c>
      <c r="L826" s="52"/>
      <c r="M826" s="54">
        <v>2.4034722222222222</v>
      </c>
      <c r="N826" s="55">
        <v>0.56805555555555554</v>
      </c>
      <c r="O826" s="52" t="s">
        <v>4114</v>
      </c>
      <c r="P826" s="52" t="s">
        <v>724</v>
      </c>
      <c r="Q826" s="52" t="s">
        <v>722</v>
      </c>
      <c r="R826" s="52" t="s">
        <v>729</v>
      </c>
      <c r="S826" s="52" t="s">
        <v>3756</v>
      </c>
      <c r="T826" s="52" t="s">
        <v>3980</v>
      </c>
      <c r="U826" s="52" t="s">
        <v>4112</v>
      </c>
      <c r="V826" s="52" t="s">
        <v>730</v>
      </c>
      <c r="W826" s="52">
        <v>44190662291</v>
      </c>
      <c r="X826" s="52" t="s">
        <v>73</v>
      </c>
      <c r="Y826" s="52"/>
      <c r="Z826" s="52" t="s">
        <v>3696</v>
      </c>
      <c r="AA826" s="52" t="s">
        <v>3710</v>
      </c>
      <c r="AB826" s="52"/>
      <c r="AC826" s="52" t="s">
        <v>3720</v>
      </c>
      <c r="AD826" s="52" t="s">
        <v>3715</v>
      </c>
      <c r="AE826" s="52"/>
      <c r="AF826" s="52" t="s">
        <v>4113</v>
      </c>
      <c r="AG826" s="52" t="s">
        <v>3726</v>
      </c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 t="s">
        <v>3696</v>
      </c>
      <c r="AT826" s="52"/>
      <c r="AU826" s="52"/>
      <c r="AV826" s="52"/>
      <c r="AW826" s="52" t="s">
        <v>726</v>
      </c>
    </row>
    <row r="827" spans="1:49">
      <c r="A827" s="52">
        <v>6022339</v>
      </c>
      <c r="B827" s="52" t="s">
        <v>3716</v>
      </c>
      <c r="C827" s="52" t="s">
        <v>3698</v>
      </c>
      <c r="D827" s="53">
        <v>46157.416666666664</v>
      </c>
      <c r="E827" s="53">
        <v>46156.68472222222</v>
      </c>
      <c r="F827" s="53">
        <v>46157.9375</v>
      </c>
      <c r="G827" s="53">
        <v>46160.291666666664</v>
      </c>
      <c r="H827" s="52"/>
      <c r="I827" s="52"/>
      <c r="J827" s="52" t="s">
        <v>3693</v>
      </c>
      <c r="K827" s="53">
        <v>46158.719444444447</v>
      </c>
      <c r="L827" s="52"/>
      <c r="M827" s="54">
        <v>2.3541666666666665</v>
      </c>
      <c r="N827" s="55">
        <v>0.51875000000000004</v>
      </c>
      <c r="O827" s="52" t="s">
        <v>723</v>
      </c>
      <c r="P827" s="52" t="s">
        <v>724</v>
      </c>
      <c r="Q827" s="52" t="s">
        <v>722</v>
      </c>
      <c r="R827" s="52" t="s">
        <v>729</v>
      </c>
      <c r="S827" s="52" t="s">
        <v>69</v>
      </c>
      <c r="T827" s="52" t="s">
        <v>4115</v>
      </c>
      <c r="U827" s="52" t="s">
        <v>3695</v>
      </c>
      <c r="V827" s="52" t="s">
        <v>730</v>
      </c>
      <c r="W827" s="52">
        <v>44190662291</v>
      </c>
      <c r="X827" s="52" t="s">
        <v>73</v>
      </c>
      <c r="Y827" s="52"/>
      <c r="Z827" s="52" t="s">
        <v>3696</v>
      </c>
      <c r="AA827" s="52" t="s">
        <v>3710</v>
      </c>
      <c r="AB827" s="52"/>
      <c r="AC827" s="52" t="s">
        <v>3720</v>
      </c>
      <c r="AD827" s="52" t="s">
        <v>3715</v>
      </c>
      <c r="AE827" s="52" t="s">
        <v>79</v>
      </c>
      <c r="AF827" s="52" t="s">
        <v>4113</v>
      </c>
      <c r="AG827" s="52" t="s">
        <v>3726</v>
      </c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 t="s">
        <v>3696</v>
      </c>
      <c r="AT827" s="52"/>
      <c r="AU827" s="52"/>
      <c r="AV827" s="52"/>
      <c r="AW827" s="52"/>
    </row>
    <row r="828" spans="1:49">
      <c r="A828" s="52">
        <v>6022339</v>
      </c>
      <c r="B828" s="52" t="s">
        <v>3716</v>
      </c>
      <c r="C828" s="52" t="s">
        <v>3698</v>
      </c>
      <c r="D828" s="53">
        <v>46157.416666666664</v>
      </c>
      <c r="E828" s="53">
        <v>46156.68472222222</v>
      </c>
      <c r="F828" s="53">
        <v>46157.9375</v>
      </c>
      <c r="G828" s="53">
        <v>46160.291666666664</v>
      </c>
      <c r="H828" s="52"/>
      <c r="I828" s="52"/>
      <c r="J828" s="52" t="s">
        <v>3693</v>
      </c>
      <c r="K828" s="53">
        <v>46158.719444444447</v>
      </c>
      <c r="L828" s="52"/>
      <c r="M828" s="54">
        <v>2.3541666666666665</v>
      </c>
      <c r="N828" s="55">
        <v>0.51875000000000004</v>
      </c>
      <c r="O828" s="52" t="s">
        <v>723</v>
      </c>
      <c r="P828" s="52" t="s">
        <v>724</v>
      </c>
      <c r="Q828" s="52" t="s">
        <v>722</v>
      </c>
      <c r="R828" s="52" t="s">
        <v>729</v>
      </c>
      <c r="S828" s="52" t="s">
        <v>69</v>
      </c>
      <c r="T828" s="52" t="s">
        <v>4115</v>
      </c>
      <c r="U828" s="52" t="s">
        <v>3695</v>
      </c>
      <c r="V828" s="52" t="s">
        <v>730</v>
      </c>
      <c r="W828" s="52">
        <v>44190662291</v>
      </c>
      <c r="X828" s="52" t="s">
        <v>73</v>
      </c>
      <c r="Y828" s="52"/>
      <c r="Z828" s="52" t="s">
        <v>3696</v>
      </c>
      <c r="AA828" s="52" t="s">
        <v>3710</v>
      </c>
      <c r="AB828" s="52"/>
      <c r="AC828" s="52" t="s">
        <v>3720</v>
      </c>
      <c r="AD828" s="52" t="s">
        <v>3715</v>
      </c>
      <c r="AE828" s="52"/>
      <c r="AF828" s="52" t="s">
        <v>4113</v>
      </c>
      <c r="AG828" s="52" t="s">
        <v>3726</v>
      </c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 t="s">
        <v>3696</v>
      </c>
      <c r="AT828" s="52"/>
      <c r="AU828" s="52"/>
      <c r="AV828" s="52"/>
      <c r="AW828" s="52" t="s">
        <v>726</v>
      </c>
    </row>
    <row r="829" spans="1:49">
      <c r="A829" s="52">
        <v>6022523</v>
      </c>
      <c r="B829" s="52" t="s">
        <v>3691</v>
      </c>
      <c r="C829" s="52" t="s">
        <v>3692</v>
      </c>
      <c r="D829" s="53">
        <v>46160.75</v>
      </c>
      <c r="E829" s="53">
        <v>46157.584722222222</v>
      </c>
      <c r="F829" s="52"/>
      <c r="G829" s="52"/>
      <c r="H829" s="52"/>
      <c r="I829" s="52" t="s">
        <v>3693</v>
      </c>
      <c r="J829" s="52" t="s">
        <v>3694</v>
      </c>
      <c r="K829" s="52"/>
      <c r="L829" s="52"/>
      <c r="M829" s="54">
        <v>1.117361111111111</v>
      </c>
      <c r="N829" s="54">
        <v>2.7180555555555554</v>
      </c>
      <c r="O829" s="52"/>
      <c r="P829" s="52"/>
      <c r="Q829" s="52"/>
      <c r="R829" s="52"/>
      <c r="S829" s="52"/>
      <c r="T829" s="52" t="s">
        <v>3695</v>
      </c>
      <c r="U829" s="52" t="s">
        <v>3695</v>
      </c>
      <c r="V829" s="52"/>
      <c r="W829" s="52"/>
      <c r="X829" s="52"/>
      <c r="Y829" s="52"/>
      <c r="Z829" s="52" t="s">
        <v>3696</v>
      </c>
      <c r="AA829" s="52" t="s">
        <v>3050</v>
      </c>
      <c r="AB829" s="52" t="s">
        <v>140</v>
      </c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>
        <v>0</v>
      </c>
      <c r="AT829" s="52"/>
      <c r="AU829" s="52"/>
      <c r="AV829" s="52" t="s">
        <v>253</v>
      </c>
      <c r="AW829" s="52"/>
    </row>
    <row r="830" spans="1:49">
      <c r="A830" s="52">
        <v>6022523</v>
      </c>
      <c r="B830" s="52" t="s">
        <v>3691</v>
      </c>
      <c r="C830" s="52" t="s">
        <v>3698</v>
      </c>
      <c r="D830" s="53">
        <v>46160.75</v>
      </c>
      <c r="E830" s="53">
        <v>46157.584722222222</v>
      </c>
      <c r="F830" s="52"/>
      <c r="G830" s="52"/>
      <c r="H830" s="52"/>
      <c r="I830" s="52"/>
      <c r="J830" s="52" t="s">
        <v>3694</v>
      </c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 t="s">
        <v>3696</v>
      </c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>
        <v>0</v>
      </c>
      <c r="AT830" s="52"/>
      <c r="AU830" s="52"/>
      <c r="AV830" s="52"/>
      <c r="AW830" s="52"/>
    </row>
    <row r="831" spans="1:49">
      <c r="A831" s="52">
        <v>6022595</v>
      </c>
      <c r="B831" s="52" t="s">
        <v>3716</v>
      </c>
      <c r="C831" s="52" t="s">
        <v>3692</v>
      </c>
      <c r="D831" s="53">
        <v>46157.604166666664</v>
      </c>
      <c r="E831" s="53">
        <v>46156.68472222222</v>
      </c>
      <c r="F831" s="53">
        <v>46157.698611111111</v>
      </c>
      <c r="G831" s="53">
        <v>46162.833333333336</v>
      </c>
      <c r="H831" s="53">
        <v>46157.745138888888</v>
      </c>
      <c r="I831" s="52" t="s">
        <v>3693</v>
      </c>
      <c r="J831" s="52" t="s">
        <v>3694</v>
      </c>
      <c r="K831" s="52"/>
      <c r="L831" s="52"/>
      <c r="M831" s="55">
        <v>0.41666666666666669</v>
      </c>
      <c r="N831" s="54">
        <v>4.3770833333333332</v>
      </c>
      <c r="O831" s="52"/>
      <c r="P831" s="52"/>
      <c r="Q831" s="52"/>
      <c r="R831" s="52"/>
      <c r="S831" s="52"/>
      <c r="T831" s="52" t="s">
        <v>4116</v>
      </c>
      <c r="U831" s="52" t="s">
        <v>4117</v>
      </c>
      <c r="V831" s="52"/>
      <c r="W831" s="52"/>
      <c r="X831" s="52"/>
      <c r="Y831" s="52"/>
      <c r="Z831" s="52" t="s">
        <v>3696</v>
      </c>
      <c r="AA831" s="52" t="s">
        <v>440</v>
      </c>
      <c r="AB831" s="52" t="s">
        <v>79</v>
      </c>
      <c r="AC831" s="52" t="s">
        <v>3720</v>
      </c>
      <c r="AD831" s="52" t="s">
        <v>3715</v>
      </c>
      <c r="AE831" s="52"/>
      <c r="AF831" s="52" t="s">
        <v>3720</v>
      </c>
      <c r="AG831" s="52" t="s">
        <v>3715</v>
      </c>
      <c r="AH831" s="52"/>
      <c r="AI831" s="52"/>
      <c r="AJ831" s="52"/>
      <c r="AK831" s="52"/>
      <c r="AL831" s="55">
        <v>0.15277777777777779</v>
      </c>
      <c r="AM831" s="52"/>
      <c r="AN831" s="52"/>
      <c r="AO831" s="52"/>
      <c r="AP831" s="52"/>
      <c r="AQ831" s="52"/>
      <c r="AR831" s="52"/>
      <c r="AS831" s="52">
        <v>0</v>
      </c>
      <c r="AT831" s="52"/>
      <c r="AU831" s="52"/>
      <c r="AV831" s="52" t="s">
        <v>444</v>
      </c>
      <c r="AW831" s="52"/>
    </row>
    <row r="832" spans="1:49">
      <c r="A832" s="52">
        <v>6022595</v>
      </c>
      <c r="B832" s="52" t="s">
        <v>3716</v>
      </c>
      <c r="C832" s="52" t="s">
        <v>3698</v>
      </c>
      <c r="D832" s="53">
        <v>46157.604166666664</v>
      </c>
      <c r="E832" s="53">
        <v>46156.68472222222</v>
      </c>
      <c r="F832" s="53">
        <v>46157.7</v>
      </c>
      <c r="G832" s="53">
        <v>46158.359722222223</v>
      </c>
      <c r="H832" s="52"/>
      <c r="I832" s="52"/>
      <c r="J832" s="52" t="s">
        <v>3694</v>
      </c>
      <c r="K832" s="53">
        <v>46158.633333333331</v>
      </c>
      <c r="L832" s="52"/>
      <c r="M832" s="55">
        <v>0.65972222222222221</v>
      </c>
      <c r="N832" s="55">
        <v>0.75624999999999998</v>
      </c>
      <c r="O832" s="52" t="s">
        <v>439</v>
      </c>
      <c r="P832" s="52" t="s">
        <v>440</v>
      </c>
      <c r="Q832" s="52" t="s">
        <v>438</v>
      </c>
      <c r="R832" s="52" t="s">
        <v>448</v>
      </c>
      <c r="S832" s="52" t="s">
        <v>69</v>
      </c>
      <c r="T832" s="52" t="s">
        <v>4116</v>
      </c>
      <c r="U832" s="52" t="s">
        <v>4117</v>
      </c>
      <c r="V832" s="52" t="s">
        <v>449</v>
      </c>
      <c r="W832" s="52">
        <v>32986334881</v>
      </c>
      <c r="X832" s="52" t="s">
        <v>73</v>
      </c>
      <c r="Y832" s="52"/>
      <c r="Z832" s="52" t="s">
        <v>3696</v>
      </c>
      <c r="AA832" s="52" t="s">
        <v>3710</v>
      </c>
      <c r="AB832" s="52"/>
      <c r="AC832" s="52" t="s">
        <v>3720</v>
      </c>
      <c r="AD832" s="52" t="s">
        <v>3715</v>
      </c>
      <c r="AE832" s="52" t="s">
        <v>79</v>
      </c>
      <c r="AF832" s="52" t="s">
        <v>4118</v>
      </c>
      <c r="AG832" s="52" t="s">
        <v>3726</v>
      </c>
      <c r="AH832" s="52"/>
      <c r="AI832" s="53">
        <v>46157.745138888888</v>
      </c>
      <c r="AJ832" s="53">
        <v>46157.897916666669</v>
      </c>
      <c r="AK832" s="53">
        <v>46157.745138888888</v>
      </c>
      <c r="AL832" s="55">
        <v>0.15277777777777779</v>
      </c>
      <c r="AM832" s="52"/>
      <c r="AN832" s="55">
        <v>0.15277777777777779</v>
      </c>
      <c r="AO832" s="52"/>
      <c r="AP832" s="55">
        <v>0.15277777777777779</v>
      </c>
      <c r="AQ832" s="52"/>
      <c r="AR832" s="52"/>
      <c r="AS832" s="52" t="s">
        <v>3696</v>
      </c>
      <c r="AT832" s="52"/>
      <c r="AU832" s="52"/>
      <c r="AV832" s="52"/>
      <c r="AW832" s="52"/>
    </row>
    <row r="833" spans="1:49">
      <c r="A833" s="52">
        <v>6022595</v>
      </c>
      <c r="B833" s="52" t="s">
        <v>3716</v>
      </c>
      <c r="C833" s="52" t="s">
        <v>3698</v>
      </c>
      <c r="D833" s="53">
        <v>46157.604166666664</v>
      </c>
      <c r="E833" s="53">
        <v>46156.68472222222</v>
      </c>
      <c r="F833" s="53">
        <v>46157.7</v>
      </c>
      <c r="G833" s="53">
        <v>46158.359722222223</v>
      </c>
      <c r="H833" s="52"/>
      <c r="I833" s="52"/>
      <c r="J833" s="52" t="s">
        <v>3694</v>
      </c>
      <c r="K833" s="53">
        <v>46158.633333333331</v>
      </c>
      <c r="L833" s="52"/>
      <c r="M833" s="55">
        <v>0.65972222222222221</v>
      </c>
      <c r="N833" s="55">
        <v>0.75624999999999998</v>
      </c>
      <c r="O833" s="52" t="s">
        <v>439</v>
      </c>
      <c r="P833" s="52" t="s">
        <v>440</v>
      </c>
      <c r="Q833" s="52" t="s">
        <v>438</v>
      </c>
      <c r="R833" s="52" t="s">
        <v>448</v>
      </c>
      <c r="S833" s="52" t="s">
        <v>69</v>
      </c>
      <c r="T833" s="52" t="s">
        <v>4116</v>
      </c>
      <c r="U833" s="52" t="s">
        <v>4117</v>
      </c>
      <c r="V833" s="52" t="s">
        <v>449</v>
      </c>
      <c r="W833" s="52">
        <v>32986334881</v>
      </c>
      <c r="X833" s="52" t="s">
        <v>73</v>
      </c>
      <c r="Y833" s="52"/>
      <c r="Z833" s="52" t="s">
        <v>3696</v>
      </c>
      <c r="AA833" s="52" t="s">
        <v>3710</v>
      </c>
      <c r="AB833" s="52"/>
      <c r="AC833" s="52" t="s">
        <v>3720</v>
      </c>
      <c r="AD833" s="52" t="s">
        <v>3715</v>
      </c>
      <c r="AE833" s="52"/>
      <c r="AF833" s="52" t="s">
        <v>4118</v>
      </c>
      <c r="AG833" s="52" t="s">
        <v>3726</v>
      </c>
      <c r="AH833" s="52"/>
      <c r="AI833" s="53">
        <v>46157.745138888888</v>
      </c>
      <c r="AJ833" s="53">
        <v>46157.897916666669</v>
      </c>
      <c r="AK833" s="53">
        <v>46157.745138888888</v>
      </c>
      <c r="AL833" s="55">
        <v>0.15277777777777779</v>
      </c>
      <c r="AM833" s="52"/>
      <c r="AN833" s="55">
        <v>0.15277777777777779</v>
      </c>
      <c r="AO833" s="52"/>
      <c r="AP833" s="55">
        <v>0.15277777777777779</v>
      </c>
      <c r="AQ833" s="52"/>
      <c r="AR833" s="52"/>
      <c r="AS833" s="52" t="s">
        <v>3696</v>
      </c>
      <c r="AT833" s="52"/>
      <c r="AU833" s="52"/>
      <c r="AV833" s="52"/>
      <c r="AW833" s="52" t="s">
        <v>444</v>
      </c>
    </row>
    <row r="834" spans="1:49">
      <c r="A834" s="52">
        <v>6022596</v>
      </c>
      <c r="B834" s="52" t="s">
        <v>3723</v>
      </c>
      <c r="C834" s="52" t="s">
        <v>3692</v>
      </c>
      <c r="D834" s="53">
        <v>46157.416666666664</v>
      </c>
      <c r="E834" s="53">
        <v>46156.68472222222</v>
      </c>
      <c r="F834" s="53">
        <v>46157.75277777778</v>
      </c>
      <c r="G834" s="53">
        <v>46164.25</v>
      </c>
      <c r="H834" s="52"/>
      <c r="I834" s="52" t="s">
        <v>3693</v>
      </c>
      <c r="J834" s="52" t="s">
        <v>3693</v>
      </c>
      <c r="K834" s="53">
        <v>46158.623611111114</v>
      </c>
      <c r="L834" s="52"/>
      <c r="M834" s="55">
        <v>0.41666666666666669</v>
      </c>
      <c r="N834" s="54">
        <v>5.3770833333333332</v>
      </c>
      <c r="O834" s="52"/>
      <c r="P834" s="52"/>
      <c r="Q834" s="52"/>
      <c r="R834" s="52"/>
      <c r="S834" s="52"/>
      <c r="T834" s="52" t="s">
        <v>4116</v>
      </c>
      <c r="U834" s="52" t="s">
        <v>4119</v>
      </c>
      <c r="V834" s="52"/>
      <c r="W834" s="52"/>
      <c r="X834" s="52"/>
      <c r="Y834" s="52"/>
      <c r="Z834" s="52" t="s">
        <v>3696</v>
      </c>
      <c r="AA834" s="52" t="s">
        <v>227</v>
      </c>
      <c r="AB834" s="52" t="s">
        <v>79</v>
      </c>
      <c r="AC834" s="52" t="s">
        <v>3720</v>
      </c>
      <c r="AD834" s="52" t="s">
        <v>3715</v>
      </c>
      <c r="AE834" s="52"/>
      <c r="AF834" s="52" t="s">
        <v>4118</v>
      </c>
      <c r="AG834" s="52" t="s">
        <v>3726</v>
      </c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>
        <v>0</v>
      </c>
      <c r="AT834" s="52"/>
      <c r="AU834" s="52"/>
      <c r="AV834" s="52" t="s">
        <v>444</v>
      </c>
      <c r="AW834" s="52"/>
    </row>
    <row r="835" spans="1:49">
      <c r="A835" s="52">
        <v>6022596</v>
      </c>
      <c r="B835" s="52" t="s">
        <v>3723</v>
      </c>
      <c r="C835" s="52" t="s">
        <v>3698</v>
      </c>
      <c r="D835" s="53">
        <v>46157.416666666664</v>
      </c>
      <c r="E835" s="53">
        <v>46156.68472222222</v>
      </c>
      <c r="F835" s="53">
        <v>46157.754166666666</v>
      </c>
      <c r="G835" s="53">
        <v>46164.25</v>
      </c>
      <c r="H835" s="53">
        <v>46158.365277777775</v>
      </c>
      <c r="I835" s="52"/>
      <c r="J835" s="52" t="s">
        <v>3693</v>
      </c>
      <c r="K835" s="53">
        <v>46158.623611111114</v>
      </c>
      <c r="L835" s="52"/>
      <c r="M835" s="54">
        <v>6.4958333333333336</v>
      </c>
      <c r="N835" s="55">
        <v>0.70208333333333328</v>
      </c>
      <c r="O835" s="52" t="s">
        <v>3598</v>
      </c>
      <c r="P835" s="52" t="s">
        <v>227</v>
      </c>
      <c r="Q835" s="52" t="s">
        <v>2028</v>
      </c>
      <c r="R835" s="52" t="s">
        <v>1496</v>
      </c>
      <c r="S835" s="52" t="s">
        <v>789</v>
      </c>
      <c r="T835" s="52" t="s">
        <v>4116</v>
      </c>
      <c r="U835" s="52" t="s">
        <v>4119</v>
      </c>
      <c r="V835" s="52" t="s">
        <v>2032</v>
      </c>
      <c r="W835" s="52">
        <v>60372788904</v>
      </c>
      <c r="X835" s="52" t="s">
        <v>73</v>
      </c>
      <c r="Y835" s="52"/>
      <c r="Z835" s="52" t="s">
        <v>3696</v>
      </c>
      <c r="AA835" s="52" t="s">
        <v>3710</v>
      </c>
      <c r="AB835" s="52"/>
      <c r="AC835" s="52" t="s">
        <v>3720</v>
      </c>
      <c r="AD835" s="52" t="s">
        <v>3715</v>
      </c>
      <c r="AE835" s="52" t="s">
        <v>79</v>
      </c>
      <c r="AF835" s="52" t="s">
        <v>4118</v>
      </c>
      <c r="AG835" s="52" t="s">
        <v>3726</v>
      </c>
      <c r="AH835" s="52"/>
      <c r="AI835" s="52"/>
      <c r="AJ835" s="52"/>
      <c r="AK835" s="52"/>
      <c r="AL835" s="55">
        <v>0.40138888888888891</v>
      </c>
      <c r="AM835" s="52"/>
      <c r="AN835" s="52"/>
      <c r="AO835" s="52"/>
      <c r="AP835" s="55">
        <v>0.40138888888888891</v>
      </c>
      <c r="AQ835" s="52"/>
      <c r="AR835" s="52"/>
      <c r="AS835" s="52" t="s">
        <v>3696</v>
      </c>
      <c r="AT835" s="52"/>
      <c r="AU835" s="52"/>
      <c r="AV835" s="52"/>
      <c r="AW835" s="52"/>
    </row>
    <row r="836" spans="1:49">
      <c r="A836" s="52">
        <v>6022596</v>
      </c>
      <c r="B836" s="52" t="s">
        <v>3723</v>
      </c>
      <c r="C836" s="52" t="s">
        <v>3698</v>
      </c>
      <c r="D836" s="53">
        <v>46157.416666666664</v>
      </c>
      <c r="E836" s="53">
        <v>46156.68472222222</v>
      </c>
      <c r="F836" s="53">
        <v>46157.754166666666</v>
      </c>
      <c r="G836" s="53">
        <v>46164.25</v>
      </c>
      <c r="H836" s="53">
        <v>46158.365277777775</v>
      </c>
      <c r="I836" s="52"/>
      <c r="J836" s="52" t="s">
        <v>3693</v>
      </c>
      <c r="K836" s="53">
        <v>46158.623611111114</v>
      </c>
      <c r="L836" s="52"/>
      <c r="M836" s="54">
        <v>6.4958333333333336</v>
      </c>
      <c r="N836" s="55">
        <v>0.70208333333333328</v>
      </c>
      <c r="O836" s="52" t="s">
        <v>3598</v>
      </c>
      <c r="P836" s="52" t="s">
        <v>227</v>
      </c>
      <c r="Q836" s="52" t="s">
        <v>2028</v>
      </c>
      <c r="R836" s="52" t="s">
        <v>1496</v>
      </c>
      <c r="S836" s="52" t="s">
        <v>789</v>
      </c>
      <c r="T836" s="52" t="s">
        <v>4116</v>
      </c>
      <c r="U836" s="52" t="s">
        <v>4119</v>
      </c>
      <c r="V836" s="52" t="s">
        <v>2032</v>
      </c>
      <c r="W836" s="52">
        <v>60372788904</v>
      </c>
      <c r="X836" s="52" t="s">
        <v>73</v>
      </c>
      <c r="Y836" s="52"/>
      <c r="Z836" s="52" t="s">
        <v>3696</v>
      </c>
      <c r="AA836" s="52" t="s">
        <v>3710</v>
      </c>
      <c r="AB836" s="52"/>
      <c r="AC836" s="52" t="s">
        <v>3720</v>
      </c>
      <c r="AD836" s="52" t="s">
        <v>3715</v>
      </c>
      <c r="AE836" s="52"/>
      <c r="AF836" s="52" t="s">
        <v>4118</v>
      </c>
      <c r="AG836" s="52" t="s">
        <v>3726</v>
      </c>
      <c r="AH836" s="52"/>
      <c r="AI836" s="52"/>
      <c r="AJ836" s="52"/>
      <c r="AK836" s="52"/>
      <c r="AL836" s="55">
        <v>0.40138888888888891</v>
      </c>
      <c r="AM836" s="52"/>
      <c r="AN836" s="52"/>
      <c r="AO836" s="52"/>
      <c r="AP836" s="55">
        <v>0.40138888888888891</v>
      </c>
      <c r="AQ836" s="52"/>
      <c r="AR836" s="52"/>
      <c r="AS836" s="52" t="s">
        <v>3696</v>
      </c>
      <c r="AT836" s="52"/>
      <c r="AU836" s="52"/>
      <c r="AV836" s="52"/>
      <c r="AW836" s="52" t="s">
        <v>444</v>
      </c>
    </row>
    <row r="837" spans="1:49">
      <c r="A837" s="52">
        <v>6022618</v>
      </c>
      <c r="B837" s="52" t="s">
        <v>3716</v>
      </c>
      <c r="C837" s="52" t="s">
        <v>3692</v>
      </c>
      <c r="D837" s="53">
        <v>46157.75</v>
      </c>
      <c r="E837" s="53">
        <v>46156.68472222222</v>
      </c>
      <c r="F837" s="53">
        <v>46157.813888888886</v>
      </c>
      <c r="G837" s="53">
        <v>46169.25</v>
      </c>
      <c r="H837" s="52"/>
      <c r="I837" s="52" t="s">
        <v>3693</v>
      </c>
      <c r="J837" s="52" t="s">
        <v>3694</v>
      </c>
      <c r="K837" s="53">
        <v>46159.947916666664</v>
      </c>
      <c r="L837" s="52"/>
      <c r="M837" s="54">
        <v>2.004861111111111</v>
      </c>
      <c r="N837" s="54">
        <v>3.8722222222222222</v>
      </c>
      <c r="O837" s="52"/>
      <c r="P837" s="52"/>
      <c r="Q837" s="52"/>
      <c r="R837" s="52"/>
      <c r="S837" s="52"/>
      <c r="T837" s="52" t="s">
        <v>4000</v>
      </c>
      <c r="U837" s="52" t="s">
        <v>3695</v>
      </c>
      <c r="V837" s="52"/>
      <c r="W837" s="52"/>
      <c r="X837" s="52"/>
      <c r="Y837" s="52"/>
      <c r="Z837" s="52" t="s">
        <v>3696</v>
      </c>
      <c r="AA837" s="52" t="s">
        <v>836</v>
      </c>
      <c r="AB837" s="52" t="s">
        <v>79</v>
      </c>
      <c r="AC837" s="52" t="s">
        <v>3720</v>
      </c>
      <c r="AD837" s="52" t="s">
        <v>3715</v>
      </c>
      <c r="AE837" s="52"/>
      <c r="AF837" s="52" t="s">
        <v>4001</v>
      </c>
      <c r="AG837" s="52" t="s">
        <v>4002</v>
      </c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>
        <v>0</v>
      </c>
      <c r="AT837" s="52"/>
      <c r="AU837" s="52"/>
      <c r="AV837" s="52" t="s">
        <v>840</v>
      </c>
      <c r="AW837" s="52"/>
    </row>
    <row r="838" spans="1:49">
      <c r="A838" s="52">
        <v>6022618</v>
      </c>
      <c r="B838" s="52" t="s">
        <v>3716</v>
      </c>
      <c r="C838" s="52" t="s">
        <v>3698</v>
      </c>
      <c r="D838" s="53">
        <v>46157.75</v>
      </c>
      <c r="E838" s="53">
        <v>46156.68472222222</v>
      </c>
      <c r="F838" s="52"/>
      <c r="G838" s="53">
        <v>46169.25</v>
      </c>
      <c r="H838" s="52"/>
      <c r="I838" s="52"/>
      <c r="J838" s="52" t="s">
        <v>3694</v>
      </c>
      <c r="K838" s="53">
        <v>46159.947916666664</v>
      </c>
      <c r="L838" s="52"/>
      <c r="M838" s="52"/>
      <c r="N838" s="52"/>
      <c r="O838" s="52" t="s">
        <v>4003</v>
      </c>
      <c r="P838" s="52" t="s">
        <v>836</v>
      </c>
      <c r="Q838" s="52" t="s">
        <v>895</v>
      </c>
      <c r="R838" s="52" t="s">
        <v>902</v>
      </c>
      <c r="S838" s="52" t="s">
        <v>3895</v>
      </c>
      <c r="T838" s="52" t="s">
        <v>4000</v>
      </c>
      <c r="U838" s="52" t="s">
        <v>3695</v>
      </c>
      <c r="V838" s="52" t="s">
        <v>903</v>
      </c>
      <c r="W838" s="52">
        <v>61708488987</v>
      </c>
      <c r="X838" s="52" t="s">
        <v>73</v>
      </c>
      <c r="Y838" s="52" t="s">
        <v>3930</v>
      </c>
      <c r="Z838" s="52" t="s">
        <v>3696</v>
      </c>
      <c r="AA838" s="52" t="s">
        <v>3710</v>
      </c>
      <c r="AB838" s="52"/>
      <c r="AC838" s="52" t="s">
        <v>3720</v>
      </c>
      <c r="AD838" s="52" t="s">
        <v>3715</v>
      </c>
      <c r="AE838" s="52" t="s">
        <v>79</v>
      </c>
      <c r="AF838" s="52" t="s">
        <v>4001</v>
      </c>
      <c r="AG838" s="52" t="s">
        <v>4002</v>
      </c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 t="s">
        <v>3696</v>
      </c>
      <c r="AT838" s="52"/>
      <c r="AU838" s="52"/>
      <c r="AV838" s="52"/>
      <c r="AW838" s="52"/>
    </row>
    <row r="839" spans="1:49">
      <c r="A839" s="52">
        <v>6022618</v>
      </c>
      <c r="B839" s="52" t="s">
        <v>3716</v>
      </c>
      <c r="C839" s="52" t="s">
        <v>3698</v>
      </c>
      <c r="D839" s="53">
        <v>46157.75</v>
      </c>
      <c r="E839" s="53">
        <v>46156.68472222222</v>
      </c>
      <c r="F839" s="52"/>
      <c r="G839" s="53">
        <v>46169.25</v>
      </c>
      <c r="H839" s="52"/>
      <c r="I839" s="52"/>
      <c r="J839" s="52" t="s">
        <v>3694</v>
      </c>
      <c r="K839" s="53">
        <v>46159.947916666664</v>
      </c>
      <c r="L839" s="52"/>
      <c r="M839" s="52"/>
      <c r="N839" s="52"/>
      <c r="O839" s="52" t="s">
        <v>4003</v>
      </c>
      <c r="P839" s="52" t="s">
        <v>836</v>
      </c>
      <c r="Q839" s="52" t="s">
        <v>895</v>
      </c>
      <c r="R839" s="52" t="s">
        <v>902</v>
      </c>
      <c r="S839" s="52" t="s">
        <v>3895</v>
      </c>
      <c r="T839" s="52" t="s">
        <v>4000</v>
      </c>
      <c r="U839" s="52" t="s">
        <v>3695</v>
      </c>
      <c r="V839" s="52" t="s">
        <v>903</v>
      </c>
      <c r="W839" s="52">
        <v>61708488987</v>
      </c>
      <c r="X839" s="52" t="s">
        <v>73</v>
      </c>
      <c r="Y839" s="52" t="s">
        <v>3930</v>
      </c>
      <c r="Z839" s="52" t="s">
        <v>3696</v>
      </c>
      <c r="AA839" s="52" t="s">
        <v>3710</v>
      </c>
      <c r="AB839" s="52"/>
      <c r="AC839" s="52" t="s">
        <v>3720</v>
      </c>
      <c r="AD839" s="52" t="s">
        <v>3715</v>
      </c>
      <c r="AE839" s="52"/>
      <c r="AF839" s="52" t="s">
        <v>4001</v>
      </c>
      <c r="AG839" s="52" t="s">
        <v>4002</v>
      </c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 t="s">
        <v>3696</v>
      </c>
      <c r="AT839" s="52"/>
      <c r="AU839" s="52"/>
      <c r="AV839" s="52"/>
      <c r="AW839" s="52" t="s">
        <v>840</v>
      </c>
    </row>
    <row r="840" spans="1:49">
      <c r="A840" s="52">
        <v>6022619</v>
      </c>
      <c r="B840" s="52" t="s">
        <v>3716</v>
      </c>
      <c r="C840" s="52" t="s">
        <v>3692</v>
      </c>
      <c r="D840" s="53">
        <v>46157.75</v>
      </c>
      <c r="E840" s="53">
        <v>46156.68472222222</v>
      </c>
      <c r="F840" s="53">
        <v>46157.813888888886</v>
      </c>
      <c r="G840" s="53">
        <v>46169.25</v>
      </c>
      <c r="H840" s="52"/>
      <c r="I840" s="52" t="s">
        <v>3693</v>
      </c>
      <c r="J840" s="52" t="s">
        <v>3694</v>
      </c>
      <c r="K840" s="53">
        <v>46159.947916666664</v>
      </c>
      <c r="L840" s="52"/>
      <c r="M840" s="54">
        <v>1.9090277777777778</v>
      </c>
      <c r="N840" s="54">
        <v>7.9680555555555559</v>
      </c>
      <c r="O840" s="52"/>
      <c r="P840" s="52"/>
      <c r="Q840" s="52"/>
      <c r="R840" s="52"/>
      <c r="S840" s="52"/>
      <c r="T840" s="52" t="s">
        <v>4000</v>
      </c>
      <c r="U840" s="52" t="s">
        <v>3695</v>
      </c>
      <c r="V840" s="52"/>
      <c r="W840" s="52"/>
      <c r="X840" s="52"/>
      <c r="Y840" s="52"/>
      <c r="Z840" s="52" t="s">
        <v>3696</v>
      </c>
      <c r="AA840" s="52" t="s">
        <v>836</v>
      </c>
      <c r="AB840" s="52" t="s">
        <v>79</v>
      </c>
      <c r="AC840" s="52" t="s">
        <v>3720</v>
      </c>
      <c r="AD840" s="52" t="s">
        <v>3715</v>
      </c>
      <c r="AE840" s="52"/>
      <c r="AF840" s="52" t="s">
        <v>4001</v>
      </c>
      <c r="AG840" s="52" t="s">
        <v>4002</v>
      </c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>
        <v>0</v>
      </c>
      <c r="AT840" s="52"/>
      <c r="AU840" s="52"/>
      <c r="AV840" s="52" t="s">
        <v>840</v>
      </c>
      <c r="AW840" s="52"/>
    </row>
    <row r="841" spans="1:49">
      <c r="A841" s="52">
        <v>6022619</v>
      </c>
      <c r="B841" s="52" t="s">
        <v>3716</v>
      </c>
      <c r="C841" s="52" t="s">
        <v>3698</v>
      </c>
      <c r="D841" s="53">
        <v>46157.75</v>
      </c>
      <c r="E841" s="53">
        <v>46156.68472222222</v>
      </c>
      <c r="F841" s="52"/>
      <c r="G841" s="53">
        <v>46169.25</v>
      </c>
      <c r="H841" s="52"/>
      <c r="I841" s="52"/>
      <c r="J841" s="52" t="s">
        <v>3694</v>
      </c>
      <c r="K841" s="53">
        <v>46159.947916666664</v>
      </c>
      <c r="L841" s="52"/>
      <c r="M841" s="52"/>
      <c r="N841" s="52"/>
      <c r="O841" s="52" t="s">
        <v>4003</v>
      </c>
      <c r="P841" s="52" t="s">
        <v>836</v>
      </c>
      <c r="Q841" s="52" t="s">
        <v>895</v>
      </c>
      <c r="R841" s="52" t="s">
        <v>902</v>
      </c>
      <c r="S841" s="52" t="s">
        <v>3895</v>
      </c>
      <c r="T841" s="52" t="s">
        <v>4000</v>
      </c>
      <c r="U841" s="52" t="s">
        <v>3695</v>
      </c>
      <c r="V841" s="52" t="s">
        <v>903</v>
      </c>
      <c r="W841" s="52">
        <v>61708488987</v>
      </c>
      <c r="X841" s="52" t="s">
        <v>73</v>
      </c>
      <c r="Y841" s="52" t="s">
        <v>3930</v>
      </c>
      <c r="Z841" s="52" t="s">
        <v>3696</v>
      </c>
      <c r="AA841" s="52" t="s">
        <v>3710</v>
      </c>
      <c r="AB841" s="52"/>
      <c r="AC841" s="52" t="s">
        <v>3720</v>
      </c>
      <c r="AD841" s="52" t="s">
        <v>3715</v>
      </c>
      <c r="AE841" s="52" t="s">
        <v>79</v>
      </c>
      <c r="AF841" s="52" t="s">
        <v>4001</v>
      </c>
      <c r="AG841" s="52" t="s">
        <v>4002</v>
      </c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 t="s">
        <v>3696</v>
      </c>
      <c r="AT841" s="52"/>
      <c r="AU841" s="52"/>
      <c r="AV841" s="52"/>
      <c r="AW841" s="52"/>
    </row>
    <row r="842" spans="1:49">
      <c r="A842" s="52">
        <v>6022619</v>
      </c>
      <c r="B842" s="52" t="s">
        <v>3716</v>
      </c>
      <c r="C842" s="52" t="s">
        <v>3698</v>
      </c>
      <c r="D842" s="53">
        <v>46157.75</v>
      </c>
      <c r="E842" s="53">
        <v>46156.68472222222</v>
      </c>
      <c r="F842" s="52"/>
      <c r="G842" s="53">
        <v>46169.25</v>
      </c>
      <c r="H842" s="52"/>
      <c r="I842" s="52"/>
      <c r="J842" s="52" t="s">
        <v>3694</v>
      </c>
      <c r="K842" s="53">
        <v>46159.947916666664</v>
      </c>
      <c r="L842" s="52"/>
      <c r="M842" s="52"/>
      <c r="N842" s="52"/>
      <c r="O842" s="52" t="s">
        <v>4003</v>
      </c>
      <c r="P842" s="52" t="s">
        <v>836</v>
      </c>
      <c r="Q842" s="52" t="s">
        <v>895</v>
      </c>
      <c r="R842" s="52" t="s">
        <v>902</v>
      </c>
      <c r="S842" s="52" t="s">
        <v>3895</v>
      </c>
      <c r="T842" s="52" t="s">
        <v>4000</v>
      </c>
      <c r="U842" s="52" t="s">
        <v>3695</v>
      </c>
      <c r="V842" s="52" t="s">
        <v>903</v>
      </c>
      <c r="W842" s="52">
        <v>61708488987</v>
      </c>
      <c r="X842" s="52" t="s">
        <v>73</v>
      </c>
      <c r="Y842" s="52" t="s">
        <v>3930</v>
      </c>
      <c r="Z842" s="52" t="s">
        <v>3696</v>
      </c>
      <c r="AA842" s="52" t="s">
        <v>3710</v>
      </c>
      <c r="AB842" s="52"/>
      <c r="AC842" s="52" t="s">
        <v>3720</v>
      </c>
      <c r="AD842" s="52" t="s">
        <v>3715</v>
      </c>
      <c r="AE842" s="52"/>
      <c r="AF842" s="52" t="s">
        <v>4001</v>
      </c>
      <c r="AG842" s="52" t="s">
        <v>4002</v>
      </c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 t="s">
        <v>3696</v>
      </c>
      <c r="AT842" s="52"/>
      <c r="AU842" s="52"/>
      <c r="AV842" s="52"/>
      <c r="AW842" s="52" t="s">
        <v>840</v>
      </c>
    </row>
    <row r="843" spans="1:49">
      <c r="A843" s="52">
        <v>6022673</v>
      </c>
      <c r="B843" s="52" t="s">
        <v>3866</v>
      </c>
      <c r="C843" s="52" t="s">
        <v>3692</v>
      </c>
      <c r="D843" s="53">
        <v>46156.416666666664</v>
      </c>
      <c r="E843" s="53">
        <v>46156.311111111114</v>
      </c>
      <c r="F843" s="52"/>
      <c r="G843" s="52"/>
      <c r="H843" s="52"/>
      <c r="I843" s="52" t="s">
        <v>3693</v>
      </c>
      <c r="J843" s="52" t="s">
        <v>3694</v>
      </c>
      <c r="K843" s="52"/>
      <c r="L843" s="52"/>
      <c r="M843" s="55">
        <v>0.1</v>
      </c>
      <c r="N843" s="54">
        <v>1.9312499999999999</v>
      </c>
      <c r="O843" s="52"/>
      <c r="P843" s="52"/>
      <c r="Q843" s="52"/>
      <c r="R843" s="52"/>
      <c r="S843" s="52"/>
      <c r="T843" s="52" t="s">
        <v>3695</v>
      </c>
      <c r="U843" s="52" t="s">
        <v>3695</v>
      </c>
      <c r="V843" s="52"/>
      <c r="W843" s="52"/>
      <c r="X843" s="52"/>
      <c r="Y843" s="52"/>
      <c r="Z843" s="52" t="s">
        <v>3696</v>
      </c>
      <c r="AA843" s="52" t="s">
        <v>114</v>
      </c>
      <c r="AB843" s="52" t="s">
        <v>140</v>
      </c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>
        <v>0</v>
      </c>
      <c r="AT843" s="52"/>
      <c r="AU843" s="52"/>
      <c r="AV843" s="52" t="s">
        <v>4120</v>
      </c>
      <c r="AW843" s="52"/>
    </row>
    <row r="844" spans="1:49">
      <c r="A844" s="52">
        <v>6022673</v>
      </c>
      <c r="B844" s="52" t="s">
        <v>3866</v>
      </c>
      <c r="C844" s="52" t="s">
        <v>3698</v>
      </c>
      <c r="D844" s="53">
        <v>46156.416666666664</v>
      </c>
      <c r="E844" s="53">
        <v>46156.311111111114</v>
      </c>
      <c r="F844" s="52"/>
      <c r="G844" s="52"/>
      <c r="H844" s="52"/>
      <c r="I844" s="52"/>
      <c r="J844" s="52" t="s">
        <v>3694</v>
      </c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 t="s">
        <v>3696</v>
      </c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>
        <v>0</v>
      </c>
      <c r="AT844" s="52"/>
      <c r="AU844" s="52"/>
      <c r="AV844" s="52"/>
      <c r="AW844" s="52"/>
    </row>
    <row r="845" spans="1:49">
      <c r="A845" s="52">
        <v>6023005</v>
      </c>
      <c r="B845" s="52" t="s">
        <v>3691</v>
      </c>
      <c r="C845" s="52" t="s">
        <v>3692</v>
      </c>
      <c r="D845" s="53">
        <v>46160.375</v>
      </c>
      <c r="E845" s="53">
        <v>46157.584722222222</v>
      </c>
      <c r="F845" s="52"/>
      <c r="G845" s="52"/>
      <c r="H845" s="52"/>
      <c r="I845" s="52" t="s">
        <v>3693</v>
      </c>
      <c r="J845" s="52" t="s">
        <v>3694</v>
      </c>
      <c r="K845" s="52"/>
      <c r="L845" s="52"/>
      <c r="M845" s="54">
        <v>1.7291666666666667</v>
      </c>
      <c r="N845" s="54">
        <v>7.0645833333333332</v>
      </c>
      <c r="O845" s="52"/>
      <c r="P845" s="52"/>
      <c r="Q845" s="52"/>
      <c r="R845" s="52"/>
      <c r="S845" s="52"/>
      <c r="T845" s="52" t="s">
        <v>3695</v>
      </c>
      <c r="U845" s="52" t="s">
        <v>3695</v>
      </c>
      <c r="V845" s="52"/>
      <c r="W845" s="52"/>
      <c r="X845" s="52"/>
      <c r="Y845" s="52"/>
      <c r="Z845" s="52" t="s">
        <v>3696</v>
      </c>
      <c r="AA845" s="52" t="s">
        <v>1246</v>
      </c>
      <c r="AB845" s="52" t="s">
        <v>140</v>
      </c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>
        <v>0</v>
      </c>
      <c r="AT845" s="52"/>
      <c r="AU845" s="52"/>
      <c r="AV845" s="52" t="s">
        <v>474</v>
      </c>
      <c r="AW845" s="52"/>
    </row>
    <row r="846" spans="1:49">
      <c r="A846" s="52">
        <v>6023005</v>
      </c>
      <c r="B846" s="52" t="s">
        <v>3691</v>
      </c>
      <c r="C846" s="52" t="s">
        <v>3698</v>
      </c>
      <c r="D846" s="53">
        <v>46160.375</v>
      </c>
      <c r="E846" s="53">
        <v>46157.584722222222</v>
      </c>
      <c r="F846" s="52"/>
      <c r="G846" s="52"/>
      <c r="H846" s="52"/>
      <c r="I846" s="52"/>
      <c r="J846" s="52" t="s">
        <v>3694</v>
      </c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 t="s">
        <v>3696</v>
      </c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>
        <v>0</v>
      </c>
      <c r="AT846" s="52"/>
      <c r="AU846" s="52"/>
      <c r="AV846" s="52"/>
      <c r="AW846" s="52"/>
    </row>
    <row r="847" spans="1:49">
      <c r="A847" s="52">
        <v>6023009</v>
      </c>
      <c r="B847" s="52" t="s">
        <v>3691</v>
      </c>
      <c r="C847" s="52" t="s">
        <v>3692</v>
      </c>
      <c r="D847" s="53">
        <v>46160.833333333336</v>
      </c>
      <c r="E847" s="53">
        <v>46157.584722222222</v>
      </c>
      <c r="F847" s="52"/>
      <c r="G847" s="52"/>
      <c r="H847" s="52"/>
      <c r="I847" s="52" t="s">
        <v>3693</v>
      </c>
      <c r="J847" s="52" t="s">
        <v>3694</v>
      </c>
      <c r="K847" s="52"/>
      <c r="L847" s="52"/>
      <c r="M847" s="55">
        <v>0.88472222222222219</v>
      </c>
      <c r="N847" s="54">
        <v>2.9090277777777778</v>
      </c>
      <c r="O847" s="52"/>
      <c r="P847" s="52"/>
      <c r="Q847" s="52"/>
      <c r="R847" s="52"/>
      <c r="S847" s="52"/>
      <c r="T847" s="52" t="s">
        <v>3695</v>
      </c>
      <c r="U847" s="52" t="s">
        <v>3695</v>
      </c>
      <c r="V847" s="52"/>
      <c r="W847" s="52"/>
      <c r="X847" s="52"/>
      <c r="Y847" s="52"/>
      <c r="Z847" s="52" t="s">
        <v>3696</v>
      </c>
      <c r="AA847" s="52" t="s">
        <v>3050</v>
      </c>
      <c r="AB847" s="52" t="s">
        <v>140</v>
      </c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>
        <v>0</v>
      </c>
      <c r="AT847" s="52"/>
      <c r="AU847" s="52"/>
      <c r="AV847" s="52" t="s">
        <v>494</v>
      </c>
      <c r="AW847" s="52"/>
    </row>
    <row r="848" spans="1:49">
      <c r="A848" s="52">
        <v>6023009</v>
      </c>
      <c r="B848" s="52" t="s">
        <v>3691</v>
      </c>
      <c r="C848" s="52" t="s">
        <v>3698</v>
      </c>
      <c r="D848" s="53">
        <v>46160.833333333336</v>
      </c>
      <c r="E848" s="53">
        <v>46157.584722222222</v>
      </c>
      <c r="F848" s="52"/>
      <c r="G848" s="52"/>
      <c r="H848" s="52"/>
      <c r="I848" s="52"/>
      <c r="J848" s="52" t="s">
        <v>3694</v>
      </c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 t="s">
        <v>3696</v>
      </c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>
        <v>0</v>
      </c>
      <c r="AT848" s="52"/>
      <c r="AU848" s="52"/>
      <c r="AV848" s="52"/>
      <c r="AW848" s="52"/>
    </row>
    <row r="849" spans="1:49">
      <c r="A849" s="52">
        <v>6023010</v>
      </c>
      <c r="B849" s="52" t="s">
        <v>3691</v>
      </c>
      <c r="C849" s="52" t="s">
        <v>3692</v>
      </c>
      <c r="D849" s="53">
        <v>46160.416666666664</v>
      </c>
      <c r="E849" s="53">
        <v>46157.584722222222</v>
      </c>
      <c r="F849" s="52"/>
      <c r="G849" s="52"/>
      <c r="H849" s="52"/>
      <c r="I849" s="52" t="s">
        <v>3693</v>
      </c>
      <c r="J849" s="52" t="s">
        <v>3694</v>
      </c>
      <c r="K849" s="52"/>
      <c r="L849" s="52"/>
      <c r="M849" s="55">
        <v>9.583333333333334E-2</v>
      </c>
      <c r="N849" s="54">
        <v>2.6979166666666665</v>
      </c>
      <c r="O849" s="52"/>
      <c r="P849" s="52"/>
      <c r="Q849" s="52"/>
      <c r="R849" s="52"/>
      <c r="S849" s="52"/>
      <c r="T849" s="52" t="s">
        <v>3695</v>
      </c>
      <c r="U849" s="52" t="s">
        <v>3695</v>
      </c>
      <c r="V849" s="52"/>
      <c r="W849" s="52"/>
      <c r="X849" s="52"/>
      <c r="Y849" s="52"/>
      <c r="Z849" s="52" t="s">
        <v>3696</v>
      </c>
      <c r="AA849" s="52" t="s">
        <v>114</v>
      </c>
      <c r="AB849" s="52" t="s">
        <v>140</v>
      </c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>
        <v>0</v>
      </c>
      <c r="AT849" s="52"/>
      <c r="AU849" s="52"/>
      <c r="AV849" s="52" t="s">
        <v>297</v>
      </c>
      <c r="AW849" s="52"/>
    </row>
    <row r="850" spans="1:49">
      <c r="A850" s="52">
        <v>6023010</v>
      </c>
      <c r="B850" s="52" t="s">
        <v>3691</v>
      </c>
      <c r="C850" s="52" t="s">
        <v>3698</v>
      </c>
      <c r="D850" s="53">
        <v>46160.416666666664</v>
      </c>
      <c r="E850" s="53">
        <v>46157.584722222222</v>
      </c>
      <c r="F850" s="52"/>
      <c r="G850" s="52"/>
      <c r="H850" s="52"/>
      <c r="I850" s="52"/>
      <c r="J850" s="52" t="s">
        <v>3694</v>
      </c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 t="s">
        <v>3696</v>
      </c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>
        <v>0</v>
      </c>
      <c r="AT850" s="52"/>
      <c r="AU850" s="52"/>
      <c r="AV850" s="52"/>
      <c r="AW850" s="52"/>
    </row>
    <row r="851" spans="1:49">
      <c r="A851" s="52">
        <v>6023012</v>
      </c>
      <c r="B851" s="52" t="s">
        <v>3866</v>
      </c>
      <c r="C851" s="52" t="s">
        <v>3692</v>
      </c>
      <c r="D851" s="53">
        <v>46156.583333333336</v>
      </c>
      <c r="E851" s="53">
        <v>46156.412499999999</v>
      </c>
      <c r="F851" s="52"/>
      <c r="G851" s="52"/>
      <c r="H851" s="52"/>
      <c r="I851" s="52" t="s">
        <v>3693</v>
      </c>
      <c r="J851" s="52" t="s">
        <v>3694</v>
      </c>
      <c r="K851" s="52"/>
      <c r="L851" s="52"/>
      <c r="M851" s="55">
        <v>0.1</v>
      </c>
      <c r="N851" s="54">
        <v>1.1395833333333334</v>
      </c>
      <c r="O851" s="52"/>
      <c r="P851" s="52"/>
      <c r="Q851" s="52"/>
      <c r="R851" s="52"/>
      <c r="S851" s="52"/>
      <c r="T851" s="52" t="s">
        <v>3695</v>
      </c>
      <c r="U851" s="52" t="s">
        <v>3695</v>
      </c>
      <c r="V851" s="52"/>
      <c r="W851" s="52"/>
      <c r="X851" s="52"/>
      <c r="Y851" s="52"/>
      <c r="Z851" s="52" t="s">
        <v>3696</v>
      </c>
      <c r="AA851" s="52" t="s">
        <v>114</v>
      </c>
      <c r="AB851" s="52" t="s">
        <v>140</v>
      </c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>
        <v>0</v>
      </c>
      <c r="AT851" s="52"/>
      <c r="AU851" s="52"/>
      <c r="AV851" s="52" t="s">
        <v>4121</v>
      </c>
      <c r="AW851" s="52"/>
    </row>
    <row r="852" spans="1:49">
      <c r="A852" s="52">
        <v>6023012</v>
      </c>
      <c r="B852" s="52" t="s">
        <v>3866</v>
      </c>
      <c r="C852" s="52" t="s">
        <v>3698</v>
      </c>
      <c r="D852" s="53">
        <v>46156.583333333336</v>
      </c>
      <c r="E852" s="53">
        <v>46156.412499999999</v>
      </c>
      <c r="F852" s="52"/>
      <c r="G852" s="52"/>
      <c r="H852" s="52"/>
      <c r="I852" s="52"/>
      <c r="J852" s="52" t="s">
        <v>3694</v>
      </c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 t="s">
        <v>3696</v>
      </c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>
        <v>0</v>
      </c>
      <c r="AT852" s="52"/>
      <c r="AU852" s="52"/>
      <c r="AV852" s="52"/>
      <c r="AW852" s="52"/>
    </row>
    <row r="853" spans="1:49">
      <c r="A853" s="52">
        <v>6023014</v>
      </c>
      <c r="B853" s="52" t="s">
        <v>3691</v>
      </c>
      <c r="C853" s="52" t="s">
        <v>3692</v>
      </c>
      <c r="D853" s="53">
        <v>46158.333333333336</v>
      </c>
      <c r="E853" s="53">
        <v>46157.584722222222</v>
      </c>
      <c r="F853" s="52"/>
      <c r="G853" s="52"/>
      <c r="H853" s="52"/>
      <c r="I853" s="52" t="s">
        <v>3693</v>
      </c>
      <c r="J853" s="52" t="s">
        <v>3694</v>
      </c>
      <c r="K853" s="52"/>
      <c r="L853" s="52"/>
      <c r="M853" s="54">
        <v>1.1111111111111112</v>
      </c>
      <c r="N853" s="54">
        <v>4.6826388888888886</v>
      </c>
      <c r="O853" s="52"/>
      <c r="P853" s="52"/>
      <c r="Q853" s="52"/>
      <c r="R853" s="52"/>
      <c r="S853" s="52"/>
      <c r="T853" s="52" t="s">
        <v>3695</v>
      </c>
      <c r="U853" s="52" t="s">
        <v>3695</v>
      </c>
      <c r="V853" s="52"/>
      <c r="W853" s="52"/>
      <c r="X853" s="52"/>
      <c r="Y853" s="52"/>
      <c r="Z853" s="52" t="s">
        <v>3696</v>
      </c>
      <c r="AA853" s="52" t="s">
        <v>216</v>
      </c>
      <c r="AB853" s="52" t="s">
        <v>79</v>
      </c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>
        <v>0</v>
      </c>
      <c r="AT853" s="52"/>
      <c r="AU853" s="52"/>
      <c r="AV853" s="52" t="s">
        <v>383</v>
      </c>
      <c r="AW853" s="52"/>
    </row>
    <row r="854" spans="1:49">
      <c r="A854" s="52">
        <v>6023014</v>
      </c>
      <c r="B854" s="52" t="s">
        <v>3691</v>
      </c>
      <c r="C854" s="52" t="s">
        <v>3698</v>
      </c>
      <c r="D854" s="53">
        <v>46158.333333333336</v>
      </c>
      <c r="E854" s="53">
        <v>46157.584722222222</v>
      </c>
      <c r="F854" s="52"/>
      <c r="G854" s="52"/>
      <c r="H854" s="52"/>
      <c r="I854" s="52"/>
      <c r="J854" s="52" t="s">
        <v>3694</v>
      </c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 t="s">
        <v>3696</v>
      </c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>
        <v>0</v>
      </c>
      <c r="AT854" s="52"/>
      <c r="AU854" s="52"/>
      <c r="AV854" s="52"/>
      <c r="AW854" s="52"/>
    </row>
    <row r="855" spans="1:49">
      <c r="A855" s="52">
        <v>6023015</v>
      </c>
      <c r="B855" s="52" t="s">
        <v>3716</v>
      </c>
      <c r="C855" s="52" t="s">
        <v>3692</v>
      </c>
      <c r="D855" s="53">
        <v>46157.625</v>
      </c>
      <c r="E855" s="53">
        <v>46156.738194444442</v>
      </c>
      <c r="F855" s="53">
        <v>46157.786111111112</v>
      </c>
      <c r="G855" s="53">
        <v>46161.958333333336</v>
      </c>
      <c r="H855" s="52"/>
      <c r="I855" s="52" t="s">
        <v>3693</v>
      </c>
      <c r="J855" s="52" t="s">
        <v>3694</v>
      </c>
      <c r="K855" s="53">
        <v>46158.892361111109</v>
      </c>
      <c r="L855" s="52"/>
      <c r="M855" s="54">
        <v>4.333333333333333</v>
      </c>
      <c r="N855" s="55">
        <v>0.83125000000000004</v>
      </c>
      <c r="O855" s="52"/>
      <c r="P855" s="52"/>
      <c r="Q855" s="52"/>
      <c r="R855" s="52"/>
      <c r="S855" s="52"/>
      <c r="T855" s="52" t="s">
        <v>4122</v>
      </c>
      <c r="U855" s="52" t="s">
        <v>3695</v>
      </c>
      <c r="V855" s="52"/>
      <c r="W855" s="52"/>
      <c r="X855" s="52"/>
      <c r="Y855" s="52"/>
      <c r="Z855" s="52" t="s">
        <v>3696</v>
      </c>
      <c r="AA855" s="52" t="s">
        <v>227</v>
      </c>
      <c r="AB855" s="52" t="s">
        <v>79</v>
      </c>
      <c r="AC855" s="52" t="s">
        <v>3720</v>
      </c>
      <c r="AD855" s="52" t="s">
        <v>3715</v>
      </c>
      <c r="AE855" s="52"/>
      <c r="AF855" s="52" t="s">
        <v>4064</v>
      </c>
      <c r="AG855" s="52" t="s">
        <v>3704</v>
      </c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>
        <v>0</v>
      </c>
      <c r="AT855" s="52"/>
      <c r="AU855" s="52"/>
      <c r="AV855" s="52" t="s">
        <v>372</v>
      </c>
      <c r="AW855" s="52"/>
    </row>
    <row r="856" spans="1:49">
      <c r="A856" s="52">
        <v>6023015</v>
      </c>
      <c r="B856" s="52" t="s">
        <v>3716</v>
      </c>
      <c r="C856" s="52" t="s">
        <v>3698</v>
      </c>
      <c r="D856" s="53">
        <v>46157.625</v>
      </c>
      <c r="E856" s="53">
        <v>46156.738194444442</v>
      </c>
      <c r="F856" s="53">
        <v>46157.787499999999</v>
      </c>
      <c r="G856" s="53">
        <v>46161.958333333336</v>
      </c>
      <c r="H856" s="52"/>
      <c r="I856" s="52"/>
      <c r="J856" s="52" t="s">
        <v>3694</v>
      </c>
      <c r="K856" s="53">
        <v>46158.892361111109</v>
      </c>
      <c r="L856" s="52"/>
      <c r="M856" s="54">
        <v>4.1708333333333334</v>
      </c>
      <c r="N856" s="55">
        <v>0.66874999999999996</v>
      </c>
      <c r="O856" s="52" t="s">
        <v>544</v>
      </c>
      <c r="P856" s="52" t="s">
        <v>227</v>
      </c>
      <c r="Q856" s="52" t="s">
        <v>543</v>
      </c>
      <c r="R856" s="52" t="s">
        <v>548</v>
      </c>
      <c r="S856" s="52" t="s">
        <v>69</v>
      </c>
      <c r="T856" s="52" t="s">
        <v>4122</v>
      </c>
      <c r="U856" s="52" t="s">
        <v>3695</v>
      </c>
      <c r="V856" s="52" t="s">
        <v>549</v>
      </c>
      <c r="W856" s="52">
        <v>57106819972</v>
      </c>
      <c r="X856" s="52" t="s">
        <v>73</v>
      </c>
      <c r="Y856" s="52"/>
      <c r="Z856" s="52" t="s">
        <v>3696</v>
      </c>
      <c r="AA856" s="52" t="s">
        <v>3710</v>
      </c>
      <c r="AB856" s="52"/>
      <c r="AC856" s="52" t="s">
        <v>3720</v>
      </c>
      <c r="AD856" s="52" t="s">
        <v>3715</v>
      </c>
      <c r="AE856" s="52" t="s">
        <v>79</v>
      </c>
      <c r="AF856" s="52" t="s">
        <v>4064</v>
      </c>
      <c r="AG856" s="52" t="s">
        <v>3704</v>
      </c>
      <c r="AH856" s="52"/>
      <c r="AI856" s="53">
        <v>46157.815972222219</v>
      </c>
      <c r="AJ856" s="52"/>
      <c r="AK856" s="53">
        <v>46157.815972222219</v>
      </c>
      <c r="AL856" s="52"/>
      <c r="AM856" s="52"/>
      <c r="AN856" s="52"/>
      <c r="AO856" s="52"/>
      <c r="AP856" s="52"/>
      <c r="AQ856" s="52"/>
      <c r="AR856" s="52"/>
      <c r="AS856" s="52" t="s">
        <v>3696</v>
      </c>
      <c r="AT856" s="52"/>
      <c r="AU856" s="52"/>
      <c r="AV856" s="52"/>
      <c r="AW856" s="52"/>
    </row>
    <row r="857" spans="1:49">
      <c r="A857" s="52">
        <v>6023015</v>
      </c>
      <c r="B857" s="52" t="s">
        <v>3716</v>
      </c>
      <c r="C857" s="52" t="s">
        <v>3698</v>
      </c>
      <c r="D857" s="53">
        <v>46157.625</v>
      </c>
      <c r="E857" s="53">
        <v>46156.738194444442</v>
      </c>
      <c r="F857" s="53">
        <v>46157.787499999999</v>
      </c>
      <c r="G857" s="53">
        <v>46161.958333333336</v>
      </c>
      <c r="H857" s="52"/>
      <c r="I857" s="52"/>
      <c r="J857" s="52" t="s">
        <v>3694</v>
      </c>
      <c r="K857" s="53">
        <v>46158.892361111109</v>
      </c>
      <c r="L857" s="52"/>
      <c r="M857" s="54">
        <v>4.1708333333333334</v>
      </c>
      <c r="N857" s="55">
        <v>0.66874999999999996</v>
      </c>
      <c r="O857" s="52" t="s">
        <v>544</v>
      </c>
      <c r="P857" s="52" t="s">
        <v>227</v>
      </c>
      <c r="Q857" s="52" t="s">
        <v>543</v>
      </c>
      <c r="R857" s="52" t="s">
        <v>548</v>
      </c>
      <c r="S857" s="52" t="s">
        <v>69</v>
      </c>
      <c r="T857" s="52" t="s">
        <v>4122</v>
      </c>
      <c r="U857" s="52" t="s">
        <v>3695</v>
      </c>
      <c r="V857" s="52" t="s">
        <v>549</v>
      </c>
      <c r="W857" s="52">
        <v>57106819972</v>
      </c>
      <c r="X857" s="52" t="s">
        <v>73</v>
      </c>
      <c r="Y857" s="52"/>
      <c r="Z857" s="52" t="s">
        <v>3696</v>
      </c>
      <c r="AA857" s="52" t="s">
        <v>3710</v>
      </c>
      <c r="AB857" s="52"/>
      <c r="AC857" s="52" t="s">
        <v>3720</v>
      </c>
      <c r="AD857" s="52" t="s">
        <v>3715</v>
      </c>
      <c r="AE857" s="52"/>
      <c r="AF857" s="52" t="s">
        <v>4064</v>
      </c>
      <c r="AG857" s="52" t="s">
        <v>3704</v>
      </c>
      <c r="AH857" s="52"/>
      <c r="AI857" s="53">
        <v>46157.815972222219</v>
      </c>
      <c r="AJ857" s="52"/>
      <c r="AK857" s="53">
        <v>46157.815972222219</v>
      </c>
      <c r="AL857" s="52"/>
      <c r="AM857" s="52"/>
      <c r="AN857" s="52"/>
      <c r="AO857" s="52"/>
      <c r="AP857" s="52"/>
      <c r="AQ857" s="52"/>
      <c r="AR857" s="52"/>
      <c r="AS857" s="52" t="s">
        <v>3696</v>
      </c>
      <c r="AT857" s="52"/>
      <c r="AU857" s="52"/>
      <c r="AV857" s="52"/>
      <c r="AW857" s="52" t="s">
        <v>372</v>
      </c>
    </row>
    <row r="858" spans="1:49">
      <c r="A858" s="52">
        <v>6023016</v>
      </c>
      <c r="B858" s="52" t="s">
        <v>3691</v>
      </c>
      <c r="C858" s="52" t="s">
        <v>3692</v>
      </c>
      <c r="D858" s="53">
        <v>46160.333333333336</v>
      </c>
      <c r="E858" s="53">
        <v>46157.709027777775</v>
      </c>
      <c r="F858" s="52"/>
      <c r="G858" s="52"/>
      <c r="H858" s="52"/>
      <c r="I858" s="52" t="s">
        <v>3693</v>
      </c>
      <c r="J858" s="52" t="s">
        <v>3694</v>
      </c>
      <c r="K858" s="52"/>
      <c r="L858" s="52"/>
      <c r="M858" s="55">
        <v>0.43611111111111112</v>
      </c>
      <c r="N858" s="54">
        <v>3.0659722222222223</v>
      </c>
      <c r="O858" s="52"/>
      <c r="P858" s="52"/>
      <c r="Q858" s="52"/>
      <c r="R858" s="52"/>
      <c r="S858" s="52"/>
      <c r="T858" s="52" t="s">
        <v>3695</v>
      </c>
      <c r="U858" s="52" t="s">
        <v>3695</v>
      </c>
      <c r="V858" s="52"/>
      <c r="W858" s="52"/>
      <c r="X858" s="52"/>
      <c r="Y858" s="52"/>
      <c r="Z858" s="52" t="s">
        <v>3696</v>
      </c>
      <c r="AA858" s="52" t="s">
        <v>724</v>
      </c>
      <c r="AB858" s="52" t="s">
        <v>79</v>
      </c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>
        <v>0</v>
      </c>
      <c r="AT858" s="52"/>
      <c r="AU858" s="52"/>
      <c r="AV858" s="52" t="s">
        <v>372</v>
      </c>
      <c r="AW858" s="52"/>
    </row>
    <row r="859" spans="1:49">
      <c r="A859" s="52">
        <v>6023016</v>
      </c>
      <c r="B859" s="52" t="s">
        <v>3691</v>
      </c>
      <c r="C859" s="52" t="s">
        <v>3698</v>
      </c>
      <c r="D859" s="53">
        <v>46160.333333333336</v>
      </c>
      <c r="E859" s="53">
        <v>46157.709027777775</v>
      </c>
      <c r="F859" s="52"/>
      <c r="G859" s="52"/>
      <c r="H859" s="52"/>
      <c r="I859" s="52"/>
      <c r="J859" s="52" t="s">
        <v>3694</v>
      </c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 t="s">
        <v>3696</v>
      </c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>
        <v>0</v>
      </c>
      <c r="AT859" s="52"/>
      <c r="AU859" s="52"/>
      <c r="AV859" s="52"/>
      <c r="AW859" s="52"/>
    </row>
    <row r="860" spans="1:49">
      <c r="A860" s="52">
        <v>6023017</v>
      </c>
      <c r="B860" s="52" t="s">
        <v>3691</v>
      </c>
      <c r="C860" s="52" t="s">
        <v>3692</v>
      </c>
      <c r="D860" s="53">
        <v>46160.583333333336</v>
      </c>
      <c r="E860" s="53">
        <v>46157.709027777775</v>
      </c>
      <c r="F860" s="52"/>
      <c r="G860" s="52"/>
      <c r="H860" s="52"/>
      <c r="I860" s="52" t="s">
        <v>3693</v>
      </c>
      <c r="J860" s="52" t="s">
        <v>3694</v>
      </c>
      <c r="K860" s="52"/>
      <c r="L860" s="52"/>
      <c r="M860" s="55">
        <v>0.43611111111111112</v>
      </c>
      <c r="N860" s="54">
        <v>3.0659722222222223</v>
      </c>
      <c r="O860" s="52"/>
      <c r="P860" s="52"/>
      <c r="Q860" s="52"/>
      <c r="R860" s="52"/>
      <c r="S860" s="52"/>
      <c r="T860" s="52" t="s">
        <v>3695</v>
      </c>
      <c r="U860" s="52" t="s">
        <v>3695</v>
      </c>
      <c r="V860" s="52"/>
      <c r="W860" s="52"/>
      <c r="X860" s="52"/>
      <c r="Y860" s="52"/>
      <c r="Z860" s="52" t="s">
        <v>3696</v>
      </c>
      <c r="AA860" s="52" t="s">
        <v>184</v>
      </c>
      <c r="AB860" s="52" t="s">
        <v>79</v>
      </c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>
        <v>0</v>
      </c>
      <c r="AT860" s="52"/>
      <c r="AU860" s="52"/>
      <c r="AV860" s="52" t="s">
        <v>372</v>
      </c>
      <c r="AW860" s="52"/>
    </row>
    <row r="861" spans="1:49">
      <c r="A861" s="52">
        <v>6023017</v>
      </c>
      <c r="B861" s="52" t="s">
        <v>3691</v>
      </c>
      <c r="C861" s="52" t="s">
        <v>3698</v>
      </c>
      <c r="D861" s="53">
        <v>46160.583333333336</v>
      </c>
      <c r="E861" s="53">
        <v>46157.709027777775</v>
      </c>
      <c r="F861" s="52"/>
      <c r="G861" s="52"/>
      <c r="H861" s="52"/>
      <c r="I861" s="52"/>
      <c r="J861" s="52" t="s">
        <v>3694</v>
      </c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 t="s">
        <v>3696</v>
      </c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>
        <v>0</v>
      </c>
      <c r="AT861" s="52"/>
      <c r="AU861" s="52"/>
      <c r="AV861" s="52"/>
      <c r="AW861" s="52"/>
    </row>
    <row r="862" spans="1:49">
      <c r="A862" s="52">
        <v>6023020</v>
      </c>
      <c r="B862" s="52" t="s">
        <v>3716</v>
      </c>
      <c r="C862" s="52" t="s">
        <v>3692</v>
      </c>
      <c r="D862" s="53">
        <v>46157.583333333336</v>
      </c>
      <c r="E862" s="53">
        <v>46156.737500000003</v>
      </c>
      <c r="F862" s="53">
        <v>46157.774305555555</v>
      </c>
      <c r="G862" s="53">
        <v>46158.731944444444</v>
      </c>
      <c r="H862" s="52"/>
      <c r="I862" s="52" t="s">
        <v>3693</v>
      </c>
      <c r="J862" s="52" t="s">
        <v>3694</v>
      </c>
      <c r="K862" s="53">
        <v>46158.787499999999</v>
      </c>
      <c r="L862" s="52"/>
      <c r="M862" s="54">
        <v>5.25</v>
      </c>
      <c r="N862" s="54">
        <v>1.45625</v>
      </c>
      <c r="O862" s="52"/>
      <c r="P862" s="52"/>
      <c r="Q862" s="52"/>
      <c r="R862" s="52"/>
      <c r="S862" s="52"/>
      <c r="T862" s="52" t="s">
        <v>4078</v>
      </c>
      <c r="U862" s="52" t="s">
        <v>4123</v>
      </c>
      <c r="V862" s="52"/>
      <c r="W862" s="52"/>
      <c r="X862" s="52"/>
      <c r="Y862" s="52"/>
      <c r="Z862" s="52" t="s">
        <v>3696</v>
      </c>
      <c r="AA862" s="52" t="s">
        <v>227</v>
      </c>
      <c r="AB862" s="52" t="s">
        <v>79</v>
      </c>
      <c r="AC862" s="52" t="s">
        <v>3720</v>
      </c>
      <c r="AD862" s="52" t="s">
        <v>3715</v>
      </c>
      <c r="AE862" s="52"/>
      <c r="AF862" s="52" t="s">
        <v>4073</v>
      </c>
      <c r="AG862" s="52" t="s">
        <v>3704</v>
      </c>
      <c r="AH862" s="52"/>
      <c r="AI862" s="52"/>
      <c r="AJ862" s="52"/>
      <c r="AK862" s="52"/>
      <c r="AL862" s="55">
        <v>0.52777777777777779</v>
      </c>
      <c r="AM862" s="52"/>
      <c r="AN862" s="52"/>
      <c r="AO862" s="52"/>
      <c r="AP862" s="52"/>
      <c r="AQ862" s="52"/>
      <c r="AR862" s="52"/>
      <c r="AS862" s="52">
        <v>0</v>
      </c>
      <c r="AT862" s="52"/>
      <c r="AU862" s="52"/>
      <c r="AV862" s="52" t="s">
        <v>297</v>
      </c>
      <c r="AW862" s="52"/>
    </row>
    <row r="863" spans="1:49">
      <c r="A863" s="52">
        <v>6023020</v>
      </c>
      <c r="B863" s="52" t="s">
        <v>3716</v>
      </c>
      <c r="C863" s="52" t="s">
        <v>3698</v>
      </c>
      <c r="D863" s="53">
        <v>46157.583333333336</v>
      </c>
      <c r="E863" s="53">
        <v>46156.737500000003</v>
      </c>
      <c r="F863" s="53">
        <v>46157.777083333334</v>
      </c>
      <c r="G863" s="53">
        <v>46158.731944444444</v>
      </c>
      <c r="H863" s="52"/>
      <c r="I863" s="52"/>
      <c r="J863" s="52" t="s">
        <v>3694</v>
      </c>
      <c r="K863" s="53">
        <v>46158.787499999999</v>
      </c>
      <c r="L863" s="52"/>
      <c r="M863" s="55">
        <v>0.95486111111111116</v>
      </c>
      <c r="N863" s="55">
        <v>0.6791666666666667</v>
      </c>
      <c r="O863" s="52" t="s">
        <v>526</v>
      </c>
      <c r="P863" s="52" t="s">
        <v>227</v>
      </c>
      <c r="Q863" s="52" t="s">
        <v>525</v>
      </c>
      <c r="R863" s="52" t="s">
        <v>533</v>
      </c>
      <c r="S863" s="52" t="s">
        <v>69</v>
      </c>
      <c r="T863" s="52" t="s">
        <v>4078</v>
      </c>
      <c r="U863" s="52" t="s">
        <v>4123</v>
      </c>
      <c r="V863" s="52" t="s">
        <v>534</v>
      </c>
      <c r="W863" s="52">
        <v>82602298972</v>
      </c>
      <c r="X863" s="52" t="s">
        <v>73</v>
      </c>
      <c r="Y863" s="52" t="s">
        <v>3745</v>
      </c>
      <c r="Z863" s="52" t="s">
        <v>3696</v>
      </c>
      <c r="AA863" s="52" t="s">
        <v>3710</v>
      </c>
      <c r="AB863" s="52"/>
      <c r="AC863" s="52" t="s">
        <v>3720</v>
      </c>
      <c r="AD863" s="52" t="s">
        <v>3715</v>
      </c>
      <c r="AE863" s="52" t="s">
        <v>79</v>
      </c>
      <c r="AF863" s="52" t="s">
        <v>4073</v>
      </c>
      <c r="AG863" s="52" t="s">
        <v>3704</v>
      </c>
      <c r="AH863" s="52"/>
      <c r="AI863" s="53">
        <v>46157.775694444441</v>
      </c>
      <c r="AJ863" s="53">
        <v>46158.303472222222</v>
      </c>
      <c r="AK863" s="53">
        <v>46157.775694444441</v>
      </c>
      <c r="AL863" s="55">
        <v>0.52777777777777779</v>
      </c>
      <c r="AM863" s="52"/>
      <c r="AN863" s="55">
        <v>0.52777777777777779</v>
      </c>
      <c r="AO863" s="52"/>
      <c r="AP863" s="55">
        <v>0.52777777777777779</v>
      </c>
      <c r="AQ863" s="52"/>
      <c r="AR863" s="52"/>
      <c r="AS863" s="52" t="s">
        <v>3696</v>
      </c>
      <c r="AT863" s="52"/>
      <c r="AU863" s="52"/>
      <c r="AV863" s="52"/>
      <c r="AW863" s="52"/>
    </row>
    <row r="864" spans="1:49">
      <c r="A864" s="52">
        <v>6023020</v>
      </c>
      <c r="B864" s="52" t="s">
        <v>3716</v>
      </c>
      <c r="C864" s="52" t="s">
        <v>3698</v>
      </c>
      <c r="D864" s="53">
        <v>46157.583333333336</v>
      </c>
      <c r="E864" s="53">
        <v>46156.737500000003</v>
      </c>
      <c r="F864" s="53">
        <v>46157.777083333334</v>
      </c>
      <c r="G864" s="53">
        <v>46158.731944444444</v>
      </c>
      <c r="H864" s="52"/>
      <c r="I864" s="52"/>
      <c r="J864" s="52" t="s">
        <v>3694</v>
      </c>
      <c r="K864" s="53">
        <v>46158.787499999999</v>
      </c>
      <c r="L864" s="52"/>
      <c r="M864" s="55">
        <v>0.95486111111111116</v>
      </c>
      <c r="N864" s="55">
        <v>0.6791666666666667</v>
      </c>
      <c r="O864" s="52" t="s">
        <v>526</v>
      </c>
      <c r="P864" s="52" t="s">
        <v>227</v>
      </c>
      <c r="Q864" s="52" t="s">
        <v>525</v>
      </c>
      <c r="R864" s="52" t="s">
        <v>533</v>
      </c>
      <c r="S864" s="52" t="s">
        <v>69</v>
      </c>
      <c r="T864" s="52" t="s">
        <v>4078</v>
      </c>
      <c r="U864" s="52" t="s">
        <v>4123</v>
      </c>
      <c r="V864" s="52" t="s">
        <v>534</v>
      </c>
      <c r="W864" s="52">
        <v>82602298972</v>
      </c>
      <c r="X864" s="52" t="s">
        <v>73</v>
      </c>
      <c r="Y864" s="52" t="s">
        <v>3745</v>
      </c>
      <c r="Z864" s="52" t="s">
        <v>3696</v>
      </c>
      <c r="AA864" s="52" t="s">
        <v>3710</v>
      </c>
      <c r="AB864" s="52"/>
      <c r="AC864" s="52" t="s">
        <v>3720</v>
      </c>
      <c r="AD864" s="52" t="s">
        <v>3715</v>
      </c>
      <c r="AE864" s="52"/>
      <c r="AF864" s="52" t="s">
        <v>4073</v>
      </c>
      <c r="AG864" s="52" t="s">
        <v>3704</v>
      </c>
      <c r="AH864" s="52"/>
      <c r="AI864" s="53">
        <v>46157.775694444441</v>
      </c>
      <c r="AJ864" s="53">
        <v>46158.303472222222</v>
      </c>
      <c r="AK864" s="53">
        <v>46157.775694444441</v>
      </c>
      <c r="AL864" s="55">
        <v>0.52777777777777779</v>
      </c>
      <c r="AM864" s="52"/>
      <c r="AN864" s="55">
        <v>0.52777777777777779</v>
      </c>
      <c r="AO864" s="52"/>
      <c r="AP864" s="55">
        <v>0.52777777777777779</v>
      </c>
      <c r="AQ864" s="52"/>
      <c r="AR864" s="52"/>
      <c r="AS864" s="52" t="s">
        <v>3696</v>
      </c>
      <c r="AT864" s="52"/>
      <c r="AU864" s="52"/>
      <c r="AV864" s="52"/>
      <c r="AW864" s="52" t="s">
        <v>297</v>
      </c>
    </row>
    <row r="865" spans="1:49">
      <c r="A865" s="52">
        <v>6023021</v>
      </c>
      <c r="B865" s="52" t="s">
        <v>3716</v>
      </c>
      <c r="C865" s="52" t="s">
        <v>3692</v>
      </c>
      <c r="D865" s="53">
        <v>46157.541666666664</v>
      </c>
      <c r="E865" s="53">
        <v>46156.736111111109</v>
      </c>
      <c r="F865" s="53">
        <v>46158.384722222225</v>
      </c>
      <c r="G865" s="53">
        <v>46162.25</v>
      </c>
      <c r="H865" s="52"/>
      <c r="I865" s="52" t="s">
        <v>3693</v>
      </c>
      <c r="J865" s="52" t="s">
        <v>3694</v>
      </c>
      <c r="K865" s="53">
        <v>46159.095833333333</v>
      </c>
      <c r="L865" s="52"/>
      <c r="M865" s="54">
        <v>4.708333333333333</v>
      </c>
      <c r="N865" s="55">
        <v>0.9145833333333333</v>
      </c>
      <c r="O865" s="52"/>
      <c r="P865" s="52"/>
      <c r="Q865" s="52"/>
      <c r="R865" s="52"/>
      <c r="S865" s="52"/>
      <c r="T865" s="52" t="s">
        <v>4078</v>
      </c>
      <c r="U865" s="52" t="s">
        <v>3695</v>
      </c>
      <c r="V865" s="52"/>
      <c r="W865" s="52"/>
      <c r="X865" s="52"/>
      <c r="Y865" s="52"/>
      <c r="Z865" s="52" t="s">
        <v>3696</v>
      </c>
      <c r="AA865" s="52" t="s">
        <v>227</v>
      </c>
      <c r="AB865" s="52" t="s">
        <v>79</v>
      </c>
      <c r="AC865" s="52" t="s">
        <v>3720</v>
      </c>
      <c r="AD865" s="52" t="s">
        <v>3715</v>
      </c>
      <c r="AE865" s="52"/>
      <c r="AF865" s="52" t="s">
        <v>4073</v>
      </c>
      <c r="AG865" s="52" t="s">
        <v>3704</v>
      </c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>
        <v>0</v>
      </c>
      <c r="AT865" s="52"/>
      <c r="AU865" s="52"/>
      <c r="AV865" s="52" t="s">
        <v>297</v>
      </c>
      <c r="AW865" s="52"/>
    </row>
    <row r="866" spans="1:49">
      <c r="A866" s="52">
        <v>6023021</v>
      </c>
      <c r="B866" s="52" t="s">
        <v>3716</v>
      </c>
      <c r="C866" s="52" t="s">
        <v>3698</v>
      </c>
      <c r="D866" s="53">
        <v>46157.541666666664</v>
      </c>
      <c r="E866" s="53">
        <v>46156.736111111109</v>
      </c>
      <c r="F866" s="53">
        <v>46158.393055555556</v>
      </c>
      <c r="G866" s="53">
        <v>46162.25</v>
      </c>
      <c r="H866" s="52"/>
      <c r="I866" s="52"/>
      <c r="J866" s="52" t="s">
        <v>3694</v>
      </c>
      <c r="K866" s="53">
        <v>46159.095833333333</v>
      </c>
      <c r="L866" s="52"/>
      <c r="M866" s="54">
        <v>3.8569444444444443</v>
      </c>
      <c r="N866" s="55">
        <v>6.3194444444444442E-2</v>
      </c>
      <c r="O866" s="52" t="s">
        <v>756</v>
      </c>
      <c r="P866" s="52" t="s">
        <v>227</v>
      </c>
      <c r="Q866" s="52" t="s">
        <v>755</v>
      </c>
      <c r="R866" s="52" t="s">
        <v>757</v>
      </c>
      <c r="S866" s="52" t="s">
        <v>69</v>
      </c>
      <c r="T866" s="52" t="s">
        <v>4078</v>
      </c>
      <c r="U866" s="52" t="s">
        <v>3695</v>
      </c>
      <c r="V866" s="52" t="s">
        <v>3878</v>
      </c>
      <c r="W866" s="52">
        <v>2569202908</v>
      </c>
      <c r="X866" s="52" t="s">
        <v>73</v>
      </c>
      <c r="Y866" s="52" t="s">
        <v>3879</v>
      </c>
      <c r="Z866" s="52" t="s">
        <v>3696</v>
      </c>
      <c r="AA866" s="52" t="s">
        <v>3710</v>
      </c>
      <c r="AB866" s="52"/>
      <c r="AC866" s="52" t="s">
        <v>3720</v>
      </c>
      <c r="AD866" s="52" t="s">
        <v>3715</v>
      </c>
      <c r="AE866" s="52" t="s">
        <v>79</v>
      </c>
      <c r="AF866" s="52" t="s">
        <v>4073</v>
      </c>
      <c r="AG866" s="52" t="s">
        <v>3704</v>
      </c>
      <c r="AH866" s="52"/>
      <c r="AI866" s="53">
        <v>46158.413888888892</v>
      </c>
      <c r="AJ866" s="52"/>
      <c r="AK866" s="53">
        <v>46158.413888888892</v>
      </c>
      <c r="AL866" s="52"/>
      <c r="AM866" s="52"/>
      <c r="AN866" s="52"/>
      <c r="AO866" s="52"/>
      <c r="AP866" s="52"/>
      <c r="AQ866" s="52"/>
      <c r="AR866" s="52"/>
      <c r="AS866" s="52" t="s">
        <v>3696</v>
      </c>
      <c r="AT866" s="52"/>
      <c r="AU866" s="52"/>
      <c r="AV866" s="52"/>
      <c r="AW866" s="52"/>
    </row>
    <row r="867" spans="1:49">
      <c r="A867" s="52">
        <v>6023021</v>
      </c>
      <c r="B867" s="52" t="s">
        <v>3716</v>
      </c>
      <c r="C867" s="52" t="s">
        <v>3698</v>
      </c>
      <c r="D867" s="53">
        <v>46157.541666666664</v>
      </c>
      <c r="E867" s="53">
        <v>46156.736111111109</v>
      </c>
      <c r="F867" s="53">
        <v>46158.393055555556</v>
      </c>
      <c r="G867" s="53">
        <v>46162.25</v>
      </c>
      <c r="H867" s="52"/>
      <c r="I867" s="52"/>
      <c r="J867" s="52" t="s">
        <v>3694</v>
      </c>
      <c r="K867" s="53">
        <v>46159.095833333333</v>
      </c>
      <c r="L867" s="52"/>
      <c r="M867" s="54">
        <v>3.8569444444444443</v>
      </c>
      <c r="N867" s="55">
        <v>6.3194444444444442E-2</v>
      </c>
      <c r="O867" s="52" t="s">
        <v>756</v>
      </c>
      <c r="P867" s="52" t="s">
        <v>227</v>
      </c>
      <c r="Q867" s="52" t="s">
        <v>755</v>
      </c>
      <c r="R867" s="52" t="s">
        <v>757</v>
      </c>
      <c r="S867" s="52" t="s">
        <v>69</v>
      </c>
      <c r="T867" s="52" t="s">
        <v>4078</v>
      </c>
      <c r="U867" s="52" t="s">
        <v>3695</v>
      </c>
      <c r="V867" s="52" t="s">
        <v>3878</v>
      </c>
      <c r="W867" s="52">
        <v>2569202908</v>
      </c>
      <c r="X867" s="52" t="s">
        <v>73</v>
      </c>
      <c r="Y867" s="52" t="s">
        <v>3879</v>
      </c>
      <c r="Z867" s="52" t="s">
        <v>3696</v>
      </c>
      <c r="AA867" s="52" t="s">
        <v>3710</v>
      </c>
      <c r="AB867" s="52"/>
      <c r="AC867" s="52" t="s">
        <v>3720</v>
      </c>
      <c r="AD867" s="52" t="s">
        <v>3715</v>
      </c>
      <c r="AE867" s="52"/>
      <c r="AF867" s="52" t="s">
        <v>4073</v>
      </c>
      <c r="AG867" s="52" t="s">
        <v>3704</v>
      </c>
      <c r="AH867" s="52"/>
      <c r="AI867" s="53">
        <v>46158.413888888892</v>
      </c>
      <c r="AJ867" s="52"/>
      <c r="AK867" s="53">
        <v>46158.413888888892</v>
      </c>
      <c r="AL867" s="52"/>
      <c r="AM867" s="52"/>
      <c r="AN867" s="52"/>
      <c r="AO867" s="52"/>
      <c r="AP867" s="52"/>
      <c r="AQ867" s="52"/>
      <c r="AR867" s="52"/>
      <c r="AS867" s="52" t="s">
        <v>3696</v>
      </c>
      <c r="AT867" s="52"/>
      <c r="AU867" s="52"/>
      <c r="AV867" s="52"/>
      <c r="AW867" s="52" t="s">
        <v>297</v>
      </c>
    </row>
    <row r="868" spans="1:49">
      <c r="A868" s="52">
        <v>6023023</v>
      </c>
      <c r="B868" s="52" t="s">
        <v>3691</v>
      </c>
      <c r="C868" s="52" t="s">
        <v>3692</v>
      </c>
      <c r="D868" s="53">
        <v>46160.5</v>
      </c>
      <c r="E868" s="53">
        <v>46157.709027777775</v>
      </c>
      <c r="F868" s="52"/>
      <c r="G868" s="52"/>
      <c r="H868" s="52"/>
      <c r="I868" s="52" t="s">
        <v>3693</v>
      </c>
      <c r="J868" s="52" t="s">
        <v>3694</v>
      </c>
      <c r="K868" s="52"/>
      <c r="L868" s="52"/>
      <c r="M868" s="55">
        <v>0.4236111111111111</v>
      </c>
      <c r="N868" s="54">
        <v>3.370138888888889</v>
      </c>
      <c r="O868" s="52"/>
      <c r="P868" s="52"/>
      <c r="Q868" s="52"/>
      <c r="R868" s="52"/>
      <c r="S868" s="52"/>
      <c r="T868" s="52" t="s">
        <v>3695</v>
      </c>
      <c r="U868" s="52" t="s">
        <v>3695</v>
      </c>
      <c r="V868" s="52"/>
      <c r="W868" s="52"/>
      <c r="X868" s="52"/>
      <c r="Y868" s="52"/>
      <c r="Z868" s="52" t="s">
        <v>3696</v>
      </c>
      <c r="AA868" s="52" t="s">
        <v>227</v>
      </c>
      <c r="AB868" s="52" t="s">
        <v>79</v>
      </c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>
        <v>0</v>
      </c>
      <c r="AT868" s="52"/>
      <c r="AU868" s="52"/>
      <c r="AV868" s="52" t="s">
        <v>297</v>
      </c>
      <c r="AW868" s="52"/>
    </row>
    <row r="869" spans="1:49">
      <c r="A869" s="52">
        <v>6023023</v>
      </c>
      <c r="B869" s="52" t="s">
        <v>3691</v>
      </c>
      <c r="C869" s="52" t="s">
        <v>3698</v>
      </c>
      <c r="D869" s="53">
        <v>46160.5</v>
      </c>
      <c r="E869" s="53">
        <v>46157.709027777775</v>
      </c>
      <c r="F869" s="52"/>
      <c r="G869" s="52"/>
      <c r="H869" s="52"/>
      <c r="I869" s="52"/>
      <c r="J869" s="52" t="s">
        <v>3694</v>
      </c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 t="s">
        <v>3696</v>
      </c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>
        <v>0</v>
      </c>
      <c r="AT869" s="52"/>
      <c r="AU869" s="52"/>
      <c r="AV869" s="52"/>
      <c r="AW869" s="52"/>
    </row>
    <row r="870" spans="1:49">
      <c r="A870" s="52">
        <v>6023024</v>
      </c>
      <c r="B870" s="52" t="s">
        <v>3691</v>
      </c>
      <c r="C870" s="52" t="s">
        <v>3692</v>
      </c>
      <c r="D870" s="53">
        <v>46160.458333333336</v>
      </c>
      <c r="E870" s="53">
        <v>46157.709027777775</v>
      </c>
      <c r="F870" s="52"/>
      <c r="G870" s="52"/>
      <c r="H870" s="52"/>
      <c r="I870" s="52" t="s">
        <v>3693</v>
      </c>
      <c r="J870" s="52" t="s">
        <v>3694</v>
      </c>
      <c r="K870" s="52"/>
      <c r="L870" s="52"/>
      <c r="M870" s="55">
        <v>0.4236111111111111</v>
      </c>
      <c r="N870" s="54">
        <v>3.370138888888889</v>
      </c>
      <c r="O870" s="52"/>
      <c r="P870" s="52"/>
      <c r="Q870" s="52"/>
      <c r="R870" s="52"/>
      <c r="S870" s="52"/>
      <c r="T870" s="52" t="s">
        <v>3695</v>
      </c>
      <c r="U870" s="52" t="s">
        <v>3695</v>
      </c>
      <c r="V870" s="52"/>
      <c r="W870" s="52"/>
      <c r="X870" s="52"/>
      <c r="Y870" s="52"/>
      <c r="Z870" s="52" t="s">
        <v>3696</v>
      </c>
      <c r="AA870" s="52" t="s">
        <v>227</v>
      </c>
      <c r="AB870" s="52" t="s">
        <v>79</v>
      </c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>
        <v>0</v>
      </c>
      <c r="AT870" s="52"/>
      <c r="AU870" s="52"/>
      <c r="AV870" s="52" t="s">
        <v>297</v>
      </c>
      <c r="AW870" s="52"/>
    </row>
    <row r="871" spans="1:49">
      <c r="A871" s="52">
        <v>6023024</v>
      </c>
      <c r="B871" s="52" t="s">
        <v>3691</v>
      </c>
      <c r="C871" s="52" t="s">
        <v>3698</v>
      </c>
      <c r="D871" s="53">
        <v>46160.458333333336</v>
      </c>
      <c r="E871" s="53">
        <v>46157.709027777775</v>
      </c>
      <c r="F871" s="52"/>
      <c r="G871" s="52"/>
      <c r="H871" s="52"/>
      <c r="I871" s="52"/>
      <c r="J871" s="52" t="s">
        <v>3694</v>
      </c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 t="s">
        <v>3696</v>
      </c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>
        <v>0</v>
      </c>
      <c r="AT871" s="52"/>
      <c r="AU871" s="52"/>
      <c r="AV871" s="52"/>
      <c r="AW871" s="52"/>
    </row>
    <row r="872" spans="1:49">
      <c r="A872" s="52">
        <v>6023025</v>
      </c>
      <c r="B872" s="52" t="s">
        <v>3691</v>
      </c>
      <c r="C872" s="52" t="s">
        <v>3692</v>
      </c>
      <c r="D872" s="53">
        <v>46160.458333333336</v>
      </c>
      <c r="E872" s="53">
        <v>46157.709027777775</v>
      </c>
      <c r="F872" s="52"/>
      <c r="G872" s="52"/>
      <c r="H872" s="52"/>
      <c r="I872" s="52" t="s">
        <v>3693</v>
      </c>
      <c r="J872" s="52" t="s">
        <v>3694</v>
      </c>
      <c r="K872" s="52"/>
      <c r="L872" s="52"/>
      <c r="M872" s="55">
        <v>0.4236111111111111</v>
      </c>
      <c r="N872" s="54">
        <v>3.370138888888889</v>
      </c>
      <c r="O872" s="52"/>
      <c r="P872" s="52"/>
      <c r="Q872" s="52"/>
      <c r="R872" s="52"/>
      <c r="S872" s="52"/>
      <c r="T872" s="52" t="s">
        <v>3695</v>
      </c>
      <c r="U872" s="52" t="s">
        <v>3695</v>
      </c>
      <c r="V872" s="52"/>
      <c r="W872" s="52"/>
      <c r="X872" s="52"/>
      <c r="Y872" s="52"/>
      <c r="Z872" s="52" t="s">
        <v>3696</v>
      </c>
      <c r="AA872" s="52" t="s">
        <v>114</v>
      </c>
      <c r="AB872" s="52" t="s">
        <v>79</v>
      </c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>
        <v>0</v>
      </c>
      <c r="AT872" s="52"/>
      <c r="AU872" s="52"/>
      <c r="AV872" s="52" t="s">
        <v>297</v>
      </c>
      <c r="AW872" s="52"/>
    </row>
    <row r="873" spans="1:49">
      <c r="A873" s="52">
        <v>6023025</v>
      </c>
      <c r="B873" s="52" t="s">
        <v>3691</v>
      </c>
      <c r="C873" s="52" t="s">
        <v>3698</v>
      </c>
      <c r="D873" s="53">
        <v>46160.458333333336</v>
      </c>
      <c r="E873" s="53">
        <v>46157.709027777775</v>
      </c>
      <c r="F873" s="52"/>
      <c r="G873" s="52"/>
      <c r="H873" s="52"/>
      <c r="I873" s="52"/>
      <c r="J873" s="52" t="s">
        <v>3694</v>
      </c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 t="s">
        <v>3696</v>
      </c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>
        <v>0</v>
      </c>
      <c r="AT873" s="52"/>
      <c r="AU873" s="52"/>
      <c r="AV873" s="52"/>
      <c r="AW873" s="52"/>
    </row>
    <row r="874" spans="1:49">
      <c r="A874" s="52">
        <v>6023026</v>
      </c>
      <c r="B874" s="52" t="s">
        <v>3723</v>
      </c>
      <c r="C874" s="52" t="s">
        <v>3692</v>
      </c>
      <c r="D874" s="53">
        <v>46157.416666666664</v>
      </c>
      <c r="E874" s="53">
        <v>46156.734722222223</v>
      </c>
      <c r="F874" s="53">
        <v>46158.377083333333</v>
      </c>
      <c r="G874" s="53">
        <v>46162.25</v>
      </c>
      <c r="H874" s="52"/>
      <c r="I874" s="52" t="s">
        <v>3693</v>
      </c>
      <c r="J874" s="52" t="s">
        <v>3693</v>
      </c>
      <c r="K874" s="53">
        <v>46158.822916666664</v>
      </c>
      <c r="L874" s="52"/>
      <c r="M874" s="54">
        <v>4.833333333333333</v>
      </c>
      <c r="N874" s="54">
        <v>1.0395833333333333</v>
      </c>
      <c r="O874" s="52"/>
      <c r="P874" s="52"/>
      <c r="Q874" s="52"/>
      <c r="R874" s="52"/>
      <c r="S874" s="52"/>
      <c r="T874" s="52" t="s">
        <v>3695</v>
      </c>
      <c r="U874" s="52" t="s">
        <v>3695</v>
      </c>
      <c r="V874" s="52"/>
      <c r="W874" s="52"/>
      <c r="X874" s="52"/>
      <c r="Y874" s="52"/>
      <c r="Z874" s="52" t="s">
        <v>3696</v>
      </c>
      <c r="AA874" s="52" t="s">
        <v>227</v>
      </c>
      <c r="AB874" s="52" t="s">
        <v>79</v>
      </c>
      <c r="AC874" s="52" t="s">
        <v>3720</v>
      </c>
      <c r="AD874" s="52" t="s">
        <v>3715</v>
      </c>
      <c r="AE874" s="52"/>
      <c r="AF874" s="52" t="s">
        <v>4020</v>
      </c>
      <c r="AG874" s="52" t="s">
        <v>3715</v>
      </c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>
        <v>0</v>
      </c>
      <c r="AT874" s="52"/>
      <c r="AU874" s="52"/>
      <c r="AV874" s="52" t="s">
        <v>4082</v>
      </c>
      <c r="AW874" s="52"/>
    </row>
    <row r="875" spans="1:49">
      <c r="A875" s="52">
        <v>6023026</v>
      </c>
      <c r="B875" s="52" t="s">
        <v>3723</v>
      </c>
      <c r="C875" s="52" t="s">
        <v>3698</v>
      </c>
      <c r="D875" s="53">
        <v>46157.416666666664</v>
      </c>
      <c r="E875" s="53">
        <v>46156.734722222223</v>
      </c>
      <c r="F875" s="53">
        <v>46158.381944444445</v>
      </c>
      <c r="G875" s="53">
        <v>46162.25</v>
      </c>
      <c r="H875" s="52"/>
      <c r="I875" s="52"/>
      <c r="J875" s="52" t="s">
        <v>3693</v>
      </c>
      <c r="K875" s="53">
        <v>46158.822916666664</v>
      </c>
      <c r="L875" s="52"/>
      <c r="M875" s="54">
        <v>3.8680555555555554</v>
      </c>
      <c r="N875" s="55">
        <v>7.4305555555555555E-2</v>
      </c>
      <c r="O875" s="52" t="s">
        <v>4021</v>
      </c>
      <c r="P875" s="52" t="s">
        <v>227</v>
      </c>
      <c r="Q875" s="52" t="s">
        <v>2028</v>
      </c>
      <c r="R875" s="52" t="s">
        <v>1496</v>
      </c>
      <c r="S875" s="52" t="s">
        <v>3756</v>
      </c>
      <c r="T875" s="52" t="s">
        <v>3695</v>
      </c>
      <c r="U875" s="52" t="s">
        <v>3695</v>
      </c>
      <c r="V875" s="52" t="s">
        <v>2032</v>
      </c>
      <c r="W875" s="52">
        <v>60372788904</v>
      </c>
      <c r="X875" s="52" t="s">
        <v>73</v>
      </c>
      <c r="Y875" s="52"/>
      <c r="Z875" s="52" t="s">
        <v>3696</v>
      </c>
      <c r="AA875" s="52" t="s">
        <v>3710</v>
      </c>
      <c r="AB875" s="52"/>
      <c r="AC875" s="52" t="s">
        <v>3720</v>
      </c>
      <c r="AD875" s="52" t="s">
        <v>3715</v>
      </c>
      <c r="AE875" s="52" t="s">
        <v>79</v>
      </c>
      <c r="AF875" s="52" t="s">
        <v>4020</v>
      </c>
      <c r="AG875" s="52" t="s">
        <v>3715</v>
      </c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 t="s">
        <v>3696</v>
      </c>
      <c r="AT875" s="52"/>
      <c r="AU875" s="52"/>
      <c r="AV875" s="52"/>
      <c r="AW875" s="52"/>
    </row>
    <row r="876" spans="1:49">
      <c r="A876" s="52">
        <v>6023026</v>
      </c>
      <c r="B876" s="52" t="s">
        <v>3723</v>
      </c>
      <c r="C876" s="52" t="s">
        <v>3698</v>
      </c>
      <c r="D876" s="53">
        <v>46157.416666666664</v>
      </c>
      <c r="E876" s="53">
        <v>46156.734722222223</v>
      </c>
      <c r="F876" s="53">
        <v>46158.381944444445</v>
      </c>
      <c r="G876" s="53">
        <v>46162.25</v>
      </c>
      <c r="H876" s="52"/>
      <c r="I876" s="52"/>
      <c r="J876" s="52" t="s">
        <v>3693</v>
      </c>
      <c r="K876" s="53">
        <v>46158.822916666664</v>
      </c>
      <c r="L876" s="52"/>
      <c r="M876" s="54">
        <v>3.8680555555555554</v>
      </c>
      <c r="N876" s="55">
        <v>7.4305555555555555E-2</v>
      </c>
      <c r="O876" s="52" t="s">
        <v>4021</v>
      </c>
      <c r="P876" s="52" t="s">
        <v>227</v>
      </c>
      <c r="Q876" s="52" t="s">
        <v>2028</v>
      </c>
      <c r="R876" s="52" t="s">
        <v>1496</v>
      </c>
      <c r="S876" s="52" t="s">
        <v>3756</v>
      </c>
      <c r="T876" s="52" t="s">
        <v>3695</v>
      </c>
      <c r="U876" s="52" t="s">
        <v>3695</v>
      </c>
      <c r="V876" s="52" t="s">
        <v>2032</v>
      </c>
      <c r="W876" s="52">
        <v>60372788904</v>
      </c>
      <c r="X876" s="52" t="s">
        <v>73</v>
      </c>
      <c r="Y876" s="52"/>
      <c r="Z876" s="52" t="s">
        <v>3696</v>
      </c>
      <c r="AA876" s="52" t="s">
        <v>3710</v>
      </c>
      <c r="AB876" s="52"/>
      <c r="AC876" s="52" t="s">
        <v>3720</v>
      </c>
      <c r="AD876" s="52" t="s">
        <v>3715</v>
      </c>
      <c r="AE876" s="52"/>
      <c r="AF876" s="52" t="s">
        <v>4020</v>
      </c>
      <c r="AG876" s="52" t="s">
        <v>3715</v>
      </c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 t="s">
        <v>3696</v>
      </c>
      <c r="AT876" s="52"/>
      <c r="AU876" s="52"/>
      <c r="AV876" s="52"/>
      <c r="AW876" s="52" t="s">
        <v>4082</v>
      </c>
    </row>
    <row r="877" spans="1:49">
      <c r="A877" s="52">
        <v>6023031</v>
      </c>
      <c r="B877" s="52" t="s">
        <v>3691</v>
      </c>
      <c r="C877" s="52" t="s">
        <v>3692</v>
      </c>
      <c r="D877" s="53">
        <v>46160.708333333336</v>
      </c>
      <c r="E877" s="53">
        <v>46157.709027777775</v>
      </c>
      <c r="F877" s="52"/>
      <c r="G877" s="52"/>
      <c r="H877" s="52"/>
      <c r="I877" s="52" t="s">
        <v>3693</v>
      </c>
      <c r="J877" s="52" t="s">
        <v>3694</v>
      </c>
      <c r="K877" s="52"/>
      <c r="L877" s="52"/>
      <c r="M877" s="54">
        <v>5.1763888888888889</v>
      </c>
      <c r="N877" s="54">
        <v>5.6173611111111112</v>
      </c>
      <c r="O877" s="52"/>
      <c r="P877" s="52"/>
      <c r="Q877" s="52"/>
      <c r="R877" s="52"/>
      <c r="S877" s="52"/>
      <c r="T877" s="52" t="s">
        <v>3695</v>
      </c>
      <c r="U877" s="52" t="s">
        <v>3695</v>
      </c>
      <c r="V877" s="52"/>
      <c r="W877" s="52"/>
      <c r="X877" s="52"/>
      <c r="Y877" s="52"/>
      <c r="Z877" s="52" t="s">
        <v>3696</v>
      </c>
      <c r="AA877" s="52" t="s">
        <v>102</v>
      </c>
      <c r="AB877" s="52" t="s">
        <v>79</v>
      </c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>
        <v>0</v>
      </c>
      <c r="AT877" s="52"/>
      <c r="AU877" s="52"/>
      <c r="AV877" s="52" t="s">
        <v>4124</v>
      </c>
      <c r="AW877" s="52"/>
    </row>
    <row r="878" spans="1:49">
      <c r="A878" s="52">
        <v>6023031</v>
      </c>
      <c r="B878" s="52" t="s">
        <v>3691</v>
      </c>
      <c r="C878" s="52" t="s">
        <v>3698</v>
      </c>
      <c r="D878" s="53">
        <v>46160.708333333336</v>
      </c>
      <c r="E878" s="53">
        <v>46157.709027777775</v>
      </c>
      <c r="F878" s="52"/>
      <c r="G878" s="52"/>
      <c r="H878" s="52"/>
      <c r="I878" s="52"/>
      <c r="J878" s="52" t="s">
        <v>3694</v>
      </c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 t="s">
        <v>3696</v>
      </c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>
        <v>0</v>
      </c>
      <c r="AT878" s="52"/>
      <c r="AU878" s="52"/>
      <c r="AV878" s="52"/>
      <c r="AW878" s="52"/>
    </row>
    <row r="879" spans="1:49">
      <c r="A879" s="52">
        <v>6023033</v>
      </c>
      <c r="B879" s="52" t="s">
        <v>3691</v>
      </c>
      <c r="C879" s="52" t="s">
        <v>3692</v>
      </c>
      <c r="D879" s="53">
        <v>46160.416666666664</v>
      </c>
      <c r="E879" s="53">
        <v>46157.709027777775</v>
      </c>
      <c r="F879" s="52"/>
      <c r="G879" s="52"/>
      <c r="H879" s="52"/>
      <c r="I879" s="52" t="s">
        <v>3693</v>
      </c>
      <c r="J879" s="52" t="s">
        <v>3694</v>
      </c>
      <c r="K879" s="52"/>
      <c r="L879" s="52"/>
      <c r="M879" s="55">
        <v>0.15277777777777779</v>
      </c>
      <c r="N879" s="54">
        <v>3.6409722222222221</v>
      </c>
      <c r="O879" s="52"/>
      <c r="P879" s="52"/>
      <c r="Q879" s="52"/>
      <c r="R879" s="52"/>
      <c r="S879" s="52"/>
      <c r="T879" s="52" t="s">
        <v>3695</v>
      </c>
      <c r="U879" s="52" t="s">
        <v>3695</v>
      </c>
      <c r="V879" s="52"/>
      <c r="W879" s="52"/>
      <c r="X879" s="52"/>
      <c r="Y879" s="52"/>
      <c r="Z879" s="52" t="s">
        <v>3696</v>
      </c>
      <c r="AA879" s="52" t="s">
        <v>227</v>
      </c>
      <c r="AB879" s="52" t="s">
        <v>79</v>
      </c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>
        <v>0</v>
      </c>
      <c r="AT879" s="52"/>
      <c r="AU879" s="52"/>
      <c r="AV879" s="52" t="s">
        <v>466</v>
      </c>
      <c r="AW879" s="52"/>
    </row>
    <row r="880" spans="1:49">
      <c r="A880" s="52">
        <v>6023033</v>
      </c>
      <c r="B880" s="52" t="s">
        <v>3691</v>
      </c>
      <c r="C880" s="52" t="s">
        <v>3698</v>
      </c>
      <c r="D880" s="53">
        <v>46160.416666666664</v>
      </c>
      <c r="E880" s="53">
        <v>46157.709027777775</v>
      </c>
      <c r="F880" s="52"/>
      <c r="G880" s="52"/>
      <c r="H880" s="52"/>
      <c r="I880" s="52"/>
      <c r="J880" s="52" t="s">
        <v>3694</v>
      </c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 t="s">
        <v>3696</v>
      </c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>
        <v>0</v>
      </c>
      <c r="AT880" s="52"/>
      <c r="AU880" s="52"/>
      <c r="AV880" s="52"/>
      <c r="AW880" s="52"/>
    </row>
    <row r="881" spans="1:49">
      <c r="A881" s="52">
        <v>6023036</v>
      </c>
      <c r="B881" s="52" t="s">
        <v>3716</v>
      </c>
      <c r="C881" s="52" t="s">
        <v>3692</v>
      </c>
      <c r="D881" s="53">
        <v>46157.75</v>
      </c>
      <c r="E881" s="53">
        <v>46156.732638888891</v>
      </c>
      <c r="F881" s="53">
        <v>46157.813888888886</v>
      </c>
      <c r="G881" s="53">
        <v>46169.25</v>
      </c>
      <c r="H881" s="52"/>
      <c r="I881" s="52" t="s">
        <v>3693</v>
      </c>
      <c r="J881" s="52" t="s">
        <v>3694</v>
      </c>
      <c r="K881" s="53">
        <v>46159.947916666664</v>
      </c>
      <c r="L881" s="52"/>
      <c r="M881" s="54">
        <v>11.5</v>
      </c>
      <c r="N881" s="55">
        <v>0.70625000000000004</v>
      </c>
      <c r="O881" s="52"/>
      <c r="P881" s="52"/>
      <c r="Q881" s="52"/>
      <c r="R881" s="52"/>
      <c r="S881" s="52"/>
      <c r="T881" s="52" t="s">
        <v>4000</v>
      </c>
      <c r="U881" s="52" t="s">
        <v>3695</v>
      </c>
      <c r="V881" s="52"/>
      <c r="W881" s="52"/>
      <c r="X881" s="52"/>
      <c r="Y881" s="52"/>
      <c r="Z881" s="52" t="s">
        <v>3696</v>
      </c>
      <c r="AA881" s="52" t="s">
        <v>836</v>
      </c>
      <c r="AB881" s="52" t="s">
        <v>79</v>
      </c>
      <c r="AC881" s="52" t="s">
        <v>3720</v>
      </c>
      <c r="AD881" s="52" t="s">
        <v>3715</v>
      </c>
      <c r="AE881" s="52"/>
      <c r="AF881" s="52" t="s">
        <v>4001</v>
      </c>
      <c r="AG881" s="52" t="s">
        <v>4002</v>
      </c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>
        <v>0</v>
      </c>
      <c r="AT881" s="52"/>
      <c r="AU881" s="52"/>
      <c r="AV881" s="52" t="s">
        <v>318</v>
      </c>
      <c r="AW881" s="52"/>
    </row>
    <row r="882" spans="1:49">
      <c r="A882" s="52">
        <v>6023036</v>
      </c>
      <c r="B882" s="52" t="s">
        <v>3716</v>
      </c>
      <c r="C882" s="52" t="s">
        <v>3698</v>
      </c>
      <c r="D882" s="53">
        <v>46157.75</v>
      </c>
      <c r="E882" s="53">
        <v>46156.732638888891</v>
      </c>
      <c r="F882" s="52"/>
      <c r="G882" s="53">
        <v>46169.25</v>
      </c>
      <c r="H882" s="52"/>
      <c r="I882" s="52"/>
      <c r="J882" s="52" t="s">
        <v>3694</v>
      </c>
      <c r="K882" s="53">
        <v>46159.947916666664</v>
      </c>
      <c r="L882" s="52"/>
      <c r="M882" s="52"/>
      <c r="N882" s="52"/>
      <c r="O882" s="52" t="s">
        <v>4003</v>
      </c>
      <c r="P882" s="52" t="s">
        <v>836</v>
      </c>
      <c r="Q882" s="52" t="s">
        <v>895</v>
      </c>
      <c r="R882" s="52" t="s">
        <v>902</v>
      </c>
      <c r="S882" s="52" t="s">
        <v>3895</v>
      </c>
      <c r="T882" s="52" t="s">
        <v>4000</v>
      </c>
      <c r="U882" s="52" t="s">
        <v>3695</v>
      </c>
      <c r="V882" s="52" t="s">
        <v>903</v>
      </c>
      <c r="W882" s="52">
        <v>61708488987</v>
      </c>
      <c r="X882" s="52" t="s">
        <v>73</v>
      </c>
      <c r="Y882" s="52" t="s">
        <v>3930</v>
      </c>
      <c r="Z882" s="52" t="s">
        <v>3696</v>
      </c>
      <c r="AA882" s="52" t="s">
        <v>3710</v>
      </c>
      <c r="AB882" s="52"/>
      <c r="AC882" s="52" t="s">
        <v>3720</v>
      </c>
      <c r="AD882" s="52" t="s">
        <v>3715</v>
      </c>
      <c r="AE882" s="52" t="s">
        <v>79</v>
      </c>
      <c r="AF882" s="52" t="s">
        <v>4001</v>
      </c>
      <c r="AG882" s="52" t="s">
        <v>4002</v>
      </c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 t="s">
        <v>3696</v>
      </c>
      <c r="AT882" s="52"/>
      <c r="AU882" s="52"/>
      <c r="AV882" s="52"/>
      <c r="AW882" s="52"/>
    </row>
    <row r="883" spans="1:49">
      <c r="A883" s="52">
        <v>6023036</v>
      </c>
      <c r="B883" s="52" t="s">
        <v>3716</v>
      </c>
      <c r="C883" s="52" t="s">
        <v>3698</v>
      </c>
      <c r="D883" s="53">
        <v>46157.75</v>
      </c>
      <c r="E883" s="53">
        <v>46156.732638888891</v>
      </c>
      <c r="F883" s="52"/>
      <c r="G883" s="53">
        <v>46169.25</v>
      </c>
      <c r="H883" s="52"/>
      <c r="I883" s="52"/>
      <c r="J883" s="52" t="s">
        <v>3694</v>
      </c>
      <c r="K883" s="53">
        <v>46159.947916666664</v>
      </c>
      <c r="L883" s="52"/>
      <c r="M883" s="52"/>
      <c r="N883" s="52"/>
      <c r="O883" s="52" t="s">
        <v>4003</v>
      </c>
      <c r="P883" s="52" t="s">
        <v>836</v>
      </c>
      <c r="Q883" s="52" t="s">
        <v>895</v>
      </c>
      <c r="R883" s="52" t="s">
        <v>902</v>
      </c>
      <c r="S883" s="52" t="s">
        <v>3895</v>
      </c>
      <c r="T883" s="52" t="s">
        <v>4000</v>
      </c>
      <c r="U883" s="52" t="s">
        <v>3695</v>
      </c>
      <c r="V883" s="52" t="s">
        <v>903</v>
      </c>
      <c r="W883" s="52">
        <v>61708488987</v>
      </c>
      <c r="X883" s="52" t="s">
        <v>73</v>
      </c>
      <c r="Y883" s="52" t="s">
        <v>3930</v>
      </c>
      <c r="Z883" s="52" t="s">
        <v>3696</v>
      </c>
      <c r="AA883" s="52" t="s">
        <v>3710</v>
      </c>
      <c r="AB883" s="52"/>
      <c r="AC883" s="52" t="s">
        <v>3720</v>
      </c>
      <c r="AD883" s="52" t="s">
        <v>3715</v>
      </c>
      <c r="AE883" s="52"/>
      <c r="AF883" s="52" t="s">
        <v>4001</v>
      </c>
      <c r="AG883" s="52" t="s">
        <v>4002</v>
      </c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 t="s">
        <v>3696</v>
      </c>
      <c r="AT883" s="52"/>
      <c r="AU883" s="52"/>
      <c r="AV883" s="52"/>
      <c r="AW883" s="52" t="s">
        <v>318</v>
      </c>
    </row>
    <row r="884" spans="1:49">
      <c r="A884" s="52">
        <v>6023167</v>
      </c>
      <c r="B884" s="52" t="s">
        <v>3691</v>
      </c>
      <c r="C884" s="52" t="s">
        <v>3692</v>
      </c>
      <c r="D884" s="53">
        <v>46160.833333333336</v>
      </c>
      <c r="E884" s="53">
        <v>46157.584722222222</v>
      </c>
      <c r="F884" s="52"/>
      <c r="G884" s="52"/>
      <c r="H884" s="52"/>
      <c r="I884" s="52" t="s">
        <v>3693</v>
      </c>
      <c r="J884" s="52" t="s">
        <v>3694</v>
      </c>
      <c r="K884" s="52"/>
      <c r="L884" s="52"/>
      <c r="M884" s="55">
        <v>0.13333333333333333</v>
      </c>
      <c r="N884" s="54">
        <v>2.7437499999999999</v>
      </c>
      <c r="O884" s="52"/>
      <c r="P884" s="52"/>
      <c r="Q884" s="52"/>
      <c r="R884" s="52"/>
      <c r="S884" s="52"/>
      <c r="T884" s="52" t="s">
        <v>3695</v>
      </c>
      <c r="U884" s="52" t="s">
        <v>3695</v>
      </c>
      <c r="V884" s="52"/>
      <c r="W884" s="52"/>
      <c r="X884" s="52"/>
      <c r="Y884" s="52"/>
      <c r="Z884" s="52" t="s">
        <v>3696</v>
      </c>
      <c r="AA884" s="52" t="s">
        <v>184</v>
      </c>
      <c r="AB884" s="52" t="s">
        <v>140</v>
      </c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>
        <v>0</v>
      </c>
      <c r="AT884" s="52"/>
      <c r="AU884" s="52"/>
      <c r="AV884" s="52" t="s">
        <v>4125</v>
      </c>
      <c r="AW884" s="52"/>
    </row>
    <row r="885" spans="1:49">
      <c r="A885" s="52">
        <v>6023167</v>
      </c>
      <c r="B885" s="52" t="s">
        <v>3691</v>
      </c>
      <c r="C885" s="52" t="s">
        <v>3698</v>
      </c>
      <c r="D885" s="53">
        <v>46160.833333333336</v>
      </c>
      <c r="E885" s="53">
        <v>46157.584722222222</v>
      </c>
      <c r="F885" s="52"/>
      <c r="G885" s="52"/>
      <c r="H885" s="52"/>
      <c r="I885" s="52"/>
      <c r="J885" s="52" t="s">
        <v>3694</v>
      </c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 t="s">
        <v>3696</v>
      </c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>
        <v>0</v>
      </c>
      <c r="AT885" s="52"/>
      <c r="AU885" s="52"/>
      <c r="AV885" s="52"/>
      <c r="AW885" s="52"/>
    </row>
    <row r="886" spans="1:49">
      <c r="A886" s="52">
        <v>6023168</v>
      </c>
      <c r="B886" s="52" t="s">
        <v>3691</v>
      </c>
      <c r="C886" s="52" t="s">
        <v>3692</v>
      </c>
      <c r="D886" s="53">
        <v>46160.666666666664</v>
      </c>
      <c r="E886" s="53">
        <v>46157.584722222222</v>
      </c>
      <c r="F886" s="52"/>
      <c r="G886" s="52"/>
      <c r="H886" s="52"/>
      <c r="I886" s="52" t="s">
        <v>3693</v>
      </c>
      <c r="J886" s="52" t="s">
        <v>3694</v>
      </c>
      <c r="K886" s="52"/>
      <c r="L886" s="52"/>
      <c r="M886" s="55">
        <v>0.15416666666666667</v>
      </c>
      <c r="N886" s="54">
        <v>2.7229166666666669</v>
      </c>
      <c r="O886" s="52"/>
      <c r="P886" s="52"/>
      <c r="Q886" s="52"/>
      <c r="R886" s="52"/>
      <c r="S886" s="52"/>
      <c r="T886" s="52" t="s">
        <v>3695</v>
      </c>
      <c r="U886" s="52" t="s">
        <v>3695</v>
      </c>
      <c r="V886" s="52"/>
      <c r="W886" s="52"/>
      <c r="X886" s="52"/>
      <c r="Y886" s="52"/>
      <c r="Z886" s="52" t="s">
        <v>3696</v>
      </c>
      <c r="AA886" s="52" t="s">
        <v>4126</v>
      </c>
      <c r="AB886" s="52" t="s">
        <v>140</v>
      </c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>
        <v>0</v>
      </c>
      <c r="AT886" s="52"/>
      <c r="AU886" s="52"/>
      <c r="AV886" s="52" t="s">
        <v>4125</v>
      </c>
      <c r="AW886" s="52"/>
    </row>
    <row r="887" spans="1:49">
      <c r="A887" s="52">
        <v>6023168</v>
      </c>
      <c r="B887" s="52" t="s">
        <v>3691</v>
      </c>
      <c r="C887" s="52" t="s">
        <v>3698</v>
      </c>
      <c r="D887" s="53">
        <v>46160.666666666664</v>
      </c>
      <c r="E887" s="53">
        <v>46157.584722222222</v>
      </c>
      <c r="F887" s="52"/>
      <c r="G887" s="52"/>
      <c r="H887" s="52"/>
      <c r="I887" s="52"/>
      <c r="J887" s="52" t="s">
        <v>3694</v>
      </c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 t="s">
        <v>3696</v>
      </c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>
        <v>0</v>
      </c>
      <c r="AT887" s="52"/>
      <c r="AU887" s="52"/>
      <c r="AV887" s="52"/>
      <c r="AW887" s="52"/>
    </row>
    <row r="888" spans="1:49">
      <c r="A888" s="52">
        <v>6023170</v>
      </c>
      <c r="B888" s="52" t="s">
        <v>3691</v>
      </c>
      <c r="C888" s="52" t="s">
        <v>3692</v>
      </c>
      <c r="D888" s="53">
        <v>46160.833333333336</v>
      </c>
      <c r="E888" s="53">
        <v>46157.584722222222</v>
      </c>
      <c r="F888" s="52"/>
      <c r="G888" s="52"/>
      <c r="H888" s="52"/>
      <c r="I888" s="52" t="s">
        <v>3693</v>
      </c>
      <c r="J888" s="52" t="s">
        <v>3694</v>
      </c>
      <c r="K888" s="52"/>
      <c r="L888" s="52"/>
      <c r="M888" s="55">
        <v>0.13333333333333333</v>
      </c>
      <c r="N888" s="54">
        <v>2.7437499999999999</v>
      </c>
      <c r="O888" s="52"/>
      <c r="P888" s="52"/>
      <c r="Q888" s="52"/>
      <c r="R888" s="52"/>
      <c r="S888" s="52"/>
      <c r="T888" s="52" t="s">
        <v>3695</v>
      </c>
      <c r="U888" s="52" t="s">
        <v>3695</v>
      </c>
      <c r="V888" s="52"/>
      <c r="W888" s="52"/>
      <c r="X888" s="52"/>
      <c r="Y888" s="52"/>
      <c r="Z888" s="52" t="s">
        <v>3696</v>
      </c>
      <c r="AA888" s="52" t="s">
        <v>184</v>
      </c>
      <c r="AB888" s="52" t="s">
        <v>140</v>
      </c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>
        <v>0</v>
      </c>
      <c r="AT888" s="52"/>
      <c r="AU888" s="52"/>
      <c r="AV888" s="52" t="s">
        <v>4125</v>
      </c>
      <c r="AW888" s="52"/>
    </row>
    <row r="889" spans="1:49">
      <c r="A889" s="52">
        <v>6023170</v>
      </c>
      <c r="B889" s="52" t="s">
        <v>3691</v>
      </c>
      <c r="C889" s="52" t="s">
        <v>3698</v>
      </c>
      <c r="D889" s="53">
        <v>46160.833333333336</v>
      </c>
      <c r="E889" s="53">
        <v>46157.584722222222</v>
      </c>
      <c r="F889" s="52"/>
      <c r="G889" s="52"/>
      <c r="H889" s="52"/>
      <c r="I889" s="52"/>
      <c r="J889" s="52" t="s">
        <v>3694</v>
      </c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 t="s">
        <v>3696</v>
      </c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>
        <v>0</v>
      </c>
      <c r="AT889" s="52"/>
      <c r="AU889" s="52"/>
      <c r="AV889" s="52"/>
      <c r="AW889" s="52"/>
    </row>
    <row r="890" spans="1:49">
      <c r="A890" s="52">
        <v>6023296</v>
      </c>
      <c r="B890" s="52" t="s">
        <v>3716</v>
      </c>
      <c r="C890" s="52" t="s">
        <v>3692</v>
      </c>
      <c r="D890" s="53">
        <v>46158.395833333336</v>
      </c>
      <c r="E890" s="53">
        <v>46157.584722222222</v>
      </c>
      <c r="F890" s="53">
        <v>46158.425694444442</v>
      </c>
      <c r="G890" s="53">
        <v>46160.25</v>
      </c>
      <c r="H890" s="52"/>
      <c r="I890" s="52" t="s">
        <v>3693</v>
      </c>
      <c r="J890" s="52" t="s">
        <v>3694</v>
      </c>
      <c r="K890" s="53">
        <v>46158.69027777778</v>
      </c>
      <c r="L890" s="52"/>
      <c r="M890" s="55">
        <v>0.13958333333333334</v>
      </c>
      <c r="N890" s="54">
        <v>1.6541666666666666</v>
      </c>
      <c r="O890" s="52"/>
      <c r="P890" s="52"/>
      <c r="Q890" s="52"/>
      <c r="R890" s="52"/>
      <c r="S890" s="52"/>
      <c r="T890" s="52" t="s">
        <v>3695</v>
      </c>
      <c r="U890" s="52" t="s">
        <v>3695</v>
      </c>
      <c r="V890" s="52"/>
      <c r="W890" s="52"/>
      <c r="X890" s="52"/>
      <c r="Y890" s="52"/>
      <c r="Z890" s="52" t="s">
        <v>3696</v>
      </c>
      <c r="AA890" s="52" t="s">
        <v>724</v>
      </c>
      <c r="AB890" s="52" t="s">
        <v>79</v>
      </c>
      <c r="AC890" s="52" t="s">
        <v>3720</v>
      </c>
      <c r="AD890" s="52" t="s">
        <v>3715</v>
      </c>
      <c r="AE890" s="52"/>
      <c r="AF890" s="52" t="s">
        <v>3769</v>
      </c>
      <c r="AG890" s="52" t="s">
        <v>3770</v>
      </c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>
        <v>0</v>
      </c>
      <c r="AT890" s="52"/>
      <c r="AU890" s="52"/>
      <c r="AV890" s="52" t="s">
        <v>286</v>
      </c>
      <c r="AW890" s="52"/>
    </row>
    <row r="891" spans="1:49">
      <c r="A891" s="52">
        <v>6023296</v>
      </c>
      <c r="B891" s="52" t="s">
        <v>3716</v>
      </c>
      <c r="C891" s="52" t="s">
        <v>3698</v>
      </c>
      <c r="D891" s="53">
        <v>46158.395833333336</v>
      </c>
      <c r="E891" s="53">
        <v>46157.584722222222</v>
      </c>
      <c r="F891" s="53">
        <v>46158.45</v>
      </c>
      <c r="G891" s="53">
        <v>46160.25</v>
      </c>
      <c r="H891" s="52"/>
      <c r="I891" s="52"/>
      <c r="J891" s="52" t="s">
        <v>3694</v>
      </c>
      <c r="K891" s="53">
        <v>46158.69027777778</v>
      </c>
      <c r="L891" s="52"/>
      <c r="M891" s="54">
        <v>1.8</v>
      </c>
      <c r="N891" s="55">
        <v>6.2500000000000003E-3</v>
      </c>
      <c r="O891" s="52" t="s">
        <v>779</v>
      </c>
      <c r="P891" s="52" t="s">
        <v>724</v>
      </c>
      <c r="Q891" s="52" t="s">
        <v>778</v>
      </c>
      <c r="R891" s="52" t="s">
        <v>783</v>
      </c>
      <c r="S891" s="52" t="s">
        <v>69</v>
      </c>
      <c r="T891" s="52" t="s">
        <v>3695</v>
      </c>
      <c r="U891" s="52" t="s">
        <v>3695</v>
      </c>
      <c r="V891" s="52" t="s">
        <v>3915</v>
      </c>
      <c r="W891" s="52">
        <v>2526774985</v>
      </c>
      <c r="X891" s="52" t="s">
        <v>73</v>
      </c>
      <c r="Y891" s="52"/>
      <c r="Z891" s="52" t="s">
        <v>3696</v>
      </c>
      <c r="AA891" s="52" t="s">
        <v>3710</v>
      </c>
      <c r="AB891" s="52"/>
      <c r="AC891" s="52" t="s">
        <v>3720</v>
      </c>
      <c r="AD891" s="52" t="s">
        <v>3715</v>
      </c>
      <c r="AE891" s="52" t="s">
        <v>79</v>
      </c>
      <c r="AF891" s="52" t="s">
        <v>3769</v>
      </c>
      <c r="AG891" s="52" t="s">
        <v>3770</v>
      </c>
      <c r="AH891" s="52"/>
      <c r="AI891" s="53">
        <v>46158.428472222222</v>
      </c>
      <c r="AJ891" s="52"/>
      <c r="AK891" s="53">
        <v>46158.428472222222</v>
      </c>
      <c r="AL891" s="52"/>
      <c r="AM891" s="52"/>
      <c r="AN891" s="52"/>
      <c r="AO891" s="52"/>
      <c r="AP891" s="52"/>
      <c r="AQ891" s="52"/>
      <c r="AR891" s="52"/>
      <c r="AS891" s="52" t="s">
        <v>3696</v>
      </c>
      <c r="AT891" s="52"/>
      <c r="AU891" s="52"/>
      <c r="AV891" s="52"/>
      <c r="AW891" s="52"/>
    </row>
    <row r="892" spans="1:49">
      <c r="A892" s="52">
        <v>6023296</v>
      </c>
      <c r="B892" s="52" t="s">
        <v>3716</v>
      </c>
      <c r="C892" s="52" t="s">
        <v>3698</v>
      </c>
      <c r="D892" s="53">
        <v>46158.395833333336</v>
      </c>
      <c r="E892" s="53">
        <v>46157.584722222222</v>
      </c>
      <c r="F892" s="53">
        <v>46158.45</v>
      </c>
      <c r="G892" s="53">
        <v>46160.25</v>
      </c>
      <c r="H892" s="52"/>
      <c r="I892" s="52"/>
      <c r="J892" s="52" t="s">
        <v>3694</v>
      </c>
      <c r="K892" s="53">
        <v>46158.69027777778</v>
      </c>
      <c r="L892" s="52"/>
      <c r="M892" s="54">
        <v>1.8</v>
      </c>
      <c r="N892" s="55">
        <v>6.2500000000000003E-3</v>
      </c>
      <c r="O892" s="52" t="s">
        <v>779</v>
      </c>
      <c r="P892" s="52" t="s">
        <v>724</v>
      </c>
      <c r="Q892" s="52" t="s">
        <v>778</v>
      </c>
      <c r="R892" s="52" t="s">
        <v>783</v>
      </c>
      <c r="S892" s="52" t="s">
        <v>69</v>
      </c>
      <c r="T892" s="52" t="s">
        <v>3695</v>
      </c>
      <c r="U892" s="52" t="s">
        <v>3695</v>
      </c>
      <c r="V892" s="52" t="s">
        <v>3915</v>
      </c>
      <c r="W892" s="52">
        <v>2526774985</v>
      </c>
      <c r="X892" s="52" t="s">
        <v>73</v>
      </c>
      <c r="Y892" s="52"/>
      <c r="Z892" s="52" t="s">
        <v>3696</v>
      </c>
      <c r="AA892" s="52" t="s">
        <v>3710</v>
      </c>
      <c r="AB892" s="52"/>
      <c r="AC892" s="52" t="s">
        <v>3720</v>
      </c>
      <c r="AD892" s="52" t="s">
        <v>3715</v>
      </c>
      <c r="AE892" s="52"/>
      <c r="AF892" s="52" t="s">
        <v>3769</v>
      </c>
      <c r="AG892" s="52" t="s">
        <v>3770</v>
      </c>
      <c r="AH892" s="52"/>
      <c r="AI892" s="53">
        <v>46158.428472222222</v>
      </c>
      <c r="AJ892" s="52"/>
      <c r="AK892" s="53">
        <v>46158.428472222222</v>
      </c>
      <c r="AL892" s="52"/>
      <c r="AM892" s="52"/>
      <c r="AN892" s="52"/>
      <c r="AO892" s="52"/>
      <c r="AP892" s="52"/>
      <c r="AQ892" s="52"/>
      <c r="AR892" s="52"/>
      <c r="AS892" s="52" t="s">
        <v>3696</v>
      </c>
      <c r="AT892" s="52"/>
      <c r="AU892" s="52"/>
      <c r="AV892" s="52"/>
      <c r="AW892" s="52" t="s">
        <v>286</v>
      </c>
    </row>
    <row r="893" spans="1:49">
      <c r="A893" s="52">
        <v>6023297</v>
      </c>
      <c r="B893" s="52" t="s">
        <v>3691</v>
      </c>
      <c r="C893" s="52" t="s">
        <v>3692</v>
      </c>
      <c r="D893" s="53">
        <v>46158.458333333336</v>
      </c>
      <c r="E893" s="53">
        <v>46157.584722222222</v>
      </c>
      <c r="F893" s="52"/>
      <c r="G893" s="52"/>
      <c r="H893" s="52"/>
      <c r="I893" s="52" t="s">
        <v>3693</v>
      </c>
      <c r="J893" s="52" t="s">
        <v>3694</v>
      </c>
      <c r="K893" s="52"/>
      <c r="L893" s="52"/>
      <c r="M893" s="55">
        <v>0.41666666666666669</v>
      </c>
      <c r="N893" s="54">
        <v>2.3770833333333332</v>
      </c>
      <c r="O893" s="52"/>
      <c r="P893" s="52"/>
      <c r="Q893" s="52"/>
      <c r="R893" s="52"/>
      <c r="S893" s="52"/>
      <c r="T893" s="52" t="s">
        <v>3695</v>
      </c>
      <c r="U893" s="52" t="s">
        <v>3695</v>
      </c>
      <c r="V893" s="52"/>
      <c r="W893" s="52"/>
      <c r="X893" s="52"/>
      <c r="Y893" s="52"/>
      <c r="Z893" s="52" t="s">
        <v>3696</v>
      </c>
      <c r="AA893" s="52" t="s">
        <v>724</v>
      </c>
      <c r="AB893" s="52" t="s">
        <v>79</v>
      </c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>
        <v>0</v>
      </c>
      <c r="AT893" s="52"/>
      <c r="AU893" s="52"/>
      <c r="AV893" s="52" t="s">
        <v>3293</v>
      </c>
      <c r="AW893" s="52"/>
    </row>
    <row r="894" spans="1:49">
      <c r="A894" s="52">
        <v>6023297</v>
      </c>
      <c r="B894" s="52" t="s">
        <v>3691</v>
      </c>
      <c r="C894" s="52" t="s">
        <v>3698</v>
      </c>
      <c r="D894" s="53">
        <v>46158.458333333336</v>
      </c>
      <c r="E894" s="53">
        <v>46157.584722222222</v>
      </c>
      <c r="F894" s="52"/>
      <c r="G894" s="52"/>
      <c r="H894" s="52"/>
      <c r="I894" s="52"/>
      <c r="J894" s="52" t="s">
        <v>3694</v>
      </c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 t="s">
        <v>3696</v>
      </c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>
        <v>0</v>
      </c>
      <c r="AT894" s="52"/>
      <c r="AU894" s="52"/>
      <c r="AV894" s="52"/>
      <c r="AW894" s="52"/>
    </row>
    <row r="895" spans="1:49">
      <c r="A895" s="52">
        <v>6023347</v>
      </c>
      <c r="B895" s="52" t="s">
        <v>3691</v>
      </c>
      <c r="C895" s="52" t="s">
        <v>3692</v>
      </c>
      <c r="D895" s="53">
        <v>46160.416666666664</v>
      </c>
      <c r="E895" s="53">
        <v>46157.584722222222</v>
      </c>
      <c r="F895" s="52"/>
      <c r="G895" s="52"/>
      <c r="H895" s="52"/>
      <c r="I895" s="52" t="s">
        <v>3693</v>
      </c>
      <c r="J895" s="52" t="s">
        <v>3694</v>
      </c>
      <c r="K895" s="52"/>
      <c r="L895" s="52"/>
      <c r="M895" s="55">
        <v>0.1</v>
      </c>
      <c r="N895" s="54">
        <v>2.8604166666666666</v>
      </c>
      <c r="O895" s="52"/>
      <c r="P895" s="52"/>
      <c r="Q895" s="52"/>
      <c r="R895" s="52"/>
      <c r="S895" s="52"/>
      <c r="T895" s="52" t="s">
        <v>3695</v>
      </c>
      <c r="U895" s="52" t="s">
        <v>3695</v>
      </c>
      <c r="V895" s="52"/>
      <c r="W895" s="52"/>
      <c r="X895" s="52"/>
      <c r="Y895" s="52"/>
      <c r="Z895" s="52" t="s">
        <v>3696</v>
      </c>
      <c r="AA895" s="52" t="s">
        <v>114</v>
      </c>
      <c r="AB895" s="52" t="s">
        <v>140</v>
      </c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>
        <v>0</v>
      </c>
      <c r="AT895" s="52"/>
      <c r="AU895" s="52"/>
      <c r="AV895" s="52" t="s">
        <v>4127</v>
      </c>
      <c r="AW895" s="52"/>
    </row>
    <row r="896" spans="1:49">
      <c r="A896" s="52">
        <v>6023347</v>
      </c>
      <c r="B896" s="52" t="s">
        <v>3691</v>
      </c>
      <c r="C896" s="52" t="s">
        <v>3698</v>
      </c>
      <c r="D896" s="53">
        <v>46160.416666666664</v>
      </c>
      <c r="E896" s="53">
        <v>46157.584722222222</v>
      </c>
      <c r="F896" s="52"/>
      <c r="G896" s="52"/>
      <c r="H896" s="52"/>
      <c r="I896" s="52"/>
      <c r="J896" s="52" t="s">
        <v>3694</v>
      </c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 t="s">
        <v>3696</v>
      </c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>
        <v>0</v>
      </c>
      <c r="AT896" s="52"/>
      <c r="AU896" s="52"/>
      <c r="AV896" s="52"/>
      <c r="AW896" s="52"/>
    </row>
    <row r="897" spans="1:49">
      <c r="A897" s="52">
        <v>6023348</v>
      </c>
      <c r="B897" s="52" t="s">
        <v>3691</v>
      </c>
      <c r="C897" s="52" t="s">
        <v>3692</v>
      </c>
      <c r="D897" s="53">
        <v>46160.416666666664</v>
      </c>
      <c r="E897" s="53">
        <v>46157.584722222222</v>
      </c>
      <c r="F897" s="52"/>
      <c r="G897" s="52"/>
      <c r="H897" s="52"/>
      <c r="I897" s="52" t="s">
        <v>3693</v>
      </c>
      <c r="J897" s="52" t="s">
        <v>3694</v>
      </c>
      <c r="K897" s="52"/>
      <c r="L897" s="52"/>
      <c r="M897" s="55">
        <v>0.1</v>
      </c>
      <c r="N897" s="54">
        <v>2.8604166666666666</v>
      </c>
      <c r="O897" s="52"/>
      <c r="P897" s="52"/>
      <c r="Q897" s="52"/>
      <c r="R897" s="52"/>
      <c r="S897" s="52"/>
      <c r="T897" s="52" t="s">
        <v>3695</v>
      </c>
      <c r="U897" s="52" t="s">
        <v>3695</v>
      </c>
      <c r="V897" s="52"/>
      <c r="W897" s="52"/>
      <c r="X897" s="52"/>
      <c r="Y897" s="52"/>
      <c r="Z897" s="52" t="s">
        <v>3696</v>
      </c>
      <c r="AA897" s="52" t="s">
        <v>114</v>
      </c>
      <c r="AB897" s="52" t="s">
        <v>140</v>
      </c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>
        <v>0</v>
      </c>
      <c r="AT897" s="52"/>
      <c r="AU897" s="52"/>
      <c r="AV897" s="52" t="s">
        <v>3979</v>
      </c>
      <c r="AW897" s="52"/>
    </row>
    <row r="898" spans="1:49">
      <c r="A898" s="52">
        <v>6023348</v>
      </c>
      <c r="B898" s="52" t="s">
        <v>3691</v>
      </c>
      <c r="C898" s="52" t="s">
        <v>3698</v>
      </c>
      <c r="D898" s="53">
        <v>46160.416666666664</v>
      </c>
      <c r="E898" s="53">
        <v>46157.584722222222</v>
      </c>
      <c r="F898" s="52"/>
      <c r="G898" s="52"/>
      <c r="H898" s="52"/>
      <c r="I898" s="52"/>
      <c r="J898" s="52" t="s">
        <v>3694</v>
      </c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 t="s">
        <v>3696</v>
      </c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>
        <v>0</v>
      </c>
      <c r="AT898" s="52"/>
      <c r="AU898" s="52"/>
      <c r="AV898" s="52"/>
      <c r="AW898" s="52"/>
    </row>
    <row r="899" spans="1:49">
      <c r="A899" s="52">
        <v>6023430</v>
      </c>
      <c r="B899" s="52" t="s">
        <v>3866</v>
      </c>
      <c r="C899" s="52" t="s">
        <v>3692</v>
      </c>
      <c r="D899" s="53">
        <v>46156.416666666664</v>
      </c>
      <c r="E899" s="53">
        <v>46156.57708333333</v>
      </c>
      <c r="F899" s="52"/>
      <c r="G899" s="52"/>
      <c r="H899" s="52"/>
      <c r="I899" s="52" t="s">
        <v>3693</v>
      </c>
      <c r="J899" s="52" t="s">
        <v>3694</v>
      </c>
      <c r="K899" s="52"/>
      <c r="L899" s="52"/>
      <c r="M899" s="54">
        <v>3.9583333333333335</v>
      </c>
      <c r="N899" s="54">
        <v>2.0395833333333333</v>
      </c>
      <c r="O899" s="52"/>
      <c r="P899" s="52"/>
      <c r="Q899" s="52"/>
      <c r="R899" s="52"/>
      <c r="S899" s="52"/>
      <c r="T899" s="52" t="s">
        <v>3695</v>
      </c>
      <c r="U899" s="52" t="s">
        <v>3695</v>
      </c>
      <c r="V899" s="52"/>
      <c r="W899" s="52"/>
      <c r="X899" s="52"/>
      <c r="Y899" s="52"/>
      <c r="Z899" s="52" t="s">
        <v>3696</v>
      </c>
      <c r="AA899" s="52" t="s">
        <v>1246</v>
      </c>
      <c r="AB899" s="52" t="s">
        <v>79</v>
      </c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>
        <v>0</v>
      </c>
      <c r="AT899" s="52"/>
      <c r="AU899" s="52"/>
      <c r="AV899" s="52" t="s">
        <v>1250</v>
      </c>
      <c r="AW899" s="52"/>
    </row>
    <row r="900" spans="1:49">
      <c r="A900" s="52">
        <v>6023430</v>
      </c>
      <c r="B900" s="52" t="s">
        <v>3866</v>
      </c>
      <c r="C900" s="52" t="s">
        <v>3698</v>
      </c>
      <c r="D900" s="53">
        <v>46156.416666666664</v>
      </c>
      <c r="E900" s="53">
        <v>46156.57708333333</v>
      </c>
      <c r="F900" s="52"/>
      <c r="G900" s="52"/>
      <c r="H900" s="52"/>
      <c r="I900" s="52"/>
      <c r="J900" s="52" t="s">
        <v>3694</v>
      </c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 t="s">
        <v>3696</v>
      </c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>
        <v>0</v>
      </c>
      <c r="AT900" s="52"/>
      <c r="AU900" s="52"/>
      <c r="AV900" s="52"/>
      <c r="AW900" s="52"/>
    </row>
    <row r="901" spans="1:49">
      <c r="A901" s="52">
        <v>6023431</v>
      </c>
      <c r="B901" s="52" t="s">
        <v>3716</v>
      </c>
      <c r="C901" s="52" t="s">
        <v>3717</v>
      </c>
      <c r="D901" s="53">
        <v>46157.416666666664</v>
      </c>
      <c r="E901" s="53">
        <v>46156.68472222222</v>
      </c>
      <c r="F901" s="53">
        <v>46157.475694444445</v>
      </c>
      <c r="G901" s="53">
        <v>46158.333333333336</v>
      </c>
      <c r="H901" s="52"/>
      <c r="I901" s="52" t="s">
        <v>3693</v>
      </c>
      <c r="J901" s="52" t="s">
        <v>3693</v>
      </c>
      <c r="K901" s="53">
        <v>46158.352777777778</v>
      </c>
      <c r="L901" s="52"/>
      <c r="M901" s="55">
        <v>9.166666666666666E-2</v>
      </c>
      <c r="N901" s="55">
        <v>0.21458333333333332</v>
      </c>
      <c r="O901" s="52"/>
      <c r="P901" s="52"/>
      <c r="Q901" s="52"/>
      <c r="R901" s="52"/>
      <c r="S901" s="52"/>
      <c r="T901" s="52" t="s">
        <v>4019</v>
      </c>
      <c r="U901" s="52" t="s">
        <v>4128</v>
      </c>
      <c r="V901" s="52"/>
      <c r="W901" s="52"/>
      <c r="X901" s="52"/>
      <c r="Y901" s="52"/>
      <c r="Z901" s="52" t="s">
        <v>3696</v>
      </c>
      <c r="AA901" s="52" t="s">
        <v>114</v>
      </c>
      <c r="AB901" s="52" t="s">
        <v>140</v>
      </c>
      <c r="AC901" s="52" t="s">
        <v>3703</v>
      </c>
      <c r="AD901" s="52" t="s">
        <v>3704</v>
      </c>
      <c r="AE901" s="52"/>
      <c r="AF901" s="52" t="s">
        <v>3958</v>
      </c>
      <c r="AG901" s="52" t="s">
        <v>3704</v>
      </c>
      <c r="AH901" s="52"/>
      <c r="AI901" s="52"/>
      <c r="AJ901" s="52"/>
      <c r="AK901" s="52"/>
      <c r="AL901" s="55">
        <v>7.013888888888889E-2</v>
      </c>
      <c r="AM901" s="52"/>
      <c r="AN901" s="52"/>
      <c r="AO901" s="52"/>
      <c r="AP901" s="52"/>
      <c r="AQ901" s="52"/>
      <c r="AR901" s="52"/>
      <c r="AS901" s="52">
        <v>0</v>
      </c>
      <c r="AT901" s="52"/>
      <c r="AU901" s="52"/>
      <c r="AV901" s="52" t="s">
        <v>3584</v>
      </c>
      <c r="AW901" s="52"/>
    </row>
    <row r="902" spans="1:49">
      <c r="A902" s="52">
        <v>6023431</v>
      </c>
      <c r="B902" s="52" t="s">
        <v>3716</v>
      </c>
      <c r="C902" s="52" t="s">
        <v>3698</v>
      </c>
      <c r="D902" s="53">
        <v>46157.416666666664</v>
      </c>
      <c r="E902" s="53">
        <v>46156.68472222222</v>
      </c>
      <c r="F902" s="52"/>
      <c r="G902" s="53">
        <v>46157.575694444444</v>
      </c>
      <c r="H902" s="52"/>
      <c r="I902" s="52"/>
      <c r="J902" s="52" t="s">
        <v>3693</v>
      </c>
      <c r="K902" s="53">
        <v>46158.457638888889</v>
      </c>
      <c r="L902" s="52"/>
      <c r="M902" s="52"/>
      <c r="N902" s="52"/>
      <c r="O902" s="52" t="s">
        <v>3610</v>
      </c>
      <c r="P902" s="52" t="s">
        <v>114</v>
      </c>
      <c r="Q902" s="52" t="s">
        <v>1330</v>
      </c>
      <c r="R902" s="52"/>
      <c r="S902" s="52" t="s">
        <v>3609</v>
      </c>
      <c r="T902" s="52" t="s">
        <v>4019</v>
      </c>
      <c r="U902" s="52" t="s">
        <v>4128</v>
      </c>
      <c r="V902" s="52" t="s">
        <v>1337</v>
      </c>
      <c r="W902" s="52">
        <v>42014738807</v>
      </c>
      <c r="X902" s="52" t="s">
        <v>73</v>
      </c>
      <c r="Y902" s="52"/>
      <c r="Z902" s="52" t="s">
        <v>3696</v>
      </c>
      <c r="AA902" s="52" t="s">
        <v>3710</v>
      </c>
      <c r="AB902" s="52"/>
      <c r="AC902" s="52" t="s">
        <v>3703</v>
      </c>
      <c r="AD902" s="52" t="s">
        <v>3704</v>
      </c>
      <c r="AE902" s="52" t="s">
        <v>140</v>
      </c>
      <c r="AF902" s="52" t="s">
        <v>3958</v>
      </c>
      <c r="AG902" s="52" t="s">
        <v>3704</v>
      </c>
      <c r="AH902" s="52"/>
      <c r="AI902" s="53">
        <v>46157.476388888892</v>
      </c>
      <c r="AJ902" s="53">
        <v>46157.546527777777</v>
      </c>
      <c r="AK902" s="53">
        <v>46157.476388888892</v>
      </c>
      <c r="AL902" s="55">
        <v>7.013888888888889E-2</v>
      </c>
      <c r="AM902" s="52"/>
      <c r="AN902" s="55">
        <v>7.013888888888889E-2</v>
      </c>
      <c r="AO902" s="52"/>
      <c r="AP902" s="55">
        <v>7.013888888888889E-2</v>
      </c>
      <c r="AQ902" s="52"/>
      <c r="AR902" s="52"/>
      <c r="AS902" s="52" t="s">
        <v>3696</v>
      </c>
      <c r="AT902" s="52"/>
      <c r="AU902" s="52"/>
      <c r="AV902" s="52"/>
      <c r="AW902" s="52"/>
    </row>
    <row r="903" spans="1:49">
      <c r="A903" s="52">
        <v>6023431</v>
      </c>
      <c r="B903" s="52" t="s">
        <v>3716</v>
      </c>
      <c r="C903" s="52" t="s">
        <v>3698</v>
      </c>
      <c r="D903" s="53">
        <v>46157.416666666664</v>
      </c>
      <c r="E903" s="53">
        <v>46156.68472222222</v>
      </c>
      <c r="F903" s="52"/>
      <c r="G903" s="53">
        <v>46157.575694444444</v>
      </c>
      <c r="H903" s="52"/>
      <c r="I903" s="52"/>
      <c r="J903" s="52" t="s">
        <v>3693</v>
      </c>
      <c r="K903" s="53">
        <v>46158.457638888889</v>
      </c>
      <c r="L903" s="52"/>
      <c r="M903" s="52"/>
      <c r="N903" s="52"/>
      <c r="O903" s="52" t="s">
        <v>3610</v>
      </c>
      <c r="P903" s="52" t="s">
        <v>114</v>
      </c>
      <c r="Q903" s="52" t="s">
        <v>1330</v>
      </c>
      <c r="R903" s="52"/>
      <c r="S903" s="52" t="s">
        <v>3609</v>
      </c>
      <c r="T903" s="52" t="s">
        <v>4019</v>
      </c>
      <c r="U903" s="52" t="s">
        <v>4128</v>
      </c>
      <c r="V903" s="52" t="s">
        <v>1337</v>
      </c>
      <c r="W903" s="52">
        <v>42014738807</v>
      </c>
      <c r="X903" s="52" t="s">
        <v>73</v>
      </c>
      <c r="Y903" s="52"/>
      <c r="Z903" s="52" t="s">
        <v>3696</v>
      </c>
      <c r="AA903" s="52" t="s">
        <v>3710</v>
      </c>
      <c r="AB903" s="52"/>
      <c r="AC903" s="52" t="s">
        <v>3703</v>
      </c>
      <c r="AD903" s="52" t="s">
        <v>3704</v>
      </c>
      <c r="AE903" s="52"/>
      <c r="AF903" s="52" t="s">
        <v>3958</v>
      </c>
      <c r="AG903" s="52" t="s">
        <v>3704</v>
      </c>
      <c r="AH903" s="52"/>
      <c r="AI903" s="53">
        <v>46157.476388888892</v>
      </c>
      <c r="AJ903" s="53">
        <v>46157.546527777777</v>
      </c>
      <c r="AK903" s="53">
        <v>46157.476388888892</v>
      </c>
      <c r="AL903" s="55">
        <v>7.013888888888889E-2</v>
      </c>
      <c r="AM903" s="52"/>
      <c r="AN903" s="55">
        <v>7.013888888888889E-2</v>
      </c>
      <c r="AO903" s="52"/>
      <c r="AP903" s="55">
        <v>7.013888888888889E-2</v>
      </c>
      <c r="AQ903" s="52"/>
      <c r="AR903" s="52"/>
      <c r="AS903" s="52" t="s">
        <v>3696</v>
      </c>
      <c r="AT903" s="52"/>
      <c r="AU903" s="52"/>
      <c r="AV903" s="52"/>
      <c r="AW903" s="52" t="s">
        <v>3584</v>
      </c>
    </row>
    <row r="904" spans="1:49">
      <c r="A904" s="52">
        <v>6023431</v>
      </c>
      <c r="B904" s="52" t="s">
        <v>3716</v>
      </c>
      <c r="C904" s="52" t="s">
        <v>3698</v>
      </c>
      <c r="D904" s="53">
        <v>46157.416666666664</v>
      </c>
      <c r="E904" s="53">
        <v>46156.68472222222</v>
      </c>
      <c r="F904" s="53">
        <v>46157.53402777778</v>
      </c>
      <c r="G904" s="53">
        <v>46157.575694444444</v>
      </c>
      <c r="H904" s="53">
        <v>46158.324305555558</v>
      </c>
      <c r="I904" s="52"/>
      <c r="J904" s="52" t="s">
        <v>3693</v>
      </c>
      <c r="K904" s="53">
        <v>46158.457638888889</v>
      </c>
      <c r="L904" s="52"/>
      <c r="M904" s="55">
        <v>4.1666666666666664E-2</v>
      </c>
      <c r="N904" s="55">
        <v>0.92222222222222228</v>
      </c>
      <c r="O904" s="52" t="s">
        <v>3580</v>
      </c>
      <c r="P904" s="52" t="s">
        <v>114</v>
      </c>
      <c r="Q904" s="52" t="s">
        <v>1330</v>
      </c>
      <c r="R904" s="52"/>
      <c r="S904" s="52" t="s">
        <v>789</v>
      </c>
      <c r="T904" s="52" t="s">
        <v>4019</v>
      </c>
      <c r="U904" s="52" t="s">
        <v>4129</v>
      </c>
      <c r="V904" s="52" t="s">
        <v>1337</v>
      </c>
      <c r="W904" s="52">
        <v>42014738807</v>
      </c>
      <c r="X904" s="52" t="s">
        <v>73</v>
      </c>
      <c r="Y904" s="52"/>
      <c r="Z904" s="52" t="s">
        <v>3696</v>
      </c>
      <c r="AA904" s="52" t="s">
        <v>3710</v>
      </c>
      <c r="AB904" s="52"/>
      <c r="AC904" s="52" t="s">
        <v>3703</v>
      </c>
      <c r="AD904" s="52" t="s">
        <v>3704</v>
      </c>
      <c r="AE904" s="52" t="s">
        <v>140</v>
      </c>
      <c r="AF904" s="52" t="s">
        <v>3958</v>
      </c>
      <c r="AG904" s="52" t="s">
        <v>3704</v>
      </c>
      <c r="AH904" s="52"/>
      <c r="AI904" s="53">
        <v>46157.476388888892</v>
      </c>
      <c r="AJ904" s="53">
        <v>46157.546527777777</v>
      </c>
      <c r="AK904" s="53">
        <v>46157.476388888892</v>
      </c>
      <c r="AL904" s="55">
        <v>1.1111111111111112E-2</v>
      </c>
      <c r="AM904" s="52"/>
      <c r="AN904" s="55">
        <v>7.013888888888889E-2</v>
      </c>
      <c r="AO904" s="52"/>
      <c r="AP904" s="55">
        <v>1.1111111111111112E-2</v>
      </c>
      <c r="AQ904" s="52"/>
      <c r="AR904" s="52"/>
      <c r="AS904" s="52" t="s">
        <v>3696</v>
      </c>
      <c r="AT904" s="52"/>
      <c r="AU904" s="52"/>
      <c r="AV904" s="52"/>
      <c r="AW904" s="52"/>
    </row>
    <row r="905" spans="1:49">
      <c r="A905" s="52">
        <v>6023431</v>
      </c>
      <c r="B905" s="52" t="s">
        <v>3716</v>
      </c>
      <c r="C905" s="52" t="s">
        <v>3698</v>
      </c>
      <c r="D905" s="53">
        <v>46157.416666666664</v>
      </c>
      <c r="E905" s="53">
        <v>46156.68472222222</v>
      </c>
      <c r="F905" s="53">
        <v>46157.53402777778</v>
      </c>
      <c r="G905" s="53">
        <v>46157.575694444444</v>
      </c>
      <c r="H905" s="53">
        <v>46158.324305555558</v>
      </c>
      <c r="I905" s="52"/>
      <c r="J905" s="52" t="s">
        <v>3693</v>
      </c>
      <c r="K905" s="53">
        <v>46158.457638888889</v>
      </c>
      <c r="L905" s="52"/>
      <c r="M905" s="55">
        <v>4.1666666666666664E-2</v>
      </c>
      <c r="N905" s="55">
        <v>0.92222222222222228</v>
      </c>
      <c r="O905" s="52" t="s">
        <v>3580</v>
      </c>
      <c r="P905" s="52" t="s">
        <v>114</v>
      </c>
      <c r="Q905" s="52" t="s">
        <v>1330</v>
      </c>
      <c r="R905" s="52"/>
      <c r="S905" s="52" t="s">
        <v>789</v>
      </c>
      <c r="T905" s="52" t="s">
        <v>4019</v>
      </c>
      <c r="U905" s="52" t="s">
        <v>4129</v>
      </c>
      <c r="V905" s="52" t="s">
        <v>1337</v>
      </c>
      <c r="W905" s="52">
        <v>42014738807</v>
      </c>
      <c r="X905" s="52" t="s">
        <v>73</v>
      </c>
      <c r="Y905" s="52"/>
      <c r="Z905" s="52" t="s">
        <v>3696</v>
      </c>
      <c r="AA905" s="52" t="s">
        <v>3710</v>
      </c>
      <c r="AB905" s="52"/>
      <c r="AC905" s="52" t="s">
        <v>3703</v>
      </c>
      <c r="AD905" s="52" t="s">
        <v>3704</v>
      </c>
      <c r="AE905" s="52"/>
      <c r="AF905" s="52" t="s">
        <v>3958</v>
      </c>
      <c r="AG905" s="52" t="s">
        <v>3704</v>
      </c>
      <c r="AH905" s="52"/>
      <c r="AI905" s="53">
        <v>46157.476388888892</v>
      </c>
      <c r="AJ905" s="53">
        <v>46157.546527777777</v>
      </c>
      <c r="AK905" s="53">
        <v>46157.476388888892</v>
      </c>
      <c r="AL905" s="55">
        <v>1.1111111111111112E-2</v>
      </c>
      <c r="AM905" s="52"/>
      <c r="AN905" s="55">
        <v>7.013888888888889E-2</v>
      </c>
      <c r="AO905" s="52"/>
      <c r="AP905" s="55">
        <v>1.1111111111111112E-2</v>
      </c>
      <c r="AQ905" s="52"/>
      <c r="AR905" s="52"/>
      <c r="AS905" s="52" t="s">
        <v>3696</v>
      </c>
      <c r="AT905" s="52"/>
      <c r="AU905" s="52"/>
      <c r="AV905" s="52"/>
      <c r="AW905" s="52" t="s">
        <v>3584</v>
      </c>
    </row>
    <row r="906" spans="1:49">
      <c r="A906" s="52">
        <v>6023432</v>
      </c>
      <c r="B906" s="52" t="s">
        <v>3691</v>
      </c>
      <c r="C906" s="52" t="s">
        <v>3692</v>
      </c>
      <c r="D906" s="53">
        <v>46161.854166666664</v>
      </c>
      <c r="E906" s="53">
        <v>46157.584722222222</v>
      </c>
      <c r="F906" s="52"/>
      <c r="G906" s="52"/>
      <c r="H906" s="52"/>
      <c r="I906" s="52" t="s">
        <v>3693</v>
      </c>
      <c r="J906" s="52" t="s">
        <v>3694</v>
      </c>
      <c r="K906" s="52"/>
      <c r="L906" s="52"/>
      <c r="M906" s="54">
        <v>1.3958333333333333</v>
      </c>
      <c r="N906" s="54">
        <v>3.3979166666666667</v>
      </c>
      <c r="O906" s="52"/>
      <c r="P906" s="52"/>
      <c r="Q906" s="52"/>
      <c r="R906" s="52"/>
      <c r="S906" s="52"/>
      <c r="T906" s="52" t="s">
        <v>3695</v>
      </c>
      <c r="U906" s="52" t="s">
        <v>3695</v>
      </c>
      <c r="V906" s="52"/>
      <c r="W906" s="52"/>
      <c r="X906" s="52"/>
      <c r="Y906" s="52"/>
      <c r="Z906" s="52" t="s">
        <v>3696</v>
      </c>
      <c r="AA906" s="52" t="s">
        <v>1912</v>
      </c>
      <c r="AB906" s="52" t="s">
        <v>1918</v>
      </c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>
        <v>0</v>
      </c>
      <c r="AT906" s="52"/>
      <c r="AU906" s="52"/>
      <c r="AV906" s="52" t="s">
        <v>594</v>
      </c>
      <c r="AW906" s="52"/>
    </row>
    <row r="907" spans="1:49">
      <c r="A907" s="52">
        <v>6023432</v>
      </c>
      <c r="B907" s="52" t="s">
        <v>3691</v>
      </c>
      <c r="C907" s="52" t="s">
        <v>3698</v>
      </c>
      <c r="D907" s="53">
        <v>46161.854166666664</v>
      </c>
      <c r="E907" s="53">
        <v>46157.584722222222</v>
      </c>
      <c r="F907" s="52"/>
      <c r="G907" s="52"/>
      <c r="H907" s="52"/>
      <c r="I907" s="52"/>
      <c r="J907" s="52" t="s">
        <v>3694</v>
      </c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 t="s">
        <v>3696</v>
      </c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>
        <v>0</v>
      </c>
      <c r="AT907" s="52"/>
      <c r="AU907" s="52"/>
      <c r="AV907" s="52"/>
      <c r="AW907" s="52"/>
    </row>
    <row r="908" spans="1:49">
      <c r="A908" s="52">
        <v>6023438</v>
      </c>
      <c r="B908" s="52" t="s">
        <v>3691</v>
      </c>
      <c r="C908" s="52" t="s">
        <v>3692</v>
      </c>
      <c r="D908" s="53">
        <v>46160.75</v>
      </c>
      <c r="E908" s="53">
        <v>46157.709027777775</v>
      </c>
      <c r="F908" s="52"/>
      <c r="G908" s="52"/>
      <c r="H908" s="52"/>
      <c r="I908" s="52" t="s">
        <v>3693</v>
      </c>
      <c r="J908" s="52" t="s">
        <v>3694</v>
      </c>
      <c r="K908" s="52"/>
      <c r="L908" s="52"/>
      <c r="M908" s="55">
        <v>0.44236111111111109</v>
      </c>
      <c r="N908" s="54">
        <v>8.4763888888888896</v>
      </c>
      <c r="O908" s="52"/>
      <c r="P908" s="52"/>
      <c r="Q908" s="52"/>
      <c r="R908" s="52"/>
      <c r="S908" s="52"/>
      <c r="T908" s="52" t="s">
        <v>3695</v>
      </c>
      <c r="U908" s="52" t="s">
        <v>3695</v>
      </c>
      <c r="V908" s="52"/>
      <c r="W908" s="52"/>
      <c r="X908" s="52"/>
      <c r="Y908" s="52"/>
      <c r="Z908" s="52" t="s">
        <v>3696</v>
      </c>
      <c r="AA908" s="52" t="s">
        <v>836</v>
      </c>
      <c r="AB908" s="52" t="s">
        <v>79</v>
      </c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>
        <v>0</v>
      </c>
      <c r="AT908" s="52"/>
      <c r="AU908" s="52"/>
      <c r="AV908" s="52" t="s">
        <v>840</v>
      </c>
      <c r="AW908" s="52"/>
    </row>
    <row r="909" spans="1:49">
      <c r="A909" s="52">
        <v>6023438</v>
      </c>
      <c r="B909" s="52" t="s">
        <v>3691</v>
      </c>
      <c r="C909" s="52" t="s">
        <v>3698</v>
      </c>
      <c r="D909" s="53">
        <v>46160.75</v>
      </c>
      <c r="E909" s="53">
        <v>46157.709027777775</v>
      </c>
      <c r="F909" s="52"/>
      <c r="G909" s="52"/>
      <c r="H909" s="52"/>
      <c r="I909" s="52"/>
      <c r="J909" s="52" t="s">
        <v>3694</v>
      </c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 t="s">
        <v>3696</v>
      </c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>
        <v>0</v>
      </c>
      <c r="AT909" s="52"/>
      <c r="AU909" s="52"/>
      <c r="AV909" s="52"/>
      <c r="AW909" s="52"/>
    </row>
    <row r="910" spans="1:49">
      <c r="A910" s="52">
        <v>6023445</v>
      </c>
      <c r="B910" s="52" t="s">
        <v>3716</v>
      </c>
      <c r="C910" s="52" t="s">
        <v>3692</v>
      </c>
      <c r="D910" s="53">
        <v>46157.645833333336</v>
      </c>
      <c r="E910" s="53">
        <v>46156.68472222222</v>
      </c>
      <c r="F910" s="53">
        <v>46157.470833333333</v>
      </c>
      <c r="G910" s="53">
        <v>46162.515972222223</v>
      </c>
      <c r="H910" s="53">
        <v>46157.57708333333</v>
      </c>
      <c r="I910" s="52" t="s">
        <v>3693</v>
      </c>
      <c r="J910" s="52" t="s">
        <v>3694</v>
      </c>
      <c r="K910" s="52"/>
      <c r="L910" s="52"/>
      <c r="M910" s="55">
        <v>0.44236111111111109</v>
      </c>
      <c r="N910" s="54">
        <v>4.0597222222222218</v>
      </c>
      <c r="O910" s="52"/>
      <c r="P910" s="52"/>
      <c r="Q910" s="52"/>
      <c r="R910" s="52"/>
      <c r="S910" s="52"/>
      <c r="T910" s="52" t="s">
        <v>4130</v>
      </c>
      <c r="U910" s="52" t="s">
        <v>4131</v>
      </c>
      <c r="V910" s="52"/>
      <c r="W910" s="52"/>
      <c r="X910" s="52"/>
      <c r="Y910" s="52"/>
      <c r="Z910" s="52" t="s">
        <v>3696</v>
      </c>
      <c r="AA910" s="52" t="s">
        <v>227</v>
      </c>
      <c r="AB910" s="52" t="s">
        <v>79</v>
      </c>
      <c r="AC910" s="52" t="s">
        <v>3720</v>
      </c>
      <c r="AD910" s="52" t="s">
        <v>3715</v>
      </c>
      <c r="AE910" s="52"/>
      <c r="AF910" s="52" t="s">
        <v>3720</v>
      </c>
      <c r="AG910" s="52" t="s">
        <v>3715</v>
      </c>
      <c r="AH910" s="52"/>
      <c r="AI910" s="52"/>
      <c r="AJ910" s="52"/>
      <c r="AK910" s="52"/>
      <c r="AL910" s="55">
        <v>0.58263888888888893</v>
      </c>
      <c r="AM910" s="52"/>
      <c r="AN910" s="52"/>
      <c r="AO910" s="52"/>
      <c r="AP910" s="52"/>
      <c r="AQ910" s="52"/>
      <c r="AR910" s="52"/>
      <c r="AS910" s="52">
        <v>0</v>
      </c>
      <c r="AT910" s="52"/>
      <c r="AU910" s="52"/>
      <c r="AV910" s="52" t="s">
        <v>308</v>
      </c>
      <c r="AW910" s="52"/>
    </row>
    <row r="911" spans="1:49">
      <c r="A911" s="52">
        <v>6023445</v>
      </c>
      <c r="B911" s="52" t="s">
        <v>3716</v>
      </c>
      <c r="C911" s="52" t="s">
        <v>3698</v>
      </c>
      <c r="D911" s="53">
        <v>46157.645833333336</v>
      </c>
      <c r="E911" s="53">
        <v>46156.68472222222</v>
      </c>
      <c r="F911" s="53">
        <v>46157.493055555555</v>
      </c>
      <c r="G911" s="53">
        <v>46158.550694444442</v>
      </c>
      <c r="H911" s="52"/>
      <c r="I911" s="52"/>
      <c r="J911" s="52" t="s">
        <v>3694</v>
      </c>
      <c r="K911" s="53">
        <v>46158.495833333334</v>
      </c>
      <c r="L911" s="52"/>
      <c r="M911" s="54">
        <v>1.0576388888888888</v>
      </c>
      <c r="N911" s="55">
        <v>0.96319444444444446</v>
      </c>
      <c r="O911" s="52" t="s">
        <v>303</v>
      </c>
      <c r="P911" s="52" t="s">
        <v>227</v>
      </c>
      <c r="Q911" s="52" t="s">
        <v>302</v>
      </c>
      <c r="R911" s="52" t="s">
        <v>311</v>
      </c>
      <c r="S911" s="52" t="s">
        <v>69</v>
      </c>
      <c r="T911" s="52" t="s">
        <v>4130</v>
      </c>
      <c r="U911" s="52" t="s">
        <v>4131</v>
      </c>
      <c r="V911" s="52" t="s">
        <v>312</v>
      </c>
      <c r="W911" s="52">
        <v>10303825812</v>
      </c>
      <c r="X911" s="52" t="s">
        <v>73</v>
      </c>
      <c r="Y911" s="52" t="s">
        <v>3745</v>
      </c>
      <c r="Z911" s="52" t="s">
        <v>3696</v>
      </c>
      <c r="AA911" s="52" t="s">
        <v>3710</v>
      </c>
      <c r="AB911" s="52"/>
      <c r="AC911" s="52" t="s">
        <v>3720</v>
      </c>
      <c r="AD911" s="52" t="s">
        <v>3715</v>
      </c>
      <c r="AE911" s="52" t="s">
        <v>79</v>
      </c>
      <c r="AF911" s="52" t="s">
        <v>3703</v>
      </c>
      <c r="AG911" s="52" t="s">
        <v>3704</v>
      </c>
      <c r="AH911" s="52"/>
      <c r="AI911" s="53">
        <v>46157.57708333333</v>
      </c>
      <c r="AJ911" s="53">
        <v>46158.159722222219</v>
      </c>
      <c r="AK911" s="53">
        <v>46157.57708333333</v>
      </c>
      <c r="AL911" s="55">
        <v>0.58263888888888893</v>
      </c>
      <c r="AM911" s="52"/>
      <c r="AN911" s="55">
        <v>0.58263888888888893</v>
      </c>
      <c r="AO911" s="52"/>
      <c r="AP911" s="55">
        <v>0.58263888888888893</v>
      </c>
      <c r="AQ911" s="52"/>
      <c r="AR911" s="52"/>
      <c r="AS911" s="52" t="s">
        <v>3696</v>
      </c>
      <c r="AT911" s="52"/>
      <c r="AU911" s="52"/>
      <c r="AV911" s="52"/>
      <c r="AW911" s="52"/>
    </row>
    <row r="912" spans="1:49">
      <c r="A912" s="52">
        <v>6023445</v>
      </c>
      <c r="B912" s="52" t="s">
        <v>3716</v>
      </c>
      <c r="C912" s="52" t="s">
        <v>3698</v>
      </c>
      <c r="D912" s="53">
        <v>46157.645833333336</v>
      </c>
      <c r="E912" s="53">
        <v>46156.68472222222</v>
      </c>
      <c r="F912" s="53">
        <v>46157.493055555555</v>
      </c>
      <c r="G912" s="53">
        <v>46158.550694444442</v>
      </c>
      <c r="H912" s="52"/>
      <c r="I912" s="52"/>
      <c r="J912" s="52" t="s">
        <v>3694</v>
      </c>
      <c r="K912" s="53">
        <v>46158.495833333334</v>
      </c>
      <c r="L912" s="52"/>
      <c r="M912" s="54">
        <v>1.0576388888888888</v>
      </c>
      <c r="N912" s="55">
        <v>0.96319444444444446</v>
      </c>
      <c r="O912" s="52" t="s">
        <v>303</v>
      </c>
      <c r="P912" s="52" t="s">
        <v>227</v>
      </c>
      <c r="Q912" s="52" t="s">
        <v>302</v>
      </c>
      <c r="R912" s="52" t="s">
        <v>311</v>
      </c>
      <c r="S912" s="52" t="s">
        <v>69</v>
      </c>
      <c r="T912" s="52" t="s">
        <v>4130</v>
      </c>
      <c r="U912" s="52" t="s">
        <v>4131</v>
      </c>
      <c r="V912" s="52" t="s">
        <v>312</v>
      </c>
      <c r="W912" s="52">
        <v>10303825812</v>
      </c>
      <c r="X912" s="52" t="s">
        <v>73</v>
      </c>
      <c r="Y912" s="52" t="s">
        <v>3745</v>
      </c>
      <c r="Z912" s="52" t="s">
        <v>3696</v>
      </c>
      <c r="AA912" s="52" t="s">
        <v>3710</v>
      </c>
      <c r="AB912" s="52"/>
      <c r="AC912" s="52" t="s">
        <v>3720</v>
      </c>
      <c r="AD912" s="52" t="s">
        <v>3715</v>
      </c>
      <c r="AE912" s="52"/>
      <c r="AF912" s="52" t="s">
        <v>3703</v>
      </c>
      <c r="AG912" s="52" t="s">
        <v>3704</v>
      </c>
      <c r="AH912" s="52"/>
      <c r="AI912" s="53">
        <v>46157.57708333333</v>
      </c>
      <c r="AJ912" s="53">
        <v>46158.159722222219</v>
      </c>
      <c r="AK912" s="53">
        <v>46157.57708333333</v>
      </c>
      <c r="AL912" s="55">
        <v>0.58263888888888893</v>
      </c>
      <c r="AM912" s="52"/>
      <c r="AN912" s="55">
        <v>0.58263888888888893</v>
      </c>
      <c r="AO912" s="52"/>
      <c r="AP912" s="55">
        <v>0.58263888888888893</v>
      </c>
      <c r="AQ912" s="52"/>
      <c r="AR912" s="52"/>
      <c r="AS912" s="52" t="s">
        <v>3696</v>
      </c>
      <c r="AT912" s="52"/>
      <c r="AU912" s="52"/>
      <c r="AV912" s="52"/>
      <c r="AW912" s="52" t="s">
        <v>308</v>
      </c>
    </row>
    <row r="913" spans="1:49">
      <c r="A913" s="52">
        <v>6023446</v>
      </c>
      <c r="B913" s="52" t="s">
        <v>3716</v>
      </c>
      <c r="C913" s="52" t="s">
        <v>3692</v>
      </c>
      <c r="D913" s="53">
        <v>46157.75</v>
      </c>
      <c r="E913" s="53">
        <v>46156.68472222222</v>
      </c>
      <c r="F913" s="53">
        <v>46157.813888888886</v>
      </c>
      <c r="G913" s="53">
        <v>46169.25</v>
      </c>
      <c r="H913" s="52"/>
      <c r="I913" s="52" t="s">
        <v>3693</v>
      </c>
      <c r="J913" s="52" t="s">
        <v>3694</v>
      </c>
      <c r="K913" s="53">
        <v>46159.947916666664</v>
      </c>
      <c r="L913" s="52"/>
      <c r="M913" s="54">
        <v>1.8125</v>
      </c>
      <c r="N913" s="54">
        <v>7.0229166666666663</v>
      </c>
      <c r="O913" s="52"/>
      <c r="P913" s="52"/>
      <c r="Q913" s="52"/>
      <c r="R913" s="52"/>
      <c r="S913" s="52"/>
      <c r="T913" s="52" t="s">
        <v>4000</v>
      </c>
      <c r="U913" s="52" t="s">
        <v>3695</v>
      </c>
      <c r="V913" s="52"/>
      <c r="W913" s="52"/>
      <c r="X913" s="52"/>
      <c r="Y913" s="52"/>
      <c r="Z913" s="52" t="s">
        <v>3696</v>
      </c>
      <c r="AA913" s="52" t="s">
        <v>836</v>
      </c>
      <c r="AB913" s="52" t="s">
        <v>79</v>
      </c>
      <c r="AC913" s="52" t="s">
        <v>3720</v>
      </c>
      <c r="AD913" s="52" t="s">
        <v>3715</v>
      </c>
      <c r="AE913" s="52"/>
      <c r="AF913" s="52" t="s">
        <v>4001</v>
      </c>
      <c r="AG913" s="52" t="s">
        <v>4002</v>
      </c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>
        <v>0</v>
      </c>
      <c r="AT913" s="52"/>
      <c r="AU913" s="52"/>
      <c r="AV913" s="52" t="s">
        <v>840</v>
      </c>
      <c r="AW913" s="52"/>
    </row>
    <row r="914" spans="1:49">
      <c r="A914" s="52">
        <v>6023446</v>
      </c>
      <c r="B914" s="52" t="s">
        <v>3716</v>
      </c>
      <c r="C914" s="52" t="s">
        <v>3698</v>
      </c>
      <c r="D914" s="53">
        <v>46157.75</v>
      </c>
      <c r="E914" s="53">
        <v>46156.68472222222</v>
      </c>
      <c r="F914" s="52"/>
      <c r="G914" s="53">
        <v>46169.25</v>
      </c>
      <c r="H914" s="52"/>
      <c r="I914" s="52"/>
      <c r="J914" s="52" t="s">
        <v>3694</v>
      </c>
      <c r="K914" s="53">
        <v>46159.947916666664</v>
      </c>
      <c r="L914" s="52"/>
      <c r="M914" s="52"/>
      <c r="N914" s="52"/>
      <c r="O914" s="52" t="s">
        <v>4003</v>
      </c>
      <c r="P914" s="52" t="s">
        <v>836</v>
      </c>
      <c r="Q914" s="52" t="s">
        <v>895</v>
      </c>
      <c r="R914" s="52" t="s">
        <v>902</v>
      </c>
      <c r="S914" s="52" t="s">
        <v>3895</v>
      </c>
      <c r="T914" s="52" t="s">
        <v>4000</v>
      </c>
      <c r="U914" s="52" t="s">
        <v>3695</v>
      </c>
      <c r="V914" s="52" t="s">
        <v>903</v>
      </c>
      <c r="W914" s="52">
        <v>61708488987</v>
      </c>
      <c r="X914" s="52" t="s">
        <v>73</v>
      </c>
      <c r="Y914" s="52" t="s">
        <v>3930</v>
      </c>
      <c r="Z914" s="52" t="s">
        <v>3696</v>
      </c>
      <c r="AA914" s="52" t="s">
        <v>3710</v>
      </c>
      <c r="AB914" s="52"/>
      <c r="AC914" s="52" t="s">
        <v>3720</v>
      </c>
      <c r="AD914" s="52" t="s">
        <v>3715</v>
      </c>
      <c r="AE914" s="52" t="s">
        <v>79</v>
      </c>
      <c r="AF914" s="52" t="s">
        <v>4001</v>
      </c>
      <c r="AG914" s="52" t="s">
        <v>4002</v>
      </c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 t="s">
        <v>3696</v>
      </c>
      <c r="AT914" s="52"/>
      <c r="AU914" s="52"/>
      <c r="AV914" s="52"/>
      <c r="AW914" s="52"/>
    </row>
    <row r="915" spans="1:49">
      <c r="A915" s="52">
        <v>6023446</v>
      </c>
      <c r="B915" s="52" t="s">
        <v>3716</v>
      </c>
      <c r="C915" s="52" t="s">
        <v>3698</v>
      </c>
      <c r="D915" s="53">
        <v>46157.75</v>
      </c>
      <c r="E915" s="53">
        <v>46156.68472222222</v>
      </c>
      <c r="F915" s="52"/>
      <c r="G915" s="53">
        <v>46169.25</v>
      </c>
      <c r="H915" s="52"/>
      <c r="I915" s="52"/>
      <c r="J915" s="52" t="s">
        <v>3694</v>
      </c>
      <c r="K915" s="53">
        <v>46159.947916666664</v>
      </c>
      <c r="L915" s="52"/>
      <c r="M915" s="52"/>
      <c r="N915" s="52"/>
      <c r="O915" s="52" t="s">
        <v>4003</v>
      </c>
      <c r="P915" s="52" t="s">
        <v>836</v>
      </c>
      <c r="Q915" s="52" t="s">
        <v>895</v>
      </c>
      <c r="R915" s="52" t="s">
        <v>902</v>
      </c>
      <c r="S915" s="52" t="s">
        <v>3895</v>
      </c>
      <c r="T915" s="52" t="s">
        <v>4000</v>
      </c>
      <c r="U915" s="52" t="s">
        <v>3695</v>
      </c>
      <c r="V915" s="52" t="s">
        <v>903</v>
      </c>
      <c r="W915" s="52">
        <v>61708488987</v>
      </c>
      <c r="X915" s="52" t="s">
        <v>73</v>
      </c>
      <c r="Y915" s="52" t="s">
        <v>3930</v>
      </c>
      <c r="Z915" s="52" t="s">
        <v>3696</v>
      </c>
      <c r="AA915" s="52" t="s">
        <v>3710</v>
      </c>
      <c r="AB915" s="52"/>
      <c r="AC915" s="52" t="s">
        <v>3720</v>
      </c>
      <c r="AD915" s="52" t="s">
        <v>3715</v>
      </c>
      <c r="AE915" s="52"/>
      <c r="AF915" s="52" t="s">
        <v>4001</v>
      </c>
      <c r="AG915" s="52" t="s">
        <v>4002</v>
      </c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 t="s">
        <v>3696</v>
      </c>
      <c r="AT915" s="52"/>
      <c r="AU915" s="52"/>
      <c r="AV915" s="52"/>
      <c r="AW915" s="52" t="s">
        <v>840</v>
      </c>
    </row>
    <row r="916" spans="1:49">
      <c r="A916" s="52">
        <v>6023504</v>
      </c>
      <c r="B916" s="52" t="s">
        <v>3866</v>
      </c>
      <c r="C916" s="52" t="s">
        <v>3692</v>
      </c>
      <c r="D916" s="53">
        <v>46157.416666666664</v>
      </c>
      <c r="E916" s="53">
        <v>46156.690972222219</v>
      </c>
      <c r="F916" s="52"/>
      <c r="G916" s="52"/>
      <c r="H916" s="52"/>
      <c r="I916" s="52" t="s">
        <v>3693</v>
      </c>
      <c r="J916" s="52" t="s">
        <v>3694</v>
      </c>
      <c r="K916" s="52"/>
      <c r="L916" s="52"/>
      <c r="M916" s="55">
        <v>0.1</v>
      </c>
      <c r="N916" s="55">
        <v>0.97291666666666665</v>
      </c>
      <c r="O916" s="52"/>
      <c r="P916" s="52"/>
      <c r="Q916" s="52"/>
      <c r="R916" s="52"/>
      <c r="S916" s="52"/>
      <c r="T916" s="52" t="s">
        <v>3695</v>
      </c>
      <c r="U916" s="52" t="s">
        <v>3695</v>
      </c>
      <c r="V916" s="52"/>
      <c r="W916" s="52"/>
      <c r="X916" s="52"/>
      <c r="Y916" s="52"/>
      <c r="Z916" s="52" t="s">
        <v>3696</v>
      </c>
      <c r="AA916" s="52" t="s">
        <v>114</v>
      </c>
      <c r="AB916" s="52" t="s">
        <v>140</v>
      </c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>
        <v>0</v>
      </c>
      <c r="AT916" s="52"/>
      <c r="AU916" s="52"/>
      <c r="AV916" s="52" t="s">
        <v>4132</v>
      </c>
      <c r="AW916" s="52"/>
    </row>
    <row r="917" spans="1:49">
      <c r="A917" s="52">
        <v>6023504</v>
      </c>
      <c r="B917" s="52" t="s">
        <v>3866</v>
      </c>
      <c r="C917" s="52" t="s">
        <v>3698</v>
      </c>
      <c r="D917" s="53">
        <v>46157.416666666664</v>
      </c>
      <c r="E917" s="53">
        <v>46156.690972222219</v>
      </c>
      <c r="F917" s="52"/>
      <c r="G917" s="52"/>
      <c r="H917" s="52"/>
      <c r="I917" s="52"/>
      <c r="J917" s="52" t="s">
        <v>3694</v>
      </c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 t="s">
        <v>3696</v>
      </c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>
        <v>0</v>
      </c>
      <c r="AT917" s="52"/>
      <c r="AU917" s="52"/>
      <c r="AV917" s="52"/>
      <c r="AW917" s="52"/>
    </row>
    <row r="918" spans="1:49">
      <c r="A918" s="52">
        <v>6024750</v>
      </c>
      <c r="B918" s="52" t="s">
        <v>3691</v>
      </c>
      <c r="C918" s="52" t="s">
        <v>3692</v>
      </c>
      <c r="D918" s="53">
        <v>46160.75</v>
      </c>
      <c r="E918" s="53">
        <v>46157.709027777775</v>
      </c>
      <c r="F918" s="52"/>
      <c r="G918" s="52"/>
      <c r="H918" s="52"/>
      <c r="I918" s="52" t="s">
        <v>3693</v>
      </c>
      <c r="J918" s="52" t="s">
        <v>3694</v>
      </c>
      <c r="K918" s="52"/>
      <c r="L918" s="52"/>
      <c r="M918" s="55">
        <v>0.44236111111111109</v>
      </c>
      <c r="N918" s="54">
        <v>10.35138888888889</v>
      </c>
      <c r="O918" s="52"/>
      <c r="P918" s="52"/>
      <c r="Q918" s="52"/>
      <c r="R918" s="52"/>
      <c r="S918" s="52"/>
      <c r="T918" s="52" t="s">
        <v>3695</v>
      </c>
      <c r="U918" s="52" t="s">
        <v>3695</v>
      </c>
      <c r="V918" s="52"/>
      <c r="W918" s="52"/>
      <c r="X918" s="52"/>
      <c r="Y918" s="52"/>
      <c r="Z918" s="52" t="s">
        <v>3696</v>
      </c>
      <c r="AA918" s="52" t="s">
        <v>836</v>
      </c>
      <c r="AB918" s="52" t="s">
        <v>79</v>
      </c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>
        <v>0</v>
      </c>
      <c r="AT918" s="52"/>
      <c r="AU918" s="52"/>
      <c r="AV918" s="52" t="s">
        <v>840</v>
      </c>
      <c r="AW918" s="52"/>
    </row>
    <row r="919" spans="1:49">
      <c r="A919" s="52">
        <v>6024750</v>
      </c>
      <c r="B919" s="52" t="s">
        <v>3691</v>
      </c>
      <c r="C919" s="52" t="s">
        <v>3698</v>
      </c>
      <c r="D919" s="53">
        <v>46160.75</v>
      </c>
      <c r="E919" s="53">
        <v>46157.709027777775</v>
      </c>
      <c r="F919" s="52"/>
      <c r="G919" s="52"/>
      <c r="H919" s="52"/>
      <c r="I919" s="52"/>
      <c r="J919" s="52" t="s">
        <v>3694</v>
      </c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 t="s">
        <v>3696</v>
      </c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>
        <v>0</v>
      </c>
      <c r="AT919" s="52"/>
      <c r="AU919" s="52"/>
      <c r="AV919" s="52"/>
      <c r="AW919" s="52"/>
    </row>
    <row r="920" spans="1:49">
      <c r="A920" s="52">
        <v>6024848</v>
      </c>
      <c r="B920" s="52" t="s">
        <v>3691</v>
      </c>
      <c r="C920" s="52" t="s">
        <v>3692</v>
      </c>
      <c r="D920" s="53">
        <v>46157.583333333336</v>
      </c>
      <c r="E920" s="53">
        <v>46157.486111111109</v>
      </c>
      <c r="F920" s="52"/>
      <c r="G920" s="52"/>
      <c r="H920" s="52"/>
      <c r="I920" s="52" t="s">
        <v>3693</v>
      </c>
      <c r="J920" s="52" t="s">
        <v>3694</v>
      </c>
      <c r="K920" s="52"/>
      <c r="L920" s="52"/>
      <c r="M920" s="55">
        <v>0.1</v>
      </c>
      <c r="N920" s="55">
        <v>0.22291666666666668</v>
      </c>
      <c r="O920" s="52"/>
      <c r="P920" s="52"/>
      <c r="Q920" s="52"/>
      <c r="R920" s="52"/>
      <c r="S920" s="52"/>
      <c r="T920" s="52" t="s">
        <v>3695</v>
      </c>
      <c r="U920" s="52" t="s">
        <v>3695</v>
      </c>
      <c r="V920" s="52"/>
      <c r="W920" s="52"/>
      <c r="X920" s="52"/>
      <c r="Y920" s="52"/>
      <c r="Z920" s="52" t="s">
        <v>3696</v>
      </c>
      <c r="AA920" s="52" t="s">
        <v>114</v>
      </c>
      <c r="AB920" s="52" t="s">
        <v>140</v>
      </c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>
        <v>0</v>
      </c>
      <c r="AT920" s="52"/>
      <c r="AU920" s="52"/>
      <c r="AV920" s="52" t="s">
        <v>3584</v>
      </c>
      <c r="AW920" s="52"/>
    </row>
    <row r="921" spans="1:49">
      <c r="A921" s="52">
        <v>6024848</v>
      </c>
      <c r="B921" s="52" t="s">
        <v>3691</v>
      </c>
      <c r="C921" s="52" t="s">
        <v>3698</v>
      </c>
      <c r="D921" s="53">
        <v>46157.583333333336</v>
      </c>
      <c r="E921" s="53">
        <v>46157.486111111109</v>
      </c>
      <c r="F921" s="52"/>
      <c r="G921" s="52"/>
      <c r="H921" s="52"/>
      <c r="I921" s="52"/>
      <c r="J921" s="52" t="s">
        <v>3694</v>
      </c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 t="s">
        <v>3696</v>
      </c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>
        <v>0</v>
      </c>
      <c r="AT921" s="52"/>
      <c r="AU921" s="52"/>
      <c r="AV921" s="52"/>
      <c r="AW921" s="52"/>
    </row>
    <row r="922" spans="1:49">
      <c r="A922" s="52">
        <v>6024849</v>
      </c>
      <c r="B922" s="52" t="s">
        <v>3691</v>
      </c>
      <c r="C922" s="52" t="s">
        <v>3692</v>
      </c>
      <c r="D922" s="53">
        <v>46160.75</v>
      </c>
      <c r="E922" s="53">
        <v>46157.709027777775</v>
      </c>
      <c r="F922" s="52"/>
      <c r="G922" s="52"/>
      <c r="H922" s="52"/>
      <c r="I922" s="52" t="s">
        <v>3693</v>
      </c>
      <c r="J922" s="52" t="s">
        <v>3694</v>
      </c>
      <c r="K922" s="52"/>
      <c r="L922" s="52"/>
      <c r="M922" s="55">
        <v>0.5708333333333333</v>
      </c>
      <c r="N922" s="54">
        <v>12.347916666666666</v>
      </c>
      <c r="O922" s="52"/>
      <c r="P922" s="52"/>
      <c r="Q922" s="52"/>
      <c r="R922" s="52"/>
      <c r="S922" s="52"/>
      <c r="T922" s="52" t="s">
        <v>3695</v>
      </c>
      <c r="U922" s="52" t="s">
        <v>3695</v>
      </c>
      <c r="V922" s="52"/>
      <c r="W922" s="52"/>
      <c r="X922" s="52"/>
      <c r="Y922" s="52"/>
      <c r="Z922" s="52" t="s">
        <v>3696</v>
      </c>
      <c r="AA922" s="52" t="s">
        <v>836</v>
      </c>
      <c r="AB922" s="52" t="s">
        <v>79</v>
      </c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>
        <v>0</v>
      </c>
      <c r="AT922" s="52"/>
      <c r="AU922" s="52"/>
      <c r="AV922" s="52" t="s">
        <v>840</v>
      </c>
      <c r="AW922" s="52"/>
    </row>
    <row r="923" spans="1:49">
      <c r="A923" s="52">
        <v>6024849</v>
      </c>
      <c r="B923" s="52" t="s">
        <v>3691</v>
      </c>
      <c r="C923" s="52" t="s">
        <v>3698</v>
      </c>
      <c r="D923" s="53">
        <v>46160.75</v>
      </c>
      <c r="E923" s="53">
        <v>46157.709027777775</v>
      </c>
      <c r="F923" s="52"/>
      <c r="G923" s="52"/>
      <c r="H923" s="52"/>
      <c r="I923" s="52"/>
      <c r="J923" s="52" t="s">
        <v>3694</v>
      </c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 t="s">
        <v>3696</v>
      </c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>
        <v>0</v>
      </c>
      <c r="AT923" s="52"/>
      <c r="AU923" s="52"/>
      <c r="AV923" s="52"/>
      <c r="AW923" s="52"/>
    </row>
    <row r="924" spans="1:49">
      <c r="A924" s="52">
        <v>6024934</v>
      </c>
      <c r="B924" s="52" t="s">
        <v>3716</v>
      </c>
      <c r="C924" s="52" t="s">
        <v>3717</v>
      </c>
      <c r="D924" s="53">
        <v>45792.625</v>
      </c>
      <c r="E924" s="53">
        <v>46157.588194444441</v>
      </c>
      <c r="F924" s="53">
        <v>46157.90902777778</v>
      </c>
      <c r="G924" s="53">
        <v>46158.280555555553</v>
      </c>
      <c r="H924" s="52"/>
      <c r="I924" s="52" t="s">
        <v>3693</v>
      </c>
      <c r="J924" s="52" t="s">
        <v>3694</v>
      </c>
      <c r="K924" s="53">
        <v>46158.454861111109</v>
      </c>
      <c r="L924" s="52"/>
      <c r="M924" s="55">
        <v>0.1</v>
      </c>
      <c r="N924" s="55">
        <v>0.22291666666666668</v>
      </c>
      <c r="O924" s="52"/>
      <c r="P924" s="52"/>
      <c r="Q924" s="52"/>
      <c r="R924" s="52"/>
      <c r="S924" s="52"/>
      <c r="T924" s="52" t="s">
        <v>4019</v>
      </c>
      <c r="U924" s="52" t="s">
        <v>4019</v>
      </c>
      <c r="V924" s="52"/>
      <c r="W924" s="52"/>
      <c r="X924" s="52"/>
      <c r="Y924" s="52"/>
      <c r="Z924" s="52" t="s">
        <v>3696</v>
      </c>
      <c r="AA924" s="52" t="s">
        <v>171</v>
      </c>
      <c r="AB924" s="52" t="s">
        <v>140</v>
      </c>
      <c r="AC924" s="52" t="s">
        <v>3703</v>
      </c>
      <c r="AD924" s="52" t="s">
        <v>3704</v>
      </c>
      <c r="AE924" s="52"/>
      <c r="AF924" s="52" t="s">
        <v>4133</v>
      </c>
      <c r="AG924" s="52" t="s">
        <v>3704</v>
      </c>
      <c r="AH924" s="52"/>
      <c r="AI924" s="52"/>
      <c r="AJ924" s="52"/>
      <c r="AK924" s="52"/>
      <c r="AL924" s="55">
        <v>0.34375</v>
      </c>
      <c r="AM924" s="52"/>
      <c r="AN924" s="52"/>
      <c r="AO924" s="52"/>
      <c r="AP924" s="52"/>
      <c r="AQ924" s="52"/>
      <c r="AR924" s="52"/>
      <c r="AS924" s="52">
        <v>0</v>
      </c>
      <c r="AT924" s="52"/>
      <c r="AU924" s="52"/>
      <c r="AV924" s="52" t="s">
        <v>605</v>
      </c>
      <c r="AW924" s="52"/>
    </row>
    <row r="925" spans="1:49">
      <c r="A925" s="52">
        <v>6024934</v>
      </c>
      <c r="B925" s="52" t="s">
        <v>3716</v>
      </c>
      <c r="C925" s="52" t="s">
        <v>3698</v>
      </c>
      <c r="D925" s="53">
        <v>45792.625</v>
      </c>
      <c r="E925" s="53">
        <v>46157.588194444441</v>
      </c>
      <c r="F925" s="53">
        <v>46158.234027777777</v>
      </c>
      <c r="G925" s="53">
        <v>46158.280555555553</v>
      </c>
      <c r="H925" s="52"/>
      <c r="I925" s="52"/>
      <c r="J925" s="52" t="s">
        <v>3694</v>
      </c>
      <c r="K925" s="53">
        <v>46158.454861111109</v>
      </c>
      <c r="L925" s="52"/>
      <c r="M925" s="55">
        <v>4.6527777777777779E-2</v>
      </c>
      <c r="N925" s="55">
        <v>0.22222222222222221</v>
      </c>
      <c r="O925" s="52" t="s">
        <v>678</v>
      </c>
      <c r="P925" s="52" t="s">
        <v>171</v>
      </c>
      <c r="Q925" s="52" t="s">
        <v>677</v>
      </c>
      <c r="R925" s="52" t="s">
        <v>683</v>
      </c>
      <c r="S925" s="52" t="s">
        <v>69</v>
      </c>
      <c r="T925" s="52" t="s">
        <v>4019</v>
      </c>
      <c r="U925" s="52" t="s">
        <v>4019</v>
      </c>
      <c r="V925" s="52" t="s">
        <v>684</v>
      </c>
      <c r="W925" s="52">
        <v>1112212507</v>
      </c>
      <c r="X925" s="52" t="s">
        <v>73</v>
      </c>
      <c r="Y925" s="52"/>
      <c r="Z925" s="52" t="s">
        <v>3696</v>
      </c>
      <c r="AA925" s="52" t="s">
        <v>3710</v>
      </c>
      <c r="AB925" s="52"/>
      <c r="AC925" s="52" t="s">
        <v>3703</v>
      </c>
      <c r="AD925" s="52" t="s">
        <v>3704</v>
      </c>
      <c r="AE925" s="52" t="s">
        <v>140</v>
      </c>
      <c r="AF925" s="52" t="s">
        <v>4133</v>
      </c>
      <c r="AG925" s="52" t="s">
        <v>3704</v>
      </c>
      <c r="AH925" s="52"/>
      <c r="AI925" s="53">
        <v>46157.907638888886</v>
      </c>
      <c r="AJ925" s="53">
        <v>46158.251388888886</v>
      </c>
      <c r="AK925" s="53">
        <v>46157.907638888886</v>
      </c>
      <c r="AL925" s="55">
        <v>0.34375</v>
      </c>
      <c r="AM925" s="52"/>
      <c r="AN925" s="55">
        <v>0.34375</v>
      </c>
      <c r="AO925" s="52"/>
      <c r="AP925" s="55">
        <v>0.34375</v>
      </c>
      <c r="AQ925" s="52"/>
      <c r="AR925" s="52"/>
      <c r="AS925" s="52" t="s">
        <v>3696</v>
      </c>
      <c r="AT925" s="52"/>
      <c r="AU925" s="52"/>
      <c r="AV925" s="52"/>
      <c r="AW925" s="52"/>
    </row>
    <row r="926" spans="1:49">
      <c r="A926" s="52">
        <v>6024934</v>
      </c>
      <c r="B926" s="52" t="s">
        <v>3716</v>
      </c>
      <c r="C926" s="52" t="s">
        <v>3698</v>
      </c>
      <c r="D926" s="53">
        <v>45792.625</v>
      </c>
      <c r="E926" s="53">
        <v>46157.588194444441</v>
      </c>
      <c r="F926" s="53">
        <v>46158.234027777777</v>
      </c>
      <c r="G926" s="53">
        <v>46158.280555555553</v>
      </c>
      <c r="H926" s="52"/>
      <c r="I926" s="52"/>
      <c r="J926" s="52" t="s">
        <v>3694</v>
      </c>
      <c r="K926" s="53">
        <v>46158.454861111109</v>
      </c>
      <c r="L926" s="52"/>
      <c r="M926" s="55">
        <v>4.6527777777777779E-2</v>
      </c>
      <c r="N926" s="55">
        <v>0.22222222222222221</v>
      </c>
      <c r="O926" s="52" t="s">
        <v>678</v>
      </c>
      <c r="P926" s="52" t="s">
        <v>171</v>
      </c>
      <c r="Q926" s="52" t="s">
        <v>677</v>
      </c>
      <c r="R926" s="52" t="s">
        <v>683</v>
      </c>
      <c r="S926" s="52" t="s">
        <v>69</v>
      </c>
      <c r="T926" s="52" t="s">
        <v>4019</v>
      </c>
      <c r="U926" s="52" t="s">
        <v>4019</v>
      </c>
      <c r="V926" s="52" t="s">
        <v>684</v>
      </c>
      <c r="W926" s="52">
        <v>1112212507</v>
      </c>
      <c r="X926" s="52" t="s">
        <v>73</v>
      </c>
      <c r="Y926" s="52"/>
      <c r="Z926" s="52" t="s">
        <v>3696</v>
      </c>
      <c r="AA926" s="52" t="s">
        <v>3710</v>
      </c>
      <c r="AB926" s="52"/>
      <c r="AC926" s="52" t="s">
        <v>3703</v>
      </c>
      <c r="AD926" s="52" t="s">
        <v>3704</v>
      </c>
      <c r="AE926" s="52"/>
      <c r="AF926" s="52" t="s">
        <v>4133</v>
      </c>
      <c r="AG926" s="52" t="s">
        <v>3704</v>
      </c>
      <c r="AH926" s="52"/>
      <c r="AI926" s="53">
        <v>46157.907638888886</v>
      </c>
      <c r="AJ926" s="53">
        <v>46158.251388888886</v>
      </c>
      <c r="AK926" s="53">
        <v>46157.907638888886</v>
      </c>
      <c r="AL926" s="55">
        <v>0.34375</v>
      </c>
      <c r="AM926" s="52"/>
      <c r="AN926" s="55">
        <v>0.34375</v>
      </c>
      <c r="AO926" s="52"/>
      <c r="AP926" s="55">
        <v>0.34375</v>
      </c>
      <c r="AQ926" s="52"/>
      <c r="AR926" s="52"/>
      <c r="AS926" s="52" t="s">
        <v>3696</v>
      </c>
      <c r="AT926" s="52"/>
      <c r="AU926" s="52"/>
      <c r="AV926" s="52"/>
      <c r="AW926" s="52" t="s">
        <v>605</v>
      </c>
    </row>
    <row r="927" spans="1:49">
      <c r="A927" s="52">
        <v>6025083</v>
      </c>
      <c r="B927" s="52" t="s">
        <v>3716</v>
      </c>
      <c r="C927" s="52" t="s">
        <v>3717</v>
      </c>
      <c r="D927" s="53">
        <v>45792.625</v>
      </c>
      <c r="E927" s="53">
        <v>46157.588194444441</v>
      </c>
      <c r="F927" s="53">
        <v>46157.851388888892</v>
      </c>
      <c r="G927" s="53">
        <v>46158.270833333336</v>
      </c>
      <c r="H927" s="52"/>
      <c r="I927" s="52" t="s">
        <v>3693</v>
      </c>
      <c r="J927" s="52" t="s">
        <v>3694</v>
      </c>
      <c r="K927" s="53">
        <v>46158.454861111109</v>
      </c>
      <c r="L927" s="52"/>
      <c r="M927" s="55">
        <v>0.1</v>
      </c>
      <c r="N927" s="55">
        <v>0.22291666666666668</v>
      </c>
      <c r="O927" s="52"/>
      <c r="P927" s="52"/>
      <c r="Q927" s="52"/>
      <c r="R927" s="52"/>
      <c r="S927" s="52"/>
      <c r="T927" s="52" t="s">
        <v>4019</v>
      </c>
      <c r="U927" s="52" t="s">
        <v>4019</v>
      </c>
      <c r="V927" s="52"/>
      <c r="W927" s="52"/>
      <c r="X927" s="52"/>
      <c r="Y927" s="52"/>
      <c r="Z927" s="52" t="s">
        <v>3696</v>
      </c>
      <c r="AA927" s="52" t="s">
        <v>171</v>
      </c>
      <c r="AB927" s="52" t="s">
        <v>140</v>
      </c>
      <c r="AC927" s="52" t="s">
        <v>3703</v>
      </c>
      <c r="AD927" s="52" t="s">
        <v>3704</v>
      </c>
      <c r="AE927" s="52"/>
      <c r="AF927" s="52" t="s">
        <v>4133</v>
      </c>
      <c r="AG927" s="52" t="s">
        <v>3704</v>
      </c>
      <c r="AH927" s="52"/>
      <c r="AI927" s="52"/>
      <c r="AJ927" s="52"/>
      <c r="AK927" s="52"/>
      <c r="AL927" s="55">
        <v>0.39097222222222222</v>
      </c>
      <c r="AM927" s="52"/>
      <c r="AN927" s="52"/>
      <c r="AO927" s="52"/>
      <c r="AP927" s="52"/>
      <c r="AQ927" s="52"/>
      <c r="AR927" s="52"/>
      <c r="AS927" s="52">
        <v>0</v>
      </c>
      <c r="AT927" s="52"/>
      <c r="AU927" s="52"/>
      <c r="AV927" s="52" t="s">
        <v>605</v>
      </c>
      <c r="AW927" s="52"/>
    </row>
    <row r="928" spans="1:49">
      <c r="A928" s="52">
        <v>6025083</v>
      </c>
      <c r="B928" s="52" t="s">
        <v>3716</v>
      </c>
      <c r="C928" s="52" t="s">
        <v>3698</v>
      </c>
      <c r="D928" s="53">
        <v>45792.625</v>
      </c>
      <c r="E928" s="53">
        <v>46157.588194444441</v>
      </c>
      <c r="F928" s="53">
        <v>46158.225694444445</v>
      </c>
      <c r="G928" s="53">
        <v>46158.270833333336</v>
      </c>
      <c r="H928" s="52"/>
      <c r="I928" s="52"/>
      <c r="J928" s="52" t="s">
        <v>3694</v>
      </c>
      <c r="K928" s="53">
        <v>46158.454861111109</v>
      </c>
      <c r="L928" s="52"/>
      <c r="M928" s="55">
        <v>4.5138888888888888E-2</v>
      </c>
      <c r="N928" s="55">
        <v>0.23055555555555557</v>
      </c>
      <c r="O928" s="52" t="s">
        <v>600</v>
      </c>
      <c r="P928" s="52" t="s">
        <v>171</v>
      </c>
      <c r="Q928" s="52" t="s">
        <v>599</v>
      </c>
      <c r="R928" s="52" t="s">
        <v>608</v>
      </c>
      <c r="S928" s="52" t="s">
        <v>69</v>
      </c>
      <c r="T928" s="52" t="s">
        <v>4019</v>
      </c>
      <c r="U928" s="52" t="s">
        <v>4019</v>
      </c>
      <c r="V928" s="52" t="s">
        <v>4134</v>
      </c>
      <c r="W928" s="52">
        <v>60018160182</v>
      </c>
      <c r="X928" s="52" t="s">
        <v>73</v>
      </c>
      <c r="Y928" s="52"/>
      <c r="Z928" s="52" t="s">
        <v>3696</v>
      </c>
      <c r="AA928" s="52" t="s">
        <v>3710</v>
      </c>
      <c r="AB928" s="52"/>
      <c r="AC928" s="52" t="s">
        <v>3703</v>
      </c>
      <c r="AD928" s="52" t="s">
        <v>3704</v>
      </c>
      <c r="AE928" s="52" t="s">
        <v>140</v>
      </c>
      <c r="AF928" s="52" t="s">
        <v>4133</v>
      </c>
      <c r="AG928" s="52" t="s">
        <v>3704</v>
      </c>
      <c r="AH928" s="52"/>
      <c r="AI928" s="53">
        <v>46157.850694444445</v>
      </c>
      <c r="AJ928" s="53">
        <v>46158.241666666669</v>
      </c>
      <c r="AK928" s="53">
        <v>46157.850694444445</v>
      </c>
      <c r="AL928" s="55">
        <v>0.39097222222222222</v>
      </c>
      <c r="AM928" s="52"/>
      <c r="AN928" s="55">
        <v>0.39097222222222222</v>
      </c>
      <c r="AO928" s="52"/>
      <c r="AP928" s="55">
        <v>0.39097222222222222</v>
      </c>
      <c r="AQ928" s="52"/>
      <c r="AR928" s="52"/>
      <c r="AS928" s="52" t="s">
        <v>3696</v>
      </c>
      <c r="AT928" s="52"/>
      <c r="AU928" s="52"/>
      <c r="AV928" s="52"/>
      <c r="AW928" s="52"/>
    </row>
    <row r="929" spans="1:49">
      <c r="A929" s="52">
        <v>6025083</v>
      </c>
      <c r="B929" s="52" t="s">
        <v>3716</v>
      </c>
      <c r="C929" s="52" t="s">
        <v>3698</v>
      </c>
      <c r="D929" s="53">
        <v>45792.625</v>
      </c>
      <c r="E929" s="53">
        <v>46157.588194444441</v>
      </c>
      <c r="F929" s="53">
        <v>46158.225694444445</v>
      </c>
      <c r="G929" s="53">
        <v>46158.270833333336</v>
      </c>
      <c r="H929" s="52"/>
      <c r="I929" s="52"/>
      <c r="J929" s="52" t="s">
        <v>3694</v>
      </c>
      <c r="K929" s="53">
        <v>46158.454861111109</v>
      </c>
      <c r="L929" s="52"/>
      <c r="M929" s="55">
        <v>4.5138888888888888E-2</v>
      </c>
      <c r="N929" s="55">
        <v>0.23055555555555557</v>
      </c>
      <c r="O929" s="52" t="s">
        <v>600</v>
      </c>
      <c r="P929" s="52" t="s">
        <v>171</v>
      </c>
      <c r="Q929" s="52" t="s">
        <v>599</v>
      </c>
      <c r="R929" s="52" t="s">
        <v>608</v>
      </c>
      <c r="S929" s="52" t="s">
        <v>69</v>
      </c>
      <c r="T929" s="52" t="s">
        <v>4019</v>
      </c>
      <c r="U929" s="52" t="s">
        <v>4019</v>
      </c>
      <c r="V929" s="52" t="s">
        <v>4134</v>
      </c>
      <c r="W929" s="52">
        <v>60018160182</v>
      </c>
      <c r="X929" s="52" t="s">
        <v>73</v>
      </c>
      <c r="Y929" s="52"/>
      <c r="Z929" s="52" t="s">
        <v>3696</v>
      </c>
      <c r="AA929" s="52" t="s">
        <v>3710</v>
      </c>
      <c r="AB929" s="52"/>
      <c r="AC929" s="52" t="s">
        <v>3703</v>
      </c>
      <c r="AD929" s="52" t="s">
        <v>3704</v>
      </c>
      <c r="AE929" s="52"/>
      <c r="AF929" s="52" t="s">
        <v>4133</v>
      </c>
      <c r="AG929" s="52" t="s">
        <v>3704</v>
      </c>
      <c r="AH929" s="52"/>
      <c r="AI929" s="53">
        <v>46157.850694444445</v>
      </c>
      <c r="AJ929" s="53">
        <v>46158.241666666669</v>
      </c>
      <c r="AK929" s="53">
        <v>46157.850694444445</v>
      </c>
      <c r="AL929" s="55">
        <v>0.39097222222222222</v>
      </c>
      <c r="AM929" s="52"/>
      <c r="AN929" s="55">
        <v>0.39097222222222222</v>
      </c>
      <c r="AO929" s="52"/>
      <c r="AP929" s="55">
        <v>0.39097222222222222</v>
      </c>
      <c r="AQ929" s="52"/>
      <c r="AR929" s="52"/>
      <c r="AS929" s="52" t="s">
        <v>3696</v>
      </c>
      <c r="AT929" s="52"/>
      <c r="AU929" s="52"/>
      <c r="AV929" s="52"/>
      <c r="AW929" s="52" t="s">
        <v>605</v>
      </c>
    </row>
    <row r="930" spans="1:49">
      <c r="A930" s="52">
        <v>6025087</v>
      </c>
      <c r="B930" s="52" t="s">
        <v>3716</v>
      </c>
      <c r="C930" s="52" t="s">
        <v>3692</v>
      </c>
      <c r="D930" s="53">
        <v>46158.354166666664</v>
      </c>
      <c r="E930" s="53">
        <v>46157.644444444442</v>
      </c>
      <c r="F930" s="53">
        <v>46158.426388888889</v>
      </c>
      <c r="G930" s="53">
        <v>46161</v>
      </c>
      <c r="H930" s="52"/>
      <c r="I930" s="52" t="s">
        <v>3693</v>
      </c>
      <c r="J930" s="52" t="s">
        <v>3694</v>
      </c>
      <c r="K930" s="53">
        <v>46158.990277777775</v>
      </c>
      <c r="L930" s="52"/>
      <c r="M930" s="55">
        <v>0.5708333333333333</v>
      </c>
      <c r="N930" s="54">
        <v>1.9729166666666667</v>
      </c>
      <c r="O930" s="52"/>
      <c r="P930" s="52"/>
      <c r="Q930" s="52"/>
      <c r="R930" s="52"/>
      <c r="S930" s="52"/>
      <c r="T930" s="52" t="s">
        <v>3695</v>
      </c>
      <c r="U930" s="52" t="s">
        <v>3695</v>
      </c>
      <c r="V930" s="52"/>
      <c r="W930" s="52"/>
      <c r="X930" s="52"/>
      <c r="Y930" s="52"/>
      <c r="Z930" s="52" t="s">
        <v>3696</v>
      </c>
      <c r="AA930" s="52" t="s">
        <v>227</v>
      </c>
      <c r="AB930" s="52" t="s">
        <v>79</v>
      </c>
      <c r="AC930" s="52" t="s">
        <v>3720</v>
      </c>
      <c r="AD930" s="52" t="s">
        <v>3715</v>
      </c>
      <c r="AE930" s="52"/>
      <c r="AF930" s="52" t="s">
        <v>3703</v>
      </c>
      <c r="AG930" s="52" t="s">
        <v>3704</v>
      </c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>
        <v>0</v>
      </c>
      <c r="AT930" s="52"/>
      <c r="AU930" s="52"/>
      <c r="AV930" s="52" t="s">
        <v>308</v>
      </c>
      <c r="AW930" s="52"/>
    </row>
    <row r="931" spans="1:49">
      <c r="A931" s="52">
        <v>6025087</v>
      </c>
      <c r="B931" s="52" t="s">
        <v>3716</v>
      </c>
      <c r="C931" s="52" t="s">
        <v>3698</v>
      </c>
      <c r="D931" s="53">
        <v>46158.354166666664</v>
      </c>
      <c r="E931" s="53">
        <v>46157.644444444442</v>
      </c>
      <c r="F931" s="53">
        <v>46158.428472222222</v>
      </c>
      <c r="G931" s="53">
        <v>46161</v>
      </c>
      <c r="H931" s="52"/>
      <c r="I931" s="52"/>
      <c r="J931" s="52" t="s">
        <v>3694</v>
      </c>
      <c r="K931" s="53">
        <v>46158.990277777775</v>
      </c>
      <c r="L931" s="52"/>
      <c r="M931" s="54">
        <v>2.5715277777777779</v>
      </c>
      <c r="N931" s="55">
        <v>2.7777777777777776E-2</v>
      </c>
      <c r="O931" s="52" t="s">
        <v>786</v>
      </c>
      <c r="P931" s="52" t="s">
        <v>227</v>
      </c>
      <c r="Q931" s="52" t="s">
        <v>785</v>
      </c>
      <c r="R931" s="52"/>
      <c r="S931" s="52" t="s">
        <v>69</v>
      </c>
      <c r="T931" s="52" t="s">
        <v>3695</v>
      </c>
      <c r="U931" s="52" t="s">
        <v>3695</v>
      </c>
      <c r="V931" s="52" t="s">
        <v>4135</v>
      </c>
      <c r="W931" s="52">
        <v>3942475901</v>
      </c>
      <c r="X931" s="52" t="s">
        <v>772</v>
      </c>
      <c r="Y931" s="52" t="s">
        <v>3923</v>
      </c>
      <c r="Z931" s="52" t="s">
        <v>3696</v>
      </c>
      <c r="AA931" s="52" t="s">
        <v>3710</v>
      </c>
      <c r="AB931" s="52"/>
      <c r="AC931" s="52" t="s">
        <v>3720</v>
      </c>
      <c r="AD931" s="52" t="s">
        <v>3715</v>
      </c>
      <c r="AE931" s="52" t="s">
        <v>79</v>
      </c>
      <c r="AF931" s="52" t="s">
        <v>3703</v>
      </c>
      <c r="AG931" s="52" t="s">
        <v>3704</v>
      </c>
      <c r="AH931" s="52"/>
      <c r="AI931" s="53">
        <v>46158.428472222222</v>
      </c>
      <c r="AJ931" s="52"/>
      <c r="AK931" s="53">
        <v>46158.428472222222</v>
      </c>
      <c r="AL931" s="52"/>
      <c r="AM931" s="52"/>
      <c r="AN931" s="52"/>
      <c r="AO931" s="52"/>
      <c r="AP931" s="52"/>
      <c r="AQ931" s="52"/>
      <c r="AR931" s="52"/>
      <c r="AS931" s="52" t="s">
        <v>3696</v>
      </c>
      <c r="AT931" s="52"/>
      <c r="AU931" s="52"/>
      <c r="AV931" s="52"/>
      <c r="AW931" s="52"/>
    </row>
    <row r="932" spans="1:49">
      <c r="A932" s="52">
        <v>6025087</v>
      </c>
      <c r="B932" s="52" t="s">
        <v>3716</v>
      </c>
      <c r="C932" s="52" t="s">
        <v>3698</v>
      </c>
      <c r="D932" s="53">
        <v>46158.354166666664</v>
      </c>
      <c r="E932" s="53">
        <v>46157.644444444442</v>
      </c>
      <c r="F932" s="53">
        <v>46158.428472222222</v>
      </c>
      <c r="G932" s="53">
        <v>46161</v>
      </c>
      <c r="H932" s="52"/>
      <c r="I932" s="52"/>
      <c r="J932" s="52" t="s">
        <v>3694</v>
      </c>
      <c r="K932" s="53">
        <v>46158.990277777775</v>
      </c>
      <c r="L932" s="52"/>
      <c r="M932" s="54">
        <v>2.5715277777777779</v>
      </c>
      <c r="N932" s="55">
        <v>2.7777777777777776E-2</v>
      </c>
      <c r="O932" s="52" t="s">
        <v>786</v>
      </c>
      <c r="P932" s="52" t="s">
        <v>227</v>
      </c>
      <c r="Q932" s="52" t="s">
        <v>785</v>
      </c>
      <c r="R932" s="52"/>
      <c r="S932" s="52" t="s">
        <v>69</v>
      </c>
      <c r="T932" s="52" t="s">
        <v>3695</v>
      </c>
      <c r="U932" s="52" t="s">
        <v>3695</v>
      </c>
      <c r="V932" s="52" t="s">
        <v>4135</v>
      </c>
      <c r="W932" s="52">
        <v>3942475901</v>
      </c>
      <c r="X932" s="52" t="s">
        <v>772</v>
      </c>
      <c r="Y932" s="52" t="s">
        <v>3923</v>
      </c>
      <c r="Z932" s="52" t="s">
        <v>3696</v>
      </c>
      <c r="AA932" s="52" t="s">
        <v>3710</v>
      </c>
      <c r="AB932" s="52"/>
      <c r="AC932" s="52" t="s">
        <v>3720</v>
      </c>
      <c r="AD932" s="52" t="s">
        <v>3715</v>
      </c>
      <c r="AE932" s="52"/>
      <c r="AF932" s="52" t="s">
        <v>3703</v>
      </c>
      <c r="AG932" s="52" t="s">
        <v>3704</v>
      </c>
      <c r="AH932" s="52"/>
      <c r="AI932" s="53">
        <v>46158.428472222222</v>
      </c>
      <c r="AJ932" s="52"/>
      <c r="AK932" s="53">
        <v>46158.428472222222</v>
      </c>
      <c r="AL932" s="52"/>
      <c r="AM932" s="52"/>
      <c r="AN932" s="52"/>
      <c r="AO932" s="52"/>
      <c r="AP932" s="52"/>
      <c r="AQ932" s="52"/>
      <c r="AR932" s="52"/>
      <c r="AS932" s="52" t="s">
        <v>3696</v>
      </c>
      <c r="AT932" s="52"/>
      <c r="AU932" s="52"/>
      <c r="AV932" s="52"/>
      <c r="AW932" s="52" t="s">
        <v>308</v>
      </c>
    </row>
    <row r="933" spans="1:49">
      <c r="A933" s="52">
        <v>6025088</v>
      </c>
      <c r="B933" s="52" t="s">
        <v>3716</v>
      </c>
      <c r="C933" s="52" t="s">
        <v>3692</v>
      </c>
      <c r="D933" s="53">
        <v>46158.333333333336</v>
      </c>
      <c r="E933" s="53">
        <v>46157.644444444442</v>
      </c>
      <c r="F933" s="53">
        <v>46158.412499999999</v>
      </c>
      <c r="G933" s="53">
        <v>46161</v>
      </c>
      <c r="H933" s="52"/>
      <c r="I933" s="52" t="s">
        <v>3693</v>
      </c>
      <c r="J933" s="52" t="s">
        <v>3694</v>
      </c>
      <c r="K933" s="53">
        <v>46159.079861111109</v>
      </c>
      <c r="L933" s="52"/>
      <c r="M933" s="55">
        <v>0.5708333333333333</v>
      </c>
      <c r="N933" s="54">
        <v>1.9729166666666667</v>
      </c>
      <c r="O933" s="52"/>
      <c r="P933" s="52"/>
      <c r="Q933" s="52"/>
      <c r="R933" s="52"/>
      <c r="S933" s="52"/>
      <c r="T933" s="52" t="s">
        <v>3861</v>
      </c>
      <c r="U933" s="52" t="s">
        <v>3695</v>
      </c>
      <c r="V933" s="52"/>
      <c r="W933" s="52"/>
      <c r="X933" s="52"/>
      <c r="Y933" s="52"/>
      <c r="Z933" s="52" t="s">
        <v>3696</v>
      </c>
      <c r="AA933" s="52" t="s">
        <v>227</v>
      </c>
      <c r="AB933" s="52" t="s">
        <v>79</v>
      </c>
      <c r="AC933" s="52" t="s">
        <v>3720</v>
      </c>
      <c r="AD933" s="52" t="s">
        <v>3715</v>
      </c>
      <c r="AE933" s="52"/>
      <c r="AF933" s="52" t="s">
        <v>3703</v>
      </c>
      <c r="AG933" s="52" t="s">
        <v>3704</v>
      </c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>
        <v>0</v>
      </c>
      <c r="AT933" s="52"/>
      <c r="AU933" s="52"/>
      <c r="AV933" s="52" t="s">
        <v>308</v>
      </c>
      <c r="AW933" s="52"/>
    </row>
    <row r="934" spans="1:49">
      <c r="A934" s="52">
        <v>6025088</v>
      </c>
      <c r="B934" s="52" t="s">
        <v>3716</v>
      </c>
      <c r="C934" s="52" t="s">
        <v>3698</v>
      </c>
      <c r="D934" s="53">
        <v>46158.333333333336</v>
      </c>
      <c r="E934" s="53">
        <v>46157.644444444442</v>
      </c>
      <c r="F934" s="53">
        <v>46158.413888888892</v>
      </c>
      <c r="G934" s="53">
        <v>46161</v>
      </c>
      <c r="H934" s="52"/>
      <c r="I934" s="52"/>
      <c r="J934" s="52" t="s">
        <v>3694</v>
      </c>
      <c r="K934" s="53">
        <v>46159.079861111109</v>
      </c>
      <c r="L934" s="52"/>
      <c r="M934" s="54">
        <v>2.5861111111111112</v>
      </c>
      <c r="N934" s="55">
        <v>4.2361111111111113E-2</v>
      </c>
      <c r="O934" s="52" t="s">
        <v>771</v>
      </c>
      <c r="P934" s="52" t="s">
        <v>227</v>
      </c>
      <c r="Q934" s="52" t="s">
        <v>770</v>
      </c>
      <c r="R934" s="52" t="s">
        <v>776</v>
      </c>
      <c r="S934" s="52" t="s">
        <v>69</v>
      </c>
      <c r="T934" s="52" t="s">
        <v>3861</v>
      </c>
      <c r="U934" s="52" t="s">
        <v>3695</v>
      </c>
      <c r="V934" s="52" t="s">
        <v>777</v>
      </c>
      <c r="W934" s="52">
        <v>5005448918</v>
      </c>
      <c r="X934" s="52" t="s">
        <v>772</v>
      </c>
      <c r="Y934" s="52" t="s">
        <v>4136</v>
      </c>
      <c r="Z934" s="52" t="s">
        <v>3696</v>
      </c>
      <c r="AA934" s="52" t="s">
        <v>3710</v>
      </c>
      <c r="AB934" s="52"/>
      <c r="AC934" s="52" t="s">
        <v>3720</v>
      </c>
      <c r="AD934" s="52" t="s">
        <v>3715</v>
      </c>
      <c r="AE934" s="52" t="s">
        <v>79</v>
      </c>
      <c r="AF934" s="52" t="s">
        <v>3703</v>
      </c>
      <c r="AG934" s="52" t="s">
        <v>3704</v>
      </c>
      <c r="AH934" s="52"/>
      <c r="AI934" s="53">
        <v>46158.44027777778</v>
      </c>
      <c r="AJ934" s="52"/>
      <c r="AK934" s="53">
        <v>46158.44027777778</v>
      </c>
      <c r="AL934" s="52"/>
      <c r="AM934" s="52"/>
      <c r="AN934" s="52"/>
      <c r="AO934" s="52"/>
      <c r="AP934" s="52"/>
      <c r="AQ934" s="52"/>
      <c r="AR934" s="52"/>
      <c r="AS934" s="52" t="s">
        <v>3696</v>
      </c>
      <c r="AT934" s="52"/>
      <c r="AU934" s="52"/>
      <c r="AV934" s="52"/>
      <c r="AW934" s="52"/>
    </row>
    <row r="935" spans="1:49">
      <c r="A935" s="52">
        <v>6025088</v>
      </c>
      <c r="B935" s="52" t="s">
        <v>3716</v>
      </c>
      <c r="C935" s="52" t="s">
        <v>3698</v>
      </c>
      <c r="D935" s="53">
        <v>46158.333333333336</v>
      </c>
      <c r="E935" s="53">
        <v>46157.644444444442</v>
      </c>
      <c r="F935" s="53">
        <v>46158.413888888892</v>
      </c>
      <c r="G935" s="53">
        <v>46161</v>
      </c>
      <c r="H935" s="52"/>
      <c r="I935" s="52"/>
      <c r="J935" s="52" t="s">
        <v>3694</v>
      </c>
      <c r="K935" s="53">
        <v>46159.079861111109</v>
      </c>
      <c r="L935" s="52"/>
      <c r="M935" s="54">
        <v>2.5861111111111112</v>
      </c>
      <c r="N935" s="55">
        <v>4.2361111111111113E-2</v>
      </c>
      <c r="O935" s="52" t="s">
        <v>771</v>
      </c>
      <c r="P935" s="52" t="s">
        <v>227</v>
      </c>
      <c r="Q935" s="52" t="s">
        <v>770</v>
      </c>
      <c r="R935" s="52" t="s">
        <v>776</v>
      </c>
      <c r="S935" s="52" t="s">
        <v>69</v>
      </c>
      <c r="T935" s="52" t="s">
        <v>3861</v>
      </c>
      <c r="U935" s="52" t="s">
        <v>3695</v>
      </c>
      <c r="V935" s="52" t="s">
        <v>777</v>
      </c>
      <c r="W935" s="52">
        <v>5005448918</v>
      </c>
      <c r="X935" s="52" t="s">
        <v>772</v>
      </c>
      <c r="Y935" s="52" t="s">
        <v>4136</v>
      </c>
      <c r="Z935" s="52" t="s">
        <v>3696</v>
      </c>
      <c r="AA935" s="52" t="s">
        <v>3710</v>
      </c>
      <c r="AB935" s="52"/>
      <c r="AC935" s="52" t="s">
        <v>3720</v>
      </c>
      <c r="AD935" s="52" t="s">
        <v>3715</v>
      </c>
      <c r="AE935" s="52"/>
      <c r="AF935" s="52" t="s">
        <v>3703</v>
      </c>
      <c r="AG935" s="52" t="s">
        <v>3704</v>
      </c>
      <c r="AH935" s="52"/>
      <c r="AI935" s="53">
        <v>46158.44027777778</v>
      </c>
      <c r="AJ935" s="52"/>
      <c r="AK935" s="53">
        <v>46158.44027777778</v>
      </c>
      <c r="AL935" s="52"/>
      <c r="AM935" s="52"/>
      <c r="AN935" s="52"/>
      <c r="AO935" s="52"/>
      <c r="AP935" s="52"/>
      <c r="AQ935" s="52"/>
      <c r="AR935" s="52"/>
      <c r="AS935" s="52" t="s">
        <v>3696</v>
      </c>
      <c r="AT935" s="52"/>
      <c r="AU935" s="52"/>
      <c r="AV935" s="52"/>
      <c r="AW935" s="52" t="s">
        <v>308</v>
      </c>
    </row>
    <row r="936" spans="1:49">
      <c r="A936" s="52">
        <v>6025141</v>
      </c>
      <c r="B936" s="52" t="s">
        <v>3691</v>
      </c>
      <c r="C936" s="52" t="s">
        <v>3692</v>
      </c>
      <c r="D936" s="53">
        <v>46160.333333333336</v>
      </c>
      <c r="E936" s="53">
        <v>46157.709027777775</v>
      </c>
      <c r="F936" s="52"/>
      <c r="G936" s="52"/>
      <c r="H936" s="52"/>
      <c r="I936" s="52" t="s">
        <v>3693</v>
      </c>
      <c r="J936" s="52" t="s">
        <v>3694</v>
      </c>
      <c r="K936" s="52"/>
      <c r="L936" s="52"/>
      <c r="M936" s="55">
        <v>9.166666666666666E-2</v>
      </c>
      <c r="N936" s="54">
        <v>2.1395833333333334</v>
      </c>
      <c r="O936" s="52"/>
      <c r="P936" s="52"/>
      <c r="Q936" s="52"/>
      <c r="R936" s="52"/>
      <c r="S936" s="52"/>
      <c r="T936" s="52" t="s">
        <v>3695</v>
      </c>
      <c r="U936" s="52" t="s">
        <v>3695</v>
      </c>
      <c r="V936" s="52"/>
      <c r="W936" s="52"/>
      <c r="X936" s="52"/>
      <c r="Y936" s="52"/>
      <c r="Z936" s="52" t="s">
        <v>3696</v>
      </c>
      <c r="AA936" s="52" t="s">
        <v>102</v>
      </c>
      <c r="AB936" s="52" t="s">
        <v>140</v>
      </c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>
        <v>0</v>
      </c>
      <c r="AT936" s="52"/>
      <c r="AU936" s="52"/>
      <c r="AV936" s="52" t="s">
        <v>605</v>
      </c>
      <c r="AW936" s="52"/>
    </row>
    <row r="937" spans="1:49">
      <c r="A937" s="52">
        <v>6025141</v>
      </c>
      <c r="B937" s="52" t="s">
        <v>3691</v>
      </c>
      <c r="C937" s="52" t="s">
        <v>3698</v>
      </c>
      <c r="D937" s="53">
        <v>46160.333333333336</v>
      </c>
      <c r="E937" s="53">
        <v>46157.709027777775</v>
      </c>
      <c r="F937" s="52"/>
      <c r="G937" s="52"/>
      <c r="H937" s="52"/>
      <c r="I937" s="52"/>
      <c r="J937" s="52" t="s">
        <v>3694</v>
      </c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 t="s">
        <v>3696</v>
      </c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>
        <v>0</v>
      </c>
      <c r="AT937" s="52"/>
      <c r="AU937" s="52"/>
      <c r="AV937" s="52"/>
      <c r="AW937" s="52"/>
    </row>
    <row r="938" spans="1:49">
      <c r="A938" s="52">
        <v>6025211</v>
      </c>
      <c r="B938" s="52" t="s">
        <v>3691</v>
      </c>
      <c r="C938" s="52" t="s">
        <v>3692</v>
      </c>
      <c r="D938" s="53">
        <v>46160.75</v>
      </c>
      <c r="E938" s="53">
        <v>46157.709027777775</v>
      </c>
      <c r="F938" s="52"/>
      <c r="G938" s="52"/>
      <c r="H938" s="52"/>
      <c r="I938" s="52" t="s">
        <v>3693</v>
      </c>
      <c r="J938" s="52" t="s">
        <v>3694</v>
      </c>
      <c r="K938" s="52"/>
      <c r="L938" s="52"/>
      <c r="M938" s="55">
        <v>0.5708333333333333</v>
      </c>
      <c r="N938" s="54">
        <v>8.2229166666666664</v>
      </c>
      <c r="O938" s="52"/>
      <c r="P938" s="52"/>
      <c r="Q938" s="52"/>
      <c r="R938" s="52"/>
      <c r="S938" s="52"/>
      <c r="T938" s="52" t="s">
        <v>3695</v>
      </c>
      <c r="U938" s="52" t="s">
        <v>3695</v>
      </c>
      <c r="V938" s="52"/>
      <c r="W938" s="52"/>
      <c r="X938" s="52"/>
      <c r="Y938" s="52"/>
      <c r="Z938" s="52" t="s">
        <v>3696</v>
      </c>
      <c r="AA938" s="52" t="s">
        <v>836</v>
      </c>
      <c r="AB938" s="52" t="s">
        <v>79</v>
      </c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>
        <v>0</v>
      </c>
      <c r="AT938" s="52"/>
      <c r="AU938" s="52"/>
      <c r="AV938" s="52" t="s">
        <v>840</v>
      </c>
      <c r="AW938" s="52"/>
    </row>
    <row r="939" spans="1:49">
      <c r="A939" s="52">
        <v>6025211</v>
      </c>
      <c r="B939" s="52" t="s">
        <v>3691</v>
      </c>
      <c r="C939" s="52" t="s">
        <v>3698</v>
      </c>
      <c r="D939" s="53">
        <v>46160.75</v>
      </c>
      <c r="E939" s="53">
        <v>46157.709027777775</v>
      </c>
      <c r="F939" s="52"/>
      <c r="G939" s="52"/>
      <c r="H939" s="52"/>
      <c r="I939" s="52"/>
      <c r="J939" s="52" t="s">
        <v>3694</v>
      </c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 t="s">
        <v>3696</v>
      </c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>
        <v>0</v>
      </c>
      <c r="AT939" s="52"/>
      <c r="AU939" s="52"/>
      <c r="AV939" s="52"/>
      <c r="AW939" s="52"/>
    </row>
    <row r="940" spans="1:49">
      <c r="A940" s="52">
        <v>6025212</v>
      </c>
      <c r="B940" s="52" t="s">
        <v>3691</v>
      </c>
      <c r="C940" s="52" t="s">
        <v>3692</v>
      </c>
      <c r="D940" s="53">
        <v>46160.75</v>
      </c>
      <c r="E940" s="53">
        <v>46157.709027777775</v>
      </c>
      <c r="F940" s="52"/>
      <c r="G940" s="52"/>
      <c r="H940" s="52"/>
      <c r="I940" s="52" t="s">
        <v>3693</v>
      </c>
      <c r="J940" s="52" t="s">
        <v>3694</v>
      </c>
      <c r="K940" s="52"/>
      <c r="L940" s="52"/>
      <c r="M940" s="55">
        <v>0.5708333333333333</v>
      </c>
      <c r="N940" s="54">
        <v>8.2229166666666664</v>
      </c>
      <c r="O940" s="52"/>
      <c r="P940" s="52"/>
      <c r="Q940" s="52"/>
      <c r="R940" s="52"/>
      <c r="S940" s="52"/>
      <c r="T940" s="52" t="s">
        <v>3695</v>
      </c>
      <c r="U940" s="52" t="s">
        <v>3695</v>
      </c>
      <c r="V940" s="52"/>
      <c r="W940" s="52"/>
      <c r="X940" s="52"/>
      <c r="Y940" s="52"/>
      <c r="Z940" s="52" t="s">
        <v>3696</v>
      </c>
      <c r="AA940" s="52" t="s">
        <v>836</v>
      </c>
      <c r="AB940" s="52" t="s">
        <v>79</v>
      </c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>
        <v>0</v>
      </c>
      <c r="AT940" s="52"/>
      <c r="AU940" s="52"/>
      <c r="AV940" s="52" t="s">
        <v>840</v>
      </c>
      <c r="AW940" s="52"/>
    </row>
    <row r="941" spans="1:49">
      <c r="A941" s="52">
        <v>6025212</v>
      </c>
      <c r="B941" s="52" t="s">
        <v>3691</v>
      </c>
      <c r="C941" s="52" t="s">
        <v>3698</v>
      </c>
      <c r="D941" s="53">
        <v>46160.75</v>
      </c>
      <c r="E941" s="53">
        <v>46157.709027777775</v>
      </c>
      <c r="F941" s="52"/>
      <c r="G941" s="52"/>
      <c r="H941" s="52"/>
      <c r="I941" s="52"/>
      <c r="J941" s="52" t="s">
        <v>3694</v>
      </c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 t="s">
        <v>3696</v>
      </c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>
        <v>0</v>
      </c>
      <c r="AT941" s="52"/>
      <c r="AU941" s="52"/>
      <c r="AV941" s="52"/>
      <c r="AW941" s="52"/>
    </row>
    <row r="942" spans="1:49">
      <c r="A942" s="52">
        <v>6025213</v>
      </c>
      <c r="B942" s="52" t="s">
        <v>3691</v>
      </c>
      <c r="C942" s="52" t="s">
        <v>3692</v>
      </c>
      <c r="D942" s="53">
        <v>46160.75</v>
      </c>
      <c r="E942" s="53">
        <v>46157.709027777775</v>
      </c>
      <c r="F942" s="52"/>
      <c r="G942" s="52"/>
      <c r="H942" s="52"/>
      <c r="I942" s="52" t="s">
        <v>3693</v>
      </c>
      <c r="J942" s="52" t="s">
        <v>3694</v>
      </c>
      <c r="K942" s="52"/>
      <c r="L942" s="52"/>
      <c r="M942" s="55">
        <v>0.5708333333333333</v>
      </c>
      <c r="N942" s="54">
        <v>8.2229166666666664</v>
      </c>
      <c r="O942" s="52"/>
      <c r="P942" s="52"/>
      <c r="Q942" s="52"/>
      <c r="R942" s="52"/>
      <c r="S942" s="52"/>
      <c r="T942" s="52" t="s">
        <v>3695</v>
      </c>
      <c r="U942" s="52" t="s">
        <v>3695</v>
      </c>
      <c r="V942" s="52"/>
      <c r="W942" s="52"/>
      <c r="X942" s="52"/>
      <c r="Y942" s="52"/>
      <c r="Z942" s="52" t="s">
        <v>3696</v>
      </c>
      <c r="AA942" s="52" t="s">
        <v>836</v>
      </c>
      <c r="AB942" s="52" t="s">
        <v>79</v>
      </c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>
        <v>0</v>
      </c>
      <c r="AT942" s="52"/>
      <c r="AU942" s="52"/>
      <c r="AV942" s="52" t="s">
        <v>840</v>
      </c>
      <c r="AW942" s="52"/>
    </row>
    <row r="943" spans="1:49">
      <c r="A943" s="52">
        <v>6025213</v>
      </c>
      <c r="B943" s="52" t="s">
        <v>3691</v>
      </c>
      <c r="C943" s="52" t="s">
        <v>3698</v>
      </c>
      <c r="D943" s="53">
        <v>46160.75</v>
      </c>
      <c r="E943" s="53">
        <v>46157.709027777775</v>
      </c>
      <c r="F943" s="52"/>
      <c r="G943" s="52"/>
      <c r="H943" s="52"/>
      <c r="I943" s="52"/>
      <c r="J943" s="52" t="s">
        <v>3694</v>
      </c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 t="s">
        <v>3696</v>
      </c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>
        <v>0</v>
      </c>
      <c r="AT943" s="52"/>
      <c r="AU943" s="52"/>
      <c r="AV943" s="52"/>
      <c r="AW943" s="52"/>
    </row>
    <row r="944" spans="1:49">
      <c r="A944" s="52">
        <v>6025214</v>
      </c>
      <c r="B944" s="52" t="s">
        <v>3691</v>
      </c>
      <c r="C944" s="52" t="s">
        <v>3692</v>
      </c>
      <c r="D944" s="53">
        <v>46160.75</v>
      </c>
      <c r="E944" s="53">
        <v>46157.709027777775</v>
      </c>
      <c r="F944" s="52"/>
      <c r="G944" s="52"/>
      <c r="H944" s="52"/>
      <c r="I944" s="52" t="s">
        <v>3693</v>
      </c>
      <c r="J944" s="52" t="s">
        <v>3694</v>
      </c>
      <c r="K944" s="52"/>
      <c r="L944" s="52"/>
      <c r="M944" s="55">
        <v>0.5708333333333333</v>
      </c>
      <c r="N944" s="54">
        <v>8.2229166666666664</v>
      </c>
      <c r="O944" s="52"/>
      <c r="P944" s="52"/>
      <c r="Q944" s="52"/>
      <c r="R944" s="52"/>
      <c r="S944" s="52"/>
      <c r="T944" s="52" t="s">
        <v>3695</v>
      </c>
      <c r="U944" s="52" t="s">
        <v>3695</v>
      </c>
      <c r="V944" s="52"/>
      <c r="W944" s="52"/>
      <c r="X944" s="52"/>
      <c r="Y944" s="52"/>
      <c r="Z944" s="52" t="s">
        <v>3696</v>
      </c>
      <c r="AA944" s="52" t="s">
        <v>836</v>
      </c>
      <c r="AB944" s="52" t="s">
        <v>79</v>
      </c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>
        <v>0</v>
      </c>
      <c r="AT944" s="52"/>
      <c r="AU944" s="52"/>
      <c r="AV944" s="52" t="s">
        <v>840</v>
      </c>
      <c r="AW944" s="52"/>
    </row>
    <row r="945" spans="1:49">
      <c r="A945" s="52">
        <v>6025214</v>
      </c>
      <c r="B945" s="52" t="s">
        <v>3691</v>
      </c>
      <c r="C945" s="52" t="s">
        <v>3698</v>
      </c>
      <c r="D945" s="53">
        <v>46160.75</v>
      </c>
      <c r="E945" s="53">
        <v>46157.709027777775</v>
      </c>
      <c r="F945" s="52"/>
      <c r="G945" s="52"/>
      <c r="H945" s="52"/>
      <c r="I945" s="52"/>
      <c r="J945" s="52" t="s">
        <v>3694</v>
      </c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 t="s">
        <v>3696</v>
      </c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>
        <v>0</v>
      </c>
      <c r="AT945" s="52"/>
      <c r="AU945" s="52"/>
      <c r="AV945" s="52"/>
      <c r="AW945" s="52"/>
    </row>
    <row r="946" spans="1:49">
      <c r="A946" s="52">
        <v>6025217</v>
      </c>
      <c r="B946" s="52" t="s">
        <v>3691</v>
      </c>
      <c r="C946" s="52" t="s">
        <v>3692</v>
      </c>
      <c r="D946" s="53">
        <v>46160.75</v>
      </c>
      <c r="E946" s="53">
        <v>46157.709027777775</v>
      </c>
      <c r="F946" s="52"/>
      <c r="G946" s="52"/>
      <c r="H946" s="52"/>
      <c r="I946" s="52" t="s">
        <v>3693</v>
      </c>
      <c r="J946" s="52" t="s">
        <v>3694</v>
      </c>
      <c r="K946" s="52"/>
      <c r="L946" s="52"/>
      <c r="M946" s="55">
        <v>0.5708333333333333</v>
      </c>
      <c r="N946" s="54">
        <v>8.2229166666666664</v>
      </c>
      <c r="O946" s="52"/>
      <c r="P946" s="52"/>
      <c r="Q946" s="52"/>
      <c r="R946" s="52"/>
      <c r="S946" s="52"/>
      <c r="T946" s="52" t="s">
        <v>3695</v>
      </c>
      <c r="U946" s="52" t="s">
        <v>3695</v>
      </c>
      <c r="V946" s="52"/>
      <c r="W946" s="52"/>
      <c r="X946" s="52"/>
      <c r="Y946" s="52"/>
      <c r="Z946" s="52" t="s">
        <v>3696</v>
      </c>
      <c r="AA946" s="52" t="s">
        <v>836</v>
      </c>
      <c r="AB946" s="52" t="s">
        <v>79</v>
      </c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>
        <v>0</v>
      </c>
      <c r="AT946" s="52"/>
      <c r="AU946" s="52"/>
      <c r="AV946" s="52" t="s">
        <v>840</v>
      </c>
      <c r="AW946" s="52"/>
    </row>
    <row r="947" spans="1:49">
      <c r="A947" s="52">
        <v>6025217</v>
      </c>
      <c r="B947" s="52" t="s">
        <v>3691</v>
      </c>
      <c r="C947" s="52" t="s">
        <v>3698</v>
      </c>
      <c r="D947" s="53">
        <v>46160.75</v>
      </c>
      <c r="E947" s="53">
        <v>46157.709027777775</v>
      </c>
      <c r="F947" s="52"/>
      <c r="G947" s="52"/>
      <c r="H947" s="52"/>
      <c r="I947" s="52"/>
      <c r="J947" s="52" t="s">
        <v>3694</v>
      </c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 t="s">
        <v>3696</v>
      </c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>
        <v>0</v>
      </c>
      <c r="AT947" s="52"/>
      <c r="AU947" s="52"/>
      <c r="AV947" s="52"/>
      <c r="AW947" s="52"/>
    </row>
    <row r="948" spans="1:49">
      <c r="A948" s="52">
        <v>6025219</v>
      </c>
      <c r="B948" s="52" t="s">
        <v>3691</v>
      </c>
      <c r="C948" s="52" t="s">
        <v>3692</v>
      </c>
      <c r="D948" s="53">
        <v>46160.75</v>
      </c>
      <c r="E948" s="53">
        <v>46157.709027777775</v>
      </c>
      <c r="F948" s="52"/>
      <c r="G948" s="52"/>
      <c r="H948" s="52"/>
      <c r="I948" s="52" t="s">
        <v>3693</v>
      </c>
      <c r="J948" s="52" t="s">
        <v>3694</v>
      </c>
      <c r="K948" s="52"/>
      <c r="L948" s="52"/>
      <c r="M948" s="55">
        <v>0.5708333333333333</v>
      </c>
      <c r="N948" s="54">
        <v>8.2229166666666664</v>
      </c>
      <c r="O948" s="52"/>
      <c r="P948" s="52"/>
      <c r="Q948" s="52"/>
      <c r="R948" s="52"/>
      <c r="S948" s="52"/>
      <c r="T948" s="52" t="s">
        <v>3695</v>
      </c>
      <c r="U948" s="52" t="s">
        <v>3695</v>
      </c>
      <c r="V948" s="52"/>
      <c r="W948" s="52"/>
      <c r="X948" s="52"/>
      <c r="Y948" s="52"/>
      <c r="Z948" s="52" t="s">
        <v>3696</v>
      </c>
      <c r="AA948" s="52" t="s">
        <v>836</v>
      </c>
      <c r="AB948" s="52" t="s">
        <v>79</v>
      </c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>
        <v>0</v>
      </c>
      <c r="AT948" s="52"/>
      <c r="AU948" s="52"/>
      <c r="AV948" s="52" t="s">
        <v>840</v>
      </c>
      <c r="AW948" s="52"/>
    </row>
    <row r="949" spans="1:49">
      <c r="A949" s="52">
        <v>6025219</v>
      </c>
      <c r="B949" s="52" t="s">
        <v>3691</v>
      </c>
      <c r="C949" s="52" t="s">
        <v>3698</v>
      </c>
      <c r="D949" s="53">
        <v>46160.75</v>
      </c>
      <c r="E949" s="53">
        <v>46157.709027777775</v>
      </c>
      <c r="F949" s="52"/>
      <c r="G949" s="52"/>
      <c r="H949" s="52"/>
      <c r="I949" s="52"/>
      <c r="J949" s="52" t="s">
        <v>3694</v>
      </c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 t="s">
        <v>3696</v>
      </c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>
        <v>0</v>
      </c>
      <c r="AT949" s="52"/>
      <c r="AU949" s="52"/>
      <c r="AV949" s="52"/>
      <c r="AW949" s="52"/>
    </row>
    <row r="950" spans="1:49">
      <c r="A950" s="52">
        <v>6025220</v>
      </c>
      <c r="B950" s="52" t="s">
        <v>3691</v>
      </c>
      <c r="C950" s="52" t="s">
        <v>3692</v>
      </c>
      <c r="D950" s="53">
        <v>46160.75</v>
      </c>
      <c r="E950" s="53">
        <v>46157.709027777775</v>
      </c>
      <c r="F950" s="52"/>
      <c r="G950" s="52"/>
      <c r="H950" s="52"/>
      <c r="I950" s="52" t="s">
        <v>3693</v>
      </c>
      <c r="J950" s="52" t="s">
        <v>3694</v>
      </c>
      <c r="K950" s="52"/>
      <c r="L950" s="52"/>
      <c r="M950" s="55">
        <v>0.5708333333333333</v>
      </c>
      <c r="N950" s="54">
        <v>8.2229166666666664</v>
      </c>
      <c r="O950" s="52"/>
      <c r="P950" s="52"/>
      <c r="Q950" s="52"/>
      <c r="R950" s="52"/>
      <c r="S950" s="52"/>
      <c r="T950" s="52" t="s">
        <v>3695</v>
      </c>
      <c r="U950" s="52" t="s">
        <v>3695</v>
      </c>
      <c r="V950" s="52"/>
      <c r="W950" s="52"/>
      <c r="X950" s="52"/>
      <c r="Y950" s="52"/>
      <c r="Z950" s="52" t="s">
        <v>3696</v>
      </c>
      <c r="AA950" s="52" t="s">
        <v>836</v>
      </c>
      <c r="AB950" s="52" t="s">
        <v>79</v>
      </c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>
        <v>0</v>
      </c>
      <c r="AT950" s="52"/>
      <c r="AU950" s="52"/>
      <c r="AV950" s="52" t="s">
        <v>840</v>
      </c>
      <c r="AW950" s="52"/>
    </row>
    <row r="951" spans="1:49">
      <c r="A951" s="52">
        <v>6025220</v>
      </c>
      <c r="B951" s="52" t="s">
        <v>3691</v>
      </c>
      <c r="C951" s="52" t="s">
        <v>3698</v>
      </c>
      <c r="D951" s="53">
        <v>46160.75</v>
      </c>
      <c r="E951" s="53">
        <v>46157.709027777775</v>
      </c>
      <c r="F951" s="52"/>
      <c r="G951" s="52"/>
      <c r="H951" s="52"/>
      <c r="I951" s="52"/>
      <c r="J951" s="52" t="s">
        <v>3694</v>
      </c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 t="s">
        <v>3696</v>
      </c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>
        <v>0</v>
      </c>
      <c r="AT951" s="52"/>
      <c r="AU951" s="52"/>
      <c r="AV951" s="52"/>
      <c r="AW951" s="52"/>
    </row>
    <row r="952" spans="1:49">
      <c r="A952" s="52">
        <v>6025221</v>
      </c>
      <c r="B952" s="52" t="s">
        <v>3691</v>
      </c>
      <c r="C952" s="52" t="s">
        <v>3692</v>
      </c>
      <c r="D952" s="53">
        <v>46160.75</v>
      </c>
      <c r="E952" s="53">
        <v>46157.709027777775</v>
      </c>
      <c r="F952" s="52"/>
      <c r="G952" s="52"/>
      <c r="H952" s="52"/>
      <c r="I952" s="52" t="s">
        <v>3693</v>
      </c>
      <c r="J952" s="52" t="s">
        <v>3694</v>
      </c>
      <c r="K952" s="52"/>
      <c r="L952" s="52"/>
      <c r="M952" s="55">
        <v>0.5708333333333333</v>
      </c>
      <c r="N952" s="54">
        <v>8.2229166666666664</v>
      </c>
      <c r="O952" s="52"/>
      <c r="P952" s="52"/>
      <c r="Q952" s="52"/>
      <c r="R952" s="52"/>
      <c r="S952" s="52"/>
      <c r="T952" s="52" t="s">
        <v>3695</v>
      </c>
      <c r="U952" s="52" t="s">
        <v>3695</v>
      </c>
      <c r="V952" s="52"/>
      <c r="W952" s="52"/>
      <c r="X952" s="52"/>
      <c r="Y952" s="52"/>
      <c r="Z952" s="52" t="s">
        <v>3696</v>
      </c>
      <c r="AA952" s="52" t="s">
        <v>836</v>
      </c>
      <c r="AB952" s="52" t="s">
        <v>79</v>
      </c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>
        <v>0</v>
      </c>
      <c r="AT952" s="52"/>
      <c r="AU952" s="52"/>
      <c r="AV952" s="52" t="s">
        <v>840</v>
      </c>
      <c r="AW952" s="52"/>
    </row>
    <row r="953" spans="1:49">
      <c r="A953" s="52">
        <v>6025221</v>
      </c>
      <c r="B953" s="52" t="s">
        <v>3691</v>
      </c>
      <c r="C953" s="52" t="s">
        <v>3698</v>
      </c>
      <c r="D953" s="53">
        <v>46160.75</v>
      </c>
      <c r="E953" s="53">
        <v>46157.709027777775</v>
      </c>
      <c r="F953" s="52"/>
      <c r="G953" s="52"/>
      <c r="H953" s="52"/>
      <c r="I953" s="52"/>
      <c r="J953" s="52" t="s">
        <v>3694</v>
      </c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 t="s">
        <v>3696</v>
      </c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>
        <v>0</v>
      </c>
      <c r="AT953" s="52"/>
      <c r="AU953" s="52"/>
      <c r="AV953" s="52"/>
      <c r="AW953" s="52"/>
    </row>
    <row r="954" spans="1:49">
      <c r="A954" s="52" t="s">
        <v>4137</v>
      </c>
      <c r="B954" s="52" t="s">
        <v>3691</v>
      </c>
      <c r="C954" s="52" t="s">
        <v>3692</v>
      </c>
      <c r="D954" s="53">
        <v>46160</v>
      </c>
      <c r="E954" s="53">
        <v>46156.53402777778</v>
      </c>
      <c r="F954" s="52"/>
      <c r="G954" s="52"/>
      <c r="H954" s="52"/>
      <c r="I954" s="52" t="s">
        <v>3693</v>
      </c>
      <c r="J954" s="52" t="s">
        <v>3694</v>
      </c>
      <c r="K954" s="52"/>
      <c r="L954" s="52"/>
      <c r="M954" s="54">
        <v>9</v>
      </c>
      <c r="N954" s="54">
        <v>1.54375</v>
      </c>
      <c r="O954" s="52"/>
      <c r="P954" s="52"/>
      <c r="Q954" s="52"/>
      <c r="R954" s="52"/>
      <c r="S954" s="52"/>
      <c r="T954" s="52" t="s">
        <v>3695</v>
      </c>
      <c r="U954" s="52" t="s">
        <v>3695</v>
      </c>
      <c r="V954" s="52"/>
      <c r="W954" s="52"/>
      <c r="X954" s="52"/>
      <c r="Y954" s="52"/>
      <c r="Z954" s="52" t="s">
        <v>3696</v>
      </c>
      <c r="AA954" s="52" t="s">
        <v>171</v>
      </c>
      <c r="AB954" s="52" t="s">
        <v>861</v>
      </c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>
        <v>0</v>
      </c>
      <c r="AT954" s="52"/>
      <c r="AU954" s="52"/>
      <c r="AV954" s="52" t="s">
        <v>308</v>
      </c>
      <c r="AW954" s="52"/>
    </row>
    <row r="955" spans="1:49">
      <c r="A955" s="52" t="s">
        <v>4137</v>
      </c>
      <c r="B955" s="52" t="s">
        <v>3691</v>
      </c>
      <c r="C955" s="52" t="s">
        <v>3698</v>
      </c>
      <c r="D955" s="53">
        <v>46160</v>
      </c>
      <c r="E955" s="53">
        <v>46156.53402777778</v>
      </c>
      <c r="F955" s="52"/>
      <c r="G955" s="52"/>
      <c r="H955" s="52"/>
      <c r="I955" s="52"/>
      <c r="J955" s="52" t="s">
        <v>3694</v>
      </c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 t="s">
        <v>3696</v>
      </c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>
        <v>0</v>
      </c>
      <c r="AT955" s="52"/>
      <c r="AU955" s="52"/>
      <c r="AV955" s="52"/>
      <c r="AW955" s="52"/>
    </row>
    <row r="956" spans="1:49">
      <c r="A956" s="52" t="s">
        <v>4138</v>
      </c>
      <c r="B956" s="52" t="s">
        <v>3691</v>
      </c>
      <c r="C956" s="52" t="s">
        <v>3692</v>
      </c>
      <c r="D956" s="53">
        <v>46160</v>
      </c>
      <c r="E956" s="53">
        <v>46156.53402777778</v>
      </c>
      <c r="F956" s="52"/>
      <c r="G956" s="52"/>
      <c r="H956" s="52"/>
      <c r="I956" s="52" t="s">
        <v>3693</v>
      </c>
      <c r="J956" s="52" t="s">
        <v>3694</v>
      </c>
      <c r="K956" s="52"/>
      <c r="L956" s="52"/>
      <c r="M956" s="54">
        <v>9</v>
      </c>
      <c r="N956" s="54">
        <v>1.54375</v>
      </c>
      <c r="O956" s="52"/>
      <c r="P956" s="52"/>
      <c r="Q956" s="52"/>
      <c r="R956" s="52"/>
      <c r="S956" s="52"/>
      <c r="T956" s="52" t="s">
        <v>3695</v>
      </c>
      <c r="U956" s="52" t="s">
        <v>3695</v>
      </c>
      <c r="V956" s="52"/>
      <c r="W956" s="52"/>
      <c r="X956" s="52"/>
      <c r="Y956" s="52"/>
      <c r="Z956" s="52" t="s">
        <v>3696</v>
      </c>
      <c r="AA956" s="52" t="s">
        <v>171</v>
      </c>
      <c r="AB956" s="52" t="s">
        <v>861</v>
      </c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>
        <v>0</v>
      </c>
      <c r="AT956" s="52"/>
      <c r="AU956" s="52"/>
      <c r="AV956" s="52" t="s">
        <v>308</v>
      </c>
      <c r="AW956" s="52"/>
    </row>
    <row r="957" spans="1:49">
      <c r="A957" s="52" t="s">
        <v>4138</v>
      </c>
      <c r="B957" s="52" t="s">
        <v>3691</v>
      </c>
      <c r="C957" s="52" t="s">
        <v>3698</v>
      </c>
      <c r="D957" s="53">
        <v>46160</v>
      </c>
      <c r="E957" s="53">
        <v>46156.53402777778</v>
      </c>
      <c r="F957" s="52"/>
      <c r="G957" s="52"/>
      <c r="H957" s="52"/>
      <c r="I957" s="52"/>
      <c r="J957" s="52" t="s">
        <v>3694</v>
      </c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 t="s">
        <v>3696</v>
      </c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>
        <v>0</v>
      </c>
      <c r="AT957" s="52"/>
      <c r="AU957" s="52"/>
      <c r="AV957" s="52"/>
      <c r="AW957" s="52"/>
    </row>
    <row r="958" spans="1:49">
      <c r="A958" s="52" t="s">
        <v>4139</v>
      </c>
      <c r="B958" s="52" t="s">
        <v>3691</v>
      </c>
      <c r="C958" s="52" t="s">
        <v>3692</v>
      </c>
      <c r="D958" s="53">
        <v>46157</v>
      </c>
      <c r="E958" s="53">
        <v>46156.53402777778</v>
      </c>
      <c r="F958" s="52"/>
      <c r="G958" s="52"/>
      <c r="H958" s="52"/>
      <c r="I958" s="52" t="s">
        <v>3693</v>
      </c>
      <c r="J958" s="52" t="s">
        <v>3694</v>
      </c>
      <c r="K958" s="52"/>
      <c r="L958" s="52"/>
      <c r="M958" s="54">
        <v>12</v>
      </c>
      <c r="N958" s="54">
        <v>1.45625</v>
      </c>
      <c r="O958" s="52"/>
      <c r="P958" s="52"/>
      <c r="Q958" s="52"/>
      <c r="R958" s="52"/>
      <c r="S958" s="52"/>
      <c r="T958" s="52" t="s">
        <v>3695</v>
      </c>
      <c r="U958" s="52" t="s">
        <v>3695</v>
      </c>
      <c r="V958" s="52"/>
      <c r="W958" s="52"/>
      <c r="X958" s="52"/>
      <c r="Y958" s="52"/>
      <c r="Z958" s="52" t="s">
        <v>3696</v>
      </c>
      <c r="AA958" s="52" t="s">
        <v>171</v>
      </c>
      <c r="AB958" s="52" t="s">
        <v>861</v>
      </c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>
        <v>0</v>
      </c>
      <c r="AT958" s="52"/>
      <c r="AU958" s="52"/>
      <c r="AV958" s="52" t="s">
        <v>308</v>
      </c>
      <c r="AW958" s="52"/>
    </row>
    <row r="959" spans="1:49">
      <c r="A959" s="52" t="s">
        <v>4139</v>
      </c>
      <c r="B959" s="52" t="s">
        <v>3691</v>
      </c>
      <c r="C959" s="52" t="s">
        <v>3698</v>
      </c>
      <c r="D959" s="53">
        <v>46157</v>
      </c>
      <c r="E959" s="53">
        <v>46156.53402777778</v>
      </c>
      <c r="F959" s="52"/>
      <c r="G959" s="52"/>
      <c r="H959" s="52"/>
      <c r="I959" s="52"/>
      <c r="J959" s="52" t="s">
        <v>3694</v>
      </c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 t="s">
        <v>3696</v>
      </c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>
        <v>0</v>
      </c>
      <c r="AT959" s="52"/>
      <c r="AU959" s="52"/>
      <c r="AV959" s="52"/>
      <c r="AW959" s="52"/>
    </row>
    <row r="960" spans="1:49">
      <c r="A960" s="52" t="s">
        <v>4140</v>
      </c>
      <c r="B960" s="52" t="s">
        <v>3691</v>
      </c>
      <c r="C960" s="52" t="s">
        <v>3692</v>
      </c>
      <c r="D960" s="53">
        <v>46160</v>
      </c>
      <c r="E960" s="53">
        <v>46156.53402777778</v>
      </c>
      <c r="F960" s="52"/>
      <c r="G960" s="52"/>
      <c r="H960" s="52"/>
      <c r="I960" s="52" t="s">
        <v>3693</v>
      </c>
      <c r="J960" s="52" t="s">
        <v>3694</v>
      </c>
      <c r="K960" s="52"/>
      <c r="L960" s="52"/>
      <c r="M960" s="54">
        <v>9</v>
      </c>
      <c r="N960" s="54">
        <v>1.54375</v>
      </c>
      <c r="O960" s="52"/>
      <c r="P960" s="52"/>
      <c r="Q960" s="52"/>
      <c r="R960" s="52"/>
      <c r="S960" s="52"/>
      <c r="T960" s="52" t="s">
        <v>3695</v>
      </c>
      <c r="U960" s="52" t="s">
        <v>3695</v>
      </c>
      <c r="V960" s="52"/>
      <c r="W960" s="52"/>
      <c r="X960" s="52"/>
      <c r="Y960" s="52"/>
      <c r="Z960" s="52" t="s">
        <v>3696</v>
      </c>
      <c r="AA960" s="52" t="s">
        <v>171</v>
      </c>
      <c r="AB960" s="52" t="s">
        <v>861</v>
      </c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>
        <v>0</v>
      </c>
      <c r="AT960" s="52"/>
      <c r="AU960" s="52"/>
      <c r="AV960" s="52" t="s">
        <v>308</v>
      </c>
      <c r="AW960" s="52"/>
    </row>
    <row r="961" spans="1:49">
      <c r="A961" s="52" t="s">
        <v>4140</v>
      </c>
      <c r="B961" s="52" t="s">
        <v>3691</v>
      </c>
      <c r="C961" s="52" t="s">
        <v>3698</v>
      </c>
      <c r="D961" s="53">
        <v>46160</v>
      </c>
      <c r="E961" s="53">
        <v>46156.53402777778</v>
      </c>
      <c r="F961" s="52"/>
      <c r="G961" s="52"/>
      <c r="H961" s="52"/>
      <c r="I961" s="52"/>
      <c r="J961" s="52" t="s">
        <v>3694</v>
      </c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 t="s">
        <v>3696</v>
      </c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>
        <v>0</v>
      </c>
      <c r="AT961" s="52"/>
      <c r="AU961" s="52"/>
      <c r="AV961" s="52"/>
      <c r="AW961" s="52"/>
    </row>
    <row r="962" spans="1:49">
      <c r="A962" s="52" t="s">
        <v>4141</v>
      </c>
      <c r="B962" s="52" t="s">
        <v>3699</v>
      </c>
      <c r="C962" s="52" t="s">
        <v>3692</v>
      </c>
      <c r="D962" s="53">
        <v>46157</v>
      </c>
      <c r="E962" s="53">
        <v>46156.53402777778</v>
      </c>
      <c r="F962" s="53">
        <v>46156.731944444444</v>
      </c>
      <c r="G962" s="53">
        <v>46157.208333333336</v>
      </c>
      <c r="H962" s="53">
        <v>46156.87222222222</v>
      </c>
      <c r="I962" s="52" t="s">
        <v>3693</v>
      </c>
      <c r="J962" s="52" t="s">
        <v>3693</v>
      </c>
      <c r="K962" s="53">
        <v>46156.87222222222</v>
      </c>
      <c r="L962" s="52" t="s">
        <v>3700</v>
      </c>
      <c r="M962" s="54">
        <v>12</v>
      </c>
      <c r="N962" s="54">
        <v>1.45625</v>
      </c>
      <c r="O962" s="52"/>
      <c r="P962" s="52"/>
      <c r="Q962" s="52"/>
      <c r="R962" s="52"/>
      <c r="S962" s="52"/>
      <c r="T962" s="52" t="s">
        <v>4142</v>
      </c>
      <c r="U962" s="52" t="s">
        <v>4143</v>
      </c>
      <c r="V962" s="52"/>
      <c r="W962" s="52"/>
      <c r="X962" s="52"/>
      <c r="Y962" s="52"/>
      <c r="Z962" s="52" t="s">
        <v>3696</v>
      </c>
      <c r="AA962" s="52" t="s">
        <v>171</v>
      </c>
      <c r="AB962" s="52" t="s">
        <v>861</v>
      </c>
      <c r="AC962" s="52" t="s">
        <v>4144</v>
      </c>
      <c r="AD962" s="52" t="s">
        <v>3704</v>
      </c>
      <c r="AE962" s="52"/>
      <c r="AF962" s="52" t="s">
        <v>3703</v>
      </c>
      <c r="AG962" s="52" t="s">
        <v>3704</v>
      </c>
      <c r="AH962" s="52"/>
      <c r="AI962" s="52"/>
      <c r="AJ962" s="52"/>
      <c r="AK962" s="52"/>
      <c r="AL962" s="55">
        <v>9.7222222222222224E-3</v>
      </c>
      <c r="AM962" s="52"/>
      <c r="AN962" s="52"/>
      <c r="AO962" s="52"/>
      <c r="AP962" s="52"/>
      <c r="AQ962" s="52"/>
      <c r="AR962" s="52"/>
      <c r="AS962" s="52">
        <v>0</v>
      </c>
      <c r="AT962" s="52"/>
      <c r="AU962" s="52"/>
      <c r="AV962" s="52" t="s">
        <v>308</v>
      </c>
      <c r="AW962" s="52"/>
    </row>
    <row r="963" spans="1:49">
      <c r="A963" s="52" t="s">
        <v>4141</v>
      </c>
      <c r="B963" s="52" t="s">
        <v>3699</v>
      </c>
      <c r="C963" s="52" t="s">
        <v>3698</v>
      </c>
      <c r="D963" s="53">
        <v>46157</v>
      </c>
      <c r="E963" s="53">
        <v>46156.53402777778</v>
      </c>
      <c r="F963" s="53">
        <v>46156.76666666667</v>
      </c>
      <c r="G963" s="53">
        <v>46157.208333333336</v>
      </c>
      <c r="H963" s="53">
        <v>46156.884027777778</v>
      </c>
      <c r="I963" s="52"/>
      <c r="J963" s="52" t="s">
        <v>3693</v>
      </c>
      <c r="K963" s="53">
        <v>46156.87222222222</v>
      </c>
      <c r="L963" s="52"/>
      <c r="M963" s="55">
        <v>0.44166666666666665</v>
      </c>
      <c r="N963" s="54">
        <v>1.6895833333333334</v>
      </c>
      <c r="O963" s="52" t="s">
        <v>3471</v>
      </c>
      <c r="P963" s="52" t="s">
        <v>171</v>
      </c>
      <c r="Q963" s="52" t="s">
        <v>956</v>
      </c>
      <c r="R963" s="52" t="s">
        <v>3472</v>
      </c>
      <c r="S963" s="52" t="s">
        <v>789</v>
      </c>
      <c r="T963" s="52" t="s">
        <v>4142</v>
      </c>
      <c r="U963" s="52" t="s">
        <v>4143</v>
      </c>
      <c r="V963" s="52" t="s">
        <v>684</v>
      </c>
      <c r="W963" s="52">
        <v>1112212507</v>
      </c>
      <c r="X963" s="52" t="s">
        <v>793</v>
      </c>
      <c r="Y963" s="52"/>
      <c r="Z963" s="52" t="s">
        <v>3696</v>
      </c>
      <c r="AA963" s="52" t="s">
        <v>3710</v>
      </c>
      <c r="AB963" s="52"/>
      <c r="AC963" s="52" t="s">
        <v>4144</v>
      </c>
      <c r="AD963" s="52" t="s">
        <v>3704</v>
      </c>
      <c r="AE963" s="52" t="s">
        <v>861</v>
      </c>
      <c r="AF963" s="52" t="s">
        <v>3703</v>
      </c>
      <c r="AG963" s="52" t="s">
        <v>3704</v>
      </c>
      <c r="AH963" s="52"/>
      <c r="AI963" s="53">
        <v>46156.731944444444</v>
      </c>
      <c r="AJ963" s="53">
        <v>46156.741666666669</v>
      </c>
      <c r="AK963" s="53">
        <v>46156.731944444444</v>
      </c>
      <c r="AL963" s="55">
        <v>2.1527777777777778E-2</v>
      </c>
      <c r="AM963" s="52"/>
      <c r="AN963" s="55">
        <v>9.7222222222222224E-3</v>
      </c>
      <c r="AO963" s="55">
        <v>1.1805555555555555E-2</v>
      </c>
      <c r="AP963" s="55">
        <v>2.1527777777777778E-2</v>
      </c>
      <c r="AQ963" s="52" t="s">
        <v>793</v>
      </c>
      <c r="AR963" s="52" t="s">
        <v>4145</v>
      </c>
      <c r="AS963" s="52" t="s">
        <v>3696</v>
      </c>
      <c r="AT963" s="52"/>
      <c r="AU963" s="52"/>
      <c r="AV963" s="52"/>
      <c r="AW963" s="52"/>
    </row>
    <row r="964" spans="1:49">
      <c r="A964" s="52" t="s">
        <v>4141</v>
      </c>
      <c r="B964" s="52" t="s">
        <v>3699</v>
      </c>
      <c r="C964" s="52" t="s">
        <v>3698</v>
      </c>
      <c r="D964" s="53">
        <v>46157</v>
      </c>
      <c r="E964" s="53">
        <v>46156.53402777778</v>
      </c>
      <c r="F964" s="53">
        <v>46156.76666666667</v>
      </c>
      <c r="G964" s="53">
        <v>46157.208333333336</v>
      </c>
      <c r="H964" s="53">
        <v>46156.884027777778</v>
      </c>
      <c r="I964" s="52"/>
      <c r="J964" s="52" t="s">
        <v>3693</v>
      </c>
      <c r="K964" s="53">
        <v>46156.87222222222</v>
      </c>
      <c r="L964" s="52"/>
      <c r="M964" s="55">
        <v>0.44166666666666665</v>
      </c>
      <c r="N964" s="54">
        <v>1.6895833333333334</v>
      </c>
      <c r="O964" s="52" t="s">
        <v>3471</v>
      </c>
      <c r="P964" s="52" t="s">
        <v>171</v>
      </c>
      <c r="Q964" s="52" t="s">
        <v>956</v>
      </c>
      <c r="R964" s="52" t="s">
        <v>3472</v>
      </c>
      <c r="S964" s="52" t="s">
        <v>789</v>
      </c>
      <c r="T964" s="52" t="s">
        <v>4142</v>
      </c>
      <c r="U964" s="52" t="s">
        <v>4143</v>
      </c>
      <c r="V964" s="52" t="s">
        <v>684</v>
      </c>
      <c r="W964" s="52">
        <v>1112212507</v>
      </c>
      <c r="X964" s="52" t="s">
        <v>793</v>
      </c>
      <c r="Y964" s="52"/>
      <c r="Z964" s="52" t="s">
        <v>3696</v>
      </c>
      <c r="AA964" s="52" t="s">
        <v>3710</v>
      </c>
      <c r="AB964" s="52"/>
      <c r="AC964" s="52" t="s">
        <v>4144</v>
      </c>
      <c r="AD964" s="52" t="s">
        <v>3704</v>
      </c>
      <c r="AE964" s="52"/>
      <c r="AF964" s="52" t="s">
        <v>3703</v>
      </c>
      <c r="AG964" s="52" t="s">
        <v>3704</v>
      </c>
      <c r="AH964" s="52"/>
      <c r="AI964" s="53">
        <v>46156.731944444444</v>
      </c>
      <c r="AJ964" s="53">
        <v>46156.741666666669</v>
      </c>
      <c r="AK964" s="53">
        <v>46156.731944444444</v>
      </c>
      <c r="AL964" s="55">
        <v>2.1527777777777778E-2</v>
      </c>
      <c r="AM964" s="52"/>
      <c r="AN964" s="55">
        <v>9.7222222222222224E-3</v>
      </c>
      <c r="AO964" s="55">
        <v>1.1805555555555555E-2</v>
      </c>
      <c r="AP964" s="55">
        <v>2.1527777777777778E-2</v>
      </c>
      <c r="AQ964" s="52" t="s">
        <v>793</v>
      </c>
      <c r="AR964" s="52" t="s">
        <v>4145</v>
      </c>
      <c r="AS964" s="52" t="s">
        <v>3696</v>
      </c>
      <c r="AT964" s="52"/>
      <c r="AU964" s="52"/>
      <c r="AV964" s="52"/>
      <c r="AW964" s="52" t="s">
        <v>308</v>
      </c>
    </row>
    <row r="965" spans="1:49">
      <c r="A965" s="52" t="s">
        <v>4146</v>
      </c>
      <c r="B965" s="52" t="s">
        <v>3691</v>
      </c>
      <c r="C965" s="52" t="s">
        <v>3692</v>
      </c>
      <c r="D965" s="53">
        <v>46161</v>
      </c>
      <c r="E965" s="53">
        <v>46156.53402777778</v>
      </c>
      <c r="F965" s="52"/>
      <c r="G965" s="52"/>
      <c r="H965" s="52"/>
      <c r="I965" s="52" t="s">
        <v>3693</v>
      </c>
      <c r="J965" s="52" t="s">
        <v>3694</v>
      </c>
      <c r="K965" s="52"/>
      <c r="L965" s="52"/>
      <c r="M965" s="54">
        <v>8</v>
      </c>
      <c r="N965" s="54">
        <v>2.5437500000000002</v>
      </c>
      <c r="O965" s="52"/>
      <c r="P965" s="52"/>
      <c r="Q965" s="52"/>
      <c r="R965" s="52"/>
      <c r="S965" s="52"/>
      <c r="T965" s="52" t="s">
        <v>3695</v>
      </c>
      <c r="U965" s="52" t="s">
        <v>3695</v>
      </c>
      <c r="V965" s="52"/>
      <c r="W965" s="52"/>
      <c r="X965" s="52"/>
      <c r="Y965" s="52"/>
      <c r="Z965" s="52" t="s">
        <v>3696</v>
      </c>
      <c r="AA965" s="52" t="s">
        <v>171</v>
      </c>
      <c r="AB965" s="52" t="s">
        <v>798</v>
      </c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>
        <v>0</v>
      </c>
      <c r="AT965" s="52"/>
      <c r="AU965" s="52"/>
      <c r="AV965" s="52" t="s">
        <v>308</v>
      </c>
      <c r="AW965" s="52"/>
    </row>
    <row r="966" spans="1:49">
      <c r="A966" s="52" t="s">
        <v>4146</v>
      </c>
      <c r="B966" s="52" t="s">
        <v>3691</v>
      </c>
      <c r="C966" s="52" t="s">
        <v>3698</v>
      </c>
      <c r="D966" s="53">
        <v>46161</v>
      </c>
      <c r="E966" s="53">
        <v>46156.53402777778</v>
      </c>
      <c r="F966" s="52"/>
      <c r="G966" s="52"/>
      <c r="H966" s="52"/>
      <c r="I966" s="52"/>
      <c r="J966" s="52" t="s">
        <v>3694</v>
      </c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 t="s">
        <v>3696</v>
      </c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>
        <v>0</v>
      </c>
      <c r="AT966" s="52"/>
      <c r="AU966" s="52"/>
      <c r="AV966" s="52"/>
      <c r="AW966" s="52"/>
    </row>
    <row r="967" spans="1:49">
      <c r="A967" s="52" t="s">
        <v>3461</v>
      </c>
      <c r="B967" s="52" t="s">
        <v>3723</v>
      </c>
      <c r="C967" s="52" t="s">
        <v>3717</v>
      </c>
      <c r="D967" s="53">
        <v>46162</v>
      </c>
      <c r="E967" s="53">
        <v>46156.53402777778</v>
      </c>
      <c r="F967" s="53">
        <v>46156.70208333333</v>
      </c>
      <c r="G967" s="53">
        <v>46162</v>
      </c>
      <c r="H967" s="53">
        <v>46156.753472222219</v>
      </c>
      <c r="I967" s="52" t="s">
        <v>3693</v>
      </c>
      <c r="J967" s="52" t="s">
        <v>3693</v>
      </c>
      <c r="K967" s="52"/>
      <c r="L967" s="52"/>
      <c r="M967" s="54">
        <v>7</v>
      </c>
      <c r="N967" s="54">
        <v>3.5437500000000002</v>
      </c>
      <c r="O967" s="52"/>
      <c r="P967" s="52"/>
      <c r="Q967" s="52"/>
      <c r="R967" s="52"/>
      <c r="S967" s="52"/>
      <c r="T967" s="52" t="s">
        <v>4142</v>
      </c>
      <c r="U967" s="52" t="s">
        <v>3865</v>
      </c>
      <c r="V967" s="52"/>
      <c r="W967" s="52"/>
      <c r="X967" s="52"/>
      <c r="Y967" s="52"/>
      <c r="Z967" s="52" t="s">
        <v>3696</v>
      </c>
      <c r="AA967" s="52" t="s">
        <v>171</v>
      </c>
      <c r="AB967" s="52" t="s">
        <v>861</v>
      </c>
      <c r="AC967" s="52" t="s">
        <v>4144</v>
      </c>
      <c r="AD967" s="52" t="s">
        <v>3704</v>
      </c>
      <c r="AE967" s="52"/>
      <c r="AF967" s="52" t="s">
        <v>4144</v>
      </c>
      <c r="AG967" s="52" t="s">
        <v>3704</v>
      </c>
      <c r="AH967" s="52"/>
      <c r="AI967" s="52"/>
      <c r="AJ967" s="52"/>
      <c r="AK967" s="52"/>
      <c r="AL967" s="55">
        <v>1.8055555555555554E-2</v>
      </c>
      <c r="AM967" s="52"/>
      <c r="AN967" s="52"/>
      <c r="AO967" s="52"/>
      <c r="AP967" s="52"/>
      <c r="AQ967" s="52"/>
      <c r="AR967" s="52"/>
      <c r="AS967" s="52">
        <v>0</v>
      </c>
      <c r="AT967" s="52"/>
      <c r="AU967" s="52"/>
      <c r="AV967" s="52" t="s">
        <v>308</v>
      </c>
      <c r="AW967" s="52"/>
    </row>
    <row r="968" spans="1:49">
      <c r="A968" s="52" t="s">
        <v>3461</v>
      </c>
      <c r="B968" s="52" t="s">
        <v>3723</v>
      </c>
      <c r="C968" s="52" t="s">
        <v>3698</v>
      </c>
      <c r="D968" s="53">
        <v>46162</v>
      </c>
      <c r="E968" s="53">
        <v>46156.53402777778</v>
      </c>
      <c r="F968" s="52"/>
      <c r="G968" s="53">
        <v>46156.872916666667</v>
      </c>
      <c r="H968" s="53">
        <v>46157.330555555556</v>
      </c>
      <c r="I968" s="52"/>
      <c r="J968" s="52" t="s">
        <v>3693</v>
      </c>
      <c r="K968" s="53">
        <v>46157.330555555556</v>
      </c>
      <c r="L968" s="52"/>
      <c r="M968" s="52"/>
      <c r="N968" s="52"/>
      <c r="O968" s="52" t="s">
        <v>3462</v>
      </c>
      <c r="P968" s="52" t="s">
        <v>171</v>
      </c>
      <c r="Q968" s="52" t="s">
        <v>677</v>
      </c>
      <c r="R968" s="52" t="s">
        <v>961</v>
      </c>
      <c r="S968" s="52" t="s">
        <v>789</v>
      </c>
      <c r="T968" s="52" t="s">
        <v>4142</v>
      </c>
      <c r="U968" s="52" t="s">
        <v>3865</v>
      </c>
      <c r="V968" s="52" t="s">
        <v>684</v>
      </c>
      <c r="W968" s="52">
        <v>1112212507</v>
      </c>
      <c r="X968" s="52" t="s">
        <v>793</v>
      </c>
      <c r="Y968" s="52"/>
      <c r="Z968" s="52" t="s">
        <v>3696</v>
      </c>
      <c r="AA968" s="52" t="s">
        <v>3710</v>
      </c>
      <c r="AB968" s="52"/>
      <c r="AC968" s="52" t="s">
        <v>4144</v>
      </c>
      <c r="AD968" s="52" t="s">
        <v>3704</v>
      </c>
      <c r="AE968" s="52" t="s">
        <v>861</v>
      </c>
      <c r="AF968" s="52" t="s">
        <v>3703</v>
      </c>
      <c r="AG968" s="52" t="s">
        <v>3704</v>
      </c>
      <c r="AH968" s="52"/>
      <c r="AI968" s="53">
        <v>46156.753472222219</v>
      </c>
      <c r="AJ968" s="53">
        <v>46156.771527777775</v>
      </c>
      <c r="AK968" s="53">
        <v>46156.753472222219</v>
      </c>
      <c r="AL968" s="55">
        <v>1.8055555555555554E-2</v>
      </c>
      <c r="AM968" s="52"/>
      <c r="AN968" s="55">
        <v>1.8055555555555554E-2</v>
      </c>
      <c r="AO968" s="52"/>
      <c r="AP968" s="55">
        <v>1.8055555555555554E-2</v>
      </c>
      <c r="AQ968" s="52"/>
      <c r="AR968" s="52"/>
      <c r="AS968" s="52" t="s">
        <v>3696</v>
      </c>
      <c r="AT968" s="52"/>
      <c r="AU968" s="52"/>
      <c r="AV968" s="52"/>
      <c r="AW968" s="52"/>
    </row>
    <row r="969" spans="1:49">
      <c r="A969" s="52" t="s">
        <v>3461</v>
      </c>
      <c r="B969" s="52" t="s">
        <v>3723</v>
      </c>
      <c r="C969" s="52" t="s">
        <v>3698</v>
      </c>
      <c r="D969" s="53">
        <v>46162</v>
      </c>
      <c r="E969" s="53">
        <v>46156.53402777778</v>
      </c>
      <c r="F969" s="52"/>
      <c r="G969" s="53">
        <v>46156.872916666667</v>
      </c>
      <c r="H969" s="53">
        <v>46157.330555555556</v>
      </c>
      <c r="I969" s="52"/>
      <c r="J969" s="52" t="s">
        <v>3693</v>
      </c>
      <c r="K969" s="53">
        <v>46157.330555555556</v>
      </c>
      <c r="L969" s="52"/>
      <c r="M969" s="52"/>
      <c r="N969" s="52"/>
      <c r="O969" s="52" t="s">
        <v>3462</v>
      </c>
      <c r="P969" s="52" t="s">
        <v>171</v>
      </c>
      <c r="Q969" s="52" t="s">
        <v>677</v>
      </c>
      <c r="R969" s="52" t="s">
        <v>961</v>
      </c>
      <c r="S969" s="52" t="s">
        <v>789</v>
      </c>
      <c r="T969" s="52" t="s">
        <v>4142</v>
      </c>
      <c r="U969" s="52" t="s">
        <v>3865</v>
      </c>
      <c r="V969" s="52" t="s">
        <v>684</v>
      </c>
      <c r="W969" s="52">
        <v>1112212507</v>
      </c>
      <c r="X969" s="52" t="s">
        <v>793</v>
      </c>
      <c r="Y969" s="52"/>
      <c r="Z969" s="52" t="s">
        <v>3696</v>
      </c>
      <c r="AA969" s="52" t="s">
        <v>3710</v>
      </c>
      <c r="AB969" s="52"/>
      <c r="AC969" s="52" t="s">
        <v>4144</v>
      </c>
      <c r="AD969" s="52" t="s">
        <v>3704</v>
      </c>
      <c r="AE969" s="52"/>
      <c r="AF969" s="52" t="s">
        <v>3703</v>
      </c>
      <c r="AG969" s="52" t="s">
        <v>3704</v>
      </c>
      <c r="AH969" s="52"/>
      <c r="AI969" s="53">
        <v>46156.753472222219</v>
      </c>
      <c r="AJ969" s="53">
        <v>46156.771527777775</v>
      </c>
      <c r="AK969" s="53">
        <v>46156.753472222219</v>
      </c>
      <c r="AL969" s="55">
        <v>1.8055555555555554E-2</v>
      </c>
      <c r="AM969" s="52"/>
      <c r="AN969" s="55">
        <v>1.8055555555555554E-2</v>
      </c>
      <c r="AO969" s="52"/>
      <c r="AP969" s="55">
        <v>1.8055555555555554E-2</v>
      </c>
      <c r="AQ969" s="52"/>
      <c r="AR969" s="52"/>
      <c r="AS969" s="52" t="s">
        <v>3696</v>
      </c>
      <c r="AT969" s="52"/>
      <c r="AU969" s="52"/>
      <c r="AV969" s="52"/>
      <c r="AW969" s="52" t="s">
        <v>308</v>
      </c>
    </row>
    <row r="970" spans="1:49">
      <c r="A970" s="52" t="s">
        <v>3590</v>
      </c>
      <c r="B970" s="52" t="s">
        <v>3699</v>
      </c>
      <c r="C970" s="52" t="s">
        <v>3692</v>
      </c>
      <c r="D970" s="53">
        <v>46162</v>
      </c>
      <c r="E970" s="53">
        <v>46156.53402777778</v>
      </c>
      <c r="F970" s="53">
        <v>46157.647222222222</v>
      </c>
      <c r="G970" s="53">
        <v>46157.758333333331</v>
      </c>
      <c r="H970" s="53">
        <v>46157.852083333331</v>
      </c>
      <c r="I970" s="52" t="s">
        <v>3693</v>
      </c>
      <c r="J970" s="52" t="s">
        <v>3693</v>
      </c>
      <c r="K970" s="53">
        <v>46157.852083333331</v>
      </c>
      <c r="L970" s="52" t="s">
        <v>3700</v>
      </c>
      <c r="M970" s="54">
        <v>7</v>
      </c>
      <c r="N970" s="54">
        <v>3.5437500000000002</v>
      </c>
      <c r="O970" s="52"/>
      <c r="P970" s="52"/>
      <c r="Q970" s="52"/>
      <c r="R970" s="52"/>
      <c r="S970" s="52"/>
      <c r="T970" s="52" t="s">
        <v>4142</v>
      </c>
      <c r="U970" s="52" t="s">
        <v>4147</v>
      </c>
      <c r="V970" s="52"/>
      <c r="W970" s="52"/>
      <c r="X970" s="52"/>
      <c r="Y970" s="52"/>
      <c r="Z970" s="52" t="s">
        <v>3696</v>
      </c>
      <c r="AA970" s="52" t="s">
        <v>171</v>
      </c>
      <c r="AB970" s="52" t="s">
        <v>861</v>
      </c>
      <c r="AC970" s="52" t="s">
        <v>4144</v>
      </c>
      <c r="AD970" s="52" t="s">
        <v>3704</v>
      </c>
      <c r="AE970" s="52"/>
      <c r="AF970" s="52" t="s">
        <v>3703</v>
      </c>
      <c r="AG970" s="52" t="s">
        <v>3704</v>
      </c>
      <c r="AH970" s="52"/>
      <c r="AI970" s="52"/>
      <c r="AJ970" s="52"/>
      <c r="AK970" s="52"/>
      <c r="AL970" s="55">
        <v>9.7222222222222224E-3</v>
      </c>
      <c r="AM970" s="52"/>
      <c r="AN970" s="52"/>
      <c r="AO970" s="52"/>
      <c r="AP970" s="52"/>
      <c r="AQ970" s="52"/>
      <c r="AR970" s="52"/>
      <c r="AS970" s="52">
        <v>0</v>
      </c>
      <c r="AT970" s="52"/>
      <c r="AU970" s="52"/>
      <c r="AV970" s="52" t="s">
        <v>308</v>
      </c>
      <c r="AW970" s="52"/>
    </row>
    <row r="971" spans="1:49">
      <c r="A971" s="52" t="s">
        <v>3590</v>
      </c>
      <c r="B971" s="52" t="s">
        <v>3699</v>
      </c>
      <c r="C971" s="52" t="s">
        <v>3698</v>
      </c>
      <c r="D971" s="53">
        <v>46162</v>
      </c>
      <c r="E971" s="53">
        <v>46156.53402777778</v>
      </c>
      <c r="F971" s="53">
        <v>46157.679166666669</v>
      </c>
      <c r="G971" s="53">
        <v>46157.758333333331</v>
      </c>
      <c r="H971" s="53">
        <v>46157.908333333333</v>
      </c>
      <c r="I971" s="52"/>
      <c r="J971" s="52" t="s">
        <v>3693</v>
      </c>
      <c r="K971" s="53">
        <v>46157.852083333331</v>
      </c>
      <c r="L971" s="52"/>
      <c r="M971" s="55">
        <v>7.9166666666666663E-2</v>
      </c>
      <c r="N971" s="55">
        <v>0.77708333333333335</v>
      </c>
      <c r="O971" s="52" t="s">
        <v>3591</v>
      </c>
      <c r="P971" s="52" t="s">
        <v>171</v>
      </c>
      <c r="Q971" s="52" t="s">
        <v>677</v>
      </c>
      <c r="R971" s="52" t="s">
        <v>961</v>
      </c>
      <c r="S971" s="52" t="s">
        <v>789</v>
      </c>
      <c r="T971" s="52" t="s">
        <v>4142</v>
      </c>
      <c r="U971" s="52" t="s">
        <v>4147</v>
      </c>
      <c r="V971" s="52" t="s">
        <v>684</v>
      </c>
      <c r="W971" s="52">
        <v>1112212507</v>
      </c>
      <c r="X971" s="52" t="s">
        <v>793</v>
      </c>
      <c r="Y971" s="52"/>
      <c r="Z971" s="52" t="s">
        <v>3696</v>
      </c>
      <c r="AA971" s="52" t="s">
        <v>3710</v>
      </c>
      <c r="AB971" s="52"/>
      <c r="AC971" s="52" t="s">
        <v>4144</v>
      </c>
      <c r="AD971" s="52" t="s">
        <v>3704</v>
      </c>
      <c r="AE971" s="52" t="s">
        <v>861</v>
      </c>
      <c r="AF971" s="52" t="s">
        <v>3703</v>
      </c>
      <c r="AG971" s="52" t="s">
        <v>3704</v>
      </c>
      <c r="AH971" s="52"/>
      <c r="AI971" s="53">
        <v>46157.647222222222</v>
      </c>
      <c r="AJ971" s="53">
        <v>46157.656944444447</v>
      </c>
      <c r="AK971" s="53">
        <v>46157.647222222222</v>
      </c>
      <c r="AL971" s="55">
        <v>6.5972222222222224E-2</v>
      </c>
      <c r="AM971" s="52"/>
      <c r="AN971" s="55">
        <v>9.7222222222222224E-3</v>
      </c>
      <c r="AO971" s="55">
        <v>5.6250000000000001E-2</v>
      </c>
      <c r="AP971" s="55">
        <v>6.5972222222222224E-2</v>
      </c>
      <c r="AQ971" s="52"/>
      <c r="AR971" s="52"/>
      <c r="AS971" s="52" t="s">
        <v>3696</v>
      </c>
      <c r="AT971" s="52"/>
      <c r="AU971" s="52"/>
      <c r="AV971" s="52"/>
      <c r="AW971" s="52"/>
    </row>
    <row r="972" spans="1:49">
      <c r="A972" s="52" t="s">
        <v>3590</v>
      </c>
      <c r="B972" s="52" t="s">
        <v>3699</v>
      </c>
      <c r="C972" s="52" t="s">
        <v>3698</v>
      </c>
      <c r="D972" s="53">
        <v>46162</v>
      </c>
      <c r="E972" s="53">
        <v>46156.53402777778</v>
      </c>
      <c r="F972" s="53">
        <v>46157.679166666669</v>
      </c>
      <c r="G972" s="53">
        <v>46157.758333333331</v>
      </c>
      <c r="H972" s="53">
        <v>46157.908333333333</v>
      </c>
      <c r="I972" s="52"/>
      <c r="J972" s="52" t="s">
        <v>3693</v>
      </c>
      <c r="K972" s="53">
        <v>46157.852083333331</v>
      </c>
      <c r="L972" s="52"/>
      <c r="M972" s="55">
        <v>7.9166666666666663E-2</v>
      </c>
      <c r="N972" s="55">
        <v>0.77708333333333335</v>
      </c>
      <c r="O972" s="52" t="s">
        <v>3591</v>
      </c>
      <c r="P972" s="52" t="s">
        <v>171</v>
      </c>
      <c r="Q972" s="52" t="s">
        <v>677</v>
      </c>
      <c r="R972" s="52" t="s">
        <v>961</v>
      </c>
      <c r="S972" s="52" t="s">
        <v>789</v>
      </c>
      <c r="T972" s="52" t="s">
        <v>4142</v>
      </c>
      <c r="U972" s="52" t="s">
        <v>4147</v>
      </c>
      <c r="V972" s="52" t="s">
        <v>684</v>
      </c>
      <c r="W972" s="52">
        <v>1112212507</v>
      </c>
      <c r="X972" s="52" t="s">
        <v>793</v>
      </c>
      <c r="Y972" s="52"/>
      <c r="Z972" s="52" t="s">
        <v>3696</v>
      </c>
      <c r="AA972" s="52" t="s">
        <v>3710</v>
      </c>
      <c r="AB972" s="52"/>
      <c r="AC972" s="52" t="s">
        <v>4144</v>
      </c>
      <c r="AD972" s="52" t="s">
        <v>3704</v>
      </c>
      <c r="AE972" s="52"/>
      <c r="AF972" s="52" t="s">
        <v>3703</v>
      </c>
      <c r="AG972" s="52" t="s">
        <v>3704</v>
      </c>
      <c r="AH972" s="52"/>
      <c r="AI972" s="53">
        <v>46157.647222222222</v>
      </c>
      <c r="AJ972" s="53">
        <v>46157.656944444447</v>
      </c>
      <c r="AK972" s="53">
        <v>46157.647222222222</v>
      </c>
      <c r="AL972" s="55">
        <v>6.5972222222222224E-2</v>
      </c>
      <c r="AM972" s="52"/>
      <c r="AN972" s="55">
        <v>9.7222222222222224E-3</v>
      </c>
      <c r="AO972" s="55">
        <v>5.6250000000000001E-2</v>
      </c>
      <c r="AP972" s="55">
        <v>6.5972222222222224E-2</v>
      </c>
      <c r="AQ972" s="52"/>
      <c r="AR972" s="52"/>
      <c r="AS972" s="52" t="s">
        <v>3696</v>
      </c>
      <c r="AT972" s="52"/>
      <c r="AU972" s="52"/>
      <c r="AV972" s="52"/>
      <c r="AW972" s="52" t="s">
        <v>308</v>
      </c>
    </row>
    <row r="973" spans="1:49">
      <c r="A973" s="52" t="s">
        <v>4148</v>
      </c>
      <c r="B973" s="52" t="s">
        <v>3691</v>
      </c>
      <c r="C973" s="52" t="s">
        <v>3692</v>
      </c>
      <c r="D973" s="53">
        <v>46161</v>
      </c>
      <c r="E973" s="53">
        <v>46156.53402777778</v>
      </c>
      <c r="F973" s="52"/>
      <c r="G973" s="52"/>
      <c r="H973" s="52"/>
      <c r="I973" s="52" t="s">
        <v>3693</v>
      </c>
      <c r="J973" s="52" t="s">
        <v>3694</v>
      </c>
      <c r="K973" s="52"/>
      <c r="L973" s="52"/>
      <c r="M973" s="54">
        <v>8</v>
      </c>
      <c r="N973" s="54">
        <v>2.5437500000000002</v>
      </c>
      <c r="O973" s="52"/>
      <c r="P973" s="52"/>
      <c r="Q973" s="52"/>
      <c r="R973" s="52"/>
      <c r="S973" s="52"/>
      <c r="T973" s="52" t="s">
        <v>3695</v>
      </c>
      <c r="U973" s="52" t="s">
        <v>3695</v>
      </c>
      <c r="V973" s="52"/>
      <c r="W973" s="52"/>
      <c r="X973" s="52"/>
      <c r="Y973" s="52"/>
      <c r="Z973" s="52" t="s">
        <v>3696</v>
      </c>
      <c r="AA973" s="52" t="s">
        <v>171</v>
      </c>
      <c r="AB973" s="52" t="s">
        <v>861</v>
      </c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>
        <v>0</v>
      </c>
      <c r="AT973" s="52"/>
      <c r="AU973" s="52"/>
      <c r="AV973" s="52" t="s">
        <v>308</v>
      </c>
      <c r="AW973" s="52"/>
    </row>
    <row r="974" spans="1:49">
      <c r="A974" s="52" t="s">
        <v>4148</v>
      </c>
      <c r="B974" s="52" t="s">
        <v>3691</v>
      </c>
      <c r="C974" s="52" t="s">
        <v>3698</v>
      </c>
      <c r="D974" s="53">
        <v>46161</v>
      </c>
      <c r="E974" s="53">
        <v>46156.53402777778</v>
      </c>
      <c r="F974" s="52"/>
      <c r="G974" s="52"/>
      <c r="H974" s="52"/>
      <c r="I974" s="52"/>
      <c r="J974" s="52" t="s">
        <v>3694</v>
      </c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 t="s">
        <v>3696</v>
      </c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>
        <v>0</v>
      </c>
      <c r="AT974" s="52"/>
      <c r="AU974" s="52"/>
      <c r="AV974" s="52"/>
      <c r="AW974" s="52"/>
    </row>
    <row r="975" spans="1:49">
      <c r="A975" s="52" t="s">
        <v>4149</v>
      </c>
      <c r="B975" s="52" t="s">
        <v>3691</v>
      </c>
      <c r="C975" s="52" t="s">
        <v>3692</v>
      </c>
      <c r="D975" s="53">
        <v>46161</v>
      </c>
      <c r="E975" s="53">
        <v>46156.53402777778</v>
      </c>
      <c r="F975" s="52"/>
      <c r="G975" s="52"/>
      <c r="H975" s="52"/>
      <c r="I975" s="52" t="s">
        <v>3693</v>
      </c>
      <c r="J975" s="52" t="s">
        <v>3694</v>
      </c>
      <c r="K975" s="52"/>
      <c r="L975" s="52"/>
      <c r="M975" s="54">
        <v>8</v>
      </c>
      <c r="N975" s="54">
        <v>2.5437500000000002</v>
      </c>
      <c r="O975" s="52"/>
      <c r="P975" s="52"/>
      <c r="Q975" s="52"/>
      <c r="R975" s="52"/>
      <c r="S975" s="52"/>
      <c r="T975" s="52" t="s">
        <v>3695</v>
      </c>
      <c r="U975" s="52" t="s">
        <v>3695</v>
      </c>
      <c r="V975" s="52"/>
      <c r="W975" s="52"/>
      <c r="X975" s="52"/>
      <c r="Y975" s="52"/>
      <c r="Z975" s="52" t="s">
        <v>3696</v>
      </c>
      <c r="AA975" s="52" t="s">
        <v>171</v>
      </c>
      <c r="AB975" s="52" t="s">
        <v>861</v>
      </c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>
        <v>0</v>
      </c>
      <c r="AT975" s="52"/>
      <c r="AU975" s="52"/>
      <c r="AV975" s="52" t="s">
        <v>308</v>
      </c>
      <c r="AW975" s="52"/>
    </row>
    <row r="976" spans="1:49">
      <c r="A976" s="52" t="s">
        <v>4149</v>
      </c>
      <c r="B976" s="52" t="s">
        <v>3691</v>
      </c>
      <c r="C976" s="52" t="s">
        <v>3698</v>
      </c>
      <c r="D976" s="53">
        <v>46161</v>
      </c>
      <c r="E976" s="53">
        <v>46156.53402777778</v>
      </c>
      <c r="F976" s="52"/>
      <c r="G976" s="52"/>
      <c r="H976" s="52"/>
      <c r="I976" s="52"/>
      <c r="J976" s="52" t="s">
        <v>3694</v>
      </c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 t="s">
        <v>3696</v>
      </c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>
        <v>0</v>
      </c>
      <c r="AT976" s="52"/>
      <c r="AU976" s="52"/>
      <c r="AV976" s="52"/>
      <c r="AW976" s="52"/>
    </row>
    <row r="977" spans="1:49">
      <c r="A977" s="52" t="s">
        <v>3021</v>
      </c>
      <c r="B977" s="52" t="s">
        <v>3723</v>
      </c>
      <c r="C977" s="52" t="s">
        <v>3692</v>
      </c>
      <c r="D977" s="53">
        <v>46153</v>
      </c>
      <c r="E977" s="53">
        <v>46153.378472222219</v>
      </c>
      <c r="F977" s="53">
        <v>46154.539583333331</v>
      </c>
      <c r="G977" s="53">
        <v>46159</v>
      </c>
      <c r="H977" s="53">
        <v>46154.859027777777</v>
      </c>
      <c r="I977" s="52" t="s">
        <v>3693</v>
      </c>
      <c r="J977" s="52" t="s">
        <v>3693</v>
      </c>
      <c r="K977" s="53">
        <v>46154.859027777777</v>
      </c>
      <c r="L977" s="52" t="s">
        <v>3735</v>
      </c>
      <c r="M977" s="54">
        <v>6</v>
      </c>
      <c r="N977" s="54">
        <v>5.4562499999999998</v>
      </c>
      <c r="O977" s="52"/>
      <c r="P977" s="52"/>
      <c r="Q977" s="52"/>
      <c r="R977" s="52"/>
      <c r="S977" s="52"/>
      <c r="T977" s="52" t="s">
        <v>4150</v>
      </c>
      <c r="U977" s="52" t="s">
        <v>3837</v>
      </c>
      <c r="V977" s="52"/>
      <c r="W977" s="52"/>
      <c r="X977" s="52"/>
      <c r="Y977" s="52"/>
      <c r="Z977" s="52" t="s">
        <v>3696</v>
      </c>
      <c r="AA977" s="52" t="s">
        <v>171</v>
      </c>
      <c r="AB977" s="52" t="s">
        <v>967</v>
      </c>
      <c r="AC977" s="52" t="s">
        <v>4151</v>
      </c>
      <c r="AD977" s="52" t="s">
        <v>3704</v>
      </c>
      <c r="AE977" s="52"/>
      <c r="AF977" s="52" t="s">
        <v>3703</v>
      </c>
      <c r="AG977" s="52" t="s">
        <v>3704</v>
      </c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>
        <v>0</v>
      </c>
      <c r="AT977" s="52"/>
      <c r="AU977" s="52"/>
      <c r="AV977" s="52" t="s">
        <v>308</v>
      </c>
      <c r="AW977" s="52"/>
    </row>
    <row r="978" spans="1:49">
      <c r="A978" s="52" t="s">
        <v>3021</v>
      </c>
      <c r="B978" s="52" t="s">
        <v>3723</v>
      </c>
      <c r="C978" s="52" t="s">
        <v>3698</v>
      </c>
      <c r="D978" s="53">
        <v>46153</v>
      </c>
      <c r="E978" s="53">
        <v>46153.378472222219</v>
      </c>
      <c r="F978" s="53">
        <v>46154.719444444447</v>
      </c>
      <c r="G978" s="53">
        <v>46159</v>
      </c>
      <c r="H978" s="53">
        <v>46154.881944444445</v>
      </c>
      <c r="I978" s="52"/>
      <c r="J978" s="52" t="s">
        <v>3693</v>
      </c>
      <c r="K978" s="53">
        <v>46154.859027777777</v>
      </c>
      <c r="L978" s="52"/>
      <c r="M978" s="54">
        <v>4.2805555555555559</v>
      </c>
      <c r="N978" s="54">
        <v>3.7368055555555557</v>
      </c>
      <c r="O978" s="52" t="s">
        <v>3022</v>
      </c>
      <c r="P978" s="52" t="s">
        <v>171</v>
      </c>
      <c r="Q978" s="52" t="s">
        <v>599</v>
      </c>
      <c r="R978" s="52" t="s">
        <v>969</v>
      </c>
      <c r="S978" s="52" t="s">
        <v>789</v>
      </c>
      <c r="T978" s="52" t="s">
        <v>4150</v>
      </c>
      <c r="U978" s="52" t="s">
        <v>3837</v>
      </c>
      <c r="V978" s="52" t="s">
        <v>4134</v>
      </c>
      <c r="W978" s="52">
        <v>60018160182</v>
      </c>
      <c r="X978" s="52" t="s">
        <v>793</v>
      </c>
      <c r="Y978" s="52"/>
      <c r="Z978" s="52" t="s">
        <v>3696</v>
      </c>
      <c r="AA978" s="52" t="s">
        <v>3710</v>
      </c>
      <c r="AB978" s="52"/>
      <c r="AC978" s="52" t="s">
        <v>4151</v>
      </c>
      <c r="AD978" s="52" t="s">
        <v>3704</v>
      </c>
      <c r="AE978" s="52" t="s">
        <v>967</v>
      </c>
      <c r="AF978" s="52" t="s">
        <v>3703</v>
      </c>
      <c r="AG978" s="52" t="s">
        <v>3704</v>
      </c>
      <c r="AH978" s="52"/>
      <c r="AI978" s="52"/>
      <c r="AJ978" s="52"/>
      <c r="AK978" s="52"/>
      <c r="AL978" s="55">
        <v>2.2916666666666665E-2</v>
      </c>
      <c r="AM978" s="52"/>
      <c r="AN978" s="52"/>
      <c r="AO978" s="55">
        <v>2.2916666666666665E-2</v>
      </c>
      <c r="AP978" s="55">
        <v>2.2916666666666665E-2</v>
      </c>
      <c r="AQ978" s="52"/>
      <c r="AR978" s="52"/>
      <c r="AS978" s="52" t="s">
        <v>3696</v>
      </c>
      <c r="AT978" s="52"/>
      <c r="AU978" s="52"/>
      <c r="AV978" s="52"/>
      <c r="AW978" s="52"/>
    </row>
    <row r="979" spans="1:49">
      <c r="A979" s="52" t="s">
        <v>3021</v>
      </c>
      <c r="B979" s="52" t="s">
        <v>3723</v>
      </c>
      <c r="C979" s="52" t="s">
        <v>3698</v>
      </c>
      <c r="D979" s="53">
        <v>46153</v>
      </c>
      <c r="E979" s="53">
        <v>46153.378472222219</v>
      </c>
      <c r="F979" s="53">
        <v>46154.719444444447</v>
      </c>
      <c r="G979" s="53">
        <v>46159</v>
      </c>
      <c r="H979" s="53">
        <v>46154.881944444445</v>
      </c>
      <c r="I979" s="52"/>
      <c r="J979" s="52" t="s">
        <v>3693</v>
      </c>
      <c r="K979" s="53">
        <v>46154.859027777777</v>
      </c>
      <c r="L979" s="52"/>
      <c r="M979" s="54">
        <v>4.2805555555555559</v>
      </c>
      <c r="N979" s="54">
        <v>3.7368055555555557</v>
      </c>
      <c r="O979" s="52" t="s">
        <v>3022</v>
      </c>
      <c r="P979" s="52" t="s">
        <v>171</v>
      </c>
      <c r="Q979" s="52" t="s">
        <v>599</v>
      </c>
      <c r="R979" s="52" t="s">
        <v>969</v>
      </c>
      <c r="S979" s="52" t="s">
        <v>789</v>
      </c>
      <c r="T979" s="52" t="s">
        <v>4150</v>
      </c>
      <c r="U979" s="52" t="s">
        <v>3837</v>
      </c>
      <c r="V979" s="52" t="s">
        <v>4134</v>
      </c>
      <c r="W979" s="52">
        <v>60018160182</v>
      </c>
      <c r="X979" s="52" t="s">
        <v>793</v>
      </c>
      <c r="Y979" s="52"/>
      <c r="Z979" s="52" t="s">
        <v>3696</v>
      </c>
      <c r="AA979" s="52" t="s">
        <v>3710</v>
      </c>
      <c r="AB979" s="52"/>
      <c r="AC979" s="52" t="s">
        <v>4151</v>
      </c>
      <c r="AD979" s="52" t="s">
        <v>3704</v>
      </c>
      <c r="AE979" s="52"/>
      <c r="AF979" s="52" t="s">
        <v>3703</v>
      </c>
      <c r="AG979" s="52" t="s">
        <v>3704</v>
      </c>
      <c r="AH979" s="52"/>
      <c r="AI979" s="52"/>
      <c r="AJ979" s="52"/>
      <c r="AK979" s="52"/>
      <c r="AL979" s="55">
        <v>2.2916666666666665E-2</v>
      </c>
      <c r="AM979" s="52"/>
      <c r="AN979" s="52"/>
      <c r="AO979" s="55">
        <v>2.2916666666666665E-2</v>
      </c>
      <c r="AP979" s="55">
        <v>2.2916666666666665E-2</v>
      </c>
      <c r="AQ979" s="52"/>
      <c r="AR979" s="52"/>
      <c r="AS979" s="52" t="s">
        <v>3696</v>
      </c>
      <c r="AT979" s="52"/>
      <c r="AU979" s="52"/>
      <c r="AV979" s="52"/>
      <c r="AW979" s="52" t="s">
        <v>308</v>
      </c>
    </row>
    <row r="980" spans="1:49">
      <c r="A980" s="52" t="s">
        <v>4152</v>
      </c>
      <c r="B980" s="52" t="s">
        <v>3691</v>
      </c>
      <c r="C980" s="52" t="s">
        <v>3692</v>
      </c>
      <c r="D980" s="53">
        <v>46157</v>
      </c>
      <c r="E980" s="53">
        <v>46156.53402777778</v>
      </c>
      <c r="F980" s="52"/>
      <c r="G980" s="52"/>
      <c r="H980" s="52"/>
      <c r="I980" s="52" t="s">
        <v>3693</v>
      </c>
      <c r="J980" s="52" t="s">
        <v>3694</v>
      </c>
      <c r="K980" s="52"/>
      <c r="L980" s="52"/>
      <c r="M980" s="54">
        <v>12</v>
      </c>
      <c r="N980" s="54">
        <v>1.45625</v>
      </c>
      <c r="O980" s="52"/>
      <c r="P980" s="52"/>
      <c r="Q980" s="52"/>
      <c r="R980" s="52"/>
      <c r="S980" s="52"/>
      <c r="T980" s="52" t="s">
        <v>3695</v>
      </c>
      <c r="U980" s="52" t="s">
        <v>3695</v>
      </c>
      <c r="V980" s="52"/>
      <c r="W980" s="52"/>
      <c r="X980" s="52"/>
      <c r="Y980" s="52"/>
      <c r="Z980" s="52" t="s">
        <v>3696</v>
      </c>
      <c r="AA980" s="52" t="s">
        <v>171</v>
      </c>
      <c r="AB980" s="52" t="s">
        <v>861</v>
      </c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>
        <v>0</v>
      </c>
      <c r="AT980" s="52"/>
      <c r="AU980" s="52"/>
      <c r="AV980" s="52" t="s">
        <v>308</v>
      </c>
      <c r="AW980" s="52"/>
    </row>
    <row r="981" spans="1:49">
      <c r="A981" s="52" t="s">
        <v>4152</v>
      </c>
      <c r="B981" s="52" t="s">
        <v>3691</v>
      </c>
      <c r="C981" s="52" t="s">
        <v>3698</v>
      </c>
      <c r="D981" s="53">
        <v>46157</v>
      </c>
      <c r="E981" s="53">
        <v>46156.53402777778</v>
      </c>
      <c r="F981" s="52"/>
      <c r="G981" s="52"/>
      <c r="H981" s="52"/>
      <c r="I981" s="52"/>
      <c r="J981" s="52" t="s">
        <v>3694</v>
      </c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 t="s">
        <v>3696</v>
      </c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>
        <v>0</v>
      </c>
      <c r="AT981" s="52"/>
      <c r="AU981" s="52"/>
      <c r="AV981" s="52"/>
      <c r="AW981" s="52"/>
    </row>
    <row r="982" spans="1:49">
      <c r="A982" s="52" t="s">
        <v>4153</v>
      </c>
      <c r="B982" s="52" t="s">
        <v>3723</v>
      </c>
      <c r="C982" s="52" t="s">
        <v>3692</v>
      </c>
      <c r="D982" s="53">
        <v>46153</v>
      </c>
      <c r="E982" s="53">
        <v>46153.378472222219</v>
      </c>
      <c r="F982" s="53">
        <v>46154.543055555558</v>
      </c>
      <c r="G982" s="53">
        <v>46159</v>
      </c>
      <c r="H982" s="53">
        <v>46154.739583333336</v>
      </c>
      <c r="I982" s="52" t="s">
        <v>3693</v>
      </c>
      <c r="J982" s="52" t="s">
        <v>3693</v>
      </c>
      <c r="K982" s="53">
        <v>46154.739583333336</v>
      </c>
      <c r="L982" s="52" t="s">
        <v>3735</v>
      </c>
      <c r="M982" s="54">
        <v>6</v>
      </c>
      <c r="N982" s="54">
        <v>5.4562499999999998</v>
      </c>
      <c r="O982" s="52"/>
      <c r="P982" s="52"/>
      <c r="Q982" s="52"/>
      <c r="R982" s="52"/>
      <c r="S982" s="52"/>
      <c r="T982" s="52" t="s">
        <v>4150</v>
      </c>
      <c r="U982" s="52" t="s">
        <v>4154</v>
      </c>
      <c r="V982" s="52"/>
      <c r="W982" s="52"/>
      <c r="X982" s="52"/>
      <c r="Y982" s="52"/>
      <c r="Z982" s="52" t="s">
        <v>3696</v>
      </c>
      <c r="AA982" s="52" t="s">
        <v>171</v>
      </c>
      <c r="AB982" s="52" t="s">
        <v>967</v>
      </c>
      <c r="AC982" s="52" t="s">
        <v>4151</v>
      </c>
      <c r="AD982" s="52" t="s">
        <v>3704</v>
      </c>
      <c r="AE982" s="52"/>
      <c r="AF982" s="52" t="s">
        <v>3703</v>
      </c>
      <c r="AG982" s="52" t="s">
        <v>3704</v>
      </c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>
        <v>0</v>
      </c>
      <c r="AT982" s="52"/>
      <c r="AU982" s="52"/>
      <c r="AV982" s="52" t="s">
        <v>308</v>
      </c>
      <c r="AW982" s="52"/>
    </row>
    <row r="983" spans="1:49">
      <c r="A983" s="52" t="s">
        <v>4153</v>
      </c>
      <c r="B983" s="52" t="s">
        <v>3723</v>
      </c>
      <c r="C983" s="52" t="s">
        <v>3698</v>
      </c>
      <c r="D983" s="53">
        <v>46153</v>
      </c>
      <c r="E983" s="53">
        <v>46153.378472222219</v>
      </c>
      <c r="F983" s="53">
        <v>46154.620138888888</v>
      </c>
      <c r="G983" s="53">
        <v>46159</v>
      </c>
      <c r="H983" s="53">
        <v>46154.767361111109</v>
      </c>
      <c r="I983" s="52"/>
      <c r="J983" s="52" t="s">
        <v>3693</v>
      </c>
      <c r="K983" s="53">
        <v>46154.739583333336</v>
      </c>
      <c r="L983" s="52"/>
      <c r="M983" s="54">
        <v>4.3798611111111114</v>
      </c>
      <c r="N983" s="54">
        <v>3.8361111111111112</v>
      </c>
      <c r="O983" s="52" t="s">
        <v>3026</v>
      </c>
      <c r="P983" s="52" t="s">
        <v>171</v>
      </c>
      <c r="Q983" s="52" t="s">
        <v>2528</v>
      </c>
      <c r="R983" s="52" t="s">
        <v>2530</v>
      </c>
      <c r="S983" s="52" t="s">
        <v>789</v>
      </c>
      <c r="T983" s="52" t="s">
        <v>4150</v>
      </c>
      <c r="U983" s="52" t="s">
        <v>4154</v>
      </c>
      <c r="V983" s="52" t="s">
        <v>2531</v>
      </c>
      <c r="W983" s="52">
        <v>1757396683</v>
      </c>
      <c r="X983" s="52" t="s">
        <v>793</v>
      </c>
      <c r="Y983" s="52"/>
      <c r="Z983" s="52" t="s">
        <v>3696</v>
      </c>
      <c r="AA983" s="52" t="s">
        <v>3710</v>
      </c>
      <c r="AB983" s="52"/>
      <c r="AC983" s="52" t="s">
        <v>4151</v>
      </c>
      <c r="AD983" s="52" t="s">
        <v>3704</v>
      </c>
      <c r="AE983" s="52" t="s">
        <v>967</v>
      </c>
      <c r="AF983" s="52" t="s">
        <v>3703</v>
      </c>
      <c r="AG983" s="52" t="s">
        <v>3704</v>
      </c>
      <c r="AH983" s="52"/>
      <c r="AI983" s="52"/>
      <c r="AJ983" s="52"/>
      <c r="AK983" s="52"/>
      <c r="AL983" s="55">
        <v>2.7777777777777776E-2</v>
      </c>
      <c r="AM983" s="52"/>
      <c r="AN983" s="52"/>
      <c r="AO983" s="55">
        <v>2.7777777777777776E-2</v>
      </c>
      <c r="AP983" s="55">
        <v>2.7777777777777776E-2</v>
      </c>
      <c r="AQ983" s="52"/>
      <c r="AR983" s="52"/>
      <c r="AS983" s="52" t="s">
        <v>3696</v>
      </c>
      <c r="AT983" s="52"/>
      <c r="AU983" s="52"/>
      <c r="AV983" s="52"/>
      <c r="AW983" s="52"/>
    </row>
    <row r="984" spans="1:49">
      <c r="A984" s="52" t="s">
        <v>4153</v>
      </c>
      <c r="B984" s="52" t="s">
        <v>3723</v>
      </c>
      <c r="C984" s="52" t="s">
        <v>3698</v>
      </c>
      <c r="D984" s="53">
        <v>46153</v>
      </c>
      <c r="E984" s="53">
        <v>46153.378472222219</v>
      </c>
      <c r="F984" s="53">
        <v>46154.620138888888</v>
      </c>
      <c r="G984" s="53">
        <v>46159</v>
      </c>
      <c r="H984" s="53">
        <v>46154.767361111109</v>
      </c>
      <c r="I984" s="52"/>
      <c r="J984" s="52" t="s">
        <v>3693</v>
      </c>
      <c r="K984" s="53">
        <v>46154.739583333336</v>
      </c>
      <c r="L984" s="52"/>
      <c r="M984" s="54">
        <v>4.3798611111111114</v>
      </c>
      <c r="N984" s="54">
        <v>3.8361111111111112</v>
      </c>
      <c r="O984" s="52" t="s">
        <v>3026</v>
      </c>
      <c r="P984" s="52" t="s">
        <v>171</v>
      </c>
      <c r="Q984" s="52" t="s">
        <v>2528</v>
      </c>
      <c r="R984" s="52" t="s">
        <v>2530</v>
      </c>
      <c r="S984" s="52" t="s">
        <v>789</v>
      </c>
      <c r="T984" s="52" t="s">
        <v>4150</v>
      </c>
      <c r="U984" s="52" t="s">
        <v>4154</v>
      </c>
      <c r="V984" s="52" t="s">
        <v>2531</v>
      </c>
      <c r="W984" s="52">
        <v>1757396683</v>
      </c>
      <c r="X984" s="52" t="s">
        <v>793</v>
      </c>
      <c r="Y984" s="52"/>
      <c r="Z984" s="52" t="s">
        <v>3696</v>
      </c>
      <c r="AA984" s="52" t="s">
        <v>3710</v>
      </c>
      <c r="AB984" s="52"/>
      <c r="AC984" s="52" t="s">
        <v>4151</v>
      </c>
      <c r="AD984" s="52" t="s">
        <v>3704</v>
      </c>
      <c r="AE984" s="52"/>
      <c r="AF984" s="52" t="s">
        <v>3703</v>
      </c>
      <c r="AG984" s="52" t="s">
        <v>3704</v>
      </c>
      <c r="AH984" s="52"/>
      <c r="AI984" s="52"/>
      <c r="AJ984" s="52"/>
      <c r="AK984" s="52"/>
      <c r="AL984" s="55">
        <v>2.7777777777777776E-2</v>
      </c>
      <c r="AM984" s="52"/>
      <c r="AN984" s="52"/>
      <c r="AO984" s="55">
        <v>2.7777777777777776E-2</v>
      </c>
      <c r="AP984" s="55">
        <v>2.7777777777777776E-2</v>
      </c>
      <c r="AQ984" s="52"/>
      <c r="AR984" s="52"/>
      <c r="AS984" s="52" t="s">
        <v>3696</v>
      </c>
      <c r="AT984" s="52"/>
      <c r="AU984" s="52"/>
      <c r="AV984" s="52"/>
      <c r="AW984" s="52" t="s">
        <v>308</v>
      </c>
    </row>
    <row r="985" spans="1:49">
      <c r="A985" s="52" t="s">
        <v>4155</v>
      </c>
      <c r="B985" s="52" t="s">
        <v>3691</v>
      </c>
      <c r="C985" s="52" t="s">
        <v>3692</v>
      </c>
      <c r="D985" s="53">
        <v>46153</v>
      </c>
      <c r="E985" s="53">
        <v>46153.378472222219</v>
      </c>
      <c r="F985" s="52"/>
      <c r="G985" s="52"/>
      <c r="H985" s="52"/>
      <c r="I985" s="52" t="s">
        <v>3693</v>
      </c>
      <c r="J985" s="52" t="s">
        <v>3694</v>
      </c>
      <c r="K985" s="52"/>
      <c r="L985" s="52"/>
      <c r="M985" s="54">
        <v>6</v>
      </c>
      <c r="N985" s="54">
        <v>5.4562499999999998</v>
      </c>
      <c r="O985" s="52"/>
      <c r="P985" s="52"/>
      <c r="Q985" s="52"/>
      <c r="R985" s="52"/>
      <c r="S985" s="52"/>
      <c r="T985" s="52" t="s">
        <v>3695</v>
      </c>
      <c r="U985" s="52" t="s">
        <v>3695</v>
      </c>
      <c r="V985" s="52"/>
      <c r="W985" s="52"/>
      <c r="X985" s="52"/>
      <c r="Y985" s="52"/>
      <c r="Z985" s="52" t="s">
        <v>3696</v>
      </c>
      <c r="AA985" s="52" t="s">
        <v>171</v>
      </c>
      <c r="AB985" s="52" t="s">
        <v>967</v>
      </c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>
        <v>0</v>
      </c>
      <c r="AT985" s="52"/>
      <c r="AU985" s="52"/>
      <c r="AV985" s="52" t="s">
        <v>308</v>
      </c>
      <c r="AW985" s="52"/>
    </row>
    <row r="986" spans="1:49">
      <c r="A986" s="52" t="s">
        <v>4155</v>
      </c>
      <c r="B986" s="52" t="s">
        <v>3691</v>
      </c>
      <c r="C986" s="52" t="s">
        <v>3698</v>
      </c>
      <c r="D986" s="53">
        <v>46153</v>
      </c>
      <c r="E986" s="53">
        <v>46153.378472222219</v>
      </c>
      <c r="F986" s="52"/>
      <c r="G986" s="52"/>
      <c r="H986" s="52"/>
      <c r="I986" s="52"/>
      <c r="J986" s="52" t="s">
        <v>3694</v>
      </c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 t="s">
        <v>3696</v>
      </c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>
        <v>0</v>
      </c>
      <c r="AT986" s="52"/>
      <c r="AU986" s="52"/>
      <c r="AV986" s="52"/>
      <c r="AW986" s="52"/>
    </row>
    <row r="987" spans="1:49">
      <c r="A987" s="52" t="s">
        <v>4156</v>
      </c>
      <c r="B987" s="52" t="s">
        <v>3691</v>
      </c>
      <c r="C987" s="52" t="s">
        <v>3692</v>
      </c>
      <c r="D987" s="53">
        <v>46161</v>
      </c>
      <c r="E987" s="53">
        <v>46156.53402777778</v>
      </c>
      <c r="F987" s="52"/>
      <c r="G987" s="52"/>
      <c r="H987" s="52"/>
      <c r="I987" s="52" t="s">
        <v>3693</v>
      </c>
      <c r="J987" s="52" t="s">
        <v>3694</v>
      </c>
      <c r="K987" s="52"/>
      <c r="L987" s="52"/>
      <c r="M987" s="54">
        <v>8</v>
      </c>
      <c r="N987" s="54">
        <v>2.5437500000000002</v>
      </c>
      <c r="O987" s="52"/>
      <c r="P987" s="52"/>
      <c r="Q987" s="52"/>
      <c r="R987" s="52"/>
      <c r="S987" s="52"/>
      <c r="T987" s="52" t="s">
        <v>3695</v>
      </c>
      <c r="U987" s="52" t="s">
        <v>3695</v>
      </c>
      <c r="V987" s="52"/>
      <c r="W987" s="52"/>
      <c r="X987" s="52"/>
      <c r="Y987" s="52"/>
      <c r="Z987" s="52" t="s">
        <v>3696</v>
      </c>
      <c r="AA987" s="52" t="s">
        <v>171</v>
      </c>
      <c r="AB987" s="52" t="s">
        <v>798</v>
      </c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>
        <v>0</v>
      </c>
      <c r="AT987" s="52"/>
      <c r="AU987" s="52"/>
      <c r="AV987" s="52" t="s">
        <v>308</v>
      </c>
      <c r="AW987" s="52"/>
    </row>
    <row r="988" spans="1:49">
      <c r="A988" s="52" t="s">
        <v>4156</v>
      </c>
      <c r="B988" s="52" t="s">
        <v>3691</v>
      </c>
      <c r="C988" s="52" t="s">
        <v>3698</v>
      </c>
      <c r="D988" s="53">
        <v>46161</v>
      </c>
      <c r="E988" s="53">
        <v>46156.53402777778</v>
      </c>
      <c r="F988" s="52"/>
      <c r="G988" s="52"/>
      <c r="H988" s="52"/>
      <c r="I988" s="52"/>
      <c r="J988" s="52" t="s">
        <v>3694</v>
      </c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 t="s">
        <v>3696</v>
      </c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>
        <v>0</v>
      </c>
      <c r="AT988" s="52"/>
      <c r="AU988" s="52"/>
      <c r="AV988" s="52"/>
      <c r="AW988" s="52"/>
    </row>
    <row r="989" spans="1:49">
      <c r="A989" s="52" t="s">
        <v>4157</v>
      </c>
      <c r="B989" s="52" t="s">
        <v>3691</v>
      </c>
      <c r="C989" s="52" t="s">
        <v>3692</v>
      </c>
      <c r="D989" s="53">
        <v>46161</v>
      </c>
      <c r="E989" s="53">
        <v>46156.53402777778</v>
      </c>
      <c r="F989" s="52"/>
      <c r="G989" s="52"/>
      <c r="H989" s="52"/>
      <c r="I989" s="52" t="s">
        <v>3693</v>
      </c>
      <c r="J989" s="52" t="s">
        <v>3694</v>
      </c>
      <c r="K989" s="52"/>
      <c r="L989" s="52"/>
      <c r="M989" s="54">
        <v>8</v>
      </c>
      <c r="N989" s="54">
        <v>2.5437500000000002</v>
      </c>
      <c r="O989" s="52"/>
      <c r="P989" s="52"/>
      <c r="Q989" s="52"/>
      <c r="R989" s="52"/>
      <c r="S989" s="52"/>
      <c r="T989" s="52" t="s">
        <v>3695</v>
      </c>
      <c r="U989" s="52" t="s">
        <v>3695</v>
      </c>
      <c r="V989" s="52"/>
      <c r="W989" s="52"/>
      <c r="X989" s="52"/>
      <c r="Y989" s="52"/>
      <c r="Z989" s="52" t="s">
        <v>3696</v>
      </c>
      <c r="AA989" s="52" t="s">
        <v>171</v>
      </c>
      <c r="AB989" s="52" t="s">
        <v>798</v>
      </c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>
        <v>0</v>
      </c>
      <c r="AT989" s="52"/>
      <c r="AU989" s="52"/>
      <c r="AV989" s="52" t="s">
        <v>308</v>
      </c>
      <c r="AW989" s="52"/>
    </row>
    <row r="990" spans="1:49">
      <c r="A990" s="52" t="s">
        <v>4157</v>
      </c>
      <c r="B990" s="52" t="s">
        <v>3691</v>
      </c>
      <c r="C990" s="52" t="s">
        <v>3698</v>
      </c>
      <c r="D990" s="53">
        <v>46161</v>
      </c>
      <c r="E990" s="53">
        <v>46156.53402777778</v>
      </c>
      <c r="F990" s="52"/>
      <c r="G990" s="52"/>
      <c r="H990" s="52"/>
      <c r="I990" s="52"/>
      <c r="J990" s="52" t="s">
        <v>3694</v>
      </c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 t="s">
        <v>3696</v>
      </c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>
        <v>0</v>
      </c>
      <c r="AT990" s="52"/>
      <c r="AU990" s="52"/>
      <c r="AV990" s="52"/>
      <c r="AW990" s="52"/>
    </row>
    <row r="991" spans="1:49">
      <c r="A991" s="52" t="s">
        <v>4158</v>
      </c>
      <c r="B991" s="52" t="s">
        <v>3691</v>
      </c>
      <c r="C991" s="52" t="s">
        <v>3692</v>
      </c>
      <c r="D991" s="53">
        <v>46160</v>
      </c>
      <c r="E991" s="53">
        <v>46156.53402777778</v>
      </c>
      <c r="F991" s="52"/>
      <c r="G991" s="52"/>
      <c r="H991" s="52"/>
      <c r="I991" s="52" t="s">
        <v>3693</v>
      </c>
      <c r="J991" s="52" t="s">
        <v>3694</v>
      </c>
      <c r="K991" s="52"/>
      <c r="L991" s="52"/>
      <c r="M991" s="54">
        <v>9</v>
      </c>
      <c r="N991" s="54">
        <v>1.54375</v>
      </c>
      <c r="O991" s="52"/>
      <c r="P991" s="52"/>
      <c r="Q991" s="52"/>
      <c r="R991" s="52"/>
      <c r="S991" s="52"/>
      <c r="T991" s="52" t="s">
        <v>3695</v>
      </c>
      <c r="U991" s="52" t="s">
        <v>3695</v>
      </c>
      <c r="V991" s="52"/>
      <c r="W991" s="52"/>
      <c r="X991" s="52"/>
      <c r="Y991" s="52"/>
      <c r="Z991" s="52" t="s">
        <v>3696</v>
      </c>
      <c r="AA991" s="52" t="s">
        <v>171</v>
      </c>
      <c r="AB991" s="52" t="s">
        <v>861</v>
      </c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>
        <v>0</v>
      </c>
      <c r="AT991" s="52"/>
      <c r="AU991" s="52"/>
      <c r="AV991" s="52" t="s">
        <v>308</v>
      </c>
      <c r="AW991" s="52"/>
    </row>
    <row r="992" spans="1:49">
      <c r="A992" s="52" t="s">
        <v>4158</v>
      </c>
      <c r="B992" s="52" t="s">
        <v>3691</v>
      </c>
      <c r="C992" s="52" t="s">
        <v>3698</v>
      </c>
      <c r="D992" s="53">
        <v>46160</v>
      </c>
      <c r="E992" s="53">
        <v>46156.53402777778</v>
      </c>
      <c r="F992" s="52"/>
      <c r="G992" s="52"/>
      <c r="H992" s="52"/>
      <c r="I992" s="52"/>
      <c r="J992" s="52" t="s">
        <v>3694</v>
      </c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 t="s">
        <v>3696</v>
      </c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>
        <v>0</v>
      </c>
      <c r="AT992" s="52"/>
      <c r="AU992" s="52"/>
      <c r="AV992" s="52"/>
      <c r="AW992" s="52"/>
    </row>
    <row r="993" spans="1:49">
      <c r="A993" s="52" t="s">
        <v>4159</v>
      </c>
      <c r="B993" s="52" t="s">
        <v>3691</v>
      </c>
      <c r="C993" s="52" t="s">
        <v>3692</v>
      </c>
      <c r="D993" s="53">
        <v>46160</v>
      </c>
      <c r="E993" s="53">
        <v>46156.53402777778</v>
      </c>
      <c r="F993" s="52"/>
      <c r="G993" s="52"/>
      <c r="H993" s="52"/>
      <c r="I993" s="52" t="s">
        <v>3693</v>
      </c>
      <c r="J993" s="52" t="s">
        <v>3694</v>
      </c>
      <c r="K993" s="52"/>
      <c r="L993" s="52"/>
      <c r="M993" s="54">
        <v>9</v>
      </c>
      <c r="N993" s="54">
        <v>1.54375</v>
      </c>
      <c r="O993" s="52"/>
      <c r="P993" s="52"/>
      <c r="Q993" s="52"/>
      <c r="R993" s="52"/>
      <c r="S993" s="52"/>
      <c r="T993" s="52" t="s">
        <v>3695</v>
      </c>
      <c r="U993" s="52" t="s">
        <v>3695</v>
      </c>
      <c r="V993" s="52"/>
      <c r="W993" s="52"/>
      <c r="X993" s="52"/>
      <c r="Y993" s="52"/>
      <c r="Z993" s="52" t="s">
        <v>3696</v>
      </c>
      <c r="AA993" s="52" t="s">
        <v>171</v>
      </c>
      <c r="AB993" s="52" t="s">
        <v>861</v>
      </c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>
        <v>0</v>
      </c>
      <c r="AT993" s="52"/>
      <c r="AU993" s="52"/>
      <c r="AV993" s="52" t="s">
        <v>308</v>
      </c>
      <c r="AW993" s="52"/>
    </row>
    <row r="994" spans="1:49">
      <c r="A994" s="52" t="s">
        <v>4159</v>
      </c>
      <c r="B994" s="52" t="s">
        <v>3691</v>
      </c>
      <c r="C994" s="52" t="s">
        <v>3698</v>
      </c>
      <c r="D994" s="53">
        <v>46160</v>
      </c>
      <c r="E994" s="53">
        <v>46156.53402777778</v>
      </c>
      <c r="F994" s="52"/>
      <c r="G994" s="52"/>
      <c r="H994" s="52"/>
      <c r="I994" s="52"/>
      <c r="J994" s="52" t="s">
        <v>3694</v>
      </c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 t="s">
        <v>3696</v>
      </c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>
        <v>0</v>
      </c>
      <c r="AT994" s="52"/>
      <c r="AU994" s="52"/>
      <c r="AV994" s="52"/>
      <c r="AW994" s="52"/>
    </row>
    <row r="995" spans="1:49">
      <c r="A995" s="52" t="s">
        <v>4160</v>
      </c>
      <c r="B995" s="52" t="s">
        <v>3691</v>
      </c>
      <c r="C995" s="52" t="s">
        <v>3692</v>
      </c>
      <c r="D995" s="53">
        <v>46162</v>
      </c>
      <c r="E995" s="53">
        <v>46156.53402777778</v>
      </c>
      <c r="F995" s="52"/>
      <c r="G995" s="52"/>
      <c r="H995" s="52"/>
      <c r="I995" s="52" t="s">
        <v>3693</v>
      </c>
      <c r="J995" s="52" t="s">
        <v>3694</v>
      </c>
      <c r="K995" s="52"/>
      <c r="L995" s="52"/>
      <c r="M995" s="54">
        <v>7</v>
      </c>
      <c r="N995" s="54">
        <v>3.5437500000000002</v>
      </c>
      <c r="O995" s="52"/>
      <c r="P995" s="52"/>
      <c r="Q995" s="52"/>
      <c r="R995" s="52"/>
      <c r="S995" s="52"/>
      <c r="T995" s="52" t="s">
        <v>3695</v>
      </c>
      <c r="U995" s="52" t="s">
        <v>3695</v>
      </c>
      <c r="V995" s="52"/>
      <c r="W995" s="52"/>
      <c r="X995" s="52"/>
      <c r="Y995" s="52"/>
      <c r="Z995" s="52" t="s">
        <v>3696</v>
      </c>
      <c r="AA995" s="52" t="s">
        <v>171</v>
      </c>
      <c r="AB995" s="52" t="s">
        <v>861</v>
      </c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>
        <v>0</v>
      </c>
      <c r="AT995" s="52"/>
      <c r="AU995" s="52"/>
      <c r="AV995" s="52" t="s">
        <v>308</v>
      </c>
      <c r="AW995" s="52"/>
    </row>
    <row r="996" spans="1:49">
      <c r="A996" s="52" t="s">
        <v>4160</v>
      </c>
      <c r="B996" s="52" t="s">
        <v>3691</v>
      </c>
      <c r="C996" s="52" t="s">
        <v>3698</v>
      </c>
      <c r="D996" s="53">
        <v>46162</v>
      </c>
      <c r="E996" s="53">
        <v>46156.53402777778</v>
      </c>
      <c r="F996" s="52"/>
      <c r="G996" s="52"/>
      <c r="H996" s="52"/>
      <c r="I996" s="52"/>
      <c r="J996" s="52" t="s">
        <v>3694</v>
      </c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 t="s">
        <v>3696</v>
      </c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>
        <v>0</v>
      </c>
      <c r="AT996" s="52"/>
      <c r="AU996" s="52"/>
      <c r="AV996" s="52"/>
      <c r="AW996" s="52"/>
    </row>
    <row r="997" spans="1:49">
      <c r="A997" s="52" t="s">
        <v>4161</v>
      </c>
      <c r="B997" s="52" t="s">
        <v>3691</v>
      </c>
      <c r="C997" s="52" t="s">
        <v>3692</v>
      </c>
      <c r="D997" s="53">
        <v>46157</v>
      </c>
      <c r="E997" s="53">
        <v>46156.53402777778</v>
      </c>
      <c r="F997" s="52"/>
      <c r="G997" s="52"/>
      <c r="H997" s="52"/>
      <c r="I997" s="52" t="s">
        <v>3693</v>
      </c>
      <c r="J997" s="52" t="s">
        <v>3694</v>
      </c>
      <c r="K997" s="52"/>
      <c r="L997" s="52"/>
      <c r="M997" s="54">
        <v>12</v>
      </c>
      <c r="N997" s="54">
        <v>1.45625</v>
      </c>
      <c r="O997" s="52"/>
      <c r="P997" s="52"/>
      <c r="Q997" s="52"/>
      <c r="R997" s="52"/>
      <c r="S997" s="52"/>
      <c r="T997" s="52" t="s">
        <v>3695</v>
      </c>
      <c r="U997" s="52" t="s">
        <v>3695</v>
      </c>
      <c r="V997" s="52"/>
      <c r="W997" s="52"/>
      <c r="X997" s="52"/>
      <c r="Y997" s="52"/>
      <c r="Z997" s="52" t="s">
        <v>3696</v>
      </c>
      <c r="AA997" s="52" t="s">
        <v>171</v>
      </c>
      <c r="AB997" s="52" t="s">
        <v>861</v>
      </c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2"/>
      <c r="AP997" s="52"/>
      <c r="AQ997" s="52"/>
      <c r="AR997" s="52"/>
      <c r="AS997" s="52">
        <v>0</v>
      </c>
      <c r="AT997" s="52"/>
      <c r="AU997" s="52"/>
      <c r="AV997" s="52" t="s">
        <v>308</v>
      </c>
      <c r="AW997" s="52"/>
    </row>
    <row r="998" spans="1:49">
      <c r="A998" s="52" t="s">
        <v>4161</v>
      </c>
      <c r="B998" s="52" t="s">
        <v>3691</v>
      </c>
      <c r="C998" s="52" t="s">
        <v>3698</v>
      </c>
      <c r="D998" s="53">
        <v>46157</v>
      </c>
      <c r="E998" s="53">
        <v>46156.53402777778</v>
      </c>
      <c r="F998" s="52"/>
      <c r="G998" s="52"/>
      <c r="H998" s="52"/>
      <c r="I998" s="52"/>
      <c r="J998" s="52" t="s">
        <v>3694</v>
      </c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 t="s">
        <v>3696</v>
      </c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>
        <v>0</v>
      </c>
      <c r="AT998" s="52"/>
      <c r="AU998" s="52"/>
      <c r="AV998" s="52"/>
      <c r="AW998" s="52"/>
    </row>
    <row r="999" spans="1:49">
      <c r="A999" s="52" t="s">
        <v>4162</v>
      </c>
      <c r="B999" s="52" t="s">
        <v>3723</v>
      </c>
      <c r="C999" s="52" t="s">
        <v>3692</v>
      </c>
      <c r="D999" s="53">
        <v>46153</v>
      </c>
      <c r="E999" s="53">
        <v>46153.378472222219</v>
      </c>
      <c r="F999" s="53">
        <v>46154.543055555558</v>
      </c>
      <c r="G999" s="53">
        <v>46159</v>
      </c>
      <c r="H999" s="53">
        <v>46154.739583333336</v>
      </c>
      <c r="I999" s="52" t="s">
        <v>3693</v>
      </c>
      <c r="J999" s="52" t="s">
        <v>3693</v>
      </c>
      <c r="K999" s="53">
        <v>46154.739583333336</v>
      </c>
      <c r="L999" s="52" t="s">
        <v>3735</v>
      </c>
      <c r="M999" s="54">
        <v>6</v>
      </c>
      <c r="N999" s="54">
        <v>5.4562499999999998</v>
      </c>
      <c r="O999" s="52"/>
      <c r="P999" s="52"/>
      <c r="Q999" s="52"/>
      <c r="R999" s="52"/>
      <c r="S999" s="52"/>
      <c r="T999" s="52" t="s">
        <v>4150</v>
      </c>
      <c r="U999" s="52" t="s">
        <v>4154</v>
      </c>
      <c r="V999" s="52"/>
      <c r="W999" s="52"/>
      <c r="X999" s="52"/>
      <c r="Y999" s="52"/>
      <c r="Z999" s="52" t="s">
        <v>3696</v>
      </c>
      <c r="AA999" s="52" t="s">
        <v>171</v>
      </c>
      <c r="AB999" s="52" t="s">
        <v>967</v>
      </c>
      <c r="AC999" s="52" t="s">
        <v>4151</v>
      </c>
      <c r="AD999" s="52" t="s">
        <v>3704</v>
      </c>
      <c r="AE999" s="52"/>
      <c r="AF999" s="52" t="s">
        <v>3703</v>
      </c>
      <c r="AG999" s="52" t="s">
        <v>3704</v>
      </c>
      <c r="AH999" s="52"/>
      <c r="AI999" s="52"/>
      <c r="AJ999" s="52"/>
      <c r="AK999" s="52"/>
      <c r="AL999" s="52"/>
      <c r="AM999" s="52"/>
      <c r="AN999" s="52"/>
      <c r="AO999" s="52"/>
      <c r="AP999" s="52"/>
      <c r="AQ999" s="52"/>
      <c r="AR999" s="52"/>
      <c r="AS999" s="52">
        <v>0</v>
      </c>
      <c r="AT999" s="52"/>
      <c r="AU999" s="52"/>
      <c r="AV999" s="52" t="s">
        <v>308</v>
      </c>
      <c r="AW999" s="52"/>
    </row>
    <row r="1000" spans="1:49">
      <c r="A1000" s="52" t="s">
        <v>4162</v>
      </c>
      <c r="B1000" s="52" t="s">
        <v>3723</v>
      </c>
      <c r="C1000" s="52" t="s">
        <v>3698</v>
      </c>
      <c r="D1000" s="53">
        <v>46153</v>
      </c>
      <c r="E1000" s="53">
        <v>46153.378472222219</v>
      </c>
      <c r="F1000" s="53">
        <v>46154.620138888888</v>
      </c>
      <c r="G1000" s="53">
        <v>46159</v>
      </c>
      <c r="H1000" s="53">
        <v>46154.767361111109</v>
      </c>
      <c r="I1000" s="52"/>
      <c r="J1000" s="52" t="s">
        <v>3693</v>
      </c>
      <c r="K1000" s="53">
        <v>46154.739583333336</v>
      </c>
      <c r="L1000" s="52"/>
      <c r="M1000" s="54">
        <v>4.3798611111111114</v>
      </c>
      <c r="N1000" s="54">
        <v>3.8361111111111112</v>
      </c>
      <c r="O1000" s="52" t="s">
        <v>3026</v>
      </c>
      <c r="P1000" s="52" t="s">
        <v>171</v>
      </c>
      <c r="Q1000" s="52" t="s">
        <v>2528</v>
      </c>
      <c r="R1000" s="52" t="s">
        <v>2530</v>
      </c>
      <c r="S1000" s="52" t="s">
        <v>789</v>
      </c>
      <c r="T1000" s="52" t="s">
        <v>4150</v>
      </c>
      <c r="U1000" s="52" t="s">
        <v>4154</v>
      </c>
      <c r="V1000" s="52" t="s">
        <v>2531</v>
      </c>
      <c r="W1000" s="52">
        <v>1757396683</v>
      </c>
      <c r="X1000" s="52" t="s">
        <v>793</v>
      </c>
      <c r="Y1000" s="52"/>
      <c r="Z1000" s="52" t="s">
        <v>3696</v>
      </c>
      <c r="AA1000" s="52" t="s">
        <v>3710</v>
      </c>
      <c r="AB1000" s="52"/>
      <c r="AC1000" s="52" t="s">
        <v>4151</v>
      </c>
      <c r="AD1000" s="52" t="s">
        <v>3704</v>
      </c>
      <c r="AE1000" s="52" t="s">
        <v>967</v>
      </c>
      <c r="AF1000" s="52" t="s">
        <v>3703</v>
      </c>
      <c r="AG1000" s="52" t="s">
        <v>3704</v>
      </c>
      <c r="AH1000" s="52"/>
      <c r="AI1000" s="52"/>
      <c r="AJ1000" s="52"/>
      <c r="AK1000" s="52"/>
      <c r="AL1000" s="55">
        <v>2.7777777777777776E-2</v>
      </c>
      <c r="AM1000" s="52"/>
      <c r="AN1000" s="52"/>
      <c r="AO1000" s="55">
        <v>2.7777777777777776E-2</v>
      </c>
      <c r="AP1000" s="55">
        <v>2.7777777777777776E-2</v>
      </c>
      <c r="AQ1000" s="52"/>
      <c r="AR1000" s="52"/>
      <c r="AS1000" s="52" t="s">
        <v>3696</v>
      </c>
      <c r="AT1000" s="52"/>
      <c r="AU1000" s="52"/>
      <c r="AV1000" s="52"/>
      <c r="AW1000" s="52"/>
    </row>
    <row r="1001" spans="1:49">
      <c r="A1001" s="52" t="s">
        <v>4162</v>
      </c>
      <c r="B1001" s="52" t="s">
        <v>3723</v>
      </c>
      <c r="C1001" s="52" t="s">
        <v>3698</v>
      </c>
      <c r="D1001" s="53">
        <v>46153</v>
      </c>
      <c r="E1001" s="53">
        <v>46153.378472222219</v>
      </c>
      <c r="F1001" s="53">
        <v>46154.620138888888</v>
      </c>
      <c r="G1001" s="53">
        <v>46159</v>
      </c>
      <c r="H1001" s="53">
        <v>46154.767361111109</v>
      </c>
      <c r="I1001" s="52"/>
      <c r="J1001" s="52" t="s">
        <v>3693</v>
      </c>
      <c r="K1001" s="53">
        <v>46154.739583333336</v>
      </c>
      <c r="L1001" s="52"/>
      <c r="M1001" s="54">
        <v>4.3798611111111114</v>
      </c>
      <c r="N1001" s="54">
        <v>3.8361111111111112</v>
      </c>
      <c r="O1001" s="52" t="s">
        <v>3026</v>
      </c>
      <c r="P1001" s="52" t="s">
        <v>171</v>
      </c>
      <c r="Q1001" s="52" t="s">
        <v>2528</v>
      </c>
      <c r="R1001" s="52" t="s">
        <v>2530</v>
      </c>
      <c r="S1001" s="52" t="s">
        <v>789</v>
      </c>
      <c r="T1001" s="52" t="s">
        <v>4150</v>
      </c>
      <c r="U1001" s="52" t="s">
        <v>4154</v>
      </c>
      <c r="V1001" s="52" t="s">
        <v>2531</v>
      </c>
      <c r="W1001" s="52">
        <v>1757396683</v>
      </c>
      <c r="X1001" s="52" t="s">
        <v>793</v>
      </c>
      <c r="Y1001" s="52"/>
      <c r="Z1001" s="52" t="s">
        <v>3696</v>
      </c>
      <c r="AA1001" s="52" t="s">
        <v>3710</v>
      </c>
      <c r="AB1001" s="52"/>
      <c r="AC1001" s="52" t="s">
        <v>4151</v>
      </c>
      <c r="AD1001" s="52" t="s">
        <v>3704</v>
      </c>
      <c r="AE1001" s="52"/>
      <c r="AF1001" s="52" t="s">
        <v>3703</v>
      </c>
      <c r="AG1001" s="52" t="s">
        <v>3704</v>
      </c>
      <c r="AH1001" s="52"/>
      <c r="AI1001" s="52"/>
      <c r="AJ1001" s="52"/>
      <c r="AK1001" s="52"/>
      <c r="AL1001" s="55">
        <v>2.7777777777777776E-2</v>
      </c>
      <c r="AM1001" s="52"/>
      <c r="AN1001" s="52"/>
      <c r="AO1001" s="55">
        <v>2.7777777777777776E-2</v>
      </c>
      <c r="AP1001" s="55">
        <v>2.7777777777777776E-2</v>
      </c>
      <c r="AQ1001" s="52"/>
      <c r="AR1001" s="52"/>
      <c r="AS1001" s="52" t="s">
        <v>3696</v>
      </c>
      <c r="AT1001" s="52"/>
      <c r="AU1001" s="52"/>
      <c r="AV1001" s="52"/>
      <c r="AW1001" s="52" t="s">
        <v>308</v>
      </c>
    </row>
    <row r="1002" spans="1:49">
      <c r="A1002" s="52" t="s">
        <v>4163</v>
      </c>
      <c r="B1002" s="52" t="s">
        <v>3691</v>
      </c>
      <c r="C1002" s="52" t="s">
        <v>3692</v>
      </c>
      <c r="D1002" s="53">
        <v>46157</v>
      </c>
      <c r="E1002" s="53">
        <v>46156.53402777778</v>
      </c>
      <c r="F1002" s="52"/>
      <c r="G1002" s="52"/>
      <c r="H1002" s="52"/>
      <c r="I1002" s="52" t="s">
        <v>3693</v>
      </c>
      <c r="J1002" s="52" t="s">
        <v>3694</v>
      </c>
      <c r="K1002" s="52"/>
      <c r="L1002" s="52"/>
      <c r="M1002" s="54">
        <v>12</v>
      </c>
      <c r="N1002" s="54">
        <v>1.45625</v>
      </c>
      <c r="O1002" s="52"/>
      <c r="P1002" s="52"/>
      <c r="Q1002" s="52"/>
      <c r="R1002" s="52"/>
      <c r="S1002" s="52"/>
      <c r="T1002" s="52" t="s">
        <v>3695</v>
      </c>
      <c r="U1002" s="52" t="s">
        <v>3695</v>
      </c>
      <c r="V1002" s="52"/>
      <c r="W1002" s="52"/>
      <c r="X1002" s="52"/>
      <c r="Y1002" s="52"/>
      <c r="Z1002" s="52" t="s">
        <v>3696</v>
      </c>
      <c r="AA1002" s="52" t="s">
        <v>171</v>
      </c>
      <c r="AB1002" s="52" t="s">
        <v>861</v>
      </c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  <c r="AO1002" s="52"/>
      <c r="AP1002" s="52"/>
      <c r="AQ1002" s="52"/>
      <c r="AR1002" s="52"/>
      <c r="AS1002" s="52">
        <v>0</v>
      </c>
      <c r="AT1002" s="52"/>
      <c r="AU1002" s="52"/>
      <c r="AV1002" s="52" t="s">
        <v>308</v>
      </c>
      <c r="AW1002" s="52"/>
    </row>
    <row r="1003" spans="1:49">
      <c r="A1003" s="52" t="s">
        <v>4163</v>
      </c>
      <c r="B1003" s="52" t="s">
        <v>3691</v>
      </c>
      <c r="C1003" s="52" t="s">
        <v>3698</v>
      </c>
      <c r="D1003" s="53">
        <v>46157</v>
      </c>
      <c r="E1003" s="53">
        <v>46156.53402777778</v>
      </c>
      <c r="F1003" s="52"/>
      <c r="G1003" s="52"/>
      <c r="H1003" s="52"/>
      <c r="I1003" s="52"/>
      <c r="J1003" s="52" t="s">
        <v>3694</v>
      </c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 t="s">
        <v>3696</v>
      </c>
      <c r="AA1003" s="52"/>
      <c r="AB1003" s="52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  <c r="AO1003" s="52"/>
      <c r="AP1003" s="52"/>
      <c r="AQ1003" s="52"/>
      <c r="AR1003" s="52"/>
      <c r="AS1003" s="52">
        <v>0</v>
      </c>
      <c r="AT1003" s="52"/>
      <c r="AU1003" s="52"/>
      <c r="AV1003" s="52"/>
      <c r="AW1003" s="52"/>
    </row>
    <row r="1004" spans="1:49">
      <c r="A1004" s="52" t="s">
        <v>3586</v>
      </c>
      <c r="B1004" s="52" t="s">
        <v>3723</v>
      </c>
      <c r="C1004" s="52" t="s">
        <v>3692</v>
      </c>
      <c r="D1004" s="53">
        <v>46162</v>
      </c>
      <c r="E1004" s="53">
        <v>46156.53402777778</v>
      </c>
      <c r="F1004" s="53">
        <v>46157.645138888889</v>
      </c>
      <c r="G1004" s="53">
        <v>46169</v>
      </c>
      <c r="H1004" s="53">
        <v>46157.909722222219</v>
      </c>
      <c r="I1004" s="52" t="s">
        <v>3693</v>
      </c>
      <c r="J1004" s="52" t="s">
        <v>3693</v>
      </c>
      <c r="K1004" s="53">
        <v>46157.909722222219</v>
      </c>
      <c r="L1004" s="52" t="s">
        <v>3735</v>
      </c>
      <c r="M1004" s="54">
        <v>7</v>
      </c>
      <c r="N1004" s="54">
        <v>3.5437500000000002</v>
      </c>
      <c r="O1004" s="52"/>
      <c r="P1004" s="52"/>
      <c r="Q1004" s="52"/>
      <c r="R1004" s="52"/>
      <c r="S1004" s="52"/>
      <c r="T1004" s="52" t="s">
        <v>4142</v>
      </c>
      <c r="U1004" s="52" t="s">
        <v>4164</v>
      </c>
      <c r="V1004" s="52"/>
      <c r="W1004" s="52"/>
      <c r="X1004" s="52"/>
      <c r="Y1004" s="52"/>
      <c r="Z1004" s="52" t="s">
        <v>3696</v>
      </c>
      <c r="AA1004" s="52" t="s">
        <v>171</v>
      </c>
      <c r="AB1004" s="52" t="s">
        <v>861</v>
      </c>
      <c r="AC1004" s="52" t="s">
        <v>4144</v>
      </c>
      <c r="AD1004" s="52" t="s">
        <v>3704</v>
      </c>
      <c r="AE1004" s="52"/>
      <c r="AF1004" s="52" t="s">
        <v>3703</v>
      </c>
      <c r="AG1004" s="52" t="s">
        <v>3704</v>
      </c>
      <c r="AH1004" s="52"/>
      <c r="AI1004" s="52"/>
      <c r="AJ1004" s="52"/>
      <c r="AK1004" s="52"/>
      <c r="AL1004" s="52"/>
      <c r="AM1004" s="52"/>
      <c r="AN1004" s="52"/>
      <c r="AO1004" s="52"/>
      <c r="AP1004" s="52"/>
      <c r="AQ1004" s="52"/>
      <c r="AR1004" s="52"/>
      <c r="AS1004" s="52">
        <v>0</v>
      </c>
      <c r="AT1004" s="52"/>
      <c r="AU1004" s="52"/>
      <c r="AV1004" s="52" t="s">
        <v>308</v>
      </c>
      <c r="AW1004" s="52"/>
    </row>
    <row r="1005" spans="1:49">
      <c r="A1005" s="52" t="s">
        <v>3586</v>
      </c>
      <c r="B1005" s="52" t="s">
        <v>3723</v>
      </c>
      <c r="C1005" s="52" t="s">
        <v>3698</v>
      </c>
      <c r="D1005" s="53">
        <v>46162</v>
      </c>
      <c r="E1005" s="53">
        <v>46156.53402777778</v>
      </c>
      <c r="F1005" s="53">
        <v>46157.706250000003</v>
      </c>
      <c r="G1005" s="53">
        <v>46169</v>
      </c>
      <c r="H1005" s="53">
        <v>46157.984027777777</v>
      </c>
      <c r="I1005" s="52"/>
      <c r="J1005" s="52" t="s">
        <v>3693</v>
      </c>
      <c r="K1005" s="53">
        <v>46157.909722222219</v>
      </c>
      <c r="L1005" s="52"/>
      <c r="M1005" s="54">
        <v>11.293749999999999</v>
      </c>
      <c r="N1005" s="55">
        <v>0.75</v>
      </c>
      <c r="O1005" s="52" t="s">
        <v>3588</v>
      </c>
      <c r="P1005" s="52" t="s">
        <v>171</v>
      </c>
      <c r="Q1005" s="52" t="s">
        <v>3587</v>
      </c>
      <c r="R1005" s="52" t="s">
        <v>1233</v>
      </c>
      <c r="S1005" s="52" t="s">
        <v>789</v>
      </c>
      <c r="T1005" s="52" t="s">
        <v>4142</v>
      </c>
      <c r="U1005" s="52" t="s">
        <v>4164</v>
      </c>
      <c r="V1005" s="52" t="s">
        <v>3589</v>
      </c>
      <c r="W1005" s="52">
        <v>85448265472</v>
      </c>
      <c r="X1005" s="52" t="s">
        <v>793</v>
      </c>
      <c r="Y1005" s="52"/>
      <c r="Z1005" s="52" t="s">
        <v>3696</v>
      </c>
      <c r="AA1005" s="52" t="s">
        <v>3710</v>
      </c>
      <c r="AB1005" s="52"/>
      <c r="AC1005" s="52" t="s">
        <v>4144</v>
      </c>
      <c r="AD1005" s="52" t="s">
        <v>3704</v>
      </c>
      <c r="AE1005" s="52" t="s">
        <v>861</v>
      </c>
      <c r="AF1005" s="52" t="s">
        <v>3703</v>
      </c>
      <c r="AG1005" s="52" t="s">
        <v>3704</v>
      </c>
      <c r="AH1005" s="52"/>
      <c r="AI1005" s="52"/>
      <c r="AJ1005" s="52"/>
      <c r="AK1005" s="52"/>
      <c r="AL1005" s="55">
        <v>7.4305555555555555E-2</v>
      </c>
      <c r="AM1005" s="52"/>
      <c r="AN1005" s="52"/>
      <c r="AO1005" s="55">
        <v>7.4305555555555555E-2</v>
      </c>
      <c r="AP1005" s="55">
        <v>7.4305555555555555E-2</v>
      </c>
      <c r="AQ1005" s="52"/>
      <c r="AR1005" s="52"/>
      <c r="AS1005" s="52" t="s">
        <v>3696</v>
      </c>
      <c r="AT1005" s="52"/>
      <c r="AU1005" s="52"/>
      <c r="AV1005" s="52"/>
      <c r="AW1005" s="52"/>
    </row>
    <row r="1006" spans="1:49">
      <c r="A1006" s="52" t="s">
        <v>3586</v>
      </c>
      <c r="B1006" s="52" t="s">
        <v>3723</v>
      </c>
      <c r="C1006" s="52" t="s">
        <v>3698</v>
      </c>
      <c r="D1006" s="53">
        <v>46162</v>
      </c>
      <c r="E1006" s="53">
        <v>46156.53402777778</v>
      </c>
      <c r="F1006" s="53">
        <v>46157.706250000003</v>
      </c>
      <c r="G1006" s="53">
        <v>46169</v>
      </c>
      <c r="H1006" s="53">
        <v>46157.984027777777</v>
      </c>
      <c r="I1006" s="52"/>
      <c r="J1006" s="52" t="s">
        <v>3693</v>
      </c>
      <c r="K1006" s="53">
        <v>46157.909722222219</v>
      </c>
      <c r="L1006" s="52"/>
      <c r="M1006" s="54">
        <v>11.293749999999999</v>
      </c>
      <c r="N1006" s="55">
        <v>0.75</v>
      </c>
      <c r="O1006" s="52" t="s">
        <v>3588</v>
      </c>
      <c r="P1006" s="52" t="s">
        <v>171</v>
      </c>
      <c r="Q1006" s="52" t="s">
        <v>3587</v>
      </c>
      <c r="R1006" s="52" t="s">
        <v>1233</v>
      </c>
      <c r="S1006" s="52" t="s">
        <v>789</v>
      </c>
      <c r="T1006" s="52" t="s">
        <v>4142</v>
      </c>
      <c r="U1006" s="52" t="s">
        <v>4164</v>
      </c>
      <c r="V1006" s="52" t="s">
        <v>3589</v>
      </c>
      <c r="W1006" s="52">
        <v>85448265472</v>
      </c>
      <c r="X1006" s="52" t="s">
        <v>793</v>
      </c>
      <c r="Y1006" s="52"/>
      <c r="Z1006" s="52" t="s">
        <v>3696</v>
      </c>
      <c r="AA1006" s="52" t="s">
        <v>3710</v>
      </c>
      <c r="AB1006" s="52"/>
      <c r="AC1006" s="52" t="s">
        <v>4144</v>
      </c>
      <c r="AD1006" s="52" t="s">
        <v>3704</v>
      </c>
      <c r="AE1006" s="52"/>
      <c r="AF1006" s="52" t="s">
        <v>3703</v>
      </c>
      <c r="AG1006" s="52" t="s">
        <v>3704</v>
      </c>
      <c r="AH1006" s="52"/>
      <c r="AI1006" s="52"/>
      <c r="AJ1006" s="52"/>
      <c r="AK1006" s="52"/>
      <c r="AL1006" s="55">
        <v>7.4305555555555555E-2</v>
      </c>
      <c r="AM1006" s="52"/>
      <c r="AN1006" s="52"/>
      <c r="AO1006" s="55">
        <v>7.4305555555555555E-2</v>
      </c>
      <c r="AP1006" s="55">
        <v>7.4305555555555555E-2</v>
      </c>
      <c r="AQ1006" s="52"/>
      <c r="AR1006" s="52"/>
      <c r="AS1006" s="52" t="s">
        <v>3696</v>
      </c>
      <c r="AT1006" s="52"/>
      <c r="AU1006" s="52"/>
      <c r="AV1006" s="52"/>
      <c r="AW1006" s="52" t="s">
        <v>308</v>
      </c>
    </row>
    <row r="1007" spans="1:49">
      <c r="A1007" s="52" t="s">
        <v>4165</v>
      </c>
      <c r="B1007" s="56">
        <v>1005</v>
      </c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  <c r="AJ1007" s="52"/>
      <c r="AK1007" s="52"/>
      <c r="AL1007" s="52"/>
      <c r="AM1007" s="52"/>
      <c r="AN1007" s="52"/>
      <c r="AO1007" s="52"/>
      <c r="AP1007" s="52"/>
      <c r="AQ1007" s="52"/>
      <c r="AR1007" s="52"/>
      <c r="AS1007" s="52"/>
      <c r="AT1007" s="52"/>
      <c r="AU1007" s="52"/>
      <c r="AV1007" s="52"/>
      <c r="AW1007" s="52"/>
    </row>
    <row r="1008" spans="1:49">
      <c r="A1008" s="52" t="s">
        <v>4166</v>
      </c>
      <c r="B1008" s="52" t="s">
        <v>3696</v>
      </c>
      <c r="C1008" s="52" t="s">
        <v>4167</v>
      </c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  <c r="AA1008" s="52"/>
      <c r="AB1008" s="52"/>
      <c r="AC1008" s="52"/>
      <c r="AD1008" s="52"/>
      <c r="AE1008" s="52"/>
      <c r="AF1008" s="52"/>
      <c r="AG1008" s="52"/>
      <c r="AH1008" s="52"/>
      <c r="AI1008" s="52"/>
      <c r="AJ1008" s="52"/>
      <c r="AK1008" s="52"/>
      <c r="AL1008" s="52"/>
      <c r="AM1008" s="52"/>
      <c r="AN1008" s="52"/>
      <c r="AO1008" s="52"/>
      <c r="AP1008" s="52"/>
      <c r="AQ1008" s="52"/>
      <c r="AR1008" s="52"/>
      <c r="AS1008" s="52"/>
      <c r="AT1008" s="52"/>
      <c r="AU1008" s="52"/>
      <c r="AV1008" s="52"/>
      <c r="AW1008" s="52"/>
    </row>
    <row r="1009" spans="1:49">
      <c r="A1009" s="52"/>
      <c r="B1009" s="52"/>
      <c r="C1009" s="52"/>
      <c r="D1009" s="53"/>
      <c r="E1009" s="53"/>
      <c r="F1009" s="53"/>
      <c r="G1009" s="53"/>
      <c r="H1009" s="53"/>
      <c r="I1009" s="52"/>
      <c r="J1009" s="52"/>
      <c r="K1009" s="53"/>
      <c r="L1009" s="52"/>
      <c r="M1009" s="54"/>
      <c r="N1009" s="54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  <c r="AC1009" s="52"/>
      <c r="AD1009" s="52"/>
      <c r="AE1009" s="52"/>
      <c r="AF1009" s="52"/>
      <c r="AG1009" s="52"/>
      <c r="AH1009" s="52"/>
      <c r="AI1009" s="52"/>
      <c r="AJ1009" s="52"/>
      <c r="AK1009" s="52"/>
      <c r="AL1009" s="55"/>
      <c r="AM1009" s="52"/>
      <c r="AN1009" s="52"/>
      <c r="AO1009" s="52"/>
      <c r="AP1009" s="55"/>
      <c r="AQ1009" s="52"/>
      <c r="AR1009" s="52"/>
      <c r="AS1009" s="52"/>
      <c r="AT1009" s="52"/>
      <c r="AU1009" s="52"/>
      <c r="AV1009" s="52"/>
      <c r="AW1009" s="52"/>
    </row>
    <row r="1010" spans="1:49">
      <c r="A1010" s="52"/>
      <c r="B1010" s="52"/>
      <c r="C1010" s="52"/>
      <c r="D1010" s="53"/>
      <c r="E1010" s="53"/>
      <c r="F1010" s="52"/>
      <c r="G1010" s="52"/>
      <c r="H1010" s="52"/>
      <c r="I1010" s="52"/>
      <c r="J1010" s="52"/>
      <c r="K1010" s="52"/>
      <c r="L1010" s="52"/>
      <c r="M1010" s="54"/>
      <c r="N1010" s="54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52"/>
      <c r="AN1010" s="52"/>
      <c r="AO1010" s="52"/>
      <c r="AP1010" s="52"/>
      <c r="AQ1010" s="52"/>
      <c r="AR1010" s="52"/>
      <c r="AS1010" s="52"/>
      <c r="AT1010" s="52"/>
      <c r="AU1010" s="52"/>
      <c r="AV1010" s="52"/>
      <c r="AW1010" s="52"/>
    </row>
    <row r="1011" spans="1:49">
      <c r="A1011" s="52"/>
      <c r="B1011" s="52"/>
      <c r="C1011" s="52"/>
      <c r="D1011" s="53"/>
      <c r="E1011" s="53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  <c r="AA1011" s="52"/>
      <c r="AB1011" s="52"/>
      <c r="AC1011" s="52"/>
      <c r="AD1011" s="52"/>
      <c r="AE1011" s="52"/>
      <c r="AF1011" s="52"/>
      <c r="AG1011" s="52"/>
      <c r="AH1011" s="52"/>
      <c r="AI1011" s="52"/>
      <c r="AJ1011" s="52"/>
      <c r="AK1011" s="52"/>
      <c r="AL1011" s="52"/>
      <c r="AM1011" s="52"/>
      <c r="AN1011" s="52"/>
      <c r="AO1011" s="52"/>
      <c r="AP1011" s="52"/>
      <c r="AQ1011" s="52"/>
      <c r="AR1011" s="52"/>
      <c r="AS1011" s="52"/>
      <c r="AT1011" s="52"/>
      <c r="AU1011" s="52"/>
      <c r="AV1011" s="52"/>
      <c r="AW1011" s="52"/>
    </row>
    <row r="1012" spans="1:49">
      <c r="A1012" s="52"/>
      <c r="B1012" s="52"/>
      <c r="C1012" s="52"/>
      <c r="D1012" s="53"/>
      <c r="E1012" s="53"/>
      <c r="F1012" s="53"/>
      <c r="G1012" s="53"/>
      <c r="H1012" s="52"/>
      <c r="I1012" s="52"/>
      <c r="J1012" s="52"/>
      <c r="K1012" s="53"/>
      <c r="L1012" s="52"/>
      <c r="M1012" s="55"/>
      <c r="N1012" s="55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  <c r="AA1012" s="52"/>
      <c r="AB1012" s="52"/>
      <c r="AC1012" s="52"/>
      <c r="AD1012" s="52"/>
      <c r="AE1012" s="52"/>
      <c r="AF1012" s="52"/>
      <c r="AG1012" s="52"/>
      <c r="AH1012" s="52"/>
      <c r="AI1012" s="52"/>
      <c r="AJ1012" s="52"/>
      <c r="AK1012" s="52"/>
      <c r="AL1012" s="55"/>
      <c r="AM1012" s="52"/>
      <c r="AN1012" s="52"/>
      <c r="AO1012" s="52"/>
      <c r="AP1012" s="52"/>
      <c r="AQ1012" s="52"/>
      <c r="AR1012" s="52"/>
      <c r="AS1012" s="52"/>
      <c r="AT1012" s="52"/>
      <c r="AU1012" s="52"/>
      <c r="AV1012" s="52"/>
      <c r="AW1012" s="52"/>
    </row>
    <row r="1013" spans="1:49">
      <c r="A1013" s="52"/>
      <c r="B1013" s="52"/>
      <c r="C1013" s="52"/>
      <c r="D1013" s="53"/>
      <c r="E1013" s="53"/>
      <c r="F1013" s="53"/>
      <c r="G1013" s="53"/>
      <c r="H1013" s="53"/>
      <c r="I1013" s="52"/>
      <c r="J1013" s="52"/>
      <c r="K1013" s="53"/>
      <c r="L1013" s="52"/>
      <c r="M1013" s="54"/>
      <c r="N1013" s="54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2"/>
      <c r="AC1013" s="52"/>
      <c r="AD1013" s="52"/>
      <c r="AE1013" s="52"/>
      <c r="AF1013" s="52"/>
      <c r="AG1013" s="52"/>
      <c r="AH1013" s="52"/>
      <c r="AI1013" s="53"/>
      <c r="AJ1013" s="53"/>
      <c r="AK1013" s="53"/>
      <c r="AL1013" s="55"/>
      <c r="AM1013" s="52"/>
      <c r="AN1013" s="55"/>
      <c r="AO1013" s="52"/>
      <c r="AP1013" s="55"/>
      <c r="AQ1013" s="52"/>
      <c r="AR1013" s="52"/>
      <c r="AS1013" s="52"/>
      <c r="AT1013" s="52"/>
      <c r="AU1013" s="52"/>
      <c r="AV1013" s="52"/>
      <c r="AW1013" s="52"/>
    </row>
    <row r="1014" spans="1:49">
      <c r="A1014" s="52"/>
      <c r="B1014" s="52"/>
      <c r="C1014" s="52"/>
      <c r="D1014" s="53"/>
      <c r="E1014" s="53"/>
      <c r="F1014" s="53"/>
      <c r="G1014" s="53"/>
      <c r="H1014" s="53"/>
      <c r="I1014" s="52"/>
      <c r="J1014" s="52"/>
      <c r="K1014" s="53"/>
      <c r="L1014" s="52"/>
      <c r="M1014" s="54"/>
      <c r="N1014" s="54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  <c r="AA1014" s="52"/>
      <c r="AB1014" s="52"/>
      <c r="AC1014" s="52"/>
      <c r="AD1014" s="52"/>
      <c r="AE1014" s="52"/>
      <c r="AF1014" s="52"/>
      <c r="AG1014" s="52"/>
      <c r="AH1014" s="52"/>
      <c r="AI1014" s="53"/>
      <c r="AJ1014" s="53"/>
      <c r="AK1014" s="53"/>
      <c r="AL1014" s="55"/>
      <c r="AM1014" s="52"/>
      <c r="AN1014" s="55"/>
      <c r="AO1014" s="52"/>
      <c r="AP1014" s="55"/>
      <c r="AQ1014" s="52"/>
      <c r="AR1014" s="52"/>
      <c r="AS1014" s="52"/>
      <c r="AT1014" s="52"/>
      <c r="AU1014" s="52"/>
      <c r="AV1014" s="52"/>
      <c r="AW1014" s="52"/>
    </row>
    <row r="1015" spans="1:49">
      <c r="A1015" s="52"/>
      <c r="B1015" s="52"/>
      <c r="C1015" s="52"/>
      <c r="D1015" s="53"/>
      <c r="E1015" s="53"/>
      <c r="F1015" s="53"/>
      <c r="G1015" s="53"/>
      <c r="H1015" s="53"/>
      <c r="I1015" s="52"/>
      <c r="J1015" s="52"/>
      <c r="K1015" s="53"/>
      <c r="L1015" s="52"/>
      <c r="M1015" s="55"/>
      <c r="N1015" s="54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  <c r="AC1015" s="52"/>
      <c r="AD1015" s="52"/>
      <c r="AE1015" s="52"/>
      <c r="AF1015" s="52"/>
      <c r="AG1015" s="52"/>
      <c r="AH1015" s="52"/>
      <c r="AI1015" s="53"/>
      <c r="AJ1015" s="53"/>
      <c r="AK1015" s="53"/>
      <c r="AL1015" s="55"/>
      <c r="AM1015" s="52"/>
      <c r="AN1015" s="55"/>
      <c r="AO1015" s="52"/>
      <c r="AP1015" s="55"/>
      <c r="AQ1015" s="52"/>
      <c r="AR1015" s="52"/>
      <c r="AS1015" s="52"/>
      <c r="AT1015" s="52"/>
      <c r="AU1015" s="52"/>
      <c r="AV1015" s="52"/>
      <c r="AW1015" s="52"/>
    </row>
    <row r="1016" spans="1:49">
      <c r="A1016" s="52"/>
      <c r="B1016" s="52"/>
      <c r="C1016" s="52"/>
      <c r="D1016" s="53"/>
      <c r="E1016" s="53"/>
      <c r="F1016" s="53"/>
      <c r="G1016" s="53"/>
      <c r="H1016" s="53"/>
      <c r="I1016" s="52"/>
      <c r="J1016" s="52"/>
      <c r="K1016" s="53"/>
      <c r="L1016" s="52"/>
      <c r="M1016" s="55"/>
      <c r="N1016" s="54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I1016" s="53"/>
      <c r="AJ1016" s="53"/>
      <c r="AK1016" s="53"/>
      <c r="AL1016" s="55"/>
      <c r="AM1016" s="52"/>
      <c r="AN1016" s="55"/>
      <c r="AO1016" s="52"/>
      <c r="AP1016" s="55"/>
      <c r="AQ1016" s="52"/>
      <c r="AR1016" s="52"/>
      <c r="AS1016" s="52"/>
      <c r="AT1016" s="52"/>
      <c r="AU1016" s="52"/>
      <c r="AV1016" s="52"/>
      <c r="AW1016" s="52"/>
    </row>
    <row r="1017" spans="1:49">
      <c r="A1017" s="52"/>
      <c r="B1017" s="52"/>
      <c r="C1017" s="52"/>
      <c r="D1017" s="53"/>
      <c r="E1017" s="53"/>
      <c r="F1017" s="53"/>
      <c r="G1017" s="53"/>
      <c r="H1017" s="52"/>
      <c r="I1017" s="52"/>
      <c r="J1017" s="52"/>
      <c r="K1017" s="53"/>
      <c r="L1017" s="52"/>
      <c r="M1017" s="55"/>
      <c r="N1017" s="55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  <c r="AA1017" s="52"/>
      <c r="AB1017" s="52"/>
      <c r="AC1017" s="52"/>
      <c r="AD1017" s="52"/>
      <c r="AE1017" s="52"/>
      <c r="AF1017" s="52"/>
      <c r="AG1017" s="52"/>
      <c r="AH1017" s="52"/>
      <c r="AI1017" s="52"/>
      <c r="AJ1017" s="52"/>
      <c r="AK1017" s="52"/>
      <c r="AL1017" s="55"/>
      <c r="AM1017" s="52"/>
      <c r="AN1017" s="52"/>
      <c r="AO1017" s="52"/>
      <c r="AP1017" s="52"/>
      <c r="AQ1017" s="52"/>
      <c r="AR1017" s="52"/>
      <c r="AS1017" s="52"/>
      <c r="AT1017" s="52"/>
      <c r="AU1017" s="52"/>
      <c r="AV1017" s="52"/>
      <c r="AW1017" s="52"/>
    </row>
    <row r="1018" spans="1:49">
      <c r="A1018" s="52"/>
      <c r="B1018" s="52"/>
      <c r="C1018" s="52"/>
      <c r="D1018" s="53"/>
      <c r="E1018" s="53"/>
      <c r="F1018" s="53"/>
      <c r="G1018" s="53"/>
      <c r="H1018" s="53"/>
      <c r="I1018" s="52"/>
      <c r="J1018" s="52"/>
      <c r="K1018" s="53"/>
      <c r="L1018" s="52"/>
      <c r="M1018" s="54"/>
      <c r="N1018" s="54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I1018" s="53"/>
      <c r="AJ1018" s="53"/>
      <c r="AK1018" s="53"/>
      <c r="AL1018" s="55"/>
      <c r="AM1018" s="52"/>
      <c r="AN1018" s="55"/>
      <c r="AO1018" s="52"/>
      <c r="AP1018" s="55"/>
      <c r="AQ1018" s="52"/>
      <c r="AR1018" s="52"/>
      <c r="AS1018" s="52"/>
      <c r="AT1018" s="52"/>
      <c r="AU1018" s="52"/>
      <c r="AV1018" s="52"/>
      <c r="AW1018" s="52"/>
    </row>
    <row r="1019" spans="1:49">
      <c r="A1019" s="52"/>
      <c r="B1019" s="52"/>
      <c r="C1019" s="52"/>
      <c r="D1019" s="53"/>
      <c r="E1019" s="53"/>
      <c r="F1019" s="53"/>
      <c r="G1019" s="53"/>
      <c r="H1019" s="53"/>
      <c r="I1019" s="52"/>
      <c r="J1019" s="52"/>
      <c r="K1019" s="53"/>
      <c r="L1019" s="52"/>
      <c r="M1019" s="54"/>
      <c r="N1019" s="54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  <c r="AA1019" s="52"/>
      <c r="AB1019" s="52"/>
      <c r="AC1019" s="52"/>
      <c r="AD1019" s="52"/>
      <c r="AE1019" s="52"/>
      <c r="AF1019" s="52"/>
      <c r="AG1019" s="52"/>
      <c r="AH1019" s="52"/>
      <c r="AI1019" s="53"/>
      <c r="AJ1019" s="53"/>
      <c r="AK1019" s="53"/>
      <c r="AL1019" s="55"/>
      <c r="AM1019" s="52"/>
      <c r="AN1019" s="55"/>
      <c r="AO1019" s="52"/>
      <c r="AP1019" s="55"/>
      <c r="AQ1019" s="52"/>
      <c r="AR1019" s="52"/>
      <c r="AS1019" s="52"/>
      <c r="AT1019" s="52"/>
      <c r="AU1019" s="52"/>
      <c r="AV1019" s="52"/>
      <c r="AW1019" s="52"/>
    </row>
    <row r="1020" spans="1:49">
      <c r="A1020" s="52"/>
      <c r="B1020" s="52"/>
      <c r="C1020" s="52"/>
      <c r="D1020" s="53"/>
      <c r="E1020" s="53"/>
      <c r="F1020" s="53"/>
      <c r="G1020" s="53"/>
      <c r="H1020" s="53"/>
      <c r="I1020" s="52"/>
      <c r="J1020" s="52"/>
      <c r="K1020" s="53"/>
      <c r="L1020" s="52"/>
      <c r="M1020" s="55"/>
      <c r="N1020" s="55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  <c r="AA1020" s="52"/>
      <c r="AB1020" s="52"/>
      <c r="AC1020" s="52"/>
      <c r="AD1020" s="52"/>
      <c r="AE1020" s="52"/>
      <c r="AF1020" s="52"/>
      <c r="AG1020" s="52"/>
      <c r="AH1020" s="52"/>
      <c r="AI1020" s="53"/>
      <c r="AJ1020" s="53"/>
      <c r="AK1020" s="53"/>
      <c r="AL1020" s="55"/>
      <c r="AM1020" s="52"/>
      <c r="AN1020" s="55"/>
      <c r="AO1020" s="52"/>
      <c r="AP1020" s="55"/>
      <c r="AQ1020" s="52"/>
      <c r="AR1020" s="52"/>
      <c r="AS1020" s="52"/>
      <c r="AT1020" s="52"/>
      <c r="AU1020" s="52"/>
      <c r="AV1020" s="52"/>
      <c r="AW1020" s="52"/>
    </row>
    <row r="1021" spans="1:49">
      <c r="A1021" s="52"/>
      <c r="B1021" s="52"/>
      <c r="C1021" s="52"/>
      <c r="D1021" s="53"/>
      <c r="E1021" s="53"/>
      <c r="F1021" s="53"/>
      <c r="G1021" s="53"/>
      <c r="H1021" s="53"/>
      <c r="I1021" s="52"/>
      <c r="J1021" s="52"/>
      <c r="K1021" s="53"/>
      <c r="L1021" s="52"/>
      <c r="M1021" s="55"/>
      <c r="N1021" s="55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  <c r="AA1021" s="52"/>
      <c r="AB1021" s="52"/>
      <c r="AC1021" s="52"/>
      <c r="AD1021" s="52"/>
      <c r="AE1021" s="52"/>
      <c r="AF1021" s="52"/>
      <c r="AG1021" s="52"/>
      <c r="AH1021" s="52"/>
      <c r="AI1021" s="53"/>
      <c r="AJ1021" s="53"/>
      <c r="AK1021" s="53"/>
      <c r="AL1021" s="55"/>
      <c r="AM1021" s="52"/>
      <c r="AN1021" s="55"/>
      <c r="AO1021" s="52"/>
      <c r="AP1021" s="55"/>
      <c r="AQ1021" s="52"/>
      <c r="AR1021" s="52"/>
      <c r="AS1021" s="52"/>
      <c r="AT1021" s="52"/>
      <c r="AU1021" s="52"/>
      <c r="AV1021" s="52"/>
      <c r="AW1021" s="52"/>
    </row>
    <row r="1022" spans="1:49">
      <c r="A1022" s="52"/>
      <c r="B1022" s="52"/>
      <c r="C1022" s="52"/>
      <c r="D1022" s="53"/>
      <c r="E1022" s="53"/>
      <c r="F1022" s="52"/>
      <c r="G1022" s="52"/>
      <c r="H1022" s="52"/>
      <c r="I1022" s="52"/>
      <c r="J1022" s="52"/>
      <c r="K1022" s="52"/>
      <c r="L1022" s="52"/>
      <c r="M1022" s="55"/>
      <c r="N1022" s="54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  <c r="AA1022" s="52"/>
      <c r="AB1022" s="52"/>
      <c r="AC1022" s="52"/>
      <c r="AD1022" s="52"/>
      <c r="AE1022" s="52"/>
      <c r="AF1022" s="52"/>
      <c r="AG1022" s="52"/>
      <c r="AH1022" s="52"/>
      <c r="AI1022" s="52"/>
      <c r="AJ1022" s="52"/>
      <c r="AK1022" s="52"/>
      <c r="AL1022" s="52"/>
      <c r="AM1022" s="52"/>
      <c r="AN1022" s="52"/>
      <c r="AO1022" s="52"/>
      <c r="AP1022" s="52"/>
      <c r="AQ1022" s="52"/>
      <c r="AR1022" s="52"/>
      <c r="AS1022" s="52"/>
      <c r="AT1022" s="52"/>
      <c r="AU1022" s="52"/>
      <c r="AV1022" s="52"/>
      <c r="AW1022" s="52"/>
    </row>
    <row r="1023" spans="1:49">
      <c r="A1023" s="52"/>
      <c r="B1023" s="52"/>
      <c r="C1023" s="52"/>
      <c r="D1023" s="53"/>
      <c r="E1023" s="53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  <c r="AA1023" s="52"/>
      <c r="AB1023" s="52"/>
      <c r="AC1023" s="52"/>
      <c r="AD1023" s="52"/>
      <c r="AE1023" s="52"/>
      <c r="AF1023" s="52"/>
      <c r="AG1023" s="52"/>
      <c r="AH1023" s="52"/>
      <c r="AI1023" s="52"/>
      <c r="AJ1023" s="52"/>
      <c r="AK1023" s="52"/>
      <c r="AL1023" s="52"/>
      <c r="AM1023" s="52"/>
      <c r="AN1023" s="52"/>
      <c r="AO1023" s="52"/>
      <c r="AP1023" s="52"/>
      <c r="AQ1023" s="52"/>
      <c r="AR1023" s="52"/>
      <c r="AS1023" s="52"/>
      <c r="AT1023" s="52"/>
      <c r="AU1023" s="52"/>
      <c r="AV1023" s="52"/>
      <c r="AW1023" s="52"/>
    </row>
    <row r="1024" spans="1:49">
      <c r="A1024" s="52"/>
      <c r="B1024" s="52"/>
      <c r="C1024" s="52"/>
      <c r="D1024" s="53"/>
      <c r="E1024" s="53"/>
      <c r="F1024" s="53"/>
      <c r="G1024" s="53"/>
      <c r="H1024" s="53"/>
      <c r="I1024" s="52"/>
      <c r="J1024" s="52"/>
      <c r="K1024" s="53"/>
      <c r="L1024" s="52"/>
      <c r="M1024" s="55"/>
      <c r="N1024" s="55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  <c r="AA1024" s="52"/>
      <c r="AB1024" s="52"/>
      <c r="AC1024" s="52"/>
      <c r="AD1024" s="52"/>
      <c r="AE1024" s="52"/>
      <c r="AF1024" s="52"/>
      <c r="AG1024" s="52"/>
      <c r="AH1024" s="52"/>
      <c r="AI1024" s="52"/>
      <c r="AJ1024" s="52"/>
      <c r="AK1024" s="52"/>
      <c r="AL1024" s="52"/>
      <c r="AM1024" s="52"/>
      <c r="AN1024" s="52"/>
      <c r="AO1024" s="52"/>
      <c r="AP1024" s="52"/>
      <c r="AQ1024" s="52"/>
      <c r="AR1024" s="52"/>
      <c r="AS1024" s="52"/>
      <c r="AT1024" s="52"/>
      <c r="AU1024" s="52"/>
      <c r="AV1024" s="52"/>
      <c r="AW1024" s="52"/>
    </row>
    <row r="1025" spans="1:49">
      <c r="A1025" s="52"/>
      <c r="B1025" s="52"/>
      <c r="C1025" s="52"/>
      <c r="D1025" s="53"/>
      <c r="E1025" s="53"/>
      <c r="F1025" s="53"/>
      <c r="G1025" s="53"/>
      <c r="H1025" s="53"/>
      <c r="I1025" s="52"/>
      <c r="J1025" s="52"/>
      <c r="K1025" s="53"/>
      <c r="L1025" s="52"/>
      <c r="M1025" s="54"/>
      <c r="N1025" s="54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  <c r="AA1025" s="52"/>
      <c r="AB1025" s="52"/>
      <c r="AC1025" s="52"/>
      <c r="AD1025" s="52"/>
      <c r="AE1025" s="52"/>
      <c r="AF1025" s="52"/>
      <c r="AG1025" s="52"/>
      <c r="AH1025" s="52"/>
      <c r="AI1025" s="52"/>
      <c r="AJ1025" s="52"/>
      <c r="AK1025" s="52"/>
      <c r="AL1025" s="55"/>
      <c r="AM1025" s="52"/>
      <c r="AN1025" s="52"/>
      <c r="AO1025" s="55"/>
      <c r="AP1025" s="55"/>
      <c r="AQ1025" s="52"/>
      <c r="AR1025" s="52"/>
      <c r="AS1025" s="52"/>
      <c r="AT1025" s="52"/>
      <c r="AU1025" s="52"/>
      <c r="AV1025" s="52"/>
      <c r="AW1025" s="52"/>
    </row>
    <row r="1026" spans="1:49">
      <c r="A1026" s="52"/>
      <c r="B1026" s="52"/>
      <c r="C1026" s="52"/>
      <c r="D1026" s="53"/>
      <c r="E1026" s="53"/>
      <c r="F1026" s="53"/>
      <c r="G1026" s="53"/>
      <c r="H1026" s="53"/>
      <c r="I1026" s="52"/>
      <c r="J1026" s="52"/>
      <c r="K1026" s="53"/>
      <c r="L1026" s="52"/>
      <c r="M1026" s="54"/>
      <c r="N1026" s="54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  <c r="AA1026" s="52"/>
      <c r="AB1026" s="52"/>
      <c r="AC1026" s="52"/>
      <c r="AD1026" s="52"/>
      <c r="AE1026" s="52"/>
      <c r="AF1026" s="52"/>
      <c r="AG1026" s="52"/>
      <c r="AH1026" s="52"/>
      <c r="AI1026" s="52"/>
      <c r="AJ1026" s="52"/>
      <c r="AK1026" s="52"/>
      <c r="AL1026" s="55"/>
      <c r="AM1026" s="52"/>
      <c r="AN1026" s="52"/>
      <c r="AO1026" s="55"/>
      <c r="AP1026" s="55"/>
      <c r="AQ1026" s="52"/>
      <c r="AR1026" s="52"/>
      <c r="AS1026" s="52"/>
      <c r="AT1026" s="52"/>
      <c r="AU1026" s="52"/>
      <c r="AV1026" s="52"/>
      <c r="AW1026" s="52"/>
    </row>
    <row r="1027" spans="1:49">
      <c r="A1027" s="52"/>
      <c r="B1027" s="52"/>
      <c r="C1027" s="52"/>
      <c r="D1027" s="53"/>
      <c r="E1027" s="53"/>
      <c r="F1027" s="53"/>
      <c r="G1027" s="53"/>
      <c r="H1027" s="53"/>
      <c r="I1027" s="52"/>
      <c r="J1027" s="52"/>
      <c r="K1027" s="53"/>
      <c r="L1027" s="52"/>
      <c r="M1027" s="55"/>
      <c r="N1027" s="55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  <c r="AA1027" s="52"/>
      <c r="AB1027" s="52"/>
      <c r="AC1027" s="52"/>
      <c r="AD1027" s="52"/>
      <c r="AE1027" s="52"/>
      <c r="AF1027" s="52"/>
      <c r="AG1027" s="52"/>
      <c r="AH1027" s="52"/>
      <c r="AI1027" s="52"/>
      <c r="AJ1027" s="52"/>
      <c r="AK1027" s="52"/>
      <c r="AL1027" s="52"/>
      <c r="AM1027" s="52"/>
      <c r="AN1027" s="52"/>
      <c r="AO1027" s="52"/>
      <c r="AP1027" s="52"/>
      <c r="AQ1027" s="52"/>
      <c r="AR1027" s="52"/>
      <c r="AS1027" s="52"/>
      <c r="AT1027" s="52"/>
      <c r="AU1027" s="52"/>
      <c r="AV1027" s="52"/>
      <c r="AW1027" s="52"/>
    </row>
    <row r="1028" spans="1:49">
      <c r="A1028" s="52"/>
      <c r="B1028" s="52"/>
      <c r="C1028" s="52"/>
      <c r="D1028" s="53"/>
      <c r="E1028" s="53"/>
      <c r="F1028" s="53"/>
      <c r="G1028" s="53"/>
      <c r="H1028" s="53"/>
      <c r="I1028" s="52"/>
      <c r="J1028" s="52"/>
      <c r="K1028" s="53"/>
      <c r="L1028" s="52"/>
      <c r="M1028" s="54"/>
      <c r="N1028" s="54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  <c r="AA1028" s="52"/>
      <c r="AB1028" s="52"/>
      <c r="AC1028" s="52"/>
      <c r="AD1028" s="52"/>
      <c r="AE1028" s="52"/>
      <c r="AF1028" s="52"/>
      <c r="AG1028" s="52"/>
      <c r="AH1028" s="52"/>
      <c r="AI1028" s="52"/>
      <c r="AJ1028" s="52"/>
      <c r="AK1028" s="52"/>
      <c r="AL1028" s="55"/>
      <c r="AM1028" s="52"/>
      <c r="AN1028" s="52"/>
      <c r="AO1028" s="55"/>
      <c r="AP1028" s="55"/>
      <c r="AQ1028" s="52"/>
      <c r="AR1028" s="52"/>
      <c r="AS1028" s="52"/>
      <c r="AT1028" s="52"/>
      <c r="AU1028" s="52"/>
      <c r="AV1028" s="52"/>
      <c r="AW1028" s="52"/>
    </row>
    <row r="1029" spans="1:49">
      <c r="A1029" s="52"/>
      <c r="B1029" s="52"/>
      <c r="C1029" s="52"/>
      <c r="D1029" s="53"/>
      <c r="E1029" s="53"/>
      <c r="F1029" s="53"/>
      <c r="G1029" s="53"/>
      <c r="H1029" s="53"/>
      <c r="I1029" s="52"/>
      <c r="J1029" s="52"/>
      <c r="K1029" s="53"/>
      <c r="L1029" s="52"/>
      <c r="M1029" s="54"/>
      <c r="N1029" s="54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  <c r="AA1029" s="52"/>
      <c r="AB1029" s="52"/>
      <c r="AC1029" s="52"/>
      <c r="AD1029" s="52"/>
      <c r="AE1029" s="52"/>
      <c r="AF1029" s="52"/>
      <c r="AG1029" s="52"/>
      <c r="AH1029" s="52"/>
      <c r="AI1029" s="52"/>
      <c r="AJ1029" s="52"/>
      <c r="AK1029" s="52"/>
      <c r="AL1029" s="55"/>
      <c r="AM1029" s="52"/>
      <c r="AN1029" s="52"/>
      <c r="AO1029" s="55"/>
      <c r="AP1029" s="55"/>
      <c r="AQ1029" s="52"/>
      <c r="AR1029" s="52"/>
      <c r="AS1029" s="52"/>
      <c r="AT1029" s="52"/>
      <c r="AU1029" s="52"/>
      <c r="AV1029" s="52"/>
      <c r="AW1029" s="52"/>
    </row>
    <row r="1030" spans="1:49">
      <c r="A1030" s="52"/>
      <c r="B1030" s="52"/>
      <c r="C1030" s="52"/>
      <c r="D1030" s="53"/>
      <c r="E1030" s="53"/>
      <c r="F1030" s="53"/>
      <c r="G1030" s="53"/>
      <c r="H1030" s="52"/>
      <c r="I1030" s="52"/>
      <c r="J1030" s="52"/>
      <c r="K1030" s="52"/>
      <c r="L1030" s="52"/>
      <c r="M1030" s="55"/>
      <c r="N1030" s="55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  <c r="AA1030" s="52"/>
      <c r="AB1030" s="52"/>
      <c r="AC1030" s="52"/>
      <c r="AD1030" s="52"/>
      <c r="AE1030" s="52"/>
      <c r="AF1030" s="52"/>
      <c r="AG1030" s="52"/>
      <c r="AH1030" s="52"/>
      <c r="AI1030" s="52"/>
      <c r="AJ1030" s="52"/>
      <c r="AK1030" s="52"/>
      <c r="AL1030" s="52"/>
      <c r="AM1030" s="52"/>
      <c r="AN1030" s="52"/>
      <c r="AO1030" s="52"/>
      <c r="AP1030" s="52"/>
      <c r="AQ1030" s="52"/>
      <c r="AR1030" s="52"/>
      <c r="AS1030" s="52"/>
      <c r="AT1030" s="52"/>
      <c r="AU1030" s="52"/>
      <c r="AV1030" s="52"/>
      <c r="AW1030" s="52"/>
    </row>
    <row r="1031" spans="1:49">
      <c r="A1031" s="52"/>
      <c r="B1031" s="52"/>
      <c r="C1031" s="52"/>
      <c r="D1031" s="53"/>
      <c r="E1031" s="53"/>
      <c r="F1031" s="52"/>
      <c r="G1031" s="53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  <c r="AA1031" s="52"/>
      <c r="AB1031" s="52"/>
      <c r="AC1031" s="52"/>
      <c r="AD1031" s="52"/>
      <c r="AE1031" s="52"/>
      <c r="AF1031" s="52"/>
      <c r="AG1031" s="52"/>
      <c r="AH1031" s="52"/>
      <c r="AI1031" s="52"/>
      <c r="AJ1031" s="52"/>
      <c r="AK1031" s="52"/>
      <c r="AL1031" s="52"/>
      <c r="AM1031" s="52"/>
      <c r="AN1031" s="52"/>
      <c r="AO1031" s="52"/>
      <c r="AP1031" s="52"/>
      <c r="AQ1031" s="52"/>
      <c r="AR1031" s="52"/>
      <c r="AS1031" s="52"/>
      <c r="AT1031" s="52"/>
      <c r="AU1031" s="52"/>
      <c r="AV1031" s="52"/>
      <c r="AW1031" s="52"/>
    </row>
    <row r="1032" spans="1:49">
      <c r="A1032" s="52"/>
      <c r="B1032" s="52"/>
      <c r="C1032" s="52"/>
      <c r="D1032" s="53"/>
      <c r="E1032" s="53"/>
      <c r="F1032" s="52"/>
      <c r="G1032" s="53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  <c r="AA1032" s="52"/>
      <c r="AB1032" s="52"/>
      <c r="AC1032" s="52"/>
      <c r="AD1032" s="52"/>
      <c r="AE1032" s="52"/>
      <c r="AF1032" s="52"/>
      <c r="AG1032" s="52"/>
      <c r="AH1032" s="52"/>
      <c r="AI1032" s="52"/>
      <c r="AJ1032" s="52"/>
      <c r="AK1032" s="52"/>
      <c r="AL1032" s="52"/>
      <c r="AM1032" s="52"/>
      <c r="AN1032" s="52"/>
      <c r="AO1032" s="52"/>
      <c r="AP1032" s="52"/>
      <c r="AQ1032" s="52"/>
      <c r="AR1032" s="52"/>
      <c r="AS1032" s="52"/>
      <c r="AT1032" s="52"/>
      <c r="AU1032" s="52"/>
      <c r="AV1032" s="52"/>
      <c r="AW1032" s="52"/>
    </row>
    <row r="1033" spans="1:49">
      <c r="A1033" s="52"/>
      <c r="B1033" s="52"/>
      <c r="C1033" s="52"/>
      <c r="D1033" s="53"/>
      <c r="E1033" s="53"/>
      <c r="F1033" s="53"/>
      <c r="G1033" s="53"/>
      <c r="H1033" s="53"/>
      <c r="I1033" s="52"/>
      <c r="J1033" s="52"/>
      <c r="K1033" s="52"/>
      <c r="L1033" s="52"/>
      <c r="M1033" s="54"/>
      <c r="N1033" s="54"/>
      <c r="O1033" s="52"/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  <c r="AA1033" s="52"/>
      <c r="AB1033" s="52"/>
      <c r="AC1033" s="52"/>
      <c r="AD1033" s="52"/>
      <c r="AE1033" s="52"/>
      <c r="AF1033" s="52"/>
      <c r="AG1033" s="52"/>
      <c r="AH1033" s="52"/>
      <c r="AI1033" s="52"/>
      <c r="AJ1033" s="52"/>
      <c r="AK1033" s="52"/>
      <c r="AL1033" s="55"/>
      <c r="AM1033" s="52"/>
      <c r="AN1033" s="52"/>
      <c r="AO1033" s="52"/>
      <c r="AP1033" s="55"/>
      <c r="AQ1033" s="52"/>
      <c r="AR1033" s="52"/>
      <c r="AS1033" s="52"/>
      <c r="AT1033" s="52"/>
      <c r="AU1033" s="52"/>
      <c r="AV1033" s="52"/>
      <c r="AW1033" s="52"/>
    </row>
    <row r="1034" spans="1:49">
      <c r="A1034" s="52"/>
      <c r="B1034" s="52"/>
      <c r="C1034" s="52"/>
      <c r="D1034" s="53"/>
      <c r="E1034" s="53"/>
      <c r="F1034" s="53"/>
      <c r="G1034" s="53"/>
      <c r="H1034" s="53"/>
      <c r="I1034" s="52"/>
      <c r="J1034" s="52"/>
      <c r="K1034" s="52"/>
      <c r="L1034" s="52"/>
      <c r="M1034" s="54"/>
      <c r="N1034" s="54"/>
      <c r="O1034" s="52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  <c r="AA1034" s="52"/>
      <c r="AB1034" s="52"/>
      <c r="AC1034" s="52"/>
      <c r="AD1034" s="52"/>
      <c r="AE1034" s="52"/>
      <c r="AF1034" s="52"/>
      <c r="AG1034" s="52"/>
      <c r="AH1034" s="52"/>
      <c r="AI1034" s="52"/>
      <c r="AJ1034" s="52"/>
      <c r="AK1034" s="52"/>
      <c r="AL1034" s="55"/>
      <c r="AM1034" s="52"/>
      <c r="AN1034" s="52"/>
      <c r="AO1034" s="52"/>
      <c r="AP1034" s="55"/>
      <c r="AQ1034" s="52"/>
      <c r="AR1034" s="52"/>
      <c r="AS1034" s="52"/>
      <c r="AT1034" s="52"/>
      <c r="AU1034" s="52"/>
      <c r="AV1034" s="52"/>
      <c r="AW1034" s="52"/>
    </row>
    <row r="1035" spans="1:49">
      <c r="A1035" s="52"/>
      <c r="B1035" s="52"/>
      <c r="C1035" s="52"/>
      <c r="D1035" s="53"/>
      <c r="E1035" s="53"/>
      <c r="F1035" s="53"/>
      <c r="G1035" s="53"/>
      <c r="H1035" s="53"/>
      <c r="I1035" s="52"/>
      <c r="J1035" s="52"/>
      <c r="K1035" s="52"/>
      <c r="L1035" s="52"/>
      <c r="M1035" s="55"/>
      <c r="N1035" s="54"/>
      <c r="O1035" s="52"/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  <c r="AA1035" s="52"/>
      <c r="AB1035" s="52"/>
      <c r="AC1035" s="52"/>
      <c r="AD1035" s="52"/>
      <c r="AE1035" s="52"/>
      <c r="AF1035" s="52"/>
      <c r="AG1035" s="52"/>
      <c r="AH1035" s="52"/>
      <c r="AI1035" s="52"/>
      <c r="AJ1035" s="52"/>
      <c r="AK1035" s="52"/>
      <c r="AL1035" s="55"/>
      <c r="AM1035" s="52"/>
      <c r="AN1035" s="52"/>
      <c r="AO1035" s="52"/>
      <c r="AP1035" s="55"/>
      <c r="AQ1035" s="52"/>
      <c r="AR1035" s="52"/>
      <c r="AS1035" s="52"/>
      <c r="AT1035" s="52"/>
      <c r="AU1035" s="52"/>
      <c r="AV1035" s="52"/>
      <c r="AW1035" s="52"/>
    </row>
    <row r="1036" spans="1:49">
      <c r="A1036" s="52"/>
      <c r="B1036" s="52"/>
      <c r="C1036" s="52"/>
      <c r="D1036" s="53"/>
      <c r="E1036" s="53"/>
      <c r="F1036" s="53"/>
      <c r="G1036" s="53"/>
      <c r="H1036" s="53"/>
      <c r="I1036" s="52"/>
      <c r="J1036" s="52"/>
      <c r="K1036" s="52"/>
      <c r="L1036" s="52"/>
      <c r="M1036" s="55"/>
      <c r="N1036" s="54"/>
      <c r="O1036" s="52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  <c r="AA1036" s="52"/>
      <c r="AB1036" s="52"/>
      <c r="AC1036" s="52"/>
      <c r="AD1036" s="52"/>
      <c r="AE1036" s="52"/>
      <c r="AF1036" s="52"/>
      <c r="AG1036" s="52"/>
      <c r="AH1036" s="52"/>
      <c r="AI1036" s="52"/>
      <c r="AJ1036" s="52"/>
      <c r="AK1036" s="52"/>
      <c r="AL1036" s="55"/>
      <c r="AM1036" s="52"/>
      <c r="AN1036" s="52"/>
      <c r="AO1036" s="52"/>
      <c r="AP1036" s="55"/>
      <c r="AQ1036" s="52"/>
      <c r="AR1036" s="52"/>
      <c r="AS1036" s="52"/>
      <c r="AT1036" s="52"/>
      <c r="AU1036" s="52"/>
      <c r="AV1036" s="52"/>
      <c r="AW1036" s="52"/>
    </row>
    <row r="1037" spans="1:49">
      <c r="A1037" s="52"/>
      <c r="B1037" s="52"/>
      <c r="C1037" s="52"/>
      <c r="D1037" s="53"/>
      <c r="E1037" s="53"/>
      <c r="F1037" s="53"/>
      <c r="G1037" s="53"/>
      <c r="H1037" s="52"/>
      <c r="I1037" s="52"/>
      <c r="J1037" s="52"/>
      <c r="K1037" s="53"/>
      <c r="L1037" s="52"/>
      <c r="M1037" s="55"/>
      <c r="N1037" s="55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  <c r="AA1037" s="52"/>
      <c r="AB1037" s="52"/>
      <c r="AC1037" s="52"/>
      <c r="AD1037" s="52"/>
      <c r="AE1037" s="52"/>
      <c r="AF1037" s="52"/>
      <c r="AG1037" s="52"/>
      <c r="AH1037" s="52"/>
      <c r="AI1037" s="52"/>
      <c r="AJ1037" s="52"/>
      <c r="AK1037" s="52"/>
      <c r="AL1037" s="55"/>
      <c r="AM1037" s="52"/>
      <c r="AN1037" s="52"/>
      <c r="AO1037" s="52"/>
      <c r="AP1037" s="52"/>
      <c r="AQ1037" s="52"/>
      <c r="AR1037" s="52"/>
      <c r="AS1037" s="52"/>
      <c r="AT1037" s="52"/>
      <c r="AU1037" s="52"/>
      <c r="AV1037" s="52"/>
      <c r="AW1037" s="52"/>
    </row>
    <row r="1038" spans="1:49">
      <c r="A1038" s="52"/>
      <c r="B1038" s="52"/>
      <c r="C1038" s="52"/>
      <c r="D1038" s="53"/>
      <c r="E1038" s="53"/>
      <c r="F1038" s="53"/>
      <c r="G1038" s="53"/>
      <c r="H1038" s="53"/>
      <c r="I1038" s="52"/>
      <c r="J1038" s="52"/>
      <c r="K1038" s="53"/>
      <c r="L1038" s="52"/>
      <c r="M1038" s="54"/>
      <c r="N1038" s="54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  <c r="AA1038" s="52"/>
      <c r="AB1038" s="52"/>
      <c r="AC1038" s="52"/>
      <c r="AD1038" s="52"/>
      <c r="AE1038" s="52"/>
      <c r="AF1038" s="52"/>
      <c r="AG1038" s="52"/>
      <c r="AH1038" s="52"/>
      <c r="AI1038" s="53"/>
      <c r="AJ1038" s="53"/>
      <c r="AK1038" s="53"/>
      <c r="AL1038" s="55"/>
      <c r="AM1038" s="52"/>
      <c r="AN1038" s="55"/>
      <c r="AO1038" s="52"/>
      <c r="AP1038" s="55"/>
      <c r="AQ1038" s="52"/>
      <c r="AR1038" s="52"/>
      <c r="AS1038" s="52"/>
      <c r="AT1038" s="52"/>
      <c r="AU1038" s="52"/>
      <c r="AV1038" s="52"/>
      <c r="AW1038" s="52"/>
    </row>
    <row r="1039" spans="1:49">
      <c r="A1039" s="52"/>
      <c r="B1039" s="52"/>
      <c r="C1039" s="52"/>
      <c r="D1039" s="53"/>
      <c r="E1039" s="53"/>
      <c r="F1039" s="53"/>
      <c r="G1039" s="53"/>
      <c r="H1039" s="53"/>
      <c r="I1039" s="52"/>
      <c r="J1039" s="52"/>
      <c r="K1039" s="53"/>
      <c r="L1039" s="52"/>
      <c r="M1039" s="54"/>
      <c r="N1039" s="54"/>
      <c r="O1039" s="52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  <c r="AA1039" s="52"/>
      <c r="AB1039" s="52"/>
      <c r="AC1039" s="52"/>
      <c r="AD1039" s="52"/>
      <c r="AE1039" s="52"/>
      <c r="AF1039" s="52"/>
      <c r="AG1039" s="52"/>
      <c r="AH1039" s="52"/>
      <c r="AI1039" s="53"/>
      <c r="AJ1039" s="53"/>
      <c r="AK1039" s="53"/>
      <c r="AL1039" s="55"/>
      <c r="AM1039" s="52"/>
      <c r="AN1039" s="55"/>
      <c r="AO1039" s="52"/>
      <c r="AP1039" s="55"/>
      <c r="AQ1039" s="52"/>
      <c r="AR1039" s="52"/>
      <c r="AS1039" s="52"/>
      <c r="AT1039" s="52"/>
      <c r="AU1039" s="52"/>
      <c r="AV1039" s="52"/>
      <c r="AW1039" s="52"/>
    </row>
    <row r="1040" spans="1:49">
      <c r="A1040" s="52"/>
      <c r="B1040" s="52"/>
      <c r="C1040" s="52"/>
      <c r="D1040" s="53"/>
      <c r="E1040" s="53"/>
      <c r="F1040" s="53"/>
      <c r="G1040" s="53"/>
      <c r="H1040" s="53"/>
      <c r="I1040" s="52"/>
      <c r="J1040" s="52"/>
      <c r="K1040" s="53"/>
      <c r="L1040" s="52"/>
      <c r="M1040" s="55"/>
      <c r="N1040" s="54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  <c r="AA1040" s="52"/>
      <c r="AB1040" s="52"/>
      <c r="AC1040" s="52"/>
      <c r="AD1040" s="52"/>
      <c r="AE1040" s="52"/>
      <c r="AF1040" s="52"/>
      <c r="AG1040" s="52"/>
      <c r="AH1040" s="52"/>
      <c r="AI1040" s="53"/>
      <c r="AJ1040" s="53"/>
      <c r="AK1040" s="53"/>
      <c r="AL1040" s="55"/>
      <c r="AM1040" s="52"/>
      <c r="AN1040" s="55"/>
      <c r="AO1040" s="52"/>
      <c r="AP1040" s="55"/>
      <c r="AQ1040" s="52"/>
      <c r="AR1040" s="52"/>
      <c r="AS1040" s="52"/>
      <c r="AT1040" s="52"/>
      <c r="AU1040" s="52"/>
      <c r="AV1040" s="52"/>
      <c r="AW1040" s="52"/>
    </row>
    <row r="1041" spans="1:49">
      <c r="A1041" s="52"/>
      <c r="B1041" s="52"/>
      <c r="C1041" s="52"/>
      <c r="D1041" s="53"/>
      <c r="E1041" s="53"/>
      <c r="F1041" s="53"/>
      <c r="G1041" s="53"/>
      <c r="H1041" s="53"/>
      <c r="I1041" s="52"/>
      <c r="J1041" s="52"/>
      <c r="K1041" s="53"/>
      <c r="L1041" s="52"/>
      <c r="M1041" s="55"/>
      <c r="N1041" s="54"/>
      <c r="O1041" s="52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  <c r="AA1041" s="52"/>
      <c r="AB1041" s="52"/>
      <c r="AC1041" s="52"/>
      <c r="AD1041" s="52"/>
      <c r="AE1041" s="52"/>
      <c r="AF1041" s="52"/>
      <c r="AG1041" s="52"/>
      <c r="AH1041" s="52"/>
      <c r="AI1041" s="53"/>
      <c r="AJ1041" s="53"/>
      <c r="AK1041" s="53"/>
      <c r="AL1041" s="55"/>
      <c r="AM1041" s="52"/>
      <c r="AN1041" s="55"/>
      <c r="AO1041" s="52"/>
      <c r="AP1041" s="55"/>
      <c r="AQ1041" s="52"/>
      <c r="AR1041" s="52"/>
      <c r="AS1041" s="52"/>
      <c r="AT1041" s="52"/>
      <c r="AU1041" s="52"/>
      <c r="AV1041" s="52"/>
      <c r="AW1041" s="52"/>
    </row>
    <row r="1042" spans="1:49">
      <c r="A1042" s="52"/>
      <c r="B1042" s="52"/>
      <c r="C1042" s="52"/>
      <c r="D1042" s="53"/>
      <c r="E1042" s="53"/>
      <c r="F1042" s="53"/>
      <c r="G1042" s="53"/>
      <c r="H1042" s="53"/>
      <c r="I1042" s="52"/>
      <c r="J1042" s="52"/>
      <c r="K1042" s="52"/>
      <c r="L1042" s="52"/>
      <c r="M1042" s="55"/>
      <c r="N1042" s="54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2"/>
      <c r="AC1042" s="52"/>
      <c r="AD1042" s="52"/>
      <c r="AE1042" s="52"/>
      <c r="AF1042" s="52"/>
      <c r="AG1042" s="52"/>
      <c r="AH1042" s="52"/>
      <c r="AI1042" s="52"/>
      <c r="AJ1042" s="52"/>
      <c r="AK1042" s="52"/>
      <c r="AL1042" s="55"/>
      <c r="AM1042" s="52"/>
      <c r="AN1042" s="52"/>
      <c r="AO1042" s="52"/>
      <c r="AP1042" s="52"/>
      <c r="AQ1042" s="52"/>
      <c r="AR1042" s="52"/>
      <c r="AS1042" s="52"/>
      <c r="AT1042" s="52"/>
      <c r="AU1042" s="52"/>
      <c r="AV1042" s="52"/>
      <c r="AW1042" s="52"/>
    </row>
    <row r="1043" spans="1:49">
      <c r="A1043" s="52"/>
      <c r="B1043" s="52"/>
      <c r="C1043" s="52"/>
      <c r="D1043" s="53"/>
      <c r="E1043" s="53"/>
      <c r="F1043" s="53"/>
      <c r="G1043" s="53"/>
      <c r="H1043" s="53"/>
      <c r="I1043" s="52"/>
      <c r="J1043" s="52"/>
      <c r="K1043" s="53"/>
      <c r="L1043" s="52"/>
      <c r="M1043" s="55"/>
      <c r="N1043" s="55"/>
      <c r="O1043" s="52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  <c r="AA1043" s="52"/>
      <c r="AB1043" s="52"/>
      <c r="AC1043" s="52"/>
      <c r="AD1043" s="52"/>
      <c r="AE1043" s="52"/>
      <c r="AF1043" s="52"/>
      <c r="AG1043" s="52"/>
      <c r="AH1043" s="52"/>
      <c r="AI1043" s="53"/>
      <c r="AJ1043" s="53"/>
      <c r="AK1043" s="53"/>
      <c r="AL1043" s="55"/>
      <c r="AM1043" s="52"/>
      <c r="AN1043" s="55"/>
      <c r="AO1043" s="52"/>
      <c r="AP1043" s="55"/>
      <c r="AQ1043" s="52"/>
      <c r="AR1043" s="52"/>
      <c r="AS1043" s="52"/>
      <c r="AT1043" s="52"/>
      <c r="AU1043" s="52"/>
      <c r="AV1043" s="52"/>
      <c r="AW1043" s="52"/>
    </row>
    <row r="1044" spans="1:49">
      <c r="A1044" s="52"/>
      <c r="B1044" s="52"/>
      <c r="C1044" s="52"/>
      <c r="D1044" s="53"/>
      <c r="E1044" s="53"/>
      <c r="F1044" s="53"/>
      <c r="G1044" s="53"/>
      <c r="H1044" s="53"/>
      <c r="I1044" s="52"/>
      <c r="J1044" s="52"/>
      <c r="K1044" s="53"/>
      <c r="L1044" s="52"/>
      <c r="M1044" s="55"/>
      <c r="N1044" s="55"/>
      <c r="O1044" s="52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  <c r="AA1044" s="52"/>
      <c r="AB1044" s="52"/>
      <c r="AC1044" s="52"/>
      <c r="AD1044" s="52"/>
      <c r="AE1044" s="52"/>
      <c r="AF1044" s="52"/>
      <c r="AG1044" s="52"/>
      <c r="AH1044" s="52"/>
      <c r="AI1044" s="53"/>
      <c r="AJ1044" s="53"/>
      <c r="AK1044" s="53"/>
      <c r="AL1044" s="55"/>
      <c r="AM1044" s="52"/>
      <c r="AN1044" s="55"/>
      <c r="AO1044" s="52"/>
      <c r="AP1044" s="55"/>
      <c r="AQ1044" s="52"/>
      <c r="AR1044" s="52"/>
      <c r="AS1044" s="52"/>
      <c r="AT1044" s="52"/>
      <c r="AU1044" s="52"/>
      <c r="AV1044" s="52"/>
      <c r="AW1044" s="52"/>
    </row>
    <row r="1045" spans="1:49">
      <c r="A1045" s="52"/>
      <c r="B1045" s="52"/>
      <c r="C1045" s="52"/>
      <c r="D1045" s="53"/>
      <c r="E1045" s="53"/>
      <c r="F1045" s="53"/>
      <c r="G1045" s="53"/>
      <c r="H1045" s="52"/>
      <c r="I1045" s="52"/>
      <c r="J1045" s="52"/>
      <c r="K1045" s="53"/>
      <c r="L1045" s="52"/>
      <c r="M1045" s="55"/>
      <c r="N1045" s="54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52"/>
      <c r="AD1045" s="52"/>
      <c r="AE1045" s="52"/>
      <c r="AF1045" s="52"/>
      <c r="AG1045" s="52"/>
      <c r="AH1045" s="52"/>
      <c r="AI1045" s="52"/>
      <c r="AJ1045" s="52"/>
      <c r="AK1045" s="52"/>
      <c r="AL1045" s="55"/>
      <c r="AM1045" s="52"/>
      <c r="AN1045" s="52"/>
      <c r="AO1045" s="52"/>
      <c r="AP1045" s="52"/>
      <c r="AQ1045" s="52"/>
      <c r="AR1045" s="52"/>
      <c r="AS1045" s="52"/>
      <c r="AT1045" s="52"/>
      <c r="AU1045" s="52"/>
      <c r="AV1045" s="52"/>
      <c r="AW1045" s="52"/>
    </row>
    <row r="1046" spans="1:49">
      <c r="A1046" s="52"/>
      <c r="B1046" s="52"/>
      <c r="C1046" s="52"/>
      <c r="D1046" s="53"/>
      <c r="E1046" s="53"/>
      <c r="F1046" s="53"/>
      <c r="G1046" s="53"/>
      <c r="H1046" s="53"/>
      <c r="I1046" s="52"/>
      <c r="J1046" s="52"/>
      <c r="K1046" s="53"/>
      <c r="L1046" s="52"/>
      <c r="M1046" s="54"/>
      <c r="N1046" s="55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52"/>
      <c r="AD1046" s="52"/>
      <c r="AE1046" s="52"/>
      <c r="AF1046" s="52"/>
      <c r="AG1046" s="52"/>
      <c r="AH1046" s="52"/>
      <c r="AI1046" s="53"/>
      <c r="AJ1046" s="53"/>
      <c r="AK1046" s="53"/>
      <c r="AL1046" s="55"/>
      <c r="AM1046" s="52"/>
      <c r="AN1046" s="55"/>
      <c r="AO1046" s="52"/>
      <c r="AP1046" s="55"/>
      <c r="AQ1046" s="52"/>
      <c r="AR1046" s="52"/>
      <c r="AS1046" s="52"/>
      <c r="AT1046" s="52"/>
      <c r="AU1046" s="52"/>
      <c r="AV1046" s="52"/>
      <c r="AW1046" s="52"/>
    </row>
    <row r="1047" spans="1:49">
      <c r="A1047" s="52"/>
      <c r="B1047" s="52"/>
      <c r="C1047" s="52"/>
      <c r="D1047" s="53"/>
      <c r="E1047" s="53"/>
      <c r="F1047" s="53"/>
      <c r="G1047" s="53"/>
      <c r="H1047" s="53"/>
      <c r="I1047" s="52"/>
      <c r="J1047" s="52"/>
      <c r="K1047" s="53"/>
      <c r="L1047" s="52"/>
      <c r="M1047" s="54"/>
      <c r="N1047" s="55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/>
      <c r="AB1047" s="52"/>
      <c r="AC1047" s="52"/>
      <c r="AD1047" s="52"/>
      <c r="AE1047" s="52"/>
      <c r="AF1047" s="52"/>
      <c r="AG1047" s="52"/>
      <c r="AH1047" s="52"/>
      <c r="AI1047" s="53"/>
      <c r="AJ1047" s="53"/>
      <c r="AK1047" s="53"/>
      <c r="AL1047" s="55"/>
      <c r="AM1047" s="52"/>
      <c r="AN1047" s="55"/>
      <c r="AO1047" s="52"/>
      <c r="AP1047" s="55"/>
      <c r="AQ1047" s="52"/>
      <c r="AR1047" s="52"/>
      <c r="AS1047" s="52"/>
      <c r="AT1047" s="52"/>
      <c r="AU1047" s="52"/>
      <c r="AV1047" s="52"/>
      <c r="AW1047" s="52"/>
    </row>
    <row r="1048" spans="1:49">
      <c r="A1048" s="52"/>
      <c r="B1048" s="52"/>
      <c r="C1048" s="52"/>
      <c r="D1048" s="53"/>
      <c r="E1048" s="53"/>
      <c r="F1048" s="53"/>
      <c r="G1048" s="53"/>
      <c r="H1048" s="52"/>
      <c r="I1048" s="52"/>
      <c r="J1048" s="52"/>
      <c r="K1048" s="53"/>
      <c r="L1048" s="52"/>
      <c r="M1048" s="54"/>
      <c r="N1048" s="54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/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52"/>
      <c r="AN1048" s="52"/>
      <c r="AO1048" s="52"/>
      <c r="AP1048" s="52"/>
      <c r="AQ1048" s="52"/>
      <c r="AR1048" s="52"/>
      <c r="AS1048" s="52"/>
      <c r="AT1048" s="52"/>
      <c r="AU1048" s="52"/>
      <c r="AV1048" s="52"/>
      <c r="AW1048" s="52"/>
    </row>
    <row r="1049" spans="1:49">
      <c r="A1049" s="52"/>
      <c r="B1049" s="52"/>
      <c r="C1049" s="52"/>
      <c r="D1049" s="53"/>
      <c r="E1049" s="53"/>
      <c r="F1049" s="52"/>
      <c r="G1049" s="53"/>
      <c r="H1049" s="52"/>
      <c r="I1049" s="52"/>
      <c r="J1049" s="52"/>
      <c r="K1049" s="53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  <c r="AA1049" s="52"/>
      <c r="AB1049" s="52"/>
      <c r="AC1049" s="52"/>
      <c r="AD1049" s="52"/>
      <c r="AE1049" s="52"/>
      <c r="AF1049" s="52"/>
      <c r="AG1049" s="52"/>
      <c r="AH1049" s="52"/>
      <c r="AI1049" s="53"/>
      <c r="AJ1049" s="52"/>
      <c r="AK1049" s="53"/>
      <c r="AL1049" s="52"/>
      <c r="AM1049" s="52"/>
      <c r="AN1049" s="52"/>
      <c r="AO1049" s="52"/>
      <c r="AP1049" s="52"/>
      <c r="AQ1049" s="52"/>
      <c r="AR1049" s="52"/>
      <c r="AS1049" s="52"/>
      <c r="AT1049" s="52"/>
      <c r="AU1049" s="52"/>
      <c r="AV1049" s="52"/>
      <c r="AW1049" s="52"/>
    </row>
    <row r="1050" spans="1:49">
      <c r="A1050" s="52"/>
      <c r="B1050" s="52"/>
      <c r="C1050" s="52"/>
      <c r="D1050" s="53"/>
      <c r="E1050" s="53"/>
      <c r="F1050" s="52"/>
      <c r="G1050" s="53"/>
      <c r="H1050" s="52"/>
      <c r="I1050" s="52"/>
      <c r="J1050" s="52"/>
      <c r="K1050" s="53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  <c r="AA1050" s="52"/>
      <c r="AB1050" s="52"/>
      <c r="AC1050" s="52"/>
      <c r="AD1050" s="52"/>
      <c r="AE1050" s="52"/>
      <c r="AF1050" s="52"/>
      <c r="AG1050" s="52"/>
      <c r="AH1050" s="52"/>
      <c r="AI1050" s="53"/>
      <c r="AJ1050" s="52"/>
      <c r="AK1050" s="53"/>
      <c r="AL1050" s="52"/>
      <c r="AM1050" s="52"/>
      <c r="AN1050" s="52"/>
      <c r="AO1050" s="52"/>
      <c r="AP1050" s="52"/>
      <c r="AQ1050" s="52"/>
      <c r="AR1050" s="52"/>
      <c r="AS1050" s="52"/>
      <c r="AT1050" s="52"/>
      <c r="AU1050" s="52"/>
      <c r="AV1050" s="52"/>
      <c r="AW1050" s="52"/>
    </row>
    <row r="1051" spans="1:49">
      <c r="A1051" s="52"/>
      <c r="B1051" s="52"/>
      <c r="C1051" s="52"/>
      <c r="D1051" s="53"/>
      <c r="E1051" s="53"/>
      <c r="F1051" s="53"/>
      <c r="G1051" s="53"/>
      <c r="H1051" s="52"/>
      <c r="I1051" s="52"/>
      <c r="J1051" s="52"/>
      <c r="K1051" s="53"/>
      <c r="L1051" s="52"/>
      <c r="M1051" s="54"/>
      <c r="N1051" s="54"/>
      <c r="O1051" s="52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  <c r="AA1051" s="52"/>
      <c r="AB1051" s="52"/>
      <c r="AC1051" s="52"/>
      <c r="AD1051" s="52"/>
      <c r="AE1051" s="52"/>
      <c r="AF1051" s="52"/>
      <c r="AG1051" s="52"/>
      <c r="AH1051" s="52"/>
      <c r="AI1051" s="52"/>
      <c r="AJ1051" s="52"/>
      <c r="AK1051" s="52"/>
      <c r="AL1051" s="55"/>
      <c r="AM1051" s="52"/>
      <c r="AN1051" s="52"/>
      <c r="AO1051" s="52"/>
      <c r="AP1051" s="52"/>
      <c r="AQ1051" s="52"/>
      <c r="AR1051" s="52"/>
      <c r="AS1051" s="52"/>
      <c r="AT1051" s="52"/>
      <c r="AU1051" s="52"/>
      <c r="AV1051" s="52"/>
      <c r="AW1051" s="52"/>
    </row>
    <row r="1052" spans="1:49">
      <c r="A1052" s="52"/>
      <c r="B1052" s="52"/>
      <c r="C1052" s="52"/>
      <c r="D1052" s="53"/>
      <c r="E1052" s="53"/>
      <c r="F1052" s="53"/>
      <c r="G1052" s="53"/>
      <c r="H1052" s="52"/>
      <c r="I1052" s="52"/>
      <c r="J1052" s="52"/>
      <c r="K1052" s="53"/>
      <c r="L1052" s="52"/>
      <c r="M1052" s="54"/>
      <c r="N1052" s="54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52"/>
      <c r="AD1052" s="52"/>
      <c r="AE1052" s="52"/>
      <c r="AF1052" s="52"/>
      <c r="AG1052" s="52"/>
      <c r="AH1052" s="52"/>
      <c r="AI1052" s="53"/>
      <c r="AJ1052" s="53"/>
      <c r="AK1052" s="53"/>
      <c r="AL1052" s="55"/>
      <c r="AM1052" s="52"/>
      <c r="AN1052" s="55"/>
      <c r="AO1052" s="52"/>
      <c r="AP1052" s="55"/>
      <c r="AQ1052" s="52"/>
      <c r="AR1052" s="52"/>
      <c r="AS1052" s="52"/>
      <c r="AT1052" s="52"/>
      <c r="AU1052" s="52"/>
      <c r="AV1052" s="52"/>
      <c r="AW1052" s="52"/>
    </row>
    <row r="1053" spans="1:49">
      <c r="A1053" s="52"/>
      <c r="B1053" s="52"/>
      <c r="C1053" s="52"/>
      <c r="D1053" s="53"/>
      <c r="E1053" s="53"/>
      <c r="F1053" s="53"/>
      <c r="G1053" s="53"/>
      <c r="H1053" s="52"/>
      <c r="I1053" s="52"/>
      <c r="J1053" s="52"/>
      <c r="K1053" s="53"/>
      <c r="L1053" s="52"/>
      <c r="M1053" s="54"/>
      <c r="N1053" s="54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/>
      <c r="AB1053" s="52"/>
      <c r="AC1053" s="52"/>
      <c r="AD1053" s="52"/>
      <c r="AE1053" s="52"/>
      <c r="AF1053" s="52"/>
      <c r="AG1053" s="52"/>
      <c r="AH1053" s="52"/>
      <c r="AI1053" s="53"/>
      <c r="AJ1053" s="53"/>
      <c r="AK1053" s="53"/>
      <c r="AL1053" s="55"/>
      <c r="AM1053" s="52"/>
      <c r="AN1053" s="55"/>
      <c r="AO1053" s="52"/>
      <c r="AP1053" s="55"/>
      <c r="AQ1053" s="52"/>
      <c r="AR1053" s="52"/>
      <c r="AS1053" s="52"/>
      <c r="AT1053" s="52"/>
      <c r="AU1053" s="52"/>
      <c r="AV1053" s="52"/>
      <c r="AW1053" s="52"/>
    </row>
    <row r="1054" spans="1:49">
      <c r="A1054" s="52"/>
      <c r="B1054" s="52"/>
      <c r="C1054" s="52"/>
      <c r="D1054" s="53"/>
      <c r="E1054" s="53"/>
      <c r="F1054" s="53"/>
      <c r="G1054" s="53"/>
      <c r="H1054" s="52"/>
      <c r="I1054" s="52"/>
      <c r="J1054" s="52"/>
      <c r="K1054" s="53"/>
      <c r="L1054" s="52"/>
      <c r="M1054" s="54"/>
      <c r="N1054" s="54"/>
      <c r="O1054" s="52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  <c r="AA1054" s="52"/>
      <c r="AB1054" s="52"/>
      <c r="AC1054" s="52"/>
      <c r="AD1054" s="52"/>
      <c r="AE1054" s="52"/>
      <c r="AF1054" s="52"/>
      <c r="AG1054" s="52"/>
      <c r="AH1054" s="52"/>
      <c r="AI1054" s="52"/>
      <c r="AJ1054" s="52"/>
      <c r="AK1054" s="52"/>
      <c r="AL1054" s="55"/>
      <c r="AM1054" s="52"/>
      <c r="AN1054" s="52"/>
      <c r="AO1054" s="52"/>
      <c r="AP1054" s="52"/>
      <c r="AQ1054" s="52"/>
      <c r="AR1054" s="52"/>
      <c r="AS1054" s="52"/>
      <c r="AT1054" s="52"/>
      <c r="AU1054" s="52"/>
      <c r="AV1054" s="52"/>
      <c r="AW1054" s="52"/>
    </row>
    <row r="1055" spans="1:49">
      <c r="A1055" s="52"/>
      <c r="B1055" s="52"/>
      <c r="C1055" s="52"/>
      <c r="D1055" s="53"/>
      <c r="E1055" s="53"/>
      <c r="F1055" s="53"/>
      <c r="G1055" s="53"/>
      <c r="H1055" s="52"/>
      <c r="I1055" s="52"/>
      <c r="J1055" s="52"/>
      <c r="K1055" s="53"/>
      <c r="L1055" s="52"/>
      <c r="M1055" s="54"/>
      <c r="N1055" s="54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  <c r="AA1055" s="52"/>
      <c r="AB1055" s="52"/>
      <c r="AC1055" s="52"/>
      <c r="AD1055" s="52"/>
      <c r="AE1055" s="52"/>
      <c r="AF1055" s="52"/>
      <c r="AG1055" s="52"/>
      <c r="AH1055" s="52"/>
      <c r="AI1055" s="53"/>
      <c r="AJ1055" s="53"/>
      <c r="AK1055" s="53"/>
      <c r="AL1055" s="55"/>
      <c r="AM1055" s="52"/>
      <c r="AN1055" s="55"/>
      <c r="AO1055" s="52"/>
      <c r="AP1055" s="55"/>
      <c r="AQ1055" s="52"/>
      <c r="AR1055" s="52"/>
      <c r="AS1055" s="52"/>
      <c r="AT1055" s="52"/>
      <c r="AU1055" s="52"/>
      <c r="AV1055" s="52"/>
      <c r="AW1055" s="52"/>
    </row>
    <row r="1056" spans="1:49">
      <c r="A1056" s="52"/>
      <c r="B1056" s="52"/>
      <c r="C1056" s="52"/>
      <c r="D1056" s="53"/>
      <c r="E1056" s="53"/>
      <c r="F1056" s="53"/>
      <c r="G1056" s="53"/>
      <c r="H1056" s="52"/>
      <c r="I1056" s="52"/>
      <c r="J1056" s="52"/>
      <c r="K1056" s="53"/>
      <c r="L1056" s="52"/>
      <c r="M1056" s="54"/>
      <c r="N1056" s="54"/>
      <c r="O1056" s="52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  <c r="AA1056" s="52"/>
      <c r="AB1056" s="52"/>
      <c r="AC1056" s="52"/>
      <c r="AD1056" s="52"/>
      <c r="AE1056" s="52"/>
      <c r="AF1056" s="52"/>
      <c r="AG1056" s="52"/>
      <c r="AH1056" s="52"/>
      <c r="AI1056" s="53"/>
      <c r="AJ1056" s="53"/>
      <c r="AK1056" s="53"/>
      <c r="AL1056" s="55"/>
      <c r="AM1056" s="52"/>
      <c r="AN1056" s="55"/>
      <c r="AO1056" s="52"/>
      <c r="AP1056" s="55"/>
      <c r="AQ1056" s="52"/>
      <c r="AR1056" s="52"/>
      <c r="AS1056" s="52"/>
      <c r="AT1056" s="52"/>
      <c r="AU1056" s="52"/>
      <c r="AV1056" s="52"/>
      <c r="AW1056" s="52"/>
    </row>
    <row r="1057" spans="1:49">
      <c r="A1057" s="52"/>
      <c r="B1057" s="52"/>
      <c r="C1057" s="52"/>
      <c r="D1057" s="53"/>
      <c r="E1057" s="53"/>
      <c r="F1057" s="52"/>
      <c r="G1057" s="52"/>
      <c r="H1057" s="52"/>
      <c r="I1057" s="52"/>
      <c r="J1057" s="52"/>
      <c r="K1057" s="52"/>
      <c r="L1057" s="52"/>
      <c r="M1057" s="54"/>
      <c r="N1057" s="54"/>
      <c r="O1057" s="52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  <c r="AA1057" s="52"/>
      <c r="AB1057" s="52"/>
      <c r="AC1057" s="52"/>
      <c r="AD1057" s="52"/>
      <c r="AE1057" s="52"/>
      <c r="AF1057" s="52"/>
      <c r="AG1057" s="52"/>
      <c r="AH1057" s="52"/>
      <c r="AI1057" s="52"/>
      <c r="AJ1057" s="52"/>
      <c r="AK1057" s="52"/>
      <c r="AL1057" s="52"/>
      <c r="AM1057" s="52"/>
      <c r="AN1057" s="52"/>
      <c r="AO1057" s="52"/>
      <c r="AP1057" s="52"/>
      <c r="AQ1057" s="52"/>
      <c r="AR1057" s="52"/>
      <c r="AS1057" s="52"/>
      <c r="AT1057" s="52"/>
      <c r="AU1057" s="52"/>
      <c r="AV1057" s="52"/>
      <c r="AW1057" s="52"/>
    </row>
    <row r="1058" spans="1:49">
      <c r="A1058" s="52"/>
      <c r="B1058" s="52"/>
      <c r="C1058" s="52"/>
      <c r="D1058" s="53"/>
      <c r="E1058" s="53"/>
      <c r="F1058" s="52"/>
      <c r="G1058" s="52"/>
      <c r="H1058" s="52"/>
      <c r="I1058" s="52"/>
      <c r="J1058" s="52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  <c r="AA1058" s="52"/>
      <c r="AB1058" s="52"/>
      <c r="AC1058" s="52"/>
      <c r="AD1058" s="52"/>
      <c r="AE1058" s="52"/>
      <c r="AF1058" s="52"/>
      <c r="AG1058" s="52"/>
      <c r="AH1058" s="52"/>
      <c r="AI1058" s="52"/>
      <c r="AJ1058" s="52"/>
      <c r="AK1058" s="52"/>
      <c r="AL1058" s="52"/>
      <c r="AM1058" s="52"/>
      <c r="AN1058" s="52"/>
      <c r="AO1058" s="52"/>
      <c r="AP1058" s="52"/>
      <c r="AQ1058" s="52"/>
      <c r="AR1058" s="52"/>
      <c r="AS1058" s="52"/>
      <c r="AT1058" s="52"/>
      <c r="AU1058" s="52"/>
      <c r="AV1058" s="52"/>
      <c r="AW1058" s="52"/>
    </row>
    <row r="1059" spans="1:49">
      <c r="A1059" s="52"/>
      <c r="B1059" s="52"/>
      <c r="C1059" s="52"/>
      <c r="D1059" s="53"/>
      <c r="E1059" s="53"/>
      <c r="F1059" s="53"/>
      <c r="G1059" s="53"/>
      <c r="H1059" s="52"/>
      <c r="I1059" s="52"/>
      <c r="J1059" s="52"/>
      <c r="K1059" s="53"/>
      <c r="L1059" s="52"/>
      <c r="M1059" s="54"/>
      <c r="N1059" s="55"/>
      <c r="O1059" s="52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  <c r="AA1059" s="52"/>
      <c r="AB1059" s="52"/>
      <c r="AC1059" s="52"/>
      <c r="AD1059" s="52"/>
      <c r="AE1059" s="52"/>
      <c r="AF1059" s="52"/>
      <c r="AG1059" s="52"/>
      <c r="AH1059" s="52"/>
      <c r="AI1059" s="52"/>
      <c r="AJ1059" s="52"/>
      <c r="AK1059" s="52"/>
      <c r="AL1059" s="55"/>
      <c r="AM1059" s="52"/>
      <c r="AN1059" s="52"/>
      <c r="AO1059" s="52"/>
      <c r="AP1059" s="52"/>
      <c r="AQ1059" s="52"/>
      <c r="AR1059" s="52"/>
      <c r="AS1059" s="52"/>
      <c r="AT1059" s="52"/>
      <c r="AU1059" s="52"/>
      <c r="AV1059" s="52"/>
      <c r="AW1059" s="52"/>
    </row>
    <row r="1060" spans="1:49">
      <c r="A1060" s="52"/>
      <c r="B1060" s="52"/>
      <c r="C1060" s="52"/>
      <c r="D1060" s="53"/>
      <c r="E1060" s="53"/>
      <c r="F1060" s="53"/>
      <c r="G1060" s="53"/>
      <c r="H1060" s="52"/>
      <c r="I1060" s="52"/>
      <c r="J1060" s="52"/>
      <c r="K1060" s="53"/>
      <c r="L1060" s="52"/>
      <c r="M1060" s="54"/>
      <c r="N1060" s="55"/>
      <c r="O1060" s="52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  <c r="AA1060" s="52"/>
      <c r="AB1060" s="52"/>
      <c r="AC1060" s="52"/>
      <c r="AD1060" s="52"/>
      <c r="AE1060" s="52"/>
      <c r="AF1060" s="52"/>
      <c r="AG1060" s="52"/>
      <c r="AH1060" s="52"/>
      <c r="AI1060" s="53"/>
      <c r="AJ1060" s="53"/>
      <c r="AK1060" s="53"/>
      <c r="AL1060" s="55"/>
      <c r="AM1060" s="52"/>
      <c r="AN1060" s="55"/>
      <c r="AO1060" s="52"/>
      <c r="AP1060" s="55"/>
      <c r="AQ1060" s="52"/>
      <c r="AR1060" s="52"/>
      <c r="AS1060" s="52"/>
      <c r="AT1060" s="52"/>
      <c r="AU1060" s="52"/>
      <c r="AV1060" s="52"/>
      <c r="AW1060" s="52"/>
    </row>
    <row r="1061" spans="1:49">
      <c r="A1061" s="52"/>
      <c r="B1061" s="52"/>
      <c r="C1061" s="52"/>
      <c r="D1061" s="53"/>
      <c r="E1061" s="53"/>
      <c r="F1061" s="53"/>
      <c r="G1061" s="53"/>
      <c r="H1061" s="52"/>
      <c r="I1061" s="52"/>
      <c r="J1061" s="52"/>
      <c r="K1061" s="53"/>
      <c r="L1061" s="52"/>
      <c r="M1061" s="54"/>
      <c r="N1061" s="55"/>
      <c r="O1061" s="52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  <c r="AA1061" s="52"/>
      <c r="AB1061" s="52"/>
      <c r="AC1061" s="52"/>
      <c r="AD1061" s="52"/>
      <c r="AE1061" s="52"/>
      <c r="AF1061" s="52"/>
      <c r="AG1061" s="52"/>
      <c r="AH1061" s="52"/>
      <c r="AI1061" s="53"/>
      <c r="AJ1061" s="53"/>
      <c r="AK1061" s="53"/>
      <c r="AL1061" s="55"/>
      <c r="AM1061" s="52"/>
      <c r="AN1061" s="55"/>
      <c r="AO1061" s="52"/>
      <c r="AP1061" s="55"/>
      <c r="AQ1061" s="52"/>
      <c r="AR1061" s="52"/>
      <c r="AS1061" s="52"/>
      <c r="AT1061" s="52"/>
      <c r="AU1061" s="52"/>
      <c r="AV1061" s="52"/>
      <c r="AW1061" s="52"/>
    </row>
    <row r="1062" spans="1:49">
      <c r="A1062" s="52"/>
      <c r="B1062" s="52"/>
      <c r="C1062" s="52"/>
      <c r="D1062" s="53"/>
      <c r="E1062" s="53"/>
      <c r="F1062" s="53"/>
      <c r="G1062" s="53"/>
      <c r="H1062" s="52"/>
      <c r="I1062" s="52"/>
      <c r="J1062" s="52"/>
      <c r="K1062" s="52"/>
      <c r="L1062" s="52"/>
      <c r="M1062" s="54"/>
      <c r="N1062" s="54"/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  <c r="AA1062" s="52"/>
      <c r="AB1062" s="52"/>
      <c r="AC1062" s="52"/>
      <c r="AD1062" s="52"/>
      <c r="AE1062" s="52"/>
      <c r="AF1062" s="52"/>
      <c r="AG1062" s="52"/>
      <c r="AH1062" s="52"/>
      <c r="AI1062" s="52"/>
      <c r="AJ1062" s="52"/>
      <c r="AK1062" s="52"/>
      <c r="AL1062" s="52"/>
      <c r="AM1062" s="52"/>
      <c r="AN1062" s="52"/>
      <c r="AO1062" s="52"/>
      <c r="AP1062" s="52"/>
      <c r="AQ1062" s="52"/>
      <c r="AR1062" s="52"/>
      <c r="AS1062" s="52"/>
      <c r="AT1062" s="52"/>
      <c r="AU1062" s="52"/>
      <c r="AV1062" s="52"/>
      <c r="AW1062" s="52"/>
    </row>
    <row r="1063" spans="1:49">
      <c r="A1063" s="52"/>
      <c r="B1063" s="52"/>
      <c r="C1063" s="52"/>
      <c r="D1063" s="53"/>
      <c r="E1063" s="53"/>
      <c r="F1063" s="52"/>
      <c r="G1063" s="53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  <c r="AA1063" s="52"/>
      <c r="AB1063" s="52"/>
      <c r="AC1063" s="52"/>
      <c r="AD1063" s="52"/>
      <c r="AE1063" s="52"/>
      <c r="AF1063" s="52"/>
      <c r="AG1063" s="52"/>
      <c r="AH1063" s="52"/>
      <c r="AI1063" s="52"/>
      <c r="AJ1063" s="52"/>
      <c r="AK1063" s="52"/>
      <c r="AL1063" s="52"/>
      <c r="AM1063" s="52"/>
      <c r="AN1063" s="52"/>
      <c r="AO1063" s="52"/>
      <c r="AP1063" s="52"/>
      <c r="AQ1063" s="52"/>
      <c r="AR1063" s="52"/>
      <c r="AS1063" s="52"/>
      <c r="AT1063" s="52"/>
      <c r="AU1063" s="52"/>
      <c r="AV1063" s="52"/>
      <c r="AW1063" s="52"/>
    </row>
    <row r="1064" spans="1:49">
      <c r="A1064" s="52"/>
      <c r="B1064" s="52"/>
      <c r="C1064" s="52"/>
      <c r="D1064" s="53"/>
      <c r="E1064" s="53"/>
      <c r="F1064" s="52"/>
      <c r="G1064" s="53"/>
      <c r="H1064" s="52"/>
      <c r="I1064" s="52"/>
      <c r="J1064" s="52"/>
      <c r="K1064" s="52"/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  <c r="AA1064" s="52"/>
      <c r="AB1064" s="52"/>
      <c r="AC1064" s="52"/>
      <c r="AD1064" s="52"/>
      <c r="AE1064" s="52"/>
      <c r="AF1064" s="52"/>
      <c r="AG1064" s="52"/>
      <c r="AH1064" s="52"/>
      <c r="AI1064" s="52"/>
      <c r="AJ1064" s="52"/>
      <c r="AK1064" s="52"/>
      <c r="AL1064" s="52"/>
      <c r="AM1064" s="52"/>
      <c r="AN1064" s="52"/>
      <c r="AO1064" s="52"/>
      <c r="AP1064" s="52"/>
      <c r="AQ1064" s="52"/>
      <c r="AR1064" s="52"/>
      <c r="AS1064" s="52"/>
      <c r="AT1064" s="52"/>
      <c r="AU1064" s="52"/>
      <c r="AV1064" s="52"/>
      <c r="AW1064" s="52"/>
    </row>
    <row r="1065" spans="1:49">
      <c r="A1065" s="52"/>
      <c r="B1065" s="52"/>
      <c r="C1065" s="52"/>
      <c r="D1065" s="53"/>
      <c r="E1065" s="53"/>
      <c r="F1065" s="53"/>
      <c r="G1065" s="53"/>
      <c r="H1065" s="52"/>
      <c r="I1065" s="52"/>
      <c r="J1065" s="52"/>
      <c r="K1065" s="53"/>
      <c r="L1065" s="52"/>
      <c r="M1065" s="55"/>
      <c r="N1065" s="55"/>
      <c r="O1065" s="52"/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  <c r="AA1065" s="52"/>
      <c r="AB1065" s="52"/>
      <c r="AC1065" s="52"/>
      <c r="AD1065" s="52"/>
      <c r="AE1065" s="52"/>
      <c r="AF1065" s="52"/>
      <c r="AG1065" s="52"/>
      <c r="AH1065" s="52"/>
      <c r="AI1065" s="52"/>
      <c r="AJ1065" s="52"/>
      <c r="AK1065" s="52"/>
      <c r="AL1065" s="55"/>
      <c r="AM1065" s="52"/>
      <c r="AN1065" s="52"/>
      <c r="AO1065" s="52"/>
      <c r="AP1065" s="52"/>
      <c r="AQ1065" s="52"/>
      <c r="AR1065" s="52"/>
      <c r="AS1065" s="52"/>
      <c r="AT1065" s="52"/>
      <c r="AU1065" s="52"/>
      <c r="AV1065" s="52"/>
      <c r="AW1065" s="52"/>
    </row>
    <row r="1066" spans="1:49">
      <c r="A1066" s="52"/>
      <c r="B1066" s="52"/>
      <c r="C1066" s="52"/>
      <c r="D1066" s="53"/>
      <c r="E1066" s="53"/>
      <c r="F1066" s="53"/>
      <c r="G1066" s="53"/>
      <c r="H1066" s="53"/>
      <c r="I1066" s="52"/>
      <c r="J1066" s="52"/>
      <c r="K1066" s="53"/>
      <c r="L1066" s="52"/>
      <c r="M1066" s="54"/>
      <c r="N1066" s="54"/>
      <c r="O1066" s="52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  <c r="AA1066" s="52"/>
      <c r="AB1066" s="52"/>
      <c r="AC1066" s="52"/>
      <c r="AD1066" s="52"/>
      <c r="AE1066" s="52"/>
      <c r="AF1066" s="52"/>
      <c r="AG1066" s="52"/>
      <c r="AH1066" s="52"/>
      <c r="AI1066" s="53"/>
      <c r="AJ1066" s="53"/>
      <c r="AK1066" s="53"/>
      <c r="AL1066" s="55"/>
      <c r="AM1066" s="52"/>
      <c r="AN1066" s="55"/>
      <c r="AO1066" s="52"/>
      <c r="AP1066" s="55"/>
      <c r="AQ1066" s="52"/>
      <c r="AR1066" s="52"/>
      <c r="AS1066" s="52"/>
      <c r="AT1066" s="52"/>
      <c r="AU1066" s="52"/>
      <c r="AV1066" s="52"/>
      <c r="AW1066" s="52"/>
    </row>
    <row r="1067" spans="1:49">
      <c r="A1067" s="52"/>
      <c r="B1067" s="52"/>
      <c r="C1067" s="52"/>
      <c r="D1067" s="53"/>
      <c r="E1067" s="53"/>
      <c r="F1067" s="53"/>
      <c r="G1067" s="53"/>
      <c r="H1067" s="53"/>
      <c r="I1067" s="52"/>
      <c r="J1067" s="52"/>
      <c r="K1067" s="53"/>
      <c r="L1067" s="52"/>
      <c r="M1067" s="54"/>
      <c r="N1067" s="54"/>
      <c r="O1067" s="52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  <c r="AA1067" s="52"/>
      <c r="AB1067" s="52"/>
      <c r="AC1067" s="52"/>
      <c r="AD1067" s="52"/>
      <c r="AE1067" s="52"/>
      <c r="AF1067" s="52"/>
      <c r="AG1067" s="52"/>
      <c r="AH1067" s="52"/>
      <c r="AI1067" s="53"/>
      <c r="AJ1067" s="53"/>
      <c r="AK1067" s="53"/>
      <c r="AL1067" s="55"/>
      <c r="AM1067" s="52"/>
      <c r="AN1067" s="55"/>
      <c r="AO1067" s="52"/>
      <c r="AP1067" s="55"/>
      <c r="AQ1067" s="52"/>
      <c r="AR1067" s="52"/>
      <c r="AS1067" s="52"/>
      <c r="AT1067" s="52"/>
      <c r="AU1067" s="52"/>
      <c r="AV1067" s="52"/>
      <c r="AW1067" s="52"/>
    </row>
    <row r="1068" spans="1:49">
      <c r="A1068" s="52"/>
      <c r="B1068" s="52"/>
      <c r="C1068" s="52"/>
      <c r="D1068" s="53"/>
      <c r="E1068" s="53"/>
      <c r="F1068" s="53"/>
      <c r="G1068" s="53"/>
      <c r="H1068" s="53"/>
      <c r="I1068" s="52"/>
      <c r="J1068" s="52"/>
      <c r="K1068" s="53"/>
      <c r="L1068" s="52"/>
      <c r="M1068" s="55"/>
      <c r="N1068" s="55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  <c r="AA1068" s="52"/>
      <c r="AB1068" s="52"/>
      <c r="AC1068" s="52"/>
      <c r="AD1068" s="52"/>
      <c r="AE1068" s="52"/>
      <c r="AF1068" s="52"/>
      <c r="AG1068" s="52"/>
      <c r="AH1068" s="52"/>
      <c r="AI1068" s="53"/>
      <c r="AJ1068" s="53"/>
      <c r="AK1068" s="53"/>
      <c r="AL1068" s="55"/>
      <c r="AM1068" s="52"/>
      <c r="AN1068" s="55"/>
      <c r="AO1068" s="52"/>
      <c r="AP1068" s="55"/>
      <c r="AQ1068" s="52"/>
      <c r="AR1068" s="52"/>
      <c r="AS1068" s="52"/>
      <c r="AT1068" s="52"/>
      <c r="AU1068" s="52"/>
      <c r="AV1068" s="52"/>
      <c r="AW1068" s="52"/>
    </row>
    <row r="1069" spans="1:49">
      <c r="A1069" s="52"/>
      <c r="B1069" s="52"/>
      <c r="C1069" s="52"/>
      <c r="D1069" s="53"/>
      <c r="E1069" s="53"/>
      <c r="F1069" s="53"/>
      <c r="G1069" s="53"/>
      <c r="H1069" s="53"/>
      <c r="I1069" s="52"/>
      <c r="J1069" s="52"/>
      <c r="K1069" s="53"/>
      <c r="L1069" s="52"/>
      <c r="M1069" s="55"/>
      <c r="N1069" s="55"/>
      <c r="O1069" s="52"/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  <c r="AA1069" s="52"/>
      <c r="AB1069" s="52"/>
      <c r="AC1069" s="52"/>
      <c r="AD1069" s="52"/>
      <c r="AE1069" s="52"/>
      <c r="AF1069" s="52"/>
      <c r="AG1069" s="52"/>
      <c r="AH1069" s="52"/>
      <c r="AI1069" s="53"/>
      <c r="AJ1069" s="53"/>
      <c r="AK1069" s="53"/>
      <c r="AL1069" s="55"/>
      <c r="AM1069" s="52"/>
      <c r="AN1069" s="55"/>
      <c r="AO1069" s="52"/>
      <c r="AP1069" s="55"/>
      <c r="AQ1069" s="52"/>
      <c r="AR1069" s="52"/>
      <c r="AS1069" s="52"/>
      <c r="AT1069" s="52"/>
      <c r="AU1069" s="52"/>
      <c r="AV1069" s="52"/>
      <c r="AW1069" s="52"/>
    </row>
    <row r="1070" spans="1:49">
      <c r="A1070" s="52"/>
      <c r="B1070" s="52"/>
      <c r="C1070" s="52"/>
      <c r="D1070" s="53"/>
      <c r="E1070" s="53"/>
      <c r="F1070" s="53"/>
      <c r="G1070" s="53"/>
      <c r="H1070" s="52"/>
      <c r="I1070" s="52"/>
      <c r="J1070" s="52"/>
      <c r="K1070" s="53"/>
      <c r="L1070" s="52"/>
      <c r="M1070" s="55"/>
      <c r="N1070" s="54"/>
      <c r="O1070" s="52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  <c r="AA1070" s="52"/>
      <c r="AB1070" s="52"/>
      <c r="AC1070" s="52"/>
      <c r="AD1070" s="52"/>
      <c r="AE1070" s="52"/>
      <c r="AF1070" s="52"/>
      <c r="AG1070" s="52"/>
      <c r="AH1070" s="52"/>
      <c r="AI1070" s="52"/>
      <c r="AJ1070" s="52"/>
      <c r="AK1070" s="52"/>
      <c r="AL1070" s="55"/>
      <c r="AM1070" s="52"/>
      <c r="AN1070" s="52"/>
      <c r="AO1070" s="52"/>
      <c r="AP1070" s="52"/>
      <c r="AQ1070" s="52"/>
      <c r="AR1070" s="52"/>
      <c r="AS1070" s="52"/>
      <c r="AT1070" s="52"/>
      <c r="AU1070" s="52"/>
      <c r="AV1070" s="52"/>
      <c r="AW1070" s="52"/>
    </row>
    <row r="1071" spans="1:49">
      <c r="A1071" s="52"/>
      <c r="B1071" s="52"/>
      <c r="C1071" s="52"/>
      <c r="D1071" s="53"/>
      <c r="E1071" s="53"/>
      <c r="F1071" s="53"/>
      <c r="G1071" s="53"/>
      <c r="H1071" s="53"/>
      <c r="I1071" s="52"/>
      <c r="J1071" s="52"/>
      <c r="K1071" s="53"/>
      <c r="L1071" s="52"/>
      <c r="M1071" s="54"/>
      <c r="N1071" s="54"/>
      <c r="O1071" s="52"/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  <c r="AA1071" s="52"/>
      <c r="AB1071" s="52"/>
      <c r="AC1071" s="52"/>
      <c r="AD1071" s="52"/>
      <c r="AE1071" s="52"/>
      <c r="AF1071" s="52"/>
      <c r="AG1071" s="52"/>
      <c r="AH1071" s="52"/>
      <c r="AI1071" s="53"/>
      <c r="AJ1071" s="53"/>
      <c r="AK1071" s="53"/>
      <c r="AL1071" s="54"/>
      <c r="AM1071" s="52"/>
      <c r="AN1071" s="55"/>
      <c r="AO1071" s="52"/>
      <c r="AP1071" s="54"/>
      <c r="AQ1071" s="52"/>
      <c r="AR1071" s="52"/>
      <c r="AS1071" s="52"/>
      <c r="AT1071" s="52"/>
      <c r="AU1071" s="52"/>
      <c r="AV1071" s="52"/>
      <c r="AW1071" s="52"/>
    </row>
    <row r="1072" spans="1:49">
      <c r="A1072" s="52"/>
      <c r="B1072" s="52"/>
      <c r="C1072" s="52"/>
      <c r="D1072" s="53"/>
      <c r="E1072" s="53"/>
      <c r="F1072" s="53"/>
      <c r="G1072" s="53"/>
      <c r="H1072" s="53"/>
      <c r="I1072" s="52"/>
      <c r="J1072" s="52"/>
      <c r="K1072" s="53"/>
      <c r="L1072" s="52"/>
      <c r="M1072" s="54"/>
      <c r="N1072" s="54"/>
      <c r="O1072" s="52"/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  <c r="AA1072" s="52"/>
      <c r="AB1072" s="52"/>
      <c r="AC1072" s="52"/>
      <c r="AD1072" s="52"/>
      <c r="AE1072" s="52"/>
      <c r="AF1072" s="52"/>
      <c r="AG1072" s="52"/>
      <c r="AH1072" s="52"/>
      <c r="AI1072" s="53"/>
      <c r="AJ1072" s="53"/>
      <c r="AK1072" s="53"/>
      <c r="AL1072" s="54"/>
      <c r="AM1072" s="52"/>
      <c r="AN1072" s="55"/>
      <c r="AO1072" s="52"/>
      <c r="AP1072" s="54"/>
      <c r="AQ1072" s="52"/>
      <c r="AR1072" s="52"/>
      <c r="AS1072" s="52"/>
      <c r="AT1072" s="52"/>
      <c r="AU1072" s="52"/>
      <c r="AV1072" s="52"/>
      <c r="AW1072" s="52"/>
    </row>
    <row r="1073" spans="1:49">
      <c r="A1073" s="52"/>
      <c r="B1073" s="52"/>
      <c r="C1073" s="52"/>
      <c r="D1073" s="53"/>
      <c r="E1073" s="53"/>
      <c r="F1073" s="52"/>
      <c r="G1073" s="53"/>
      <c r="H1073" s="52"/>
      <c r="I1073" s="52"/>
      <c r="J1073" s="52"/>
      <c r="K1073" s="53"/>
      <c r="L1073" s="52"/>
      <c r="M1073" s="52"/>
      <c r="N1073" s="52"/>
      <c r="O1073" s="52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  <c r="AA1073" s="52"/>
      <c r="AB1073" s="52"/>
      <c r="AC1073" s="52"/>
      <c r="AD1073" s="52"/>
      <c r="AE1073" s="52"/>
      <c r="AF1073" s="52"/>
      <c r="AG1073" s="52"/>
      <c r="AH1073" s="52"/>
      <c r="AI1073" s="53"/>
      <c r="AJ1073" s="53"/>
      <c r="AK1073" s="53"/>
      <c r="AL1073" s="52"/>
      <c r="AM1073" s="52"/>
      <c r="AN1073" s="55"/>
      <c r="AO1073" s="52"/>
      <c r="AP1073" s="52"/>
      <c r="AQ1073" s="52"/>
      <c r="AR1073" s="52"/>
      <c r="AS1073" s="52"/>
      <c r="AT1073" s="52"/>
      <c r="AU1073" s="52"/>
      <c r="AV1073" s="52"/>
      <c r="AW1073" s="52"/>
    </row>
    <row r="1074" spans="1:49">
      <c r="A1074" s="52"/>
      <c r="B1074" s="52"/>
      <c r="C1074" s="52"/>
      <c r="D1074" s="53"/>
      <c r="E1074" s="53"/>
      <c r="F1074" s="52"/>
      <c r="G1074" s="53"/>
      <c r="H1074" s="52"/>
      <c r="I1074" s="52"/>
      <c r="J1074" s="52"/>
      <c r="K1074" s="53"/>
      <c r="L1074" s="52"/>
      <c r="M1074" s="52"/>
      <c r="N1074" s="52"/>
      <c r="O1074" s="52"/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  <c r="AA1074" s="52"/>
      <c r="AB1074" s="52"/>
      <c r="AC1074" s="52"/>
      <c r="AD1074" s="52"/>
      <c r="AE1074" s="52"/>
      <c r="AF1074" s="52"/>
      <c r="AG1074" s="52"/>
      <c r="AH1074" s="52"/>
      <c r="AI1074" s="53"/>
      <c r="AJ1074" s="53"/>
      <c r="AK1074" s="53"/>
      <c r="AL1074" s="52"/>
      <c r="AM1074" s="52"/>
      <c r="AN1074" s="55"/>
      <c r="AO1074" s="52"/>
      <c r="AP1074" s="52"/>
      <c r="AQ1074" s="52"/>
      <c r="AR1074" s="52"/>
      <c r="AS1074" s="52"/>
      <c r="AT1074" s="52"/>
      <c r="AU1074" s="52"/>
      <c r="AV1074" s="52"/>
      <c r="AW1074" s="52"/>
    </row>
    <row r="1075" spans="1:49">
      <c r="A1075" s="52"/>
      <c r="B1075" s="52"/>
      <c r="C1075" s="52"/>
      <c r="D1075" s="53"/>
      <c r="E1075" s="53"/>
      <c r="F1075" s="53"/>
      <c r="G1075" s="53"/>
      <c r="H1075" s="52"/>
      <c r="I1075" s="52"/>
      <c r="J1075" s="52"/>
      <c r="K1075" s="53"/>
      <c r="L1075" s="52"/>
      <c r="M1075" s="55"/>
      <c r="N1075" s="55"/>
      <c r="O1075" s="52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  <c r="AA1075" s="52"/>
      <c r="AB1075" s="52"/>
      <c r="AC1075" s="52"/>
      <c r="AD1075" s="52"/>
      <c r="AE1075" s="52"/>
      <c r="AF1075" s="52"/>
      <c r="AG1075" s="52"/>
      <c r="AH1075" s="52"/>
      <c r="AI1075" s="52"/>
      <c r="AJ1075" s="52"/>
      <c r="AK1075" s="52"/>
      <c r="AL1075" s="55"/>
      <c r="AM1075" s="52"/>
      <c r="AN1075" s="52"/>
      <c r="AO1075" s="52"/>
      <c r="AP1075" s="52"/>
      <c r="AQ1075" s="52"/>
      <c r="AR1075" s="52"/>
      <c r="AS1075" s="52"/>
      <c r="AT1075" s="52"/>
      <c r="AU1075" s="52"/>
      <c r="AV1075" s="52"/>
      <c r="AW1075" s="52"/>
    </row>
    <row r="1076" spans="1:49">
      <c r="A1076" s="52"/>
      <c r="B1076" s="52"/>
      <c r="C1076" s="52"/>
      <c r="D1076" s="53"/>
      <c r="E1076" s="53"/>
      <c r="F1076" s="53"/>
      <c r="G1076" s="53"/>
      <c r="H1076" s="53"/>
      <c r="I1076" s="52"/>
      <c r="J1076" s="52"/>
      <c r="K1076" s="53"/>
      <c r="L1076" s="52"/>
      <c r="M1076" s="54"/>
      <c r="N1076" s="54"/>
      <c r="O1076" s="52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  <c r="AA1076" s="52"/>
      <c r="AB1076" s="52"/>
      <c r="AC1076" s="52"/>
      <c r="AD1076" s="52"/>
      <c r="AE1076" s="52"/>
      <c r="AF1076" s="52"/>
      <c r="AG1076" s="52"/>
      <c r="AH1076" s="52"/>
      <c r="AI1076" s="53"/>
      <c r="AJ1076" s="53"/>
      <c r="AK1076" s="53"/>
      <c r="AL1076" s="54"/>
      <c r="AM1076" s="52"/>
      <c r="AN1076" s="55"/>
      <c r="AO1076" s="52"/>
      <c r="AP1076" s="54"/>
      <c r="AQ1076" s="52"/>
      <c r="AR1076" s="52"/>
      <c r="AS1076" s="52"/>
      <c r="AT1076" s="52"/>
      <c r="AU1076" s="52"/>
      <c r="AV1076" s="52"/>
      <c r="AW1076" s="52"/>
    </row>
    <row r="1077" spans="1:49">
      <c r="A1077" s="52"/>
      <c r="B1077" s="52"/>
      <c r="C1077" s="52"/>
      <c r="D1077" s="53"/>
      <c r="E1077" s="53"/>
      <c r="F1077" s="53"/>
      <c r="G1077" s="53"/>
      <c r="H1077" s="53"/>
      <c r="I1077" s="52"/>
      <c r="J1077" s="52"/>
      <c r="K1077" s="53"/>
      <c r="L1077" s="52"/>
      <c r="M1077" s="54"/>
      <c r="N1077" s="54"/>
      <c r="O1077" s="52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  <c r="AA1077" s="52"/>
      <c r="AB1077" s="52"/>
      <c r="AC1077" s="52"/>
      <c r="AD1077" s="52"/>
      <c r="AE1077" s="52"/>
      <c r="AF1077" s="52"/>
      <c r="AG1077" s="52"/>
      <c r="AH1077" s="52"/>
      <c r="AI1077" s="53"/>
      <c r="AJ1077" s="53"/>
      <c r="AK1077" s="53"/>
      <c r="AL1077" s="54"/>
      <c r="AM1077" s="52"/>
      <c r="AN1077" s="55"/>
      <c r="AO1077" s="52"/>
      <c r="AP1077" s="54"/>
      <c r="AQ1077" s="52"/>
      <c r="AR1077" s="52"/>
      <c r="AS1077" s="52"/>
      <c r="AT1077" s="52"/>
      <c r="AU1077" s="52"/>
      <c r="AV1077" s="52"/>
      <c r="AW1077" s="52"/>
    </row>
    <row r="1078" spans="1:49">
      <c r="A1078" s="52"/>
      <c r="B1078" s="52"/>
      <c r="C1078" s="52"/>
      <c r="D1078" s="53"/>
      <c r="E1078" s="53"/>
      <c r="F1078" s="52"/>
      <c r="G1078" s="53"/>
      <c r="H1078" s="52"/>
      <c r="I1078" s="52"/>
      <c r="J1078" s="52"/>
      <c r="K1078" s="53"/>
      <c r="L1078" s="52"/>
      <c r="M1078" s="52"/>
      <c r="N1078" s="52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  <c r="AA1078" s="52"/>
      <c r="AB1078" s="52"/>
      <c r="AC1078" s="52"/>
      <c r="AD1078" s="52"/>
      <c r="AE1078" s="52"/>
      <c r="AF1078" s="52"/>
      <c r="AG1078" s="52"/>
      <c r="AH1078" s="52"/>
      <c r="AI1078" s="53"/>
      <c r="AJ1078" s="53"/>
      <c r="AK1078" s="53"/>
      <c r="AL1078" s="52"/>
      <c r="AM1078" s="52"/>
      <c r="AN1078" s="55"/>
      <c r="AO1078" s="52"/>
      <c r="AP1078" s="52"/>
      <c r="AQ1078" s="52"/>
      <c r="AR1078" s="52"/>
      <c r="AS1078" s="52"/>
      <c r="AT1078" s="52"/>
      <c r="AU1078" s="52"/>
      <c r="AV1078" s="52"/>
      <c r="AW1078" s="52"/>
    </row>
    <row r="1079" spans="1:49">
      <c r="A1079" s="52"/>
      <c r="B1079" s="52"/>
      <c r="C1079" s="52"/>
      <c r="D1079" s="53"/>
      <c r="E1079" s="53"/>
      <c r="F1079" s="52"/>
      <c r="G1079" s="53"/>
      <c r="H1079" s="52"/>
      <c r="I1079" s="52"/>
      <c r="J1079" s="52"/>
      <c r="K1079" s="53"/>
      <c r="L1079" s="52"/>
      <c r="M1079" s="52"/>
      <c r="N1079" s="52"/>
      <c r="O1079" s="52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  <c r="AA1079" s="52"/>
      <c r="AB1079" s="52"/>
      <c r="AC1079" s="52"/>
      <c r="AD1079" s="52"/>
      <c r="AE1079" s="52"/>
      <c r="AF1079" s="52"/>
      <c r="AG1079" s="52"/>
      <c r="AH1079" s="52"/>
      <c r="AI1079" s="53"/>
      <c r="AJ1079" s="53"/>
      <c r="AK1079" s="53"/>
      <c r="AL1079" s="52"/>
      <c r="AM1079" s="52"/>
      <c r="AN1079" s="55"/>
      <c r="AO1079" s="52"/>
      <c r="AP1079" s="52"/>
      <c r="AQ1079" s="52"/>
      <c r="AR1079" s="52"/>
      <c r="AS1079" s="52"/>
      <c r="AT1079" s="52"/>
      <c r="AU1079" s="52"/>
      <c r="AV1079" s="52"/>
      <c r="AW1079" s="52"/>
    </row>
    <row r="1080" spans="1:49">
      <c r="A1080" s="52"/>
      <c r="B1080" s="52"/>
      <c r="C1080" s="52"/>
      <c r="D1080" s="53"/>
      <c r="E1080" s="53"/>
      <c r="F1080" s="53"/>
      <c r="G1080" s="53"/>
      <c r="H1080" s="53"/>
      <c r="I1080" s="52"/>
      <c r="J1080" s="52"/>
      <c r="K1080" s="53"/>
      <c r="L1080" s="52"/>
      <c r="M1080" s="55"/>
      <c r="N1080" s="54"/>
      <c r="O1080" s="52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  <c r="AA1080" s="52"/>
      <c r="AB1080" s="52"/>
      <c r="AC1080" s="52"/>
      <c r="AD1080" s="52"/>
      <c r="AE1080" s="52"/>
      <c r="AF1080" s="52"/>
      <c r="AG1080" s="52"/>
      <c r="AH1080" s="52"/>
      <c r="AI1080" s="52"/>
      <c r="AJ1080" s="52"/>
      <c r="AK1080" s="52"/>
      <c r="AL1080" s="52"/>
      <c r="AM1080" s="52"/>
      <c r="AN1080" s="52"/>
      <c r="AO1080" s="52"/>
      <c r="AP1080" s="52"/>
      <c r="AQ1080" s="52"/>
      <c r="AR1080" s="52"/>
      <c r="AS1080" s="52"/>
      <c r="AT1080" s="52"/>
      <c r="AU1080" s="52"/>
      <c r="AV1080" s="52"/>
      <c r="AW1080" s="52"/>
    </row>
    <row r="1081" spans="1:49">
      <c r="A1081" s="52"/>
      <c r="B1081" s="52"/>
      <c r="C1081" s="52"/>
      <c r="D1081" s="53"/>
      <c r="E1081" s="53"/>
      <c r="F1081" s="53"/>
      <c r="G1081" s="53"/>
      <c r="H1081" s="53"/>
      <c r="I1081" s="52"/>
      <c r="J1081" s="52"/>
      <c r="K1081" s="53"/>
      <c r="L1081" s="52"/>
      <c r="M1081" s="54"/>
      <c r="N1081" s="54"/>
      <c r="O1081" s="52"/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  <c r="AA1081" s="52"/>
      <c r="AB1081" s="52"/>
      <c r="AC1081" s="52"/>
      <c r="AD1081" s="52"/>
      <c r="AE1081" s="52"/>
      <c r="AF1081" s="52"/>
      <c r="AG1081" s="52"/>
      <c r="AH1081" s="52"/>
      <c r="AI1081" s="52"/>
      <c r="AJ1081" s="52"/>
      <c r="AK1081" s="52"/>
      <c r="AL1081" s="55"/>
      <c r="AM1081" s="52"/>
      <c r="AN1081" s="52"/>
      <c r="AO1081" s="55"/>
      <c r="AP1081" s="55"/>
      <c r="AQ1081" s="52"/>
      <c r="AR1081" s="52"/>
      <c r="AS1081" s="52"/>
      <c r="AT1081" s="52"/>
      <c r="AU1081" s="52"/>
      <c r="AV1081" s="52"/>
      <c r="AW1081" s="52"/>
    </row>
    <row r="1082" spans="1:49">
      <c r="A1082" s="52"/>
      <c r="B1082" s="52"/>
      <c r="C1082" s="52"/>
      <c r="D1082" s="53"/>
      <c r="E1082" s="53"/>
      <c r="F1082" s="53"/>
      <c r="G1082" s="53"/>
      <c r="H1082" s="53"/>
      <c r="I1082" s="52"/>
      <c r="J1082" s="52"/>
      <c r="K1082" s="53"/>
      <c r="L1082" s="52"/>
      <c r="M1082" s="54"/>
      <c r="N1082" s="54"/>
      <c r="O1082" s="52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  <c r="AA1082" s="52"/>
      <c r="AB1082" s="52"/>
      <c r="AC1082" s="52"/>
      <c r="AD1082" s="52"/>
      <c r="AE1082" s="52"/>
      <c r="AF1082" s="52"/>
      <c r="AG1082" s="52"/>
      <c r="AH1082" s="52"/>
      <c r="AI1082" s="52"/>
      <c r="AJ1082" s="52"/>
      <c r="AK1082" s="52"/>
      <c r="AL1082" s="55"/>
      <c r="AM1082" s="52"/>
      <c r="AN1082" s="52"/>
      <c r="AO1082" s="55"/>
      <c r="AP1082" s="55"/>
      <c r="AQ1082" s="52"/>
      <c r="AR1082" s="52"/>
      <c r="AS1082" s="52"/>
      <c r="AT1082" s="52"/>
      <c r="AU1082" s="52"/>
      <c r="AV1082" s="52"/>
      <c r="AW1082" s="52"/>
    </row>
    <row r="1083" spans="1:49">
      <c r="A1083" s="52"/>
      <c r="B1083" s="52"/>
      <c r="C1083" s="52"/>
      <c r="D1083" s="53"/>
      <c r="E1083" s="53"/>
      <c r="F1083" s="52"/>
      <c r="G1083" s="52"/>
      <c r="H1083" s="52"/>
      <c r="I1083" s="52"/>
      <c r="J1083" s="52"/>
      <c r="K1083" s="52"/>
      <c r="L1083" s="52"/>
      <c r="M1083" s="54"/>
      <c r="N1083" s="54"/>
      <c r="O1083" s="52"/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  <c r="AA1083" s="52"/>
      <c r="AB1083" s="52"/>
      <c r="AC1083" s="52"/>
      <c r="AD1083" s="52"/>
      <c r="AE1083" s="52"/>
      <c r="AF1083" s="52"/>
      <c r="AG1083" s="52"/>
      <c r="AH1083" s="52"/>
      <c r="AI1083" s="52"/>
      <c r="AJ1083" s="52"/>
      <c r="AK1083" s="52"/>
      <c r="AL1083" s="52"/>
      <c r="AM1083" s="52"/>
      <c r="AN1083" s="52"/>
      <c r="AO1083" s="52"/>
      <c r="AP1083" s="52"/>
      <c r="AQ1083" s="52"/>
      <c r="AR1083" s="52"/>
      <c r="AS1083" s="52"/>
      <c r="AT1083" s="52"/>
      <c r="AU1083" s="52"/>
      <c r="AV1083" s="52"/>
      <c r="AW1083" s="52"/>
    </row>
    <row r="1084" spans="1:49">
      <c r="A1084" s="52"/>
      <c r="B1084" s="52"/>
      <c r="C1084" s="52"/>
      <c r="D1084" s="53"/>
      <c r="E1084" s="53"/>
      <c r="F1084" s="52"/>
      <c r="G1084" s="52"/>
      <c r="H1084" s="52"/>
      <c r="I1084" s="52"/>
      <c r="J1084" s="52"/>
      <c r="K1084" s="52"/>
      <c r="L1084" s="52"/>
      <c r="M1084" s="52"/>
      <c r="N1084" s="52"/>
      <c r="O1084" s="52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  <c r="AA1084" s="52"/>
      <c r="AB1084" s="52"/>
      <c r="AC1084" s="52"/>
      <c r="AD1084" s="52"/>
      <c r="AE1084" s="52"/>
      <c r="AF1084" s="52"/>
      <c r="AG1084" s="52"/>
      <c r="AH1084" s="52"/>
      <c r="AI1084" s="52"/>
      <c r="AJ1084" s="52"/>
      <c r="AK1084" s="52"/>
      <c r="AL1084" s="52"/>
      <c r="AM1084" s="52"/>
      <c r="AN1084" s="52"/>
      <c r="AO1084" s="52"/>
      <c r="AP1084" s="52"/>
      <c r="AQ1084" s="52"/>
      <c r="AR1084" s="52"/>
      <c r="AS1084" s="52"/>
      <c r="AT1084" s="52"/>
      <c r="AU1084" s="52"/>
      <c r="AV1084" s="52"/>
      <c r="AW1084" s="52"/>
    </row>
    <row r="1085" spans="1:49">
      <c r="A1085" s="52"/>
      <c r="B1085" s="52"/>
      <c r="C1085" s="52"/>
      <c r="D1085" s="53"/>
      <c r="E1085" s="53"/>
      <c r="F1085" s="52"/>
      <c r="G1085" s="52"/>
      <c r="H1085" s="52"/>
      <c r="I1085" s="52"/>
      <c r="J1085" s="52"/>
      <c r="K1085" s="52"/>
      <c r="L1085" s="52"/>
      <c r="M1085" s="55"/>
      <c r="N1085" s="54"/>
      <c r="O1085" s="52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  <c r="AA1085" s="52"/>
      <c r="AB1085" s="52"/>
      <c r="AC1085" s="52"/>
      <c r="AD1085" s="52"/>
      <c r="AE1085" s="52"/>
      <c r="AF1085" s="52"/>
      <c r="AG1085" s="52"/>
      <c r="AH1085" s="52"/>
      <c r="AI1085" s="52"/>
      <c r="AJ1085" s="52"/>
      <c r="AK1085" s="52"/>
      <c r="AL1085" s="52"/>
      <c r="AM1085" s="52"/>
      <c r="AN1085" s="52"/>
      <c r="AO1085" s="52"/>
      <c r="AP1085" s="52"/>
      <c r="AQ1085" s="52"/>
      <c r="AR1085" s="52"/>
      <c r="AS1085" s="52"/>
      <c r="AT1085" s="52"/>
      <c r="AU1085" s="52"/>
      <c r="AV1085" s="52"/>
      <c r="AW1085" s="52"/>
    </row>
    <row r="1086" spans="1:49">
      <c r="A1086" s="52"/>
      <c r="B1086" s="52"/>
      <c r="C1086" s="52"/>
      <c r="D1086" s="53"/>
      <c r="E1086" s="53"/>
      <c r="F1086" s="52"/>
      <c r="G1086" s="52"/>
      <c r="H1086" s="52"/>
      <c r="I1086" s="52"/>
      <c r="J1086" s="52"/>
      <c r="K1086" s="52"/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  <c r="AA1086" s="52"/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52"/>
      <c r="AN1086" s="52"/>
      <c r="AO1086" s="52"/>
      <c r="AP1086" s="52"/>
      <c r="AQ1086" s="52"/>
      <c r="AR1086" s="52"/>
      <c r="AS1086" s="52"/>
      <c r="AT1086" s="52"/>
      <c r="AU1086" s="52"/>
      <c r="AV1086" s="52"/>
      <c r="AW1086" s="52"/>
    </row>
    <row r="1087" spans="1:49">
      <c r="A1087" s="52"/>
      <c r="B1087" s="52"/>
      <c r="C1087" s="52"/>
      <c r="D1087" s="53"/>
      <c r="E1087" s="53"/>
      <c r="F1087" s="52"/>
      <c r="G1087" s="52"/>
      <c r="H1087" s="52"/>
      <c r="I1087" s="52"/>
      <c r="J1087" s="52"/>
      <c r="K1087" s="52"/>
      <c r="L1087" s="52"/>
      <c r="M1087" s="54"/>
      <c r="N1087" s="54"/>
      <c r="O1087" s="52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  <c r="AA1087" s="52"/>
      <c r="AB1087" s="52"/>
      <c r="AC1087" s="52"/>
      <c r="AD1087" s="52"/>
      <c r="AE1087" s="52"/>
      <c r="AF1087" s="52"/>
      <c r="AG1087" s="52"/>
      <c r="AH1087" s="52"/>
      <c r="AI1087" s="52"/>
      <c r="AJ1087" s="52"/>
      <c r="AK1087" s="52"/>
      <c r="AL1087" s="52"/>
      <c r="AM1087" s="52"/>
      <c r="AN1087" s="52"/>
      <c r="AO1087" s="52"/>
      <c r="AP1087" s="52"/>
      <c r="AQ1087" s="52"/>
      <c r="AR1087" s="52"/>
      <c r="AS1087" s="52"/>
      <c r="AT1087" s="52"/>
      <c r="AU1087" s="52"/>
      <c r="AV1087" s="52"/>
      <c r="AW1087" s="52"/>
    </row>
    <row r="1088" spans="1:49">
      <c r="A1088" s="52"/>
      <c r="B1088" s="52"/>
      <c r="C1088" s="52"/>
      <c r="D1088" s="53"/>
      <c r="E1088" s="53"/>
      <c r="F1088" s="52"/>
      <c r="G1088" s="52"/>
      <c r="H1088" s="52"/>
      <c r="I1088" s="52"/>
      <c r="J1088" s="52"/>
      <c r="K1088" s="52"/>
      <c r="L1088" s="52"/>
      <c r="M1088" s="52"/>
      <c r="N1088" s="52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  <c r="AA1088" s="52"/>
      <c r="AB1088" s="52"/>
      <c r="AC1088" s="52"/>
      <c r="AD1088" s="52"/>
      <c r="AE1088" s="52"/>
      <c r="AF1088" s="52"/>
      <c r="AG1088" s="52"/>
      <c r="AH1088" s="52"/>
      <c r="AI1088" s="52"/>
      <c r="AJ1088" s="52"/>
      <c r="AK1088" s="52"/>
      <c r="AL1088" s="52"/>
      <c r="AM1088" s="52"/>
      <c r="AN1088" s="52"/>
      <c r="AO1088" s="52"/>
      <c r="AP1088" s="52"/>
      <c r="AQ1088" s="52"/>
      <c r="AR1088" s="52"/>
      <c r="AS1088" s="52"/>
      <c r="AT1088" s="52"/>
      <c r="AU1088" s="52"/>
      <c r="AV1088" s="52"/>
      <c r="AW1088" s="52"/>
    </row>
    <row r="1089" spans="1:49">
      <c r="A1089" s="52"/>
      <c r="B1089" s="52"/>
      <c r="C1089" s="52"/>
      <c r="D1089" s="53"/>
      <c r="E1089" s="53"/>
      <c r="F1089" s="52"/>
      <c r="G1089" s="52"/>
      <c r="H1089" s="52"/>
      <c r="I1089" s="52"/>
      <c r="J1089" s="52"/>
      <c r="K1089" s="52"/>
      <c r="L1089" s="52"/>
      <c r="M1089" s="54"/>
      <c r="N1089" s="54"/>
      <c r="O1089" s="52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  <c r="AA1089" s="52"/>
      <c r="AB1089" s="52"/>
      <c r="AC1089" s="52"/>
      <c r="AD1089" s="52"/>
      <c r="AE1089" s="52"/>
      <c r="AF1089" s="52"/>
      <c r="AG1089" s="52"/>
      <c r="AH1089" s="52"/>
      <c r="AI1089" s="52"/>
      <c r="AJ1089" s="52"/>
      <c r="AK1089" s="52"/>
      <c r="AL1089" s="52"/>
      <c r="AM1089" s="52"/>
      <c r="AN1089" s="52"/>
      <c r="AO1089" s="52"/>
      <c r="AP1089" s="52"/>
      <c r="AQ1089" s="52"/>
      <c r="AR1089" s="52"/>
      <c r="AS1089" s="52"/>
      <c r="AT1089" s="52"/>
      <c r="AU1089" s="52"/>
      <c r="AV1089" s="52"/>
      <c r="AW1089" s="52"/>
    </row>
    <row r="1090" spans="1:49">
      <c r="A1090" s="52"/>
      <c r="B1090" s="52"/>
      <c r="C1090" s="52"/>
      <c r="D1090" s="53"/>
      <c r="E1090" s="53"/>
      <c r="F1090" s="52"/>
      <c r="G1090" s="52"/>
      <c r="H1090" s="52"/>
      <c r="I1090" s="52"/>
      <c r="J1090" s="52"/>
      <c r="K1090" s="52"/>
      <c r="L1090" s="52"/>
      <c r="M1090" s="52"/>
      <c r="N1090" s="52"/>
      <c r="O1090" s="52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  <c r="AA1090" s="52"/>
      <c r="AB1090" s="52"/>
      <c r="AC1090" s="52"/>
      <c r="AD1090" s="52"/>
      <c r="AE1090" s="52"/>
      <c r="AF1090" s="52"/>
      <c r="AG1090" s="52"/>
      <c r="AH1090" s="52"/>
      <c r="AI1090" s="52"/>
      <c r="AJ1090" s="52"/>
      <c r="AK1090" s="52"/>
      <c r="AL1090" s="52"/>
      <c r="AM1090" s="52"/>
      <c r="AN1090" s="52"/>
      <c r="AO1090" s="52"/>
      <c r="AP1090" s="52"/>
      <c r="AQ1090" s="52"/>
      <c r="AR1090" s="52"/>
      <c r="AS1090" s="52"/>
      <c r="AT1090" s="52"/>
      <c r="AU1090" s="52"/>
      <c r="AV1090" s="52"/>
      <c r="AW1090" s="52"/>
    </row>
    <row r="1091" spans="1:49">
      <c r="A1091" s="52"/>
      <c r="B1091" s="52"/>
      <c r="C1091" s="52"/>
      <c r="D1091" s="53"/>
      <c r="E1091" s="53"/>
      <c r="F1091" s="52"/>
      <c r="G1091" s="52"/>
      <c r="H1091" s="52"/>
      <c r="I1091" s="52"/>
      <c r="J1091" s="52"/>
      <c r="K1091" s="52"/>
      <c r="L1091" s="52"/>
      <c r="M1091" s="54"/>
      <c r="N1091" s="54"/>
      <c r="O1091" s="52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  <c r="AA1091" s="52"/>
      <c r="AB1091" s="52"/>
      <c r="AC1091" s="52"/>
      <c r="AD1091" s="52"/>
      <c r="AE1091" s="52"/>
      <c r="AF1091" s="52"/>
      <c r="AG1091" s="52"/>
      <c r="AH1091" s="52"/>
      <c r="AI1091" s="52"/>
      <c r="AJ1091" s="52"/>
      <c r="AK1091" s="52"/>
      <c r="AL1091" s="52"/>
      <c r="AM1091" s="52"/>
      <c r="AN1091" s="52"/>
      <c r="AO1091" s="52"/>
      <c r="AP1091" s="52"/>
      <c r="AQ1091" s="52"/>
      <c r="AR1091" s="52"/>
      <c r="AS1091" s="52"/>
      <c r="AT1091" s="52"/>
      <c r="AU1091" s="52"/>
      <c r="AV1091" s="52"/>
      <c r="AW1091" s="52"/>
    </row>
    <row r="1092" spans="1:49">
      <c r="A1092" s="52"/>
      <c r="B1092" s="52"/>
      <c r="C1092" s="52"/>
      <c r="D1092" s="53"/>
      <c r="E1092" s="53"/>
      <c r="F1092" s="52"/>
      <c r="G1092" s="52"/>
      <c r="H1092" s="52"/>
      <c r="I1092" s="52"/>
      <c r="J1092" s="52"/>
      <c r="K1092" s="52"/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/>
      <c r="AB1092" s="52"/>
      <c r="AC1092" s="52"/>
      <c r="AD1092" s="52"/>
      <c r="AE1092" s="52"/>
      <c r="AF1092" s="52"/>
      <c r="AG1092" s="52"/>
      <c r="AH1092" s="52"/>
      <c r="AI1092" s="52"/>
      <c r="AJ1092" s="52"/>
      <c r="AK1092" s="52"/>
      <c r="AL1092" s="52"/>
      <c r="AM1092" s="52"/>
      <c r="AN1092" s="52"/>
      <c r="AO1092" s="52"/>
      <c r="AP1092" s="52"/>
      <c r="AQ1092" s="52"/>
      <c r="AR1092" s="52"/>
      <c r="AS1092" s="52"/>
      <c r="AT1092" s="52"/>
      <c r="AU1092" s="52"/>
      <c r="AV1092" s="52"/>
      <c r="AW1092" s="52"/>
    </row>
    <row r="1093" spans="1:49">
      <c r="A1093" s="52"/>
      <c r="B1093" s="52"/>
      <c r="C1093" s="52"/>
      <c r="D1093" s="53"/>
      <c r="E1093" s="53"/>
      <c r="F1093" s="53"/>
      <c r="G1093" s="53"/>
      <c r="H1093" s="52"/>
      <c r="I1093" s="52"/>
      <c r="J1093" s="52"/>
      <c r="K1093" s="53"/>
      <c r="L1093" s="52"/>
      <c r="M1093" s="55"/>
      <c r="N1093" s="54"/>
      <c r="O1093" s="52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  <c r="AA1093" s="52"/>
      <c r="AB1093" s="52"/>
      <c r="AC1093" s="52"/>
      <c r="AD1093" s="52"/>
      <c r="AE1093" s="52"/>
      <c r="AF1093" s="52"/>
      <c r="AG1093" s="52"/>
      <c r="AH1093" s="52"/>
      <c r="AI1093" s="52"/>
      <c r="AJ1093" s="52"/>
      <c r="AK1093" s="52"/>
      <c r="AL1093" s="55"/>
      <c r="AM1093" s="52"/>
      <c r="AN1093" s="52"/>
      <c r="AO1093" s="52"/>
      <c r="AP1093" s="52"/>
      <c r="AQ1093" s="52"/>
      <c r="AR1093" s="52"/>
      <c r="AS1093" s="52"/>
      <c r="AT1093" s="52"/>
      <c r="AU1093" s="52"/>
      <c r="AV1093" s="52"/>
      <c r="AW1093" s="52"/>
    </row>
    <row r="1094" spans="1:49">
      <c r="A1094" s="52"/>
      <c r="B1094" s="52"/>
      <c r="C1094" s="52"/>
      <c r="D1094" s="53"/>
      <c r="E1094" s="53"/>
      <c r="F1094" s="53"/>
      <c r="G1094" s="53"/>
      <c r="H1094" s="53"/>
      <c r="I1094" s="52"/>
      <c r="J1094" s="52"/>
      <c r="K1094" s="53"/>
      <c r="L1094" s="52"/>
      <c r="M1094" s="54"/>
      <c r="N1094" s="54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  <c r="AA1094" s="52"/>
      <c r="AB1094" s="52"/>
      <c r="AC1094" s="52"/>
      <c r="AD1094" s="52"/>
      <c r="AE1094" s="52"/>
      <c r="AF1094" s="52"/>
      <c r="AG1094" s="52"/>
      <c r="AH1094" s="52"/>
      <c r="AI1094" s="53"/>
      <c r="AJ1094" s="53"/>
      <c r="AK1094" s="53"/>
      <c r="AL1094" s="55"/>
      <c r="AM1094" s="52"/>
      <c r="AN1094" s="55"/>
      <c r="AO1094" s="52"/>
      <c r="AP1094" s="55"/>
      <c r="AQ1094" s="52"/>
      <c r="AR1094" s="52"/>
      <c r="AS1094" s="52"/>
      <c r="AT1094" s="52"/>
      <c r="AU1094" s="52"/>
      <c r="AV1094" s="52"/>
      <c r="AW1094" s="52"/>
    </row>
    <row r="1095" spans="1:49">
      <c r="A1095" s="52"/>
      <c r="B1095" s="52"/>
      <c r="C1095" s="52"/>
      <c r="D1095" s="53"/>
      <c r="E1095" s="53"/>
      <c r="F1095" s="53"/>
      <c r="G1095" s="53"/>
      <c r="H1095" s="53"/>
      <c r="I1095" s="52"/>
      <c r="J1095" s="52"/>
      <c r="K1095" s="53"/>
      <c r="L1095" s="52"/>
      <c r="M1095" s="54"/>
      <c r="N1095" s="54"/>
      <c r="O1095" s="52"/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  <c r="AA1095" s="52"/>
      <c r="AB1095" s="52"/>
      <c r="AC1095" s="52"/>
      <c r="AD1095" s="52"/>
      <c r="AE1095" s="52"/>
      <c r="AF1095" s="52"/>
      <c r="AG1095" s="52"/>
      <c r="AH1095" s="52"/>
      <c r="AI1095" s="53"/>
      <c r="AJ1095" s="53"/>
      <c r="AK1095" s="53"/>
      <c r="AL1095" s="55"/>
      <c r="AM1095" s="52"/>
      <c r="AN1095" s="55"/>
      <c r="AO1095" s="52"/>
      <c r="AP1095" s="55"/>
      <c r="AQ1095" s="52"/>
      <c r="AR1095" s="52"/>
      <c r="AS1095" s="52"/>
      <c r="AT1095" s="52"/>
      <c r="AU1095" s="52"/>
      <c r="AV1095" s="52"/>
      <c r="AW1095" s="52"/>
    </row>
    <row r="1096" spans="1:49">
      <c r="A1096" s="52"/>
      <c r="B1096" s="52"/>
      <c r="C1096" s="52"/>
      <c r="D1096" s="53"/>
      <c r="E1096" s="53"/>
      <c r="F1096" s="53"/>
      <c r="G1096" s="53"/>
      <c r="H1096" s="53"/>
      <c r="I1096" s="52"/>
      <c r="J1096" s="52"/>
      <c r="K1096" s="53"/>
      <c r="L1096" s="52"/>
      <c r="M1096" s="55"/>
      <c r="N1096" s="54"/>
      <c r="O1096" s="52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  <c r="AA1096" s="52"/>
      <c r="AB1096" s="52"/>
      <c r="AC1096" s="52"/>
      <c r="AD1096" s="52"/>
      <c r="AE1096" s="52"/>
      <c r="AF1096" s="52"/>
      <c r="AG1096" s="52"/>
      <c r="AH1096" s="52"/>
      <c r="AI1096" s="53"/>
      <c r="AJ1096" s="53"/>
      <c r="AK1096" s="53"/>
      <c r="AL1096" s="55"/>
      <c r="AM1096" s="52"/>
      <c r="AN1096" s="55"/>
      <c r="AO1096" s="52"/>
      <c r="AP1096" s="55"/>
      <c r="AQ1096" s="52"/>
      <c r="AR1096" s="52"/>
      <c r="AS1096" s="52"/>
      <c r="AT1096" s="52"/>
      <c r="AU1096" s="52"/>
      <c r="AV1096" s="52"/>
      <c r="AW1096" s="52"/>
    </row>
    <row r="1097" spans="1:49">
      <c r="A1097" s="52"/>
      <c r="B1097" s="52"/>
      <c r="C1097" s="52"/>
      <c r="D1097" s="53"/>
      <c r="E1097" s="53"/>
      <c r="F1097" s="53"/>
      <c r="G1097" s="53"/>
      <c r="H1097" s="53"/>
      <c r="I1097" s="52"/>
      <c r="J1097" s="52"/>
      <c r="K1097" s="53"/>
      <c r="L1097" s="52"/>
      <c r="M1097" s="55"/>
      <c r="N1097" s="54"/>
      <c r="O1097" s="52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  <c r="AA1097" s="52"/>
      <c r="AB1097" s="52"/>
      <c r="AC1097" s="52"/>
      <c r="AD1097" s="52"/>
      <c r="AE1097" s="52"/>
      <c r="AF1097" s="52"/>
      <c r="AG1097" s="52"/>
      <c r="AH1097" s="52"/>
      <c r="AI1097" s="53"/>
      <c r="AJ1097" s="53"/>
      <c r="AK1097" s="53"/>
      <c r="AL1097" s="55"/>
      <c r="AM1097" s="52"/>
      <c r="AN1097" s="55"/>
      <c r="AO1097" s="52"/>
      <c r="AP1097" s="55"/>
      <c r="AQ1097" s="52"/>
      <c r="AR1097" s="52"/>
      <c r="AS1097" s="52"/>
      <c r="AT1097" s="52"/>
      <c r="AU1097" s="52"/>
      <c r="AV1097" s="52"/>
      <c r="AW1097" s="52"/>
    </row>
    <row r="1098" spans="1:49">
      <c r="A1098" s="52"/>
      <c r="B1098" s="52"/>
      <c r="C1098" s="52"/>
      <c r="D1098" s="53"/>
      <c r="E1098" s="53"/>
      <c r="F1098" s="52"/>
      <c r="G1098" s="52"/>
      <c r="H1098" s="52"/>
      <c r="I1098" s="52"/>
      <c r="J1098" s="52"/>
      <c r="K1098" s="52"/>
      <c r="L1098" s="52"/>
      <c r="M1098" s="55"/>
      <c r="N1098" s="54"/>
      <c r="O1098" s="52"/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  <c r="AA1098" s="52"/>
      <c r="AB1098" s="52"/>
      <c r="AC1098" s="52"/>
      <c r="AD1098" s="52"/>
      <c r="AE1098" s="52"/>
      <c r="AF1098" s="52"/>
      <c r="AG1098" s="52"/>
      <c r="AH1098" s="52"/>
      <c r="AI1098" s="52"/>
      <c r="AJ1098" s="52"/>
      <c r="AK1098" s="52"/>
      <c r="AL1098" s="52"/>
      <c r="AM1098" s="52"/>
      <c r="AN1098" s="52"/>
      <c r="AO1098" s="52"/>
      <c r="AP1098" s="52"/>
      <c r="AQ1098" s="52"/>
      <c r="AR1098" s="52"/>
      <c r="AS1098" s="52"/>
      <c r="AT1098" s="52"/>
      <c r="AU1098" s="52"/>
      <c r="AV1098" s="52"/>
      <c r="AW1098" s="52"/>
    </row>
    <row r="1099" spans="1:49">
      <c r="A1099" s="52"/>
      <c r="B1099" s="52"/>
      <c r="C1099" s="52"/>
      <c r="D1099" s="53"/>
      <c r="E1099" s="53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  <c r="AA1099" s="52"/>
      <c r="AB1099" s="52"/>
      <c r="AC1099" s="52"/>
      <c r="AD1099" s="52"/>
      <c r="AE1099" s="52"/>
      <c r="AF1099" s="52"/>
      <c r="AG1099" s="52"/>
      <c r="AH1099" s="52"/>
      <c r="AI1099" s="52"/>
      <c r="AJ1099" s="52"/>
      <c r="AK1099" s="52"/>
      <c r="AL1099" s="52"/>
      <c r="AM1099" s="52"/>
      <c r="AN1099" s="52"/>
      <c r="AO1099" s="52"/>
      <c r="AP1099" s="52"/>
      <c r="AQ1099" s="52"/>
      <c r="AR1099" s="52"/>
      <c r="AS1099" s="52"/>
      <c r="AT1099" s="52"/>
      <c r="AU1099" s="52"/>
      <c r="AV1099" s="52"/>
      <c r="AW1099" s="52"/>
    </row>
    <row r="1100" spans="1:49">
      <c r="A1100" s="52"/>
      <c r="B1100" s="52"/>
      <c r="C1100" s="52"/>
      <c r="D1100" s="53"/>
      <c r="E1100" s="53"/>
      <c r="F1100" s="53"/>
      <c r="G1100" s="53"/>
      <c r="H1100" s="53"/>
      <c r="I1100" s="52"/>
      <c r="J1100" s="52"/>
      <c r="K1100" s="53"/>
      <c r="L1100" s="52"/>
      <c r="M1100" s="54"/>
      <c r="N1100" s="54"/>
      <c r="O1100" s="52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  <c r="AA1100" s="52"/>
      <c r="AB1100" s="52"/>
      <c r="AC1100" s="52"/>
      <c r="AD1100" s="52"/>
      <c r="AE1100" s="52"/>
      <c r="AF1100" s="52"/>
      <c r="AG1100" s="52"/>
      <c r="AH1100" s="52"/>
      <c r="AI1100" s="52"/>
      <c r="AJ1100" s="52"/>
      <c r="AK1100" s="52"/>
      <c r="AL1100" s="52"/>
      <c r="AM1100" s="52"/>
      <c r="AN1100" s="52"/>
      <c r="AO1100" s="52"/>
      <c r="AP1100" s="52"/>
      <c r="AQ1100" s="52"/>
      <c r="AR1100" s="52"/>
      <c r="AS1100" s="52"/>
      <c r="AT1100" s="52"/>
      <c r="AU1100" s="52"/>
      <c r="AV1100" s="52"/>
      <c r="AW1100" s="52"/>
    </row>
    <row r="1101" spans="1:49">
      <c r="A1101" s="52"/>
      <c r="B1101" s="52"/>
      <c r="C1101" s="52"/>
      <c r="D1101" s="53"/>
      <c r="E1101" s="53"/>
      <c r="F1101" s="53"/>
      <c r="G1101" s="53"/>
      <c r="H1101" s="52"/>
      <c r="I1101" s="52"/>
      <c r="J1101" s="52"/>
      <c r="K1101" s="52"/>
      <c r="L1101" s="52"/>
      <c r="M1101" s="54"/>
      <c r="N1101" s="54"/>
      <c r="O1101" s="52"/>
      <c r="P1101" s="52"/>
      <c r="Q1101" s="52"/>
      <c r="R1101" s="52"/>
      <c r="S1101" s="52"/>
      <c r="T1101" s="52"/>
      <c r="U1101" s="52"/>
      <c r="V1101" s="52"/>
      <c r="W1101" s="52"/>
      <c r="X1101" s="52"/>
      <c r="Y1101" s="52"/>
      <c r="Z1101" s="52"/>
      <c r="AA1101" s="52"/>
      <c r="AB1101" s="52"/>
      <c r="AC1101" s="52"/>
      <c r="AD1101" s="52"/>
      <c r="AE1101" s="52"/>
      <c r="AF1101" s="52"/>
      <c r="AG1101" s="52"/>
      <c r="AH1101" s="52"/>
      <c r="AI1101" s="52"/>
      <c r="AJ1101" s="52"/>
      <c r="AK1101" s="52"/>
      <c r="AL1101" s="52"/>
      <c r="AM1101" s="52"/>
      <c r="AN1101" s="52"/>
      <c r="AO1101" s="52"/>
      <c r="AP1101" s="52"/>
      <c r="AQ1101" s="52"/>
      <c r="AR1101" s="52"/>
      <c r="AS1101" s="52"/>
      <c r="AT1101" s="52"/>
      <c r="AU1101" s="52"/>
      <c r="AV1101" s="52"/>
      <c r="AW1101" s="52"/>
    </row>
    <row r="1102" spans="1:49">
      <c r="A1102" s="52"/>
      <c r="B1102" s="52"/>
      <c r="C1102" s="52"/>
      <c r="D1102" s="53"/>
      <c r="E1102" s="53"/>
      <c r="F1102" s="53"/>
      <c r="G1102" s="53"/>
      <c r="H1102" s="52"/>
      <c r="I1102" s="52"/>
      <c r="J1102" s="52"/>
      <c r="K1102" s="52"/>
      <c r="L1102" s="52"/>
      <c r="M1102" s="54"/>
      <c r="N1102" s="54"/>
      <c r="O1102" s="52"/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  <c r="AA1102" s="52"/>
      <c r="AB1102" s="52"/>
      <c r="AC1102" s="52"/>
      <c r="AD1102" s="52"/>
      <c r="AE1102" s="52"/>
      <c r="AF1102" s="52"/>
      <c r="AG1102" s="52"/>
      <c r="AH1102" s="52"/>
      <c r="AI1102" s="52"/>
      <c r="AJ1102" s="52"/>
      <c r="AK1102" s="52"/>
      <c r="AL1102" s="52"/>
      <c r="AM1102" s="52"/>
      <c r="AN1102" s="52"/>
      <c r="AO1102" s="52"/>
      <c r="AP1102" s="52"/>
      <c r="AQ1102" s="52"/>
      <c r="AR1102" s="52"/>
      <c r="AS1102" s="52"/>
      <c r="AT1102" s="52"/>
      <c r="AU1102" s="52"/>
      <c r="AV1102" s="52"/>
      <c r="AW1102" s="52"/>
    </row>
    <row r="1103" spans="1:49">
      <c r="A1103" s="52"/>
      <c r="B1103" s="52"/>
      <c r="C1103" s="52"/>
      <c r="D1103" s="53"/>
      <c r="E1103" s="53"/>
      <c r="F1103" s="53"/>
      <c r="G1103" s="53"/>
      <c r="H1103" s="53"/>
      <c r="I1103" s="52"/>
      <c r="J1103" s="52"/>
      <c r="K1103" s="52"/>
      <c r="L1103" s="52"/>
      <c r="M1103" s="54"/>
      <c r="N1103" s="54"/>
      <c r="O1103" s="52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  <c r="AA1103" s="52"/>
      <c r="AB1103" s="52"/>
      <c r="AC1103" s="52"/>
      <c r="AD1103" s="52"/>
      <c r="AE1103" s="52"/>
      <c r="AF1103" s="52"/>
      <c r="AG1103" s="52"/>
      <c r="AH1103" s="52"/>
      <c r="AI1103" s="52"/>
      <c r="AJ1103" s="52"/>
      <c r="AK1103" s="52"/>
      <c r="AL1103" s="55"/>
      <c r="AM1103" s="52"/>
      <c r="AN1103" s="52"/>
      <c r="AO1103" s="52"/>
      <c r="AP1103" s="55"/>
      <c r="AQ1103" s="52"/>
      <c r="AR1103" s="52"/>
      <c r="AS1103" s="52"/>
      <c r="AT1103" s="52"/>
      <c r="AU1103" s="52"/>
      <c r="AV1103" s="52"/>
      <c r="AW1103" s="52"/>
    </row>
    <row r="1104" spans="1:49">
      <c r="A1104" s="52"/>
      <c r="B1104" s="52"/>
      <c r="C1104" s="52"/>
      <c r="D1104" s="53"/>
      <c r="E1104" s="53"/>
      <c r="F1104" s="53"/>
      <c r="G1104" s="53"/>
      <c r="H1104" s="53"/>
      <c r="I1104" s="52"/>
      <c r="J1104" s="52"/>
      <c r="K1104" s="52"/>
      <c r="L1104" s="52"/>
      <c r="M1104" s="54"/>
      <c r="N1104" s="54"/>
      <c r="O1104" s="52"/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  <c r="AA1104" s="52"/>
      <c r="AB1104" s="52"/>
      <c r="AC1104" s="52"/>
      <c r="AD1104" s="52"/>
      <c r="AE1104" s="52"/>
      <c r="AF1104" s="52"/>
      <c r="AG1104" s="52"/>
      <c r="AH1104" s="52"/>
      <c r="AI1104" s="52"/>
      <c r="AJ1104" s="52"/>
      <c r="AK1104" s="52"/>
      <c r="AL1104" s="55"/>
      <c r="AM1104" s="52"/>
      <c r="AN1104" s="52"/>
      <c r="AO1104" s="52"/>
      <c r="AP1104" s="55"/>
      <c r="AQ1104" s="52"/>
      <c r="AR1104" s="52"/>
      <c r="AS1104" s="52"/>
      <c r="AT1104" s="52"/>
      <c r="AU1104" s="52"/>
      <c r="AV1104" s="52"/>
      <c r="AW1104" s="52"/>
    </row>
    <row r="1105" spans="1:49">
      <c r="A1105" s="52"/>
      <c r="B1105" s="52"/>
      <c r="C1105" s="52"/>
      <c r="D1105" s="53"/>
      <c r="E1105" s="53"/>
      <c r="F1105" s="53"/>
      <c r="G1105" s="53"/>
      <c r="H1105" s="53"/>
      <c r="I1105" s="52"/>
      <c r="J1105" s="52"/>
      <c r="K1105" s="53"/>
      <c r="L1105" s="52"/>
      <c r="M1105" s="54"/>
      <c r="N1105" s="54"/>
      <c r="O1105" s="52"/>
      <c r="P1105" s="52"/>
      <c r="Q1105" s="52"/>
      <c r="R1105" s="52"/>
      <c r="S1105" s="52"/>
      <c r="T1105" s="52"/>
      <c r="U1105" s="52"/>
      <c r="V1105" s="52"/>
      <c r="W1105" s="52"/>
      <c r="X1105" s="52"/>
      <c r="Y1105" s="52"/>
      <c r="Z1105" s="52"/>
      <c r="AA1105" s="52"/>
      <c r="AB1105" s="52"/>
      <c r="AC1105" s="52"/>
      <c r="AD1105" s="52"/>
      <c r="AE1105" s="52"/>
      <c r="AF1105" s="52"/>
      <c r="AG1105" s="52"/>
      <c r="AH1105" s="52"/>
      <c r="AI1105" s="52"/>
      <c r="AJ1105" s="52"/>
      <c r="AK1105" s="52"/>
      <c r="AL1105" s="55"/>
      <c r="AM1105" s="52"/>
      <c r="AN1105" s="52"/>
      <c r="AO1105" s="52"/>
      <c r="AP1105" s="52"/>
      <c r="AQ1105" s="52"/>
      <c r="AR1105" s="52"/>
      <c r="AS1105" s="52"/>
      <c r="AT1105" s="52"/>
      <c r="AU1105" s="52"/>
      <c r="AV1105" s="52"/>
      <c r="AW1105" s="52"/>
    </row>
    <row r="1106" spans="1:49">
      <c r="A1106" s="52"/>
      <c r="B1106" s="52"/>
      <c r="C1106" s="52"/>
      <c r="D1106" s="53"/>
      <c r="E1106" s="53"/>
      <c r="F1106" s="53"/>
      <c r="G1106" s="53"/>
      <c r="H1106" s="53"/>
      <c r="I1106" s="52"/>
      <c r="J1106" s="52"/>
      <c r="K1106" s="53"/>
      <c r="L1106" s="52"/>
      <c r="M1106" s="54"/>
      <c r="N1106" s="54"/>
      <c r="O1106" s="52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  <c r="AA1106" s="52"/>
      <c r="AB1106" s="52"/>
      <c r="AC1106" s="52"/>
      <c r="AD1106" s="52"/>
      <c r="AE1106" s="52"/>
      <c r="AF1106" s="52"/>
      <c r="AG1106" s="52"/>
      <c r="AH1106" s="52"/>
      <c r="AI1106" s="53"/>
      <c r="AJ1106" s="53"/>
      <c r="AK1106" s="53"/>
      <c r="AL1106" s="55"/>
      <c r="AM1106" s="52"/>
      <c r="AN1106" s="55"/>
      <c r="AO1106" s="55"/>
      <c r="AP1106" s="55"/>
      <c r="AQ1106" s="52"/>
      <c r="AR1106" s="52"/>
      <c r="AS1106" s="52"/>
      <c r="AT1106" s="52"/>
      <c r="AU1106" s="52"/>
      <c r="AV1106" s="52"/>
      <c r="AW1106" s="52"/>
    </row>
    <row r="1107" spans="1:49">
      <c r="A1107" s="52"/>
      <c r="B1107" s="52"/>
      <c r="C1107" s="52"/>
      <c r="D1107" s="53"/>
      <c r="E1107" s="53"/>
      <c r="F1107" s="53"/>
      <c r="G1107" s="53"/>
      <c r="H1107" s="53"/>
      <c r="I1107" s="52"/>
      <c r="J1107" s="52"/>
      <c r="K1107" s="53"/>
      <c r="L1107" s="52"/>
      <c r="M1107" s="54"/>
      <c r="N1107" s="54"/>
      <c r="O1107" s="52"/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  <c r="AA1107" s="52"/>
      <c r="AB1107" s="52"/>
      <c r="AC1107" s="52"/>
      <c r="AD1107" s="52"/>
      <c r="AE1107" s="52"/>
      <c r="AF1107" s="52"/>
      <c r="AG1107" s="52"/>
      <c r="AH1107" s="52"/>
      <c r="AI1107" s="53"/>
      <c r="AJ1107" s="53"/>
      <c r="AK1107" s="53"/>
      <c r="AL1107" s="55"/>
      <c r="AM1107" s="52"/>
      <c r="AN1107" s="55"/>
      <c r="AO1107" s="55"/>
      <c r="AP1107" s="55"/>
      <c r="AQ1107" s="52"/>
      <c r="AR1107" s="52"/>
      <c r="AS1107" s="52"/>
      <c r="AT1107" s="52"/>
      <c r="AU1107" s="52"/>
      <c r="AV1107" s="52"/>
      <c r="AW1107" s="52"/>
    </row>
    <row r="1108" spans="1:49">
      <c r="A1108" s="52"/>
      <c r="B1108" s="52"/>
      <c r="C1108" s="52"/>
      <c r="D1108" s="53"/>
      <c r="E1108" s="53"/>
      <c r="F1108" s="53"/>
      <c r="G1108" s="53"/>
      <c r="H1108" s="53"/>
      <c r="I1108" s="52"/>
      <c r="J1108" s="52"/>
      <c r="K1108" s="53"/>
      <c r="L1108" s="52"/>
      <c r="M1108" s="55"/>
      <c r="N1108" s="54"/>
      <c r="O1108" s="52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  <c r="AA1108" s="52"/>
      <c r="AB1108" s="52"/>
      <c r="AC1108" s="52"/>
      <c r="AD1108" s="52"/>
      <c r="AE1108" s="52"/>
      <c r="AF1108" s="52"/>
      <c r="AG1108" s="52"/>
      <c r="AH1108" s="52"/>
      <c r="AI1108" s="52"/>
      <c r="AJ1108" s="52"/>
      <c r="AK1108" s="52"/>
      <c r="AL1108" s="52"/>
      <c r="AM1108" s="52"/>
      <c r="AN1108" s="52"/>
      <c r="AO1108" s="52"/>
      <c r="AP1108" s="52"/>
      <c r="AQ1108" s="52"/>
      <c r="AR1108" s="52"/>
      <c r="AS1108" s="52"/>
      <c r="AT1108" s="52"/>
      <c r="AU1108" s="52"/>
      <c r="AV1108" s="52"/>
      <c r="AW1108" s="52"/>
    </row>
    <row r="1109" spans="1:49">
      <c r="A1109" s="52"/>
      <c r="B1109" s="52"/>
      <c r="C1109" s="52"/>
      <c r="D1109" s="53"/>
      <c r="E1109" s="53"/>
      <c r="F1109" s="53"/>
      <c r="G1109" s="53"/>
      <c r="H1109" s="52"/>
      <c r="I1109" s="52"/>
      <c r="J1109" s="52"/>
      <c r="K1109" s="52"/>
      <c r="L1109" s="52"/>
      <c r="M1109" s="55"/>
      <c r="N1109" s="54"/>
      <c r="O1109" s="52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  <c r="AA1109" s="52"/>
      <c r="AB1109" s="52"/>
      <c r="AC1109" s="52"/>
      <c r="AD1109" s="52"/>
      <c r="AE1109" s="52"/>
      <c r="AF1109" s="52"/>
      <c r="AG1109" s="52"/>
      <c r="AH1109" s="52"/>
      <c r="AI1109" s="52"/>
      <c r="AJ1109" s="52"/>
      <c r="AK1109" s="52"/>
      <c r="AL1109" s="52"/>
      <c r="AM1109" s="52"/>
      <c r="AN1109" s="52"/>
      <c r="AO1109" s="52"/>
      <c r="AP1109" s="52"/>
      <c r="AQ1109" s="52"/>
      <c r="AR1109" s="52"/>
      <c r="AS1109" s="52"/>
      <c r="AT1109" s="52"/>
      <c r="AU1109" s="52"/>
      <c r="AV1109" s="52"/>
      <c r="AW1109" s="52"/>
    </row>
    <row r="1110" spans="1:49">
      <c r="A1110" s="52"/>
      <c r="B1110" s="52"/>
      <c r="C1110" s="52"/>
      <c r="D1110" s="53"/>
      <c r="E1110" s="53"/>
      <c r="F1110" s="53"/>
      <c r="G1110" s="53"/>
      <c r="H1110" s="52"/>
      <c r="I1110" s="52"/>
      <c r="J1110" s="52"/>
      <c r="K1110" s="52"/>
      <c r="L1110" s="52"/>
      <c r="M1110" s="55"/>
      <c r="N1110" s="54"/>
      <c r="O1110" s="52"/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  <c r="AA1110" s="52"/>
      <c r="AB1110" s="52"/>
      <c r="AC1110" s="52"/>
      <c r="AD1110" s="52"/>
      <c r="AE1110" s="52"/>
      <c r="AF1110" s="52"/>
      <c r="AG1110" s="52"/>
      <c r="AH1110" s="52"/>
      <c r="AI1110" s="52"/>
      <c r="AJ1110" s="52"/>
      <c r="AK1110" s="52"/>
      <c r="AL1110" s="52"/>
      <c r="AM1110" s="52"/>
      <c r="AN1110" s="52"/>
      <c r="AO1110" s="52"/>
      <c r="AP1110" s="52"/>
      <c r="AQ1110" s="52"/>
      <c r="AR1110" s="52"/>
      <c r="AS1110" s="52"/>
      <c r="AT1110" s="52"/>
      <c r="AU1110" s="52"/>
      <c r="AV1110" s="52"/>
      <c r="AW1110" s="52"/>
    </row>
    <row r="1111" spans="1:49">
      <c r="A1111" s="52"/>
      <c r="B1111" s="52"/>
      <c r="C1111" s="52"/>
      <c r="D1111" s="53"/>
      <c r="E1111" s="53"/>
      <c r="F1111" s="53"/>
      <c r="G1111" s="53"/>
      <c r="H1111" s="53"/>
      <c r="I1111" s="52"/>
      <c r="J1111" s="52"/>
      <c r="K1111" s="52"/>
      <c r="L1111" s="52"/>
      <c r="M1111" s="55"/>
      <c r="N1111" s="54"/>
      <c r="O1111" s="52"/>
      <c r="P1111" s="52"/>
      <c r="Q1111" s="52"/>
      <c r="R1111" s="52"/>
      <c r="S1111" s="52"/>
      <c r="T1111" s="52"/>
      <c r="U1111" s="52"/>
      <c r="V1111" s="52"/>
      <c r="W1111" s="52"/>
      <c r="X1111" s="52"/>
      <c r="Y1111" s="52"/>
      <c r="Z1111" s="52"/>
      <c r="AA1111" s="52"/>
      <c r="AB1111" s="52"/>
      <c r="AC1111" s="52"/>
      <c r="AD1111" s="52"/>
      <c r="AE1111" s="52"/>
      <c r="AF1111" s="52"/>
      <c r="AG1111" s="52"/>
      <c r="AH1111" s="52"/>
      <c r="AI1111" s="52"/>
      <c r="AJ1111" s="52"/>
      <c r="AK1111" s="52"/>
      <c r="AL1111" s="55"/>
      <c r="AM1111" s="52"/>
      <c r="AN1111" s="52"/>
      <c r="AO1111" s="52"/>
      <c r="AP1111" s="55"/>
      <c r="AQ1111" s="52"/>
      <c r="AR1111" s="52"/>
      <c r="AS1111" s="52"/>
      <c r="AT1111" s="52"/>
      <c r="AU1111" s="52"/>
      <c r="AV1111" s="52"/>
      <c r="AW1111" s="52"/>
    </row>
    <row r="1112" spans="1:49">
      <c r="A1112" s="52"/>
      <c r="B1112" s="52"/>
      <c r="C1112" s="52"/>
      <c r="D1112" s="53"/>
      <c r="E1112" s="53"/>
      <c r="F1112" s="53"/>
      <c r="G1112" s="53"/>
      <c r="H1112" s="53"/>
      <c r="I1112" s="52"/>
      <c r="J1112" s="52"/>
      <c r="K1112" s="52"/>
      <c r="L1112" s="52"/>
      <c r="M1112" s="55"/>
      <c r="N1112" s="54"/>
      <c r="O1112" s="52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  <c r="AA1112" s="52"/>
      <c r="AB1112" s="52"/>
      <c r="AC1112" s="52"/>
      <c r="AD1112" s="52"/>
      <c r="AE1112" s="52"/>
      <c r="AF1112" s="52"/>
      <c r="AG1112" s="52"/>
      <c r="AH1112" s="52"/>
      <c r="AI1112" s="52"/>
      <c r="AJ1112" s="52"/>
      <c r="AK1112" s="52"/>
      <c r="AL1112" s="55"/>
      <c r="AM1112" s="52"/>
      <c r="AN1112" s="52"/>
      <c r="AO1112" s="52"/>
      <c r="AP1112" s="55"/>
      <c r="AQ1112" s="52"/>
      <c r="AR1112" s="52"/>
      <c r="AS1112" s="52"/>
      <c r="AT1112" s="52"/>
      <c r="AU1112" s="52"/>
      <c r="AV1112" s="52"/>
      <c r="AW1112" s="52"/>
    </row>
    <row r="1113" spans="1:49">
      <c r="A1113" s="52"/>
      <c r="B1113" s="52"/>
      <c r="C1113" s="52"/>
      <c r="D1113" s="53"/>
      <c r="E1113" s="53"/>
      <c r="F1113" s="53"/>
      <c r="G1113" s="53"/>
      <c r="H1113" s="53"/>
      <c r="I1113" s="52"/>
      <c r="J1113" s="52"/>
      <c r="K1113" s="53"/>
      <c r="L1113" s="52"/>
      <c r="M1113" s="55"/>
      <c r="N1113" s="54"/>
      <c r="O1113" s="52"/>
      <c r="P1113" s="52"/>
      <c r="Q1113" s="52"/>
      <c r="R1113" s="52"/>
      <c r="S1113" s="52"/>
      <c r="T1113" s="52"/>
      <c r="U1113" s="52"/>
      <c r="V1113" s="52"/>
      <c r="W1113" s="52"/>
      <c r="X1113" s="52"/>
      <c r="Y1113" s="52"/>
      <c r="Z1113" s="52"/>
      <c r="AA1113" s="52"/>
      <c r="AB1113" s="52"/>
      <c r="AC1113" s="52"/>
      <c r="AD1113" s="52"/>
      <c r="AE1113" s="52"/>
      <c r="AF1113" s="52"/>
      <c r="AG1113" s="52"/>
      <c r="AH1113" s="52"/>
      <c r="AI1113" s="52"/>
      <c r="AJ1113" s="52"/>
      <c r="AK1113" s="52"/>
      <c r="AL1113" s="52"/>
      <c r="AM1113" s="52"/>
      <c r="AN1113" s="52"/>
      <c r="AO1113" s="52"/>
      <c r="AP1113" s="52"/>
      <c r="AQ1113" s="52"/>
      <c r="AR1113" s="52"/>
      <c r="AS1113" s="52"/>
      <c r="AT1113" s="52"/>
      <c r="AU1113" s="52"/>
      <c r="AV1113" s="52"/>
      <c r="AW1113" s="52"/>
    </row>
    <row r="1114" spans="1:49">
      <c r="A1114" s="52"/>
      <c r="B1114" s="52"/>
      <c r="C1114" s="52"/>
      <c r="D1114" s="53"/>
      <c r="E1114" s="53"/>
      <c r="F1114" s="53"/>
      <c r="G1114" s="53"/>
      <c r="H1114" s="52"/>
      <c r="I1114" s="52"/>
      <c r="J1114" s="52"/>
      <c r="K1114" s="52"/>
      <c r="L1114" s="52"/>
      <c r="M1114" s="55"/>
      <c r="N1114" s="54"/>
      <c r="O1114" s="52"/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  <c r="AA1114" s="52"/>
      <c r="AB1114" s="52"/>
      <c r="AC1114" s="52"/>
      <c r="AD1114" s="52"/>
      <c r="AE1114" s="52"/>
      <c r="AF1114" s="52"/>
      <c r="AG1114" s="52"/>
      <c r="AH1114" s="52"/>
      <c r="AI1114" s="52"/>
      <c r="AJ1114" s="52"/>
      <c r="AK1114" s="52"/>
      <c r="AL1114" s="52"/>
      <c r="AM1114" s="52"/>
      <c r="AN1114" s="52"/>
      <c r="AO1114" s="52"/>
      <c r="AP1114" s="52"/>
      <c r="AQ1114" s="52"/>
      <c r="AR1114" s="52"/>
      <c r="AS1114" s="52"/>
      <c r="AT1114" s="52"/>
      <c r="AU1114" s="52"/>
      <c r="AV1114" s="52"/>
      <c r="AW1114" s="52"/>
    </row>
    <row r="1115" spans="1:49">
      <c r="A1115" s="52"/>
      <c r="B1115" s="52"/>
      <c r="C1115" s="52"/>
      <c r="D1115" s="53"/>
      <c r="E1115" s="53"/>
      <c r="F1115" s="53"/>
      <c r="G1115" s="53"/>
      <c r="H1115" s="52"/>
      <c r="I1115" s="52"/>
      <c r="J1115" s="52"/>
      <c r="K1115" s="52"/>
      <c r="L1115" s="52"/>
      <c r="M1115" s="55"/>
      <c r="N1115" s="54"/>
      <c r="O1115" s="52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  <c r="AA1115" s="52"/>
      <c r="AB1115" s="52"/>
      <c r="AC1115" s="52"/>
      <c r="AD1115" s="52"/>
      <c r="AE1115" s="52"/>
      <c r="AF1115" s="52"/>
      <c r="AG1115" s="52"/>
      <c r="AH1115" s="52"/>
      <c r="AI1115" s="52"/>
      <c r="AJ1115" s="52"/>
      <c r="AK1115" s="52"/>
      <c r="AL1115" s="52"/>
      <c r="AM1115" s="52"/>
      <c r="AN1115" s="52"/>
      <c r="AO1115" s="52"/>
      <c r="AP1115" s="52"/>
      <c r="AQ1115" s="52"/>
      <c r="AR1115" s="52"/>
      <c r="AS1115" s="52"/>
      <c r="AT1115" s="52"/>
      <c r="AU1115" s="52"/>
      <c r="AV1115" s="52"/>
      <c r="AW1115" s="52"/>
    </row>
    <row r="1116" spans="1:49">
      <c r="A1116" s="52"/>
      <c r="B1116" s="52"/>
      <c r="C1116" s="52"/>
      <c r="D1116" s="53"/>
      <c r="E1116" s="53"/>
      <c r="F1116" s="53"/>
      <c r="G1116" s="53"/>
      <c r="H1116" s="53"/>
      <c r="I1116" s="52"/>
      <c r="J1116" s="52"/>
      <c r="K1116" s="52"/>
      <c r="L1116" s="52"/>
      <c r="M1116" s="55"/>
      <c r="N1116" s="54"/>
      <c r="O1116" s="52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  <c r="AA1116" s="52"/>
      <c r="AB1116" s="52"/>
      <c r="AC1116" s="52"/>
      <c r="AD1116" s="52"/>
      <c r="AE1116" s="52"/>
      <c r="AF1116" s="52"/>
      <c r="AG1116" s="52"/>
      <c r="AH1116" s="52"/>
      <c r="AI1116" s="52"/>
      <c r="AJ1116" s="52"/>
      <c r="AK1116" s="52"/>
      <c r="AL1116" s="55"/>
      <c r="AM1116" s="52"/>
      <c r="AN1116" s="52"/>
      <c r="AO1116" s="52"/>
      <c r="AP1116" s="55"/>
      <c r="AQ1116" s="52"/>
      <c r="AR1116" s="52"/>
      <c r="AS1116" s="52"/>
      <c r="AT1116" s="52"/>
      <c r="AU1116" s="52"/>
      <c r="AV1116" s="52"/>
      <c r="AW1116" s="52"/>
    </row>
    <row r="1117" spans="1:49">
      <c r="A1117" s="52"/>
      <c r="B1117" s="52"/>
      <c r="C1117" s="52"/>
      <c r="D1117" s="53"/>
      <c r="E1117" s="53"/>
      <c r="F1117" s="53"/>
      <c r="G1117" s="53"/>
      <c r="H1117" s="53"/>
      <c r="I1117" s="52"/>
      <c r="J1117" s="52"/>
      <c r="K1117" s="52"/>
      <c r="L1117" s="52"/>
      <c r="M1117" s="55"/>
      <c r="N1117" s="54"/>
      <c r="O1117" s="52"/>
      <c r="P1117" s="52"/>
      <c r="Q1117" s="52"/>
      <c r="R1117" s="52"/>
      <c r="S1117" s="52"/>
      <c r="T1117" s="52"/>
      <c r="U1117" s="52"/>
      <c r="V1117" s="52"/>
      <c r="W1117" s="52"/>
      <c r="X1117" s="52"/>
      <c r="Y1117" s="52"/>
      <c r="Z1117" s="52"/>
      <c r="AA1117" s="52"/>
      <c r="AB1117" s="52"/>
      <c r="AC1117" s="52"/>
      <c r="AD1117" s="52"/>
      <c r="AE1117" s="52"/>
      <c r="AF1117" s="52"/>
      <c r="AG1117" s="52"/>
      <c r="AH1117" s="52"/>
      <c r="AI1117" s="52"/>
      <c r="AJ1117" s="52"/>
      <c r="AK1117" s="52"/>
      <c r="AL1117" s="55"/>
      <c r="AM1117" s="52"/>
      <c r="AN1117" s="52"/>
      <c r="AO1117" s="52"/>
      <c r="AP1117" s="55"/>
      <c r="AQ1117" s="52"/>
      <c r="AR1117" s="52"/>
      <c r="AS1117" s="52"/>
      <c r="AT1117" s="52"/>
      <c r="AU1117" s="52"/>
      <c r="AV1117" s="52"/>
      <c r="AW1117" s="52"/>
    </row>
    <row r="1118" spans="1:49">
      <c r="A1118" s="52"/>
      <c r="B1118" s="52"/>
      <c r="C1118" s="52"/>
      <c r="D1118" s="53"/>
      <c r="E1118" s="53"/>
      <c r="F1118" s="53"/>
      <c r="G1118" s="53"/>
      <c r="H1118" s="53"/>
      <c r="I1118" s="52"/>
      <c r="J1118" s="52"/>
      <c r="K1118" s="53"/>
      <c r="L1118" s="52"/>
      <c r="M1118" s="54"/>
      <c r="N1118" s="54"/>
      <c r="O1118" s="52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  <c r="AA1118" s="52"/>
      <c r="AB1118" s="52"/>
      <c r="AC1118" s="52"/>
      <c r="AD1118" s="52"/>
      <c r="AE1118" s="52"/>
      <c r="AF1118" s="52"/>
      <c r="AG1118" s="52"/>
      <c r="AH1118" s="52"/>
      <c r="AI1118" s="52"/>
      <c r="AJ1118" s="52"/>
      <c r="AK1118" s="52"/>
      <c r="AL1118" s="55"/>
      <c r="AM1118" s="52"/>
      <c r="AN1118" s="52"/>
      <c r="AO1118" s="52"/>
      <c r="AP1118" s="52"/>
      <c r="AQ1118" s="52"/>
      <c r="AR1118" s="52"/>
      <c r="AS1118" s="52"/>
      <c r="AT1118" s="52"/>
      <c r="AU1118" s="52"/>
      <c r="AV1118" s="52"/>
      <c r="AW1118" s="52"/>
    </row>
    <row r="1119" spans="1:49">
      <c r="A1119" s="52"/>
      <c r="B1119" s="52"/>
      <c r="C1119" s="52"/>
      <c r="D1119" s="53"/>
      <c r="E1119" s="53"/>
      <c r="F1119" s="53"/>
      <c r="G1119" s="53"/>
      <c r="H1119" s="53"/>
      <c r="I1119" s="52"/>
      <c r="J1119" s="52"/>
      <c r="K1119" s="53"/>
      <c r="L1119" s="52"/>
      <c r="M1119" s="54"/>
      <c r="N1119" s="54"/>
      <c r="O1119" s="52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  <c r="AA1119" s="52"/>
      <c r="AB1119" s="52"/>
      <c r="AC1119" s="52"/>
      <c r="AD1119" s="52"/>
      <c r="AE1119" s="52"/>
      <c r="AF1119" s="52"/>
      <c r="AG1119" s="52"/>
      <c r="AH1119" s="52"/>
      <c r="AI1119" s="53"/>
      <c r="AJ1119" s="53"/>
      <c r="AK1119" s="53"/>
      <c r="AL1119" s="55"/>
      <c r="AM1119" s="52"/>
      <c r="AN1119" s="55"/>
      <c r="AO1119" s="55"/>
      <c r="AP1119" s="55"/>
      <c r="AQ1119" s="52"/>
      <c r="AR1119" s="52"/>
      <c r="AS1119" s="52"/>
      <c r="AT1119" s="52"/>
      <c r="AU1119" s="52"/>
      <c r="AV1119" s="52"/>
      <c r="AW1119" s="52"/>
    </row>
    <row r="1120" spans="1:49">
      <c r="A1120" s="52"/>
      <c r="B1120" s="52"/>
      <c r="C1120" s="52"/>
      <c r="D1120" s="53"/>
      <c r="E1120" s="53"/>
      <c r="F1120" s="53"/>
      <c r="G1120" s="53"/>
      <c r="H1120" s="53"/>
      <c r="I1120" s="52"/>
      <c r="J1120" s="52"/>
      <c r="K1120" s="53"/>
      <c r="L1120" s="52"/>
      <c r="M1120" s="54"/>
      <c r="N1120" s="54"/>
      <c r="O1120" s="52"/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  <c r="AA1120" s="52"/>
      <c r="AB1120" s="52"/>
      <c r="AC1120" s="52"/>
      <c r="AD1120" s="52"/>
      <c r="AE1120" s="52"/>
      <c r="AF1120" s="52"/>
      <c r="AG1120" s="52"/>
      <c r="AH1120" s="52"/>
      <c r="AI1120" s="53"/>
      <c r="AJ1120" s="53"/>
      <c r="AK1120" s="53"/>
      <c r="AL1120" s="55"/>
      <c r="AM1120" s="52"/>
      <c r="AN1120" s="55"/>
      <c r="AO1120" s="55"/>
      <c r="AP1120" s="55"/>
      <c r="AQ1120" s="52"/>
      <c r="AR1120" s="52"/>
      <c r="AS1120" s="52"/>
      <c r="AT1120" s="52"/>
      <c r="AU1120" s="52"/>
      <c r="AV1120" s="52"/>
      <c r="AW1120" s="52"/>
    </row>
    <row r="1121" spans="1:49">
      <c r="A1121" s="52"/>
      <c r="B1121" s="52"/>
      <c r="C1121" s="52"/>
      <c r="D1121" s="53"/>
      <c r="E1121" s="53"/>
      <c r="F1121" s="53"/>
      <c r="G1121" s="53"/>
      <c r="H1121" s="52"/>
      <c r="I1121" s="52"/>
      <c r="J1121" s="52"/>
      <c r="K1121" s="53"/>
      <c r="L1121" s="52"/>
      <c r="M1121" s="54"/>
      <c r="N1121" s="54"/>
      <c r="O1121" s="52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  <c r="AA1121" s="52"/>
      <c r="AB1121" s="52"/>
      <c r="AC1121" s="52"/>
      <c r="AD1121" s="52"/>
      <c r="AE1121" s="52"/>
      <c r="AF1121" s="52"/>
      <c r="AG1121" s="52"/>
      <c r="AH1121" s="52"/>
      <c r="AI1121" s="52"/>
      <c r="AJ1121" s="52"/>
      <c r="AK1121" s="52"/>
      <c r="AL1121" s="55"/>
      <c r="AM1121" s="52"/>
      <c r="AN1121" s="52"/>
      <c r="AO1121" s="52"/>
      <c r="AP1121" s="52"/>
      <c r="AQ1121" s="52"/>
      <c r="AR1121" s="52"/>
      <c r="AS1121" s="52"/>
      <c r="AT1121" s="52"/>
      <c r="AU1121" s="52"/>
      <c r="AV1121" s="52"/>
      <c r="AW1121" s="52"/>
    </row>
    <row r="1122" spans="1:49">
      <c r="A1122" s="52"/>
      <c r="B1122" s="52"/>
      <c r="C1122" s="52"/>
      <c r="D1122" s="53"/>
      <c r="E1122" s="53"/>
      <c r="F1122" s="53"/>
      <c r="G1122" s="53"/>
      <c r="H1122" s="53"/>
      <c r="I1122" s="52"/>
      <c r="J1122" s="52"/>
      <c r="K1122" s="53"/>
      <c r="L1122" s="52"/>
      <c r="M1122" s="54"/>
      <c r="N1122" s="54"/>
      <c r="O1122" s="52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  <c r="AA1122" s="52"/>
      <c r="AB1122" s="52"/>
      <c r="AC1122" s="52"/>
      <c r="AD1122" s="52"/>
      <c r="AE1122" s="52"/>
      <c r="AF1122" s="52"/>
      <c r="AG1122" s="52"/>
      <c r="AH1122" s="52"/>
      <c r="AI1122" s="53"/>
      <c r="AJ1122" s="53"/>
      <c r="AK1122" s="53"/>
      <c r="AL1122" s="55"/>
      <c r="AM1122" s="52"/>
      <c r="AN1122" s="55"/>
      <c r="AO1122" s="52"/>
      <c r="AP1122" s="55"/>
      <c r="AQ1122" s="52"/>
      <c r="AR1122" s="52"/>
      <c r="AS1122" s="52"/>
      <c r="AT1122" s="52"/>
      <c r="AU1122" s="52"/>
      <c r="AV1122" s="52"/>
      <c r="AW1122" s="52"/>
    </row>
    <row r="1123" spans="1:49">
      <c r="A1123" s="52"/>
      <c r="B1123" s="52"/>
      <c r="C1123" s="52"/>
      <c r="D1123" s="53"/>
      <c r="E1123" s="53"/>
      <c r="F1123" s="53"/>
      <c r="G1123" s="53"/>
      <c r="H1123" s="53"/>
      <c r="I1123" s="52"/>
      <c r="J1123" s="52"/>
      <c r="K1123" s="53"/>
      <c r="L1123" s="52"/>
      <c r="M1123" s="54"/>
      <c r="N1123" s="54"/>
      <c r="O1123" s="52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  <c r="AA1123" s="52"/>
      <c r="AB1123" s="52"/>
      <c r="AC1123" s="52"/>
      <c r="AD1123" s="52"/>
      <c r="AE1123" s="52"/>
      <c r="AF1123" s="52"/>
      <c r="AG1123" s="52"/>
      <c r="AH1123" s="52"/>
      <c r="AI1123" s="53"/>
      <c r="AJ1123" s="53"/>
      <c r="AK1123" s="53"/>
      <c r="AL1123" s="55"/>
      <c r="AM1123" s="52"/>
      <c r="AN1123" s="55"/>
      <c r="AO1123" s="52"/>
      <c r="AP1123" s="55"/>
      <c r="AQ1123" s="52"/>
      <c r="AR1123" s="52"/>
      <c r="AS1123" s="52"/>
      <c r="AT1123" s="52"/>
      <c r="AU1123" s="52"/>
      <c r="AV1123" s="52"/>
      <c r="AW1123" s="52"/>
    </row>
    <row r="1124" spans="1:49">
      <c r="A1124" s="52"/>
      <c r="B1124" s="52"/>
      <c r="C1124" s="52"/>
      <c r="D1124" s="53"/>
      <c r="E1124" s="53"/>
      <c r="F1124" s="53"/>
      <c r="G1124" s="53"/>
      <c r="H1124" s="53"/>
      <c r="I1124" s="52"/>
      <c r="J1124" s="52"/>
      <c r="K1124" s="53"/>
      <c r="L1124" s="52"/>
      <c r="M1124" s="54"/>
      <c r="N1124" s="54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2"/>
      <c r="AE1124" s="52"/>
      <c r="AF1124" s="52"/>
      <c r="AG1124" s="52"/>
      <c r="AH1124" s="52"/>
      <c r="AI1124" s="53"/>
      <c r="AJ1124" s="53"/>
      <c r="AK1124" s="53"/>
      <c r="AL1124" s="55"/>
      <c r="AM1124" s="52"/>
      <c r="AN1124" s="55"/>
      <c r="AO1124" s="52"/>
      <c r="AP1124" s="55"/>
      <c r="AQ1124" s="52"/>
      <c r="AR1124" s="52"/>
      <c r="AS1124" s="52"/>
      <c r="AT1124" s="52"/>
      <c r="AU1124" s="52"/>
      <c r="AV1124" s="52"/>
      <c r="AW1124" s="52"/>
    </row>
    <row r="1125" spans="1:49">
      <c r="A1125" s="52"/>
      <c r="B1125" s="52"/>
      <c r="C1125" s="52"/>
      <c r="D1125" s="53"/>
      <c r="E1125" s="53"/>
      <c r="F1125" s="53"/>
      <c r="G1125" s="53"/>
      <c r="H1125" s="53"/>
      <c r="I1125" s="52"/>
      <c r="J1125" s="52"/>
      <c r="K1125" s="53"/>
      <c r="L1125" s="52"/>
      <c r="M1125" s="54"/>
      <c r="N1125" s="54"/>
      <c r="O1125" s="52"/>
      <c r="P1125" s="52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  <c r="AA1125" s="52"/>
      <c r="AB1125" s="52"/>
      <c r="AC1125" s="52"/>
      <c r="AD1125" s="52"/>
      <c r="AE1125" s="52"/>
      <c r="AF1125" s="52"/>
      <c r="AG1125" s="52"/>
      <c r="AH1125" s="52"/>
      <c r="AI1125" s="53"/>
      <c r="AJ1125" s="53"/>
      <c r="AK1125" s="53"/>
      <c r="AL1125" s="55"/>
      <c r="AM1125" s="52"/>
      <c r="AN1125" s="55"/>
      <c r="AO1125" s="52"/>
      <c r="AP1125" s="55"/>
      <c r="AQ1125" s="52"/>
      <c r="AR1125" s="52"/>
      <c r="AS1125" s="52"/>
      <c r="AT1125" s="52"/>
      <c r="AU1125" s="52"/>
      <c r="AV1125" s="52"/>
      <c r="AW1125" s="52"/>
    </row>
    <row r="1126" spans="1:49">
      <c r="A1126" s="52"/>
      <c r="B1126" s="52"/>
      <c r="C1126" s="52"/>
      <c r="D1126" s="53"/>
      <c r="E1126" s="53"/>
      <c r="F1126" s="53"/>
      <c r="G1126" s="53"/>
      <c r="H1126" s="53"/>
      <c r="I1126" s="52"/>
      <c r="J1126" s="52"/>
      <c r="K1126" s="53"/>
      <c r="L1126" s="52"/>
      <c r="M1126" s="55"/>
      <c r="N1126" s="54"/>
      <c r="O1126" s="52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  <c r="AA1126" s="52"/>
      <c r="AB1126" s="52"/>
      <c r="AC1126" s="52"/>
      <c r="AD1126" s="52"/>
      <c r="AE1126" s="52"/>
      <c r="AF1126" s="52"/>
      <c r="AG1126" s="52"/>
      <c r="AH1126" s="52"/>
      <c r="AI1126" s="53"/>
      <c r="AJ1126" s="53"/>
      <c r="AK1126" s="53"/>
      <c r="AL1126" s="55"/>
      <c r="AM1126" s="52"/>
      <c r="AN1126" s="55"/>
      <c r="AO1126" s="52"/>
      <c r="AP1126" s="55"/>
      <c r="AQ1126" s="52"/>
      <c r="AR1126" s="52"/>
      <c r="AS1126" s="52"/>
      <c r="AT1126" s="52"/>
      <c r="AU1126" s="52"/>
      <c r="AV1126" s="52"/>
      <c r="AW1126" s="52"/>
    </row>
    <row r="1127" spans="1:49">
      <c r="A1127" s="52"/>
      <c r="B1127" s="52"/>
      <c r="C1127" s="52"/>
      <c r="D1127" s="53"/>
      <c r="E1127" s="53"/>
      <c r="F1127" s="53"/>
      <c r="G1127" s="53"/>
      <c r="H1127" s="53"/>
      <c r="I1127" s="52"/>
      <c r="J1127" s="52"/>
      <c r="K1127" s="53"/>
      <c r="L1127" s="52"/>
      <c r="M1127" s="55"/>
      <c r="N1127" s="54"/>
      <c r="O1127" s="52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  <c r="AA1127" s="52"/>
      <c r="AB1127" s="52"/>
      <c r="AC1127" s="52"/>
      <c r="AD1127" s="52"/>
      <c r="AE1127" s="52"/>
      <c r="AF1127" s="52"/>
      <c r="AG1127" s="52"/>
      <c r="AH1127" s="52"/>
      <c r="AI1127" s="53"/>
      <c r="AJ1127" s="53"/>
      <c r="AK1127" s="53"/>
      <c r="AL1127" s="55"/>
      <c r="AM1127" s="52"/>
      <c r="AN1127" s="55"/>
      <c r="AO1127" s="52"/>
      <c r="AP1127" s="55"/>
      <c r="AQ1127" s="52"/>
      <c r="AR1127" s="52"/>
      <c r="AS1127" s="52"/>
      <c r="AT1127" s="52"/>
      <c r="AU1127" s="52"/>
      <c r="AV1127" s="52"/>
      <c r="AW1127" s="52"/>
    </row>
    <row r="1128" spans="1:49">
      <c r="A1128" s="52"/>
      <c r="B1128" s="52"/>
      <c r="C1128" s="52"/>
      <c r="D1128" s="53"/>
      <c r="E1128" s="53"/>
      <c r="F1128" s="53"/>
      <c r="G1128" s="53"/>
      <c r="H1128" s="52"/>
      <c r="I1128" s="52"/>
      <c r="J1128" s="52"/>
      <c r="K1128" s="53"/>
      <c r="L1128" s="52"/>
      <c r="M1128" s="55"/>
      <c r="N1128" s="55"/>
      <c r="O1128" s="52"/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  <c r="AA1128" s="52"/>
      <c r="AB1128" s="52"/>
      <c r="AC1128" s="52"/>
      <c r="AD1128" s="52"/>
      <c r="AE1128" s="52"/>
      <c r="AF1128" s="52"/>
      <c r="AG1128" s="52"/>
      <c r="AH1128" s="52"/>
      <c r="AI1128" s="52"/>
      <c r="AJ1128" s="52"/>
      <c r="AK1128" s="52"/>
      <c r="AL1128" s="55"/>
      <c r="AM1128" s="52"/>
      <c r="AN1128" s="52"/>
      <c r="AO1128" s="52"/>
      <c r="AP1128" s="52"/>
      <c r="AQ1128" s="52"/>
      <c r="AR1128" s="52"/>
      <c r="AS1128" s="52"/>
      <c r="AT1128" s="52"/>
      <c r="AU1128" s="52"/>
      <c r="AV1128" s="52"/>
      <c r="AW1128" s="52"/>
    </row>
    <row r="1129" spans="1:49">
      <c r="A1129" s="52"/>
      <c r="B1129" s="52"/>
      <c r="C1129" s="52"/>
      <c r="D1129" s="53"/>
      <c r="E1129" s="53"/>
      <c r="F1129" s="53"/>
      <c r="G1129" s="53"/>
      <c r="H1129" s="52"/>
      <c r="I1129" s="52"/>
      <c r="J1129" s="52"/>
      <c r="K1129" s="53"/>
      <c r="L1129" s="52"/>
      <c r="M1129" s="54"/>
      <c r="N1129" s="54"/>
      <c r="O1129" s="52"/>
      <c r="P1129" s="52"/>
      <c r="Q1129" s="52"/>
      <c r="R1129" s="52"/>
      <c r="S1129" s="52"/>
      <c r="T1129" s="52"/>
      <c r="U1129" s="52"/>
      <c r="V1129" s="52"/>
      <c r="W1129" s="52"/>
      <c r="X1129" s="52"/>
      <c r="Y1129" s="52"/>
      <c r="Z1129" s="52"/>
      <c r="AA1129" s="52"/>
      <c r="AB1129" s="52"/>
      <c r="AC1129" s="52"/>
      <c r="AD1129" s="52"/>
      <c r="AE1129" s="52"/>
      <c r="AF1129" s="52"/>
      <c r="AG1129" s="52"/>
      <c r="AH1129" s="52"/>
      <c r="AI1129" s="53"/>
      <c r="AJ1129" s="53"/>
      <c r="AK1129" s="53"/>
      <c r="AL1129" s="55"/>
      <c r="AM1129" s="52"/>
      <c r="AN1129" s="55"/>
      <c r="AO1129" s="52"/>
      <c r="AP1129" s="55"/>
      <c r="AQ1129" s="52"/>
      <c r="AR1129" s="52"/>
      <c r="AS1129" s="52"/>
      <c r="AT1129" s="52"/>
      <c r="AU1129" s="52"/>
      <c r="AV1129" s="52"/>
      <c r="AW1129" s="52"/>
    </row>
    <row r="1130" spans="1:49">
      <c r="A1130" s="52"/>
      <c r="B1130" s="52"/>
      <c r="C1130" s="52"/>
      <c r="D1130" s="53"/>
      <c r="E1130" s="53"/>
      <c r="F1130" s="53"/>
      <c r="G1130" s="53"/>
      <c r="H1130" s="52"/>
      <c r="I1130" s="52"/>
      <c r="J1130" s="52"/>
      <c r="K1130" s="53"/>
      <c r="L1130" s="52"/>
      <c r="M1130" s="54"/>
      <c r="N1130" s="54"/>
      <c r="O1130" s="52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  <c r="AA1130" s="52"/>
      <c r="AB1130" s="52"/>
      <c r="AC1130" s="52"/>
      <c r="AD1130" s="52"/>
      <c r="AE1130" s="52"/>
      <c r="AF1130" s="52"/>
      <c r="AG1130" s="52"/>
      <c r="AH1130" s="52"/>
      <c r="AI1130" s="53"/>
      <c r="AJ1130" s="53"/>
      <c r="AK1130" s="53"/>
      <c r="AL1130" s="55"/>
      <c r="AM1130" s="52"/>
      <c r="AN1130" s="55"/>
      <c r="AO1130" s="52"/>
      <c r="AP1130" s="55"/>
      <c r="AQ1130" s="52"/>
      <c r="AR1130" s="52"/>
      <c r="AS1130" s="52"/>
      <c r="AT1130" s="52"/>
      <c r="AU1130" s="52"/>
      <c r="AV1130" s="52"/>
      <c r="AW1130" s="52"/>
    </row>
    <row r="1131" spans="1:49">
      <c r="A1131" s="52"/>
      <c r="B1131" s="52"/>
      <c r="C1131" s="52"/>
      <c r="D1131" s="53"/>
      <c r="E1131" s="53"/>
      <c r="F1131" s="53"/>
      <c r="G1131" s="53"/>
      <c r="H1131" s="52"/>
      <c r="I1131" s="52"/>
      <c r="J1131" s="52"/>
      <c r="K1131" s="52"/>
      <c r="L1131" s="52"/>
      <c r="M1131" s="55"/>
      <c r="N1131" s="54"/>
      <c r="O1131" s="52"/>
      <c r="P1131" s="52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  <c r="AA1131" s="52"/>
      <c r="AB1131" s="52"/>
      <c r="AC1131" s="52"/>
      <c r="AD1131" s="52"/>
      <c r="AE1131" s="52"/>
      <c r="AF1131" s="52"/>
      <c r="AG1131" s="52"/>
      <c r="AH1131" s="52"/>
      <c r="AI1131" s="52"/>
      <c r="AJ1131" s="52"/>
      <c r="AK1131" s="52"/>
      <c r="AL1131" s="52"/>
      <c r="AM1131" s="52"/>
      <c r="AN1131" s="52"/>
      <c r="AO1131" s="52"/>
      <c r="AP1131" s="52"/>
      <c r="AQ1131" s="52"/>
      <c r="AR1131" s="52"/>
      <c r="AS1131" s="52"/>
      <c r="AT1131" s="52"/>
      <c r="AU1131" s="52"/>
      <c r="AV1131" s="52"/>
      <c r="AW1131" s="52"/>
    </row>
    <row r="1132" spans="1:49">
      <c r="A1132" s="52"/>
      <c r="B1132" s="52"/>
      <c r="C1132" s="52"/>
      <c r="D1132" s="53"/>
      <c r="E1132" s="53"/>
      <c r="F1132" s="52"/>
      <c r="G1132" s="53"/>
      <c r="H1132" s="52"/>
      <c r="I1132" s="52"/>
      <c r="J1132" s="52"/>
      <c r="K1132" s="52"/>
      <c r="L1132" s="52"/>
      <c r="M1132" s="52"/>
      <c r="N1132" s="52"/>
      <c r="O1132" s="52"/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  <c r="AA1132" s="52"/>
      <c r="AB1132" s="52"/>
      <c r="AC1132" s="52"/>
      <c r="AD1132" s="52"/>
      <c r="AE1132" s="52"/>
      <c r="AF1132" s="52"/>
      <c r="AG1132" s="52"/>
      <c r="AH1132" s="52"/>
      <c r="AI1132" s="52"/>
      <c r="AJ1132" s="52"/>
      <c r="AK1132" s="52"/>
      <c r="AL1132" s="52"/>
      <c r="AM1132" s="52"/>
      <c r="AN1132" s="52"/>
      <c r="AO1132" s="52"/>
      <c r="AP1132" s="52"/>
      <c r="AQ1132" s="52"/>
      <c r="AR1132" s="52"/>
      <c r="AS1132" s="52"/>
      <c r="AT1132" s="52"/>
      <c r="AU1132" s="52"/>
      <c r="AV1132" s="52"/>
      <c r="AW1132" s="52"/>
    </row>
    <row r="1133" spans="1:49">
      <c r="A1133" s="52"/>
      <c r="B1133" s="52"/>
      <c r="C1133" s="52"/>
      <c r="D1133" s="53"/>
      <c r="E1133" s="53"/>
      <c r="F1133" s="52"/>
      <c r="G1133" s="53"/>
      <c r="H1133" s="52"/>
      <c r="I1133" s="52"/>
      <c r="J1133" s="52"/>
      <c r="K1133" s="52"/>
      <c r="L1133" s="52"/>
      <c r="M1133" s="52"/>
      <c r="N1133" s="52"/>
      <c r="O1133" s="52"/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  <c r="AA1133" s="52"/>
      <c r="AB1133" s="52"/>
      <c r="AC1133" s="52"/>
      <c r="AD1133" s="52"/>
      <c r="AE1133" s="52"/>
      <c r="AF1133" s="52"/>
      <c r="AG1133" s="52"/>
      <c r="AH1133" s="52"/>
      <c r="AI1133" s="52"/>
      <c r="AJ1133" s="52"/>
      <c r="AK1133" s="52"/>
      <c r="AL1133" s="52"/>
      <c r="AM1133" s="52"/>
      <c r="AN1133" s="52"/>
      <c r="AO1133" s="52"/>
      <c r="AP1133" s="52"/>
      <c r="AQ1133" s="52"/>
      <c r="AR1133" s="52"/>
      <c r="AS1133" s="52"/>
      <c r="AT1133" s="52"/>
      <c r="AU1133" s="52"/>
      <c r="AV1133" s="52"/>
      <c r="AW1133" s="52"/>
    </row>
    <row r="1134" spans="1:49">
      <c r="A1134" s="52"/>
      <c r="B1134" s="52"/>
      <c r="C1134" s="52"/>
      <c r="D1134" s="53"/>
      <c r="E1134" s="53"/>
      <c r="F1134" s="53"/>
      <c r="G1134" s="53"/>
      <c r="H1134" s="52"/>
      <c r="I1134" s="52"/>
      <c r="J1134" s="52"/>
      <c r="K1134" s="52"/>
      <c r="L1134" s="52"/>
      <c r="M1134" s="54"/>
      <c r="N1134" s="54"/>
      <c r="O1134" s="52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  <c r="AA1134" s="52"/>
      <c r="AB1134" s="52"/>
      <c r="AC1134" s="52"/>
      <c r="AD1134" s="52"/>
      <c r="AE1134" s="52"/>
      <c r="AF1134" s="52"/>
      <c r="AG1134" s="52"/>
      <c r="AH1134" s="52"/>
      <c r="AI1134" s="52"/>
      <c r="AJ1134" s="52"/>
      <c r="AK1134" s="52"/>
      <c r="AL1134" s="52"/>
      <c r="AM1134" s="52"/>
      <c r="AN1134" s="52"/>
      <c r="AO1134" s="52"/>
      <c r="AP1134" s="52"/>
      <c r="AQ1134" s="52"/>
      <c r="AR1134" s="52"/>
      <c r="AS1134" s="52"/>
      <c r="AT1134" s="52"/>
      <c r="AU1134" s="52"/>
      <c r="AV1134" s="52"/>
      <c r="AW1134" s="52"/>
    </row>
    <row r="1135" spans="1:49">
      <c r="A1135" s="52"/>
      <c r="B1135" s="52"/>
      <c r="C1135" s="52"/>
      <c r="D1135" s="53"/>
      <c r="E1135" s="53"/>
      <c r="F1135" s="53"/>
      <c r="G1135" s="53"/>
      <c r="H1135" s="52"/>
      <c r="I1135" s="52"/>
      <c r="J1135" s="52"/>
      <c r="K1135" s="52"/>
      <c r="L1135" s="52"/>
      <c r="M1135" s="54"/>
      <c r="N1135" s="54"/>
      <c r="O1135" s="52"/>
      <c r="P1135" s="52"/>
      <c r="Q1135" s="52"/>
      <c r="R1135" s="52"/>
      <c r="S1135" s="52"/>
      <c r="T1135" s="52"/>
      <c r="U1135" s="52"/>
      <c r="V1135" s="52"/>
      <c r="W1135" s="52"/>
      <c r="X1135" s="52"/>
      <c r="Y1135" s="52"/>
      <c r="Z1135" s="52"/>
      <c r="AA1135" s="52"/>
      <c r="AB1135" s="52"/>
      <c r="AC1135" s="52"/>
      <c r="AD1135" s="52"/>
      <c r="AE1135" s="52"/>
      <c r="AF1135" s="52"/>
      <c r="AG1135" s="52"/>
      <c r="AH1135" s="52"/>
      <c r="AI1135" s="52"/>
      <c r="AJ1135" s="52"/>
      <c r="AK1135" s="52"/>
      <c r="AL1135" s="52"/>
      <c r="AM1135" s="52"/>
      <c r="AN1135" s="52"/>
      <c r="AO1135" s="52"/>
      <c r="AP1135" s="52"/>
      <c r="AQ1135" s="52"/>
      <c r="AR1135" s="52"/>
      <c r="AS1135" s="52"/>
      <c r="AT1135" s="52"/>
      <c r="AU1135" s="52"/>
      <c r="AV1135" s="52"/>
      <c r="AW1135" s="52"/>
    </row>
    <row r="1136" spans="1:49">
      <c r="A1136" s="52"/>
      <c r="B1136" s="52"/>
      <c r="C1136" s="52"/>
      <c r="D1136" s="53"/>
      <c r="E1136" s="53"/>
      <c r="F1136" s="53"/>
      <c r="G1136" s="53"/>
      <c r="H1136" s="53"/>
      <c r="I1136" s="52"/>
      <c r="J1136" s="52"/>
      <c r="K1136" s="53"/>
      <c r="L1136" s="52"/>
      <c r="M1136" s="55"/>
      <c r="N1136" s="55"/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  <c r="AA1136" s="52"/>
      <c r="AB1136" s="52"/>
      <c r="AC1136" s="52"/>
      <c r="AD1136" s="52"/>
      <c r="AE1136" s="52"/>
      <c r="AF1136" s="52"/>
      <c r="AG1136" s="52"/>
      <c r="AH1136" s="52"/>
      <c r="AI1136" s="52"/>
      <c r="AJ1136" s="52"/>
      <c r="AK1136" s="52"/>
      <c r="AL1136" s="55"/>
      <c r="AM1136" s="52"/>
      <c r="AN1136" s="52"/>
      <c r="AO1136" s="52"/>
      <c r="AP1136" s="52"/>
      <c r="AQ1136" s="52"/>
      <c r="AR1136" s="52"/>
      <c r="AS1136" s="52"/>
      <c r="AT1136" s="52"/>
      <c r="AU1136" s="52"/>
      <c r="AV1136" s="52"/>
      <c r="AW1136" s="52"/>
    </row>
    <row r="1137" spans="1:49">
      <c r="A1137" s="52"/>
      <c r="B1137" s="52"/>
      <c r="C1137" s="52"/>
      <c r="D1137" s="53"/>
      <c r="E1137" s="53"/>
      <c r="F1137" s="53"/>
      <c r="G1137" s="53"/>
      <c r="H1137" s="53"/>
      <c r="I1137" s="52"/>
      <c r="J1137" s="52"/>
      <c r="K1137" s="53"/>
      <c r="L1137" s="52"/>
      <c r="M1137" s="55"/>
      <c r="N1137" s="55"/>
      <c r="O1137" s="52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  <c r="AA1137" s="52"/>
      <c r="AB1137" s="52"/>
      <c r="AC1137" s="52"/>
      <c r="AD1137" s="52"/>
      <c r="AE1137" s="52"/>
      <c r="AF1137" s="52"/>
      <c r="AG1137" s="52"/>
      <c r="AH1137" s="52"/>
      <c r="AI1137" s="52"/>
      <c r="AJ1137" s="52"/>
      <c r="AK1137" s="52"/>
      <c r="AL1137" s="55"/>
      <c r="AM1137" s="52"/>
      <c r="AN1137" s="52"/>
      <c r="AO1137" s="52"/>
      <c r="AP1137" s="52"/>
      <c r="AQ1137" s="52"/>
      <c r="AR1137" s="52"/>
      <c r="AS1137" s="52"/>
      <c r="AT1137" s="52"/>
      <c r="AU1137" s="52"/>
      <c r="AV1137" s="52"/>
      <c r="AW1137" s="52"/>
    </row>
    <row r="1138" spans="1:49">
      <c r="A1138" s="52"/>
      <c r="B1138" s="52"/>
      <c r="C1138" s="52"/>
      <c r="D1138" s="53"/>
      <c r="E1138" s="53"/>
      <c r="F1138" s="53"/>
      <c r="G1138" s="53"/>
      <c r="H1138" s="53"/>
      <c r="I1138" s="52"/>
      <c r="J1138" s="52"/>
      <c r="K1138" s="53"/>
      <c r="L1138" s="52"/>
      <c r="M1138" s="54"/>
      <c r="N1138" s="54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  <c r="AA1138" s="52"/>
      <c r="AB1138" s="52"/>
      <c r="AC1138" s="52"/>
      <c r="AD1138" s="52"/>
      <c r="AE1138" s="52"/>
      <c r="AF1138" s="52"/>
      <c r="AG1138" s="52"/>
      <c r="AH1138" s="52"/>
      <c r="AI1138" s="53"/>
      <c r="AJ1138" s="53"/>
      <c r="AK1138" s="53"/>
      <c r="AL1138" s="55"/>
      <c r="AM1138" s="52"/>
      <c r="AN1138" s="55"/>
      <c r="AO1138" s="52"/>
      <c r="AP1138" s="55"/>
      <c r="AQ1138" s="52"/>
      <c r="AR1138" s="52"/>
      <c r="AS1138" s="52"/>
      <c r="AT1138" s="52"/>
      <c r="AU1138" s="52"/>
      <c r="AV1138" s="52"/>
      <c r="AW1138" s="52"/>
    </row>
    <row r="1139" spans="1:49">
      <c r="A1139" s="52"/>
      <c r="B1139" s="52"/>
      <c r="C1139" s="52"/>
      <c r="D1139" s="53"/>
      <c r="E1139" s="53"/>
      <c r="F1139" s="53"/>
      <c r="G1139" s="53"/>
      <c r="H1139" s="53"/>
      <c r="I1139" s="52"/>
      <c r="J1139" s="52"/>
      <c r="K1139" s="53"/>
      <c r="L1139" s="52"/>
      <c r="M1139" s="54"/>
      <c r="N1139" s="54"/>
      <c r="O1139" s="52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  <c r="AA1139" s="52"/>
      <c r="AB1139" s="52"/>
      <c r="AC1139" s="52"/>
      <c r="AD1139" s="52"/>
      <c r="AE1139" s="52"/>
      <c r="AF1139" s="52"/>
      <c r="AG1139" s="52"/>
      <c r="AH1139" s="52"/>
      <c r="AI1139" s="53"/>
      <c r="AJ1139" s="53"/>
      <c r="AK1139" s="53"/>
      <c r="AL1139" s="55"/>
      <c r="AM1139" s="52"/>
      <c r="AN1139" s="55"/>
      <c r="AO1139" s="52"/>
      <c r="AP1139" s="55"/>
      <c r="AQ1139" s="52"/>
      <c r="AR1139" s="52"/>
      <c r="AS1139" s="52"/>
      <c r="AT1139" s="52"/>
      <c r="AU1139" s="52"/>
      <c r="AV1139" s="52"/>
      <c r="AW1139" s="52"/>
    </row>
    <row r="1140" spans="1:49">
      <c r="A1140" s="52"/>
      <c r="B1140" s="52"/>
      <c r="C1140" s="52"/>
      <c r="D1140" s="53"/>
      <c r="E1140" s="53"/>
      <c r="F1140" s="53"/>
      <c r="G1140" s="53"/>
      <c r="H1140" s="53"/>
      <c r="I1140" s="52"/>
      <c r="J1140" s="52"/>
      <c r="K1140" s="53"/>
      <c r="L1140" s="52"/>
      <c r="M1140" s="54"/>
      <c r="N1140" s="54"/>
      <c r="O1140" s="52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  <c r="AA1140" s="52"/>
      <c r="AB1140" s="52"/>
      <c r="AC1140" s="52"/>
      <c r="AD1140" s="52"/>
      <c r="AE1140" s="52"/>
      <c r="AF1140" s="52"/>
      <c r="AG1140" s="52"/>
      <c r="AH1140" s="52"/>
      <c r="AI1140" s="53"/>
      <c r="AJ1140" s="53"/>
      <c r="AK1140" s="53"/>
      <c r="AL1140" s="55"/>
      <c r="AM1140" s="52"/>
      <c r="AN1140" s="55"/>
      <c r="AO1140" s="52"/>
      <c r="AP1140" s="55"/>
      <c r="AQ1140" s="52"/>
      <c r="AR1140" s="52"/>
      <c r="AS1140" s="52"/>
      <c r="AT1140" s="52"/>
      <c r="AU1140" s="52"/>
      <c r="AV1140" s="52"/>
      <c r="AW1140" s="52"/>
    </row>
    <row r="1141" spans="1:49">
      <c r="A1141" s="52"/>
      <c r="B1141" s="52"/>
      <c r="C1141" s="52"/>
      <c r="D1141" s="53"/>
      <c r="E1141" s="53"/>
      <c r="F1141" s="53"/>
      <c r="G1141" s="53"/>
      <c r="H1141" s="53"/>
      <c r="I1141" s="52"/>
      <c r="J1141" s="52"/>
      <c r="K1141" s="53"/>
      <c r="L1141" s="52"/>
      <c r="M1141" s="54"/>
      <c r="N1141" s="54"/>
      <c r="O1141" s="52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  <c r="Z1141" s="52"/>
      <c r="AA1141" s="52"/>
      <c r="AB1141" s="52"/>
      <c r="AC1141" s="52"/>
      <c r="AD1141" s="52"/>
      <c r="AE1141" s="52"/>
      <c r="AF1141" s="52"/>
      <c r="AG1141" s="52"/>
      <c r="AH1141" s="52"/>
      <c r="AI1141" s="53"/>
      <c r="AJ1141" s="53"/>
      <c r="AK1141" s="53"/>
      <c r="AL1141" s="55"/>
      <c r="AM1141" s="52"/>
      <c r="AN1141" s="55"/>
      <c r="AO1141" s="52"/>
      <c r="AP1141" s="55"/>
      <c r="AQ1141" s="52"/>
      <c r="AR1141" s="52"/>
      <c r="AS1141" s="52"/>
      <c r="AT1141" s="52"/>
      <c r="AU1141" s="52"/>
      <c r="AV1141" s="52"/>
      <c r="AW1141" s="52"/>
    </row>
    <row r="1142" spans="1:49">
      <c r="A1142" s="52"/>
      <c r="B1142" s="52"/>
      <c r="C1142" s="52"/>
      <c r="D1142" s="53"/>
      <c r="E1142" s="53"/>
      <c r="F1142" s="53"/>
      <c r="G1142" s="53"/>
      <c r="H1142" s="53"/>
      <c r="I1142" s="52"/>
      <c r="J1142" s="52"/>
      <c r="K1142" s="53"/>
      <c r="L1142" s="52"/>
      <c r="M1142" s="54"/>
      <c r="N1142" s="54"/>
      <c r="O1142" s="52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  <c r="AA1142" s="52"/>
      <c r="AB1142" s="52"/>
      <c r="AC1142" s="52"/>
      <c r="AD1142" s="52"/>
      <c r="AE1142" s="52"/>
      <c r="AF1142" s="52"/>
      <c r="AG1142" s="52"/>
      <c r="AH1142" s="52"/>
      <c r="AI1142" s="52"/>
      <c r="AJ1142" s="52"/>
      <c r="AK1142" s="52"/>
      <c r="AL1142" s="52"/>
      <c r="AM1142" s="52"/>
      <c r="AN1142" s="52"/>
      <c r="AO1142" s="52"/>
      <c r="AP1142" s="52"/>
      <c r="AQ1142" s="52"/>
      <c r="AR1142" s="52"/>
      <c r="AS1142" s="52"/>
      <c r="AT1142" s="52"/>
      <c r="AU1142" s="52"/>
      <c r="AV1142" s="52"/>
      <c r="AW1142" s="52"/>
    </row>
    <row r="1143" spans="1:49">
      <c r="A1143" s="52"/>
      <c r="B1143" s="52"/>
      <c r="C1143" s="52"/>
      <c r="D1143" s="53"/>
      <c r="E1143" s="53"/>
      <c r="F1143" s="53"/>
      <c r="G1143" s="53"/>
      <c r="H1143" s="52"/>
      <c r="I1143" s="52"/>
      <c r="J1143" s="52"/>
      <c r="K1143" s="52"/>
      <c r="L1143" s="52"/>
      <c r="M1143" s="54"/>
      <c r="N1143" s="54"/>
      <c r="O1143" s="52"/>
      <c r="P1143" s="52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  <c r="AA1143" s="52"/>
      <c r="AB1143" s="52"/>
      <c r="AC1143" s="52"/>
      <c r="AD1143" s="52"/>
      <c r="AE1143" s="52"/>
      <c r="AF1143" s="52"/>
      <c r="AG1143" s="52"/>
      <c r="AH1143" s="52"/>
      <c r="AI1143" s="52"/>
      <c r="AJ1143" s="52"/>
      <c r="AK1143" s="52"/>
      <c r="AL1143" s="52"/>
      <c r="AM1143" s="52"/>
      <c r="AN1143" s="52"/>
      <c r="AO1143" s="52"/>
      <c r="AP1143" s="52"/>
      <c r="AQ1143" s="52"/>
      <c r="AR1143" s="52"/>
      <c r="AS1143" s="52"/>
      <c r="AT1143" s="52"/>
      <c r="AU1143" s="52"/>
      <c r="AV1143" s="52"/>
      <c r="AW1143" s="52"/>
    </row>
    <row r="1144" spans="1:49">
      <c r="A1144" s="52"/>
      <c r="B1144" s="52"/>
      <c r="C1144" s="52"/>
      <c r="D1144" s="53"/>
      <c r="E1144" s="53"/>
      <c r="F1144" s="53"/>
      <c r="G1144" s="53"/>
      <c r="H1144" s="52"/>
      <c r="I1144" s="52"/>
      <c r="J1144" s="52"/>
      <c r="K1144" s="52"/>
      <c r="L1144" s="52"/>
      <c r="M1144" s="54"/>
      <c r="N1144" s="54"/>
      <c r="O1144" s="52"/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  <c r="AA1144" s="52"/>
      <c r="AB1144" s="52"/>
      <c r="AC1144" s="52"/>
      <c r="AD1144" s="52"/>
      <c r="AE1144" s="52"/>
      <c r="AF1144" s="52"/>
      <c r="AG1144" s="52"/>
      <c r="AH1144" s="52"/>
      <c r="AI1144" s="52"/>
      <c r="AJ1144" s="52"/>
      <c r="AK1144" s="52"/>
      <c r="AL1144" s="52"/>
      <c r="AM1144" s="52"/>
      <c r="AN1144" s="52"/>
      <c r="AO1144" s="52"/>
      <c r="AP1144" s="52"/>
      <c r="AQ1144" s="52"/>
      <c r="AR1144" s="52"/>
      <c r="AS1144" s="52"/>
      <c r="AT1144" s="52"/>
      <c r="AU1144" s="52"/>
      <c r="AV1144" s="52"/>
      <c r="AW1144" s="52"/>
    </row>
    <row r="1145" spans="1:49">
      <c r="A1145" s="52"/>
      <c r="B1145" s="52"/>
      <c r="C1145" s="52"/>
      <c r="D1145" s="53"/>
      <c r="E1145" s="53"/>
      <c r="F1145" s="53"/>
      <c r="G1145" s="53"/>
      <c r="H1145" s="53"/>
      <c r="I1145" s="52"/>
      <c r="J1145" s="52"/>
      <c r="K1145" s="52"/>
      <c r="L1145" s="52"/>
      <c r="M1145" s="54"/>
      <c r="N1145" s="54"/>
      <c r="O1145" s="52"/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  <c r="AA1145" s="52"/>
      <c r="AB1145" s="52"/>
      <c r="AC1145" s="52"/>
      <c r="AD1145" s="52"/>
      <c r="AE1145" s="52"/>
      <c r="AF1145" s="52"/>
      <c r="AG1145" s="52"/>
      <c r="AH1145" s="52"/>
      <c r="AI1145" s="52"/>
      <c r="AJ1145" s="52"/>
      <c r="AK1145" s="52"/>
      <c r="AL1145" s="55"/>
      <c r="AM1145" s="52"/>
      <c r="AN1145" s="52"/>
      <c r="AO1145" s="52"/>
      <c r="AP1145" s="55"/>
      <c r="AQ1145" s="52"/>
      <c r="AR1145" s="52"/>
      <c r="AS1145" s="52"/>
      <c r="AT1145" s="52"/>
      <c r="AU1145" s="52"/>
      <c r="AV1145" s="52"/>
      <c r="AW1145" s="52"/>
    </row>
    <row r="1146" spans="1:49">
      <c r="A1146" s="52"/>
      <c r="B1146" s="52"/>
      <c r="C1146" s="52"/>
      <c r="D1146" s="53"/>
      <c r="E1146" s="53"/>
      <c r="F1146" s="53"/>
      <c r="G1146" s="53"/>
      <c r="H1146" s="53"/>
      <c r="I1146" s="52"/>
      <c r="J1146" s="52"/>
      <c r="K1146" s="52"/>
      <c r="L1146" s="52"/>
      <c r="M1146" s="54"/>
      <c r="N1146" s="54"/>
      <c r="O1146" s="52"/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  <c r="AA1146" s="52"/>
      <c r="AB1146" s="52"/>
      <c r="AC1146" s="52"/>
      <c r="AD1146" s="52"/>
      <c r="AE1146" s="52"/>
      <c r="AF1146" s="52"/>
      <c r="AG1146" s="52"/>
      <c r="AH1146" s="52"/>
      <c r="AI1146" s="52"/>
      <c r="AJ1146" s="52"/>
      <c r="AK1146" s="52"/>
      <c r="AL1146" s="55"/>
      <c r="AM1146" s="52"/>
      <c r="AN1146" s="52"/>
      <c r="AO1146" s="52"/>
      <c r="AP1146" s="55"/>
      <c r="AQ1146" s="52"/>
      <c r="AR1146" s="52"/>
      <c r="AS1146" s="52"/>
      <c r="AT1146" s="52"/>
      <c r="AU1146" s="52"/>
      <c r="AV1146" s="52"/>
      <c r="AW1146" s="52"/>
    </row>
    <row r="1147" spans="1:49">
      <c r="A1147" s="52"/>
      <c r="B1147" s="52"/>
      <c r="C1147" s="52"/>
      <c r="D1147" s="53"/>
      <c r="E1147" s="53"/>
      <c r="F1147" s="53"/>
      <c r="G1147" s="53"/>
      <c r="H1147" s="52"/>
      <c r="I1147" s="52"/>
      <c r="J1147" s="52"/>
      <c r="K1147" s="53"/>
      <c r="L1147" s="52"/>
      <c r="M1147" s="54"/>
      <c r="N1147" s="54"/>
      <c r="O1147" s="52"/>
      <c r="P1147" s="52"/>
      <c r="Q1147" s="52"/>
      <c r="R1147" s="52"/>
      <c r="S1147" s="52"/>
      <c r="T1147" s="52"/>
      <c r="U1147" s="52"/>
      <c r="V1147" s="52"/>
      <c r="W1147" s="52"/>
      <c r="X1147" s="52"/>
      <c r="Y1147" s="52"/>
      <c r="Z1147" s="52"/>
      <c r="AA1147" s="52"/>
      <c r="AB1147" s="52"/>
      <c r="AC1147" s="52"/>
      <c r="AD1147" s="52"/>
      <c r="AE1147" s="52"/>
      <c r="AF1147" s="52"/>
      <c r="AG1147" s="52"/>
      <c r="AH1147" s="52"/>
      <c r="AI1147" s="52"/>
      <c r="AJ1147" s="52"/>
      <c r="AK1147" s="52"/>
      <c r="AL1147" s="52"/>
      <c r="AM1147" s="52"/>
      <c r="AN1147" s="52"/>
      <c r="AO1147" s="52"/>
      <c r="AP1147" s="52"/>
      <c r="AQ1147" s="52"/>
      <c r="AR1147" s="52"/>
      <c r="AS1147" s="52"/>
      <c r="AT1147" s="52"/>
      <c r="AU1147" s="52"/>
      <c r="AV1147" s="52"/>
      <c r="AW1147" s="52"/>
    </row>
    <row r="1148" spans="1:49">
      <c r="A1148" s="52"/>
      <c r="B1148" s="52"/>
      <c r="C1148" s="52"/>
      <c r="D1148" s="53"/>
      <c r="E1148" s="53"/>
      <c r="F1148" s="53"/>
      <c r="G1148" s="53"/>
      <c r="H1148" s="52"/>
      <c r="I1148" s="52"/>
      <c r="J1148" s="52"/>
      <c r="K1148" s="53"/>
      <c r="L1148" s="52"/>
      <c r="M1148" s="54"/>
      <c r="N1148" s="55"/>
      <c r="O1148" s="52"/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  <c r="AA1148" s="52"/>
      <c r="AB1148" s="52"/>
      <c r="AC1148" s="52"/>
      <c r="AD1148" s="52"/>
      <c r="AE1148" s="52"/>
      <c r="AF1148" s="52"/>
      <c r="AG1148" s="52"/>
      <c r="AH1148" s="52"/>
      <c r="AI1148" s="53"/>
      <c r="AJ1148" s="52"/>
      <c r="AK1148" s="53"/>
      <c r="AL1148" s="52"/>
      <c r="AM1148" s="52"/>
      <c r="AN1148" s="52"/>
      <c r="AO1148" s="52"/>
      <c r="AP1148" s="52"/>
      <c r="AQ1148" s="52"/>
      <c r="AR1148" s="52"/>
      <c r="AS1148" s="52"/>
      <c r="AT1148" s="52"/>
      <c r="AU1148" s="52"/>
      <c r="AV1148" s="52"/>
      <c r="AW1148" s="52"/>
    </row>
    <row r="1149" spans="1:49">
      <c r="A1149" s="52"/>
      <c r="B1149" s="52"/>
      <c r="C1149" s="52"/>
      <c r="D1149" s="53"/>
      <c r="E1149" s="53"/>
      <c r="F1149" s="53"/>
      <c r="G1149" s="53"/>
      <c r="H1149" s="52"/>
      <c r="I1149" s="52"/>
      <c r="J1149" s="52"/>
      <c r="K1149" s="53"/>
      <c r="L1149" s="52"/>
      <c r="M1149" s="54"/>
      <c r="N1149" s="55"/>
      <c r="O1149" s="52"/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  <c r="AA1149" s="52"/>
      <c r="AB1149" s="52"/>
      <c r="AC1149" s="52"/>
      <c r="AD1149" s="52"/>
      <c r="AE1149" s="52"/>
      <c r="AF1149" s="52"/>
      <c r="AG1149" s="52"/>
      <c r="AH1149" s="52"/>
      <c r="AI1149" s="53"/>
      <c r="AJ1149" s="52"/>
      <c r="AK1149" s="53"/>
      <c r="AL1149" s="52"/>
      <c r="AM1149" s="52"/>
      <c r="AN1149" s="52"/>
      <c r="AO1149" s="52"/>
      <c r="AP1149" s="52"/>
      <c r="AQ1149" s="52"/>
      <c r="AR1149" s="52"/>
      <c r="AS1149" s="52"/>
      <c r="AT1149" s="52"/>
      <c r="AU1149" s="52"/>
      <c r="AV1149" s="52"/>
      <c r="AW1149" s="52"/>
    </row>
    <row r="1150" spans="1:49">
      <c r="A1150" s="52"/>
      <c r="B1150" s="52"/>
      <c r="C1150" s="52"/>
      <c r="D1150" s="53"/>
      <c r="E1150" s="53"/>
      <c r="F1150" s="53"/>
      <c r="G1150" s="53"/>
      <c r="H1150" s="53"/>
      <c r="I1150" s="52"/>
      <c r="J1150" s="52"/>
      <c r="K1150" s="53"/>
      <c r="L1150" s="52"/>
      <c r="M1150" s="54"/>
      <c r="N1150" s="54"/>
      <c r="O1150" s="52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  <c r="AA1150" s="52"/>
      <c r="AB1150" s="52"/>
      <c r="AC1150" s="52"/>
      <c r="AD1150" s="52"/>
      <c r="AE1150" s="52"/>
      <c r="AF1150" s="52"/>
      <c r="AG1150" s="52"/>
      <c r="AH1150" s="52"/>
      <c r="AI1150" s="52"/>
      <c r="AJ1150" s="52"/>
      <c r="AK1150" s="52"/>
      <c r="AL1150" s="55"/>
      <c r="AM1150" s="52"/>
      <c r="AN1150" s="52"/>
      <c r="AO1150" s="52"/>
      <c r="AP1150" s="52"/>
      <c r="AQ1150" s="52"/>
      <c r="AR1150" s="52"/>
      <c r="AS1150" s="52"/>
      <c r="AT1150" s="52"/>
      <c r="AU1150" s="52"/>
      <c r="AV1150" s="52"/>
      <c r="AW1150" s="52"/>
    </row>
    <row r="1151" spans="1:49">
      <c r="A1151" s="52"/>
      <c r="B1151" s="52"/>
      <c r="C1151" s="52"/>
      <c r="D1151" s="53"/>
      <c r="E1151" s="53"/>
      <c r="F1151" s="53"/>
      <c r="G1151" s="53"/>
      <c r="H1151" s="53"/>
      <c r="I1151" s="52"/>
      <c r="J1151" s="52"/>
      <c r="K1151" s="53"/>
      <c r="L1151" s="52"/>
      <c r="M1151" s="54"/>
      <c r="N1151" s="54"/>
      <c r="O1151" s="52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  <c r="AA1151" s="52"/>
      <c r="AB1151" s="52"/>
      <c r="AC1151" s="52"/>
      <c r="AD1151" s="52"/>
      <c r="AE1151" s="52"/>
      <c r="AF1151" s="52"/>
      <c r="AG1151" s="52"/>
      <c r="AH1151" s="52"/>
      <c r="AI1151" s="53"/>
      <c r="AJ1151" s="53"/>
      <c r="AK1151" s="53"/>
      <c r="AL1151" s="55"/>
      <c r="AM1151" s="52"/>
      <c r="AN1151" s="55"/>
      <c r="AO1151" s="55"/>
      <c r="AP1151" s="55"/>
      <c r="AQ1151" s="52"/>
      <c r="AR1151" s="52"/>
      <c r="AS1151" s="52"/>
      <c r="AT1151" s="52"/>
      <c r="AU1151" s="52"/>
      <c r="AV1151" s="52"/>
      <c r="AW1151" s="52"/>
    </row>
    <row r="1152" spans="1:49">
      <c r="A1152" s="52"/>
      <c r="B1152" s="52"/>
      <c r="C1152" s="52"/>
      <c r="D1152" s="53"/>
      <c r="E1152" s="53"/>
      <c r="F1152" s="53"/>
      <c r="G1152" s="53"/>
      <c r="H1152" s="53"/>
      <c r="I1152" s="52"/>
      <c r="J1152" s="52"/>
      <c r="K1152" s="53"/>
      <c r="L1152" s="52"/>
      <c r="M1152" s="54"/>
      <c r="N1152" s="54"/>
      <c r="O1152" s="52"/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  <c r="AA1152" s="52"/>
      <c r="AB1152" s="52"/>
      <c r="AC1152" s="52"/>
      <c r="AD1152" s="52"/>
      <c r="AE1152" s="52"/>
      <c r="AF1152" s="52"/>
      <c r="AG1152" s="52"/>
      <c r="AH1152" s="52"/>
      <c r="AI1152" s="53"/>
      <c r="AJ1152" s="53"/>
      <c r="AK1152" s="53"/>
      <c r="AL1152" s="55"/>
      <c r="AM1152" s="52"/>
      <c r="AN1152" s="55"/>
      <c r="AO1152" s="55"/>
      <c r="AP1152" s="55"/>
      <c r="AQ1152" s="52"/>
      <c r="AR1152" s="52"/>
      <c r="AS1152" s="52"/>
      <c r="AT1152" s="52"/>
      <c r="AU1152" s="52"/>
      <c r="AV1152" s="52"/>
      <c r="AW1152" s="52"/>
    </row>
    <row r="1153" spans="1:49">
      <c r="A1153" s="52"/>
      <c r="B1153" s="52"/>
      <c r="C1153" s="52"/>
      <c r="D1153" s="53"/>
      <c r="E1153" s="53"/>
      <c r="F1153" s="53"/>
      <c r="G1153" s="53"/>
      <c r="H1153" s="53"/>
      <c r="I1153" s="52"/>
      <c r="J1153" s="52"/>
      <c r="K1153" s="53"/>
      <c r="L1153" s="52"/>
      <c r="M1153" s="54"/>
      <c r="N1153" s="54"/>
      <c r="O1153" s="52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  <c r="AA1153" s="52"/>
      <c r="AB1153" s="52"/>
      <c r="AC1153" s="52"/>
      <c r="AD1153" s="52"/>
      <c r="AE1153" s="52"/>
      <c r="AF1153" s="52"/>
      <c r="AG1153" s="52"/>
      <c r="AH1153" s="52"/>
      <c r="AI1153" s="52"/>
      <c r="AJ1153" s="52"/>
      <c r="AK1153" s="52"/>
      <c r="AL1153" s="55"/>
      <c r="AM1153" s="52"/>
      <c r="AN1153" s="52"/>
      <c r="AO1153" s="52"/>
      <c r="AP1153" s="52"/>
      <c r="AQ1153" s="52"/>
      <c r="AR1153" s="52"/>
      <c r="AS1153" s="52"/>
      <c r="AT1153" s="52"/>
      <c r="AU1153" s="52"/>
      <c r="AV1153" s="52"/>
      <c r="AW1153" s="52"/>
    </row>
    <row r="1154" spans="1:49">
      <c r="A1154" s="52"/>
      <c r="B1154" s="52"/>
      <c r="C1154" s="52"/>
      <c r="D1154" s="53"/>
      <c r="E1154" s="53"/>
      <c r="F1154" s="53"/>
      <c r="G1154" s="53"/>
      <c r="H1154" s="53"/>
      <c r="I1154" s="52"/>
      <c r="J1154" s="52"/>
      <c r="K1154" s="53"/>
      <c r="L1154" s="52"/>
      <c r="M1154" s="54"/>
      <c r="N1154" s="54"/>
      <c r="O1154" s="52"/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  <c r="AA1154" s="52"/>
      <c r="AB1154" s="52"/>
      <c r="AC1154" s="52"/>
      <c r="AD1154" s="52"/>
      <c r="AE1154" s="52"/>
      <c r="AF1154" s="52"/>
      <c r="AG1154" s="52"/>
      <c r="AH1154" s="52"/>
      <c r="AI1154" s="53"/>
      <c r="AJ1154" s="53"/>
      <c r="AK1154" s="53"/>
      <c r="AL1154" s="55"/>
      <c r="AM1154" s="52"/>
      <c r="AN1154" s="55"/>
      <c r="AO1154" s="55"/>
      <c r="AP1154" s="55"/>
      <c r="AQ1154" s="52"/>
      <c r="AR1154" s="52"/>
      <c r="AS1154" s="52"/>
      <c r="AT1154" s="52"/>
      <c r="AU1154" s="52"/>
      <c r="AV1154" s="52"/>
      <c r="AW1154" s="52"/>
    </row>
    <row r="1155" spans="1:49">
      <c r="A1155" s="52"/>
      <c r="B1155" s="52"/>
      <c r="C1155" s="52"/>
      <c r="D1155" s="53"/>
      <c r="E1155" s="53"/>
      <c r="F1155" s="53"/>
      <c r="G1155" s="53"/>
      <c r="H1155" s="53"/>
      <c r="I1155" s="52"/>
      <c r="J1155" s="52"/>
      <c r="K1155" s="53"/>
      <c r="L1155" s="52"/>
      <c r="M1155" s="54"/>
      <c r="N1155" s="54"/>
      <c r="O1155" s="52"/>
      <c r="P1155" s="52"/>
      <c r="Q1155" s="52"/>
      <c r="R1155" s="52"/>
      <c r="S1155" s="52"/>
      <c r="T1155" s="52"/>
      <c r="U1155" s="52"/>
      <c r="V1155" s="52"/>
      <c r="W1155" s="52"/>
      <c r="X1155" s="52"/>
      <c r="Y1155" s="52"/>
      <c r="Z1155" s="52"/>
      <c r="AA1155" s="52"/>
      <c r="AB1155" s="52"/>
      <c r="AC1155" s="52"/>
      <c r="AD1155" s="52"/>
      <c r="AE1155" s="52"/>
      <c r="AF1155" s="52"/>
      <c r="AG1155" s="52"/>
      <c r="AH1155" s="52"/>
      <c r="AI1155" s="53"/>
      <c r="AJ1155" s="53"/>
      <c r="AK1155" s="53"/>
      <c r="AL1155" s="55"/>
      <c r="AM1155" s="52"/>
      <c r="AN1155" s="55"/>
      <c r="AO1155" s="55"/>
      <c r="AP1155" s="55"/>
      <c r="AQ1155" s="52"/>
      <c r="AR1155" s="52"/>
      <c r="AS1155" s="52"/>
      <c r="AT1155" s="52"/>
      <c r="AU1155" s="52"/>
      <c r="AV1155" s="52"/>
      <c r="AW1155" s="52"/>
    </row>
    <row r="1156" spans="1:49">
      <c r="A1156" s="52"/>
      <c r="B1156" s="52"/>
      <c r="C1156" s="52"/>
      <c r="D1156" s="53"/>
      <c r="E1156" s="53"/>
      <c r="F1156" s="53"/>
      <c r="G1156" s="53"/>
      <c r="H1156" s="52"/>
      <c r="I1156" s="52"/>
      <c r="J1156" s="52"/>
      <c r="K1156" s="53"/>
      <c r="L1156" s="52"/>
      <c r="M1156" s="54"/>
      <c r="N1156" s="54"/>
      <c r="O1156" s="52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  <c r="AA1156" s="52"/>
      <c r="AB1156" s="52"/>
      <c r="AC1156" s="52"/>
      <c r="AD1156" s="52"/>
      <c r="AE1156" s="52"/>
      <c r="AF1156" s="52"/>
      <c r="AG1156" s="52"/>
      <c r="AH1156" s="52"/>
      <c r="AI1156" s="52"/>
      <c r="AJ1156" s="52"/>
      <c r="AK1156" s="52"/>
      <c r="AL1156" s="55"/>
      <c r="AM1156" s="52"/>
      <c r="AN1156" s="52"/>
      <c r="AO1156" s="52"/>
      <c r="AP1156" s="52"/>
      <c r="AQ1156" s="52"/>
      <c r="AR1156" s="52"/>
      <c r="AS1156" s="52"/>
      <c r="AT1156" s="52"/>
      <c r="AU1156" s="52"/>
      <c r="AV1156" s="52"/>
      <c r="AW1156" s="52"/>
    </row>
    <row r="1157" spans="1:49">
      <c r="A1157" s="52"/>
      <c r="B1157" s="52"/>
      <c r="C1157" s="52"/>
      <c r="D1157" s="53"/>
      <c r="E1157" s="53"/>
      <c r="F1157" s="53"/>
      <c r="G1157" s="53"/>
      <c r="H1157" s="53"/>
      <c r="I1157" s="52"/>
      <c r="J1157" s="52"/>
      <c r="K1157" s="53"/>
      <c r="L1157" s="52"/>
      <c r="M1157" s="54"/>
      <c r="N1157" s="54"/>
      <c r="O1157" s="52"/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  <c r="AA1157" s="52"/>
      <c r="AB1157" s="52"/>
      <c r="AC1157" s="52"/>
      <c r="AD1157" s="52"/>
      <c r="AE1157" s="52"/>
      <c r="AF1157" s="52"/>
      <c r="AG1157" s="52"/>
      <c r="AH1157" s="52"/>
      <c r="AI1157" s="53"/>
      <c r="AJ1157" s="53"/>
      <c r="AK1157" s="53"/>
      <c r="AL1157" s="55"/>
      <c r="AM1157" s="52"/>
      <c r="AN1157" s="55"/>
      <c r="AO1157" s="52"/>
      <c r="AP1157" s="55"/>
      <c r="AQ1157" s="52"/>
      <c r="AR1157" s="52"/>
      <c r="AS1157" s="52"/>
      <c r="AT1157" s="52"/>
      <c r="AU1157" s="52"/>
      <c r="AV1157" s="52"/>
      <c r="AW1157" s="52"/>
    </row>
    <row r="1158" spans="1:49">
      <c r="A1158" s="52"/>
      <c r="B1158" s="52"/>
      <c r="C1158" s="52"/>
      <c r="D1158" s="53"/>
      <c r="E1158" s="53"/>
      <c r="F1158" s="53"/>
      <c r="G1158" s="53"/>
      <c r="H1158" s="53"/>
      <c r="I1158" s="52"/>
      <c r="J1158" s="52"/>
      <c r="K1158" s="53"/>
      <c r="L1158" s="52"/>
      <c r="M1158" s="54"/>
      <c r="N1158" s="54"/>
      <c r="O1158" s="52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  <c r="AA1158" s="52"/>
      <c r="AB1158" s="52"/>
      <c r="AC1158" s="52"/>
      <c r="AD1158" s="52"/>
      <c r="AE1158" s="52"/>
      <c r="AF1158" s="52"/>
      <c r="AG1158" s="52"/>
      <c r="AH1158" s="52"/>
      <c r="AI1158" s="53"/>
      <c r="AJ1158" s="53"/>
      <c r="AK1158" s="53"/>
      <c r="AL1158" s="55"/>
      <c r="AM1158" s="52"/>
      <c r="AN1158" s="55"/>
      <c r="AO1158" s="52"/>
      <c r="AP1158" s="55"/>
      <c r="AQ1158" s="52"/>
      <c r="AR1158" s="52"/>
      <c r="AS1158" s="52"/>
      <c r="AT1158" s="52"/>
      <c r="AU1158" s="52"/>
      <c r="AV1158" s="52"/>
      <c r="AW1158" s="52"/>
    </row>
    <row r="1159" spans="1:49">
      <c r="A1159" s="52"/>
      <c r="B1159" s="52"/>
      <c r="C1159" s="52"/>
      <c r="D1159" s="53"/>
      <c r="E1159" s="53"/>
      <c r="F1159" s="53"/>
      <c r="G1159" s="53"/>
      <c r="H1159" s="53"/>
      <c r="I1159" s="52"/>
      <c r="J1159" s="52"/>
      <c r="K1159" s="53"/>
      <c r="L1159" s="52"/>
      <c r="M1159" s="54"/>
      <c r="N1159" s="54"/>
      <c r="O1159" s="52"/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  <c r="AA1159" s="52"/>
      <c r="AB1159" s="52"/>
      <c r="AC1159" s="52"/>
      <c r="AD1159" s="52"/>
      <c r="AE1159" s="52"/>
      <c r="AF1159" s="52"/>
      <c r="AG1159" s="52"/>
      <c r="AH1159" s="52"/>
      <c r="AI1159" s="53"/>
      <c r="AJ1159" s="53"/>
      <c r="AK1159" s="53"/>
      <c r="AL1159" s="54"/>
      <c r="AM1159" s="52"/>
      <c r="AN1159" s="55"/>
      <c r="AO1159" s="52"/>
      <c r="AP1159" s="54"/>
      <c r="AQ1159" s="52"/>
      <c r="AR1159" s="52"/>
      <c r="AS1159" s="52"/>
      <c r="AT1159" s="52"/>
      <c r="AU1159" s="52"/>
      <c r="AV1159" s="52"/>
      <c r="AW1159" s="52"/>
    </row>
    <row r="1160" spans="1:49">
      <c r="A1160" s="52"/>
      <c r="B1160" s="52"/>
      <c r="C1160" s="52"/>
      <c r="D1160" s="53"/>
      <c r="E1160" s="53"/>
      <c r="F1160" s="53"/>
      <c r="G1160" s="53"/>
      <c r="H1160" s="53"/>
      <c r="I1160" s="52"/>
      <c r="J1160" s="52"/>
      <c r="K1160" s="53"/>
      <c r="L1160" s="52"/>
      <c r="M1160" s="54"/>
      <c r="N1160" s="54"/>
      <c r="O1160" s="52"/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  <c r="AA1160" s="52"/>
      <c r="AB1160" s="52"/>
      <c r="AC1160" s="52"/>
      <c r="AD1160" s="52"/>
      <c r="AE1160" s="52"/>
      <c r="AF1160" s="52"/>
      <c r="AG1160" s="52"/>
      <c r="AH1160" s="52"/>
      <c r="AI1160" s="53"/>
      <c r="AJ1160" s="53"/>
      <c r="AK1160" s="53"/>
      <c r="AL1160" s="54"/>
      <c r="AM1160" s="52"/>
      <c r="AN1160" s="55"/>
      <c r="AO1160" s="52"/>
      <c r="AP1160" s="54"/>
      <c r="AQ1160" s="52"/>
      <c r="AR1160" s="52"/>
      <c r="AS1160" s="52"/>
      <c r="AT1160" s="52"/>
      <c r="AU1160" s="52"/>
      <c r="AV1160" s="52"/>
      <c r="AW1160" s="52"/>
    </row>
    <row r="1161" spans="1:49">
      <c r="A1161" s="52"/>
      <c r="B1161" s="52"/>
      <c r="C1161" s="52"/>
      <c r="D1161" s="53"/>
      <c r="E1161" s="53"/>
      <c r="F1161" s="53"/>
      <c r="G1161" s="53"/>
      <c r="H1161" s="53"/>
      <c r="I1161" s="52"/>
      <c r="J1161" s="52"/>
      <c r="K1161" s="53"/>
      <c r="L1161" s="52"/>
      <c r="M1161" s="54"/>
      <c r="N1161" s="54"/>
      <c r="O1161" s="52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  <c r="AA1161" s="52"/>
      <c r="AB1161" s="52"/>
      <c r="AC1161" s="52"/>
      <c r="AD1161" s="52"/>
      <c r="AE1161" s="52"/>
      <c r="AF1161" s="52"/>
      <c r="AG1161" s="52"/>
      <c r="AH1161" s="52"/>
      <c r="AI1161" s="52"/>
      <c r="AJ1161" s="52"/>
      <c r="AK1161" s="52"/>
      <c r="AL1161" s="55"/>
      <c r="AM1161" s="52"/>
      <c r="AN1161" s="52"/>
      <c r="AO1161" s="52"/>
      <c r="AP1161" s="52"/>
      <c r="AQ1161" s="52"/>
      <c r="AR1161" s="52"/>
      <c r="AS1161" s="52"/>
      <c r="AT1161" s="52"/>
      <c r="AU1161" s="52"/>
      <c r="AV1161" s="52"/>
      <c r="AW1161" s="52"/>
    </row>
    <row r="1162" spans="1:49">
      <c r="A1162" s="52"/>
      <c r="B1162" s="52"/>
      <c r="C1162" s="52"/>
      <c r="D1162" s="53"/>
      <c r="E1162" s="53"/>
      <c r="F1162" s="53"/>
      <c r="G1162" s="53"/>
      <c r="H1162" s="53"/>
      <c r="I1162" s="52"/>
      <c r="J1162" s="52"/>
      <c r="K1162" s="53"/>
      <c r="L1162" s="52"/>
      <c r="M1162" s="54"/>
      <c r="N1162" s="54"/>
      <c r="O1162" s="52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  <c r="AA1162" s="52"/>
      <c r="AB1162" s="52"/>
      <c r="AC1162" s="52"/>
      <c r="AD1162" s="52"/>
      <c r="AE1162" s="52"/>
      <c r="AF1162" s="52"/>
      <c r="AG1162" s="52"/>
      <c r="AH1162" s="52"/>
      <c r="AI1162" s="53"/>
      <c r="AJ1162" s="53"/>
      <c r="AK1162" s="53"/>
      <c r="AL1162" s="55"/>
      <c r="AM1162" s="52"/>
      <c r="AN1162" s="55"/>
      <c r="AO1162" s="55"/>
      <c r="AP1162" s="55"/>
      <c r="AQ1162" s="52"/>
      <c r="AR1162" s="52"/>
      <c r="AS1162" s="52"/>
      <c r="AT1162" s="52"/>
      <c r="AU1162" s="52"/>
      <c r="AV1162" s="52"/>
      <c r="AW1162" s="52"/>
    </row>
    <row r="1163" spans="1:49">
      <c r="A1163" s="52"/>
      <c r="B1163" s="52"/>
      <c r="C1163" s="52"/>
      <c r="D1163" s="53"/>
      <c r="E1163" s="53"/>
      <c r="F1163" s="53"/>
      <c r="G1163" s="53"/>
      <c r="H1163" s="53"/>
      <c r="I1163" s="52"/>
      <c r="J1163" s="52"/>
      <c r="K1163" s="53"/>
      <c r="L1163" s="52"/>
      <c r="M1163" s="54"/>
      <c r="N1163" s="54"/>
      <c r="O1163" s="52"/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  <c r="AA1163" s="52"/>
      <c r="AB1163" s="52"/>
      <c r="AC1163" s="52"/>
      <c r="AD1163" s="52"/>
      <c r="AE1163" s="52"/>
      <c r="AF1163" s="52"/>
      <c r="AG1163" s="52"/>
      <c r="AH1163" s="52"/>
      <c r="AI1163" s="53"/>
      <c r="AJ1163" s="53"/>
      <c r="AK1163" s="53"/>
      <c r="AL1163" s="55"/>
      <c r="AM1163" s="52"/>
      <c r="AN1163" s="55"/>
      <c r="AO1163" s="55"/>
      <c r="AP1163" s="55"/>
      <c r="AQ1163" s="52"/>
      <c r="AR1163" s="52"/>
      <c r="AS1163" s="52"/>
      <c r="AT1163" s="52"/>
      <c r="AU1163" s="52"/>
      <c r="AV1163" s="52"/>
      <c r="AW1163" s="52"/>
    </row>
    <row r="1164" spans="1:49">
      <c r="A1164" s="52"/>
      <c r="B1164" s="52"/>
      <c r="C1164" s="52"/>
      <c r="D1164" s="53"/>
      <c r="E1164" s="53"/>
      <c r="F1164" s="53"/>
      <c r="G1164" s="53"/>
      <c r="H1164" s="53"/>
      <c r="I1164" s="52"/>
      <c r="J1164" s="52"/>
      <c r="K1164" s="53"/>
      <c r="L1164" s="52"/>
      <c r="M1164" s="55"/>
      <c r="N1164" s="54"/>
      <c r="O1164" s="52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  <c r="AA1164" s="52"/>
      <c r="AB1164" s="52"/>
      <c r="AC1164" s="52"/>
      <c r="AD1164" s="52"/>
      <c r="AE1164" s="52"/>
      <c r="AF1164" s="52"/>
      <c r="AG1164" s="52"/>
      <c r="AH1164" s="52"/>
      <c r="AI1164" s="52"/>
      <c r="AJ1164" s="52"/>
      <c r="AK1164" s="52"/>
      <c r="AL1164" s="55"/>
      <c r="AM1164" s="52"/>
      <c r="AN1164" s="52"/>
      <c r="AO1164" s="52"/>
      <c r="AP1164" s="52"/>
      <c r="AQ1164" s="52"/>
      <c r="AR1164" s="52"/>
      <c r="AS1164" s="52"/>
      <c r="AT1164" s="52"/>
      <c r="AU1164" s="52"/>
      <c r="AV1164" s="52"/>
      <c r="AW1164" s="52"/>
    </row>
    <row r="1165" spans="1:49">
      <c r="A1165" s="52"/>
      <c r="B1165" s="52"/>
      <c r="C1165" s="52"/>
      <c r="D1165" s="53"/>
      <c r="E1165" s="53"/>
      <c r="F1165" s="53"/>
      <c r="G1165" s="53"/>
      <c r="H1165" s="53"/>
      <c r="I1165" s="52"/>
      <c r="J1165" s="52"/>
      <c r="K1165" s="53"/>
      <c r="L1165" s="52"/>
      <c r="M1165" s="54"/>
      <c r="N1165" s="54"/>
      <c r="O1165" s="52"/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  <c r="AA1165" s="52"/>
      <c r="AB1165" s="52"/>
      <c r="AC1165" s="52"/>
      <c r="AD1165" s="52"/>
      <c r="AE1165" s="52"/>
      <c r="AF1165" s="52"/>
      <c r="AG1165" s="52"/>
      <c r="AH1165" s="52"/>
      <c r="AI1165" s="53"/>
      <c r="AJ1165" s="53"/>
      <c r="AK1165" s="53"/>
      <c r="AL1165" s="55"/>
      <c r="AM1165" s="52"/>
      <c r="AN1165" s="55"/>
      <c r="AO1165" s="52"/>
      <c r="AP1165" s="55"/>
      <c r="AQ1165" s="52"/>
      <c r="AR1165" s="52"/>
      <c r="AS1165" s="52"/>
      <c r="AT1165" s="52"/>
      <c r="AU1165" s="52"/>
      <c r="AV1165" s="52"/>
      <c r="AW1165" s="52"/>
    </row>
    <row r="1166" spans="1:49">
      <c r="A1166" s="52"/>
      <c r="B1166" s="52"/>
      <c r="C1166" s="52"/>
      <c r="D1166" s="53"/>
      <c r="E1166" s="53"/>
      <c r="F1166" s="53"/>
      <c r="G1166" s="53"/>
      <c r="H1166" s="53"/>
      <c r="I1166" s="52"/>
      <c r="J1166" s="52"/>
      <c r="K1166" s="53"/>
      <c r="L1166" s="52"/>
      <c r="M1166" s="54"/>
      <c r="N1166" s="54"/>
      <c r="O1166" s="52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  <c r="AA1166" s="52"/>
      <c r="AB1166" s="52"/>
      <c r="AC1166" s="52"/>
      <c r="AD1166" s="52"/>
      <c r="AE1166" s="52"/>
      <c r="AF1166" s="52"/>
      <c r="AG1166" s="52"/>
      <c r="AH1166" s="52"/>
      <c r="AI1166" s="53"/>
      <c r="AJ1166" s="53"/>
      <c r="AK1166" s="53"/>
      <c r="AL1166" s="55"/>
      <c r="AM1166" s="52"/>
      <c r="AN1166" s="55"/>
      <c r="AO1166" s="52"/>
      <c r="AP1166" s="55"/>
      <c r="AQ1166" s="52"/>
      <c r="AR1166" s="52"/>
      <c r="AS1166" s="52"/>
      <c r="AT1166" s="52"/>
      <c r="AU1166" s="52"/>
      <c r="AV1166" s="52"/>
      <c r="AW1166" s="52"/>
    </row>
    <row r="1167" spans="1:49">
      <c r="A1167" s="52"/>
      <c r="B1167" s="52"/>
      <c r="C1167" s="52"/>
      <c r="D1167" s="53"/>
      <c r="E1167" s="53"/>
      <c r="F1167" s="52"/>
      <c r="G1167" s="52"/>
      <c r="H1167" s="52"/>
      <c r="I1167" s="52"/>
      <c r="J1167" s="52"/>
      <c r="K1167" s="52"/>
      <c r="L1167" s="52"/>
      <c r="M1167" s="55"/>
      <c r="N1167" s="54"/>
      <c r="O1167" s="52"/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  <c r="AA1167" s="52"/>
      <c r="AB1167" s="52"/>
      <c r="AC1167" s="52"/>
      <c r="AD1167" s="52"/>
      <c r="AE1167" s="52"/>
      <c r="AF1167" s="52"/>
      <c r="AG1167" s="52"/>
      <c r="AH1167" s="52"/>
      <c r="AI1167" s="52"/>
      <c r="AJ1167" s="52"/>
      <c r="AK1167" s="52"/>
      <c r="AL1167" s="52"/>
      <c r="AM1167" s="52"/>
      <c r="AN1167" s="52"/>
      <c r="AO1167" s="52"/>
      <c r="AP1167" s="52"/>
      <c r="AQ1167" s="52"/>
      <c r="AR1167" s="52"/>
      <c r="AS1167" s="52"/>
      <c r="AT1167" s="52"/>
      <c r="AU1167" s="52"/>
      <c r="AV1167" s="52"/>
      <c r="AW1167" s="52"/>
    </row>
    <row r="1168" spans="1:49">
      <c r="A1168" s="52"/>
      <c r="B1168" s="52"/>
      <c r="C1168" s="52"/>
      <c r="D1168" s="53"/>
      <c r="E1168" s="53"/>
      <c r="F1168" s="52"/>
      <c r="G1168" s="52"/>
      <c r="H1168" s="52"/>
      <c r="I1168" s="52"/>
      <c r="J1168" s="52"/>
      <c r="K1168" s="52"/>
      <c r="L1168" s="52"/>
      <c r="M1168" s="52"/>
      <c r="N1168" s="52"/>
      <c r="O1168" s="52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  <c r="AA1168" s="52"/>
      <c r="AB1168" s="52"/>
      <c r="AC1168" s="52"/>
      <c r="AD1168" s="52"/>
      <c r="AE1168" s="52"/>
      <c r="AF1168" s="52"/>
      <c r="AG1168" s="52"/>
      <c r="AH1168" s="52"/>
      <c r="AI1168" s="52"/>
      <c r="AJ1168" s="52"/>
      <c r="AK1168" s="52"/>
      <c r="AL1168" s="52"/>
      <c r="AM1168" s="52"/>
      <c r="AN1168" s="52"/>
      <c r="AO1168" s="52"/>
      <c r="AP1168" s="52"/>
      <c r="AQ1168" s="52"/>
      <c r="AR1168" s="52"/>
      <c r="AS1168" s="52"/>
      <c r="AT1168" s="52"/>
      <c r="AU1168" s="52"/>
      <c r="AV1168" s="52"/>
      <c r="AW1168" s="52"/>
    </row>
    <row r="1169" spans="1:49">
      <c r="A1169" s="52"/>
      <c r="B1169" s="52"/>
      <c r="C1169" s="52"/>
      <c r="D1169" s="53"/>
      <c r="E1169" s="53"/>
      <c r="F1169" s="53"/>
      <c r="G1169" s="53"/>
      <c r="H1169" s="52"/>
      <c r="I1169" s="52"/>
      <c r="J1169" s="52"/>
      <c r="K1169" s="52"/>
      <c r="L1169" s="52"/>
      <c r="M1169" s="55"/>
      <c r="N1169" s="54"/>
      <c r="O1169" s="52"/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  <c r="AA1169" s="52"/>
      <c r="AB1169" s="52"/>
      <c r="AC1169" s="52"/>
      <c r="AD1169" s="52"/>
      <c r="AE1169" s="52"/>
      <c r="AF1169" s="52"/>
      <c r="AG1169" s="52"/>
      <c r="AH1169" s="52"/>
      <c r="AI1169" s="52"/>
      <c r="AJ1169" s="52"/>
      <c r="AK1169" s="52"/>
      <c r="AL1169" s="52"/>
      <c r="AM1169" s="52"/>
      <c r="AN1169" s="52"/>
      <c r="AO1169" s="52"/>
      <c r="AP1169" s="52"/>
      <c r="AQ1169" s="52"/>
      <c r="AR1169" s="52"/>
      <c r="AS1169" s="52"/>
      <c r="AT1169" s="52"/>
      <c r="AU1169" s="52"/>
      <c r="AV1169" s="52"/>
      <c r="AW1169" s="52"/>
    </row>
    <row r="1170" spans="1:49">
      <c r="A1170" s="52"/>
      <c r="B1170" s="52"/>
      <c r="C1170" s="52"/>
      <c r="D1170" s="53"/>
      <c r="E1170" s="53"/>
      <c r="F1170" s="52"/>
      <c r="G1170" s="53"/>
      <c r="H1170" s="52"/>
      <c r="I1170" s="52"/>
      <c r="J1170" s="52"/>
      <c r="K1170" s="52"/>
      <c r="L1170" s="52"/>
      <c r="M1170" s="52"/>
      <c r="N1170" s="52"/>
      <c r="O1170" s="52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  <c r="AA1170" s="52"/>
      <c r="AB1170" s="52"/>
      <c r="AC1170" s="52"/>
      <c r="AD1170" s="52"/>
      <c r="AE1170" s="52"/>
      <c r="AF1170" s="52"/>
      <c r="AG1170" s="52"/>
      <c r="AH1170" s="52"/>
      <c r="AI1170" s="52"/>
      <c r="AJ1170" s="52"/>
      <c r="AK1170" s="52"/>
      <c r="AL1170" s="52"/>
      <c r="AM1170" s="52"/>
      <c r="AN1170" s="52"/>
      <c r="AO1170" s="52"/>
      <c r="AP1170" s="52"/>
      <c r="AQ1170" s="52"/>
      <c r="AR1170" s="52"/>
      <c r="AS1170" s="52"/>
      <c r="AT1170" s="52"/>
      <c r="AU1170" s="52"/>
      <c r="AV1170" s="52"/>
      <c r="AW1170" s="52"/>
    </row>
    <row r="1171" spans="1:49">
      <c r="A1171" s="52"/>
      <c r="B1171" s="52"/>
      <c r="C1171" s="52"/>
      <c r="D1171" s="53"/>
      <c r="E1171" s="53"/>
      <c r="F1171" s="52"/>
      <c r="G1171" s="53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  <c r="AA1171" s="52"/>
      <c r="AB1171" s="52"/>
      <c r="AC1171" s="52"/>
      <c r="AD1171" s="52"/>
      <c r="AE1171" s="52"/>
      <c r="AF1171" s="52"/>
      <c r="AG1171" s="52"/>
      <c r="AH1171" s="52"/>
      <c r="AI1171" s="52"/>
      <c r="AJ1171" s="52"/>
      <c r="AK1171" s="52"/>
      <c r="AL1171" s="52"/>
      <c r="AM1171" s="52"/>
      <c r="AN1171" s="52"/>
      <c r="AO1171" s="52"/>
      <c r="AP1171" s="52"/>
      <c r="AQ1171" s="52"/>
      <c r="AR1171" s="52"/>
      <c r="AS1171" s="52"/>
      <c r="AT1171" s="52"/>
      <c r="AU1171" s="52"/>
      <c r="AV1171" s="52"/>
      <c r="AW1171" s="52"/>
    </row>
    <row r="1172" spans="1:49">
      <c r="A1172" s="52"/>
      <c r="B1172" s="52"/>
      <c r="C1172" s="52"/>
      <c r="D1172" s="53"/>
      <c r="E1172" s="53"/>
      <c r="F1172" s="53"/>
      <c r="G1172" s="53"/>
      <c r="H1172" s="53"/>
      <c r="I1172" s="52"/>
      <c r="J1172" s="52"/>
      <c r="K1172" s="52"/>
      <c r="L1172" s="52"/>
      <c r="M1172" s="54"/>
      <c r="N1172" s="54"/>
      <c r="O1172" s="52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  <c r="AA1172" s="52"/>
      <c r="AB1172" s="52"/>
      <c r="AC1172" s="52"/>
      <c r="AD1172" s="52"/>
      <c r="AE1172" s="52"/>
      <c r="AF1172" s="52"/>
      <c r="AG1172" s="52"/>
      <c r="AH1172" s="52"/>
      <c r="AI1172" s="52"/>
      <c r="AJ1172" s="52"/>
      <c r="AK1172" s="52"/>
      <c r="AL1172" s="55"/>
      <c r="AM1172" s="52"/>
      <c r="AN1172" s="52"/>
      <c r="AO1172" s="52"/>
      <c r="AP1172" s="55"/>
      <c r="AQ1172" s="52"/>
      <c r="AR1172" s="52"/>
      <c r="AS1172" s="52"/>
      <c r="AT1172" s="52"/>
      <c r="AU1172" s="52"/>
      <c r="AV1172" s="52"/>
      <c r="AW1172" s="52"/>
    </row>
    <row r="1173" spans="1:49">
      <c r="A1173" s="52"/>
      <c r="B1173" s="52"/>
      <c r="C1173" s="52"/>
      <c r="D1173" s="53"/>
      <c r="E1173" s="53"/>
      <c r="F1173" s="53"/>
      <c r="G1173" s="53"/>
      <c r="H1173" s="53"/>
      <c r="I1173" s="52"/>
      <c r="J1173" s="52"/>
      <c r="K1173" s="52"/>
      <c r="L1173" s="52"/>
      <c r="M1173" s="54"/>
      <c r="N1173" s="54"/>
      <c r="O1173" s="52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  <c r="AA1173" s="52"/>
      <c r="AB1173" s="52"/>
      <c r="AC1173" s="52"/>
      <c r="AD1173" s="52"/>
      <c r="AE1173" s="52"/>
      <c r="AF1173" s="52"/>
      <c r="AG1173" s="52"/>
      <c r="AH1173" s="52"/>
      <c r="AI1173" s="52"/>
      <c r="AJ1173" s="52"/>
      <c r="AK1173" s="52"/>
      <c r="AL1173" s="55"/>
      <c r="AM1173" s="52"/>
      <c r="AN1173" s="52"/>
      <c r="AO1173" s="52"/>
      <c r="AP1173" s="55"/>
      <c r="AQ1173" s="52"/>
      <c r="AR1173" s="52"/>
      <c r="AS1173" s="52"/>
      <c r="AT1173" s="52"/>
      <c r="AU1173" s="52"/>
      <c r="AV1173" s="52"/>
      <c r="AW1173" s="52"/>
    </row>
    <row r="1174" spans="1:49">
      <c r="A1174" s="52"/>
      <c r="B1174" s="52"/>
      <c r="C1174" s="52"/>
      <c r="D1174" s="53"/>
      <c r="E1174" s="53"/>
      <c r="F1174" s="53"/>
      <c r="G1174" s="53"/>
      <c r="H1174" s="53"/>
      <c r="I1174" s="52"/>
      <c r="J1174" s="52"/>
      <c r="K1174" s="52"/>
      <c r="L1174" s="52"/>
      <c r="M1174" s="54"/>
      <c r="N1174" s="54"/>
      <c r="O1174" s="52"/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  <c r="AA1174" s="52"/>
      <c r="AB1174" s="52"/>
      <c r="AC1174" s="52"/>
      <c r="AD1174" s="52"/>
      <c r="AE1174" s="52"/>
      <c r="AF1174" s="52"/>
      <c r="AG1174" s="52"/>
      <c r="AH1174" s="52"/>
      <c r="AI1174" s="52"/>
      <c r="AJ1174" s="52"/>
      <c r="AK1174" s="52"/>
      <c r="AL1174" s="55"/>
      <c r="AM1174" s="52"/>
      <c r="AN1174" s="52"/>
      <c r="AO1174" s="52"/>
      <c r="AP1174" s="55"/>
      <c r="AQ1174" s="52"/>
      <c r="AR1174" s="52"/>
      <c r="AS1174" s="52"/>
      <c r="AT1174" s="52"/>
      <c r="AU1174" s="52"/>
      <c r="AV1174" s="52"/>
      <c r="AW1174" s="52"/>
    </row>
    <row r="1175" spans="1:49">
      <c r="A1175" s="52"/>
      <c r="B1175" s="52"/>
      <c r="C1175" s="52"/>
      <c r="D1175" s="53"/>
      <c r="E1175" s="53"/>
      <c r="F1175" s="53"/>
      <c r="G1175" s="53"/>
      <c r="H1175" s="53"/>
      <c r="I1175" s="52"/>
      <c r="J1175" s="52"/>
      <c r="K1175" s="52"/>
      <c r="L1175" s="52"/>
      <c r="M1175" s="54"/>
      <c r="N1175" s="54"/>
      <c r="O1175" s="52"/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  <c r="AA1175" s="52"/>
      <c r="AB1175" s="52"/>
      <c r="AC1175" s="52"/>
      <c r="AD1175" s="52"/>
      <c r="AE1175" s="52"/>
      <c r="AF1175" s="52"/>
      <c r="AG1175" s="52"/>
      <c r="AH1175" s="52"/>
      <c r="AI1175" s="52"/>
      <c r="AJ1175" s="52"/>
      <c r="AK1175" s="52"/>
      <c r="AL1175" s="55"/>
      <c r="AM1175" s="52"/>
      <c r="AN1175" s="52"/>
      <c r="AO1175" s="52"/>
      <c r="AP1175" s="55"/>
      <c r="AQ1175" s="52"/>
      <c r="AR1175" s="52"/>
      <c r="AS1175" s="52"/>
      <c r="AT1175" s="52"/>
      <c r="AU1175" s="52"/>
      <c r="AV1175" s="52"/>
      <c r="AW1175" s="52"/>
    </row>
    <row r="1176" spans="1:49">
      <c r="A1176" s="52"/>
      <c r="B1176" s="52"/>
      <c r="C1176" s="52"/>
      <c r="D1176" s="53"/>
      <c r="E1176" s="53"/>
      <c r="F1176" s="52"/>
      <c r="G1176" s="52"/>
      <c r="H1176" s="52"/>
      <c r="I1176" s="52"/>
      <c r="J1176" s="52"/>
      <c r="K1176" s="52"/>
      <c r="L1176" s="52"/>
      <c r="M1176" s="55"/>
      <c r="N1176" s="54"/>
      <c r="O1176" s="52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  <c r="AA1176" s="52"/>
      <c r="AB1176" s="52"/>
      <c r="AC1176" s="52"/>
      <c r="AD1176" s="52"/>
      <c r="AE1176" s="52"/>
      <c r="AF1176" s="52"/>
      <c r="AG1176" s="52"/>
      <c r="AH1176" s="52"/>
      <c r="AI1176" s="52"/>
      <c r="AJ1176" s="52"/>
      <c r="AK1176" s="52"/>
      <c r="AL1176" s="52"/>
      <c r="AM1176" s="52"/>
      <c r="AN1176" s="52"/>
      <c r="AO1176" s="52"/>
      <c r="AP1176" s="52"/>
      <c r="AQ1176" s="52"/>
      <c r="AR1176" s="52"/>
      <c r="AS1176" s="52"/>
      <c r="AT1176" s="52"/>
      <c r="AU1176" s="52"/>
      <c r="AV1176" s="52"/>
      <c r="AW1176" s="52"/>
    </row>
    <row r="1177" spans="1:49">
      <c r="A1177" s="52"/>
      <c r="B1177" s="52"/>
      <c r="C1177" s="52"/>
      <c r="D1177" s="53"/>
      <c r="E1177" s="53"/>
      <c r="F1177" s="52"/>
      <c r="G1177" s="52"/>
      <c r="H1177" s="52"/>
      <c r="I1177" s="52"/>
      <c r="J1177" s="52"/>
      <c r="K1177" s="52"/>
      <c r="L1177" s="52"/>
      <c r="M1177" s="52"/>
      <c r="N1177" s="52"/>
      <c r="O1177" s="52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  <c r="AA1177" s="52"/>
      <c r="AB1177" s="52"/>
      <c r="AC1177" s="52"/>
      <c r="AD1177" s="52"/>
      <c r="AE1177" s="52"/>
      <c r="AF1177" s="52"/>
      <c r="AG1177" s="52"/>
      <c r="AH1177" s="52"/>
      <c r="AI1177" s="52"/>
      <c r="AJ1177" s="52"/>
      <c r="AK1177" s="52"/>
      <c r="AL1177" s="52"/>
      <c r="AM1177" s="52"/>
      <c r="AN1177" s="52"/>
      <c r="AO1177" s="52"/>
      <c r="AP1177" s="52"/>
      <c r="AQ1177" s="52"/>
      <c r="AR1177" s="52"/>
      <c r="AS1177" s="52"/>
      <c r="AT1177" s="52"/>
      <c r="AU1177" s="52"/>
      <c r="AV1177" s="52"/>
      <c r="AW1177" s="52"/>
    </row>
    <row r="1178" spans="1:49">
      <c r="A1178" s="52"/>
      <c r="B1178" s="52"/>
      <c r="C1178" s="52"/>
      <c r="D1178" s="53"/>
      <c r="E1178" s="53"/>
      <c r="F1178" s="53"/>
      <c r="G1178" s="53"/>
      <c r="H1178" s="52"/>
      <c r="I1178" s="52"/>
      <c r="J1178" s="52"/>
      <c r="K1178" s="53"/>
      <c r="L1178" s="52"/>
      <c r="M1178" s="54"/>
      <c r="N1178" s="54"/>
      <c r="O1178" s="52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  <c r="AA1178" s="52"/>
      <c r="AB1178" s="52"/>
      <c r="AC1178" s="52"/>
      <c r="AD1178" s="52"/>
      <c r="AE1178" s="52"/>
      <c r="AF1178" s="52"/>
      <c r="AG1178" s="52"/>
      <c r="AH1178" s="52"/>
      <c r="AI1178" s="52"/>
      <c r="AJ1178" s="52"/>
      <c r="AK1178" s="52"/>
      <c r="AL1178" s="55"/>
      <c r="AM1178" s="52"/>
      <c r="AN1178" s="52"/>
      <c r="AO1178" s="52"/>
      <c r="AP1178" s="52"/>
      <c r="AQ1178" s="52"/>
      <c r="AR1178" s="52"/>
      <c r="AS1178" s="52"/>
      <c r="AT1178" s="52"/>
      <c r="AU1178" s="52"/>
      <c r="AV1178" s="52"/>
      <c r="AW1178" s="52"/>
    </row>
    <row r="1179" spans="1:49">
      <c r="A1179" s="52"/>
      <c r="B1179" s="52"/>
      <c r="C1179" s="52"/>
      <c r="D1179" s="53"/>
      <c r="E1179" s="53"/>
      <c r="F1179" s="53"/>
      <c r="G1179" s="53"/>
      <c r="H1179" s="53"/>
      <c r="I1179" s="52"/>
      <c r="J1179" s="52"/>
      <c r="K1179" s="53"/>
      <c r="L1179" s="52"/>
      <c r="M1179" s="54"/>
      <c r="N1179" s="54"/>
      <c r="O1179" s="52"/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  <c r="AA1179" s="52"/>
      <c r="AB1179" s="52"/>
      <c r="AC1179" s="52"/>
      <c r="AD1179" s="52"/>
      <c r="AE1179" s="52"/>
      <c r="AF1179" s="52"/>
      <c r="AG1179" s="52"/>
      <c r="AH1179" s="52"/>
      <c r="AI1179" s="53"/>
      <c r="AJ1179" s="53"/>
      <c r="AK1179" s="53"/>
      <c r="AL1179" s="55"/>
      <c r="AM1179" s="52"/>
      <c r="AN1179" s="55"/>
      <c r="AO1179" s="52"/>
      <c r="AP1179" s="55"/>
      <c r="AQ1179" s="52"/>
      <c r="AR1179" s="52"/>
      <c r="AS1179" s="52"/>
      <c r="AT1179" s="52"/>
      <c r="AU1179" s="52"/>
      <c r="AV1179" s="52"/>
      <c r="AW1179" s="52"/>
    </row>
    <row r="1180" spans="1:49">
      <c r="A1180" s="52"/>
      <c r="B1180" s="52"/>
      <c r="C1180" s="52"/>
      <c r="D1180" s="53"/>
      <c r="E1180" s="53"/>
      <c r="F1180" s="53"/>
      <c r="G1180" s="53"/>
      <c r="H1180" s="53"/>
      <c r="I1180" s="52"/>
      <c r="J1180" s="52"/>
      <c r="K1180" s="53"/>
      <c r="L1180" s="52"/>
      <c r="M1180" s="54"/>
      <c r="N1180" s="54"/>
      <c r="O1180" s="52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  <c r="AA1180" s="52"/>
      <c r="AB1180" s="52"/>
      <c r="AC1180" s="52"/>
      <c r="AD1180" s="52"/>
      <c r="AE1180" s="52"/>
      <c r="AF1180" s="52"/>
      <c r="AG1180" s="52"/>
      <c r="AH1180" s="52"/>
      <c r="AI1180" s="53"/>
      <c r="AJ1180" s="53"/>
      <c r="AK1180" s="53"/>
      <c r="AL1180" s="55"/>
      <c r="AM1180" s="52"/>
      <c r="AN1180" s="55"/>
      <c r="AO1180" s="52"/>
      <c r="AP1180" s="55"/>
      <c r="AQ1180" s="52"/>
      <c r="AR1180" s="52"/>
      <c r="AS1180" s="52"/>
      <c r="AT1180" s="52"/>
      <c r="AU1180" s="52"/>
      <c r="AV1180" s="52"/>
      <c r="AW1180" s="52"/>
    </row>
    <row r="1181" spans="1:49">
      <c r="A1181" s="52"/>
      <c r="B1181" s="52"/>
      <c r="C1181" s="52"/>
      <c r="D1181" s="53"/>
      <c r="E1181" s="53"/>
      <c r="F1181" s="52"/>
      <c r="G1181" s="52"/>
      <c r="H1181" s="52"/>
      <c r="I1181" s="52"/>
      <c r="J1181" s="52"/>
      <c r="K1181" s="52"/>
      <c r="L1181" s="52"/>
      <c r="M1181" s="55"/>
      <c r="N1181" s="54"/>
      <c r="O1181" s="52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  <c r="AA1181" s="52"/>
      <c r="AB1181" s="52"/>
      <c r="AC1181" s="52"/>
      <c r="AD1181" s="52"/>
      <c r="AE1181" s="52"/>
      <c r="AF1181" s="52"/>
      <c r="AG1181" s="52"/>
      <c r="AH1181" s="52"/>
      <c r="AI1181" s="52"/>
      <c r="AJ1181" s="52"/>
      <c r="AK1181" s="52"/>
      <c r="AL1181" s="52"/>
      <c r="AM1181" s="52"/>
      <c r="AN1181" s="52"/>
      <c r="AO1181" s="52"/>
      <c r="AP1181" s="52"/>
      <c r="AQ1181" s="52"/>
      <c r="AR1181" s="52"/>
      <c r="AS1181" s="52"/>
      <c r="AT1181" s="52"/>
      <c r="AU1181" s="52"/>
      <c r="AV1181" s="52"/>
      <c r="AW1181" s="52"/>
    </row>
    <row r="1182" spans="1:49">
      <c r="A1182" s="52"/>
      <c r="B1182" s="52"/>
      <c r="C1182" s="52"/>
      <c r="D1182" s="53"/>
      <c r="E1182" s="53"/>
      <c r="F1182" s="52"/>
      <c r="G1182" s="52"/>
      <c r="H1182" s="52"/>
      <c r="I1182" s="52"/>
      <c r="J1182" s="52"/>
      <c r="K1182" s="52"/>
      <c r="L1182" s="52"/>
      <c r="M1182" s="52"/>
      <c r="N1182" s="52"/>
      <c r="O1182" s="52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  <c r="AA1182" s="52"/>
      <c r="AB1182" s="52"/>
      <c r="AC1182" s="52"/>
      <c r="AD1182" s="52"/>
      <c r="AE1182" s="52"/>
      <c r="AF1182" s="52"/>
      <c r="AG1182" s="52"/>
      <c r="AH1182" s="52"/>
      <c r="AI1182" s="52"/>
      <c r="AJ1182" s="52"/>
      <c r="AK1182" s="52"/>
      <c r="AL1182" s="52"/>
      <c r="AM1182" s="52"/>
      <c r="AN1182" s="52"/>
      <c r="AO1182" s="52"/>
      <c r="AP1182" s="52"/>
      <c r="AQ1182" s="52"/>
      <c r="AR1182" s="52"/>
      <c r="AS1182" s="52"/>
      <c r="AT1182" s="52"/>
      <c r="AU1182" s="52"/>
      <c r="AV1182" s="52"/>
      <c r="AW1182" s="52"/>
    </row>
    <row r="1183" spans="1:49">
      <c r="A1183" s="52"/>
      <c r="B1183" s="52"/>
      <c r="C1183" s="52"/>
      <c r="D1183" s="53"/>
      <c r="E1183" s="53"/>
      <c r="F1183" s="52"/>
      <c r="G1183" s="52"/>
      <c r="H1183" s="52"/>
      <c r="I1183" s="52"/>
      <c r="J1183" s="52"/>
      <c r="K1183" s="52"/>
      <c r="L1183" s="52"/>
      <c r="M1183" s="55"/>
      <c r="N1183" s="54"/>
      <c r="O1183" s="52"/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  <c r="AA1183" s="52"/>
      <c r="AB1183" s="52"/>
      <c r="AC1183" s="52"/>
      <c r="AD1183" s="52"/>
      <c r="AE1183" s="52"/>
      <c r="AF1183" s="52"/>
      <c r="AG1183" s="52"/>
      <c r="AH1183" s="52"/>
      <c r="AI1183" s="52"/>
      <c r="AJ1183" s="52"/>
      <c r="AK1183" s="52"/>
      <c r="AL1183" s="52"/>
      <c r="AM1183" s="52"/>
      <c r="AN1183" s="52"/>
      <c r="AO1183" s="52"/>
      <c r="AP1183" s="52"/>
      <c r="AQ1183" s="52"/>
      <c r="AR1183" s="52"/>
      <c r="AS1183" s="52"/>
      <c r="AT1183" s="52"/>
      <c r="AU1183" s="52"/>
      <c r="AV1183" s="52"/>
      <c r="AW1183" s="52"/>
    </row>
    <row r="1184" spans="1:49">
      <c r="A1184" s="52"/>
      <c r="B1184" s="52"/>
      <c r="C1184" s="52"/>
      <c r="D1184" s="53"/>
      <c r="E1184" s="53"/>
      <c r="F1184" s="52"/>
      <c r="G1184" s="52"/>
      <c r="H1184" s="52"/>
      <c r="I1184" s="52"/>
      <c r="J1184" s="52"/>
      <c r="K1184" s="52"/>
      <c r="L1184" s="52"/>
      <c r="M1184" s="52"/>
      <c r="N1184" s="52"/>
      <c r="O1184" s="52"/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  <c r="AA1184" s="52"/>
      <c r="AB1184" s="52"/>
      <c r="AC1184" s="52"/>
      <c r="AD1184" s="52"/>
      <c r="AE1184" s="52"/>
      <c r="AF1184" s="52"/>
      <c r="AG1184" s="52"/>
      <c r="AH1184" s="52"/>
      <c r="AI1184" s="52"/>
      <c r="AJ1184" s="52"/>
      <c r="AK1184" s="52"/>
      <c r="AL1184" s="52"/>
      <c r="AM1184" s="52"/>
      <c r="AN1184" s="52"/>
      <c r="AO1184" s="52"/>
      <c r="AP1184" s="52"/>
      <c r="AQ1184" s="52"/>
      <c r="AR1184" s="52"/>
      <c r="AS1184" s="52"/>
      <c r="AT1184" s="52"/>
      <c r="AU1184" s="52"/>
      <c r="AV1184" s="52"/>
      <c r="AW1184" s="52"/>
    </row>
    <row r="1185" spans="1:49">
      <c r="A1185" s="52"/>
      <c r="B1185" s="52"/>
      <c r="C1185" s="52"/>
      <c r="D1185" s="53"/>
      <c r="E1185" s="53"/>
      <c r="F1185" s="53"/>
      <c r="G1185" s="53"/>
      <c r="H1185" s="52"/>
      <c r="I1185" s="52"/>
      <c r="J1185" s="52"/>
      <c r="K1185" s="52"/>
      <c r="L1185" s="52"/>
      <c r="M1185" s="55"/>
      <c r="N1185" s="54"/>
      <c r="O1185" s="52"/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/>
      <c r="AA1185" s="52"/>
      <c r="AB1185" s="52"/>
      <c r="AC1185" s="52"/>
      <c r="AD1185" s="52"/>
      <c r="AE1185" s="52"/>
      <c r="AF1185" s="52"/>
      <c r="AG1185" s="52"/>
      <c r="AH1185" s="52"/>
      <c r="AI1185" s="52"/>
      <c r="AJ1185" s="52"/>
      <c r="AK1185" s="52"/>
      <c r="AL1185" s="52"/>
      <c r="AM1185" s="52"/>
      <c r="AN1185" s="52"/>
      <c r="AO1185" s="52"/>
      <c r="AP1185" s="52"/>
      <c r="AQ1185" s="52"/>
      <c r="AR1185" s="52"/>
      <c r="AS1185" s="52"/>
      <c r="AT1185" s="52"/>
      <c r="AU1185" s="52"/>
      <c r="AV1185" s="52"/>
      <c r="AW1185" s="52"/>
    </row>
    <row r="1186" spans="1:49">
      <c r="A1186" s="52"/>
      <c r="B1186" s="52"/>
      <c r="C1186" s="52"/>
      <c r="D1186" s="53"/>
      <c r="E1186" s="53"/>
      <c r="F1186" s="52"/>
      <c r="G1186" s="53"/>
      <c r="H1186" s="52"/>
      <c r="I1186" s="52"/>
      <c r="J1186" s="52"/>
      <c r="K1186" s="52"/>
      <c r="L1186" s="52"/>
      <c r="M1186" s="52"/>
      <c r="N1186" s="52"/>
      <c r="O1186" s="52"/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  <c r="AA1186" s="52"/>
      <c r="AB1186" s="52"/>
      <c r="AC1186" s="52"/>
      <c r="AD1186" s="52"/>
      <c r="AE1186" s="52"/>
      <c r="AF1186" s="52"/>
      <c r="AG1186" s="52"/>
      <c r="AH1186" s="52"/>
      <c r="AI1186" s="52"/>
      <c r="AJ1186" s="52"/>
      <c r="AK1186" s="52"/>
      <c r="AL1186" s="52"/>
      <c r="AM1186" s="52"/>
      <c r="AN1186" s="52"/>
      <c r="AO1186" s="52"/>
      <c r="AP1186" s="52"/>
      <c r="AQ1186" s="52"/>
      <c r="AR1186" s="52"/>
      <c r="AS1186" s="52"/>
      <c r="AT1186" s="52"/>
      <c r="AU1186" s="52"/>
      <c r="AV1186" s="52"/>
      <c r="AW1186" s="52"/>
    </row>
    <row r="1187" spans="1:49">
      <c r="A1187" s="52"/>
      <c r="B1187" s="52"/>
      <c r="C1187" s="52"/>
      <c r="D1187" s="53"/>
      <c r="E1187" s="53"/>
      <c r="F1187" s="52"/>
      <c r="G1187" s="53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  <c r="AA1187" s="52"/>
      <c r="AB1187" s="52"/>
      <c r="AC1187" s="52"/>
      <c r="AD1187" s="52"/>
      <c r="AE1187" s="52"/>
      <c r="AF1187" s="52"/>
      <c r="AG1187" s="52"/>
      <c r="AH1187" s="52"/>
      <c r="AI1187" s="52"/>
      <c r="AJ1187" s="52"/>
      <c r="AK1187" s="52"/>
      <c r="AL1187" s="52"/>
      <c r="AM1187" s="52"/>
      <c r="AN1187" s="52"/>
      <c r="AO1187" s="52"/>
      <c r="AP1187" s="52"/>
      <c r="AQ1187" s="52"/>
      <c r="AR1187" s="52"/>
      <c r="AS1187" s="52"/>
      <c r="AT1187" s="52"/>
      <c r="AU1187" s="52"/>
      <c r="AV1187" s="52"/>
      <c r="AW1187" s="52"/>
    </row>
    <row r="1188" spans="1:49">
      <c r="A1188" s="52"/>
      <c r="B1188" s="52"/>
      <c r="C1188" s="52"/>
      <c r="D1188" s="53"/>
      <c r="E1188" s="53"/>
      <c r="F1188" s="52"/>
      <c r="G1188" s="52"/>
      <c r="H1188" s="52"/>
      <c r="I1188" s="52"/>
      <c r="J1188" s="52"/>
      <c r="K1188" s="52"/>
      <c r="L1188" s="52"/>
      <c r="M1188" s="55"/>
      <c r="N1188" s="54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  <c r="AA1188" s="52"/>
      <c r="AB1188" s="52"/>
      <c r="AC1188" s="52"/>
      <c r="AD1188" s="52"/>
      <c r="AE1188" s="52"/>
      <c r="AF1188" s="52"/>
      <c r="AG1188" s="52"/>
      <c r="AH1188" s="52"/>
      <c r="AI1188" s="52"/>
      <c r="AJ1188" s="52"/>
      <c r="AK1188" s="52"/>
      <c r="AL1188" s="52"/>
      <c r="AM1188" s="52"/>
      <c r="AN1188" s="52"/>
      <c r="AO1188" s="52"/>
      <c r="AP1188" s="52"/>
      <c r="AQ1188" s="52"/>
      <c r="AR1188" s="52"/>
      <c r="AS1188" s="52"/>
      <c r="AT1188" s="52"/>
      <c r="AU1188" s="52"/>
      <c r="AV1188" s="52"/>
      <c r="AW1188" s="52"/>
    </row>
    <row r="1189" spans="1:49">
      <c r="A1189" s="52"/>
      <c r="B1189" s="52"/>
      <c r="C1189" s="52"/>
      <c r="D1189" s="53"/>
      <c r="E1189" s="53"/>
      <c r="F1189" s="52"/>
      <c r="G1189" s="52"/>
      <c r="H1189" s="52"/>
      <c r="I1189" s="52"/>
      <c r="J1189" s="52"/>
      <c r="K1189" s="52"/>
      <c r="L1189" s="52"/>
      <c r="M1189" s="52"/>
      <c r="N1189" s="52"/>
      <c r="O1189" s="52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  <c r="AA1189" s="52"/>
      <c r="AB1189" s="52"/>
      <c r="AC1189" s="52"/>
      <c r="AD1189" s="52"/>
      <c r="AE1189" s="52"/>
      <c r="AF1189" s="52"/>
      <c r="AG1189" s="52"/>
      <c r="AH1189" s="52"/>
      <c r="AI1189" s="52"/>
      <c r="AJ1189" s="52"/>
      <c r="AK1189" s="52"/>
      <c r="AL1189" s="52"/>
      <c r="AM1189" s="52"/>
      <c r="AN1189" s="52"/>
      <c r="AO1189" s="52"/>
      <c r="AP1189" s="52"/>
      <c r="AQ1189" s="52"/>
      <c r="AR1189" s="52"/>
      <c r="AS1189" s="52"/>
      <c r="AT1189" s="52"/>
      <c r="AU1189" s="52"/>
      <c r="AV1189" s="52"/>
      <c r="AW1189" s="52"/>
    </row>
    <row r="1190" spans="1:49">
      <c r="A1190" s="52"/>
      <c r="B1190" s="52"/>
      <c r="C1190" s="52"/>
      <c r="D1190" s="53"/>
      <c r="E1190" s="53"/>
      <c r="F1190" s="53"/>
      <c r="G1190" s="53"/>
      <c r="H1190" s="52"/>
      <c r="I1190" s="52"/>
      <c r="J1190" s="52"/>
      <c r="K1190" s="53"/>
      <c r="L1190" s="52"/>
      <c r="M1190" s="55"/>
      <c r="N1190" s="54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  <c r="AA1190" s="52"/>
      <c r="AB1190" s="52"/>
      <c r="AC1190" s="52"/>
      <c r="AD1190" s="52"/>
      <c r="AE1190" s="52"/>
      <c r="AF1190" s="52"/>
      <c r="AG1190" s="52"/>
      <c r="AH1190" s="52"/>
      <c r="AI1190" s="52"/>
      <c r="AJ1190" s="52"/>
      <c r="AK1190" s="52"/>
      <c r="AL1190" s="52"/>
      <c r="AM1190" s="52"/>
      <c r="AN1190" s="52"/>
      <c r="AO1190" s="52"/>
      <c r="AP1190" s="52"/>
      <c r="AQ1190" s="52"/>
      <c r="AR1190" s="52"/>
      <c r="AS1190" s="52"/>
      <c r="AT1190" s="52"/>
      <c r="AU1190" s="52"/>
      <c r="AV1190" s="52"/>
      <c r="AW1190" s="52"/>
    </row>
    <row r="1191" spans="1:49">
      <c r="A1191" s="52"/>
      <c r="B1191" s="52"/>
      <c r="C1191" s="52"/>
      <c r="D1191" s="53"/>
      <c r="E1191" s="53"/>
      <c r="F1191" s="53"/>
      <c r="G1191" s="53"/>
      <c r="H1191" s="53"/>
      <c r="I1191" s="52"/>
      <c r="J1191" s="52"/>
      <c r="K1191" s="53"/>
      <c r="L1191" s="52"/>
      <c r="M1191" s="55"/>
      <c r="N1191" s="54"/>
      <c r="O1191" s="52"/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  <c r="AA1191" s="52"/>
      <c r="AB1191" s="52"/>
      <c r="AC1191" s="52"/>
      <c r="AD1191" s="52"/>
      <c r="AE1191" s="52"/>
      <c r="AF1191" s="52"/>
      <c r="AG1191" s="52"/>
      <c r="AH1191" s="52"/>
      <c r="AI1191" s="52"/>
      <c r="AJ1191" s="52"/>
      <c r="AK1191" s="52"/>
      <c r="AL1191" s="52"/>
      <c r="AM1191" s="52"/>
      <c r="AN1191" s="52"/>
      <c r="AO1191" s="52"/>
      <c r="AP1191" s="52"/>
      <c r="AQ1191" s="52"/>
      <c r="AR1191" s="52"/>
      <c r="AS1191" s="52"/>
      <c r="AT1191" s="52"/>
      <c r="AU1191" s="52"/>
      <c r="AV1191" s="52"/>
      <c r="AW1191" s="52"/>
    </row>
    <row r="1192" spans="1:49">
      <c r="A1192" s="52"/>
      <c r="B1192" s="52"/>
      <c r="C1192" s="52"/>
      <c r="D1192" s="53"/>
      <c r="E1192" s="53"/>
      <c r="F1192" s="53"/>
      <c r="G1192" s="53"/>
      <c r="H1192" s="53"/>
      <c r="I1192" s="52"/>
      <c r="J1192" s="52"/>
      <c r="K1192" s="53"/>
      <c r="L1192" s="52"/>
      <c r="M1192" s="55"/>
      <c r="N1192" s="54"/>
      <c r="O1192" s="52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  <c r="AA1192" s="52"/>
      <c r="AB1192" s="52"/>
      <c r="AC1192" s="52"/>
      <c r="AD1192" s="52"/>
      <c r="AE1192" s="52"/>
      <c r="AF1192" s="52"/>
      <c r="AG1192" s="52"/>
      <c r="AH1192" s="52"/>
      <c r="AI1192" s="52"/>
      <c r="AJ1192" s="52"/>
      <c r="AK1192" s="52"/>
      <c r="AL1192" s="52"/>
      <c r="AM1192" s="52"/>
      <c r="AN1192" s="52"/>
      <c r="AO1192" s="52"/>
      <c r="AP1192" s="52"/>
      <c r="AQ1192" s="52"/>
      <c r="AR1192" s="52"/>
      <c r="AS1192" s="52"/>
      <c r="AT1192" s="52"/>
      <c r="AU1192" s="52"/>
      <c r="AV1192" s="52"/>
      <c r="AW1192" s="52"/>
    </row>
    <row r="1193" spans="1:49">
      <c r="A1193" s="52"/>
      <c r="B1193" s="52"/>
      <c r="C1193" s="52"/>
      <c r="D1193" s="53"/>
      <c r="E1193" s="53"/>
      <c r="F1193" s="53"/>
      <c r="G1193" s="53"/>
      <c r="H1193" s="52"/>
      <c r="I1193" s="52"/>
      <c r="J1193" s="52"/>
      <c r="K1193" s="52"/>
      <c r="L1193" s="52"/>
      <c r="M1193" s="55"/>
      <c r="N1193" s="54"/>
      <c r="O1193" s="52"/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  <c r="AA1193" s="52"/>
      <c r="AB1193" s="52"/>
      <c r="AC1193" s="52"/>
      <c r="AD1193" s="52"/>
      <c r="AE1193" s="52"/>
      <c r="AF1193" s="52"/>
      <c r="AG1193" s="52"/>
      <c r="AH1193" s="52"/>
      <c r="AI1193" s="52"/>
      <c r="AJ1193" s="52"/>
      <c r="AK1193" s="52"/>
      <c r="AL1193" s="52"/>
      <c r="AM1193" s="52"/>
      <c r="AN1193" s="52"/>
      <c r="AO1193" s="52"/>
      <c r="AP1193" s="52"/>
      <c r="AQ1193" s="52"/>
      <c r="AR1193" s="52"/>
      <c r="AS1193" s="52"/>
      <c r="AT1193" s="52"/>
      <c r="AU1193" s="52"/>
      <c r="AV1193" s="52"/>
      <c r="AW1193" s="52"/>
    </row>
    <row r="1194" spans="1:49">
      <c r="A1194" s="52"/>
      <c r="B1194" s="52"/>
      <c r="C1194" s="52"/>
      <c r="D1194" s="53"/>
      <c r="E1194" s="53"/>
      <c r="F1194" s="52"/>
      <c r="G1194" s="53"/>
      <c r="H1194" s="52"/>
      <c r="I1194" s="52"/>
      <c r="J1194" s="52"/>
      <c r="K1194" s="52"/>
      <c r="L1194" s="52"/>
      <c r="M1194" s="52"/>
      <c r="N1194" s="52"/>
      <c r="O1194" s="52"/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  <c r="AA1194" s="52"/>
      <c r="AB1194" s="52"/>
      <c r="AC1194" s="52"/>
      <c r="AD1194" s="52"/>
      <c r="AE1194" s="52"/>
      <c r="AF1194" s="52"/>
      <c r="AG1194" s="52"/>
      <c r="AH1194" s="52"/>
      <c r="AI1194" s="52"/>
      <c r="AJ1194" s="52"/>
      <c r="AK1194" s="52"/>
      <c r="AL1194" s="52"/>
      <c r="AM1194" s="52"/>
      <c r="AN1194" s="52"/>
      <c r="AO1194" s="52"/>
      <c r="AP1194" s="52"/>
      <c r="AQ1194" s="52"/>
      <c r="AR1194" s="52"/>
      <c r="AS1194" s="52"/>
      <c r="AT1194" s="52"/>
      <c r="AU1194" s="52"/>
      <c r="AV1194" s="52"/>
      <c r="AW1194" s="52"/>
    </row>
    <row r="1195" spans="1:49">
      <c r="A1195" s="52"/>
      <c r="B1195" s="52"/>
      <c r="C1195" s="52"/>
      <c r="D1195" s="53"/>
      <c r="E1195" s="53"/>
      <c r="F1195" s="52"/>
      <c r="G1195" s="53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  <c r="AA1195" s="52"/>
      <c r="AB1195" s="52"/>
      <c r="AC1195" s="52"/>
      <c r="AD1195" s="52"/>
      <c r="AE1195" s="52"/>
      <c r="AF1195" s="52"/>
      <c r="AG1195" s="52"/>
      <c r="AH1195" s="52"/>
      <c r="AI1195" s="52"/>
      <c r="AJ1195" s="52"/>
      <c r="AK1195" s="52"/>
      <c r="AL1195" s="52"/>
      <c r="AM1195" s="52"/>
      <c r="AN1195" s="52"/>
      <c r="AO1195" s="52"/>
      <c r="AP1195" s="52"/>
      <c r="AQ1195" s="52"/>
      <c r="AR1195" s="52"/>
      <c r="AS1195" s="52"/>
      <c r="AT1195" s="52"/>
      <c r="AU1195" s="52"/>
      <c r="AV1195" s="52"/>
      <c r="AW1195" s="52"/>
    </row>
    <row r="1196" spans="1:49">
      <c r="A1196" s="52"/>
      <c r="B1196" s="52"/>
      <c r="C1196" s="52"/>
      <c r="D1196" s="53"/>
      <c r="E1196" s="53"/>
      <c r="F1196" s="53"/>
      <c r="G1196" s="53"/>
      <c r="H1196" s="53"/>
      <c r="I1196" s="52"/>
      <c r="J1196" s="52"/>
      <c r="K1196" s="52"/>
      <c r="L1196" s="52"/>
      <c r="M1196" s="55"/>
      <c r="N1196" s="54"/>
      <c r="O1196" s="52"/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  <c r="AA1196" s="52"/>
      <c r="AB1196" s="52"/>
      <c r="AC1196" s="52"/>
      <c r="AD1196" s="52"/>
      <c r="AE1196" s="52"/>
      <c r="AF1196" s="52"/>
      <c r="AG1196" s="52"/>
      <c r="AH1196" s="52"/>
      <c r="AI1196" s="52"/>
      <c r="AJ1196" s="52"/>
      <c r="AK1196" s="52"/>
      <c r="AL1196" s="52"/>
      <c r="AM1196" s="52"/>
      <c r="AN1196" s="52"/>
      <c r="AO1196" s="52"/>
      <c r="AP1196" s="52"/>
      <c r="AQ1196" s="52"/>
      <c r="AR1196" s="52"/>
      <c r="AS1196" s="52"/>
      <c r="AT1196" s="52"/>
      <c r="AU1196" s="52"/>
      <c r="AV1196" s="52"/>
      <c r="AW1196" s="52"/>
    </row>
    <row r="1197" spans="1:49">
      <c r="A1197" s="52"/>
      <c r="B1197" s="52"/>
      <c r="C1197" s="52"/>
      <c r="D1197" s="53"/>
      <c r="E1197" s="53"/>
      <c r="F1197" s="53"/>
      <c r="G1197" s="53"/>
      <c r="H1197" s="53"/>
      <c r="I1197" s="52"/>
      <c r="J1197" s="52"/>
      <c r="K1197" s="52"/>
      <c r="L1197" s="52"/>
      <c r="M1197" s="55"/>
      <c r="N1197" s="54"/>
      <c r="O1197" s="52"/>
      <c r="P1197" s="52"/>
      <c r="Q1197" s="52"/>
      <c r="R1197" s="52"/>
      <c r="S1197" s="52"/>
      <c r="T1197" s="52"/>
      <c r="U1197" s="52"/>
      <c r="V1197" s="52"/>
      <c r="W1197" s="52"/>
      <c r="X1197" s="52"/>
      <c r="Y1197" s="52"/>
      <c r="Z1197" s="52"/>
      <c r="AA1197" s="52"/>
      <c r="AB1197" s="52"/>
      <c r="AC1197" s="52"/>
      <c r="AD1197" s="52"/>
      <c r="AE1197" s="52"/>
      <c r="AF1197" s="52"/>
      <c r="AG1197" s="52"/>
      <c r="AH1197" s="52"/>
      <c r="AI1197" s="52"/>
      <c r="AJ1197" s="52"/>
      <c r="AK1197" s="52"/>
      <c r="AL1197" s="52"/>
      <c r="AM1197" s="52"/>
      <c r="AN1197" s="52"/>
      <c r="AO1197" s="52"/>
      <c r="AP1197" s="52"/>
      <c r="AQ1197" s="52"/>
      <c r="AR1197" s="52"/>
      <c r="AS1197" s="52"/>
      <c r="AT1197" s="52"/>
      <c r="AU1197" s="52"/>
      <c r="AV1197" s="52"/>
      <c r="AW1197" s="52"/>
    </row>
    <row r="1198" spans="1:49">
      <c r="A1198" s="52"/>
      <c r="B1198" s="52"/>
      <c r="C1198" s="52"/>
      <c r="D1198" s="53"/>
      <c r="E1198" s="53"/>
      <c r="F1198" s="52"/>
      <c r="G1198" s="52"/>
      <c r="H1198" s="52"/>
      <c r="I1198" s="52"/>
      <c r="J1198" s="52"/>
      <c r="K1198" s="52"/>
      <c r="L1198" s="52"/>
      <c r="M1198" s="54"/>
      <c r="N1198" s="54"/>
      <c r="O1198" s="52"/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  <c r="AA1198" s="52"/>
      <c r="AB1198" s="52"/>
      <c r="AC1198" s="52"/>
      <c r="AD1198" s="52"/>
      <c r="AE1198" s="52"/>
      <c r="AF1198" s="52"/>
      <c r="AG1198" s="52"/>
      <c r="AH1198" s="52"/>
      <c r="AI1198" s="52"/>
      <c r="AJ1198" s="52"/>
      <c r="AK1198" s="52"/>
      <c r="AL1198" s="52"/>
      <c r="AM1198" s="52"/>
      <c r="AN1198" s="52"/>
      <c r="AO1198" s="52"/>
      <c r="AP1198" s="52"/>
      <c r="AQ1198" s="52"/>
      <c r="AR1198" s="52"/>
      <c r="AS1198" s="52"/>
      <c r="AT1198" s="52"/>
      <c r="AU1198" s="52"/>
      <c r="AV1198" s="52"/>
      <c r="AW1198" s="52"/>
    </row>
    <row r="1199" spans="1:49">
      <c r="A1199" s="52"/>
      <c r="B1199" s="52"/>
      <c r="C1199" s="52"/>
      <c r="D1199" s="53"/>
      <c r="E1199" s="53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  <c r="AA1199" s="52"/>
      <c r="AB1199" s="52"/>
      <c r="AC1199" s="52"/>
      <c r="AD1199" s="52"/>
      <c r="AE1199" s="52"/>
      <c r="AF1199" s="52"/>
      <c r="AG1199" s="52"/>
      <c r="AH1199" s="52"/>
      <c r="AI1199" s="52"/>
      <c r="AJ1199" s="52"/>
      <c r="AK1199" s="52"/>
      <c r="AL1199" s="52"/>
      <c r="AM1199" s="52"/>
      <c r="AN1199" s="52"/>
      <c r="AO1199" s="52"/>
      <c r="AP1199" s="52"/>
      <c r="AQ1199" s="52"/>
      <c r="AR1199" s="52"/>
      <c r="AS1199" s="52"/>
      <c r="AT1199" s="52"/>
      <c r="AU1199" s="52"/>
      <c r="AV1199" s="52"/>
      <c r="AW1199" s="52"/>
    </row>
    <row r="1200" spans="1:49">
      <c r="A1200" s="52"/>
      <c r="B1200" s="52"/>
      <c r="C1200" s="52"/>
      <c r="D1200" s="53"/>
      <c r="E1200" s="53"/>
      <c r="F1200" s="53"/>
      <c r="G1200" s="53"/>
      <c r="H1200" s="52"/>
      <c r="I1200" s="52"/>
      <c r="J1200" s="52"/>
      <c r="K1200" s="53"/>
      <c r="L1200" s="52"/>
      <c r="M1200" s="55"/>
      <c r="N1200" s="54"/>
      <c r="O1200" s="52"/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  <c r="AA1200" s="52"/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5"/>
      <c r="AM1200" s="52"/>
      <c r="AN1200" s="52"/>
      <c r="AO1200" s="52"/>
      <c r="AP1200" s="52"/>
      <c r="AQ1200" s="52"/>
      <c r="AR1200" s="52"/>
      <c r="AS1200" s="52"/>
      <c r="AT1200" s="52"/>
      <c r="AU1200" s="52"/>
      <c r="AV1200" s="52"/>
      <c r="AW1200" s="52"/>
    </row>
    <row r="1201" spans="1:49">
      <c r="A1201" s="52"/>
      <c r="B1201" s="52"/>
      <c r="C1201" s="52"/>
      <c r="D1201" s="53"/>
      <c r="E1201" s="53"/>
      <c r="F1201" s="53"/>
      <c r="G1201" s="53"/>
      <c r="H1201" s="52"/>
      <c r="I1201" s="52"/>
      <c r="J1201" s="52"/>
      <c r="K1201" s="53"/>
      <c r="L1201" s="52"/>
      <c r="M1201" s="54"/>
      <c r="N1201" s="54"/>
      <c r="O1201" s="52"/>
      <c r="P1201" s="52"/>
      <c r="Q1201" s="52"/>
      <c r="R1201" s="52"/>
      <c r="S1201" s="52"/>
      <c r="T1201" s="52"/>
      <c r="U1201" s="52"/>
      <c r="V1201" s="52"/>
      <c r="W1201" s="52"/>
      <c r="X1201" s="52"/>
      <c r="Y1201" s="52"/>
      <c r="Z1201" s="52"/>
      <c r="AA1201" s="52"/>
      <c r="AB1201" s="52"/>
      <c r="AC1201" s="52"/>
      <c r="AD1201" s="52"/>
      <c r="AE1201" s="52"/>
      <c r="AF1201" s="52"/>
      <c r="AG1201" s="52"/>
      <c r="AH1201" s="52"/>
      <c r="AI1201" s="53"/>
      <c r="AJ1201" s="53"/>
      <c r="AK1201" s="53"/>
      <c r="AL1201" s="55"/>
      <c r="AM1201" s="52"/>
      <c r="AN1201" s="55"/>
      <c r="AO1201" s="52"/>
      <c r="AP1201" s="55"/>
      <c r="AQ1201" s="52"/>
      <c r="AR1201" s="52"/>
      <c r="AS1201" s="52"/>
      <c r="AT1201" s="52"/>
      <c r="AU1201" s="52"/>
      <c r="AV1201" s="52"/>
      <c r="AW1201" s="52"/>
    </row>
    <row r="1202" spans="1:49">
      <c r="A1202" s="52"/>
      <c r="B1202" s="52"/>
      <c r="C1202" s="52"/>
      <c r="D1202" s="53"/>
      <c r="E1202" s="53"/>
      <c r="F1202" s="53"/>
      <c r="G1202" s="53"/>
      <c r="H1202" s="52"/>
      <c r="I1202" s="52"/>
      <c r="J1202" s="52"/>
      <c r="K1202" s="53"/>
      <c r="L1202" s="52"/>
      <c r="M1202" s="54"/>
      <c r="N1202" s="54"/>
      <c r="O1202" s="52"/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  <c r="AA1202" s="52"/>
      <c r="AB1202" s="52"/>
      <c r="AC1202" s="52"/>
      <c r="AD1202" s="52"/>
      <c r="AE1202" s="52"/>
      <c r="AF1202" s="52"/>
      <c r="AG1202" s="52"/>
      <c r="AH1202" s="52"/>
      <c r="AI1202" s="53"/>
      <c r="AJ1202" s="53"/>
      <c r="AK1202" s="53"/>
      <c r="AL1202" s="55"/>
      <c r="AM1202" s="52"/>
      <c r="AN1202" s="55"/>
      <c r="AO1202" s="52"/>
      <c r="AP1202" s="55"/>
      <c r="AQ1202" s="52"/>
      <c r="AR1202" s="52"/>
      <c r="AS1202" s="52"/>
      <c r="AT1202" s="52"/>
      <c r="AU1202" s="52"/>
      <c r="AV1202" s="52"/>
      <c r="AW1202" s="52"/>
    </row>
    <row r="1203" spans="1:49">
      <c r="A1203" s="52"/>
      <c r="B1203" s="52"/>
      <c r="C1203" s="52"/>
      <c r="D1203" s="53"/>
      <c r="E1203" s="53"/>
      <c r="F1203" s="53"/>
      <c r="G1203" s="53"/>
      <c r="H1203" s="52"/>
      <c r="I1203" s="52"/>
      <c r="J1203" s="52"/>
      <c r="K1203" s="53"/>
      <c r="L1203" s="52"/>
      <c r="M1203" s="55"/>
      <c r="N1203" s="54"/>
      <c r="O1203" s="52"/>
      <c r="P1203" s="52"/>
      <c r="Q1203" s="52"/>
      <c r="R1203" s="52"/>
      <c r="S1203" s="52"/>
      <c r="T1203" s="52"/>
      <c r="U1203" s="52"/>
      <c r="V1203" s="52"/>
      <c r="W1203" s="52"/>
      <c r="X1203" s="52"/>
      <c r="Y1203" s="52"/>
      <c r="Z1203" s="52"/>
      <c r="AA1203" s="52"/>
      <c r="AB1203" s="52"/>
      <c r="AC1203" s="52"/>
      <c r="AD1203" s="52"/>
      <c r="AE1203" s="52"/>
      <c r="AF1203" s="52"/>
      <c r="AG1203" s="52"/>
      <c r="AH1203" s="52"/>
      <c r="AI1203" s="52"/>
      <c r="AJ1203" s="52"/>
      <c r="AK1203" s="52"/>
      <c r="AL1203" s="55"/>
      <c r="AM1203" s="52"/>
      <c r="AN1203" s="52"/>
      <c r="AO1203" s="52"/>
      <c r="AP1203" s="52"/>
      <c r="AQ1203" s="52"/>
      <c r="AR1203" s="52"/>
      <c r="AS1203" s="52"/>
      <c r="AT1203" s="52"/>
      <c r="AU1203" s="52"/>
      <c r="AV1203" s="52"/>
      <c r="AW1203" s="52"/>
    </row>
    <row r="1204" spans="1:49">
      <c r="A1204" s="52"/>
      <c r="B1204" s="52"/>
      <c r="C1204" s="52"/>
      <c r="D1204" s="53"/>
      <c r="E1204" s="53"/>
      <c r="F1204" s="53"/>
      <c r="G1204" s="53"/>
      <c r="H1204" s="52"/>
      <c r="I1204" s="52"/>
      <c r="J1204" s="52"/>
      <c r="K1204" s="53"/>
      <c r="L1204" s="52"/>
      <c r="M1204" s="54"/>
      <c r="N1204" s="54"/>
      <c r="O1204" s="52"/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  <c r="AA1204" s="52"/>
      <c r="AB1204" s="52"/>
      <c r="AC1204" s="52"/>
      <c r="AD1204" s="52"/>
      <c r="AE1204" s="52"/>
      <c r="AF1204" s="52"/>
      <c r="AG1204" s="52"/>
      <c r="AH1204" s="52"/>
      <c r="AI1204" s="53"/>
      <c r="AJ1204" s="53"/>
      <c r="AK1204" s="53"/>
      <c r="AL1204" s="55"/>
      <c r="AM1204" s="52"/>
      <c r="AN1204" s="55"/>
      <c r="AO1204" s="52"/>
      <c r="AP1204" s="55"/>
      <c r="AQ1204" s="52"/>
      <c r="AR1204" s="52"/>
      <c r="AS1204" s="52"/>
      <c r="AT1204" s="52"/>
      <c r="AU1204" s="52"/>
      <c r="AV1204" s="52"/>
      <c r="AW1204" s="52"/>
    </row>
    <row r="1205" spans="1:49">
      <c r="A1205" s="52"/>
      <c r="B1205" s="52"/>
      <c r="C1205" s="52"/>
      <c r="D1205" s="53"/>
      <c r="E1205" s="53"/>
      <c r="F1205" s="53"/>
      <c r="G1205" s="53"/>
      <c r="H1205" s="52"/>
      <c r="I1205" s="52"/>
      <c r="J1205" s="52"/>
      <c r="K1205" s="53"/>
      <c r="L1205" s="52"/>
      <c r="M1205" s="54"/>
      <c r="N1205" s="54"/>
      <c r="O1205" s="52"/>
      <c r="P1205" s="52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  <c r="AA1205" s="52"/>
      <c r="AB1205" s="52"/>
      <c r="AC1205" s="52"/>
      <c r="AD1205" s="52"/>
      <c r="AE1205" s="52"/>
      <c r="AF1205" s="52"/>
      <c r="AG1205" s="52"/>
      <c r="AH1205" s="52"/>
      <c r="AI1205" s="53"/>
      <c r="AJ1205" s="53"/>
      <c r="AK1205" s="53"/>
      <c r="AL1205" s="55"/>
      <c r="AM1205" s="52"/>
      <c r="AN1205" s="55"/>
      <c r="AO1205" s="52"/>
      <c r="AP1205" s="55"/>
      <c r="AQ1205" s="52"/>
      <c r="AR1205" s="52"/>
      <c r="AS1205" s="52"/>
      <c r="AT1205" s="52"/>
      <c r="AU1205" s="52"/>
      <c r="AV1205" s="52"/>
      <c r="AW1205" s="52"/>
    </row>
    <row r="1206" spans="1:49">
      <c r="A1206" s="52"/>
      <c r="B1206" s="52"/>
      <c r="C1206" s="52"/>
      <c r="D1206" s="53"/>
      <c r="E1206" s="53"/>
      <c r="F1206" s="53"/>
      <c r="G1206" s="53"/>
      <c r="H1206" s="52"/>
      <c r="I1206" s="52"/>
      <c r="J1206" s="52"/>
      <c r="K1206" s="53"/>
      <c r="L1206" s="52"/>
      <c r="M1206" s="55"/>
      <c r="N1206" s="54"/>
      <c r="O1206" s="52"/>
      <c r="P1206" s="52"/>
      <c r="Q1206" s="52"/>
      <c r="R1206" s="52"/>
      <c r="S1206" s="52"/>
      <c r="T1206" s="52"/>
      <c r="U1206" s="52"/>
      <c r="V1206" s="52"/>
      <c r="W1206" s="52"/>
      <c r="X1206" s="52"/>
      <c r="Y1206" s="52"/>
      <c r="Z1206" s="52"/>
      <c r="AA1206" s="52"/>
      <c r="AB1206" s="52"/>
      <c r="AC1206" s="52"/>
      <c r="AD1206" s="52"/>
      <c r="AE1206" s="52"/>
      <c r="AF1206" s="52"/>
      <c r="AG1206" s="52"/>
      <c r="AH1206" s="52"/>
      <c r="AI1206" s="52"/>
      <c r="AJ1206" s="52"/>
      <c r="AK1206" s="52"/>
      <c r="AL1206" s="55"/>
      <c r="AM1206" s="52"/>
      <c r="AN1206" s="52"/>
      <c r="AO1206" s="52"/>
      <c r="AP1206" s="52"/>
      <c r="AQ1206" s="52"/>
      <c r="AR1206" s="52"/>
      <c r="AS1206" s="52"/>
      <c r="AT1206" s="52"/>
      <c r="AU1206" s="52"/>
      <c r="AV1206" s="52"/>
      <c r="AW1206" s="52"/>
    </row>
    <row r="1207" spans="1:49">
      <c r="A1207" s="52"/>
      <c r="B1207" s="52"/>
      <c r="C1207" s="52"/>
      <c r="D1207" s="53"/>
      <c r="E1207" s="53"/>
      <c r="F1207" s="53"/>
      <c r="G1207" s="53"/>
      <c r="H1207" s="53"/>
      <c r="I1207" s="52"/>
      <c r="J1207" s="52"/>
      <c r="K1207" s="53"/>
      <c r="L1207" s="52"/>
      <c r="M1207" s="54"/>
      <c r="N1207" s="54"/>
      <c r="O1207" s="52"/>
      <c r="P1207" s="52"/>
      <c r="Q1207" s="52"/>
      <c r="R1207" s="52"/>
      <c r="S1207" s="52"/>
      <c r="T1207" s="52"/>
      <c r="U1207" s="52"/>
      <c r="V1207" s="52"/>
      <c r="W1207" s="52"/>
      <c r="X1207" s="52"/>
      <c r="Y1207" s="52"/>
      <c r="Z1207" s="52"/>
      <c r="AA1207" s="52"/>
      <c r="AB1207" s="52"/>
      <c r="AC1207" s="52"/>
      <c r="AD1207" s="52"/>
      <c r="AE1207" s="52"/>
      <c r="AF1207" s="52"/>
      <c r="AG1207" s="52"/>
      <c r="AH1207" s="52"/>
      <c r="AI1207" s="53"/>
      <c r="AJ1207" s="53"/>
      <c r="AK1207" s="53"/>
      <c r="AL1207" s="55"/>
      <c r="AM1207" s="52"/>
      <c r="AN1207" s="55"/>
      <c r="AO1207" s="52"/>
      <c r="AP1207" s="55"/>
      <c r="AQ1207" s="52"/>
      <c r="AR1207" s="52"/>
      <c r="AS1207" s="52"/>
      <c r="AT1207" s="52"/>
      <c r="AU1207" s="52"/>
      <c r="AV1207" s="52"/>
      <c r="AW1207" s="52"/>
    </row>
    <row r="1208" spans="1:49">
      <c r="A1208" s="52"/>
      <c r="B1208" s="52"/>
      <c r="C1208" s="52"/>
      <c r="D1208" s="53"/>
      <c r="E1208" s="53"/>
      <c r="F1208" s="53"/>
      <c r="G1208" s="53"/>
      <c r="H1208" s="53"/>
      <c r="I1208" s="52"/>
      <c r="J1208" s="52"/>
      <c r="K1208" s="53"/>
      <c r="L1208" s="52"/>
      <c r="M1208" s="54"/>
      <c r="N1208" s="54"/>
      <c r="O1208" s="52"/>
      <c r="P1208" s="52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  <c r="AA1208" s="52"/>
      <c r="AB1208" s="52"/>
      <c r="AC1208" s="52"/>
      <c r="AD1208" s="52"/>
      <c r="AE1208" s="52"/>
      <c r="AF1208" s="52"/>
      <c r="AG1208" s="52"/>
      <c r="AH1208" s="52"/>
      <c r="AI1208" s="53"/>
      <c r="AJ1208" s="53"/>
      <c r="AK1208" s="53"/>
      <c r="AL1208" s="55"/>
      <c r="AM1208" s="52"/>
      <c r="AN1208" s="55"/>
      <c r="AO1208" s="52"/>
      <c r="AP1208" s="55"/>
      <c r="AQ1208" s="52"/>
      <c r="AR1208" s="52"/>
      <c r="AS1208" s="52"/>
      <c r="AT1208" s="52"/>
      <c r="AU1208" s="52"/>
      <c r="AV1208" s="52"/>
      <c r="AW1208" s="52"/>
    </row>
    <row r="1209" spans="1:49">
      <c r="A1209" s="52"/>
      <c r="B1209" s="52"/>
      <c r="C1209" s="52"/>
      <c r="D1209" s="53"/>
      <c r="E1209" s="53"/>
      <c r="F1209" s="53"/>
      <c r="G1209" s="53"/>
      <c r="H1209" s="53"/>
      <c r="I1209" s="52"/>
      <c r="J1209" s="52"/>
      <c r="K1209" s="53"/>
      <c r="L1209" s="52"/>
      <c r="M1209" s="54"/>
      <c r="N1209" s="55"/>
      <c r="O1209" s="52"/>
      <c r="P1209" s="52"/>
      <c r="Q1209" s="52"/>
      <c r="R1209" s="52"/>
      <c r="S1209" s="52"/>
      <c r="T1209" s="52"/>
      <c r="U1209" s="52"/>
      <c r="V1209" s="52"/>
      <c r="W1209" s="52"/>
      <c r="X1209" s="52"/>
      <c r="Y1209" s="52"/>
      <c r="Z1209" s="52"/>
      <c r="AA1209" s="52"/>
      <c r="AB1209" s="52"/>
      <c r="AC1209" s="52"/>
      <c r="AD1209" s="52"/>
      <c r="AE1209" s="52"/>
      <c r="AF1209" s="52"/>
      <c r="AG1209" s="52"/>
      <c r="AH1209" s="52"/>
      <c r="AI1209" s="53"/>
      <c r="AJ1209" s="53"/>
      <c r="AK1209" s="53"/>
      <c r="AL1209" s="55"/>
      <c r="AM1209" s="52"/>
      <c r="AN1209" s="55"/>
      <c r="AO1209" s="52"/>
      <c r="AP1209" s="55"/>
      <c r="AQ1209" s="52"/>
      <c r="AR1209" s="52"/>
      <c r="AS1209" s="52"/>
      <c r="AT1209" s="52"/>
      <c r="AU1209" s="52"/>
      <c r="AV1209" s="52"/>
      <c r="AW1209" s="52"/>
    </row>
    <row r="1210" spans="1:49">
      <c r="A1210" s="52"/>
      <c r="B1210" s="52"/>
      <c r="C1210" s="52"/>
      <c r="D1210" s="53"/>
      <c r="E1210" s="53"/>
      <c r="F1210" s="53"/>
      <c r="G1210" s="53"/>
      <c r="H1210" s="53"/>
      <c r="I1210" s="52"/>
      <c r="J1210" s="52"/>
      <c r="K1210" s="53"/>
      <c r="L1210" s="52"/>
      <c r="M1210" s="54"/>
      <c r="N1210" s="55"/>
      <c r="O1210" s="52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  <c r="AA1210" s="52"/>
      <c r="AB1210" s="52"/>
      <c r="AC1210" s="52"/>
      <c r="AD1210" s="52"/>
      <c r="AE1210" s="52"/>
      <c r="AF1210" s="52"/>
      <c r="AG1210" s="52"/>
      <c r="AH1210" s="52"/>
      <c r="AI1210" s="53"/>
      <c r="AJ1210" s="53"/>
      <c r="AK1210" s="53"/>
      <c r="AL1210" s="55"/>
      <c r="AM1210" s="52"/>
      <c r="AN1210" s="55"/>
      <c r="AO1210" s="52"/>
      <c r="AP1210" s="55"/>
      <c r="AQ1210" s="52"/>
      <c r="AR1210" s="52"/>
      <c r="AS1210" s="52"/>
      <c r="AT1210" s="52"/>
      <c r="AU1210" s="52"/>
      <c r="AV1210" s="52"/>
      <c r="AW1210" s="52"/>
    </row>
    <row r="1211" spans="1:49">
      <c r="A1211" s="52"/>
      <c r="B1211" s="52"/>
      <c r="C1211" s="52"/>
      <c r="D1211" s="53"/>
      <c r="E1211" s="53"/>
      <c r="F1211" s="53"/>
      <c r="G1211" s="53"/>
      <c r="H1211" s="53"/>
      <c r="I1211" s="52"/>
      <c r="J1211" s="52"/>
      <c r="K1211" s="53"/>
      <c r="L1211" s="52"/>
      <c r="M1211" s="55"/>
      <c r="N1211" s="55"/>
      <c r="O1211" s="52"/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  <c r="AA1211" s="52"/>
      <c r="AB1211" s="52"/>
      <c r="AC1211" s="52"/>
      <c r="AD1211" s="52"/>
      <c r="AE1211" s="52"/>
      <c r="AF1211" s="52"/>
      <c r="AG1211" s="52"/>
      <c r="AH1211" s="52"/>
      <c r="AI1211" s="52"/>
      <c r="AJ1211" s="52"/>
      <c r="AK1211" s="52"/>
      <c r="AL1211" s="55"/>
      <c r="AM1211" s="52"/>
      <c r="AN1211" s="52"/>
      <c r="AO1211" s="52"/>
      <c r="AP1211" s="52"/>
      <c r="AQ1211" s="52"/>
      <c r="AR1211" s="52"/>
      <c r="AS1211" s="52"/>
      <c r="AT1211" s="52"/>
      <c r="AU1211" s="52"/>
      <c r="AV1211" s="52"/>
      <c r="AW1211" s="52"/>
    </row>
    <row r="1212" spans="1:49">
      <c r="A1212" s="52"/>
      <c r="B1212" s="52"/>
      <c r="C1212" s="52"/>
      <c r="D1212" s="53"/>
      <c r="E1212" s="53"/>
      <c r="F1212" s="53"/>
      <c r="G1212" s="53"/>
      <c r="H1212" s="53"/>
      <c r="I1212" s="52"/>
      <c r="J1212" s="52"/>
      <c r="K1212" s="53"/>
      <c r="L1212" s="52"/>
      <c r="M1212" s="54"/>
      <c r="N1212" s="54"/>
      <c r="O1212" s="52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  <c r="AA1212" s="52"/>
      <c r="AB1212" s="52"/>
      <c r="AC1212" s="52"/>
      <c r="AD1212" s="52"/>
      <c r="AE1212" s="52"/>
      <c r="AF1212" s="52"/>
      <c r="AG1212" s="52"/>
      <c r="AH1212" s="52"/>
      <c r="AI1212" s="53"/>
      <c r="AJ1212" s="53"/>
      <c r="AK1212" s="53"/>
      <c r="AL1212" s="55"/>
      <c r="AM1212" s="52"/>
      <c r="AN1212" s="55"/>
      <c r="AO1212" s="52"/>
      <c r="AP1212" s="55"/>
      <c r="AQ1212" s="52"/>
      <c r="AR1212" s="52"/>
      <c r="AS1212" s="52"/>
      <c r="AT1212" s="52"/>
      <c r="AU1212" s="52"/>
      <c r="AV1212" s="52"/>
      <c r="AW1212" s="52"/>
    </row>
    <row r="1213" spans="1:49">
      <c r="A1213" s="52"/>
      <c r="B1213" s="52"/>
      <c r="C1213" s="52"/>
      <c r="D1213" s="53"/>
      <c r="E1213" s="53"/>
      <c r="F1213" s="53"/>
      <c r="G1213" s="53"/>
      <c r="H1213" s="53"/>
      <c r="I1213" s="52"/>
      <c r="J1213" s="52"/>
      <c r="K1213" s="53"/>
      <c r="L1213" s="52"/>
      <c r="M1213" s="54"/>
      <c r="N1213" s="54"/>
      <c r="O1213" s="52"/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  <c r="Z1213" s="52"/>
      <c r="AA1213" s="52"/>
      <c r="AB1213" s="52"/>
      <c r="AC1213" s="52"/>
      <c r="AD1213" s="52"/>
      <c r="AE1213" s="52"/>
      <c r="AF1213" s="52"/>
      <c r="AG1213" s="52"/>
      <c r="AH1213" s="52"/>
      <c r="AI1213" s="53"/>
      <c r="AJ1213" s="53"/>
      <c r="AK1213" s="53"/>
      <c r="AL1213" s="55"/>
      <c r="AM1213" s="52"/>
      <c r="AN1213" s="55"/>
      <c r="AO1213" s="52"/>
      <c r="AP1213" s="55"/>
      <c r="AQ1213" s="52"/>
      <c r="AR1213" s="52"/>
      <c r="AS1213" s="52"/>
      <c r="AT1213" s="52"/>
      <c r="AU1213" s="52"/>
      <c r="AV1213" s="52"/>
      <c r="AW1213" s="52"/>
    </row>
    <row r="1214" spans="1:49">
      <c r="A1214" s="52"/>
      <c r="B1214" s="52"/>
      <c r="C1214" s="52"/>
      <c r="D1214" s="53"/>
      <c r="E1214" s="53"/>
      <c r="F1214" s="52"/>
      <c r="G1214" s="52"/>
      <c r="H1214" s="52"/>
      <c r="I1214" s="52"/>
      <c r="J1214" s="52"/>
      <c r="K1214" s="52"/>
      <c r="L1214" s="52"/>
      <c r="M1214" s="55"/>
      <c r="N1214" s="54"/>
      <c r="O1214" s="52"/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  <c r="AA1214" s="52"/>
      <c r="AB1214" s="52"/>
      <c r="AC1214" s="52"/>
      <c r="AD1214" s="52"/>
      <c r="AE1214" s="52"/>
      <c r="AF1214" s="52"/>
      <c r="AG1214" s="52"/>
      <c r="AH1214" s="52"/>
      <c r="AI1214" s="52"/>
      <c r="AJ1214" s="52"/>
      <c r="AK1214" s="52"/>
      <c r="AL1214" s="52"/>
      <c r="AM1214" s="52"/>
      <c r="AN1214" s="52"/>
      <c r="AO1214" s="52"/>
      <c r="AP1214" s="52"/>
      <c r="AQ1214" s="52"/>
      <c r="AR1214" s="52"/>
      <c r="AS1214" s="52"/>
      <c r="AT1214" s="52"/>
      <c r="AU1214" s="52"/>
      <c r="AV1214" s="52"/>
      <c r="AW1214" s="52"/>
    </row>
    <row r="1215" spans="1:49">
      <c r="A1215" s="52"/>
      <c r="B1215" s="52"/>
      <c r="C1215" s="52"/>
      <c r="D1215" s="53"/>
      <c r="E1215" s="53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  <c r="S1215" s="52"/>
      <c r="T1215" s="52"/>
      <c r="U1215" s="52"/>
      <c r="V1215" s="52"/>
      <c r="W1215" s="52"/>
      <c r="X1215" s="52"/>
      <c r="Y1215" s="52"/>
      <c r="Z1215" s="52"/>
      <c r="AA1215" s="52"/>
      <c r="AB1215" s="52"/>
      <c r="AC1215" s="52"/>
      <c r="AD1215" s="52"/>
      <c r="AE1215" s="52"/>
      <c r="AF1215" s="52"/>
      <c r="AG1215" s="52"/>
      <c r="AH1215" s="52"/>
      <c r="AI1215" s="52"/>
      <c r="AJ1215" s="52"/>
      <c r="AK1215" s="52"/>
      <c r="AL1215" s="52"/>
      <c r="AM1215" s="52"/>
      <c r="AN1215" s="52"/>
      <c r="AO1215" s="52"/>
      <c r="AP1215" s="52"/>
      <c r="AQ1215" s="52"/>
      <c r="AR1215" s="52"/>
      <c r="AS1215" s="52"/>
      <c r="AT1215" s="52"/>
      <c r="AU1215" s="52"/>
      <c r="AV1215" s="52"/>
      <c r="AW1215" s="52"/>
    </row>
    <row r="1216" spans="1:49">
      <c r="A1216" s="52"/>
      <c r="B1216" s="52"/>
      <c r="C1216" s="52"/>
      <c r="D1216" s="53"/>
      <c r="E1216" s="53"/>
      <c r="F1216" s="53"/>
      <c r="G1216" s="53"/>
      <c r="H1216" s="53"/>
      <c r="I1216" s="52"/>
      <c r="J1216" s="52"/>
      <c r="K1216" s="53"/>
      <c r="L1216" s="52"/>
      <c r="M1216" s="54"/>
      <c r="N1216" s="54"/>
      <c r="O1216" s="52"/>
      <c r="P1216" s="52"/>
      <c r="Q1216" s="52"/>
      <c r="R1216" s="52"/>
      <c r="S1216" s="52"/>
      <c r="T1216" s="52"/>
      <c r="U1216" s="52"/>
      <c r="V1216" s="52"/>
      <c r="W1216" s="52"/>
      <c r="X1216" s="52"/>
      <c r="Y1216" s="52"/>
      <c r="Z1216" s="52"/>
      <c r="AA1216" s="52"/>
      <c r="AB1216" s="52"/>
      <c r="AC1216" s="52"/>
      <c r="AD1216" s="52"/>
      <c r="AE1216" s="52"/>
      <c r="AF1216" s="52"/>
      <c r="AG1216" s="52"/>
      <c r="AH1216" s="52"/>
      <c r="AI1216" s="52"/>
      <c r="AJ1216" s="52"/>
      <c r="AK1216" s="52"/>
      <c r="AL1216" s="55"/>
      <c r="AM1216" s="52"/>
      <c r="AN1216" s="52"/>
      <c r="AO1216" s="52"/>
      <c r="AP1216" s="52"/>
      <c r="AQ1216" s="52"/>
      <c r="AR1216" s="52"/>
      <c r="AS1216" s="52"/>
      <c r="AT1216" s="52"/>
      <c r="AU1216" s="52"/>
      <c r="AV1216" s="52"/>
      <c r="AW1216" s="52"/>
    </row>
    <row r="1217" spans="1:49">
      <c r="A1217" s="52"/>
      <c r="B1217" s="52"/>
      <c r="C1217" s="52"/>
      <c r="D1217" s="53"/>
      <c r="E1217" s="53"/>
      <c r="F1217" s="53"/>
      <c r="G1217" s="53"/>
      <c r="H1217" s="53"/>
      <c r="I1217" s="52"/>
      <c r="J1217" s="52"/>
      <c r="K1217" s="53"/>
      <c r="L1217" s="52"/>
      <c r="M1217" s="55"/>
      <c r="N1217" s="54"/>
      <c r="O1217" s="52"/>
      <c r="P1217" s="52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  <c r="AA1217" s="52"/>
      <c r="AB1217" s="52"/>
      <c r="AC1217" s="52"/>
      <c r="AD1217" s="52"/>
      <c r="AE1217" s="52"/>
      <c r="AF1217" s="52"/>
      <c r="AG1217" s="52"/>
      <c r="AH1217" s="52"/>
      <c r="AI1217" s="53"/>
      <c r="AJ1217" s="53"/>
      <c r="AK1217" s="53"/>
      <c r="AL1217" s="54"/>
      <c r="AM1217" s="52"/>
      <c r="AN1217" s="55"/>
      <c r="AO1217" s="54"/>
      <c r="AP1217" s="54"/>
      <c r="AQ1217" s="52"/>
      <c r="AR1217" s="52"/>
      <c r="AS1217" s="52"/>
      <c r="AT1217" s="52"/>
      <c r="AU1217" s="52"/>
      <c r="AV1217" s="52"/>
      <c r="AW1217" s="52"/>
    </row>
    <row r="1218" spans="1:49">
      <c r="A1218" s="52"/>
      <c r="B1218" s="52"/>
      <c r="C1218" s="52"/>
      <c r="D1218" s="53"/>
      <c r="E1218" s="53"/>
      <c r="F1218" s="53"/>
      <c r="G1218" s="53"/>
      <c r="H1218" s="53"/>
      <c r="I1218" s="52"/>
      <c r="J1218" s="52"/>
      <c r="K1218" s="53"/>
      <c r="L1218" s="52"/>
      <c r="M1218" s="55"/>
      <c r="N1218" s="54"/>
      <c r="O1218" s="52"/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/>
      <c r="AA1218" s="52"/>
      <c r="AB1218" s="52"/>
      <c r="AC1218" s="52"/>
      <c r="AD1218" s="52"/>
      <c r="AE1218" s="52"/>
      <c r="AF1218" s="52"/>
      <c r="AG1218" s="52"/>
      <c r="AH1218" s="52"/>
      <c r="AI1218" s="53"/>
      <c r="AJ1218" s="53"/>
      <c r="AK1218" s="53"/>
      <c r="AL1218" s="54"/>
      <c r="AM1218" s="52"/>
      <c r="AN1218" s="55"/>
      <c r="AO1218" s="54"/>
      <c r="AP1218" s="54"/>
      <c r="AQ1218" s="52"/>
      <c r="AR1218" s="52"/>
      <c r="AS1218" s="52"/>
      <c r="AT1218" s="52"/>
      <c r="AU1218" s="52"/>
      <c r="AV1218" s="52"/>
      <c r="AW1218" s="52"/>
    </row>
    <row r="1219" spans="1:49">
      <c r="A1219" s="52"/>
      <c r="B1219" s="52"/>
      <c r="C1219" s="52"/>
      <c r="D1219" s="53"/>
      <c r="E1219" s="53"/>
      <c r="F1219" s="52"/>
      <c r="G1219" s="52"/>
      <c r="H1219" s="52"/>
      <c r="I1219" s="52"/>
      <c r="J1219" s="52"/>
      <c r="K1219" s="52"/>
      <c r="L1219" s="52"/>
      <c r="M1219" s="55"/>
      <c r="N1219" s="54"/>
      <c r="O1219" s="52"/>
      <c r="P1219" s="52"/>
      <c r="Q1219" s="52"/>
      <c r="R1219" s="52"/>
      <c r="S1219" s="52"/>
      <c r="T1219" s="52"/>
      <c r="U1219" s="52"/>
      <c r="V1219" s="52"/>
      <c r="W1219" s="52"/>
      <c r="X1219" s="52"/>
      <c r="Y1219" s="52"/>
      <c r="Z1219" s="52"/>
      <c r="AA1219" s="52"/>
      <c r="AB1219" s="52"/>
      <c r="AC1219" s="52"/>
      <c r="AD1219" s="52"/>
      <c r="AE1219" s="52"/>
      <c r="AF1219" s="52"/>
      <c r="AG1219" s="52"/>
      <c r="AH1219" s="52"/>
      <c r="AI1219" s="52"/>
      <c r="AJ1219" s="52"/>
      <c r="AK1219" s="52"/>
      <c r="AL1219" s="52"/>
      <c r="AM1219" s="52"/>
      <c r="AN1219" s="52"/>
      <c r="AO1219" s="52"/>
      <c r="AP1219" s="52"/>
      <c r="AQ1219" s="52"/>
      <c r="AR1219" s="52"/>
      <c r="AS1219" s="52"/>
      <c r="AT1219" s="52"/>
      <c r="AU1219" s="52"/>
      <c r="AV1219" s="52"/>
      <c r="AW1219" s="52"/>
    </row>
    <row r="1220" spans="1:49">
      <c r="A1220" s="52"/>
      <c r="B1220" s="52"/>
      <c r="C1220" s="52"/>
      <c r="D1220" s="53"/>
      <c r="E1220" s="53"/>
      <c r="F1220" s="52"/>
      <c r="G1220" s="52"/>
      <c r="H1220" s="52"/>
      <c r="I1220" s="52"/>
      <c r="J1220" s="52"/>
      <c r="K1220" s="52"/>
      <c r="L1220" s="52"/>
      <c r="M1220" s="52"/>
      <c r="N1220" s="52"/>
      <c r="O1220" s="52"/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  <c r="AA1220" s="52"/>
      <c r="AB1220" s="52"/>
      <c r="AC1220" s="52"/>
      <c r="AD1220" s="52"/>
      <c r="AE1220" s="52"/>
      <c r="AF1220" s="52"/>
      <c r="AG1220" s="52"/>
      <c r="AH1220" s="52"/>
      <c r="AI1220" s="52"/>
      <c r="AJ1220" s="52"/>
      <c r="AK1220" s="52"/>
      <c r="AL1220" s="52"/>
      <c r="AM1220" s="52"/>
      <c r="AN1220" s="52"/>
      <c r="AO1220" s="52"/>
      <c r="AP1220" s="52"/>
      <c r="AQ1220" s="52"/>
      <c r="AR1220" s="52"/>
      <c r="AS1220" s="52"/>
      <c r="AT1220" s="52"/>
      <c r="AU1220" s="52"/>
      <c r="AV1220" s="52"/>
      <c r="AW1220" s="52"/>
    </row>
    <row r="1221" spans="1:49">
      <c r="A1221" s="52"/>
      <c r="B1221" s="52"/>
      <c r="C1221" s="52"/>
      <c r="D1221" s="53"/>
      <c r="E1221" s="53"/>
      <c r="F1221" s="53"/>
      <c r="G1221" s="53"/>
      <c r="H1221" s="53"/>
      <c r="I1221" s="52"/>
      <c r="J1221" s="52"/>
      <c r="K1221" s="53"/>
      <c r="L1221" s="52"/>
      <c r="M1221" s="55"/>
      <c r="N1221" s="54"/>
      <c r="O1221" s="52"/>
      <c r="P1221" s="52"/>
      <c r="Q1221" s="52"/>
      <c r="R1221" s="52"/>
      <c r="S1221" s="52"/>
      <c r="T1221" s="52"/>
      <c r="U1221" s="52"/>
      <c r="V1221" s="52"/>
      <c r="W1221" s="52"/>
      <c r="X1221" s="52"/>
      <c r="Y1221" s="52"/>
      <c r="Z1221" s="52"/>
      <c r="AA1221" s="52"/>
      <c r="AB1221" s="52"/>
      <c r="AC1221" s="52"/>
      <c r="AD1221" s="52"/>
      <c r="AE1221" s="52"/>
      <c r="AF1221" s="52"/>
      <c r="AG1221" s="52"/>
      <c r="AH1221" s="52"/>
      <c r="AI1221" s="52"/>
      <c r="AJ1221" s="52"/>
      <c r="AK1221" s="52"/>
      <c r="AL1221" s="52"/>
      <c r="AM1221" s="52"/>
      <c r="AN1221" s="52"/>
      <c r="AO1221" s="52"/>
      <c r="AP1221" s="52"/>
      <c r="AQ1221" s="52"/>
      <c r="AR1221" s="52"/>
      <c r="AS1221" s="52"/>
      <c r="AT1221" s="52"/>
      <c r="AU1221" s="52"/>
      <c r="AV1221" s="52"/>
      <c r="AW1221" s="52"/>
    </row>
    <row r="1222" spans="1:49">
      <c r="A1222" s="52"/>
      <c r="B1222" s="52"/>
      <c r="C1222" s="52"/>
      <c r="D1222" s="53"/>
      <c r="E1222" s="53"/>
      <c r="F1222" s="53"/>
      <c r="G1222" s="53"/>
      <c r="H1222" s="53"/>
      <c r="I1222" s="52"/>
      <c r="J1222" s="52"/>
      <c r="K1222" s="53"/>
      <c r="L1222" s="52"/>
      <c r="M1222" s="54"/>
      <c r="N1222" s="54"/>
      <c r="O1222" s="52"/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  <c r="AA1222" s="52"/>
      <c r="AB1222" s="52"/>
      <c r="AC1222" s="52"/>
      <c r="AD1222" s="52"/>
      <c r="AE1222" s="52"/>
      <c r="AF1222" s="52"/>
      <c r="AG1222" s="52"/>
      <c r="AH1222" s="52"/>
      <c r="AI1222" s="52"/>
      <c r="AJ1222" s="52"/>
      <c r="AK1222" s="52"/>
      <c r="AL1222" s="55"/>
      <c r="AM1222" s="52"/>
      <c r="AN1222" s="52"/>
      <c r="AO1222" s="55"/>
      <c r="AP1222" s="55"/>
      <c r="AQ1222" s="52"/>
      <c r="AR1222" s="52"/>
      <c r="AS1222" s="52"/>
      <c r="AT1222" s="52"/>
      <c r="AU1222" s="52"/>
      <c r="AV1222" s="52"/>
      <c r="AW1222" s="52"/>
    </row>
    <row r="1223" spans="1:49">
      <c r="A1223" s="52"/>
      <c r="B1223" s="52"/>
      <c r="C1223" s="52"/>
      <c r="D1223" s="53"/>
      <c r="E1223" s="53"/>
      <c r="F1223" s="53"/>
      <c r="G1223" s="53"/>
      <c r="H1223" s="53"/>
      <c r="I1223" s="52"/>
      <c r="J1223" s="52"/>
      <c r="K1223" s="53"/>
      <c r="L1223" s="52"/>
      <c r="M1223" s="54"/>
      <c r="N1223" s="54"/>
      <c r="O1223" s="52"/>
      <c r="P1223" s="52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  <c r="AA1223" s="52"/>
      <c r="AB1223" s="52"/>
      <c r="AC1223" s="52"/>
      <c r="AD1223" s="52"/>
      <c r="AE1223" s="52"/>
      <c r="AF1223" s="52"/>
      <c r="AG1223" s="52"/>
      <c r="AH1223" s="52"/>
      <c r="AI1223" s="52"/>
      <c r="AJ1223" s="52"/>
      <c r="AK1223" s="52"/>
      <c r="AL1223" s="55"/>
      <c r="AM1223" s="52"/>
      <c r="AN1223" s="52"/>
      <c r="AO1223" s="55"/>
      <c r="AP1223" s="55"/>
      <c r="AQ1223" s="52"/>
      <c r="AR1223" s="52"/>
      <c r="AS1223" s="52"/>
      <c r="AT1223" s="52"/>
      <c r="AU1223" s="52"/>
      <c r="AV1223" s="52"/>
      <c r="AW1223" s="52"/>
    </row>
    <row r="1224" spans="1:49">
      <c r="A1224" s="52"/>
      <c r="B1224" s="52"/>
      <c r="C1224" s="52"/>
      <c r="D1224" s="53"/>
      <c r="E1224" s="53"/>
      <c r="F1224" s="52"/>
      <c r="G1224" s="52"/>
      <c r="H1224" s="52"/>
      <c r="I1224" s="52"/>
      <c r="J1224" s="52"/>
      <c r="K1224" s="52"/>
      <c r="L1224" s="52"/>
      <c r="M1224" s="55"/>
      <c r="N1224" s="54"/>
      <c r="O1224" s="52"/>
      <c r="P1224" s="52"/>
      <c r="Q1224" s="52"/>
      <c r="R1224" s="52"/>
      <c r="S1224" s="52"/>
      <c r="T1224" s="52"/>
      <c r="U1224" s="52"/>
      <c r="V1224" s="52"/>
      <c r="W1224" s="52"/>
      <c r="X1224" s="52"/>
      <c r="Y1224" s="52"/>
      <c r="Z1224" s="52"/>
      <c r="AA1224" s="52"/>
      <c r="AB1224" s="52"/>
      <c r="AC1224" s="52"/>
      <c r="AD1224" s="52"/>
      <c r="AE1224" s="52"/>
      <c r="AF1224" s="52"/>
      <c r="AG1224" s="52"/>
      <c r="AH1224" s="52"/>
      <c r="AI1224" s="52"/>
      <c r="AJ1224" s="52"/>
      <c r="AK1224" s="52"/>
      <c r="AL1224" s="52"/>
      <c r="AM1224" s="52"/>
      <c r="AN1224" s="52"/>
      <c r="AO1224" s="52"/>
      <c r="AP1224" s="52"/>
      <c r="AQ1224" s="52"/>
      <c r="AR1224" s="52"/>
      <c r="AS1224" s="52"/>
      <c r="AT1224" s="52"/>
      <c r="AU1224" s="52"/>
      <c r="AV1224" s="52"/>
      <c r="AW1224" s="52"/>
    </row>
    <row r="1225" spans="1:49">
      <c r="A1225" s="52"/>
      <c r="B1225" s="52"/>
      <c r="C1225" s="52"/>
      <c r="D1225" s="53"/>
      <c r="E1225" s="53"/>
      <c r="F1225" s="52"/>
      <c r="G1225" s="52"/>
      <c r="H1225" s="52"/>
      <c r="I1225" s="52"/>
      <c r="J1225" s="52"/>
      <c r="K1225" s="52"/>
      <c r="L1225" s="52"/>
      <c r="M1225" s="52"/>
      <c r="N1225" s="52"/>
      <c r="O1225" s="52"/>
      <c r="P1225" s="52"/>
      <c r="Q1225" s="52"/>
      <c r="R1225" s="52"/>
      <c r="S1225" s="52"/>
      <c r="T1225" s="52"/>
      <c r="U1225" s="52"/>
      <c r="V1225" s="52"/>
      <c r="W1225" s="52"/>
      <c r="X1225" s="52"/>
      <c r="Y1225" s="52"/>
      <c r="Z1225" s="52"/>
      <c r="AA1225" s="52"/>
      <c r="AB1225" s="52"/>
      <c r="AC1225" s="52"/>
      <c r="AD1225" s="52"/>
      <c r="AE1225" s="52"/>
      <c r="AF1225" s="52"/>
      <c r="AG1225" s="52"/>
      <c r="AH1225" s="52"/>
      <c r="AI1225" s="52"/>
      <c r="AJ1225" s="52"/>
      <c r="AK1225" s="52"/>
      <c r="AL1225" s="52"/>
      <c r="AM1225" s="52"/>
      <c r="AN1225" s="52"/>
      <c r="AO1225" s="52"/>
      <c r="AP1225" s="52"/>
      <c r="AQ1225" s="52"/>
      <c r="AR1225" s="52"/>
      <c r="AS1225" s="52"/>
      <c r="AT1225" s="52"/>
      <c r="AU1225" s="52"/>
      <c r="AV1225" s="52"/>
      <c r="AW1225" s="52"/>
    </row>
    <row r="1226" spans="1:49">
      <c r="A1226" s="52"/>
      <c r="B1226" s="52"/>
      <c r="C1226" s="52"/>
      <c r="D1226" s="53"/>
      <c r="E1226" s="53"/>
      <c r="F1226" s="52"/>
      <c r="G1226" s="52"/>
      <c r="H1226" s="52"/>
      <c r="I1226" s="52"/>
      <c r="J1226" s="52"/>
      <c r="K1226" s="52"/>
      <c r="L1226" s="52"/>
      <c r="M1226" s="55"/>
      <c r="N1226" s="54"/>
      <c r="O1226" s="52"/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  <c r="AA1226" s="52"/>
      <c r="AB1226" s="52"/>
      <c r="AC1226" s="52"/>
      <c r="AD1226" s="52"/>
      <c r="AE1226" s="52"/>
      <c r="AF1226" s="52"/>
      <c r="AG1226" s="52"/>
      <c r="AH1226" s="52"/>
      <c r="AI1226" s="52"/>
      <c r="AJ1226" s="52"/>
      <c r="AK1226" s="52"/>
      <c r="AL1226" s="52"/>
      <c r="AM1226" s="52"/>
      <c r="AN1226" s="52"/>
      <c r="AO1226" s="52"/>
      <c r="AP1226" s="52"/>
      <c r="AQ1226" s="52"/>
      <c r="AR1226" s="52"/>
      <c r="AS1226" s="52"/>
      <c r="AT1226" s="52"/>
      <c r="AU1226" s="52"/>
      <c r="AV1226" s="52"/>
      <c r="AW1226" s="52"/>
    </row>
    <row r="1227" spans="1:49">
      <c r="A1227" s="52"/>
      <c r="B1227" s="52"/>
      <c r="C1227" s="52"/>
      <c r="D1227" s="53"/>
      <c r="E1227" s="53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  <c r="AA1227" s="52"/>
      <c r="AB1227" s="52"/>
      <c r="AC1227" s="52"/>
      <c r="AD1227" s="52"/>
      <c r="AE1227" s="52"/>
      <c r="AF1227" s="52"/>
      <c r="AG1227" s="52"/>
      <c r="AH1227" s="52"/>
      <c r="AI1227" s="52"/>
      <c r="AJ1227" s="52"/>
      <c r="AK1227" s="52"/>
      <c r="AL1227" s="52"/>
      <c r="AM1227" s="52"/>
      <c r="AN1227" s="52"/>
      <c r="AO1227" s="52"/>
      <c r="AP1227" s="52"/>
      <c r="AQ1227" s="52"/>
      <c r="AR1227" s="52"/>
      <c r="AS1227" s="52"/>
      <c r="AT1227" s="52"/>
      <c r="AU1227" s="52"/>
      <c r="AV1227" s="52"/>
      <c r="AW1227" s="52"/>
    </row>
    <row r="1228" spans="1:49">
      <c r="A1228" s="52"/>
      <c r="B1228" s="52"/>
      <c r="C1228" s="52"/>
      <c r="D1228" s="53"/>
      <c r="E1228" s="53"/>
      <c r="F1228" s="52"/>
      <c r="G1228" s="52"/>
      <c r="H1228" s="52"/>
      <c r="I1228" s="52"/>
      <c r="J1228" s="52"/>
      <c r="K1228" s="52"/>
      <c r="L1228" s="52"/>
      <c r="M1228" s="55"/>
      <c r="N1228" s="54"/>
      <c r="O1228" s="52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  <c r="AA1228" s="52"/>
      <c r="AB1228" s="52"/>
      <c r="AC1228" s="52"/>
      <c r="AD1228" s="52"/>
      <c r="AE1228" s="52"/>
      <c r="AF1228" s="52"/>
      <c r="AG1228" s="52"/>
      <c r="AH1228" s="52"/>
      <c r="AI1228" s="52"/>
      <c r="AJ1228" s="52"/>
      <c r="AK1228" s="52"/>
      <c r="AL1228" s="52"/>
      <c r="AM1228" s="52"/>
      <c r="AN1228" s="52"/>
      <c r="AO1228" s="52"/>
      <c r="AP1228" s="52"/>
      <c r="AQ1228" s="52"/>
      <c r="AR1228" s="52"/>
      <c r="AS1228" s="52"/>
      <c r="AT1228" s="52"/>
      <c r="AU1228" s="52"/>
      <c r="AV1228" s="52"/>
      <c r="AW1228" s="52"/>
    </row>
    <row r="1229" spans="1:49">
      <c r="A1229" s="52"/>
      <c r="B1229" s="52"/>
      <c r="C1229" s="52"/>
      <c r="D1229" s="53"/>
      <c r="E1229" s="53"/>
      <c r="F1229" s="52"/>
      <c r="G1229" s="52"/>
      <c r="H1229" s="52"/>
      <c r="I1229" s="52"/>
      <c r="J1229" s="52"/>
      <c r="K1229" s="52"/>
      <c r="L1229" s="52"/>
      <c r="M1229" s="52"/>
      <c r="N1229" s="52"/>
      <c r="O1229" s="52"/>
      <c r="P1229" s="52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  <c r="AA1229" s="52"/>
      <c r="AB1229" s="52"/>
      <c r="AC1229" s="52"/>
      <c r="AD1229" s="52"/>
      <c r="AE1229" s="52"/>
      <c r="AF1229" s="52"/>
      <c r="AG1229" s="52"/>
      <c r="AH1229" s="52"/>
      <c r="AI1229" s="52"/>
      <c r="AJ1229" s="52"/>
      <c r="AK1229" s="52"/>
      <c r="AL1229" s="52"/>
      <c r="AM1229" s="52"/>
      <c r="AN1229" s="52"/>
      <c r="AO1229" s="52"/>
      <c r="AP1229" s="52"/>
      <c r="AQ1229" s="52"/>
      <c r="AR1229" s="52"/>
      <c r="AS1229" s="52"/>
      <c r="AT1229" s="52"/>
      <c r="AU1229" s="52"/>
      <c r="AV1229" s="52"/>
      <c r="AW1229" s="52"/>
    </row>
    <row r="1230" spans="1:49">
      <c r="A1230" s="52"/>
      <c r="B1230" s="52"/>
      <c r="C1230" s="52"/>
      <c r="D1230" s="53"/>
      <c r="E1230" s="53"/>
      <c r="F1230" s="53"/>
      <c r="G1230" s="53"/>
      <c r="H1230" s="53"/>
      <c r="I1230" s="52"/>
      <c r="J1230" s="52"/>
      <c r="K1230" s="53"/>
      <c r="L1230" s="52"/>
      <c r="M1230" s="54"/>
      <c r="N1230" s="54"/>
      <c r="O1230" s="52"/>
      <c r="P1230" s="52"/>
      <c r="Q1230" s="52"/>
      <c r="R1230" s="52"/>
      <c r="S1230" s="52"/>
      <c r="T1230" s="52"/>
      <c r="U1230" s="52"/>
      <c r="V1230" s="52"/>
      <c r="W1230" s="52"/>
      <c r="X1230" s="52"/>
      <c r="Y1230" s="52"/>
      <c r="Z1230" s="52"/>
      <c r="AA1230" s="52"/>
      <c r="AB1230" s="52"/>
      <c r="AC1230" s="52"/>
      <c r="AD1230" s="52"/>
      <c r="AE1230" s="52"/>
      <c r="AF1230" s="52"/>
      <c r="AG1230" s="52"/>
      <c r="AH1230" s="52"/>
      <c r="AI1230" s="52"/>
      <c r="AJ1230" s="52"/>
      <c r="AK1230" s="52"/>
      <c r="AL1230" s="52"/>
      <c r="AM1230" s="52"/>
      <c r="AN1230" s="52"/>
      <c r="AO1230" s="52"/>
      <c r="AP1230" s="52"/>
      <c r="AQ1230" s="52"/>
      <c r="AR1230" s="52"/>
      <c r="AS1230" s="52"/>
      <c r="AT1230" s="52"/>
      <c r="AU1230" s="52"/>
      <c r="AV1230" s="52"/>
      <c r="AW1230" s="52"/>
    </row>
    <row r="1231" spans="1:49">
      <c r="A1231" s="52"/>
      <c r="B1231" s="52"/>
      <c r="C1231" s="52"/>
      <c r="D1231" s="53"/>
      <c r="E1231" s="53"/>
      <c r="F1231" s="53"/>
      <c r="G1231" s="53"/>
      <c r="H1231" s="53"/>
      <c r="I1231" s="52"/>
      <c r="J1231" s="52"/>
      <c r="K1231" s="53"/>
      <c r="L1231" s="52"/>
      <c r="M1231" s="54"/>
      <c r="N1231" s="54"/>
      <c r="O1231" s="52"/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/>
      <c r="AA1231" s="52"/>
      <c r="AB1231" s="52"/>
      <c r="AC1231" s="52"/>
      <c r="AD1231" s="52"/>
      <c r="AE1231" s="52"/>
      <c r="AF1231" s="52"/>
      <c r="AG1231" s="52"/>
      <c r="AH1231" s="52"/>
      <c r="AI1231" s="52"/>
      <c r="AJ1231" s="52"/>
      <c r="AK1231" s="52"/>
      <c r="AL1231" s="55"/>
      <c r="AM1231" s="52"/>
      <c r="AN1231" s="52"/>
      <c r="AO1231" s="55"/>
      <c r="AP1231" s="55"/>
      <c r="AQ1231" s="52"/>
      <c r="AR1231" s="52"/>
      <c r="AS1231" s="52"/>
      <c r="AT1231" s="52"/>
      <c r="AU1231" s="52"/>
      <c r="AV1231" s="52"/>
      <c r="AW1231" s="52"/>
    </row>
    <row r="1232" spans="1:49">
      <c r="A1232" s="52"/>
      <c r="B1232" s="52"/>
      <c r="C1232" s="52"/>
      <c r="D1232" s="53"/>
      <c r="E1232" s="53"/>
      <c r="F1232" s="53"/>
      <c r="G1232" s="53"/>
      <c r="H1232" s="53"/>
      <c r="I1232" s="52"/>
      <c r="J1232" s="52"/>
      <c r="K1232" s="53"/>
      <c r="L1232" s="52"/>
      <c r="M1232" s="54"/>
      <c r="N1232" s="54"/>
      <c r="O1232" s="52"/>
      <c r="P1232" s="52"/>
      <c r="Q1232" s="52"/>
      <c r="R1232" s="52"/>
      <c r="S1232" s="52"/>
      <c r="T1232" s="52"/>
      <c r="U1232" s="52"/>
      <c r="V1232" s="52"/>
      <c r="W1232" s="52"/>
      <c r="X1232" s="52"/>
      <c r="Y1232" s="52"/>
      <c r="Z1232" s="52"/>
      <c r="AA1232" s="52"/>
      <c r="AB1232" s="52"/>
      <c r="AC1232" s="52"/>
      <c r="AD1232" s="52"/>
      <c r="AE1232" s="52"/>
      <c r="AF1232" s="52"/>
      <c r="AG1232" s="52"/>
      <c r="AH1232" s="52"/>
      <c r="AI1232" s="52"/>
      <c r="AJ1232" s="52"/>
      <c r="AK1232" s="52"/>
      <c r="AL1232" s="55"/>
      <c r="AM1232" s="52"/>
      <c r="AN1232" s="52"/>
      <c r="AO1232" s="55"/>
      <c r="AP1232" s="55"/>
      <c r="AQ1232" s="52"/>
      <c r="AR1232" s="52"/>
      <c r="AS1232" s="52"/>
      <c r="AT1232" s="52"/>
      <c r="AU1232" s="52"/>
      <c r="AV1232" s="52"/>
      <c r="AW1232" s="52"/>
    </row>
    <row r="1233" spans="1:49">
      <c r="A1233" s="52"/>
      <c r="B1233" s="52"/>
      <c r="C1233" s="52"/>
      <c r="D1233" s="53"/>
      <c r="E1233" s="53"/>
      <c r="F1233" s="53"/>
      <c r="G1233" s="53"/>
      <c r="H1233" s="52"/>
      <c r="I1233" s="52"/>
      <c r="J1233" s="52"/>
      <c r="K1233" s="53"/>
      <c r="L1233" s="52"/>
      <c r="M1233" s="55"/>
      <c r="N1233" s="54"/>
      <c r="O1233" s="52"/>
      <c r="P1233" s="52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  <c r="AA1233" s="52"/>
      <c r="AB1233" s="52"/>
      <c r="AC1233" s="52"/>
      <c r="AD1233" s="52"/>
      <c r="AE1233" s="52"/>
      <c r="AF1233" s="52"/>
      <c r="AG1233" s="52"/>
      <c r="AH1233" s="52"/>
      <c r="AI1233" s="52"/>
      <c r="AJ1233" s="52"/>
      <c r="AK1233" s="52"/>
      <c r="AL1233" s="55"/>
      <c r="AM1233" s="52"/>
      <c r="AN1233" s="52"/>
      <c r="AO1233" s="52"/>
      <c r="AP1233" s="52"/>
      <c r="AQ1233" s="52"/>
      <c r="AR1233" s="52"/>
      <c r="AS1233" s="52"/>
      <c r="AT1233" s="52"/>
      <c r="AU1233" s="52"/>
      <c r="AV1233" s="52"/>
      <c r="AW1233" s="52"/>
    </row>
    <row r="1234" spans="1:49">
      <c r="A1234" s="52"/>
      <c r="B1234" s="52"/>
      <c r="C1234" s="52"/>
      <c r="D1234" s="53"/>
      <c r="E1234" s="53"/>
      <c r="F1234" s="53"/>
      <c r="G1234" s="53"/>
      <c r="H1234" s="53"/>
      <c r="I1234" s="52"/>
      <c r="J1234" s="52"/>
      <c r="K1234" s="53"/>
      <c r="L1234" s="52"/>
      <c r="M1234" s="55"/>
      <c r="N1234" s="54"/>
      <c r="O1234" s="52"/>
      <c r="P1234" s="52"/>
      <c r="Q1234" s="52"/>
      <c r="R1234" s="52"/>
      <c r="S1234" s="52"/>
      <c r="T1234" s="52"/>
      <c r="U1234" s="52"/>
      <c r="V1234" s="52"/>
      <c r="W1234" s="52"/>
      <c r="X1234" s="52"/>
      <c r="Y1234" s="52"/>
      <c r="Z1234" s="52"/>
      <c r="AA1234" s="52"/>
      <c r="AB1234" s="52"/>
      <c r="AC1234" s="52"/>
      <c r="AD1234" s="52"/>
      <c r="AE1234" s="52"/>
      <c r="AF1234" s="52"/>
      <c r="AG1234" s="52"/>
      <c r="AH1234" s="52"/>
      <c r="AI1234" s="53"/>
      <c r="AJ1234" s="53"/>
      <c r="AK1234" s="53"/>
      <c r="AL1234" s="55"/>
      <c r="AM1234" s="52"/>
      <c r="AN1234" s="55"/>
      <c r="AO1234" s="52"/>
      <c r="AP1234" s="55"/>
      <c r="AQ1234" s="52"/>
      <c r="AR1234" s="52"/>
      <c r="AS1234" s="52"/>
      <c r="AT1234" s="52"/>
      <c r="AU1234" s="52"/>
      <c r="AV1234" s="52"/>
      <c r="AW1234" s="52"/>
    </row>
    <row r="1235" spans="1:49">
      <c r="A1235" s="52"/>
      <c r="B1235" s="52"/>
      <c r="C1235" s="52"/>
      <c r="D1235" s="53"/>
      <c r="E1235" s="53"/>
      <c r="F1235" s="53"/>
      <c r="G1235" s="53"/>
      <c r="H1235" s="53"/>
      <c r="I1235" s="52"/>
      <c r="J1235" s="52"/>
      <c r="K1235" s="53"/>
      <c r="L1235" s="52"/>
      <c r="M1235" s="55"/>
      <c r="N1235" s="54"/>
      <c r="O1235" s="52"/>
      <c r="P1235" s="52"/>
      <c r="Q1235" s="52"/>
      <c r="R1235" s="52"/>
      <c r="S1235" s="52"/>
      <c r="T1235" s="52"/>
      <c r="U1235" s="52"/>
      <c r="V1235" s="52"/>
      <c r="W1235" s="52"/>
      <c r="X1235" s="52"/>
      <c r="Y1235" s="52"/>
      <c r="Z1235" s="52"/>
      <c r="AA1235" s="52"/>
      <c r="AB1235" s="52"/>
      <c r="AC1235" s="52"/>
      <c r="AD1235" s="52"/>
      <c r="AE1235" s="52"/>
      <c r="AF1235" s="52"/>
      <c r="AG1235" s="52"/>
      <c r="AH1235" s="52"/>
      <c r="AI1235" s="53"/>
      <c r="AJ1235" s="53"/>
      <c r="AK1235" s="53"/>
      <c r="AL1235" s="55"/>
      <c r="AM1235" s="52"/>
      <c r="AN1235" s="55"/>
      <c r="AO1235" s="52"/>
      <c r="AP1235" s="55"/>
      <c r="AQ1235" s="52"/>
      <c r="AR1235" s="52"/>
      <c r="AS1235" s="52"/>
      <c r="AT1235" s="52"/>
      <c r="AU1235" s="52"/>
      <c r="AV1235" s="52"/>
      <c r="AW1235" s="52"/>
    </row>
    <row r="1236" spans="1:49">
      <c r="A1236" s="52"/>
      <c r="B1236" s="52"/>
      <c r="C1236" s="52"/>
      <c r="D1236" s="53"/>
      <c r="E1236" s="53"/>
      <c r="F1236" s="53"/>
      <c r="G1236" s="53"/>
      <c r="H1236" s="52"/>
      <c r="I1236" s="52"/>
      <c r="J1236" s="52"/>
      <c r="K1236" s="53"/>
      <c r="L1236" s="52"/>
      <c r="M1236" s="55"/>
      <c r="N1236" s="55"/>
      <c r="O1236" s="52"/>
      <c r="P1236" s="52"/>
      <c r="Q1236" s="52"/>
      <c r="R1236" s="52"/>
      <c r="S1236" s="52"/>
      <c r="T1236" s="52"/>
      <c r="U1236" s="52"/>
      <c r="V1236" s="52"/>
      <c r="W1236" s="52"/>
      <c r="X1236" s="52"/>
      <c r="Y1236" s="52"/>
      <c r="Z1236" s="52"/>
      <c r="AA1236" s="52"/>
      <c r="AB1236" s="52"/>
      <c r="AC1236" s="52"/>
      <c r="AD1236" s="52"/>
      <c r="AE1236" s="52"/>
      <c r="AF1236" s="52"/>
      <c r="AG1236" s="52"/>
      <c r="AH1236" s="52"/>
      <c r="AI1236" s="53"/>
      <c r="AJ1236" s="53"/>
      <c r="AK1236" s="53"/>
      <c r="AL1236" s="55"/>
      <c r="AM1236" s="52"/>
      <c r="AN1236" s="55"/>
      <c r="AO1236" s="52"/>
      <c r="AP1236" s="55"/>
      <c r="AQ1236" s="52"/>
      <c r="AR1236" s="52"/>
      <c r="AS1236" s="52"/>
      <c r="AT1236" s="52"/>
      <c r="AU1236" s="52"/>
      <c r="AV1236" s="52"/>
      <c r="AW1236" s="52"/>
    </row>
    <row r="1237" spans="1:49">
      <c r="A1237" s="52"/>
      <c r="B1237" s="52"/>
      <c r="C1237" s="52"/>
      <c r="D1237" s="53"/>
      <c r="E1237" s="53"/>
      <c r="F1237" s="53"/>
      <c r="G1237" s="53"/>
      <c r="H1237" s="52"/>
      <c r="I1237" s="52"/>
      <c r="J1237" s="52"/>
      <c r="K1237" s="53"/>
      <c r="L1237" s="52"/>
      <c r="M1237" s="55"/>
      <c r="N1237" s="55"/>
      <c r="O1237" s="52"/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  <c r="AA1237" s="52"/>
      <c r="AB1237" s="52"/>
      <c r="AC1237" s="52"/>
      <c r="AD1237" s="52"/>
      <c r="AE1237" s="52"/>
      <c r="AF1237" s="52"/>
      <c r="AG1237" s="52"/>
      <c r="AH1237" s="52"/>
      <c r="AI1237" s="53"/>
      <c r="AJ1237" s="53"/>
      <c r="AK1237" s="53"/>
      <c r="AL1237" s="55"/>
      <c r="AM1237" s="52"/>
      <c r="AN1237" s="55"/>
      <c r="AO1237" s="52"/>
      <c r="AP1237" s="55"/>
      <c r="AQ1237" s="52"/>
      <c r="AR1237" s="52"/>
      <c r="AS1237" s="52"/>
      <c r="AT1237" s="52"/>
      <c r="AU1237" s="52"/>
      <c r="AV1237" s="52"/>
      <c r="AW1237" s="52"/>
    </row>
    <row r="1238" spans="1:49">
      <c r="A1238" s="52"/>
      <c r="B1238" s="52"/>
      <c r="C1238" s="52"/>
      <c r="D1238" s="53"/>
      <c r="E1238" s="53"/>
      <c r="F1238" s="53"/>
      <c r="G1238" s="53"/>
      <c r="H1238" s="52"/>
      <c r="I1238" s="52"/>
      <c r="J1238" s="52"/>
      <c r="K1238" s="53"/>
      <c r="L1238" s="52"/>
      <c r="M1238" s="54"/>
      <c r="N1238" s="55"/>
      <c r="O1238" s="52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  <c r="AA1238" s="52"/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52"/>
      <c r="AN1238" s="52"/>
      <c r="AO1238" s="52"/>
      <c r="AP1238" s="52"/>
      <c r="AQ1238" s="52"/>
      <c r="AR1238" s="52"/>
      <c r="AS1238" s="52"/>
      <c r="AT1238" s="52"/>
      <c r="AU1238" s="52"/>
      <c r="AV1238" s="52"/>
      <c r="AW1238" s="52"/>
    </row>
    <row r="1239" spans="1:49">
      <c r="A1239" s="52"/>
      <c r="B1239" s="52"/>
      <c r="C1239" s="52"/>
      <c r="D1239" s="53"/>
      <c r="E1239" s="53"/>
      <c r="F1239" s="52"/>
      <c r="G1239" s="53"/>
      <c r="H1239" s="52"/>
      <c r="I1239" s="52"/>
      <c r="J1239" s="52"/>
      <c r="K1239" s="53"/>
      <c r="L1239" s="52"/>
      <c r="M1239" s="52"/>
      <c r="N1239" s="52"/>
      <c r="O1239" s="52"/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  <c r="Z1239" s="52"/>
      <c r="AA1239" s="52"/>
      <c r="AB1239" s="52"/>
      <c r="AC1239" s="52"/>
      <c r="AD1239" s="52"/>
      <c r="AE1239" s="52"/>
      <c r="AF1239" s="52"/>
      <c r="AG1239" s="52"/>
      <c r="AH1239" s="52"/>
      <c r="AI1239" s="53"/>
      <c r="AJ1239" s="52"/>
      <c r="AK1239" s="53"/>
      <c r="AL1239" s="52"/>
      <c r="AM1239" s="52"/>
      <c r="AN1239" s="52"/>
      <c r="AO1239" s="52"/>
      <c r="AP1239" s="52"/>
      <c r="AQ1239" s="52"/>
      <c r="AR1239" s="52"/>
      <c r="AS1239" s="52"/>
      <c r="AT1239" s="52"/>
      <c r="AU1239" s="52"/>
      <c r="AV1239" s="52"/>
      <c r="AW1239" s="52"/>
    </row>
    <row r="1240" spans="1:49">
      <c r="A1240" s="52"/>
      <c r="B1240" s="52"/>
      <c r="C1240" s="52"/>
      <c r="D1240" s="53"/>
      <c r="E1240" s="53"/>
      <c r="F1240" s="52"/>
      <c r="G1240" s="53"/>
      <c r="H1240" s="52"/>
      <c r="I1240" s="52"/>
      <c r="J1240" s="52"/>
      <c r="K1240" s="53"/>
      <c r="L1240" s="52"/>
      <c r="M1240" s="52"/>
      <c r="N1240" s="52"/>
      <c r="O1240" s="52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  <c r="AA1240" s="52"/>
      <c r="AB1240" s="52"/>
      <c r="AC1240" s="52"/>
      <c r="AD1240" s="52"/>
      <c r="AE1240" s="52"/>
      <c r="AF1240" s="52"/>
      <c r="AG1240" s="52"/>
      <c r="AH1240" s="52"/>
      <c r="AI1240" s="53"/>
      <c r="AJ1240" s="52"/>
      <c r="AK1240" s="53"/>
      <c r="AL1240" s="52"/>
      <c r="AM1240" s="52"/>
      <c r="AN1240" s="52"/>
      <c r="AO1240" s="52"/>
      <c r="AP1240" s="52"/>
      <c r="AQ1240" s="52"/>
      <c r="AR1240" s="52"/>
      <c r="AS1240" s="52"/>
      <c r="AT1240" s="52"/>
      <c r="AU1240" s="52"/>
      <c r="AV1240" s="52"/>
      <c r="AW1240" s="52"/>
    </row>
    <row r="1241" spans="1:49">
      <c r="A1241" s="52"/>
      <c r="B1241" s="52"/>
      <c r="C1241" s="52"/>
      <c r="D1241" s="53"/>
      <c r="E1241" s="53"/>
      <c r="F1241" s="52"/>
      <c r="G1241" s="52"/>
      <c r="H1241" s="52"/>
      <c r="I1241" s="52"/>
      <c r="J1241" s="52"/>
      <c r="K1241" s="52"/>
      <c r="L1241" s="52"/>
      <c r="M1241" s="55"/>
      <c r="N1241" s="54"/>
      <c r="O1241" s="52"/>
      <c r="P1241" s="52"/>
      <c r="Q1241" s="52"/>
      <c r="R1241" s="52"/>
      <c r="S1241" s="52"/>
      <c r="T1241" s="52"/>
      <c r="U1241" s="52"/>
      <c r="V1241" s="52"/>
      <c r="W1241" s="52"/>
      <c r="X1241" s="52"/>
      <c r="Y1241" s="52"/>
      <c r="Z1241" s="52"/>
      <c r="AA1241" s="52"/>
      <c r="AB1241" s="52"/>
      <c r="AC1241" s="52"/>
      <c r="AD1241" s="52"/>
      <c r="AE1241" s="52"/>
      <c r="AF1241" s="52"/>
      <c r="AG1241" s="52"/>
      <c r="AH1241" s="52"/>
      <c r="AI1241" s="52"/>
      <c r="AJ1241" s="52"/>
      <c r="AK1241" s="52"/>
      <c r="AL1241" s="52"/>
      <c r="AM1241" s="52"/>
      <c r="AN1241" s="52"/>
      <c r="AO1241" s="52"/>
      <c r="AP1241" s="52"/>
      <c r="AQ1241" s="52"/>
      <c r="AR1241" s="52"/>
      <c r="AS1241" s="52"/>
      <c r="AT1241" s="52"/>
      <c r="AU1241" s="52"/>
      <c r="AV1241" s="52"/>
      <c r="AW1241" s="52"/>
    </row>
    <row r="1242" spans="1:49">
      <c r="A1242" s="52"/>
      <c r="B1242" s="52"/>
      <c r="C1242" s="52"/>
      <c r="D1242" s="53"/>
      <c r="E1242" s="53"/>
      <c r="F1242" s="52"/>
      <c r="G1242" s="52"/>
      <c r="H1242" s="52"/>
      <c r="I1242" s="52"/>
      <c r="J1242" s="52"/>
      <c r="K1242" s="52"/>
      <c r="L1242" s="52"/>
      <c r="M1242" s="52"/>
      <c r="N1242" s="52"/>
      <c r="O1242" s="52"/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  <c r="AA1242" s="52"/>
      <c r="AB1242" s="52"/>
      <c r="AC1242" s="52"/>
      <c r="AD1242" s="52"/>
      <c r="AE1242" s="52"/>
      <c r="AF1242" s="52"/>
      <c r="AG1242" s="52"/>
      <c r="AH1242" s="52"/>
      <c r="AI1242" s="52"/>
      <c r="AJ1242" s="52"/>
      <c r="AK1242" s="52"/>
      <c r="AL1242" s="52"/>
      <c r="AM1242" s="52"/>
      <c r="AN1242" s="52"/>
      <c r="AO1242" s="52"/>
      <c r="AP1242" s="52"/>
      <c r="AQ1242" s="52"/>
      <c r="AR1242" s="52"/>
      <c r="AS1242" s="52"/>
      <c r="AT1242" s="52"/>
      <c r="AU1242" s="52"/>
      <c r="AV1242" s="52"/>
      <c r="AW1242" s="52"/>
    </row>
    <row r="1243" spans="1:49">
      <c r="A1243" s="52"/>
      <c r="B1243" s="52"/>
      <c r="C1243" s="52"/>
      <c r="D1243" s="53"/>
      <c r="E1243" s="53"/>
      <c r="F1243" s="53"/>
      <c r="G1243" s="53"/>
      <c r="H1243" s="52"/>
      <c r="I1243" s="52"/>
      <c r="J1243" s="52"/>
      <c r="K1243" s="53"/>
      <c r="L1243" s="52"/>
      <c r="M1243" s="54"/>
      <c r="N1243" s="54"/>
      <c r="O1243" s="52"/>
      <c r="P1243" s="52"/>
      <c r="Q1243" s="52"/>
      <c r="R1243" s="52"/>
      <c r="S1243" s="52"/>
      <c r="T1243" s="52"/>
      <c r="U1243" s="52"/>
      <c r="V1243" s="52"/>
      <c r="W1243" s="52"/>
      <c r="X1243" s="52"/>
      <c r="Y1243" s="52"/>
      <c r="Z1243" s="52"/>
      <c r="AA1243" s="52"/>
      <c r="AB1243" s="52"/>
      <c r="AC1243" s="52"/>
      <c r="AD1243" s="52"/>
      <c r="AE1243" s="52"/>
      <c r="AF1243" s="52"/>
      <c r="AG1243" s="52"/>
      <c r="AH1243" s="52"/>
      <c r="AI1243" s="52"/>
      <c r="AJ1243" s="52"/>
      <c r="AK1243" s="52"/>
      <c r="AL1243" s="55"/>
      <c r="AM1243" s="52"/>
      <c r="AN1243" s="52"/>
      <c r="AO1243" s="52"/>
      <c r="AP1243" s="52"/>
      <c r="AQ1243" s="52"/>
      <c r="AR1243" s="52"/>
      <c r="AS1243" s="52"/>
      <c r="AT1243" s="52"/>
      <c r="AU1243" s="52"/>
      <c r="AV1243" s="52"/>
      <c r="AW1243" s="52"/>
    </row>
    <row r="1244" spans="1:49">
      <c r="A1244" s="52"/>
      <c r="B1244" s="52"/>
      <c r="C1244" s="52"/>
      <c r="D1244" s="53"/>
      <c r="E1244" s="53"/>
      <c r="F1244" s="53"/>
      <c r="G1244" s="53"/>
      <c r="H1244" s="52"/>
      <c r="I1244" s="52"/>
      <c r="J1244" s="52"/>
      <c r="K1244" s="53"/>
      <c r="L1244" s="52"/>
      <c r="M1244" s="54"/>
      <c r="N1244" s="54"/>
      <c r="O1244" s="52"/>
      <c r="P1244" s="52"/>
      <c r="Q1244" s="52"/>
      <c r="R1244" s="52"/>
      <c r="S1244" s="52"/>
      <c r="T1244" s="52"/>
      <c r="U1244" s="52"/>
      <c r="V1244" s="52"/>
      <c r="W1244" s="52"/>
      <c r="X1244" s="52"/>
      <c r="Y1244" s="52"/>
      <c r="Z1244" s="52"/>
      <c r="AA1244" s="52"/>
      <c r="AB1244" s="52"/>
      <c r="AC1244" s="52"/>
      <c r="AD1244" s="52"/>
      <c r="AE1244" s="52"/>
      <c r="AF1244" s="52"/>
      <c r="AG1244" s="52"/>
      <c r="AH1244" s="52"/>
      <c r="AI1244" s="53"/>
      <c r="AJ1244" s="53"/>
      <c r="AK1244" s="53"/>
      <c r="AL1244" s="55"/>
      <c r="AM1244" s="52"/>
      <c r="AN1244" s="55"/>
      <c r="AO1244" s="52"/>
      <c r="AP1244" s="55"/>
      <c r="AQ1244" s="52"/>
      <c r="AR1244" s="52"/>
      <c r="AS1244" s="52"/>
      <c r="AT1244" s="52"/>
      <c r="AU1244" s="52"/>
      <c r="AV1244" s="52"/>
      <c r="AW1244" s="52"/>
    </row>
    <row r="1245" spans="1:49">
      <c r="A1245" s="52"/>
      <c r="B1245" s="52"/>
      <c r="C1245" s="52"/>
      <c r="D1245" s="53"/>
      <c r="E1245" s="53"/>
      <c r="F1245" s="53"/>
      <c r="G1245" s="53"/>
      <c r="H1245" s="52"/>
      <c r="I1245" s="52"/>
      <c r="J1245" s="52"/>
      <c r="K1245" s="53"/>
      <c r="L1245" s="52"/>
      <c r="M1245" s="54"/>
      <c r="N1245" s="54"/>
      <c r="O1245" s="52"/>
      <c r="P1245" s="52"/>
      <c r="Q1245" s="52"/>
      <c r="R1245" s="52"/>
      <c r="S1245" s="52"/>
      <c r="T1245" s="52"/>
      <c r="U1245" s="52"/>
      <c r="V1245" s="52"/>
      <c r="W1245" s="52"/>
      <c r="X1245" s="52"/>
      <c r="Y1245" s="52"/>
      <c r="Z1245" s="52"/>
      <c r="AA1245" s="52"/>
      <c r="AB1245" s="52"/>
      <c r="AC1245" s="52"/>
      <c r="AD1245" s="52"/>
      <c r="AE1245" s="52"/>
      <c r="AF1245" s="52"/>
      <c r="AG1245" s="52"/>
      <c r="AH1245" s="52"/>
      <c r="AI1245" s="53"/>
      <c r="AJ1245" s="53"/>
      <c r="AK1245" s="53"/>
      <c r="AL1245" s="55"/>
      <c r="AM1245" s="52"/>
      <c r="AN1245" s="55"/>
      <c r="AO1245" s="52"/>
      <c r="AP1245" s="55"/>
      <c r="AQ1245" s="52"/>
      <c r="AR1245" s="52"/>
      <c r="AS1245" s="52"/>
      <c r="AT1245" s="52"/>
      <c r="AU1245" s="52"/>
      <c r="AV1245" s="52"/>
      <c r="AW1245" s="52"/>
    </row>
    <row r="1246" spans="1:49">
      <c r="A1246" s="52"/>
      <c r="B1246" s="52"/>
      <c r="C1246" s="52"/>
      <c r="D1246" s="53"/>
      <c r="E1246" s="53"/>
      <c r="F1246" s="53"/>
      <c r="G1246" s="53"/>
      <c r="H1246" s="52"/>
      <c r="I1246" s="52"/>
      <c r="J1246" s="52"/>
      <c r="K1246" s="53"/>
      <c r="L1246" s="52"/>
      <c r="M1246" s="54"/>
      <c r="N1246" s="54"/>
      <c r="O1246" s="52"/>
      <c r="P1246" s="52"/>
      <c r="Q1246" s="52"/>
      <c r="R1246" s="52"/>
      <c r="S1246" s="52"/>
      <c r="T1246" s="52"/>
      <c r="U1246" s="52"/>
      <c r="V1246" s="52"/>
      <c r="W1246" s="52"/>
      <c r="X1246" s="52"/>
      <c r="Y1246" s="52"/>
      <c r="Z1246" s="52"/>
      <c r="AA1246" s="52"/>
      <c r="AB1246" s="52"/>
      <c r="AC1246" s="52"/>
      <c r="AD1246" s="52"/>
      <c r="AE1246" s="52"/>
      <c r="AF1246" s="52"/>
      <c r="AG1246" s="52"/>
      <c r="AH1246" s="52"/>
      <c r="AI1246" s="52"/>
      <c r="AJ1246" s="52"/>
      <c r="AK1246" s="52"/>
      <c r="AL1246" s="55"/>
      <c r="AM1246" s="52"/>
      <c r="AN1246" s="52"/>
      <c r="AO1246" s="52"/>
      <c r="AP1246" s="52"/>
      <c r="AQ1246" s="52"/>
      <c r="AR1246" s="52"/>
      <c r="AS1246" s="52"/>
      <c r="AT1246" s="52"/>
      <c r="AU1246" s="52"/>
      <c r="AV1246" s="52"/>
      <c r="AW1246" s="52"/>
    </row>
    <row r="1247" spans="1:49">
      <c r="A1247" s="52"/>
      <c r="B1247" s="52"/>
      <c r="C1247" s="52"/>
      <c r="D1247" s="53"/>
      <c r="E1247" s="53"/>
      <c r="F1247" s="53"/>
      <c r="G1247" s="53"/>
      <c r="H1247" s="52"/>
      <c r="I1247" s="52"/>
      <c r="J1247" s="52"/>
      <c r="K1247" s="53"/>
      <c r="L1247" s="52"/>
      <c r="M1247" s="54"/>
      <c r="N1247" s="54"/>
      <c r="O1247" s="52"/>
      <c r="P1247" s="52"/>
      <c r="Q1247" s="52"/>
      <c r="R1247" s="52"/>
      <c r="S1247" s="52"/>
      <c r="T1247" s="52"/>
      <c r="U1247" s="52"/>
      <c r="V1247" s="52"/>
      <c r="W1247" s="52"/>
      <c r="X1247" s="52"/>
      <c r="Y1247" s="52"/>
      <c r="Z1247" s="52"/>
      <c r="AA1247" s="52"/>
      <c r="AB1247" s="52"/>
      <c r="AC1247" s="52"/>
      <c r="AD1247" s="52"/>
      <c r="AE1247" s="52"/>
      <c r="AF1247" s="52"/>
      <c r="AG1247" s="52"/>
      <c r="AH1247" s="52"/>
      <c r="AI1247" s="53"/>
      <c r="AJ1247" s="53"/>
      <c r="AK1247" s="53"/>
      <c r="AL1247" s="55"/>
      <c r="AM1247" s="52"/>
      <c r="AN1247" s="55"/>
      <c r="AO1247" s="52"/>
      <c r="AP1247" s="55"/>
      <c r="AQ1247" s="52"/>
      <c r="AR1247" s="52"/>
      <c r="AS1247" s="52"/>
      <c r="AT1247" s="52"/>
      <c r="AU1247" s="52"/>
      <c r="AV1247" s="52"/>
      <c r="AW1247" s="52"/>
    </row>
    <row r="1248" spans="1:49">
      <c r="A1248" s="52"/>
      <c r="B1248" s="52"/>
      <c r="C1248" s="52"/>
      <c r="D1248" s="53"/>
      <c r="E1248" s="53"/>
      <c r="F1248" s="53"/>
      <c r="G1248" s="53"/>
      <c r="H1248" s="52"/>
      <c r="I1248" s="52"/>
      <c r="J1248" s="52"/>
      <c r="K1248" s="53"/>
      <c r="L1248" s="52"/>
      <c r="M1248" s="54"/>
      <c r="N1248" s="54"/>
      <c r="O1248" s="52"/>
      <c r="P1248" s="52"/>
      <c r="Q1248" s="52"/>
      <c r="R1248" s="52"/>
      <c r="S1248" s="52"/>
      <c r="T1248" s="52"/>
      <c r="U1248" s="52"/>
      <c r="V1248" s="52"/>
      <c r="W1248" s="52"/>
      <c r="X1248" s="52"/>
      <c r="Y1248" s="52"/>
      <c r="Z1248" s="52"/>
      <c r="AA1248" s="52"/>
      <c r="AB1248" s="52"/>
      <c r="AC1248" s="52"/>
      <c r="AD1248" s="52"/>
      <c r="AE1248" s="52"/>
      <c r="AF1248" s="52"/>
      <c r="AG1248" s="52"/>
      <c r="AH1248" s="52"/>
      <c r="AI1248" s="53"/>
      <c r="AJ1248" s="53"/>
      <c r="AK1248" s="53"/>
      <c r="AL1248" s="55"/>
      <c r="AM1248" s="52"/>
      <c r="AN1248" s="55"/>
      <c r="AO1248" s="52"/>
      <c r="AP1248" s="55"/>
      <c r="AQ1248" s="52"/>
      <c r="AR1248" s="52"/>
      <c r="AS1248" s="52"/>
      <c r="AT1248" s="52"/>
      <c r="AU1248" s="52"/>
      <c r="AV1248" s="52"/>
      <c r="AW1248" s="52"/>
    </row>
    <row r="1249" spans="1:49">
      <c r="A1249" s="52"/>
      <c r="B1249" s="52"/>
      <c r="C1249" s="52"/>
      <c r="D1249" s="53"/>
      <c r="E1249" s="53"/>
      <c r="F1249" s="53"/>
      <c r="G1249" s="53"/>
      <c r="H1249" s="53"/>
      <c r="I1249" s="52"/>
      <c r="J1249" s="52"/>
      <c r="K1249" s="53"/>
      <c r="L1249" s="52"/>
      <c r="M1249" s="55"/>
      <c r="N1249" s="54"/>
      <c r="O1249" s="52"/>
      <c r="P1249" s="52"/>
      <c r="Q1249" s="52"/>
      <c r="R1249" s="52"/>
      <c r="S1249" s="52"/>
      <c r="T1249" s="52"/>
      <c r="U1249" s="52"/>
      <c r="V1249" s="52"/>
      <c r="W1249" s="52"/>
      <c r="X1249" s="52"/>
      <c r="Y1249" s="52"/>
      <c r="Z1249" s="52"/>
      <c r="AA1249" s="52"/>
      <c r="AB1249" s="52"/>
      <c r="AC1249" s="52"/>
      <c r="AD1249" s="52"/>
      <c r="AE1249" s="52"/>
      <c r="AF1249" s="52"/>
      <c r="AG1249" s="52"/>
      <c r="AH1249" s="52"/>
      <c r="AI1249" s="52"/>
      <c r="AJ1249" s="52"/>
      <c r="AK1249" s="52"/>
      <c r="AL1249" s="52"/>
      <c r="AM1249" s="52"/>
      <c r="AN1249" s="52"/>
      <c r="AO1249" s="52"/>
      <c r="AP1249" s="52"/>
      <c r="AQ1249" s="52"/>
      <c r="AR1249" s="52"/>
      <c r="AS1249" s="52"/>
      <c r="AT1249" s="52"/>
      <c r="AU1249" s="52"/>
      <c r="AV1249" s="52"/>
      <c r="AW1249" s="52"/>
    </row>
    <row r="1250" spans="1:49">
      <c r="A1250" s="52"/>
      <c r="B1250" s="52"/>
      <c r="C1250" s="52"/>
      <c r="D1250" s="53"/>
      <c r="E1250" s="53"/>
      <c r="F1250" s="53"/>
      <c r="G1250" s="53"/>
      <c r="H1250" s="53"/>
      <c r="I1250" s="52"/>
      <c r="J1250" s="52"/>
      <c r="K1250" s="53"/>
      <c r="L1250" s="52"/>
      <c r="M1250" s="54"/>
      <c r="N1250" s="54"/>
      <c r="O1250" s="52"/>
      <c r="P1250" s="52"/>
      <c r="Q1250" s="52"/>
      <c r="R1250" s="52"/>
      <c r="S1250" s="52"/>
      <c r="T1250" s="52"/>
      <c r="U1250" s="52"/>
      <c r="V1250" s="52"/>
      <c r="W1250" s="52"/>
      <c r="X1250" s="52"/>
      <c r="Y1250" s="52"/>
      <c r="Z1250" s="52"/>
      <c r="AA1250" s="52"/>
      <c r="AB1250" s="52"/>
      <c r="AC1250" s="52"/>
      <c r="AD1250" s="52"/>
      <c r="AE1250" s="52"/>
      <c r="AF1250" s="52"/>
      <c r="AG1250" s="52"/>
      <c r="AH1250" s="52"/>
      <c r="AI1250" s="52"/>
      <c r="AJ1250" s="52"/>
      <c r="AK1250" s="52"/>
      <c r="AL1250" s="55"/>
      <c r="AM1250" s="52"/>
      <c r="AN1250" s="52"/>
      <c r="AO1250" s="55"/>
      <c r="AP1250" s="55"/>
      <c r="AQ1250" s="52"/>
      <c r="AR1250" s="52"/>
      <c r="AS1250" s="52"/>
      <c r="AT1250" s="52"/>
      <c r="AU1250" s="52"/>
      <c r="AV1250" s="52"/>
      <c r="AW1250" s="52"/>
    </row>
    <row r="1251" spans="1:49">
      <c r="A1251" s="52"/>
      <c r="B1251" s="52"/>
      <c r="C1251" s="52"/>
      <c r="D1251" s="53"/>
      <c r="E1251" s="53"/>
      <c r="F1251" s="53"/>
      <c r="G1251" s="53"/>
      <c r="H1251" s="53"/>
      <c r="I1251" s="52"/>
      <c r="J1251" s="52"/>
      <c r="K1251" s="53"/>
      <c r="L1251" s="52"/>
      <c r="M1251" s="54"/>
      <c r="N1251" s="54"/>
      <c r="O1251" s="52"/>
      <c r="P1251" s="52"/>
      <c r="Q1251" s="52"/>
      <c r="R1251" s="52"/>
      <c r="S1251" s="52"/>
      <c r="T1251" s="52"/>
      <c r="U1251" s="52"/>
      <c r="V1251" s="52"/>
      <c r="W1251" s="52"/>
      <c r="X1251" s="52"/>
      <c r="Y1251" s="52"/>
      <c r="Z1251" s="52"/>
      <c r="AA1251" s="52"/>
      <c r="AB1251" s="52"/>
      <c r="AC1251" s="52"/>
      <c r="AD1251" s="52"/>
      <c r="AE1251" s="52"/>
      <c r="AF1251" s="52"/>
      <c r="AG1251" s="52"/>
      <c r="AH1251" s="52"/>
      <c r="AI1251" s="52"/>
      <c r="AJ1251" s="52"/>
      <c r="AK1251" s="52"/>
      <c r="AL1251" s="55"/>
      <c r="AM1251" s="52"/>
      <c r="AN1251" s="52"/>
      <c r="AO1251" s="55"/>
      <c r="AP1251" s="55"/>
      <c r="AQ1251" s="52"/>
      <c r="AR1251" s="52"/>
      <c r="AS1251" s="52"/>
      <c r="AT1251" s="52"/>
      <c r="AU1251" s="52"/>
      <c r="AV1251" s="52"/>
      <c r="AW1251" s="52"/>
    </row>
    <row r="1252" spans="1:49">
      <c r="A1252" s="52"/>
      <c r="B1252" s="52"/>
      <c r="C1252" s="52"/>
      <c r="D1252" s="53"/>
      <c r="E1252" s="53"/>
      <c r="F1252" s="52"/>
      <c r="G1252" s="52"/>
      <c r="H1252" s="52"/>
      <c r="I1252" s="52"/>
      <c r="J1252" s="52"/>
      <c r="K1252" s="52"/>
      <c r="L1252" s="52"/>
      <c r="M1252" s="55"/>
      <c r="N1252" s="54"/>
      <c r="O1252" s="52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/>
      <c r="AA1252" s="52"/>
      <c r="AB1252" s="52"/>
      <c r="AC1252" s="52"/>
      <c r="AD1252" s="52"/>
      <c r="AE1252" s="52"/>
      <c r="AF1252" s="52"/>
      <c r="AG1252" s="52"/>
      <c r="AH1252" s="52"/>
      <c r="AI1252" s="52"/>
      <c r="AJ1252" s="52"/>
      <c r="AK1252" s="52"/>
      <c r="AL1252" s="52"/>
      <c r="AM1252" s="52"/>
      <c r="AN1252" s="52"/>
      <c r="AO1252" s="52"/>
      <c r="AP1252" s="52"/>
      <c r="AQ1252" s="52"/>
      <c r="AR1252" s="52"/>
      <c r="AS1252" s="52"/>
      <c r="AT1252" s="52"/>
      <c r="AU1252" s="52"/>
      <c r="AV1252" s="52"/>
      <c r="AW1252" s="52"/>
    </row>
    <row r="1253" spans="1:49">
      <c r="A1253" s="52"/>
      <c r="B1253" s="52"/>
      <c r="C1253" s="52"/>
      <c r="D1253" s="53"/>
      <c r="E1253" s="53"/>
      <c r="F1253" s="52"/>
      <c r="G1253" s="52"/>
      <c r="H1253" s="52"/>
      <c r="I1253" s="52"/>
      <c r="J1253" s="52"/>
      <c r="K1253" s="52"/>
      <c r="L1253" s="52"/>
      <c r="M1253" s="52"/>
      <c r="N1253" s="52"/>
      <c r="O1253" s="52"/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  <c r="Z1253" s="52"/>
      <c r="AA1253" s="52"/>
      <c r="AB1253" s="52"/>
      <c r="AC1253" s="52"/>
      <c r="AD1253" s="52"/>
      <c r="AE1253" s="52"/>
      <c r="AF1253" s="52"/>
      <c r="AG1253" s="52"/>
      <c r="AH1253" s="52"/>
      <c r="AI1253" s="52"/>
      <c r="AJ1253" s="52"/>
      <c r="AK1253" s="52"/>
      <c r="AL1253" s="52"/>
      <c r="AM1253" s="52"/>
      <c r="AN1253" s="52"/>
      <c r="AO1253" s="52"/>
      <c r="AP1253" s="52"/>
      <c r="AQ1253" s="52"/>
      <c r="AR1253" s="52"/>
      <c r="AS1253" s="52"/>
      <c r="AT1253" s="52"/>
      <c r="AU1253" s="52"/>
      <c r="AV1253" s="52"/>
      <c r="AW1253" s="52"/>
    </row>
    <row r="1254" spans="1:49">
      <c r="A1254" s="52"/>
      <c r="B1254" s="52"/>
      <c r="C1254" s="52"/>
      <c r="D1254" s="53"/>
      <c r="E1254" s="53"/>
      <c r="F1254" s="52"/>
      <c r="G1254" s="52"/>
      <c r="H1254" s="52"/>
      <c r="I1254" s="52"/>
      <c r="J1254" s="52"/>
      <c r="K1254" s="52"/>
      <c r="L1254" s="52"/>
      <c r="M1254" s="55"/>
      <c r="N1254" s="54"/>
      <c r="O1254" s="52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  <c r="AA1254" s="52"/>
      <c r="AB1254" s="52"/>
      <c r="AC1254" s="52"/>
      <c r="AD1254" s="52"/>
      <c r="AE1254" s="52"/>
      <c r="AF1254" s="52"/>
      <c r="AG1254" s="52"/>
      <c r="AH1254" s="52"/>
      <c r="AI1254" s="52"/>
      <c r="AJ1254" s="52"/>
      <c r="AK1254" s="52"/>
      <c r="AL1254" s="52"/>
      <c r="AM1254" s="52"/>
      <c r="AN1254" s="52"/>
      <c r="AO1254" s="52"/>
      <c r="AP1254" s="52"/>
      <c r="AQ1254" s="52"/>
      <c r="AR1254" s="52"/>
      <c r="AS1254" s="52"/>
      <c r="AT1254" s="52"/>
      <c r="AU1254" s="52"/>
      <c r="AV1254" s="52"/>
      <c r="AW1254" s="52"/>
    </row>
    <row r="1255" spans="1:49">
      <c r="A1255" s="52"/>
      <c r="B1255" s="52"/>
      <c r="C1255" s="52"/>
      <c r="D1255" s="53"/>
      <c r="E1255" s="53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  <c r="AA1255" s="52"/>
      <c r="AB1255" s="52"/>
      <c r="AC1255" s="52"/>
      <c r="AD1255" s="52"/>
      <c r="AE1255" s="52"/>
      <c r="AF1255" s="52"/>
      <c r="AG1255" s="52"/>
      <c r="AH1255" s="52"/>
      <c r="AI1255" s="52"/>
      <c r="AJ1255" s="52"/>
      <c r="AK1255" s="52"/>
      <c r="AL1255" s="52"/>
      <c r="AM1255" s="52"/>
      <c r="AN1255" s="52"/>
      <c r="AO1255" s="52"/>
      <c r="AP1255" s="52"/>
      <c r="AQ1255" s="52"/>
      <c r="AR1255" s="52"/>
      <c r="AS1255" s="52"/>
      <c r="AT1255" s="52"/>
      <c r="AU1255" s="52"/>
      <c r="AV1255" s="52"/>
      <c r="AW1255" s="52"/>
    </row>
    <row r="1256" spans="1:49">
      <c r="A1256" s="52"/>
      <c r="B1256" s="52"/>
      <c r="C1256" s="52"/>
      <c r="D1256" s="53"/>
      <c r="E1256" s="53"/>
      <c r="F1256" s="52"/>
      <c r="G1256" s="52"/>
      <c r="H1256" s="52"/>
      <c r="I1256" s="52"/>
      <c r="J1256" s="52"/>
      <c r="K1256" s="52"/>
      <c r="L1256" s="52"/>
      <c r="M1256" s="55"/>
      <c r="N1256" s="54"/>
      <c r="O1256" s="52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  <c r="AA1256" s="52"/>
      <c r="AB1256" s="52"/>
      <c r="AC1256" s="52"/>
      <c r="AD1256" s="52"/>
      <c r="AE1256" s="52"/>
      <c r="AF1256" s="52"/>
      <c r="AG1256" s="52"/>
      <c r="AH1256" s="52"/>
      <c r="AI1256" s="52"/>
      <c r="AJ1256" s="52"/>
      <c r="AK1256" s="52"/>
      <c r="AL1256" s="52"/>
      <c r="AM1256" s="52"/>
      <c r="AN1256" s="52"/>
      <c r="AO1256" s="52"/>
      <c r="AP1256" s="52"/>
      <c r="AQ1256" s="52"/>
      <c r="AR1256" s="52"/>
      <c r="AS1256" s="52"/>
      <c r="AT1256" s="52"/>
      <c r="AU1256" s="52"/>
      <c r="AV1256" s="52"/>
      <c r="AW1256" s="52"/>
    </row>
    <row r="1257" spans="1:49">
      <c r="A1257" s="52"/>
      <c r="B1257" s="52"/>
      <c r="C1257" s="52"/>
      <c r="D1257" s="53"/>
      <c r="E1257" s="53"/>
      <c r="F1257" s="52"/>
      <c r="G1257" s="52"/>
      <c r="H1257" s="52"/>
      <c r="I1257" s="52"/>
      <c r="J1257" s="52"/>
      <c r="K1257" s="52"/>
      <c r="L1257" s="52"/>
      <c r="M1257" s="52"/>
      <c r="N1257" s="52"/>
      <c r="O1257" s="52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  <c r="AA1257" s="52"/>
      <c r="AB1257" s="52"/>
      <c r="AC1257" s="52"/>
      <c r="AD1257" s="52"/>
      <c r="AE1257" s="52"/>
      <c r="AF1257" s="52"/>
      <c r="AG1257" s="52"/>
      <c r="AH1257" s="52"/>
      <c r="AI1257" s="52"/>
      <c r="AJ1257" s="52"/>
      <c r="AK1257" s="52"/>
      <c r="AL1257" s="52"/>
      <c r="AM1257" s="52"/>
      <c r="AN1257" s="52"/>
      <c r="AO1257" s="52"/>
      <c r="AP1257" s="52"/>
      <c r="AQ1257" s="52"/>
      <c r="AR1257" s="52"/>
      <c r="AS1257" s="52"/>
      <c r="AT1257" s="52"/>
      <c r="AU1257" s="52"/>
      <c r="AV1257" s="52"/>
      <c r="AW1257" s="52"/>
    </row>
    <row r="1258" spans="1:49">
      <c r="A1258" s="52"/>
      <c r="B1258" s="52"/>
      <c r="C1258" s="52"/>
      <c r="D1258" s="53"/>
      <c r="E1258" s="53"/>
      <c r="F1258" s="52"/>
      <c r="G1258" s="52"/>
      <c r="H1258" s="52"/>
      <c r="I1258" s="52"/>
      <c r="J1258" s="52"/>
      <c r="K1258" s="52"/>
      <c r="L1258" s="52"/>
      <c r="M1258" s="55"/>
      <c r="N1258" s="54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  <c r="AA1258" s="52"/>
      <c r="AB1258" s="52"/>
      <c r="AC1258" s="52"/>
      <c r="AD1258" s="52"/>
      <c r="AE1258" s="52"/>
      <c r="AF1258" s="52"/>
      <c r="AG1258" s="52"/>
      <c r="AH1258" s="52"/>
      <c r="AI1258" s="52"/>
      <c r="AJ1258" s="52"/>
      <c r="AK1258" s="52"/>
      <c r="AL1258" s="52"/>
      <c r="AM1258" s="52"/>
      <c r="AN1258" s="52"/>
      <c r="AO1258" s="52"/>
      <c r="AP1258" s="52"/>
      <c r="AQ1258" s="52"/>
      <c r="AR1258" s="52"/>
      <c r="AS1258" s="52"/>
      <c r="AT1258" s="52"/>
      <c r="AU1258" s="52"/>
      <c r="AV1258" s="52"/>
      <c r="AW1258" s="52"/>
    </row>
    <row r="1259" spans="1:49">
      <c r="A1259" s="52"/>
      <c r="B1259" s="52"/>
      <c r="C1259" s="52"/>
      <c r="D1259" s="53"/>
      <c r="E1259" s="53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  <c r="AA1259" s="52"/>
      <c r="AB1259" s="52"/>
      <c r="AC1259" s="52"/>
      <c r="AD1259" s="52"/>
      <c r="AE1259" s="52"/>
      <c r="AF1259" s="52"/>
      <c r="AG1259" s="52"/>
      <c r="AH1259" s="52"/>
      <c r="AI1259" s="52"/>
      <c r="AJ1259" s="52"/>
      <c r="AK1259" s="52"/>
      <c r="AL1259" s="52"/>
      <c r="AM1259" s="52"/>
      <c r="AN1259" s="52"/>
      <c r="AO1259" s="52"/>
      <c r="AP1259" s="52"/>
      <c r="AQ1259" s="52"/>
      <c r="AR1259" s="52"/>
      <c r="AS1259" s="52"/>
      <c r="AT1259" s="52"/>
      <c r="AU1259" s="52"/>
      <c r="AV1259" s="52"/>
      <c r="AW1259" s="52"/>
    </row>
    <row r="1260" spans="1:49">
      <c r="A1260" s="52"/>
      <c r="B1260" s="52"/>
      <c r="C1260" s="52"/>
      <c r="D1260" s="53"/>
      <c r="E1260" s="53"/>
      <c r="F1260" s="52"/>
      <c r="G1260" s="52"/>
      <c r="H1260" s="52"/>
      <c r="I1260" s="52"/>
      <c r="J1260" s="52"/>
      <c r="K1260" s="52"/>
      <c r="L1260" s="52"/>
      <c r="M1260" s="55"/>
      <c r="N1260" s="54"/>
      <c r="O1260" s="52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  <c r="AA1260" s="52"/>
      <c r="AB1260" s="52"/>
      <c r="AC1260" s="52"/>
      <c r="AD1260" s="52"/>
      <c r="AE1260" s="52"/>
      <c r="AF1260" s="52"/>
      <c r="AG1260" s="52"/>
      <c r="AH1260" s="52"/>
      <c r="AI1260" s="52"/>
      <c r="AJ1260" s="52"/>
      <c r="AK1260" s="52"/>
      <c r="AL1260" s="52"/>
      <c r="AM1260" s="52"/>
      <c r="AN1260" s="52"/>
      <c r="AO1260" s="52"/>
      <c r="AP1260" s="52"/>
      <c r="AQ1260" s="52"/>
      <c r="AR1260" s="52"/>
      <c r="AS1260" s="52"/>
      <c r="AT1260" s="52"/>
      <c r="AU1260" s="52"/>
      <c r="AV1260" s="52"/>
      <c r="AW1260" s="52"/>
    </row>
    <row r="1261" spans="1:49">
      <c r="A1261" s="52"/>
      <c r="B1261" s="52"/>
      <c r="C1261" s="52"/>
      <c r="D1261" s="53"/>
      <c r="E1261" s="53"/>
      <c r="F1261" s="52"/>
      <c r="G1261" s="52"/>
      <c r="H1261" s="52"/>
      <c r="I1261" s="52"/>
      <c r="J1261" s="52"/>
      <c r="K1261" s="52"/>
      <c r="L1261" s="52"/>
      <c r="M1261" s="52"/>
      <c r="N1261" s="52"/>
      <c r="O1261" s="52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  <c r="AA1261" s="52"/>
      <c r="AB1261" s="52"/>
      <c r="AC1261" s="52"/>
      <c r="AD1261" s="52"/>
      <c r="AE1261" s="52"/>
      <c r="AF1261" s="52"/>
      <c r="AG1261" s="52"/>
      <c r="AH1261" s="52"/>
      <c r="AI1261" s="52"/>
      <c r="AJ1261" s="52"/>
      <c r="AK1261" s="52"/>
      <c r="AL1261" s="52"/>
      <c r="AM1261" s="52"/>
      <c r="AN1261" s="52"/>
      <c r="AO1261" s="52"/>
      <c r="AP1261" s="52"/>
      <c r="AQ1261" s="52"/>
      <c r="AR1261" s="52"/>
      <c r="AS1261" s="52"/>
      <c r="AT1261" s="52"/>
      <c r="AU1261" s="52"/>
      <c r="AV1261" s="52"/>
      <c r="AW1261" s="52"/>
    </row>
    <row r="1262" spans="1:49">
      <c r="A1262" s="52"/>
      <c r="B1262" s="52"/>
      <c r="C1262" s="52"/>
      <c r="D1262" s="53"/>
      <c r="E1262" s="53"/>
      <c r="F1262" s="53"/>
      <c r="G1262" s="53"/>
      <c r="H1262" s="53"/>
      <c r="I1262" s="52"/>
      <c r="J1262" s="52"/>
      <c r="K1262" s="53"/>
      <c r="L1262" s="52"/>
      <c r="M1262" s="55"/>
      <c r="N1262" s="54"/>
      <c r="O1262" s="52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  <c r="AA1262" s="52"/>
      <c r="AB1262" s="52"/>
      <c r="AC1262" s="52"/>
      <c r="AD1262" s="52"/>
      <c r="AE1262" s="52"/>
      <c r="AF1262" s="52"/>
      <c r="AG1262" s="52"/>
      <c r="AH1262" s="52"/>
      <c r="AI1262" s="52"/>
      <c r="AJ1262" s="52"/>
      <c r="AK1262" s="52"/>
      <c r="AL1262" s="55"/>
      <c r="AM1262" s="52"/>
      <c r="AN1262" s="52"/>
      <c r="AO1262" s="52"/>
      <c r="AP1262" s="52"/>
      <c r="AQ1262" s="52"/>
      <c r="AR1262" s="52"/>
      <c r="AS1262" s="52"/>
      <c r="AT1262" s="52"/>
      <c r="AU1262" s="52"/>
      <c r="AV1262" s="52"/>
      <c r="AW1262" s="52"/>
    </row>
    <row r="1263" spans="1:49">
      <c r="A1263" s="52"/>
      <c r="B1263" s="52"/>
      <c r="C1263" s="52"/>
      <c r="D1263" s="53"/>
      <c r="E1263" s="53"/>
      <c r="F1263" s="53"/>
      <c r="G1263" s="53"/>
      <c r="H1263" s="53"/>
      <c r="I1263" s="52"/>
      <c r="J1263" s="52"/>
      <c r="K1263" s="53"/>
      <c r="L1263" s="52"/>
      <c r="M1263" s="54"/>
      <c r="N1263" s="54"/>
      <c r="O1263" s="52"/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  <c r="AA1263" s="52"/>
      <c r="AB1263" s="52"/>
      <c r="AC1263" s="52"/>
      <c r="AD1263" s="52"/>
      <c r="AE1263" s="52"/>
      <c r="AF1263" s="52"/>
      <c r="AG1263" s="52"/>
      <c r="AH1263" s="52"/>
      <c r="AI1263" s="53"/>
      <c r="AJ1263" s="53"/>
      <c r="AK1263" s="53"/>
      <c r="AL1263" s="55"/>
      <c r="AM1263" s="52"/>
      <c r="AN1263" s="55"/>
      <c r="AO1263" s="52"/>
      <c r="AP1263" s="55"/>
      <c r="AQ1263" s="52"/>
      <c r="AR1263" s="52"/>
      <c r="AS1263" s="52"/>
      <c r="AT1263" s="52"/>
      <c r="AU1263" s="52"/>
      <c r="AV1263" s="52"/>
      <c r="AW1263" s="52"/>
    </row>
    <row r="1264" spans="1:49">
      <c r="A1264" s="52"/>
      <c r="B1264" s="52"/>
      <c r="C1264" s="52"/>
      <c r="D1264" s="53"/>
      <c r="E1264" s="53"/>
      <c r="F1264" s="53"/>
      <c r="G1264" s="53"/>
      <c r="H1264" s="53"/>
      <c r="I1264" s="52"/>
      <c r="J1264" s="52"/>
      <c r="K1264" s="53"/>
      <c r="L1264" s="52"/>
      <c r="M1264" s="54"/>
      <c r="N1264" s="54"/>
      <c r="O1264" s="52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  <c r="AA1264" s="52"/>
      <c r="AB1264" s="52"/>
      <c r="AC1264" s="52"/>
      <c r="AD1264" s="52"/>
      <c r="AE1264" s="52"/>
      <c r="AF1264" s="52"/>
      <c r="AG1264" s="52"/>
      <c r="AH1264" s="52"/>
      <c r="AI1264" s="53"/>
      <c r="AJ1264" s="53"/>
      <c r="AK1264" s="53"/>
      <c r="AL1264" s="55"/>
      <c r="AM1264" s="52"/>
      <c r="AN1264" s="55"/>
      <c r="AO1264" s="52"/>
      <c r="AP1264" s="55"/>
      <c r="AQ1264" s="52"/>
      <c r="AR1264" s="52"/>
      <c r="AS1264" s="52"/>
      <c r="AT1264" s="52"/>
      <c r="AU1264" s="52"/>
      <c r="AV1264" s="52"/>
      <c r="AW1264" s="52"/>
    </row>
    <row r="1265" spans="1:49">
      <c r="A1265" s="52"/>
      <c r="B1265" s="52"/>
      <c r="C1265" s="52"/>
      <c r="D1265" s="53"/>
      <c r="E1265" s="53"/>
      <c r="F1265" s="53"/>
      <c r="G1265" s="53"/>
      <c r="H1265" s="52"/>
      <c r="I1265" s="52"/>
      <c r="J1265" s="52"/>
      <c r="K1265" s="53"/>
      <c r="L1265" s="52"/>
      <c r="M1265" s="54"/>
      <c r="N1265" s="54"/>
      <c r="O1265" s="52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  <c r="AA1265" s="52"/>
      <c r="AB1265" s="52"/>
      <c r="AC1265" s="52"/>
      <c r="AD1265" s="52"/>
      <c r="AE1265" s="52"/>
      <c r="AF1265" s="52"/>
      <c r="AG1265" s="52"/>
      <c r="AH1265" s="52"/>
      <c r="AI1265" s="53"/>
      <c r="AJ1265" s="53"/>
      <c r="AK1265" s="53"/>
      <c r="AL1265" s="55"/>
      <c r="AM1265" s="52"/>
      <c r="AN1265" s="55"/>
      <c r="AO1265" s="52"/>
      <c r="AP1265" s="55"/>
      <c r="AQ1265" s="52"/>
      <c r="AR1265" s="52"/>
      <c r="AS1265" s="52"/>
      <c r="AT1265" s="52"/>
      <c r="AU1265" s="52"/>
      <c r="AV1265" s="52"/>
      <c r="AW1265" s="52"/>
    </row>
    <row r="1266" spans="1:49">
      <c r="A1266" s="52"/>
      <c r="B1266" s="52"/>
      <c r="C1266" s="52"/>
      <c r="D1266" s="53"/>
      <c r="E1266" s="53"/>
      <c r="F1266" s="53"/>
      <c r="G1266" s="53"/>
      <c r="H1266" s="52"/>
      <c r="I1266" s="52"/>
      <c r="J1266" s="52"/>
      <c r="K1266" s="53"/>
      <c r="L1266" s="52"/>
      <c r="M1266" s="54"/>
      <c r="N1266" s="54"/>
      <c r="O1266" s="52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  <c r="AA1266" s="52"/>
      <c r="AB1266" s="52"/>
      <c r="AC1266" s="52"/>
      <c r="AD1266" s="52"/>
      <c r="AE1266" s="52"/>
      <c r="AF1266" s="52"/>
      <c r="AG1266" s="52"/>
      <c r="AH1266" s="52"/>
      <c r="AI1266" s="53"/>
      <c r="AJ1266" s="53"/>
      <c r="AK1266" s="53"/>
      <c r="AL1266" s="55"/>
      <c r="AM1266" s="52"/>
      <c r="AN1266" s="55"/>
      <c r="AO1266" s="52"/>
      <c r="AP1266" s="55"/>
      <c r="AQ1266" s="52"/>
      <c r="AR1266" s="52"/>
      <c r="AS1266" s="52"/>
      <c r="AT1266" s="52"/>
      <c r="AU1266" s="52"/>
      <c r="AV1266" s="52"/>
      <c r="AW1266" s="52"/>
    </row>
    <row r="1267" spans="1:49">
      <c r="A1267" s="52"/>
      <c r="B1267" s="52"/>
      <c r="C1267" s="52"/>
      <c r="D1267" s="53"/>
      <c r="E1267" s="53"/>
      <c r="F1267" s="53"/>
      <c r="G1267" s="53"/>
      <c r="H1267" s="53"/>
      <c r="I1267" s="52"/>
      <c r="J1267" s="52"/>
      <c r="K1267" s="53"/>
      <c r="L1267" s="52"/>
      <c r="M1267" s="54"/>
      <c r="N1267" s="54"/>
      <c r="O1267" s="52"/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  <c r="AA1267" s="52"/>
      <c r="AB1267" s="52"/>
      <c r="AC1267" s="52"/>
      <c r="AD1267" s="52"/>
      <c r="AE1267" s="52"/>
      <c r="AF1267" s="52"/>
      <c r="AG1267" s="52"/>
      <c r="AH1267" s="52"/>
      <c r="AI1267" s="53"/>
      <c r="AJ1267" s="53"/>
      <c r="AK1267" s="53"/>
      <c r="AL1267" s="55"/>
      <c r="AM1267" s="52"/>
      <c r="AN1267" s="55"/>
      <c r="AO1267" s="52"/>
      <c r="AP1267" s="55"/>
      <c r="AQ1267" s="52"/>
      <c r="AR1267" s="52"/>
      <c r="AS1267" s="52"/>
      <c r="AT1267" s="52"/>
      <c r="AU1267" s="52"/>
      <c r="AV1267" s="52"/>
      <c r="AW1267" s="52"/>
    </row>
    <row r="1268" spans="1:49">
      <c r="A1268" s="52"/>
      <c r="B1268" s="52"/>
      <c r="C1268" s="52"/>
      <c r="D1268" s="53"/>
      <c r="E1268" s="53"/>
      <c r="F1268" s="53"/>
      <c r="G1268" s="53"/>
      <c r="H1268" s="53"/>
      <c r="I1268" s="52"/>
      <c r="J1268" s="52"/>
      <c r="K1268" s="53"/>
      <c r="L1268" s="52"/>
      <c r="M1268" s="54"/>
      <c r="N1268" s="54"/>
      <c r="O1268" s="52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  <c r="AA1268" s="52"/>
      <c r="AB1268" s="52"/>
      <c r="AC1268" s="52"/>
      <c r="AD1268" s="52"/>
      <c r="AE1268" s="52"/>
      <c r="AF1268" s="52"/>
      <c r="AG1268" s="52"/>
      <c r="AH1268" s="52"/>
      <c r="AI1268" s="53"/>
      <c r="AJ1268" s="53"/>
      <c r="AK1268" s="53"/>
      <c r="AL1268" s="55"/>
      <c r="AM1268" s="52"/>
      <c r="AN1268" s="55"/>
      <c r="AO1268" s="52"/>
      <c r="AP1268" s="55"/>
      <c r="AQ1268" s="52"/>
      <c r="AR1268" s="52"/>
      <c r="AS1268" s="52"/>
      <c r="AT1268" s="52"/>
      <c r="AU1268" s="52"/>
      <c r="AV1268" s="52"/>
      <c r="AW1268" s="52"/>
    </row>
    <row r="1269" spans="1:49">
      <c r="A1269" s="52"/>
      <c r="B1269" s="52"/>
      <c r="C1269" s="52"/>
      <c r="D1269" s="53"/>
      <c r="E1269" s="53"/>
      <c r="F1269" s="53"/>
      <c r="G1269" s="53"/>
      <c r="H1269" s="52"/>
      <c r="I1269" s="52"/>
      <c r="J1269" s="52"/>
      <c r="K1269" s="52"/>
      <c r="L1269" s="52"/>
      <c r="M1269" s="55"/>
      <c r="N1269" s="54"/>
      <c r="O1269" s="52"/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  <c r="AA1269" s="52"/>
      <c r="AB1269" s="52"/>
      <c r="AC1269" s="52"/>
      <c r="AD1269" s="52"/>
      <c r="AE1269" s="52"/>
      <c r="AF1269" s="52"/>
      <c r="AG1269" s="52"/>
      <c r="AH1269" s="52"/>
      <c r="AI1269" s="52"/>
      <c r="AJ1269" s="52"/>
      <c r="AK1269" s="52"/>
      <c r="AL1269" s="52"/>
      <c r="AM1269" s="52"/>
      <c r="AN1269" s="52"/>
      <c r="AO1269" s="52"/>
      <c r="AP1269" s="52"/>
      <c r="AQ1269" s="52"/>
      <c r="AR1269" s="52"/>
      <c r="AS1269" s="52"/>
      <c r="AT1269" s="52"/>
      <c r="AU1269" s="52"/>
      <c r="AV1269" s="52"/>
      <c r="AW1269" s="52"/>
    </row>
    <row r="1270" spans="1:49">
      <c r="A1270" s="52"/>
      <c r="B1270" s="52"/>
      <c r="C1270" s="52"/>
      <c r="D1270" s="53"/>
      <c r="E1270" s="53"/>
      <c r="F1270" s="53"/>
      <c r="G1270" s="53"/>
      <c r="H1270" s="52"/>
      <c r="I1270" s="52"/>
      <c r="J1270" s="52"/>
      <c r="K1270" s="52"/>
      <c r="L1270" s="52"/>
      <c r="M1270" s="54"/>
      <c r="N1270" s="54"/>
      <c r="O1270" s="52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  <c r="AA1270" s="52"/>
      <c r="AB1270" s="52"/>
      <c r="AC1270" s="52"/>
      <c r="AD1270" s="52"/>
      <c r="AE1270" s="52"/>
      <c r="AF1270" s="52"/>
      <c r="AG1270" s="52"/>
      <c r="AH1270" s="52"/>
      <c r="AI1270" s="52"/>
      <c r="AJ1270" s="52"/>
      <c r="AK1270" s="52"/>
      <c r="AL1270" s="52"/>
      <c r="AM1270" s="52"/>
      <c r="AN1270" s="52"/>
      <c r="AO1270" s="52"/>
      <c r="AP1270" s="52"/>
      <c r="AQ1270" s="52"/>
      <c r="AR1270" s="52"/>
      <c r="AS1270" s="52"/>
      <c r="AT1270" s="52"/>
      <c r="AU1270" s="52"/>
      <c r="AV1270" s="52"/>
      <c r="AW1270" s="52"/>
    </row>
    <row r="1271" spans="1:49">
      <c r="A1271" s="52"/>
      <c r="B1271" s="52"/>
      <c r="C1271" s="52"/>
      <c r="D1271" s="53"/>
      <c r="E1271" s="53"/>
      <c r="F1271" s="53"/>
      <c r="G1271" s="53"/>
      <c r="H1271" s="52"/>
      <c r="I1271" s="52"/>
      <c r="J1271" s="52"/>
      <c r="K1271" s="52"/>
      <c r="L1271" s="52"/>
      <c r="M1271" s="54"/>
      <c r="N1271" s="54"/>
      <c r="O1271" s="52"/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  <c r="AA1271" s="52"/>
      <c r="AB1271" s="52"/>
      <c r="AC1271" s="52"/>
      <c r="AD1271" s="52"/>
      <c r="AE1271" s="52"/>
      <c r="AF1271" s="52"/>
      <c r="AG1271" s="52"/>
      <c r="AH1271" s="52"/>
      <c r="AI1271" s="52"/>
      <c r="AJ1271" s="52"/>
      <c r="AK1271" s="52"/>
      <c r="AL1271" s="52"/>
      <c r="AM1271" s="52"/>
      <c r="AN1271" s="52"/>
      <c r="AO1271" s="52"/>
      <c r="AP1271" s="52"/>
      <c r="AQ1271" s="52"/>
      <c r="AR1271" s="52"/>
      <c r="AS1271" s="52"/>
      <c r="AT1271" s="52"/>
      <c r="AU1271" s="52"/>
      <c r="AV1271" s="52"/>
      <c r="AW1271" s="52"/>
    </row>
    <row r="1272" spans="1:49">
      <c r="A1272" s="52"/>
      <c r="B1272" s="52"/>
      <c r="C1272" s="52"/>
      <c r="D1272" s="53"/>
      <c r="E1272" s="53"/>
      <c r="F1272" s="53"/>
      <c r="G1272" s="53"/>
      <c r="H1272" s="53"/>
      <c r="I1272" s="52"/>
      <c r="J1272" s="52"/>
      <c r="K1272" s="52"/>
      <c r="L1272" s="52"/>
      <c r="M1272" s="54"/>
      <c r="N1272" s="54"/>
      <c r="O1272" s="52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  <c r="AA1272" s="52"/>
      <c r="AB1272" s="52"/>
      <c r="AC1272" s="52"/>
      <c r="AD1272" s="52"/>
      <c r="AE1272" s="52"/>
      <c r="AF1272" s="52"/>
      <c r="AG1272" s="52"/>
      <c r="AH1272" s="52"/>
      <c r="AI1272" s="52"/>
      <c r="AJ1272" s="52"/>
      <c r="AK1272" s="52"/>
      <c r="AL1272" s="55"/>
      <c r="AM1272" s="52"/>
      <c r="AN1272" s="52"/>
      <c r="AO1272" s="52"/>
      <c r="AP1272" s="55"/>
      <c r="AQ1272" s="52"/>
      <c r="AR1272" s="52"/>
      <c r="AS1272" s="52"/>
      <c r="AT1272" s="52"/>
      <c r="AU1272" s="52"/>
      <c r="AV1272" s="52"/>
      <c r="AW1272" s="52"/>
    </row>
    <row r="1273" spans="1:49">
      <c r="A1273" s="52"/>
      <c r="B1273" s="52"/>
      <c r="C1273" s="52"/>
      <c r="D1273" s="53"/>
      <c r="E1273" s="53"/>
      <c r="F1273" s="53"/>
      <c r="G1273" s="53"/>
      <c r="H1273" s="53"/>
      <c r="I1273" s="52"/>
      <c r="J1273" s="52"/>
      <c r="K1273" s="52"/>
      <c r="L1273" s="52"/>
      <c r="M1273" s="54"/>
      <c r="N1273" s="54"/>
      <c r="O1273" s="52"/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  <c r="AA1273" s="52"/>
      <c r="AB1273" s="52"/>
      <c r="AC1273" s="52"/>
      <c r="AD1273" s="52"/>
      <c r="AE1273" s="52"/>
      <c r="AF1273" s="52"/>
      <c r="AG1273" s="52"/>
      <c r="AH1273" s="52"/>
      <c r="AI1273" s="52"/>
      <c r="AJ1273" s="52"/>
      <c r="AK1273" s="52"/>
      <c r="AL1273" s="55"/>
      <c r="AM1273" s="52"/>
      <c r="AN1273" s="52"/>
      <c r="AO1273" s="52"/>
      <c r="AP1273" s="55"/>
      <c r="AQ1273" s="52"/>
      <c r="AR1273" s="52"/>
      <c r="AS1273" s="52"/>
      <c r="AT1273" s="52"/>
      <c r="AU1273" s="52"/>
      <c r="AV1273" s="52"/>
      <c r="AW1273" s="52"/>
    </row>
    <row r="1274" spans="1:49">
      <c r="A1274" s="52"/>
      <c r="B1274" s="52"/>
      <c r="C1274" s="52"/>
      <c r="D1274" s="53"/>
      <c r="E1274" s="53"/>
      <c r="F1274" s="52"/>
      <c r="G1274" s="52"/>
      <c r="H1274" s="52"/>
      <c r="I1274" s="52"/>
      <c r="J1274" s="52"/>
      <c r="K1274" s="52"/>
      <c r="L1274" s="52"/>
      <c r="M1274" s="54"/>
      <c r="N1274" s="54"/>
      <c r="O1274" s="52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  <c r="AA1274" s="52"/>
      <c r="AB1274" s="52"/>
      <c r="AC1274" s="52"/>
      <c r="AD1274" s="52"/>
      <c r="AE1274" s="52"/>
      <c r="AF1274" s="52"/>
      <c r="AG1274" s="52"/>
      <c r="AH1274" s="52"/>
      <c r="AI1274" s="52"/>
      <c r="AJ1274" s="52"/>
      <c r="AK1274" s="52"/>
      <c r="AL1274" s="52"/>
      <c r="AM1274" s="52"/>
      <c r="AN1274" s="52"/>
      <c r="AO1274" s="52"/>
      <c r="AP1274" s="52"/>
      <c r="AQ1274" s="52"/>
      <c r="AR1274" s="52"/>
      <c r="AS1274" s="52"/>
      <c r="AT1274" s="52"/>
      <c r="AU1274" s="52"/>
      <c r="AV1274" s="52"/>
      <c r="AW1274" s="52"/>
    </row>
    <row r="1275" spans="1:49">
      <c r="A1275" s="52"/>
      <c r="B1275" s="52"/>
      <c r="C1275" s="52"/>
      <c r="D1275" s="53"/>
      <c r="E1275" s="53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  <c r="AA1275" s="52"/>
      <c r="AB1275" s="52"/>
      <c r="AC1275" s="52"/>
      <c r="AD1275" s="52"/>
      <c r="AE1275" s="52"/>
      <c r="AF1275" s="52"/>
      <c r="AG1275" s="52"/>
      <c r="AH1275" s="52"/>
      <c r="AI1275" s="52"/>
      <c r="AJ1275" s="52"/>
      <c r="AK1275" s="52"/>
      <c r="AL1275" s="52"/>
      <c r="AM1275" s="52"/>
      <c r="AN1275" s="52"/>
      <c r="AO1275" s="52"/>
      <c r="AP1275" s="52"/>
      <c r="AQ1275" s="52"/>
      <c r="AR1275" s="52"/>
      <c r="AS1275" s="52"/>
      <c r="AT1275" s="52"/>
      <c r="AU1275" s="52"/>
      <c r="AV1275" s="52"/>
      <c r="AW1275" s="52"/>
    </row>
    <row r="1276" spans="1:49">
      <c r="A1276" s="52"/>
      <c r="B1276" s="52"/>
      <c r="C1276" s="52"/>
      <c r="D1276" s="53"/>
      <c r="E1276" s="53"/>
      <c r="F1276" s="53"/>
      <c r="G1276" s="53"/>
      <c r="H1276" s="52"/>
      <c r="I1276" s="52"/>
      <c r="J1276" s="52"/>
      <c r="K1276" s="53"/>
      <c r="L1276" s="52"/>
      <c r="M1276" s="54"/>
      <c r="N1276" s="54"/>
      <c r="O1276" s="52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  <c r="AA1276" s="52"/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5"/>
      <c r="AM1276" s="52"/>
      <c r="AN1276" s="52"/>
      <c r="AO1276" s="52"/>
      <c r="AP1276" s="52"/>
      <c r="AQ1276" s="52"/>
      <c r="AR1276" s="52"/>
      <c r="AS1276" s="52"/>
      <c r="AT1276" s="52"/>
      <c r="AU1276" s="52"/>
      <c r="AV1276" s="52"/>
      <c r="AW1276" s="52"/>
    </row>
    <row r="1277" spans="1:49">
      <c r="A1277" s="52"/>
      <c r="B1277" s="52"/>
      <c r="C1277" s="52"/>
      <c r="D1277" s="53"/>
      <c r="E1277" s="53"/>
      <c r="F1277" s="53"/>
      <c r="G1277" s="53"/>
      <c r="H1277" s="52"/>
      <c r="I1277" s="52"/>
      <c r="J1277" s="52"/>
      <c r="K1277" s="53"/>
      <c r="L1277" s="52"/>
      <c r="M1277" s="54"/>
      <c r="N1277" s="54"/>
      <c r="O1277" s="52"/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  <c r="AA1277" s="52"/>
      <c r="AB1277" s="52"/>
      <c r="AC1277" s="52"/>
      <c r="AD1277" s="52"/>
      <c r="AE1277" s="52"/>
      <c r="AF1277" s="52"/>
      <c r="AG1277" s="52"/>
      <c r="AH1277" s="52"/>
      <c r="AI1277" s="53"/>
      <c r="AJ1277" s="53"/>
      <c r="AK1277" s="53"/>
      <c r="AL1277" s="55"/>
      <c r="AM1277" s="52"/>
      <c r="AN1277" s="55"/>
      <c r="AO1277" s="52"/>
      <c r="AP1277" s="55"/>
      <c r="AQ1277" s="52"/>
      <c r="AR1277" s="52"/>
      <c r="AS1277" s="52"/>
      <c r="AT1277" s="52"/>
      <c r="AU1277" s="52"/>
      <c r="AV1277" s="52"/>
      <c r="AW1277" s="52"/>
    </row>
    <row r="1278" spans="1:49">
      <c r="A1278" s="52"/>
      <c r="B1278" s="52"/>
      <c r="C1278" s="52"/>
      <c r="D1278" s="53"/>
      <c r="E1278" s="53"/>
      <c r="F1278" s="53"/>
      <c r="G1278" s="53"/>
      <c r="H1278" s="52"/>
      <c r="I1278" s="52"/>
      <c r="J1278" s="52"/>
      <c r="K1278" s="53"/>
      <c r="L1278" s="52"/>
      <c r="M1278" s="54"/>
      <c r="N1278" s="54"/>
      <c r="O1278" s="52"/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  <c r="AA1278" s="52"/>
      <c r="AB1278" s="52"/>
      <c r="AC1278" s="52"/>
      <c r="AD1278" s="52"/>
      <c r="AE1278" s="52"/>
      <c r="AF1278" s="52"/>
      <c r="AG1278" s="52"/>
      <c r="AH1278" s="52"/>
      <c r="AI1278" s="53"/>
      <c r="AJ1278" s="53"/>
      <c r="AK1278" s="53"/>
      <c r="AL1278" s="55"/>
      <c r="AM1278" s="52"/>
      <c r="AN1278" s="55"/>
      <c r="AO1278" s="52"/>
      <c r="AP1278" s="55"/>
      <c r="AQ1278" s="52"/>
      <c r="AR1278" s="52"/>
      <c r="AS1278" s="52"/>
      <c r="AT1278" s="52"/>
      <c r="AU1278" s="52"/>
      <c r="AV1278" s="52"/>
      <c r="AW1278" s="52"/>
    </row>
    <row r="1279" spans="1:49">
      <c r="A1279" s="52"/>
      <c r="B1279" s="52"/>
      <c r="C1279" s="52"/>
      <c r="D1279" s="53"/>
      <c r="E1279" s="53"/>
      <c r="F1279" s="53"/>
      <c r="G1279" s="53"/>
      <c r="H1279" s="53"/>
      <c r="I1279" s="52"/>
      <c r="J1279" s="52"/>
      <c r="K1279" s="53"/>
      <c r="L1279" s="52"/>
      <c r="M1279" s="54"/>
      <c r="N1279" s="54"/>
      <c r="O1279" s="52"/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  <c r="AA1279" s="52"/>
      <c r="AB1279" s="52"/>
      <c r="AC1279" s="52"/>
      <c r="AD1279" s="52"/>
      <c r="AE1279" s="52"/>
      <c r="AF1279" s="52"/>
      <c r="AG1279" s="52"/>
      <c r="AH1279" s="52"/>
      <c r="AI1279" s="53"/>
      <c r="AJ1279" s="53"/>
      <c r="AK1279" s="53"/>
      <c r="AL1279" s="55"/>
      <c r="AM1279" s="52"/>
      <c r="AN1279" s="55"/>
      <c r="AO1279" s="52"/>
      <c r="AP1279" s="55"/>
      <c r="AQ1279" s="52"/>
      <c r="AR1279" s="52"/>
      <c r="AS1279" s="52"/>
      <c r="AT1279" s="52"/>
      <c r="AU1279" s="52"/>
      <c r="AV1279" s="52"/>
      <c r="AW1279" s="52"/>
    </row>
    <row r="1280" spans="1:49">
      <c r="A1280" s="52"/>
      <c r="B1280" s="52"/>
      <c r="C1280" s="52"/>
      <c r="D1280" s="53"/>
      <c r="E1280" s="53"/>
      <c r="F1280" s="53"/>
      <c r="G1280" s="53"/>
      <c r="H1280" s="53"/>
      <c r="I1280" s="52"/>
      <c r="J1280" s="52"/>
      <c r="K1280" s="53"/>
      <c r="L1280" s="52"/>
      <c r="M1280" s="54"/>
      <c r="N1280" s="54"/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2"/>
      <c r="AE1280" s="52"/>
      <c r="AF1280" s="52"/>
      <c r="AG1280" s="52"/>
      <c r="AH1280" s="52"/>
      <c r="AI1280" s="53"/>
      <c r="AJ1280" s="53"/>
      <c r="AK1280" s="53"/>
      <c r="AL1280" s="55"/>
      <c r="AM1280" s="52"/>
      <c r="AN1280" s="55"/>
      <c r="AO1280" s="52"/>
      <c r="AP1280" s="55"/>
      <c r="AQ1280" s="52"/>
      <c r="AR1280" s="52"/>
      <c r="AS1280" s="52"/>
      <c r="AT1280" s="52"/>
      <c r="AU1280" s="52"/>
      <c r="AV1280" s="52"/>
      <c r="AW1280" s="52"/>
    </row>
    <row r="1281" spans="1:49">
      <c r="A1281" s="52"/>
      <c r="B1281" s="52"/>
      <c r="C1281" s="52"/>
      <c r="D1281" s="53"/>
      <c r="E1281" s="53"/>
      <c r="F1281" s="53"/>
      <c r="G1281" s="53"/>
      <c r="H1281" s="53"/>
      <c r="I1281" s="52"/>
      <c r="J1281" s="52"/>
      <c r="K1281" s="53"/>
      <c r="L1281" s="52"/>
      <c r="M1281" s="54"/>
      <c r="N1281" s="54"/>
      <c r="O1281" s="52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  <c r="AA1281" s="52"/>
      <c r="AB1281" s="52"/>
      <c r="AC1281" s="52"/>
      <c r="AD1281" s="52"/>
      <c r="AE1281" s="52"/>
      <c r="AF1281" s="52"/>
      <c r="AG1281" s="52"/>
      <c r="AH1281" s="52"/>
      <c r="AI1281" s="52"/>
      <c r="AJ1281" s="52"/>
      <c r="AK1281" s="52"/>
      <c r="AL1281" s="55"/>
      <c r="AM1281" s="52"/>
      <c r="AN1281" s="52"/>
      <c r="AO1281" s="52"/>
      <c r="AP1281" s="52"/>
      <c r="AQ1281" s="52"/>
      <c r="AR1281" s="52"/>
      <c r="AS1281" s="52"/>
      <c r="AT1281" s="52"/>
      <c r="AU1281" s="52"/>
      <c r="AV1281" s="52"/>
      <c r="AW1281" s="52"/>
    </row>
    <row r="1282" spans="1:49">
      <c r="A1282" s="52"/>
      <c r="B1282" s="52"/>
      <c r="C1282" s="52"/>
      <c r="D1282" s="53"/>
      <c r="E1282" s="53"/>
      <c r="F1282" s="53"/>
      <c r="G1282" s="53"/>
      <c r="H1282" s="53"/>
      <c r="I1282" s="52"/>
      <c r="J1282" s="52"/>
      <c r="K1282" s="53"/>
      <c r="L1282" s="52"/>
      <c r="M1282" s="54"/>
      <c r="N1282" s="54"/>
      <c r="O1282" s="52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  <c r="AA1282" s="52"/>
      <c r="AB1282" s="52"/>
      <c r="AC1282" s="52"/>
      <c r="AD1282" s="52"/>
      <c r="AE1282" s="52"/>
      <c r="AF1282" s="52"/>
      <c r="AG1282" s="52"/>
      <c r="AH1282" s="52"/>
      <c r="AI1282" s="53"/>
      <c r="AJ1282" s="53"/>
      <c r="AK1282" s="53"/>
      <c r="AL1282" s="55"/>
      <c r="AM1282" s="52"/>
      <c r="AN1282" s="55"/>
      <c r="AO1282" s="55"/>
      <c r="AP1282" s="55"/>
      <c r="AQ1282" s="52"/>
      <c r="AR1282" s="52"/>
      <c r="AS1282" s="52"/>
      <c r="AT1282" s="52"/>
      <c r="AU1282" s="52"/>
      <c r="AV1282" s="52"/>
      <c r="AW1282" s="52"/>
    </row>
    <row r="1283" spans="1:49">
      <c r="A1283" s="52"/>
      <c r="B1283" s="52"/>
      <c r="C1283" s="52"/>
      <c r="D1283" s="53"/>
      <c r="E1283" s="53"/>
      <c r="F1283" s="53"/>
      <c r="G1283" s="53"/>
      <c r="H1283" s="53"/>
      <c r="I1283" s="52"/>
      <c r="J1283" s="52"/>
      <c r="K1283" s="53"/>
      <c r="L1283" s="52"/>
      <c r="M1283" s="54"/>
      <c r="N1283" s="54"/>
      <c r="O1283" s="52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  <c r="AA1283" s="52"/>
      <c r="AB1283" s="52"/>
      <c r="AC1283" s="52"/>
      <c r="AD1283" s="52"/>
      <c r="AE1283" s="52"/>
      <c r="AF1283" s="52"/>
      <c r="AG1283" s="52"/>
      <c r="AH1283" s="52"/>
      <c r="AI1283" s="53"/>
      <c r="AJ1283" s="53"/>
      <c r="AK1283" s="53"/>
      <c r="AL1283" s="55"/>
      <c r="AM1283" s="52"/>
      <c r="AN1283" s="55"/>
      <c r="AO1283" s="55"/>
      <c r="AP1283" s="55"/>
      <c r="AQ1283" s="52"/>
      <c r="AR1283" s="52"/>
      <c r="AS1283" s="52"/>
      <c r="AT1283" s="52"/>
      <c r="AU1283" s="52"/>
      <c r="AV1283" s="52"/>
      <c r="AW1283" s="52"/>
    </row>
    <row r="1284" spans="1:49">
      <c r="A1284" s="52"/>
      <c r="B1284" s="52"/>
      <c r="C1284" s="52"/>
      <c r="D1284" s="53"/>
      <c r="E1284" s="53"/>
      <c r="F1284" s="53"/>
      <c r="G1284" s="53"/>
      <c r="H1284" s="53"/>
      <c r="I1284" s="52"/>
      <c r="J1284" s="52"/>
      <c r="K1284" s="53"/>
      <c r="L1284" s="52"/>
      <c r="M1284" s="54"/>
      <c r="N1284" s="54"/>
      <c r="O1284" s="52"/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  <c r="AA1284" s="52"/>
      <c r="AB1284" s="52"/>
      <c r="AC1284" s="52"/>
      <c r="AD1284" s="52"/>
      <c r="AE1284" s="52"/>
      <c r="AF1284" s="52"/>
      <c r="AG1284" s="52"/>
      <c r="AH1284" s="52"/>
      <c r="AI1284" s="52"/>
      <c r="AJ1284" s="52"/>
      <c r="AK1284" s="52"/>
      <c r="AL1284" s="55"/>
      <c r="AM1284" s="52"/>
      <c r="AN1284" s="52"/>
      <c r="AO1284" s="52"/>
      <c r="AP1284" s="52"/>
      <c r="AQ1284" s="52"/>
      <c r="AR1284" s="52"/>
      <c r="AS1284" s="52"/>
      <c r="AT1284" s="52"/>
      <c r="AU1284" s="52"/>
      <c r="AV1284" s="52"/>
      <c r="AW1284" s="52"/>
    </row>
    <row r="1285" spans="1:49">
      <c r="A1285" s="52"/>
      <c r="B1285" s="52"/>
      <c r="C1285" s="52"/>
      <c r="D1285" s="53"/>
      <c r="E1285" s="53"/>
      <c r="F1285" s="53"/>
      <c r="G1285" s="53"/>
      <c r="H1285" s="53"/>
      <c r="I1285" s="52"/>
      <c r="J1285" s="52"/>
      <c r="K1285" s="53"/>
      <c r="L1285" s="52"/>
      <c r="M1285" s="54"/>
      <c r="N1285" s="54"/>
      <c r="O1285" s="52"/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  <c r="AA1285" s="52"/>
      <c r="AB1285" s="52"/>
      <c r="AC1285" s="52"/>
      <c r="AD1285" s="52"/>
      <c r="AE1285" s="52"/>
      <c r="AF1285" s="52"/>
      <c r="AG1285" s="52"/>
      <c r="AH1285" s="52"/>
      <c r="AI1285" s="53"/>
      <c r="AJ1285" s="53"/>
      <c r="AK1285" s="53"/>
      <c r="AL1285" s="55"/>
      <c r="AM1285" s="52"/>
      <c r="AN1285" s="55"/>
      <c r="AO1285" s="55"/>
      <c r="AP1285" s="55"/>
      <c r="AQ1285" s="52"/>
      <c r="AR1285" s="52"/>
      <c r="AS1285" s="52"/>
      <c r="AT1285" s="52"/>
      <c r="AU1285" s="52"/>
      <c r="AV1285" s="52"/>
      <c r="AW1285" s="52"/>
    </row>
    <row r="1286" spans="1:49">
      <c r="A1286" s="52"/>
      <c r="B1286" s="52"/>
      <c r="C1286" s="52"/>
      <c r="D1286" s="53"/>
      <c r="E1286" s="53"/>
      <c r="F1286" s="53"/>
      <c r="G1286" s="53"/>
      <c r="H1286" s="53"/>
      <c r="I1286" s="52"/>
      <c r="J1286" s="52"/>
      <c r="K1286" s="53"/>
      <c r="L1286" s="52"/>
      <c r="M1286" s="54"/>
      <c r="N1286" s="54"/>
      <c r="O1286" s="52"/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  <c r="AA1286" s="52"/>
      <c r="AB1286" s="52"/>
      <c r="AC1286" s="52"/>
      <c r="AD1286" s="52"/>
      <c r="AE1286" s="52"/>
      <c r="AF1286" s="52"/>
      <c r="AG1286" s="52"/>
      <c r="AH1286" s="52"/>
      <c r="AI1286" s="53"/>
      <c r="AJ1286" s="53"/>
      <c r="AK1286" s="53"/>
      <c r="AL1286" s="55"/>
      <c r="AM1286" s="52"/>
      <c r="AN1286" s="55"/>
      <c r="AO1286" s="55"/>
      <c r="AP1286" s="55"/>
      <c r="AQ1286" s="52"/>
      <c r="AR1286" s="52"/>
      <c r="AS1286" s="52"/>
      <c r="AT1286" s="52"/>
      <c r="AU1286" s="52"/>
      <c r="AV1286" s="52"/>
      <c r="AW1286" s="52"/>
    </row>
    <row r="1287" spans="1:49">
      <c r="A1287" s="52"/>
      <c r="B1287" s="52"/>
      <c r="C1287" s="52"/>
      <c r="D1287" s="53"/>
      <c r="E1287" s="53"/>
      <c r="F1287" s="53"/>
      <c r="G1287" s="53"/>
      <c r="H1287" s="53"/>
      <c r="I1287" s="52"/>
      <c r="J1287" s="52"/>
      <c r="K1287" s="53"/>
      <c r="L1287" s="52"/>
      <c r="M1287" s="54"/>
      <c r="N1287" s="54"/>
      <c r="O1287" s="52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  <c r="AA1287" s="52"/>
      <c r="AB1287" s="52"/>
      <c r="AC1287" s="52"/>
      <c r="AD1287" s="52"/>
      <c r="AE1287" s="52"/>
      <c r="AF1287" s="52"/>
      <c r="AG1287" s="52"/>
      <c r="AH1287" s="52"/>
      <c r="AI1287" s="52"/>
      <c r="AJ1287" s="52"/>
      <c r="AK1287" s="52"/>
      <c r="AL1287" s="52"/>
      <c r="AM1287" s="52"/>
      <c r="AN1287" s="52"/>
      <c r="AO1287" s="52"/>
      <c r="AP1287" s="52"/>
      <c r="AQ1287" s="52"/>
      <c r="AR1287" s="52"/>
      <c r="AS1287" s="52"/>
      <c r="AT1287" s="52"/>
      <c r="AU1287" s="52"/>
      <c r="AV1287" s="52"/>
      <c r="AW1287" s="52"/>
    </row>
    <row r="1288" spans="1:49">
      <c r="A1288" s="52"/>
      <c r="B1288" s="52"/>
      <c r="C1288" s="52"/>
      <c r="D1288" s="53"/>
      <c r="E1288" s="53"/>
      <c r="F1288" s="53"/>
      <c r="G1288" s="53"/>
      <c r="H1288" s="53"/>
      <c r="I1288" s="52"/>
      <c r="J1288" s="52"/>
      <c r="K1288" s="53"/>
      <c r="L1288" s="52"/>
      <c r="M1288" s="55"/>
      <c r="N1288" s="54"/>
      <c r="O1288" s="52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  <c r="AA1288" s="52"/>
      <c r="AB1288" s="52"/>
      <c r="AC1288" s="52"/>
      <c r="AD1288" s="52"/>
      <c r="AE1288" s="52"/>
      <c r="AF1288" s="52"/>
      <c r="AG1288" s="52"/>
      <c r="AH1288" s="52"/>
      <c r="AI1288" s="52"/>
      <c r="AJ1288" s="52"/>
      <c r="AK1288" s="52"/>
      <c r="AL1288" s="55"/>
      <c r="AM1288" s="52"/>
      <c r="AN1288" s="52"/>
      <c r="AO1288" s="55"/>
      <c r="AP1288" s="55"/>
      <c r="AQ1288" s="52"/>
      <c r="AR1288" s="52"/>
      <c r="AS1288" s="52"/>
      <c r="AT1288" s="52"/>
      <c r="AU1288" s="52"/>
      <c r="AV1288" s="52"/>
      <c r="AW1288" s="52"/>
    </row>
    <row r="1289" spans="1:49">
      <c r="A1289" s="52"/>
      <c r="B1289" s="52"/>
      <c r="C1289" s="52"/>
      <c r="D1289" s="53"/>
      <c r="E1289" s="53"/>
      <c r="F1289" s="53"/>
      <c r="G1289" s="53"/>
      <c r="H1289" s="53"/>
      <c r="I1289" s="52"/>
      <c r="J1289" s="52"/>
      <c r="K1289" s="53"/>
      <c r="L1289" s="52"/>
      <c r="M1289" s="55"/>
      <c r="N1289" s="54"/>
      <c r="O1289" s="52"/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  <c r="AA1289" s="52"/>
      <c r="AB1289" s="52"/>
      <c r="AC1289" s="52"/>
      <c r="AD1289" s="52"/>
      <c r="AE1289" s="52"/>
      <c r="AF1289" s="52"/>
      <c r="AG1289" s="52"/>
      <c r="AH1289" s="52"/>
      <c r="AI1289" s="52"/>
      <c r="AJ1289" s="52"/>
      <c r="AK1289" s="52"/>
      <c r="AL1289" s="55"/>
      <c r="AM1289" s="52"/>
      <c r="AN1289" s="52"/>
      <c r="AO1289" s="55"/>
      <c r="AP1289" s="55"/>
      <c r="AQ1289" s="52"/>
      <c r="AR1289" s="52"/>
      <c r="AS1289" s="52"/>
      <c r="AT1289" s="52"/>
      <c r="AU1289" s="52"/>
      <c r="AV1289" s="52"/>
      <c r="AW1289" s="52"/>
    </row>
    <row r="1290" spans="1:49">
      <c r="A1290" s="52"/>
      <c r="B1290" s="52"/>
      <c r="C1290" s="52"/>
      <c r="D1290" s="53"/>
      <c r="E1290" s="53"/>
      <c r="F1290" s="53"/>
      <c r="G1290" s="53"/>
      <c r="H1290" s="53"/>
      <c r="I1290" s="52"/>
      <c r="J1290" s="52"/>
      <c r="K1290" s="53"/>
      <c r="L1290" s="52"/>
      <c r="M1290" s="55"/>
      <c r="N1290" s="54"/>
      <c r="O1290" s="52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  <c r="AA1290" s="52"/>
      <c r="AB1290" s="52"/>
      <c r="AC1290" s="52"/>
      <c r="AD1290" s="52"/>
      <c r="AE1290" s="52"/>
      <c r="AF1290" s="52"/>
      <c r="AG1290" s="52"/>
      <c r="AH1290" s="52"/>
      <c r="AI1290" s="52"/>
      <c r="AJ1290" s="52"/>
      <c r="AK1290" s="52"/>
      <c r="AL1290" s="55"/>
      <c r="AM1290" s="52"/>
      <c r="AN1290" s="52"/>
      <c r="AO1290" s="52"/>
      <c r="AP1290" s="52"/>
      <c r="AQ1290" s="52"/>
      <c r="AR1290" s="52"/>
      <c r="AS1290" s="52"/>
      <c r="AT1290" s="52"/>
      <c r="AU1290" s="52"/>
      <c r="AV1290" s="52"/>
      <c r="AW1290" s="52"/>
    </row>
    <row r="1291" spans="1:49">
      <c r="A1291" s="52"/>
      <c r="B1291" s="52"/>
      <c r="C1291" s="52"/>
      <c r="D1291" s="53"/>
      <c r="E1291" s="53"/>
      <c r="F1291" s="53"/>
      <c r="G1291" s="53"/>
      <c r="H1291" s="53"/>
      <c r="I1291" s="52"/>
      <c r="J1291" s="52"/>
      <c r="K1291" s="53"/>
      <c r="L1291" s="52"/>
      <c r="M1291" s="54"/>
      <c r="N1291" s="54"/>
      <c r="O1291" s="52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  <c r="AA1291" s="52"/>
      <c r="AB1291" s="52"/>
      <c r="AC1291" s="52"/>
      <c r="AD1291" s="52"/>
      <c r="AE1291" s="52"/>
      <c r="AF1291" s="52"/>
      <c r="AG1291" s="52"/>
      <c r="AH1291" s="52"/>
      <c r="AI1291" s="53"/>
      <c r="AJ1291" s="53"/>
      <c r="AK1291" s="53"/>
      <c r="AL1291" s="55"/>
      <c r="AM1291" s="52"/>
      <c r="AN1291" s="55"/>
      <c r="AO1291" s="55"/>
      <c r="AP1291" s="55"/>
      <c r="AQ1291" s="52"/>
      <c r="AR1291" s="52"/>
      <c r="AS1291" s="52"/>
      <c r="AT1291" s="52"/>
      <c r="AU1291" s="52"/>
      <c r="AV1291" s="52"/>
      <c r="AW1291" s="52"/>
    </row>
    <row r="1292" spans="1:49">
      <c r="A1292" s="52"/>
      <c r="B1292" s="52"/>
      <c r="C1292" s="52"/>
      <c r="D1292" s="53"/>
      <c r="E1292" s="53"/>
      <c r="F1292" s="53"/>
      <c r="G1292" s="53"/>
      <c r="H1292" s="53"/>
      <c r="I1292" s="52"/>
      <c r="J1292" s="52"/>
      <c r="K1292" s="53"/>
      <c r="L1292" s="52"/>
      <c r="M1292" s="54"/>
      <c r="N1292" s="54"/>
      <c r="O1292" s="52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  <c r="AA1292" s="52"/>
      <c r="AB1292" s="52"/>
      <c r="AC1292" s="52"/>
      <c r="AD1292" s="52"/>
      <c r="AE1292" s="52"/>
      <c r="AF1292" s="52"/>
      <c r="AG1292" s="52"/>
      <c r="AH1292" s="52"/>
      <c r="AI1292" s="53"/>
      <c r="AJ1292" s="53"/>
      <c r="AK1292" s="53"/>
      <c r="AL1292" s="55"/>
      <c r="AM1292" s="52"/>
      <c r="AN1292" s="55"/>
      <c r="AO1292" s="55"/>
      <c r="AP1292" s="55"/>
      <c r="AQ1292" s="52"/>
      <c r="AR1292" s="52"/>
      <c r="AS1292" s="52"/>
      <c r="AT1292" s="52"/>
      <c r="AU1292" s="52"/>
      <c r="AV1292" s="52"/>
      <c r="AW1292" s="52"/>
    </row>
    <row r="1293" spans="1:49">
      <c r="A1293" s="52"/>
      <c r="B1293" s="52"/>
      <c r="C1293" s="52"/>
      <c r="D1293" s="53"/>
      <c r="E1293" s="53"/>
      <c r="F1293" s="53"/>
      <c r="G1293" s="53"/>
      <c r="H1293" s="52"/>
      <c r="I1293" s="52"/>
      <c r="J1293" s="52"/>
      <c r="K1293" s="53"/>
      <c r="L1293" s="52"/>
      <c r="M1293" s="54"/>
      <c r="N1293" s="55"/>
      <c r="O1293" s="52"/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  <c r="AA1293" s="52"/>
      <c r="AB1293" s="52"/>
      <c r="AC1293" s="52"/>
      <c r="AD1293" s="52"/>
      <c r="AE1293" s="52"/>
      <c r="AF1293" s="52"/>
      <c r="AG1293" s="52"/>
      <c r="AH1293" s="52"/>
      <c r="AI1293" s="52"/>
      <c r="AJ1293" s="52"/>
      <c r="AK1293" s="52"/>
      <c r="AL1293" s="52"/>
      <c r="AM1293" s="52"/>
      <c r="AN1293" s="52"/>
      <c r="AO1293" s="52"/>
      <c r="AP1293" s="52"/>
      <c r="AQ1293" s="52"/>
      <c r="AR1293" s="52"/>
      <c r="AS1293" s="52"/>
      <c r="AT1293" s="52"/>
      <c r="AU1293" s="52"/>
      <c r="AV1293" s="52"/>
      <c r="AW1293" s="52"/>
    </row>
    <row r="1294" spans="1:49">
      <c r="A1294" s="52"/>
      <c r="B1294" s="52"/>
      <c r="C1294" s="52"/>
      <c r="D1294" s="53"/>
      <c r="E1294" s="53"/>
      <c r="F1294" s="52"/>
      <c r="G1294" s="53"/>
      <c r="H1294" s="52"/>
      <c r="I1294" s="52"/>
      <c r="J1294" s="52"/>
      <c r="K1294" s="53"/>
      <c r="L1294" s="52"/>
      <c r="M1294" s="52"/>
      <c r="N1294" s="52"/>
      <c r="O1294" s="52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  <c r="AA1294" s="52"/>
      <c r="AB1294" s="52"/>
      <c r="AC1294" s="52"/>
      <c r="AD1294" s="52"/>
      <c r="AE1294" s="52"/>
      <c r="AF1294" s="52"/>
      <c r="AG1294" s="52"/>
      <c r="AH1294" s="52"/>
      <c r="AI1294" s="53"/>
      <c r="AJ1294" s="52"/>
      <c r="AK1294" s="53"/>
      <c r="AL1294" s="52"/>
      <c r="AM1294" s="52"/>
      <c r="AN1294" s="52"/>
      <c r="AO1294" s="52"/>
      <c r="AP1294" s="52"/>
      <c r="AQ1294" s="52"/>
      <c r="AR1294" s="52"/>
      <c r="AS1294" s="52"/>
      <c r="AT1294" s="52"/>
      <c r="AU1294" s="52"/>
      <c r="AV1294" s="52"/>
      <c r="AW1294" s="52"/>
    </row>
    <row r="1295" spans="1:49">
      <c r="A1295" s="52"/>
      <c r="B1295" s="52"/>
      <c r="C1295" s="52"/>
      <c r="D1295" s="53"/>
      <c r="E1295" s="53"/>
      <c r="F1295" s="52"/>
      <c r="G1295" s="53"/>
      <c r="H1295" s="52"/>
      <c r="I1295" s="52"/>
      <c r="J1295" s="52"/>
      <c r="K1295" s="53"/>
      <c r="L1295" s="52"/>
      <c r="M1295" s="52"/>
      <c r="N1295" s="52"/>
      <c r="O1295" s="52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  <c r="AA1295" s="52"/>
      <c r="AB1295" s="52"/>
      <c r="AC1295" s="52"/>
      <c r="AD1295" s="52"/>
      <c r="AE1295" s="52"/>
      <c r="AF1295" s="52"/>
      <c r="AG1295" s="52"/>
      <c r="AH1295" s="52"/>
      <c r="AI1295" s="53"/>
      <c r="AJ1295" s="52"/>
      <c r="AK1295" s="53"/>
      <c r="AL1295" s="52"/>
      <c r="AM1295" s="52"/>
      <c r="AN1295" s="52"/>
      <c r="AO1295" s="52"/>
      <c r="AP1295" s="52"/>
      <c r="AQ1295" s="52"/>
      <c r="AR1295" s="52"/>
      <c r="AS1295" s="52"/>
      <c r="AT1295" s="52"/>
      <c r="AU1295" s="52"/>
      <c r="AV1295" s="52"/>
      <c r="AW1295" s="52"/>
    </row>
    <row r="1296" spans="1:49">
      <c r="A1296" s="52"/>
      <c r="B1296" s="52"/>
      <c r="C1296" s="52"/>
      <c r="D1296" s="53"/>
      <c r="E1296" s="53"/>
      <c r="F1296" s="52"/>
      <c r="G1296" s="52"/>
      <c r="H1296" s="52"/>
      <c r="I1296" s="52"/>
      <c r="J1296" s="52"/>
      <c r="K1296" s="52"/>
      <c r="L1296" s="52"/>
      <c r="M1296" s="55"/>
      <c r="N1296" s="54"/>
      <c r="O1296" s="52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  <c r="AA1296" s="52"/>
      <c r="AB1296" s="52"/>
      <c r="AC1296" s="52"/>
      <c r="AD1296" s="52"/>
      <c r="AE1296" s="52"/>
      <c r="AF1296" s="52"/>
      <c r="AG1296" s="52"/>
      <c r="AH1296" s="52"/>
      <c r="AI1296" s="52"/>
      <c r="AJ1296" s="52"/>
      <c r="AK1296" s="52"/>
      <c r="AL1296" s="52"/>
      <c r="AM1296" s="52"/>
      <c r="AN1296" s="52"/>
      <c r="AO1296" s="52"/>
      <c r="AP1296" s="52"/>
      <c r="AQ1296" s="52"/>
      <c r="AR1296" s="52"/>
      <c r="AS1296" s="52"/>
      <c r="AT1296" s="52"/>
      <c r="AU1296" s="52"/>
      <c r="AV1296" s="52"/>
      <c r="AW1296" s="52"/>
    </row>
    <row r="1297" spans="1:49">
      <c r="A1297" s="52"/>
      <c r="B1297" s="52"/>
      <c r="C1297" s="52"/>
      <c r="D1297" s="53"/>
      <c r="E1297" s="53"/>
      <c r="F1297" s="52"/>
      <c r="G1297" s="52"/>
      <c r="H1297" s="52"/>
      <c r="I1297" s="52"/>
      <c r="J1297" s="52"/>
      <c r="K1297" s="52"/>
      <c r="L1297" s="52"/>
      <c r="M1297" s="52"/>
      <c r="N1297" s="52"/>
      <c r="O1297" s="52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  <c r="AA1297" s="52"/>
      <c r="AB1297" s="52"/>
      <c r="AC1297" s="52"/>
      <c r="AD1297" s="52"/>
      <c r="AE1297" s="52"/>
      <c r="AF1297" s="52"/>
      <c r="AG1297" s="52"/>
      <c r="AH1297" s="52"/>
      <c r="AI1297" s="52"/>
      <c r="AJ1297" s="52"/>
      <c r="AK1297" s="52"/>
      <c r="AL1297" s="52"/>
      <c r="AM1297" s="52"/>
      <c r="AN1297" s="52"/>
      <c r="AO1297" s="52"/>
      <c r="AP1297" s="52"/>
      <c r="AQ1297" s="52"/>
      <c r="AR1297" s="52"/>
      <c r="AS1297" s="52"/>
      <c r="AT1297" s="52"/>
      <c r="AU1297" s="52"/>
      <c r="AV1297" s="52"/>
      <c r="AW1297" s="52"/>
    </row>
    <row r="1298" spans="1:49">
      <c r="A1298" s="52"/>
      <c r="B1298" s="52"/>
      <c r="C1298" s="52"/>
      <c r="D1298" s="53"/>
      <c r="E1298" s="53"/>
      <c r="F1298" s="53"/>
      <c r="G1298" s="53"/>
      <c r="H1298" s="53"/>
      <c r="I1298" s="52"/>
      <c r="J1298" s="52"/>
      <c r="K1298" s="52"/>
      <c r="L1298" s="52"/>
      <c r="M1298" s="54"/>
      <c r="N1298" s="54"/>
      <c r="O1298" s="52"/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  <c r="AA1298" s="52"/>
      <c r="AB1298" s="52"/>
      <c r="AC1298" s="52"/>
      <c r="AD1298" s="52"/>
      <c r="AE1298" s="52"/>
      <c r="AF1298" s="52"/>
      <c r="AG1298" s="52"/>
      <c r="AH1298" s="52"/>
      <c r="AI1298" s="52"/>
      <c r="AJ1298" s="52"/>
      <c r="AK1298" s="52"/>
      <c r="AL1298" s="55"/>
      <c r="AM1298" s="52"/>
      <c r="AN1298" s="52"/>
      <c r="AO1298" s="52"/>
      <c r="AP1298" s="52"/>
      <c r="AQ1298" s="52"/>
      <c r="AR1298" s="52"/>
      <c r="AS1298" s="52"/>
      <c r="AT1298" s="52"/>
      <c r="AU1298" s="52"/>
      <c r="AV1298" s="52"/>
      <c r="AW1298" s="52"/>
    </row>
    <row r="1299" spans="1:49">
      <c r="A1299" s="52"/>
      <c r="B1299" s="52"/>
      <c r="C1299" s="52"/>
      <c r="D1299" s="53"/>
      <c r="E1299" s="53"/>
      <c r="F1299" s="53"/>
      <c r="G1299" s="53"/>
      <c r="H1299" s="53"/>
      <c r="I1299" s="52"/>
      <c r="J1299" s="52"/>
      <c r="K1299" s="52"/>
      <c r="L1299" s="52"/>
      <c r="M1299" s="55"/>
      <c r="N1299" s="54"/>
      <c r="O1299" s="52"/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  <c r="AA1299" s="52"/>
      <c r="AB1299" s="52"/>
      <c r="AC1299" s="52"/>
      <c r="AD1299" s="52"/>
      <c r="AE1299" s="52"/>
      <c r="AF1299" s="52"/>
      <c r="AG1299" s="52"/>
      <c r="AH1299" s="52"/>
      <c r="AI1299" s="53"/>
      <c r="AJ1299" s="53"/>
      <c r="AK1299" s="53"/>
      <c r="AL1299" s="55"/>
      <c r="AM1299" s="52"/>
      <c r="AN1299" s="55"/>
      <c r="AO1299" s="52"/>
      <c r="AP1299" s="55"/>
      <c r="AQ1299" s="52"/>
      <c r="AR1299" s="52"/>
      <c r="AS1299" s="52"/>
      <c r="AT1299" s="52"/>
      <c r="AU1299" s="52"/>
      <c r="AV1299" s="52"/>
      <c r="AW1299" s="52"/>
    </row>
    <row r="1300" spans="1:49">
      <c r="A1300" s="52"/>
      <c r="B1300" s="52"/>
      <c r="C1300" s="52"/>
      <c r="D1300" s="53"/>
      <c r="E1300" s="53"/>
      <c r="F1300" s="53"/>
      <c r="G1300" s="53"/>
      <c r="H1300" s="53"/>
      <c r="I1300" s="52"/>
      <c r="J1300" s="52"/>
      <c r="K1300" s="52"/>
      <c r="L1300" s="52"/>
      <c r="M1300" s="55"/>
      <c r="N1300" s="54"/>
      <c r="O1300" s="52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  <c r="AA1300" s="52"/>
      <c r="AB1300" s="52"/>
      <c r="AC1300" s="52"/>
      <c r="AD1300" s="52"/>
      <c r="AE1300" s="52"/>
      <c r="AF1300" s="52"/>
      <c r="AG1300" s="52"/>
      <c r="AH1300" s="52"/>
      <c r="AI1300" s="53"/>
      <c r="AJ1300" s="53"/>
      <c r="AK1300" s="53"/>
      <c r="AL1300" s="55"/>
      <c r="AM1300" s="52"/>
      <c r="AN1300" s="55"/>
      <c r="AO1300" s="52"/>
      <c r="AP1300" s="55"/>
      <c r="AQ1300" s="52"/>
      <c r="AR1300" s="52"/>
      <c r="AS1300" s="52"/>
      <c r="AT1300" s="52"/>
      <c r="AU1300" s="52"/>
      <c r="AV1300" s="52"/>
      <c r="AW1300" s="52"/>
    </row>
    <row r="1301" spans="1:49">
      <c r="A1301" s="52"/>
      <c r="B1301" s="52"/>
      <c r="C1301" s="52"/>
      <c r="D1301" s="53"/>
      <c r="E1301" s="53"/>
      <c r="F1301" s="53"/>
      <c r="G1301" s="53"/>
      <c r="H1301" s="53"/>
      <c r="I1301" s="52"/>
      <c r="J1301" s="52"/>
      <c r="K1301" s="53"/>
      <c r="L1301" s="52"/>
      <c r="M1301" s="54"/>
      <c r="N1301" s="54"/>
      <c r="O1301" s="52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  <c r="AA1301" s="52"/>
      <c r="AB1301" s="52"/>
      <c r="AC1301" s="52"/>
      <c r="AD1301" s="52"/>
      <c r="AE1301" s="52"/>
      <c r="AF1301" s="52"/>
      <c r="AG1301" s="52"/>
      <c r="AH1301" s="52"/>
      <c r="AI1301" s="52"/>
      <c r="AJ1301" s="52"/>
      <c r="AK1301" s="52"/>
      <c r="AL1301" s="52"/>
      <c r="AM1301" s="52"/>
      <c r="AN1301" s="52"/>
      <c r="AO1301" s="52"/>
      <c r="AP1301" s="52"/>
      <c r="AQ1301" s="52"/>
      <c r="AR1301" s="52"/>
      <c r="AS1301" s="52"/>
      <c r="AT1301" s="52"/>
      <c r="AU1301" s="52"/>
      <c r="AV1301" s="52"/>
      <c r="AW1301" s="52"/>
    </row>
    <row r="1302" spans="1:49">
      <c r="A1302" s="52"/>
      <c r="B1302" s="52"/>
      <c r="C1302" s="52"/>
      <c r="D1302" s="53"/>
      <c r="E1302" s="53"/>
      <c r="F1302" s="53"/>
      <c r="G1302" s="53"/>
      <c r="H1302" s="53"/>
      <c r="I1302" s="52"/>
      <c r="J1302" s="52"/>
      <c r="K1302" s="53"/>
      <c r="L1302" s="52"/>
      <c r="M1302" s="55"/>
      <c r="N1302" s="54"/>
      <c r="O1302" s="52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  <c r="AA1302" s="52"/>
      <c r="AB1302" s="52"/>
      <c r="AC1302" s="52"/>
      <c r="AD1302" s="52"/>
      <c r="AE1302" s="52"/>
      <c r="AF1302" s="52"/>
      <c r="AG1302" s="52"/>
      <c r="AH1302" s="52"/>
      <c r="AI1302" s="52"/>
      <c r="AJ1302" s="52"/>
      <c r="AK1302" s="52"/>
      <c r="AL1302" s="55"/>
      <c r="AM1302" s="52"/>
      <c r="AN1302" s="52"/>
      <c r="AO1302" s="55"/>
      <c r="AP1302" s="55"/>
      <c r="AQ1302" s="52"/>
      <c r="AR1302" s="52"/>
      <c r="AS1302" s="52"/>
      <c r="AT1302" s="52"/>
      <c r="AU1302" s="52"/>
      <c r="AV1302" s="52"/>
      <c r="AW1302" s="52"/>
    </row>
    <row r="1303" spans="1:49">
      <c r="A1303" s="52"/>
      <c r="B1303" s="52"/>
      <c r="C1303" s="52"/>
      <c r="D1303" s="53"/>
      <c r="E1303" s="53"/>
      <c r="F1303" s="53"/>
      <c r="G1303" s="53"/>
      <c r="H1303" s="53"/>
      <c r="I1303" s="52"/>
      <c r="J1303" s="52"/>
      <c r="K1303" s="53"/>
      <c r="L1303" s="52"/>
      <c r="M1303" s="55"/>
      <c r="N1303" s="54"/>
      <c r="O1303" s="52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  <c r="AA1303" s="52"/>
      <c r="AB1303" s="52"/>
      <c r="AC1303" s="52"/>
      <c r="AD1303" s="52"/>
      <c r="AE1303" s="52"/>
      <c r="AF1303" s="52"/>
      <c r="AG1303" s="52"/>
      <c r="AH1303" s="52"/>
      <c r="AI1303" s="52"/>
      <c r="AJ1303" s="52"/>
      <c r="AK1303" s="52"/>
      <c r="AL1303" s="55"/>
      <c r="AM1303" s="52"/>
      <c r="AN1303" s="52"/>
      <c r="AO1303" s="55"/>
      <c r="AP1303" s="55"/>
      <c r="AQ1303" s="52"/>
      <c r="AR1303" s="52"/>
      <c r="AS1303" s="52"/>
      <c r="AT1303" s="52"/>
      <c r="AU1303" s="52"/>
      <c r="AV1303" s="52"/>
      <c r="AW1303" s="52"/>
    </row>
    <row r="1304" spans="1:49">
      <c r="A1304" s="52"/>
      <c r="B1304" s="52"/>
      <c r="C1304" s="52"/>
      <c r="D1304" s="53"/>
      <c r="E1304" s="53"/>
      <c r="F1304" s="52"/>
      <c r="G1304" s="52"/>
      <c r="H1304" s="52"/>
      <c r="I1304" s="52"/>
      <c r="J1304" s="52"/>
      <c r="K1304" s="52"/>
      <c r="L1304" s="52"/>
      <c r="M1304" s="55"/>
      <c r="N1304" s="54"/>
      <c r="O1304" s="52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  <c r="AA1304" s="52"/>
      <c r="AB1304" s="52"/>
      <c r="AC1304" s="52"/>
      <c r="AD1304" s="52"/>
      <c r="AE1304" s="52"/>
      <c r="AF1304" s="52"/>
      <c r="AG1304" s="52"/>
      <c r="AH1304" s="52"/>
      <c r="AI1304" s="52"/>
      <c r="AJ1304" s="52"/>
      <c r="AK1304" s="52"/>
      <c r="AL1304" s="52"/>
      <c r="AM1304" s="52"/>
      <c r="AN1304" s="52"/>
      <c r="AO1304" s="52"/>
      <c r="AP1304" s="52"/>
      <c r="AQ1304" s="52"/>
      <c r="AR1304" s="52"/>
      <c r="AS1304" s="52"/>
      <c r="AT1304" s="52"/>
      <c r="AU1304" s="52"/>
      <c r="AV1304" s="52"/>
      <c r="AW1304" s="52"/>
    </row>
    <row r="1305" spans="1:49">
      <c r="A1305" s="52"/>
      <c r="B1305" s="52"/>
      <c r="C1305" s="52"/>
      <c r="D1305" s="53"/>
      <c r="E1305" s="53"/>
      <c r="F1305" s="52"/>
      <c r="G1305" s="52"/>
      <c r="H1305" s="52"/>
      <c r="I1305" s="52"/>
      <c r="J1305" s="52"/>
      <c r="K1305" s="52"/>
      <c r="L1305" s="52"/>
      <c r="M1305" s="52"/>
      <c r="N1305" s="52"/>
      <c r="O1305" s="52"/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  <c r="AA1305" s="52"/>
      <c r="AB1305" s="52"/>
      <c r="AC1305" s="52"/>
      <c r="AD1305" s="52"/>
      <c r="AE1305" s="52"/>
      <c r="AF1305" s="52"/>
      <c r="AG1305" s="52"/>
      <c r="AH1305" s="52"/>
      <c r="AI1305" s="52"/>
      <c r="AJ1305" s="52"/>
      <c r="AK1305" s="52"/>
      <c r="AL1305" s="52"/>
      <c r="AM1305" s="52"/>
      <c r="AN1305" s="52"/>
      <c r="AO1305" s="52"/>
      <c r="AP1305" s="52"/>
      <c r="AQ1305" s="52"/>
      <c r="AR1305" s="52"/>
      <c r="AS1305" s="52"/>
      <c r="AT1305" s="52"/>
      <c r="AU1305" s="52"/>
      <c r="AV1305" s="52"/>
      <c r="AW1305" s="52"/>
    </row>
    <row r="1306" spans="1:49">
      <c r="A1306" s="52"/>
      <c r="B1306" s="52"/>
      <c r="C1306" s="52"/>
      <c r="D1306" s="53"/>
      <c r="E1306" s="53"/>
      <c r="F1306" s="53"/>
      <c r="G1306" s="53"/>
      <c r="H1306" s="53"/>
      <c r="I1306" s="52"/>
      <c r="J1306" s="52"/>
      <c r="K1306" s="53"/>
      <c r="L1306" s="52"/>
      <c r="M1306" s="54"/>
      <c r="N1306" s="54"/>
      <c r="O1306" s="52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  <c r="AA1306" s="52"/>
      <c r="AB1306" s="52"/>
      <c r="AC1306" s="52"/>
      <c r="AD1306" s="52"/>
      <c r="AE1306" s="52"/>
      <c r="AF1306" s="52"/>
      <c r="AG1306" s="52"/>
      <c r="AH1306" s="52"/>
      <c r="AI1306" s="52"/>
      <c r="AJ1306" s="52"/>
      <c r="AK1306" s="52"/>
      <c r="AL1306" s="52"/>
      <c r="AM1306" s="52"/>
      <c r="AN1306" s="52"/>
      <c r="AO1306" s="52"/>
      <c r="AP1306" s="52"/>
      <c r="AQ1306" s="52"/>
      <c r="AR1306" s="52"/>
      <c r="AS1306" s="52"/>
      <c r="AT1306" s="52"/>
      <c r="AU1306" s="52"/>
      <c r="AV1306" s="52"/>
      <c r="AW1306" s="52"/>
    </row>
    <row r="1307" spans="1:49">
      <c r="A1307" s="52"/>
      <c r="B1307" s="52"/>
      <c r="C1307" s="52"/>
      <c r="D1307" s="53"/>
      <c r="E1307" s="53"/>
      <c r="F1307" s="53"/>
      <c r="G1307" s="53"/>
      <c r="H1307" s="53"/>
      <c r="I1307" s="52"/>
      <c r="J1307" s="52"/>
      <c r="K1307" s="53"/>
      <c r="L1307" s="52"/>
      <c r="M1307" s="55"/>
      <c r="N1307" s="54"/>
      <c r="O1307" s="52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  <c r="AA1307" s="52"/>
      <c r="AB1307" s="52"/>
      <c r="AC1307" s="52"/>
      <c r="AD1307" s="52"/>
      <c r="AE1307" s="52"/>
      <c r="AF1307" s="52"/>
      <c r="AG1307" s="52"/>
      <c r="AH1307" s="52"/>
      <c r="AI1307" s="52"/>
      <c r="AJ1307" s="52"/>
      <c r="AK1307" s="52"/>
      <c r="AL1307" s="55"/>
      <c r="AM1307" s="52"/>
      <c r="AN1307" s="52"/>
      <c r="AO1307" s="55"/>
      <c r="AP1307" s="55"/>
      <c r="AQ1307" s="52"/>
      <c r="AR1307" s="52"/>
      <c r="AS1307" s="52"/>
      <c r="AT1307" s="52"/>
      <c r="AU1307" s="52"/>
      <c r="AV1307" s="52"/>
      <c r="AW1307" s="52"/>
    </row>
    <row r="1308" spans="1:49">
      <c r="A1308" s="52"/>
      <c r="B1308" s="52"/>
      <c r="C1308" s="52"/>
      <c r="D1308" s="53"/>
      <c r="E1308" s="53"/>
      <c r="F1308" s="53"/>
      <c r="G1308" s="53"/>
      <c r="H1308" s="53"/>
      <c r="I1308" s="52"/>
      <c r="J1308" s="52"/>
      <c r="K1308" s="53"/>
      <c r="L1308" s="52"/>
      <c r="M1308" s="55"/>
      <c r="N1308" s="54"/>
      <c r="O1308" s="52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  <c r="AA1308" s="52"/>
      <c r="AB1308" s="52"/>
      <c r="AC1308" s="52"/>
      <c r="AD1308" s="52"/>
      <c r="AE1308" s="52"/>
      <c r="AF1308" s="52"/>
      <c r="AG1308" s="52"/>
      <c r="AH1308" s="52"/>
      <c r="AI1308" s="52"/>
      <c r="AJ1308" s="52"/>
      <c r="AK1308" s="52"/>
      <c r="AL1308" s="55"/>
      <c r="AM1308" s="52"/>
      <c r="AN1308" s="52"/>
      <c r="AO1308" s="55"/>
      <c r="AP1308" s="55"/>
      <c r="AQ1308" s="52"/>
      <c r="AR1308" s="52"/>
      <c r="AS1308" s="52"/>
      <c r="AT1308" s="52"/>
      <c r="AU1308" s="52"/>
      <c r="AV1308" s="52"/>
      <c r="AW1308" s="52"/>
    </row>
    <row r="1309" spans="1:49">
      <c r="A1309" s="52"/>
      <c r="B1309" s="52"/>
      <c r="C1309" s="52"/>
      <c r="D1309" s="53"/>
      <c r="E1309" s="53"/>
      <c r="F1309" s="52"/>
      <c r="G1309" s="52"/>
      <c r="H1309" s="52"/>
      <c r="I1309" s="52"/>
      <c r="J1309" s="52"/>
      <c r="K1309" s="52"/>
      <c r="L1309" s="52"/>
      <c r="M1309" s="55"/>
      <c r="N1309" s="54"/>
      <c r="O1309" s="52"/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  <c r="AA1309" s="52"/>
      <c r="AB1309" s="52"/>
      <c r="AC1309" s="52"/>
      <c r="AD1309" s="52"/>
      <c r="AE1309" s="52"/>
      <c r="AF1309" s="52"/>
      <c r="AG1309" s="52"/>
      <c r="AH1309" s="52"/>
      <c r="AI1309" s="52"/>
      <c r="AJ1309" s="52"/>
      <c r="AK1309" s="52"/>
      <c r="AL1309" s="52"/>
      <c r="AM1309" s="52"/>
      <c r="AN1309" s="52"/>
      <c r="AO1309" s="52"/>
      <c r="AP1309" s="52"/>
      <c r="AQ1309" s="52"/>
      <c r="AR1309" s="52"/>
      <c r="AS1309" s="52"/>
      <c r="AT1309" s="52"/>
      <c r="AU1309" s="52"/>
      <c r="AV1309" s="52"/>
      <c r="AW1309" s="52"/>
    </row>
    <row r="1310" spans="1:49">
      <c r="A1310" s="52"/>
      <c r="B1310" s="52"/>
      <c r="C1310" s="52"/>
      <c r="D1310" s="53"/>
      <c r="E1310" s="53"/>
      <c r="F1310" s="52"/>
      <c r="G1310" s="52"/>
      <c r="H1310" s="52"/>
      <c r="I1310" s="52"/>
      <c r="J1310" s="52"/>
      <c r="K1310" s="52"/>
      <c r="L1310" s="52"/>
      <c r="M1310" s="52"/>
      <c r="N1310" s="52"/>
      <c r="O1310" s="52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  <c r="AA1310" s="52"/>
      <c r="AB1310" s="52"/>
      <c r="AC1310" s="52"/>
      <c r="AD1310" s="52"/>
      <c r="AE1310" s="52"/>
      <c r="AF1310" s="52"/>
      <c r="AG1310" s="52"/>
      <c r="AH1310" s="52"/>
      <c r="AI1310" s="52"/>
      <c r="AJ1310" s="52"/>
      <c r="AK1310" s="52"/>
      <c r="AL1310" s="52"/>
      <c r="AM1310" s="52"/>
      <c r="AN1310" s="52"/>
      <c r="AO1310" s="52"/>
      <c r="AP1310" s="52"/>
      <c r="AQ1310" s="52"/>
      <c r="AR1310" s="52"/>
      <c r="AS1310" s="52"/>
      <c r="AT1310" s="52"/>
      <c r="AU1310" s="52"/>
      <c r="AV1310" s="52"/>
      <c r="AW1310" s="52"/>
    </row>
    <row r="1311" spans="1:49">
      <c r="A1311" s="52"/>
      <c r="B1311" s="52"/>
      <c r="C1311" s="52"/>
      <c r="D1311" s="53"/>
      <c r="E1311" s="53"/>
      <c r="F1311" s="52"/>
      <c r="G1311" s="52"/>
      <c r="H1311" s="52"/>
      <c r="I1311" s="52"/>
      <c r="J1311" s="52"/>
      <c r="K1311" s="52"/>
      <c r="L1311" s="52"/>
      <c r="M1311" s="55"/>
      <c r="N1311" s="54"/>
      <c r="O1311" s="52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  <c r="AA1311" s="52"/>
      <c r="AB1311" s="52"/>
      <c r="AC1311" s="52"/>
      <c r="AD1311" s="52"/>
      <c r="AE1311" s="52"/>
      <c r="AF1311" s="52"/>
      <c r="AG1311" s="52"/>
      <c r="AH1311" s="52"/>
      <c r="AI1311" s="52"/>
      <c r="AJ1311" s="52"/>
      <c r="AK1311" s="52"/>
      <c r="AL1311" s="52"/>
      <c r="AM1311" s="52"/>
      <c r="AN1311" s="52"/>
      <c r="AO1311" s="52"/>
      <c r="AP1311" s="52"/>
      <c r="AQ1311" s="52"/>
      <c r="AR1311" s="52"/>
      <c r="AS1311" s="52"/>
      <c r="AT1311" s="52"/>
      <c r="AU1311" s="52"/>
      <c r="AV1311" s="52"/>
      <c r="AW1311" s="52"/>
    </row>
    <row r="1312" spans="1:49">
      <c r="A1312" s="52"/>
      <c r="B1312" s="52"/>
      <c r="C1312" s="52"/>
      <c r="D1312" s="53"/>
      <c r="E1312" s="53"/>
      <c r="F1312" s="52"/>
      <c r="G1312" s="52"/>
      <c r="H1312" s="52"/>
      <c r="I1312" s="52"/>
      <c r="J1312" s="52"/>
      <c r="K1312" s="52"/>
      <c r="L1312" s="52"/>
      <c r="M1312" s="52"/>
      <c r="N1312" s="52"/>
      <c r="O1312" s="52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  <c r="AA1312" s="52"/>
      <c r="AB1312" s="52"/>
      <c r="AC1312" s="52"/>
      <c r="AD1312" s="52"/>
      <c r="AE1312" s="52"/>
      <c r="AF1312" s="52"/>
      <c r="AG1312" s="52"/>
      <c r="AH1312" s="52"/>
      <c r="AI1312" s="52"/>
      <c r="AJ1312" s="52"/>
      <c r="AK1312" s="52"/>
      <c r="AL1312" s="52"/>
      <c r="AM1312" s="52"/>
      <c r="AN1312" s="52"/>
      <c r="AO1312" s="52"/>
      <c r="AP1312" s="52"/>
      <c r="AQ1312" s="52"/>
      <c r="AR1312" s="52"/>
      <c r="AS1312" s="52"/>
      <c r="AT1312" s="52"/>
      <c r="AU1312" s="52"/>
      <c r="AV1312" s="52"/>
      <c r="AW1312" s="52"/>
    </row>
    <row r="1313" spans="1:49">
      <c r="A1313" s="52"/>
      <c r="B1313" s="52"/>
      <c r="C1313" s="52"/>
      <c r="D1313" s="53"/>
      <c r="E1313" s="53"/>
      <c r="F1313" s="53"/>
      <c r="G1313" s="53"/>
      <c r="H1313" s="53"/>
      <c r="I1313" s="52"/>
      <c r="J1313" s="52"/>
      <c r="K1313" s="53"/>
      <c r="L1313" s="52"/>
      <c r="M1313" s="55"/>
      <c r="N1313" s="54"/>
      <c r="O1313" s="52"/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  <c r="AA1313" s="52"/>
      <c r="AB1313" s="52"/>
      <c r="AC1313" s="52"/>
      <c r="AD1313" s="52"/>
      <c r="AE1313" s="52"/>
      <c r="AF1313" s="52"/>
      <c r="AG1313" s="52"/>
      <c r="AH1313" s="52"/>
      <c r="AI1313" s="52"/>
      <c r="AJ1313" s="52"/>
      <c r="AK1313" s="52"/>
      <c r="AL1313" s="52"/>
      <c r="AM1313" s="52"/>
      <c r="AN1313" s="52"/>
      <c r="AO1313" s="52"/>
      <c r="AP1313" s="52"/>
      <c r="AQ1313" s="52"/>
      <c r="AR1313" s="52"/>
      <c r="AS1313" s="52"/>
      <c r="AT1313" s="52"/>
      <c r="AU1313" s="52"/>
      <c r="AV1313" s="52"/>
      <c r="AW1313" s="52"/>
    </row>
    <row r="1314" spans="1:49">
      <c r="A1314" s="52"/>
      <c r="B1314" s="52"/>
      <c r="C1314" s="52"/>
      <c r="D1314" s="53"/>
      <c r="E1314" s="53"/>
      <c r="F1314" s="53"/>
      <c r="G1314" s="53"/>
      <c r="H1314" s="52"/>
      <c r="I1314" s="52"/>
      <c r="J1314" s="52"/>
      <c r="K1314" s="52"/>
      <c r="L1314" s="52"/>
      <c r="M1314" s="55"/>
      <c r="N1314" s="54"/>
      <c r="O1314" s="52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  <c r="AA1314" s="52"/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52"/>
      <c r="AN1314" s="52"/>
      <c r="AO1314" s="52"/>
      <c r="AP1314" s="52"/>
      <c r="AQ1314" s="52"/>
      <c r="AR1314" s="52"/>
      <c r="AS1314" s="52"/>
      <c r="AT1314" s="52"/>
      <c r="AU1314" s="52"/>
      <c r="AV1314" s="52"/>
      <c r="AW1314" s="52"/>
    </row>
    <row r="1315" spans="1:49">
      <c r="A1315" s="52"/>
      <c r="B1315" s="52"/>
      <c r="C1315" s="52"/>
      <c r="D1315" s="53"/>
      <c r="E1315" s="53"/>
      <c r="F1315" s="53"/>
      <c r="G1315" s="53"/>
      <c r="H1315" s="52"/>
      <c r="I1315" s="52"/>
      <c r="J1315" s="52"/>
      <c r="K1315" s="52"/>
      <c r="L1315" s="52"/>
      <c r="M1315" s="55"/>
      <c r="N1315" s="54"/>
      <c r="O1315" s="52"/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  <c r="AA1315" s="52"/>
      <c r="AB1315" s="52"/>
      <c r="AC1315" s="52"/>
      <c r="AD1315" s="52"/>
      <c r="AE1315" s="52"/>
      <c r="AF1315" s="52"/>
      <c r="AG1315" s="52"/>
      <c r="AH1315" s="52"/>
      <c r="AI1315" s="52"/>
      <c r="AJ1315" s="52"/>
      <c r="AK1315" s="52"/>
      <c r="AL1315" s="52"/>
      <c r="AM1315" s="52"/>
      <c r="AN1315" s="52"/>
      <c r="AO1315" s="52"/>
      <c r="AP1315" s="52"/>
      <c r="AQ1315" s="52"/>
      <c r="AR1315" s="52"/>
      <c r="AS1315" s="52"/>
      <c r="AT1315" s="52"/>
      <c r="AU1315" s="52"/>
      <c r="AV1315" s="52"/>
      <c r="AW1315" s="52"/>
    </row>
    <row r="1316" spans="1:49">
      <c r="A1316" s="52"/>
      <c r="B1316" s="52"/>
      <c r="C1316" s="52"/>
      <c r="D1316" s="53"/>
      <c r="E1316" s="53"/>
      <c r="F1316" s="53"/>
      <c r="G1316" s="53"/>
      <c r="H1316" s="53"/>
      <c r="I1316" s="52"/>
      <c r="J1316" s="52"/>
      <c r="K1316" s="52"/>
      <c r="L1316" s="52"/>
      <c r="M1316" s="55"/>
      <c r="N1316" s="54"/>
      <c r="O1316" s="52"/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  <c r="AA1316" s="52"/>
      <c r="AB1316" s="52"/>
      <c r="AC1316" s="52"/>
      <c r="AD1316" s="52"/>
      <c r="AE1316" s="52"/>
      <c r="AF1316" s="52"/>
      <c r="AG1316" s="52"/>
      <c r="AH1316" s="52"/>
      <c r="AI1316" s="52"/>
      <c r="AJ1316" s="52"/>
      <c r="AK1316" s="52"/>
      <c r="AL1316" s="55"/>
      <c r="AM1316" s="52"/>
      <c r="AN1316" s="52"/>
      <c r="AO1316" s="52"/>
      <c r="AP1316" s="55"/>
      <c r="AQ1316" s="52"/>
      <c r="AR1316" s="52"/>
      <c r="AS1316" s="52"/>
      <c r="AT1316" s="52"/>
      <c r="AU1316" s="52"/>
      <c r="AV1316" s="52"/>
      <c r="AW1316" s="52"/>
    </row>
    <row r="1317" spans="1:49">
      <c r="A1317" s="52"/>
      <c r="B1317" s="52"/>
      <c r="C1317" s="52"/>
      <c r="D1317" s="53"/>
      <c r="E1317" s="53"/>
      <c r="F1317" s="53"/>
      <c r="G1317" s="53"/>
      <c r="H1317" s="53"/>
      <c r="I1317" s="52"/>
      <c r="J1317" s="52"/>
      <c r="K1317" s="52"/>
      <c r="L1317" s="52"/>
      <c r="M1317" s="55"/>
      <c r="N1317" s="54"/>
      <c r="O1317" s="52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  <c r="AA1317" s="52"/>
      <c r="AB1317" s="52"/>
      <c r="AC1317" s="52"/>
      <c r="AD1317" s="52"/>
      <c r="AE1317" s="52"/>
      <c r="AF1317" s="52"/>
      <c r="AG1317" s="52"/>
      <c r="AH1317" s="52"/>
      <c r="AI1317" s="52"/>
      <c r="AJ1317" s="52"/>
      <c r="AK1317" s="52"/>
      <c r="AL1317" s="55"/>
      <c r="AM1317" s="52"/>
      <c r="AN1317" s="52"/>
      <c r="AO1317" s="52"/>
      <c r="AP1317" s="55"/>
      <c r="AQ1317" s="52"/>
      <c r="AR1317" s="52"/>
      <c r="AS1317" s="52"/>
      <c r="AT1317" s="52"/>
      <c r="AU1317" s="52"/>
      <c r="AV1317" s="52"/>
      <c r="AW1317" s="52"/>
    </row>
    <row r="1318" spans="1:49">
      <c r="A1318" s="52"/>
      <c r="B1318" s="52"/>
      <c r="C1318" s="52"/>
      <c r="D1318" s="53"/>
      <c r="E1318" s="53"/>
      <c r="F1318" s="52"/>
      <c r="G1318" s="52"/>
      <c r="H1318" s="52"/>
      <c r="I1318" s="52"/>
      <c r="J1318" s="52"/>
      <c r="K1318" s="52"/>
      <c r="L1318" s="52"/>
      <c r="M1318" s="55"/>
      <c r="N1318" s="54"/>
      <c r="O1318" s="52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  <c r="AA1318" s="52"/>
      <c r="AB1318" s="52"/>
      <c r="AC1318" s="52"/>
      <c r="AD1318" s="52"/>
      <c r="AE1318" s="52"/>
      <c r="AF1318" s="52"/>
      <c r="AG1318" s="52"/>
      <c r="AH1318" s="52"/>
      <c r="AI1318" s="52"/>
      <c r="AJ1318" s="52"/>
      <c r="AK1318" s="52"/>
      <c r="AL1318" s="52"/>
      <c r="AM1318" s="52"/>
      <c r="AN1318" s="52"/>
      <c r="AO1318" s="52"/>
      <c r="AP1318" s="52"/>
      <c r="AQ1318" s="52"/>
      <c r="AR1318" s="52"/>
      <c r="AS1318" s="52"/>
      <c r="AT1318" s="52"/>
      <c r="AU1318" s="52"/>
      <c r="AV1318" s="52"/>
      <c r="AW1318" s="52"/>
    </row>
    <row r="1319" spans="1:49">
      <c r="A1319" s="52"/>
      <c r="B1319" s="52"/>
      <c r="C1319" s="52"/>
      <c r="D1319" s="53"/>
      <c r="E1319" s="53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  <c r="AA1319" s="52"/>
      <c r="AB1319" s="52"/>
      <c r="AC1319" s="52"/>
      <c r="AD1319" s="52"/>
      <c r="AE1319" s="52"/>
      <c r="AF1319" s="52"/>
      <c r="AG1319" s="52"/>
      <c r="AH1319" s="52"/>
      <c r="AI1319" s="52"/>
      <c r="AJ1319" s="52"/>
      <c r="AK1319" s="52"/>
      <c r="AL1319" s="52"/>
      <c r="AM1319" s="52"/>
      <c r="AN1319" s="52"/>
      <c r="AO1319" s="52"/>
      <c r="AP1319" s="52"/>
      <c r="AQ1319" s="52"/>
      <c r="AR1319" s="52"/>
      <c r="AS1319" s="52"/>
      <c r="AT1319" s="52"/>
      <c r="AU1319" s="52"/>
      <c r="AV1319" s="52"/>
      <c r="AW1319" s="52"/>
    </row>
    <row r="1320" spans="1:49">
      <c r="A1320" s="52"/>
      <c r="B1320" s="52"/>
      <c r="C1320" s="52"/>
      <c r="D1320" s="53"/>
      <c r="E1320" s="53"/>
      <c r="F1320" s="52"/>
      <c r="G1320" s="52"/>
      <c r="H1320" s="52"/>
      <c r="I1320" s="52"/>
      <c r="J1320" s="52"/>
      <c r="K1320" s="52"/>
      <c r="L1320" s="52"/>
      <c r="M1320" s="54"/>
      <c r="N1320" s="54"/>
      <c r="O1320" s="52"/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  <c r="AA1320" s="52"/>
      <c r="AB1320" s="52"/>
      <c r="AC1320" s="52"/>
      <c r="AD1320" s="52"/>
      <c r="AE1320" s="52"/>
      <c r="AF1320" s="52"/>
      <c r="AG1320" s="52"/>
      <c r="AH1320" s="52"/>
      <c r="AI1320" s="52"/>
      <c r="AJ1320" s="52"/>
      <c r="AK1320" s="52"/>
      <c r="AL1320" s="52"/>
      <c r="AM1320" s="52"/>
      <c r="AN1320" s="52"/>
      <c r="AO1320" s="52"/>
      <c r="AP1320" s="52"/>
      <c r="AQ1320" s="52"/>
      <c r="AR1320" s="52"/>
      <c r="AS1320" s="52"/>
      <c r="AT1320" s="52"/>
      <c r="AU1320" s="52"/>
      <c r="AV1320" s="52"/>
      <c r="AW1320" s="52"/>
    </row>
    <row r="1321" spans="1:49">
      <c r="A1321" s="52"/>
      <c r="B1321" s="52"/>
      <c r="C1321" s="52"/>
      <c r="D1321" s="53"/>
      <c r="E1321" s="53"/>
      <c r="F1321" s="52"/>
      <c r="G1321" s="52"/>
      <c r="H1321" s="52"/>
      <c r="I1321" s="52"/>
      <c r="J1321" s="52"/>
      <c r="K1321" s="52"/>
      <c r="L1321" s="52"/>
      <c r="M1321" s="52"/>
      <c r="N1321" s="52"/>
      <c r="O1321" s="52"/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  <c r="AA1321" s="52"/>
      <c r="AB1321" s="52"/>
      <c r="AC1321" s="52"/>
      <c r="AD1321" s="52"/>
      <c r="AE1321" s="52"/>
      <c r="AF1321" s="52"/>
      <c r="AG1321" s="52"/>
      <c r="AH1321" s="52"/>
      <c r="AI1321" s="52"/>
      <c r="AJ1321" s="52"/>
      <c r="AK1321" s="52"/>
      <c r="AL1321" s="52"/>
      <c r="AM1321" s="52"/>
      <c r="AN1321" s="52"/>
      <c r="AO1321" s="52"/>
      <c r="AP1321" s="52"/>
      <c r="AQ1321" s="52"/>
      <c r="AR1321" s="52"/>
      <c r="AS1321" s="52"/>
      <c r="AT1321" s="52"/>
      <c r="AU1321" s="52"/>
      <c r="AV1321" s="52"/>
      <c r="AW1321" s="52"/>
    </row>
    <row r="1322" spans="1:49">
      <c r="A1322" s="52"/>
      <c r="B1322" s="52"/>
      <c r="C1322" s="52"/>
      <c r="D1322" s="53"/>
      <c r="E1322" s="53"/>
      <c r="F1322" s="52"/>
      <c r="G1322" s="52"/>
      <c r="H1322" s="52"/>
      <c r="I1322" s="52"/>
      <c r="J1322" s="52"/>
      <c r="K1322" s="52"/>
      <c r="L1322" s="52"/>
      <c r="M1322" s="54"/>
      <c r="N1322" s="54"/>
      <c r="O1322" s="52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  <c r="AA1322" s="52"/>
      <c r="AB1322" s="52"/>
      <c r="AC1322" s="52"/>
      <c r="AD1322" s="52"/>
      <c r="AE1322" s="52"/>
      <c r="AF1322" s="52"/>
      <c r="AG1322" s="52"/>
      <c r="AH1322" s="52"/>
      <c r="AI1322" s="52"/>
      <c r="AJ1322" s="52"/>
      <c r="AK1322" s="52"/>
      <c r="AL1322" s="52"/>
      <c r="AM1322" s="52"/>
      <c r="AN1322" s="52"/>
      <c r="AO1322" s="52"/>
      <c r="AP1322" s="52"/>
      <c r="AQ1322" s="52"/>
      <c r="AR1322" s="52"/>
      <c r="AS1322" s="52"/>
      <c r="AT1322" s="52"/>
      <c r="AU1322" s="52"/>
      <c r="AV1322" s="52"/>
      <c r="AW1322" s="52"/>
    </row>
    <row r="1323" spans="1:49">
      <c r="A1323" s="52"/>
      <c r="B1323" s="52"/>
      <c r="C1323" s="52"/>
      <c r="D1323" s="53"/>
      <c r="E1323" s="53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  <c r="AA1323" s="52"/>
      <c r="AB1323" s="52"/>
      <c r="AC1323" s="52"/>
      <c r="AD1323" s="52"/>
      <c r="AE1323" s="52"/>
      <c r="AF1323" s="52"/>
      <c r="AG1323" s="52"/>
      <c r="AH1323" s="52"/>
      <c r="AI1323" s="52"/>
      <c r="AJ1323" s="52"/>
      <c r="AK1323" s="52"/>
      <c r="AL1323" s="52"/>
      <c r="AM1323" s="52"/>
      <c r="AN1323" s="52"/>
      <c r="AO1323" s="52"/>
      <c r="AP1323" s="52"/>
      <c r="AQ1323" s="52"/>
      <c r="AR1323" s="52"/>
      <c r="AS1323" s="52"/>
      <c r="AT1323" s="52"/>
      <c r="AU1323" s="52"/>
      <c r="AV1323" s="52"/>
      <c r="AW1323" s="52"/>
    </row>
    <row r="1324" spans="1:49">
      <c r="A1324" s="52"/>
      <c r="B1324" s="52"/>
      <c r="C1324" s="52"/>
      <c r="D1324" s="53"/>
      <c r="E1324" s="53"/>
      <c r="F1324" s="52"/>
      <c r="G1324" s="52"/>
      <c r="H1324" s="52"/>
      <c r="I1324" s="52"/>
      <c r="J1324" s="52"/>
      <c r="K1324" s="52"/>
      <c r="L1324" s="52"/>
      <c r="M1324" s="54"/>
      <c r="N1324" s="54"/>
      <c r="O1324" s="52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  <c r="AA1324" s="52"/>
      <c r="AB1324" s="52"/>
      <c r="AC1324" s="52"/>
      <c r="AD1324" s="52"/>
      <c r="AE1324" s="52"/>
      <c r="AF1324" s="52"/>
      <c r="AG1324" s="52"/>
      <c r="AH1324" s="52"/>
      <c r="AI1324" s="52"/>
      <c r="AJ1324" s="52"/>
      <c r="AK1324" s="52"/>
      <c r="AL1324" s="52"/>
      <c r="AM1324" s="52"/>
      <c r="AN1324" s="52"/>
      <c r="AO1324" s="52"/>
      <c r="AP1324" s="52"/>
      <c r="AQ1324" s="52"/>
      <c r="AR1324" s="52"/>
      <c r="AS1324" s="52"/>
      <c r="AT1324" s="52"/>
      <c r="AU1324" s="52"/>
      <c r="AV1324" s="52"/>
      <c r="AW1324" s="52"/>
    </row>
    <row r="1325" spans="1:49">
      <c r="A1325" s="52"/>
      <c r="B1325" s="52"/>
      <c r="C1325" s="52"/>
      <c r="D1325" s="53"/>
      <c r="E1325" s="53"/>
      <c r="F1325" s="52"/>
      <c r="G1325" s="52"/>
      <c r="H1325" s="52"/>
      <c r="I1325" s="52"/>
      <c r="J1325" s="52"/>
      <c r="K1325" s="52"/>
      <c r="L1325" s="52"/>
      <c r="M1325" s="52"/>
      <c r="N1325" s="52"/>
      <c r="O1325" s="52"/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  <c r="AA1325" s="52"/>
      <c r="AB1325" s="52"/>
      <c r="AC1325" s="52"/>
      <c r="AD1325" s="52"/>
      <c r="AE1325" s="52"/>
      <c r="AF1325" s="52"/>
      <c r="AG1325" s="52"/>
      <c r="AH1325" s="52"/>
      <c r="AI1325" s="52"/>
      <c r="AJ1325" s="52"/>
      <c r="AK1325" s="52"/>
      <c r="AL1325" s="52"/>
      <c r="AM1325" s="52"/>
      <c r="AN1325" s="52"/>
      <c r="AO1325" s="52"/>
      <c r="AP1325" s="52"/>
      <c r="AQ1325" s="52"/>
      <c r="AR1325" s="52"/>
      <c r="AS1325" s="52"/>
      <c r="AT1325" s="52"/>
      <c r="AU1325" s="52"/>
      <c r="AV1325" s="52"/>
      <c r="AW1325" s="52"/>
    </row>
    <row r="1326" spans="1:49">
      <c r="A1326" s="52"/>
      <c r="B1326" s="52"/>
      <c r="C1326" s="52"/>
      <c r="D1326" s="53"/>
      <c r="E1326" s="53"/>
      <c r="F1326" s="52"/>
      <c r="G1326" s="52"/>
      <c r="H1326" s="52"/>
      <c r="I1326" s="52"/>
      <c r="J1326" s="52"/>
      <c r="K1326" s="52"/>
      <c r="L1326" s="52"/>
      <c r="M1326" s="54"/>
      <c r="N1326" s="54"/>
      <c r="O1326" s="52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  <c r="AA1326" s="52"/>
      <c r="AB1326" s="52"/>
      <c r="AC1326" s="52"/>
      <c r="AD1326" s="52"/>
      <c r="AE1326" s="52"/>
      <c r="AF1326" s="52"/>
      <c r="AG1326" s="52"/>
      <c r="AH1326" s="52"/>
      <c r="AI1326" s="52"/>
      <c r="AJ1326" s="52"/>
      <c r="AK1326" s="52"/>
      <c r="AL1326" s="52"/>
      <c r="AM1326" s="52"/>
      <c r="AN1326" s="52"/>
      <c r="AO1326" s="52"/>
      <c r="AP1326" s="52"/>
      <c r="AQ1326" s="52"/>
      <c r="AR1326" s="52"/>
      <c r="AS1326" s="52"/>
      <c r="AT1326" s="52"/>
      <c r="AU1326" s="52"/>
      <c r="AV1326" s="52"/>
      <c r="AW1326" s="52"/>
    </row>
    <row r="1327" spans="1:49">
      <c r="A1327" s="52"/>
      <c r="B1327" s="52"/>
      <c r="C1327" s="52"/>
      <c r="D1327" s="53"/>
      <c r="E1327" s="53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  <c r="AA1327" s="52"/>
      <c r="AB1327" s="52"/>
      <c r="AC1327" s="52"/>
      <c r="AD1327" s="52"/>
      <c r="AE1327" s="52"/>
      <c r="AF1327" s="52"/>
      <c r="AG1327" s="52"/>
      <c r="AH1327" s="52"/>
      <c r="AI1327" s="52"/>
      <c r="AJ1327" s="52"/>
      <c r="AK1327" s="52"/>
      <c r="AL1327" s="52"/>
      <c r="AM1327" s="52"/>
      <c r="AN1327" s="52"/>
      <c r="AO1327" s="52"/>
      <c r="AP1327" s="52"/>
      <c r="AQ1327" s="52"/>
      <c r="AR1327" s="52"/>
      <c r="AS1327" s="52"/>
      <c r="AT1327" s="52"/>
      <c r="AU1327" s="52"/>
      <c r="AV1327" s="52"/>
      <c r="AW1327" s="52"/>
    </row>
    <row r="1328" spans="1:49">
      <c r="A1328" s="52"/>
      <c r="B1328" s="52"/>
      <c r="C1328" s="52"/>
      <c r="D1328" s="53"/>
      <c r="E1328" s="53"/>
      <c r="F1328" s="52"/>
      <c r="G1328" s="52"/>
      <c r="H1328" s="52"/>
      <c r="I1328" s="52"/>
      <c r="J1328" s="52"/>
      <c r="K1328" s="52"/>
      <c r="L1328" s="52"/>
      <c r="M1328" s="55"/>
      <c r="N1328" s="55"/>
      <c r="O1328" s="52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  <c r="AA1328" s="52"/>
      <c r="AB1328" s="52"/>
      <c r="AC1328" s="52"/>
      <c r="AD1328" s="52"/>
      <c r="AE1328" s="52"/>
      <c r="AF1328" s="52"/>
      <c r="AG1328" s="52"/>
      <c r="AH1328" s="52"/>
      <c r="AI1328" s="52"/>
      <c r="AJ1328" s="52"/>
      <c r="AK1328" s="52"/>
      <c r="AL1328" s="52"/>
      <c r="AM1328" s="52"/>
      <c r="AN1328" s="52"/>
      <c r="AO1328" s="52"/>
      <c r="AP1328" s="52"/>
      <c r="AQ1328" s="52"/>
      <c r="AR1328" s="52"/>
      <c r="AS1328" s="52"/>
      <c r="AT1328" s="52"/>
      <c r="AU1328" s="52"/>
      <c r="AV1328" s="52"/>
      <c r="AW1328" s="52"/>
    </row>
    <row r="1329" spans="1:49">
      <c r="A1329" s="52"/>
      <c r="B1329" s="52"/>
      <c r="C1329" s="52"/>
      <c r="D1329" s="53"/>
      <c r="E1329" s="53"/>
      <c r="F1329" s="52"/>
      <c r="G1329" s="52"/>
      <c r="H1329" s="52"/>
      <c r="I1329" s="52"/>
      <c r="J1329" s="52"/>
      <c r="K1329" s="52"/>
      <c r="L1329" s="52"/>
      <c r="M1329" s="52"/>
      <c r="N1329" s="52"/>
      <c r="O1329" s="52"/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  <c r="AA1329" s="52"/>
      <c r="AB1329" s="52"/>
      <c r="AC1329" s="52"/>
      <c r="AD1329" s="52"/>
      <c r="AE1329" s="52"/>
      <c r="AF1329" s="52"/>
      <c r="AG1329" s="52"/>
      <c r="AH1329" s="52"/>
      <c r="AI1329" s="52"/>
      <c r="AJ1329" s="52"/>
      <c r="AK1329" s="52"/>
      <c r="AL1329" s="52"/>
      <c r="AM1329" s="52"/>
      <c r="AN1329" s="52"/>
      <c r="AO1329" s="52"/>
      <c r="AP1329" s="52"/>
      <c r="AQ1329" s="52"/>
      <c r="AR1329" s="52"/>
      <c r="AS1329" s="52"/>
      <c r="AT1329" s="52"/>
      <c r="AU1329" s="52"/>
      <c r="AV1329" s="52"/>
      <c r="AW1329" s="52"/>
    </row>
    <row r="1330" spans="1:49">
      <c r="A1330" s="52"/>
      <c r="B1330" s="52"/>
      <c r="C1330" s="52"/>
      <c r="D1330" s="53"/>
      <c r="E1330" s="53"/>
      <c r="F1330" s="52"/>
      <c r="G1330" s="52"/>
      <c r="H1330" s="52"/>
      <c r="I1330" s="52"/>
      <c r="J1330" s="52"/>
      <c r="K1330" s="52"/>
      <c r="L1330" s="52"/>
      <c r="M1330" s="55"/>
      <c r="N1330" s="54"/>
      <c r="O1330" s="52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  <c r="AA1330" s="52"/>
      <c r="AB1330" s="52"/>
      <c r="AC1330" s="52"/>
      <c r="AD1330" s="52"/>
      <c r="AE1330" s="52"/>
      <c r="AF1330" s="52"/>
      <c r="AG1330" s="52"/>
      <c r="AH1330" s="52"/>
      <c r="AI1330" s="52"/>
      <c r="AJ1330" s="52"/>
      <c r="AK1330" s="52"/>
      <c r="AL1330" s="52"/>
      <c r="AM1330" s="52"/>
      <c r="AN1330" s="52"/>
      <c r="AO1330" s="52"/>
      <c r="AP1330" s="52"/>
      <c r="AQ1330" s="52"/>
      <c r="AR1330" s="52"/>
      <c r="AS1330" s="52"/>
      <c r="AT1330" s="52"/>
      <c r="AU1330" s="52"/>
      <c r="AV1330" s="52"/>
      <c r="AW1330" s="52"/>
    </row>
    <row r="1331" spans="1:49">
      <c r="A1331" s="52"/>
      <c r="B1331" s="52"/>
      <c r="C1331" s="52"/>
      <c r="D1331" s="53"/>
      <c r="E1331" s="53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  <c r="AA1331" s="52"/>
      <c r="AB1331" s="52"/>
      <c r="AC1331" s="52"/>
      <c r="AD1331" s="52"/>
      <c r="AE1331" s="52"/>
      <c r="AF1331" s="52"/>
      <c r="AG1331" s="52"/>
      <c r="AH1331" s="52"/>
      <c r="AI1331" s="52"/>
      <c r="AJ1331" s="52"/>
      <c r="AK1331" s="52"/>
      <c r="AL1331" s="52"/>
      <c r="AM1331" s="52"/>
      <c r="AN1331" s="52"/>
      <c r="AO1331" s="52"/>
      <c r="AP1331" s="52"/>
      <c r="AQ1331" s="52"/>
      <c r="AR1331" s="52"/>
      <c r="AS1331" s="52"/>
      <c r="AT1331" s="52"/>
      <c r="AU1331" s="52"/>
      <c r="AV1331" s="52"/>
      <c r="AW1331" s="52"/>
    </row>
    <row r="1332" spans="1:49">
      <c r="A1332" s="52"/>
      <c r="B1332" s="52"/>
      <c r="C1332" s="52"/>
      <c r="D1332" s="53"/>
      <c r="E1332" s="53"/>
      <c r="F1332" s="52"/>
      <c r="G1332" s="52"/>
      <c r="H1332" s="52"/>
      <c r="I1332" s="52"/>
      <c r="J1332" s="52"/>
      <c r="K1332" s="52"/>
      <c r="L1332" s="52"/>
      <c r="M1332" s="55"/>
      <c r="N1332" s="54"/>
      <c r="O1332" s="52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  <c r="AA1332" s="52"/>
      <c r="AB1332" s="52"/>
      <c r="AC1332" s="52"/>
      <c r="AD1332" s="52"/>
      <c r="AE1332" s="52"/>
      <c r="AF1332" s="52"/>
      <c r="AG1332" s="52"/>
      <c r="AH1332" s="52"/>
      <c r="AI1332" s="52"/>
      <c r="AJ1332" s="52"/>
      <c r="AK1332" s="52"/>
      <c r="AL1332" s="52"/>
      <c r="AM1332" s="52"/>
      <c r="AN1332" s="52"/>
      <c r="AO1332" s="52"/>
      <c r="AP1332" s="52"/>
      <c r="AQ1332" s="52"/>
      <c r="AR1332" s="52"/>
      <c r="AS1332" s="52"/>
      <c r="AT1332" s="52"/>
      <c r="AU1332" s="52"/>
      <c r="AV1332" s="52"/>
      <c r="AW1332" s="52"/>
    </row>
    <row r="1333" spans="1:49">
      <c r="A1333" s="52"/>
      <c r="B1333" s="52"/>
      <c r="C1333" s="52"/>
      <c r="D1333" s="53"/>
      <c r="E1333" s="53"/>
      <c r="F1333" s="52"/>
      <c r="G1333" s="52"/>
      <c r="H1333" s="52"/>
      <c r="I1333" s="52"/>
      <c r="J1333" s="52"/>
      <c r="K1333" s="52"/>
      <c r="L1333" s="52"/>
      <c r="M1333" s="52"/>
      <c r="N1333" s="52"/>
      <c r="O1333" s="52"/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  <c r="AA1333" s="52"/>
      <c r="AB1333" s="52"/>
      <c r="AC1333" s="52"/>
      <c r="AD1333" s="52"/>
      <c r="AE1333" s="52"/>
      <c r="AF1333" s="52"/>
      <c r="AG1333" s="52"/>
      <c r="AH1333" s="52"/>
      <c r="AI1333" s="52"/>
      <c r="AJ1333" s="52"/>
      <c r="AK1333" s="52"/>
      <c r="AL1333" s="52"/>
      <c r="AM1333" s="52"/>
      <c r="AN1333" s="52"/>
      <c r="AO1333" s="52"/>
      <c r="AP1333" s="52"/>
      <c r="AQ1333" s="52"/>
      <c r="AR1333" s="52"/>
      <c r="AS1333" s="52"/>
      <c r="AT1333" s="52"/>
      <c r="AU1333" s="52"/>
      <c r="AV1333" s="52"/>
      <c r="AW1333" s="52"/>
    </row>
    <row r="1334" spans="1:49">
      <c r="A1334" s="52"/>
      <c r="B1334" s="52"/>
      <c r="C1334" s="52"/>
      <c r="D1334" s="53"/>
      <c r="E1334" s="53"/>
      <c r="F1334" s="53"/>
      <c r="G1334" s="53"/>
      <c r="H1334" s="53"/>
      <c r="I1334" s="52"/>
      <c r="J1334" s="52"/>
      <c r="K1334" s="53"/>
      <c r="L1334" s="52"/>
      <c r="M1334" s="54"/>
      <c r="N1334" s="54"/>
      <c r="O1334" s="52"/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  <c r="AA1334" s="52"/>
      <c r="AB1334" s="52"/>
      <c r="AC1334" s="52"/>
      <c r="AD1334" s="52"/>
      <c r="AE1334" s="52"/>
      <c r="AF1334" s="52"/>
      <c r="AG1334" s="52"/>
      <c r="AH1334" s="52"/>
      <c r="AI1334" s="52"/>
      <c r="AJ1334" s="52"/>
      <c r="AK1334" s="52"/>
      <c r="AL1334" s="52"/>
      <c r="AM1334" s="52"/>
      <c r="AN1334" s="52"/>
      <c r="AO1334" s="52"/>
      <c r="AP1334" s="52"/>
      <c r="AQ1334" s="52"/>
      <c r="AR1334" s="52"/>
      <c r="AS1334" s="52"/>
      <c r="AT1334" s="52"/>
      <c r="AU1334" s="52"/>
      <c r="AV1334" s="52"/>
      <c r="AW1334" s="52"/>
    </row>
    <row r="1335" spans="1:49">
      <c r="A1335" s="52"/>
      <c r="B1335" s="52"/>
      <c r="C1335" s="52"/>
      <c r="D1335" s="53"/>
      <c r="E1335" s="53"/>
      <c r="F1335" s="53"/>
      <c r="G1335" s="53"/>
      <c r="H1335" s="53"/>
      <c r="I1335" s="52"/>
      <c r="J1335" s="52"/>
      <c r="K1335" s="53"/>
      <c r="L1335" s="52"/>
      <c r="M1335" s="55"/>
      <c r="N1335" s="54"/>
      <c r="O1335" s="52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  <c r="AA1335" s="52"/>
      <c r="AB1335" s="52"/>
      <c r="AC1335" s="52"/>
      <c r="AD1335" s="52"/>
      <c r="AE1335" s="52"/>
      <c r="AF1335" s="52"/>
      <c r="AG1335" s="52"/>
      <c r="AH1335" s="52"/>
      <c r="AI1335" s="52"/>
      <c r="AJ1335" s="52"/>
      <c r="AK1335" s="52"/>
      <c r="AL1335" s="55"/>
      <c r="AM1335" s="52"/>
      <c r="AN1335" s="52"/>
      <c r="AO1335" s="55"/>
      <c r="AP1335" s="55"/>
      <c r="AQ1335" s="52"/>
      <c r="AR1335" s="52"/>
      <c r="AS1335" s="52"/>
      <c r="AT1335" s="52"/>
      <c r="AU1335" s="52"/>
      <c r="AV1335" s="52"/>
      <c r="AW1335" s="52"/>
    </row>
    <row r="1336" spans="1:49">
      <c r="A1336" s="52"/>
      <c r="B1336" s="52"/>
      <c r="C1336" s="52"/>
      <c r="D1336" s="53"/>
      <c r="E1336" s="53"/>
      <c r="F1336" s="53"/>
      <c r="G1336" s="53"/>
      <c r="H1336" s="53"/>
      <c r="I1336" s="52"/>
      <c r="J1336" s="52"/>
      <c r="K1336" s="53"/>
      <c r="L1336" s="52"/>
      <c r="M1336" s="55"/>
      <c r="N1336" s="54"/>
      <c r="O1336" s="52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  <c r="AA1336" s="52"/>
      <c r="AB1336" s="52"/>
      <c r="AC1336" s="52"/>
      <c r="AD1336" s="52"/>
      <c r="AE1336" s="52"/>
      <c r="AF1336" s="52"/>
      <c r="AG1336" s="52"/>
      <c r="AH1336" s="52"/>
      <c r="AI1336" s="52"/>
      <c r="AJ1336" s="52"/>
      <c r="AK1336" s="52"/>
      <c r="AL1336" s="55"/>
      <c r="AM1336" s="52"/>
      <c r="AN1336" s="52"/>
      <c r="AO1336" s="55"/>
      <c r="AP1336" s="55"/>
      <c r="AQ1336" s="52"/>
      <c r="AR1336" s="52"/>
      <c r="AS1336" s="52"/>
      <c r="AT1336" s="52"/>
      <c r="AU1336" s="52"/>
      <c r="AV1336" s="52"/>
      <c r="AW1336" s="52"/>
    </row>
    <row r="1337" spans="1:49">
      <c r="A1337" s="52"/>
      <c r="B1337" s="52"/>
      <c r="C1337" s="52"/>
      <c r="D1337" s="53"/>
      <c r="E1337" s="53"/>
      <c r="F1337" s="53"/>
      <c r="G1337" s="53"/>
      <c r="H1337" s="52"/>
      <c r="I1337" s="52"/>
      <c r="J1337" s="52"/>
      <c r="K1337" s="53"/>
      <c r="L1337" s="52"/>
      <c r="M1337" s="54"/>
      <c r="N1337" s="54"/>
      <c r="O1337" s="52"/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  <c r="AA1337" s="52"/>
      <c r="AB1337" s="52"/>
      <c r="AC1337" s="52"/>
      <c r="AD1337" s="52"/>
      <c r="AE1337" s="52"/>
      <c r="AF1337" s="52"/>
      <c r="AG1337" s="52"/>
      <c r="AH1337" s="52"/>
      <c r="AI1337" s="52"/>
      <c r="AJ1337" s="52"/>
      <c r="AK1337" s="52"/>
      <c r="AL1337" s="52"/>
      <c r="AM1337" s="52"/>
      <c r="AN1337" s="52"/>
      <c r="AO1337" s="52"/>
      <c r="AP1337" s="52"/>
      <c r="AQ1337" s="52"/>
      <c r="AR1337" s="52"/>
      <c r="AS1337" s="52"/>
      <c r="AT1337" s="52"/>
      <c r="AU1337" s="52"/>
      <c r="AV1337" s="52"/>
      <c r="AW1337" s="52"/>
    </row>
    <row r="1338" spans="1:49">
      <c r="A1338" s="52"/>
      <c r="B1338" s="52"/>
      <c r="C1338" s="52"/>
      <c r="D1338" s="53"/>
      <c r="E1338" s="53"/>
      <c r="F1338" s="52"/>
      <c r="G1338" s="53"/>
      <c r="H1338" s="52"/>
      <c r="I1338" s="52"/>
      <c r="J1338" s="52"/>
      <c r="K1338" s="53"/>
      <c r="L1338" s="52"/>
      <c r="M1338" s="52"/>
      <c r="N1338" s="52"/>
      <c r="O1338" s="52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  <c r="AA1338" s="52"/>
      <c r="AB1338" s="52"/>
      <c r="AC1338" s="52"/>
      <c r="AD1338" s="52"/>
      <c r="AE1338" s="52"/>
      <c r="AF1338" s="52"/>
      <c r="AG1338" s="52"/>
      <c r="AH1338" s="52"/>
      <c r="AI1338" s="52"/>
      <c r="AJ1338" s="52"/>
      <c r="AK1338" s="52"/>
      <c r="AL1338" s="52"/>
      <c r="AM1338" s="52"/>
      <c r="AN1338" s="52"/>
      <c r="AO1338" s="52"/>
      <c r="AP1338" s="52"/>
      <c r="AQ1338" s="52"/>
      <c r="AR1338" s="52"/>
      <c r="AS1338" s="52"/>
      <c r="AT1338" s="52"/>
      <c r="AU1338" s="52"/>
      <c r="AV1338" s="52"/>
      <c r="AW1338" s="52"/>
    </row>
    <row r="1339" spans="1:49">
      <c r="A1339" s="52"/>
      <c r="B1339" s="52"/>
      <c r="C1339" s="52"/>
      <c r="D1339" s="53"/>
      <c r="E1339" s="53"/>
      <c r="F1339" s="52"/>
      <c r="G1339" s="53"/>
      <c r="H1339" s="52"/>
      <c r="I1339" s="52"/>
      <c r="J1339" s="52"/>
      <c r="K1339" s="53"/>
      <c r="L1339" s="52"/>
      <c r="M1339" s="52"/>
      <c r="N1339" s="52"/>
      <c r="O1339" s="52"/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  <c r="AA1339" s="52"/>
      <c r="AB1339" s="52"/>
      <c r="AC1339" s="52"/>
      <c r="AD1339" s="52"/>
      <c r="AE1339" s="52"/>
      <c r="AF1339" s="52"/>
      <c r="AG1339" s="52"/>
      <c r="AH1339" s="52"/>
      <c r="AI1339" s="52"/>
      <c r="AJ1339" s="52"/>
      <c r="AK1339" s="52"/>
      <c r="AL1339" s="52"/>
      <c r="AM1339" s="52"/>
      <c r="AN1339" s="52"/>
      <c r="AO1339" s="52"/>
      <c r="AP1339" s="52"/>
      <c r="AQ1339" s="52"/>
      <c r="AR1339" s="52"/>
      <c r="AS1339" s="52"/>
      <c r="AT1339" s="52"/>
      <c r="AU1339" s="52"/>
      <c r="AV1339" s="52"/>
      <c r="AW1339" s="52"/>
    </row>
    <row r="1340" spans="1:49">
      <c r="A1340" s="52"/>
      <c r="B1340" s="52"/>
      <c r="C1340" s="52"/>
      <c r="D1340" s="53"/>
      <c r="E1340" s="53"/>
      <c r="F1340" s="53"/>
      <c r="G1340" s="53"/>
      <c r="H1340" s="53"/>
      <c r="I1340" s="52"/>
      <c r="J1340" s="52"/>
      <c r="K1340" s="53"/>
      <c r="L1340" s="52"/>
      <c r="M1340" s="55"/>
      <c r="N1340" s="54"/>
      <c r="O1340" s="52"/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  <c r="AA1340" s="52"/>
      <c r="AB1340" s="52"/>
      <c r="AC1340" s="52"/>
      <c r="AD1340" s="52"/>
      <c r="AE1340" s="52"/>
      <c r="AF1340" s="52"/>
      <c r="AG1340" s="52"/>
      <c r="AH1340" s="52"/>
      <c r="AI1340" s="52"/>
      <c r="AJ1340" s="52"/>
      <c r="AK1340" s="52"/>
      <c r="AL1340" s="52"/>
      <c r="AM1340" s="52"/>
      <c r="AN1340" s="52"/>
      <c r="AO1340" s="52"/>
      <c r="AP1340" s="52"/>
      <c r="AQ1340" s="52"/>
      <c r="AR1340" s="52"/>
      <c r="AS1340" s="52"/>
      <c r="AT1340" s="52"/>
      <c r="AU1340" s="52"/>
      <c r="AV1340" s="52"/>
      <c r="AW1340" s="52"/>
    </row>
    <row r="1341" spans="1:49">
      <c r="A1341" s="52"/>
      <c r="B1341" s="52"/>
      <c r="C1341" s="52"/>
      <c r="D1341" s="53"/>
      <c r="E1341" s="53"/>
      <c r="F1341" s="53"/>
      <c r="G1341" s="53"/>
      <c r="H1341" s="53"/>
      <c r="I1341" s="52"/>
      <c r="J1341" s="52"/>
      <c r="K1341" s="53"/>
      <c r="L1341" s="52"/>
      <c r="M1341" s="54"/>
      <c r="N1341" s="54"/>
      <c r="O1341" s="52"/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  <c r="AA1341" s="52"/>
      <c r="AB1341" s="52"/>
      <c r="AC1341" s="52"/>
      <c r="AD1341" s="52"/>
      <c r="AE1341" s="52"/>
      <c r="AF1341" s="52"/>
      <c r="AG1341" s="52"/>
      <c r="AH1341" s="52"/>
      <c r="AI1341" s="52"/>
      <c r="AJ1341" s="52"/>
      <c r="AK1341" s="52"/>
      <c r="AL1341" s="55"/>
      <c r="AM1341" s="52"/>
      <c r="AN1341" s="52"/>
      <c r="AO1341" s="55"/>
      <c r="AP1341" s="55"/>
      <c r="AQ1341" s="52"/>
      <c r="AR1341" s="52"/>
      <c r="AS1341" s="52"/>
      <c r="AT1341" s="52"/>
      <c r="AU1341" s="52"/>
      <c r="AV1341" s="52"/>
      <c r="AW1341" s="52"/>
    </row>
    <row r="1342" spans="1:49">
      <c r="A1342" s="52"/>
      <c r="B1342" s="52"/>
      <c r="C1342" s="52"/>
      <c r="D1342" s="53"/>
      <c r="E1342" s="53"/>
      <c r="F1342" s="53"/>
      <c r="G1342" s="53"/>
      <c r="H1342" s="53"/>
      <c r="I1342" s="52"/>
      <c r="J1342" s="52"/>
      <c r="K1342" s="53"/>
      <c r="L1342" s="52"/>
      <c r="M1342" s="54"/>
      <c r="N1342" s="54"/>
      <c r="O1342" s="52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  <c r="AA1342" s="52"/>
      <c r="AB1342" s="52"/>
      <c r="AC1342" s="52"/>
      <c r="AD1342" s="52"/>
      <c r="AE1342" s="52"/>
      <c r="AF1342" s="52"/>
      <c r="AG1342" s="52"/>
      <c r="AH1342" s="52"/>
      <c r="AI1342" s="52"/>
      <c r="AJ1342" s="52"/>
      <c r="AK1342" s="52"/>
      <c r="AL1342" s="55"/>
      <c r="AM1342" s="52"/>
      <c r="AN1342" s="52"/>
      <c r="AO1342" s="55"/>
      <c r="AP1342" s="55"/>
      <c r="AQ1342" s="52"/>
      <c r="AR1342" s="52"/>
      <c r="AS1342" s="52"/>
      <c r="AT1342" s="52"/>
      <c r="AU1342" s="52"/>
      <c r="AV1342" s="52"/>
      <c r="AW1342" s="52"/>
    </row>
    <row r="1343" spans="1:49">
      <c r="A1343" s="52"/>
      <c r="B1343" s="52"/>
      <c r="C1343" s="52"/>
      <c r="D1343" s="53"/>
      <c r="E1343" s="53"/>
      <c r="F1343" s="53"/>
      <c r="G1343" s="53"/>
      <c r="H1343" s="52"/>
      <c r="I1343" s="52"/>
      <c r="J1343" s="52"/>
      <c r="K1343" s="52"/>
      <c r="L1343" s="52"/>
      <c r="M1343" s="55"/>
      <c r="N1343" s="55"/>
      <c r="O1343" s="52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  <c r="AA1343" s="52"/>
      <c r="AB1343" s="52"/>
      <c r="AC1343" s="52"/>
      <c r="AD1343" s="52"/>
      <c r="AE1343" s="52"/>
      <c r="AF1343" s="52"/>
      <c r="AG1343" s="52"/>
      <c r="AH1343" s="52"/>
      <c r="AI1343" s="52"/>
      <c r="AJ1343" s="52"/>
      <c r="AK1343" s="52"/>
      <c r="AL1343" s="52"/>
      <c r="AM1343" s="52"/>
      <c r="AN1343" s="52"/>
      <c r="AO1343" s="52"/>
      <c r="AP1343" s="52"/>
      <c r="AQ1343" s="52"/>
      <c r="AR1343" s="52"/>
      <c r="AS1343" s="52"/>
      <c r="AT1343" s="52"/>
      <c r="AU1343" s="52"/>
      <c r="AV1343" s="52"/>
      <c r="AW1343" s="52"/>
    </row>
    <row r="1344" spans="1:49">
      <c r="A1344" s="52"/>
      <c r="B1344" s="52"/>
      <c r="C1344" s="52"/>
      <c r="D1344" s="53"/>
      <c r="E1344" s="53"/>
      <c r="F1344" s="53"/>
      <c r="G1344" s="53"/>
      <c r="H1344" s="52"/>
      <c r="I1344" s="52"/>
      <c r="J1344" s="52"/>
      <c r="K1344" s="52"/>
      <c r="L1344" s="52"/>
      <c r="M1344" s="55"/>
      <c r="N1344" s="55"/>
      <c r="O1344" s="52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  <c r="AA1344" s="52"/>
      <c r="AB1344" s="52"/>
      <c r="AC1344" s="52"/>
      <c r="AD1344" s="52"/>
      <c r="AE1344" s="52"/>
      <c r="AF1344" s="52"/>
      <c r="AG1344" s="52"/>
      <c r="AH1344" s="52"/>
      <c r="AI1344" s="52"/>
      <c r="AJ1344" s="52"/>
      <c r="AK1344" s="52"/>
      <c r="AL1344" s="52"/>
      <c r="AM1344" s="52"/>
      <c r="AN1344" s="52"/>
      <c r="AO1344" s="52"/>
      <c r="AP1344" s="52"/>
      <c r="AQ1344" s="52"/>
      <c r="AR1344" s="52"/>
      <c r="AS1344" s="52"/>
      <c r="AT1344" s="52"/>
      <c r="AU1344" s="52"/>
      <c r="AV1344" s="52"/>
      <c r="AW1344" s="52"/>
    </row>
    <row r="1345" spans="1:49">
      <c r="A1345" s="52"/>
      <c r="B1345" s="52"/>
      <c r="C1345" s="52"/>
      <c r="D1345" s="53"/>
      <c r="E1345" s="53"/>
      <c r="F1345" s="53"/>
      <c r="G1345" s="53"/>
      <c r="H1345" s="52"/>
      <c r="I1345" s="52"/>
      <c r="J1345" s="52"/>
      <c r="K1345" s="52"/>
      <c r="L1345" s="52"/>
      <c r="M1345" s="55"/>
      <c r="N1345" s="55"/>
      <c r="O1345" s="52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  <c r="AA1345" s="52"/>
      <c r="AB1345" s="52"/>
      <c r="AC1345" s="52"/>
      <c r="AD1345" s="52"/>
      <c r="AE1345" s="52"/>
      <c r="AF1345" s="52"/>
      <c r="AG1345" s="52"/>
      <c r="AH1345" s="52"/>
      <c r="AI1345" s="52"/>
      <c r="AJ1345" s="52"/>
      <c r="AK1345" s="52"/>
      <c r="AL1345" s="52"/>
      <c r="AM1345" s="52"/>
      <c r="AN1345" s="52"/>
      <c r="AO1345" s="52"/>
      <c r="AP1345" s="52"/>
      <c r="AQ1345" s="52"/>
      <c r="AR1345" s="52"/>
      <c r="AS1345" s="52"/>
      <c r="AT1345" s="52"/>
      <c r="AU1345" s="52"/>
      <c r="AV1345" s="52"/>
      <c r="AW1345" s="52"/>
    </row>
    <row r="1346" spans="1:49">
      <c r="A1346" s="52"/>
      <c r="B1346" s="52"/>
      <c r="C1346" s="52"/>
      <c r="D1346" s="53"/>
      <c r="E1346" s="53"/>
      <c r="F1346" s="53"/>
      <c r="G1346" s="53"/>
      <c r="H1346" s="53"/>
      <c r="I1346" s="52"/>
      <c r="J1346" s="52"/>
      <c r="K1346" s="52"/>
      <c r="L1346" s="52"/>
      <c r="M1346" s="55"/>
      <c r="N1346" s="55"/>
      <c r="O1346" s="52"/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  <c r="AA1346" s="52"/>
      <c r="AB1346" s="52"/>
      <c r="AC1346" s="52"/>
      <c r="AD1346" s="52"/>
      <c r="AE1346" s="52"/>
      <c r="AF1346" s="52"/>
      <c r="AG1346" s="52"/>
      <c r="AH1346" s="52"/>
      <c r="AI1346" s="52"/>
      <c r="AJ1346" s="52"/>
      <c r="AK1346" s="52"/>
      <c r="AL1346" s="55"/>
      <c r="AM1346" s="52"/>
      <c r="AN1346" s="52"/>
      <c r="AO1346" s="52"/>
      <c r="AP1346" s="55"/>
      <c r="AQ1346" s="52"/>
      <c r="AR1346" s="52"/>
      <c r="AS1346" s="52"/>
      <c r="AT1346" s="52"/>
      <c r="AU1346" s="52"/>
      <c r="AV1346" s="52"/>
      <c r="AW1346" s="52"/>
    </row>
    <row r="1347" spans="1:49">
      <c r="A1347" s="52"/>
      <c r="B1347" s="52"/>
      <c r="C1347" s="52"/>
      <c r="D1347" s="53"/>
      <c r="E1347" s="53"/>
      <c r="F1347" s="53"/>
      <c r="G1347" s="53"/>
      <c r="H1347" s="53"/>
      <c r="I1347" s="52"/>
      <c r="J1347" s="52"/>
      <c r="K1347" s="52"/>
      <c r="L1347" s="52"/>
      <c r="M1347" s="55"/>
      <c r="N1347" s="55"/>
      <c r="O1347" s="52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  <c r="AA1347" s="52"/>
      <c r="AB1347" s="52"/>
      <c r="AC1347" s="52"/>
      <c r="AD1347" s="52"/>
      <c r="AE1347" s="52"/>
      <c r="AF1347" s="52"/>
      <c r="AG1347" s="52"/>
      <c r="AH1347" s="52"/>
      <c r="AI1347" s="52"/>
      <c r="AJ1347" s="52"/>
      <c r="AK1347" s="52"/>
      <c r="AL1347" s="55"/>
      <c r="AM1347" s="52"/>
      <c r="AN1347" s="52"/>
      <c r="AO1347" s="52"/>
      <c r="AP1347" s="55"/>
      <c r="AQ1347" s="52"/>
      <c r="AR1347" s="52"/>
      <c r="AS1347" s="52"/>
      <c r="AT1347" s="52"/>
      <c r="AU1347" s="52"/>
      <c r="AV1347" s="52"/>
      <c r="AW1347" s="52"/>
    </row>
    <row r="1348" spans="1:49">
      <c r="A1348" s="52"/>
      <c r="B1348" s="52"/>
      <c r="C1348" s="52"/>
      <c r="D1348" s="53"/>
      <c r="E1348" s="53"/>
      <c r="F1348" s="52"/>
      <c r="G1348" s="52"/>
      <c r="H1348" s="52"/>
      <c r="I1348" s="52"/>
      <c r="J1348" s="52"/>
      <c r="K1348" s="52"/>
      <c r="L1348" s="52"/>
      <c r="M1348" s="55"/>
      <c r="N1348" s="54"/>
      <c r="O1348" s="52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  <c r="AA1348" s="52"/>
      <c r="AB1348" s="52"/>
      <c r="AC1348" s="52"/>
      <c r="AD1348" s="52"/>
      <c r="AE1348" s="52"/>
      <c r="AF1348" s="52"/>
      <c r="AG1348" s="52"/>
      <c r="AH1348" s="52"/>
      <c r="AI1348" s="52"/>
      <c r="AJ1348" s="52"/>
      <c r="AK1348" s="52"/>
      <c r="AL1348" s="52"/>
      <c r="AM1348" s="52"/>
      <c r="AN1348" s="52"/>
      <c r="AO1348" s="52"/>
      <c r="AP1348" s="52"/>
      <c r="AQ1348" s="52"/>
      <c r="AR1348" s="52"/>
      <c r="AS1348" s="52"/>
      <c r="AT1348" s="52"/>
      <c r="AU1348" s="52"/>
      <c r="AV1348" s="52"/>
      <c r="AW1348" s="52"/>
    </row>
    <row r="1349" spans="1:49">
      <c r="A1349" s="52"/>
      <c r="B1349" s="52"/>
      <c r="C1349" s="52"/>
      <c r="D1349" s="53"/>
      <c r="E1349" s="53"/>
      <c r="F1349" s="52"/>
      <c r="G1349" s="52"/>
      <c r="H1349" s="52"/>
      <c r="I1349" s="52"/>
      <c r="J1349" s="52"/>
      <c r="K1349" s="52"/>
      <c r="L1349" s="52"/>
      <c r="M1349" s="52"/>
      <c r="N1349" s="52"/>
      <c r="O1349" s="52"/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  <c r="AA1349" s="52"/>
      <c r="AB1349" s="52"/>
      <c r="AC1349" s="52"/>
      <c r="AD1349" s="52"/>
      <c r="AE1349" s="52"/>
      <c r="AF1349" s="52"/>
      <c r="AG1349" s="52"/>
      <c r="AH1349" s="52"/>
      <c r="AI1349" s="52"/>
      <c r="AJ1349" s="52"/>
      <c r="AK1349" s="52"/>
      <c r="AL1349" s="52"/>
      <c r="AM1349" s="52"/>
      <c r="AN1349" s="52"/>
      <c r="AO1349" s="52"/>
      <c r="AP1349" s="52"/>
      <c r="AQ1349" s="52"/>
      <c r="AR1349" s="52"/>
      <c r="AS1349" s="52"/>
      <c r="AT1349" s="52"/>
      <c r="AU1349" s="52"/>
      <c r="AV1349" s="52"/>
      <c r="AW1349" s="52"/>
    </row>
    <row r="1350" spans="1:49">
      <c r="A1350" s="52"/>
      <c r="B1350" s="52"/>
      <c r="C1350" s="52"/>
      <c r="D1350" s="53"/>
      <c r="E1350" s="53"/>
      <c r="F1350" s="52"/>
      <c r="G1350" s="52"/>
      <c r="H1350" s="52"/>
      <c r="I1350" s="52"/>
      <c r="J1350" s="52"/>
      <c r="K1350" s="52"/>
      <c r="L1350" s="52"/>
      <c r="M1350" s="55"/>
      <c r="N1350" s="54"/>
      <c r="O1350" s="52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  <c r="AA1350" s="52"/>
      <c r="AB1350" s="52"/>
      <c r="AC1350" s="52"/>
      <c r="AD1350" s="52"/>
      <c r="AE1350" s="52"/>
      <c r="AF1350" s="52"/>
      <c r="AG1350" s="52"/>
      <c r="AH1350" s="52"/>
      <c r="AI1350" s="52"/>
      <c r="AJ1350" s="52"/>
      <c r="AK1350" s="52"/>
      <c r="AL1350" s="52"/>
      <c r="AM1350" s="52"/>
      <c r="AN1350" s="52"/>
      <c r="AO1350" s="52"/>
      <c r="AP1350" s="52"/>
      <c r="AQ1350" s="52"/>
      <c r="AR1350" s="52"/>
      <c r="AS1350" s="52"/>
      <c r="AT1350" s="52"/>
      <c r="AU1350" s="52"/>
      <c r="AV1350" s="52"/>
      <c r="AW1350" s="52"/>
    </row>
    <row r="1351" spans="1:49">
      <c r="A1351" s="52"/>
      <c r="B1351" s="52"/>
      <c r="C1351" s="52"/>
      <c r="D1351" s="53"/>
      <c r="E1351" s="53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  <c r="AA1351" s="52"/>
      <c r="AB1351" s="52"/>
      <c r="AC1351" s="52"/>
      <c r="AD1351" s="52"/>
      <c r="AE1351" s="52"/>
      <c r="AF1351" s="52"/>
      <c r="AG1351" s="52"/>
      <c r="AH1351" s="52"/>
      <c r="AI1351" s="52"/>
      <c r="AJ1351" s="52"/>
      <c r="AK1351" s="52"/>
      <c r="AL1351" s="52"/>
      <c r="AM1351" s="52"/>
      <c r="AN1351" s="52"/>
      <c r="AO1351" s="52"/>
      <c r="AP1351" s="52"/>
      <c r="AQ1351" s="52"/>
      <c r="AR1351" s="52"/>
      <c r="AS1351" s="52"/>
      <c r="AT1351" s="52"/>
      <c r="AU1351" s="52"/>
      <c r="AV1351" s="52"/>
      <c r="AW1351" s="52"/>
    </row>
    <row r="1352" spans="1:49">
      <c r="A1352" s="52"/>
      <c r="B1352" s="52"/>
      <c r="C1352" s="52"/>
      <c r="D1352" s="53"/>
      <c r="E1352" s="53"/>
      <c r="F1352" s="53"/>
      <c r="G1352" s="53"/>
      <c r="H1352" s="52"/>
      <c r="I1352" s="52"/>
      <c r="J1352" s="52"/>
      <c r="K1352" s="53"/>
      <c r="L1352" s="52"/>
      <c r="M1352" s="54"/>
      <c r="N1352" s="55"/>
      <c r="O1352" s="52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  <c r="AA1352" s="52"/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52"/>
      <c r="AN1352" s="52"/>
      <c r="AO1352" s="52"/>
      <c r="AP1352" s="52"/>
      <c r="AQ1352" s="52"/>
      <c r="AR1352" s="52"/>
      <c r="AS1352" s="52"/>
      <c r="AT1352" s="52"/>
      <c r="AU1352" s="52"/>
      <c r="AV1352" s="52"/>
      <c r="AW1352" s="52"/>
    </row>
    <row r="1353" spans="1:49">
      <c r="A1353" s="52"/>
      <c r="B1353" s="52"/>
      <c r="C1353" s="52"/>
      <c r="D1353" s="53"/>
      <c r="E1353" s="53"/>
      <c r="F1353" s="52"/>
      <c r="G1353" s="53"/>
      <c r="H1353" s="52"/>
      <c r="I1353" s="52"/>
      <c r="J1353" s="52"/>
      <c r="K1353" s="53"/>
      <c r="L1353" s="52"/>
      <c r="M1353" s="52"/>
      <c r="N1353" s="52"/>
      <c r="O1353" s="52"/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  <c r="AA1353" s="52"/>
      <c r="AB1353" s="52"/>
      <c r="AC1353" s="52"/>
      <c r="AD1353" s="52"/>
      <c r="AE1353" s="52"/>
      <c r="AF1353" s="52"/>
      <c r="AG1353" s="52"/>
      <c r="AH1353" s="52"/>
      <c r="AI1353" s="52"/>
      <c r="AJ1353" s="52"/>
      <c r="AK1353" s="52"/>
      <c r="AL1353" s="52"/>
      <c r="AM1353" s="52"/>
      <c r="AN1353" s="52"/>
      <c r="AO1353" s="52"/>
      <c r="AP1353" s="52"/>
      <c r="AQ1353" s="52"/>
      <c r="AR1353" s="52"/>
      <c r="AS1353" s="52"/>
      <c r="AT1353" s="52"/>
      <c r="AU1353" s="52"/>
      <c r="AV1353" s="52"/>
      <c r="AW1353" s="52"/>
    </row>
    <row r="1354" spans="1:49">
      <c r="A1354" s="52"/>
      <c r="B1354" s="52"/>
      <c r="C1354" s="52"/>
      <c r="D1354" s="53"/>
      <c r="E1354" s="53"/>
      <c r="F1354" s="52"/>
      <c r="G1354" s="53"/>
      <c r="H1354" s="52"/>
      <c r="I1354" s="52"/>
      <c r="J1354" s="52"/>
      <c r="K1354" s="53"/>
      <c r="L1354" s="52"/>
      <c r="M1354" s="52"/>
      <c r="N1354" s="52"/>
      <c r="O1354" s="52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  <c r="AA1354" s="52"/>
      <c r="AB1354" s="52"/>
      <c r="AC1354" s="52"/>
      <c r="AD1354" s="52"/>
      <c r="AE1354" s="52"/>
      <c r="AF1354" s="52"/>
      <c r="AG1354" s="52"/>
      <c r="AH1354" s="52"/>
      <c r="AI1354" s="52"/>
      <c r="AJ1354" s="52"/>
      <c r="AK1354" s="52"/>
      <c r="AL1354" s="52"/>
      <c r="AM1354" s="52"/>
      <c r="AN1354" s="52"/>
      <c r="AO1354" s="52"/>
      <c r="AP1354" s="52"/>
      <c r="AQ1354" s="52"/>
      <c r="AR1354" s="52"/>
      <c r="AS1354" s="52"/>
      <c r="AT1354" s="52"/>
      <c r="AU1354" s="52"/>
      <c r="AV1354" s="52"/>
      <c r="AW1354" s="52"/>
    </row>
    <row r="1355" spans="1:49">
      <c r="A1355" s="52"/>
      <c r="B1355" s="52"/>
      <c r="C1355" s="52"/>
      <c r="D1355" s="53"/>
      <c r="E1355" s="53"/>
      <c r="F1355" s="52"/>
      <c r="G1355" s="52"/>
      <c r="H1355" s="52"/>
      <c r="I1355" s="52"/>
      <c r="J1355" s="52"/>
      <c r="K1355" s="52"/>
      <c r="L1355" s="52"/>
      <c r="M1355" s="55"/>
      <c r="N1355" s="54"/>
      <c r="O1355" s="52"/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  <c r="AA1355" s="52"/>
      <c r="AB1355" s="52"/>
      <c r="AC1355" s="52"/>
      <c r="AD1355" s="52"/>
      <c r="AE1355" s="52"/>
      <c r="AF1355" s="52"/>
      <c r="AG1355" s="52"/>
      <c r="AH1355" s="52"/>
      <c r="AI1355" s="52"/>
      <c r="AJ1355" s="52"/>
      <c r="AK1355" s="52"/>
      <c r="AL1355" s="52"/>
      <c r="AM1355" s="52"/>
      <c r="AN1355" s="52"/>
      <c r="AO1355" s="52"/>
      <c r="AP1355" s="52"/>
      <c r="AQ1355" s="52"/>
      <c r="AR1355" s="52"/>
      <c r="AS1355" s="52"/>
      <c r="AT1355" s="52"/>
      <c r="AU1355" s="52"/>
      <c r="AV1355" s="52"/>
      <c r="AW1355" s="52"/>
    </row>
    <row r="1356" spans="1:49">
      <c r="A1356" s="52"/>
      <c r="B1356" s="52"/>
      <c r="C1356" s="52"/>
      <c r="D1356" s="53"/>
      <c r="E1356" s="53"/>
      <c r="F1356" s="52"/>
      <c r="G1356" s="52"/>
      <c r="H1356" s="52"/>
      <c r="I1356" s="52"/>
      <c r="J1356" s="52"/>
      <c r="K1356" s="52"/>
      <c r="L1356" s="52"/>
      <c r="M1356" s="52"/>
      <c r="N1356" s="52"/>
      <c r="O1356" s="52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  <c r="AA1356" s="52"/>
      <c r="AB1356" s="52"/>
      <c r="AC1356" s="52"/>
      <c r="AD1356" s="52"/>
      <c r="AE1356" s="52"/>
      <c r="AF1356" s="52"/>
      <c r="AG1356" s="52"/>
      <c r="AH1356" s="52"/>
      <c r="AI1356" s="52"/>
      <c r="AJ1356" s="52"/>
      <c r="AK1356" s="52"/>
      <c r="AL1356" s="52"/>
      <c r="AM1356" s="52"/>
      <c r="AN1356" s="52"/>
      <c r="AO1356" s="52"/>
      <c r="AP1356" s="52"/>
      <c r="AQ1356" s="52"/>
      <c r="AR1356" s="52"/>
      <c r="AS1356" s="52"/>
      <c r="AT1356" s="52"/>
      <c r="AU1356" s="52"/>
      <c r="AV1356" s="52"/>
      <c r="AW1356" s="52"/>
    </row>
    <row r="1357" spans="1:49">
      <c r="A1357" s="52"/>
      <c r="B1357" s="52"/>
      <c r="C1357" s="52"/>
      <c r="D1357" s="53"/>
      <c r="E1357" s="53"/>
      <c r="F1357" s="53"/>
      <c r="G1357" s="53"/>
      <c r="H1357" s="52"/>
      <c r="I1357" s="52"/>
      <c r="J1357" s="52"/>
      <c r="K1357" s="53"/>
      <c r="L1357" s="52"/>
      <c r="M1357" s="55"/>
      <c r="N1357" s="54"/>
      <c r="O1357" s="52"/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  <c r="AA1357" s="52"/>
      <c r="AB1357" s="52"/>
      <c r="AC1357" s="52"/>
      <c r="AD1357" s="52"/>
      <c r="AE1357" s="52"/>
      <c r="AF1357" s="52"/>
      <c r="AG1357" s="52"/>
      <c r="AH1357" s="52"/>
      <c r="AI1357" s="52"/>
      <c r="AJ1357" s="52"/>
      <c r="AK1357" s="52"/>
      <c r="AL1357" s="55"/>
      <c r="AM1357" s="52"/>
      <c r="AN1357" s="52"/>
      <c r="AO1357" s="52"/>
      <c r="AP1357" s="52"/>
      <c r="AQ1357" s="52"/>
      <c r="AR1357" s="52"/>
      <c r="AS1357" s="52"/>
      <c r="AT1357" s="52"/>
      <c r="AU1357" s="52"/>
      <c r="AV1357" s="52"/>
      <c r="AW1357" s="52"/>
    </row>
    <row r="1358" spans="1:49">
      <c r="A1358" s="52"/>
      <c r="B1358" s="52"/>
      <c r="C1358" s="52"/>
      <c r="D1358" s="53"/>
      <c r="E1358" s="53"/>
      <c r="F1358" s="53"/>
      <c r="G1358" s="53"/>
      <c r="H1358" s="52"/>
      <c r="I1358" s="52"/>
      <c r="J1358" s="52"/>
      <c r="K1358" s="53"/>
      <c r="L1358" s="52"/>
      <c r="M1358" s="54"/>
      <c r="N1358" s="55"/>
      <c r="O1358" s="52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  <c r="AA1358" s="52"/>
      <c r="AB1358" s="52"/>
      <c r="AC1358" s="52"/>
      <c r="AD1358" s="52"/>
      <c r="AE1358" s="52"/>
      <c r="AF1358" s="52"/>
      <c r="AG1358" s="52"/>
      <c r="AH1358" s="52"/>
      <c r="AI1358" s="53"/>
      <c r="AJ1358" s="53"/>
      <c r="AK1358" s="53"/>
      <c r="AL1358" s="55"/>
      <c r="AM1358" s="52"/>
      <c r="AN1358" s="55"/>
      <c r="AO1358" s="52"/>
      <c r="AP1358" s="55"/>
      <c r="AQ1358" s="52"/>
      <c r="AR1358" s="52"/>
      <c r="AS1358" s="52"/>
      <c r="AT1358" s="52"/>
      <c r="AU1358" s="52"/>
      <c r="AV1358" s="52"/>
      <c r="AW1358" s="52"/>
    </row>
    <row r="1359" spans="1:49">
      <c r="A1359" s="52"/>
      <c r="B1359" s="52"/>
      <c r="C1359" s="52"/>
      <c r="D1359" s="53"/>
      <c r="E1359" s="53"/>
      <c r="F1359" s="53"/>
      <c r="G1359" s="53"/>
      <c r="H1359" s="52"/>
      <c r="I1359" s="52"/>
      <c r="J1359" s="52"/>
      <c r="K1359" s="53"/>
      <c r="L1359" s="52"/>
      <c r="M1359" s="54"/>
      <c r="N1359" s="55"/>
      <c r="O1359" s="52"/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  <c r="AA1359" s="52"/>
      <c r="AB1359" s="52"/>
      <c r="AC1359" s="52"/>
      <c r="AD1359" s="52"/>
      <c r="AE1359" s="52"/>
      <c r="AF1359" s="52"/>
      <c r="AG1359" s="52"/>
      <c r="AH1359" s="52"/>
      <c r="AI1359" s="53"/>
      <c r="AJ1359" s="53"/>
      <c r="AK1359" s="53"/>
      <c r="AL1359" s="55"/>
      <c r="AM1359" s="52"/>
      <c r="AN1359" s="55"/>
      <c r="AO1359" s="52"/>
      <c r="AP1359" s="55"/>
      <c r="AQ1359" s="52"/>
      <c r="AR1359" s="52"/>
      <c r="AS1359" s="52"/>
      <c r="AT1359" s="52"/>
      <c r="AU1359" s="52"/>
      <c r="AV1359" s="52"/>
      <c r="AW1359" s="52"/>
    </row>
    <row r="1360" spans="1:49">
      <c r="A1360" s="52"/>
      <c r="B1360" s="52"/>
      <c r="C1360" s="52"/>
      <c r="D1360" s="53"/>
      <c r="E1360" s="53"/>
      <c r="F1360" s="53"/>
      <c r="G1360" s="53"/>
      <c r="H1360" s="52"/>
      <c r="I1360" s="52"/>
      <c r="J1360" s="52"/>
      <c r="K1360" s="53"/>
      <c r="L1360" s="52"/>
      <c r="M1360" s="54"/>
      <c r="N1360" s="54"/>
      <c r="O1360" s="52"/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  <c r="AA1360" s="52"/>
      <c r="AB1360" s="52"/>
      <c r="AC1360" s="52"/>
      <c r="AD1360" s="52"/>
      <c r="AE1360" s="52"/>
      <c r="AF1360" s="52"/>
      <c r="AG1360" s="52"/>
      <c r="AH1360" s="52"/>
      <c r="AI1360" s="52"/>
      <c r="AJ1360" s="52"/>
      <c r="AK1360" s="52"/>
      <c r="AL1360" s="55"/>
      <c r="AM1360" s="52"/>
      <c r="AN1360" s="52"/>
      <c r="AO1360" s="52"/>
      <c r="AP1360" s="52"/>
      <c r="AQ1360" s="52"/>
      <c r="AR1360" s="52"/>
      <c r="AS1360" s="52"/>
      <c r="AT1360" s="52"/>
      <c r="AU1360" s="52"/>
      <c r="AV1360" s="52"/>
      <c r="AW1360" s="52"/>
    </row>
    <row r="1361" spans="1:49">
      <c r="A1361" s="52"/>
      <c r="B1361" s="52"/>
      <c r="C1361" s="52"/>
      <c r="D1361" s="53"/>
      <c r="E1361" s="53"/>
      <c r="F1361" s="53"/>
      <c r="G1361" s="53"/>
      <c r="H1361" s="52"/>
      <c r="I1361" s="52"/>
      <c r="J1361" s="52"/>
      <c r="K1361" s="53"/>
      <c r="L1361" s="52"/>
      <c r="M1361" s="54"/>
      <c r="N1361" s="55"/>
      <c r="O1361" s="52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  <c r="AA1361" s="52"/>
      <c r="AB1361" s="52"/>
      <c r="AC1361" s="52"/>
      <c r="AD1361" s="52"/>
      <c r="AE1361" s="52"/>
      <c r="AF1361" s="52"/>
      <c r="AG1361" s="52"/>
      <c r="AH1361" s="52"/>
      <c r="AI1361" s="53"/>
      <c r="AJ1361" s="53"/>
      <c r="AK1361" s="53"/>
      <c r="AL1361" s="55"/>
      <c r="AM1361" s="52"/>
      <c r="AN1361" s="55"/>
      <c r="AO1361" s="52"/>
      <c r="AP1361" s="55"/>
      <c r="AQ1361" s="52"/>
      <c r="AR1361" s="52"/>
      <c r="AS1361" s="52"/>
      <c r="AT1361" s="52"/>
      <c r="AU1361" s="52"/>
      <c r="AV1361" s="52"/>
      <c r="AW1361" s="52"/>
    </row>
    <row r="1362" spans="1:49">
      <c r="A1362" s="52"/>
      <c r="B1362" s="52"/>
      <c r="C1362" s="52"/>
      <c r="D1362" s="53"/>
      <c r="E1362" s="53"/>
      <c r="F1362" s="53"/>
      <c r="G1362" s="53"/>
      <c r="H1362" s="52"/>
      <c r="I1362" s="52"/>
      <c r="J1362" s="52"/>
      <c r="K1362" s="53"/>
      <c r="L1362" s="52"/>
      <c r="M1362" s="54"/>
      <c r="N1362" s="55"/>
      <c r="O1362" s="52"/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  <c r="AA1362" s="52"/>
      <c r="AB1362" s="52"/>
      <c r="AC1362" s="52"/>
      <c r="AD1362" s="52"/>
      <c r="AE1362" s="52"/>
      <c r="AF1362" s="52"/>
      <c r="AG1362" s="52"/>
      <c r="AH1362" s="52"/>
      <c r="AI1362" s="53"/>
      <c r="AJ1362" s="53"/>
      <c r="AK1362" s="53"/>
      <c r="AL1362" s="55"/>
      <c r="AM1362" s="52"/>
      <c r="AN1362" s="55"/>
      <c r="AO1362" s="52"/>
      <c r="AP1362" s="55"/>
      <c r="AQ1362" s="52"/>
      <c r="AR1362" s="52"/>
      <c r="AS1362" s="52"/>
      <c r="AT1362" s="52"/>
      <c r="AU1362" s="52"/>
      <c r="AV1362" s="52"/>
      <c r="AW1362" s="52"/>
    </row>
    <row r="1363" spans="1:49">
      <c r="A1363" s="52"/>
      <c r="B1363" s="52"/>
      <c r="C1363" s="52"/>
      <c r="D1363" s="53"/>
      <c r="E1363" s="53"/>
      <c r="F1363" s="53"/>
      <c r="G1363" s="53"/>
      <c r="H1363" s="53"/>
      <c r="I1363" s="52"/>
      <c r="J1363" s="52"/>
      <c r="K1363" s="53"/>
      <c r="L1363" s="52"/>
      <c r="M1363" s="54"/>
      <c r="N1363" s="54"/>
      <c r="O1363" s="52"/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  <c r="AA1363" s="52"/>
      <c r="AB1363" s="52"/>
      <c r="AC1363" s="52"/>
      <c r="AD1363" s="52"/>
      <c r="AE1363" s="52"/>
      <c r="AF1363" s="52"/>
      <c r="AG1363" s="52"/>
      <c r="AH1363" s="52"/>
      <c r="AI1363" s="52"/>
      <c r="AJ1363" s="52"/>
      <c r="AK1363" s="52"/>
      <c r="AL1363" s="52"/>
      <c r="AM1363" s="52"/>
      <c r="AN1363" s="52"/>
      <c r="AO1363" s="52"/>
      <c r="AP1363" s="52"/>
      <c r="AQ1363" s="52"/>
      <c r="AR1363" s="52"/>
      <c r="AS1363" s="52"/>
      <c r="AT1363" s="52"/>
      <c r="AU1363" s="52"/>
      <c r="AV1363" s="52"/>
      <c r="AW1363" s="52"/>
    </row>
    <row r="1364" spans="1:49">
      <c r="A1364" s="52"/>
      <c r="B1364" s="52"/>
      <c r="C1364" s="52"/>
      <c r="D1364" s="53"/>
      <c r="E1364" s="53"/>
      <c r="F1364" s="53"/>
      <c r="G1364" s="53"/>
      <c r="H1364" s="52"/>
      <c r="I1364" s="52"/>
      <c r="J1364" s="52"/>
      <c r="K1364" s="52"/>
      <c r="L1364" s="52"/>
      <c r="M1364" s="54"/>
      <c r="N1364" s="54"/>
      <c r="O1364" s="52"/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  <c r="AA1364" s="52"/>
      <c r="AB1364" s="52"/>
      <c r="AC1364" s="52"/>
      <c r="AD1364" s="52"/>
      <c r="AE1364" s="52"/>
      <c r="AF1364" s="52"/>
      <c r="AG1364" s="52"/>
      <c r="AH1364" s="52"/>
      <c r="AI1364" s="52"/>
      <c r="AJ1364" s="52"/>
      <c r="AK1364" s="52"/>
      <c r="AL1364" s="52"/>
      <c r="AM1364" s="52"/>
      <c r="AN1364" s="52"/>
      <c r="AO1364" s="52"/>
      <c r="AP1364" s="52"/>
      <c r="AQ1364" s="52"/>
      <c r="AR1364" s="52"/>
      <c r="AS1364" s="52"/>
      <c r="AT1364" s="52"/>
      <c r="AU1364" s="52"/>
      <c r="AV1364" s="52"/>
      <c r="AW1364" s="52"/>
    </row>
    <row r="1365" spans="1:49">
      <c r="A1365" s="52"/>
      <c r="B1365" s="52"/>
      <c r="C1365" s="52"/>
      <c r="D1365" s="53"/>
      <c r="E1365" s="53"/>
      <c r="F1365" s="53"/>
      <c r="G1365" s="53"/>
      <c r="H1365" s="52"/>
      <c r="I1365" s="52"/>
      <c r="J1365" s="52"/>
      <c r="K1365" s="52"/>
      <c r="L1365" s="52"/>
      <c r="M1365" s="54"/>
      <c r="N1365" s="54"/>
      <c r="O1365" s="52"/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  <c r="AA1365" s="52"/>
      <c r="AB1365" s="52"/>
      <c r="AC1365" s="52"/>
      <c r="AD1365" s="52"/>
      <c r="AE1365" s="52"/>
      <c r="AF1365" s="52"/>
      <c r="AG1365" s="52"/>
      <c r="AH1365" s="52"/>
      <c r="AI1365" s="52"/>
      <c r="AJ1365" s="52"/>
      <c r="AK1365" s="52"/>
      <c r="AL1365" s="52"/>
      <c r="AM1365" s="52"/>
      <c r="AN1365" s="52"/>
      <c r="AO1365" s="52"/>
      <c r="AP1365" s="52"/>
      <c r="AQ1365" s="52"/>
      <c r="AR1365" s="52"/>
      <c r="AS1365" s="52"/>
      <c r="AT1365" s="52"/>
      <c r="AU1365" s="52"/>
      <c r="AV1365" s="52"/>
      <c r="AW1365" s="52"/>
    </row>
    <row r="1366" spans="1:49">
      <c r="A1366" s="52"/>
      <c r="B1366" s="52"/>
      <c r="C1366" s="52"/>
      <c r="D1366" s="53"/>
      <c r="E1366" s="53"/>
      <c r="F1366" s="53"/>
      <c r="G1366" s="53"/>
      <c r="H1366" s="53"/>
      <c r="I1366" s="52"/>
      <c r="J1366" s="52"/>
      <c r="K1366" s="52"/>
      <c r="L1366" s="52"/>
      <c r="M1366" s="54"/>
      <c r="N1366" s="54"/>
      <c r="O1366" s="52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  <c r="AA1366" s="52"/>
      <c r="AB1366" s="52"/>
      <c r="AC1366" s="52"/>
      <c r="AD1366" s="52"/>
      <c r="AE1366" s="52"/>
      <c r="AF1366" s="52"/>
      <c r="AG1366" s="52"/>
      <c r="AH1366" s="52"/>
      <c r="AI1366" s="52"/>
      <c r="AJ1366" s="52"/>
      <c r="AK1366" s="52"/>
      <c r="AL1366" s="55"/>
      <c r="AM1366" s="52"/>
      <c r="AN1366" s="52"/>
      <c r="AO1366" s="52"/>
      <c r="AP1366" s="55"/>
      <c r="AQ1366" s="52"/>
      <c r="AR1366" s="52"/>
      <c r="AS1366" s="52"/>
      <c r="AT1366" s="52"/>
      <c r="AU1366" s="52"/>
      <c r="AV1366" s="52"/>
      <c r="AW1366" s="52"/>
    </row>
    <row r="1367" spans="1:49">
      <c r="A1367" s="52"/>
      <c r="B1367" s="52"/>
      <c r="C1367" s="52"/>
      <c r="D1367" s="53"/>
      <c r="E1367" s="53"/>
      <c r="F1367" s="53"/>
      <c r="G1367" s="53"/>
      <c r="H1367" s="53"/>
      <c r="I1367" s="52"/>
      <c r="J1367" s="52"/>
      <c r="K1367" s="52"/>
      <c r="L1367" s="52"/>
      <c r="M1367" s="54"/>
      <c r="N1367" s="54"/>
      <c r="O1367" s="52"/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  <c r="AA1367" s="52"/>
      <c r="AB1367" s="52"/>
      <c r="AC1367" s="52"/>
      <c r="AD1367" s="52"/>
      <c r="AE1367" s="52"/>
      <c r="AF1367" s="52"/>
      <c r="AG1367" s="52"/>
      <c r="AH1367" s="52"/>
      <c r="AI1367" s="52"/>
      <c r="AJ1367" s="52"/>
      <c r="AK1367" s="52"/>
      <c r="AL1367" s="55"/>
      <c r="AM1367" s="52"/>
      <c r="AN1367" s="52"/>
      <c r="AO1367" s="52"/>
      <c r="AP1367" s="55"/>
      <c r="AQ1367" s="52"/>
      <c r="AR1367" s="52"/>
      <c r="AS1367" s="52"/>
      <c r="AT1367" s="52"/>
      <c r="AU1367" s="52"/>
      <c r="AV1367" s="52"/>
      <c r="AW1367" s="52"/>
    </row>
    <row r="1368" spans="1:49">
      <c r="A1368" s="52"/>
      <c r="B1368" s="52"/>
      <c r="C1368" s="52"/>
      <c r="D1368" s="53"/>
      <c r="E1368" s="53"/>
      <c r="F1368" s="53"/>
      <c r="G1368" s="53"/>
      <c r="H1368" s="53"/>
      <c r="I1368" s="52"/>
      <c r="J1368" s="52"/>
      <c r="K1368" s="53"/>
      <c r="L1368" s="52"/>
      <c r="M1368" s="55"/>
      <c r="N1368" s="54"/>
      <c r="O1368" s="52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  <c r="AA1368" s="52"/>
      <c r="AB1368" s="52"/>
      <c r="AC1368" s="52"/>
      <c r="AD1368" s="52"/>
      <c r="AE1368" s="52"/>
      <c r="AF1368" s="52"/>
      <c r="AG1368" s="52"/>
      <c r="AH1368" s="52"/>
      <c r="AI1368" s="52"/>
      <c r="AJ1368" s="52"/>
      <c r="AK1368" s="52"/>
      <c r="AL1368" s="52"/>
      <c r="AM1368" s="52"/>
      <c r="AN1368" s="52"/>
      <c r="AO1368" s="52"/>
      <c r="AP1368" s="52"/>
      <c r="AQ1368" s="52"/>
      <c r="AR1368" s="52"/>
      <c r="AS1368" s="52"/>
      <c r="AT1368" s="52"/>
      <c r="AU1368" s="52"/>
      <c r="AV1368" s="52"/>
      <c r="AW1368" s="52"/>
    </row>
    <row r="1369" spans="1:49">
      <c r="A1369" s="52"/>
      <c r="B1369" s="52"/>
      <c r="C1369" s="52"/>
      <c r="D1369" s="53"/>
      <c r="E1369" s="53"/>
      <c r="F1369" s="53"/>
      <c r="G1369" s="53"/>
      <c r="H1369" s="53"/>
      <c r="I1369" s="52"/>
      <c r="J1369" s="52"/>
      <c r="K1369" s="53"/>
      <c r="L1369" s="52"/>
      <c r="M1369" s="55"/>
      <c r="N1369" s="54"/>
      <c r="O1369" s="52"/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  <c r="AA1369" s="52"/>
      <c r="AB1369" s="52"/>
      <c r="AC1369" s="52"/>
      <c r="AD1369" s="52"/>
      <c r="AE1369" s="52"/>
      <c r="AF1369" s="52"/>
      <c r="AG1369" s="52"/>
      <c r="AH1369" s="52"/>
      <c r="AI1369" s="52"/>
      <c r="AJ1369" s="52"/>
      <c r="AK1369" s="52"/>
      <c r="AL1369" s="55"/>
      <c r="AM1369" s="52"/>
      <c r="AN1369" s="52"/>
      <c r="AO1369" s="55"/>
      <c r="AP1369" s="55"/>
      <c r="AQ1369" s="52"/>
      <c r="AR1369" s="52"/>
      <c r="AS1369" s="52"/>
      <c r="AT1369" s="52"/>
      <c r="AU1369" s="52"/>
      <c r="AV1369" s="52"/>
      <c r="AW1369" s="52"/>
    </row>
    <row r="1370" spans="1:49">
      <c r="A1370" s="52"/>
      <c r="B1370" s="52"/>
      <c r="C1370" s="52"/>
      <c r="D1370" s="53"/>
      <c r="E1370" s="53"/>
      <c r="F1370" s="53"/>
      <c r="G1370" s="53"/>
      <c r="H1370" s="53"/>
      <c r="I1370" s="52"/>
      <c r="J1370" s="52"/>
      <c r="K1370" s="53"/>
      <c r="L1370" s="52"/>
      <c r="M1370" s="55"/>
      <c r="N1370" s="54"/>
      <c r="O1370" s="52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  <c r="AA1370" s="52"/>
      <c r="AB1370" s="52"/>
      <c r="AC1370" s="52"/>
      <c r="AD1370" s="52"/>
      <c r="AE1370" s="52"/>
      <c r="AF1370" s="52"/>
      <c r="AG1370" s="52"/>
      <c r="AH1370" s="52"/>
      <c r="AI1370" s="52"/>
      <c r="AJ1370" s="52"/>
      <c r="AK1370" s="52"/>
      <c r="AL1370" s="55"/>
      <c r="AM1370" s="52"/>
      <c r="AN1370" s="52"/>
      <c r="AO1370" s="55"/>
      <c r="AP1370" s="55"/>
      <c r="AQ1370" s="52"/>
      <c r="AR1370" s="52"/>
      <c r="AS1370" s="52"/>
      <c r="AT1370" s="52"/>
      <c r="AU1370" s="52"/>
      <c r="AV1370" s="52"/>
      <c r="AW1370" s="52"/>
    </row>
    <row r="1371" spans="1:49">
      <c r="A1371" s="52"/>
      <c r="B1371" s="52"/>
      <c r="C1371" s="52"/>
      <c r="D1371" s="53"/>
      <c r="E1371" s="53"/>
      <c r="F1371" s="52"/>
      <c r="G1371" s="52"/>
      <c r="H1371" s="52"/>
      <c r="I1371" s="52"/>
      <c r="J1371" s="52"/>
      <c r="K1371" s="52"/>
      <c r="L1371" s="52"/>
      <c r="M1371" s="55"/>
      <c r="N1371" s="54"/>
      <c r="O1371" s="52"/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  <c r="AA1371" s="52"/>
      <c r="AB1371" s="52"/>
      <c r="AC1371" s="52"/>
      <c r="AD1371" s="52"/>
      <c r="AE1371" s="52"/>
      <c r="AF1371" s="52"/>
      <c r="AG1371" s="52"/>
      <c r="AH1371" s="52"/>
      <c r="AI1371" s="52"/>
      <c r="AJ1371" s="52"/>
      <c r="AK1371" s="52"/>
      <c r="AL1371" s="52"/>
      <c r="AM1371" s="52"/>
      <c r="AN1371" s="52"/>
      <c r="AO1371" s="52"/>
      <c r="AP1371" s="52"/>
      <c r="AQ1371" s="52"/>
      <c r="AR1371" s="52"/>
      <c r="AS1371" s="52"/>
      <c r="AT1371" s="52"/>
      <c r="AU1371" s="52"/>
      <c r="AV1371" s="52"/>
      <c r="AW1371" s="52"/>
    </row>
    <row r="1372" spans="1:49">
      <c r="A1372" s="52"/>
      <c r="B1372" s="52"/>
      <c r="C1372" s="52"/>
      <c r="D1372" s="53"/>
      <c r="E1372" s="53"/>
      <c r="F1372" s="52"/>
      <c r="G1372" s="52"/>
      <c r="H1372" s="52"/>
      <c r="I1372" s="52"/>
      <c r="J1372" s="52"/>
      <c r="K1372" s="52"/>
      <c r="L1372" s="52"/>
      <c r="M1372" s="52"/>
      <c r="N1372" s="52"/>
      <c r="O1372" s="52"/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  <c r="AA1372" s="52"/>
      <c r="AB1372" s="52"/>
      <c r="AC1372" s="52"/>
      <c r="AD1372" s="52"/>
      <c r="AE1372" s="52"/>
      <c r="AF1372" s="52"/>
      <c r="AG1372" s="52"/>
      <c r="AH1372" s="52"/>
      <c r="AI1372" s="52"/>
      <c r="AJ1372" s="52"/>
      <c r="AK1372" s="52"/>
      <c r="AL1372" s="52"/>
      <c r="AM1372" s="52"/>
      <c r="AN1372" s="52"/>
      <c r="AO1372" s="52"/>
      <c r="AP1372" s="52"/>
      <c r="AQ1372" s="52"/>
      <c r="AR1372" s="52"/>
      <c r="AS1372" s="52"/>
      <c r="AT1372" s="52"/>
      <c r="AU1372" s="52"/>
      <c r="AV1372" s="52"/>
      <c r="AW1372" s="52"/>
    </row>
    <row r="1373" spans="1:49">
      <c r="A1373" s="52"/>
      <c r="B1373" s="52"/>
      <c r="C1373" s="52"/>
      <c r="D1373" s="53"/>
      <c r="E1373" s="53"/>
      <c r="F1373" s="53"/>
      <c r="G1373" s="53"/>
      <c r="H1373" s="53"/>
      <c r="I1373" s="52"/>
      <c r="J1373" s="52"/>
      <c r="K1373" s="53"/>
      <c r="L1373" s="52"/>
      <c r="M1373" s="54"/>
      <c r="N1373" s="54"/>
      <c r="O1373" s="52"/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  <c r="AA1373" s="52"/>
      <c r="AB1373" s="52"/>
      <c r="AC1373" s="52"/>
      <c r="AD1373" s="52"/>
      <c r="AE1373" s="52"/>
      <c r="AF1373" s="52"/>
      <c r="AG1373" s="52"/>
      <c r="AH1373" s="52"/>
      <c r="AI1373" s="52"/>
      <c r="AJ1373" s="52"/>
      <c r="AK1373" s="52"/>
      <c r="AL1373" s="52"/>
      <c r="AM1373" s="52"/>
      <c r="AN1373" s="52"/>
      <c r="AO1373" s="52"/>
      <c r="AP1373" s="52"/>
      <c r="AQ1373" s="52"/>
      <c r="AR1373" s="52"/>
      <c r="AS1373" s="52"/>
      <c r="AT1373" s="52"/>
      <c r="AU1373" s="52"/>
      <c r="AV1373" s="52"/>
      <c r="AW1373" s="52"/>
    </row>
    <row r="1374" spans="1:49">
      <c r="A1374" s="52"/>
      <c r="B1374" s="52"/>
      <c r="C1374" s="52"/>
      <c r="D1374" s="53"/>
      <c r="E1374" s="53"/>
      <c r="F1374" s="53"/>
      <c r="G1374" s="53"/>
      <c r="H1374" s="52"/>
      <c r="I1374" s="52"/>
      <c r="J1374" s="52"/>
      <c r="K1374" s="52"/>
      <c r="L1374" s="52"/>
      <c r="M1374" s="54"/>
      <c r="N1374" s="54"/>
      <c r="O1374" s="52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  <c r="AA1374" s="52"/>
      <c r="AB1374" s="52"/>
      <c r="AC1374" s="52"/>
      <c r="AD1374" s="52"/>
      <c r="AE1374" s="52"/>
      <c r="AF1374" s="52"/>
      <c r="AG1374" s="52"/>
      <c r="AH1374" s="52"/>
      <c r="AI1374" s="52"/>
      <c r="AJ1374" s="52"/>
      <c r="AK1374" s="52"/>
      <c r="AL1374" s="52"/>
      <c r="AM1374" s="52"/>
      <c r="AN1374" s="52"/>
      <c r="AO1374" s="52"/>
      <c r="AP1374" s="52"/>
      <c r="AQ1374" s="52"/>
      <c r="AR1374" s="52"/>
      <c r="AS1374" s="52"/>
      <c r="AT1374" s="52"/>
      <c r="AU1374" s="52"/>
      <c r="AV1374" s="52"/>
      <c r="AW1374" s="52"/>
    </row>
    <row r="1375" spans="1:49">
      <c r="A1375" s="52"/>
      <c r="B1375" s="52"/>
      <c r="C1375" s="52"/>
      <c r="D1375" s="53"/>
      <c r="E1375" s="53"/>
      <c r="F1375" s="53"/>
      <c r="G1375" s="53"/>
      <c r="H1375" s="52"/>
      <c r="I1375" s="52"/>
      <c r="J1375" s="52"/>
      <c r="K1375" s="52"/>
      <c r="L1375" s="52"/>
      <c r="M1375" s="54"/>
      <c r="N1375" s="54"/>
      <c r="O1375" s="52"/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  <c r="AA1375" s="52"/>
      <c r="AB1375" s="52"/>
      <c r="AC1375" s="52"/>
      <c r="AD1375" s="52"/>
      <c r="AE1375" s="52"/>
      <c r="AF1375" s="52"/>
      <c r="AG1375" s="52"/>
      <c r="AH1375" s="52"/>
      <c r="AI1375" s="52"/>
      <c r="AJ1375" s="52"/>
      <c r="AK1375" s="52"/>
      <c r="AL1375" s="52"/>
      <c r="AM1375" s="52"/>
      <c r="AN1375" s="52"/>
      <c r="AO1375" s="52"/>
      <c r="AP1375" s="52"/>
      <c r="AQ1375" s="52"/>
      <c r="AR1375" s="52"/>
      <c r="AS1375" s="52"/>
      <c r="AT1375" s="52"/>
      <c r="AU1375" s="52"/>
      <c r="AV1375" s="52"/>
      <c r="AW1375" s="52"/>
    </row>
    <row r="1376" spans="1:49">
      <c r="A1376" s="52"/>
      <c r="B1376" s="52"/>
      <c r="C1376" s="52"/>
      <c r="D1376" s="53"/>
      <c r="E1376" s="53"/>
      <c r="F1376" s="53"/>
      <c r="G1376" s="53"/>
      <c r="H1376" s="53"/>
      <c r="I1376" s="52"/>
      <c r="J1376" s="52"/>
      <c r="K1376" s="52"/>
      <c r="L1376" s="52"/>
      <c r="M1376" s="54"/>
      <c r="N1376" s="54"/>
      <c r="O1376" s="52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  <c r="AA1376" s="52"/>
      <c r="AB1376" s="52"/>
      <c r="AC1376" s="52"/>
      <c r="AD1376" s="52"/>
      <c r="AE1376" s="52"/>
      <c r="AF1376" s="52"/>
      <c r="AG1376" s="52"/>
      <c r="AH1376" s="52"/>
      <c r="AI1376" s="52"/>
      <c r="AJ1376" s="52"/>
      <c r="AK1376" s="52"/>
      <c r="AL1376" s="55"/>
      <c r="AM1376" s="52"/>
      <c r="AN1376" s="52"/>
      <c r="AO1376" s="52"/>
      <c r="AP1376" s="55"/>
      <c r="AQ1376" s="52"/>
      <c r="AR1376" s="52"/>
      <c r="AS1376" s="52"/>
      <c r="AT1376" s="52"/>
      <c r="AU1376" s="52"/>
      <c r="AV1376" s="52"/>
      <c r="AW1376" s="52"/>
    </row>
    <row r="1377" spans="1:49">
      <c r="A1377" s="52"/>
      <c r="B1377" s="52"/>
      <c r="C1377" s="52"/>
      <c r="D1377" s="53"/>
      <c r="E1377" s="53"/>
      <c r="F1377" s="53"/>
      <c r="G1377" s="53"/>
      <c r="H1377" s="53"/>
      <c r="I1377" s="52"/>
      <c r="J1377" s="52"/>
      <c r="K1377" s="52"/>
      <c r="L1377" s="52"/>
      <c r="M1377" s="54"/>
      <c r="N1377" s="54"/>
      <c r="O1377" s="52"/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  <c r="AA1377" s="52"/>
      <c r="AB1377" s="52"/>
      <c r="AC1377" s="52"/>
      <c r="AD1377" s="52"/>
      <c r="AE1377" s="52"/>
      <c r="AF1377" s="52"/>
      <c r="AG1377" s="52"/>
      <c r="AH1377" s="52"/>
      <c r="AI1377" s="52"/>
      <c r="AJ1377" s="52"/>
      <c r="AK1377" s="52"/>
      <c r="AL1377" s="55"/>
      <c r="AM1377" s="52"/>
      <c r="AN1377" s="52"/>
      <c r="AO1377" s="52"/>
      <c r="AP1377" s="55"/>
      <c r="AQ1377" s="52"/>
      <c r="AR1377" s="52"/>
      <c r="AS1377" s="52"/>
      <c r="AT1377" s="52"/>
      <c r="AU1377" s="52"/>
      <c r="AV1377" s="52"/>
      <c r="AW1377" s="52"/>
    </row>
    <row r="1378" spans="1:49">
      <c r="A1378" s="52"/>
      <c r="B1378" s="52"/>
      <c r="C1378" s="52"/>
      <c r="D1378" s="53"/>
      <c r="E1378" s="53"/>
      <c r="F1378" s="53"/>
      <c r="G1378" s="53"/>
      <c r="H1378" s="53"/>
      <c r="I1378" s="52"/>
      <c r="J1378" s="52"/>
      <c r="K1378" s="53"/>
      <c r="L1378" s="52"/>
      <c r="M1378" s="55"/>
      <c r="N1378" s="54"/>
      <c r="O1378" s="52"/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  <c r="AA1378" s="52"/>
      <c r="AB1378" s="52"/>
      <c r="AC1378" s="52"/>
      <c r="AD1378" s="52"/>
      <c r="AE1378" s="52"/>
      <c r="AF1378" s="52"/>
      <c r="AG1378" s="52"/>
      <c r="AH1378" s="52"/>
      <c r="AI1378" s="52"/>
      <c r="AJ1378" s="52"/>
      <c r="AK1378" s="52"/>
      <c r="AL1378" s="55"/>
      <c r="AM1378" s="52"/>
      <c r="AN1378" s="52"/>
      <c r="AO1378" s="52"/>
      <c r="AP1378" s="52"/>
      <c r="AQ1378" s="52"/>
      <c r="AR1378" s="52"/>
      <c r="AS1378" s="52"/>
      <c r="AT1378" s="52"/>
      <c r="AU1378" s="52"/>
      <c r="AV1378" s="52"/>
      <c r="AW1378" s="52"/>
    </row>
    <row r="1379" spans="1:49">
      <c r="A1379" s="52"/>
      <c r="B1379" s="52"/>
      <c r="C1379" s="52"/>
      <c r="D1379" s="53"/>
      <c r="E1379" s="53"/>
      <c r="F1379" s="53"/>
      <c r="G1379" s="53"/>
      <c r="H1379" s="53"/>
      <c r="I1379" s="52"/>
      <c r="J1379" s="52"/>
      <c r="K1379" s="53"/>
      <c r="L1379" s="52"/>
      <c r="M1379" s="55"/>
      <c r="N1379" s="54"/>
      <c r="O1379" s="52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  <c r="AA1379" s="52"/>
      <c r="AB1379" s="52"/>
      <c r="AC1379" s="52"/>
      <c r="AD1379" s="52"/>
      <c r="AE1379" s="52"/>
      <c r="AF1379" s="52"/>
      <c r="AG1379" s="52"/>
      <c r="AH1379" s="52"/>
      <c r="AI1379" s="53"/>
      <c r="AJ1379" s="53"/>
      <c r="AK1379" s="53"/>
      <c r="AL1379" s="55"/>
      <c r="AM1379" s="52"/>
      <c r="AN1379" s="55"/>
      <c r="AO1379" s="55"/>
      <c r="AP1379" s="55"/>
      <c r="AQ1379" s="52"/>
      <c r="AR1379" s="52"/>
      <c r="AS1379" s="52"/>
      <c r="AT1379" s="52"/>
      <c r="AU1379" s="52"/>
      <c r="AV1379" s="52"/>
      <c r="AW1379" s="52"/>
    </row>
    <row r="1380" spans="1:49">
      <c r="A1380" s="52"/>
      <c r="B1380" s="52"/>
      <c r="C1380" s="52"/>
      <c r="D1380" s="53"/>
      <c r="E1380" s="53"/>
      <c r="F1380" s="53"/>
      <c r="G1380" s="53"/>
      <c r="H1380" s="53"/>
      <c r="I1380" s="52"/>
      <c r="J1380" s="52"/>
      <c r="K1380" s="53"/>
      <c r="L1380" s="52"/>
      <c r="M1380" s="55"/>
      <c r="N1380" s="54"/>
      <c r="O1380" s="52"/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  <c r="AA1380" s="52"/>
      <c r="AB1380" s="52"/>
      <c r="AC1380" s="52"/>
      <c r="AD1380" s="52"/>
      <c r="AE1380" s="52"/>
      <c r="AF1380" s="52"/>
      <c r="AG1380" s="52"/>
      <c r="AH1380" s="52"/>
      <c r="AI1380" s="53"/>
      <c r="AJ1380" s="53"/>
      <c r="AK1380" s="53"/>
      <c r="AL1380" s="55"/>
      <c r="AM1380" s="52"/>
      <c r="AN1380" s="55"/>
      <c r="AO1380" s="55"/>
      <c r="AP1380" s="55"/>
      <c r="AQ1380" s="52"/>
      <c r="AR1380" s="52"/>
      <c r="AS1380" s="52"/>
      <c r="AT1380" s="52"/>
      <c r="AU1380" s="52"/>
      <c r="AV1380" s="52"/>
      <c r="AW1380" s="52"/>
    </row>
    <row r="1381" spans="1:49">
      <c r="A1381" s="52"/>
      <c r="B1381" s="52"/>
      <c r="C1381" s="52"/>
      <c r="D1381" s="53"/>
      <c r="E1381" s="53"/>
      <c r="F1381" s="53"/>
      <c r="G1381" s="53"/>
      <c r="H1381" s="53"/>
      <c r="I1381" s="52"/>
      <c r="J1381" s="52"/>
      <c r="K1381" s="53"/>
      <c r="L1381" s="52"/>
      <c r="M1381" s="55"/>
      <c r="N1381" s="54"/>
      <c r="O1381" s="52"/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  <c r="AA1381" s="52"/>
      <c r="AB1381" s="52"/>
      <c r="AC1381" s="52"/>
      <c r="AD1381" s="52"/>
      <c r="AE1381" s="52"/>
      <c r="AF1381" s="52"/>
      <c r="AG1381" s="52"/>
      <c r="AH1381" s="52"/>
      <c r="AI1381" s="52"/>
      <c r="AJ1381" s="52"/>
      <c r="AK1381" s="52"/>
      <c r="AL1381" s="55"/>
      <c r="AM1381" s="52"/>
      <c r="AN1381" s="52"/>
      <c r="AO1381" s="52"/>
      <c r="AP1381" s="52"/>
      <c r="AQ1381" s="52"/>
      <c r="AR1381" s="52"/>
      <c r="AS1381" s="52"/>
      <c r="AT1381" s="52"/>
      <c r="AU1381" s="52"/>
      <c r="AV1381" s="52"/>
      <c r="AW1381" s="52"/>
    </row>
    <row r="1382" spans="1:49">
      <c r="A1382" s="52"/>
      <c r="B1382" s="52"/>
      <c r="C1382" s="52"/>
      <c r="D1382" s="53"/>
      <c r="E1382" s="53"/>
      <c r="F1382" s="53"/>
      <c r="G1382" s="53"/>
      <c r="H1382" s="53"/>
      <c r="I1382" s="52"/>
      <c r="J1382" s="52"/>
      <c r="K1382" s="53"/>
      <c r="L1382" s="52"/>
      <c r="M1382" s="55"/>
      <c r="N1382" s="54"/>
      <c r="O1382" s="52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  <c r="AA1382" s="52"/>
      <c r="AB1382" s="52"/>
      <c r="AC1382" s="52"/>
      <c r="AD1382" s="52"/>
      <c r="AE1382" s="52"/>
      <c r="AF1382" s="52"/>
      <c r="AG1382" s="52"/>
      <c r="AH1382" s="52"/>
      <c r="AI1382" s="53"/>
      <c r="AJ1382" s="53"/>
      <c r="AK1382" s="53"/>
      <c r="AL1382" s="55"/>
      <c r="AM1382" s="52"/>
      <c r="AN1382" s="55"/>
      <c r="AO1382" s="55"/>
      <c r="AP1382" s="55"/>
      <c r="AQ1382" s="52"/>
      <c r="AR1382" s="52"/>
      <c r="AS1382" s="52"/>
      <c r="AT1382" s="52"/>
      <c r="AU1382" s="52"/>
      <c r="AV1382" s="52"/>
      <c r="AW1382" s="52"/>
    </row>
    <row r="1383" spans="1:49">
      <c r="A1383" s="52"/>
      <c r="B1383" s="52"/>
      <c r="C1383" s="52"/>
      <c r="D1383" s="53"/>
      <c r="E1383" s="53"/>
      <c r="F1383" s="53"/>
      <c r="G1383" s="53"/>
      <c r="H1383" s="53"/>
      <c r="I1383" s="52"/>
      <c r="J1383" s="52"/>
      <c r="K1383" s="53"/>
      <c r="L1383" s="52"/>
      <c r="M1383" s="55"/>
      <c r="N1383" s="54"/>
      <c r="O1383" s="52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  <c r="AA1383" s="52"/>
      <c r="AB1383" s="52"/>
      <c r="AC1383" s="52"/>
      <c r="AD1383" s="52"/>
      <c r="AE1383" s="52"/>
      <c r="AF1383" s="52"/>
      <c r="AG1383" s="52"/>
      <c r="AH1383" s="52"/>
      <c r="AI1383" s="53"/>
      <c r="AJ1383" s="53"/>
      <c r="AK1383" s="53"/>
      <c r="AL1383" s="55"/>
      <c r="AM1383" s="52"/>
      <c r="AN1383" s="55"/>
      <c r="AO1383" s="55"/>
      <c r="AP1383" s="55"/>
      <c r="AQ1383" s="52"/>
      <c r="AR1383" s="52"/>
      <c r="AS1383" s="52"/>
      <c r="AT1383" s="52"/>
      <c r="AU1383" s="52"/>
      <c r="AV1383" s="52"/>
      <c r="AW1383" s="52"/>
    </row>
    <row r="1384" spans="1:49">
      <c r="A1384" s="52"/>
      <c r="B1384" s="52"/>
      <c r="C1384" s="52"/>
      <c r="D1384" s="53"/>
      <c r="E1384" s="53"/>
      <c r="F1384" s="52"/>
      <c r="G1384" s="52"/>
      <c r="H1384" s="52"/>
      <c r="I1384" s="52"/>
      <c r="J1384" s="52"/>
      <c r="K1384" s="52"/>
      <c r="L1384" s="52"/>
      <c r="M1384" s="55"/>
      <c r="N1384" s="54"/>
      <c r="O1384" s="52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  <c r="AA1384" s="52"/>
      <c r="AB1384" s="52"/>
      <c r="AC1384" s="52"/>
      <c r="AD1384" s="52"/>
      <c r="AE1384" s="52"/>
      <c r="AF1384" s="52"/>
      <c r="AG1384" s="52"/>
      <c r="AH1384" s="52"/>
      <c r="AI1384" s="52"/>
      <c r="AJ1384" s="52"/>
      <c r="AK1384" s="52"/>
      <c r="AL1384" s="52"/>
      <c r="AM1384" s="52"/>
      <c r="AN1384" s="52"/>
      <c r="AO1384" s="52"/>
      <c r="AP1384" s="52"/>
      <c r="AQ1384" s="52"/>
      <c r="AR1384" s="52"/>
      <c r="AS1384" s="52"/>
      <c r="AT1384" s="52"/>
      <c r="AU1384" s="52"/>
      <c r="AV1384" s="52"/>
      <c r="AW1384" s="52"/>
    </row>
    <row r="1385" spans="1:49">
      <c r="A1385" s="52"/>
      <c r="B1385" s="52"/>
      <c r="C1385" s="52"/>
      <c r="D1385" s="53"/>
      <c r="E1385" s="53"/>
      <c r="F1385" s="52"/>
      <c r="G1385" s="52"/>
      <c r="H1385" s="52"/>
      <c r="I1385" s="52"/>
      <c r="J1385" s="52"/>
      <c r="K1385" s="52"/>
      <c r="L1385" s="52"/>
      <c r="M1385" s="52"/>
      <c r="N1385" s="52"/>
      <c r="O1385" s="52"/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  <c r="AA1385" s="52"/>
      <c r="AB1385" s="52"/>
      <c r="AC1385" s="52"/>
      <c r="AD1385" s="52"/>
      <c r="AE1385" s="52"/>
      <c r="AF1385" s="52"/>
      <c r="AG1385" s="52"/>
      <c r="AH1385" s="52"/>
      <c r="AI1385" s="52"/>
      <c r="AJ1385" s="52"/>
      <c r="AK1385" s="52"/>
      <c r="AL1385" s="52"/>
      <c r="AM1385" s="52"/>
      <c r="AN1385" s="52"/>
      <c r="AO1385" s="52"/>
      <c r="AP1385" s="52"/>
      <c r="AQ1385" s="52"/>
      <c r="AR1385" s="52"/>
      <c r="AS1385" s="52"/>
      <c r="AT1385" s="52"/>
      <c r="AU1385" s="52"/>
      <c r="AV1385" s="52"/>
      <c r="AW1385" s="52"/>
    </row>
    <row r="1386" spans="1:49">
      <c r="A1386" s="52"/>
      <c r="B1386" s="52"/>
      <c r="C1386" s="52"/>
      <c r="D1386" s="53"/>
      <c r="E1386" s="53"/>
      <c r="F1386" s="52"/>
      <c r="G1386" s="52"/>
      <c r="H1386" s="52"/>
      <c r="I1386" s="52"/>
      <c r="J1386" s="52"/>
      <c r="K1386" s="52"/>
      <c r="L1386" s="52"/>
      <c r="M1386" s="55"/>
      <c r="N1386" s="54"/>
      <c r="O1386" s="52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  <c r="AA1386" s="52"/>
      <c r="AB1386" s="52"/>
      <c r="AC1386" s="52"/>
      <c r="AD1386" s="52"/>
      <c r="AE1386" s="52"/>
      <c r="AF1386" s="52"/>
      <c r="AG1386" s="52"/>
      <c r="AH1386" s="52"/>
      <c r="AI1386" s="52"/>
      <c r="AJ1386" s="52"/>
      <c r="AK1386" s="52"/>
      <c r="AL1386" s="52"/>
      <c r="AM1386" s="52"/>
      <c r="AN1386" s="52"/>
      <c r="AO1386" s="52"/>
      <c r="AP1386" s="52"/>
      <c r="AQ1386" s="52"/>
      <c r="AR1386" s="52"/>
      <c r="AS1386" s="52"/>
      <c r="AT1386" s="52"/>
      <c r="AU1386" s="52"/>
      <c r="AV1386" s="52"/>
      <c r="AW1386" s="52"/>
    </row>
    <row r="1387" spans="1:49">
      <c r="A1387" s="52"/>
      <c r="B1387" s="52"/>
      <c r="C1387" s="52"/>
      <c r="D1387" s="53"/>
      <c r="E1387" s="53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  <c r="AA1387" s="52"/>
      <c r="AB1387" s="52"/>
      <c r="AC1387" s="52"/>
      <c r="AD1387" s="52"/>
      <c r="AE1387" s="52"/>
      <c r="AF1387" s="52"/>
      <c r="AG1387" s="52"/>
      <c r="AH1387" s="52"/>
      <c r="AI1387" s="52"/>
      <c r="AJ1387" s="52"/>
      <c r="AK1387" s="52"/>
      <c r="AL1387" s="52"/>
      <c r="AM1387" s="52"/>
      <c r="AN1387" s="52"/>
      <c r="AO1387" s="52"/>
      <c r="AP1387" s="52"/>
      <c r="AQ1387" s="52"/>
      <c r="AR1387" s="52"/>
      <c r="AS1387" s="52"/>
      <c r="AT1387" s="52"/>
      <c r="AU1387" s="52"/>
      <c r="AV1387" s="52"/>
      <c r="AW1387" s="52"/>
    </row>
    <row r="1388" spans="1:49">
      <c r="A1388" s="52"/>
      <c r="B1388" s="52"/>
      <c r="C1388" s="52"/>
      <c r="D1388" s="53"/>
      <c r="E1388" s="53"/>
      <c r="F1388" s="52"/>
      <c r="G1388" s="52"/>
      <c r="H1388" s="52"/>
      <c r="I1388" s="52"/>
      <c r="J1388" s="52"/>
      <c r="K1388" s="52"/>
      <c r="L1388" s="52"/>
      <c r="M1388" s="55"/>
      <c r="N1388" s="54"/>
      <c r="O1388" s="52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  <c r="AA1388" s="52"/>
      <c r="AB1388" s="52"/>
      <c r="AC1388" s="52"/>
      <c r="AD1388" s="52"/>
      <c r="AE1388" s="52"/>
      <c r="AF1388" s="52"/>
      <c r="AG1388" s="52"/>
      <c r="AH1388" s="52"/>
      <c r="AI1388" s="52"/>
      <c r="AJ1388" s="52"/>
      <c r="AK1388" s="52"/>
      <c r="AL1388" s="52"/>
      <c r="AM1388" s="52"/>
      <c r="AN1388" s="52"/>
      <c r="AO1388" s="52"/>
      <c r="AP1388" s="52"/>
      <c r="AQ1388" s="52"/>
      <c r="AR1388" s="52"/>
      <c r="AS1388" s="52"/>
      <c r="AT1388" s="52"/>
      <c r="AU1388" s="52"/>
      <c r="AV1388" s="52"/>
      <c r="AW1388" s="52"/>
    </row>
    <row r="1389" spans="1:49">
      <c r="A1389" s="52"/>
      <c r="B1389" s="52"/>
      <c r="C1389" s="52"/>
      <c r="D1389" s="53"/>
      <c r="E1389" s="53"/>
      <c r="F1389" s="52"/>
      <c r="G1389" s="52"/>
      <c r="H1389" s="52"/>
      <c r="I1389" s="52"/>
      <c r="J1389" s="52"/>
      <c r="K1389" s="52"/>
      <c r="L1389" s="52"/>
      <c r="M1389" s="52"/>
      <c r="N1389" s="52"/>
      <c r="O1389" s="52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  <c r="AA1389" s="52"/>
      <c r="AB1389" s="52"/>
      <c r="AC1389" s="52"/>
      <c r="AD1389" s="52"/>
      <c r="AE1389" s="52"/>
      <c r="AF1389" s="52"/>
      <c r="AG1389" s="52"/>
      <c r="AH1389" s="52"/>
      <c r="AI1389" s="52"/>
      <c r="AJ1389" s="52"/>
      <c r="AK1389" s="52"/>
      <c r="AL1389" s="52"/>
      <c r="AM1389" s="52"/>
      <c r="AN1389" s="52"/>
      <c r="AO1389" s="52"/>
      <c r="AP1389" s="52"/>
      <c r="AQ1389" s="52"/>
      <c r="AR1389" s="52"/>
      <c r="AS1389" s="52"/>
      <c r="AT1389" s="52"/>
      <c r="AU1389" s="52"/>
      <c r="AV1389" s="52"/>
      <c r="AW1389" s="52"/>
    </row>
    <row r="1390" spans="1:49">
      <c r="A1390" s="52"/>
      <c r="B1390" s="52"/>
      <c r="C1390" s="52"/>
      <c r="D1390" s="53"/>
      <c r="E1390" s="53"/>
      <c r="F1390" s="52"/>
      <c r="G1390" s="52"/>
      <c r="H1390" s="52"/>
      <c r="I1390" s="52"/>
      <c r="J1390" s="52"/>
      <c r="K1390" s="52"/>
      <c r="L1390" s="52"/>
      <c r="M1390" s="55"/>
      <c r="N1390" s="54"/>
      <c r="O1390" s="52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  <c r="AA1390" s="52"/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52"/>
      <c r="AN1390" s="52"/>
      <c r="AO1390" s="52"/>
      <c r="AP1390" s="52"/>
      <c r="AQ1390" s="52"/>
      <c r="AR1390" s="52"/>
      <c r="AS1390" s="52"/>
      <c r="AT1390" s="52"/>
      <c r="AU1390" s="52"/>
      <c r="AV1390" s="52"/>
      <c r="AW1390" s="52"/>
    </row>
    <row r="1391" spans="1:49">
      <c r="A1391" s="52"/>
      <c r="B1391" s="52"/>
      <c r="C1391" s="52"/>
      <c r="D1391" s="53"/>
      <c r="E1391" s="53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  <c r="AA1391" s="52"/>
      <c r="AB1391" s="52"/>
      <c r="AC1391" s="52"/>
      <c r="AD1391" s="52"/>
      <c r="AE1391" s="52"/>
      <c r="AF1391" s="52"/>
      <c r="AG1391" s="52"/>
      <c r="AH1391" s="52"/>
      <c r="AI1391" s="52"/>
      <c r="AJ1391" s="52"/>
      <c r="AK1391" s="52"/>
      <c r="AL1391" s="52"/>
      <c r="AM1391" s="52"/>
      <c r="AN1391" s="52"/>
      <c r="AO1391" s="52"/>
      <c r="AP1391" s="52"/>
      <c r="AQ1391" s="52"/>
      <c r="AR1391" s="52"/>
      <c r="AS1391" s="52"/>
      <c r="AT1391" s="52"/>
      <c r="AU1391" s="52"/>
      <c r="AV1391" s="52"/>
      <c r="AW1391" s="52"/>
    </row>
    <row r="1392" spans="1:49">
      <c r="A1392" s="52"/>
      <c r="B1392" s="52"/>
      <c r="C1392" s="52"/>
      <c r="D1392" s="53"/>
      <c r="E1392" s="53"/>
      <c r="F1392" s="52"/>
      <c r="G1392" s="52"/>
      <c r="H1392" s="52"/>
      <c r="I1392" s="52"/>
      <c r="J1392" s="52"/>
      <c r="K1392" s="52"/>
      <c r="L1392" s="52"/>
      <c r="M1392" s="55"/>
      <c r="N1392" s="54"/>
      <c r="O1392" s="52"/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  <c r="AA1392" s="52"/>
      <c r="AB1392" s="52"/>
      <c r="AC1392" s="52"/>
      <c r="AD1392" s="52"/>
      <c r="AE1392" s="52"/>
      <c r="AF1392" s="52"/>
      <c r="AG1392" s="52"/>
      <c r="AH1392" s="52"/>
      <c r="AI1392" s="52"/>
      <c r="AJ1392" s="52"/>
      <c r="AK1392" s="52"/>
      <c r="AL1392" s="52"/>
      <c r="AM1392" s="52"/>
      <c r="AN1392" s="52"/>
      <c r="AO1392" s="52"/>
      <c r="AP1392" s="52"/>
      <c r="AQ1392" s="52"/>
      <c r="AR1392" s="52"/>
      <c r="AS1392" s="52"/>
      <c r="AT1392" s="52"/>
      <c r="AU1392" s="52"/>
      <c r="AV1392" s="52"/>
      <c r="AW1392" s="52"/>
    </row>
    <row r="1393" spans="1:49">
      <c r="A1393" s="52"/>
      <c r="B1393" s="52"/>
      <c r="C1393" s="52"/>
      <c r="D1393" s="53"/>
      <c r="E1393" s="53"/>
      <c r="F1393" s="52"/>
      <c r="G1393" s="52"/>
      <c r="H1393" s="52"/>
      <c r="I1393" s="52"/>
      <c r="J1393" s="52"/>
      <c r="K1393" s="52"/>
      <c r="L1393" s="52"/>
      <c r="M1393" s="52"/>
      <c r="N1393" s="52"/>
      <c r="O1393" s="52"/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  <c r="AA1393" s="52"/>
      <c r="AB1393" s="52"/>
      <c r="AC1393" s="52"/>
      <c r="AD1393" s="52"/>
      <c r="AE1393" s="52"/>
      <c r="AF1393" s="52"/>
      <c r="AG1393" s="52"/>
      <c r="AH1393" s="52"/>
      <c r="AI1393" s="52"/>
      <c r="AJ1393" s="52"/>
      <c r="AK1393" s="52"/>
      <c r="AL1393" s="52"/>
      <c r="AM1393" s="52"/>
      <c r="AN1393" s="52"/>
      <c r="AO1393" s="52"/>
      <c r="AP1393" s="52"/>
      <c r="AQ1393" s="52"/>
      <c r="AR1393" s="52"/>
      <c r="AS1393" s="52"/>
      <c r="AT1393" s="52"/>
      <c r="AU1393" s="52"/>
      <c r="AV1393" s="52"/>
      <c r="AW1393" s="52"/>
    </row>
    <row r="1394" spans="1:49">
      <c r="A1394" s="52"/>
      <c r="B1394" s="52"/>
      <c r="C1394" s="52"/>
      <c r="D1394" s="53"/>
      <c r="E1394" s="53"/>
      <c r="F1394" s="53"/>
      <c r="G1394" s="53"/>
      <c r="H1394" s="53"/>
      <c r="I1394" s="52"/>
      <c r="J1394" s="52"/>
      <c r="K1394" s="53"/>
      <c r="L1394" s="52"/>
      <c r="M1394" s="55"/>
      <c r="N1394" s="55"/>
      <c r="O1394" s="52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  <c r="AA1394" s="52"/>
      <c r="AB1394" s="52"/>
      <c r="AC1394" s="52"/>
      <c r="AD1394" s="52"/>
      <c r="AE1394" s="52"/>
      <c r="AF1394" s="52"/>
      <c r="AG1394" s="52"/>
      <c r="AH1394" s="52"/>
      <c r="AI1394" s="52"/>
      <c r="AJ1394" s="52"/>
      <c r="AK1394" s="52"/>
      <c r="AL1394" s="52"/>
      <c r="AM1394" s="52"/>
      <c r="AN1394" s="52"/>
      <c r="AO1394" s="52"/>
      <c r="AP1394" s="52"/>
      <c r="AQ1394" s="52"/>
      <c r="AR1394" s="52"/>
      <c r="AS1394" s="52"/>
      <c r="AT1394" s="52"/>
      <c r="AU1394" s="52"/>
      <c r="AV1394" s="52"/>
      <c r="AW1394" s="52"/>
    </row>
    <row r="1395" spans="1:49">
      <c r="A1395" s="52"/>
      <c r="B1395" s="52"/>
      <c r="C1395" s="52"/>
      <c r="D1395" s="53"/>
      <c r="E1395" s="53"/>
      <c r="F1395" s="52"/>
      <c r="G1395" s="53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  <c r="AA1395" s="52"/>
      <c r="AB1395" s="52"/>
      <c r="AC1395" s="52"/>
      <c r="AD1395" s="52"/>
      <c r="AE1395" s="52"/>
      <c r="AF1395" s="52"/>
      <c r="AG1395" s="52"/>
      <c r="AH1395" s="52"/>
      <c r="AI1395" s="52"/>
      <c r="AJ1395" s="52"/>
      <c r="AK1395" s="52"/>
      <c r="AL1395" s="52"/>
      <c r="AM1395" s="52"/>
      <c r="AN1395" s="52"/>
      <c r="AO1395" s="52"/>
      <c r="AP1395" s="52"/>
      <c r="AQ1395" s="52"/>
      <c r="AR1395" s="52"/>
      <c r="AS1395" s="52"/>
      <c r="AT1395" s="52"/>
      <c r="AU1395" s="52"/>
      <c r="AV1395" s="52"/>
      <c r="AW1395" s="52"/>
    </row>
    <row r="1396" spans="1:49">
      <c r="A1396" s="52"/>
      <c r="B1396" s="52"/>
      <c r="C1396" s="52"/>
      <c r="D1396" s="53"/>
      <c r="E1396" s="53"/>
      <c r="F1396" s="52"/>
      <c r="G1396" s="53"/>
      <c r="H1396" s="52"/>
      <c r="I1396" s="52"/>
      <c r="J1396" s="52"/>
      <c r="K1396" s="52"/>
      <c r="L1396" s="52"/>
      <c r="M1396" s="52"/>
      <c r="N1396" s="52"/>
      <c r="O1396" s="52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  <c r="AA1396" s="52"/>
      <c r="AB1396" s="52"/>
      <c r="AC1396" s="52"/>
      <c r="AD1396" s="52"/>
      <c r="AE1396" s="52"/>
      <c r="AF1396" s="52"/>
      <c r="AG1396" s="52"/>
      <c r="AH1396" s="52"/>
      <c r="AI1396" s="52"/>
      <c r="AJ1396" s="52"/>
      <c r="AK1396" s="52"/>
      <c r="AL1396" s="52"/>
      <c r="AM1396" s="52"/>
      <c r="AN1396" s="52"/>
      <c r="AO1396" s="52"/>
      <c r="AP1396" s="52"/>
      <c r="AQ1396" s="52"/>
      <c r="AR1396" s="52"/>
      <c r="AS1396" s="52"/>
      <c r="AT1396" s="52"/>
      <c r="AU1396" s="52"/>
      <c r="AV1396" s="52"/>
      <c r="AW1396" s="52"/>
    </row>
    <row r="1397" spans="1:49">
      <c r="A1397" s="52"/>
      <c r="B1397" s="52"/>
      <c r="C1397" s="52"/>
      <c r="D1397" s="53"/>
      <c r="E1397" s="53"/>
      <c r="F1397" s="53"/>
      <c r="G1397" s="53"/>
      <c r="H1397" s="53"/>
      <c r="I1397" s="52"/>
      <c r="J1397" s="52"/>
      <c r="K1397" s="52"/>
      <c r="L1397" s="52"/>
      <c r="M1397" s="55"/>
      <c r="N1397" s="54"/>
      <c r="O1397" s="52"/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  <c r="AA1397" s="52"/>
      <c r="AB1397" s="52"/>
      <c r="AC1397" s="52"/>
      <c r="AD1397" s="52"/>
      <c r="AE1397" s="52"/>
      <c r="AF1397" s="52"/>
      <c r="AG1397" s="52"/>
      <c r="AH1397" s="52"/>
      <c r="AI1397" s="52"/>
      <c r="AJ1397" s="52"/>
      <c r="AK1397" s="52"/>
      <c r="AL1397" s="55"/>
      <c r="AM1397" s="52"/>
      <c r="AN1397" s="52"/>
      <c r="AO1397" s="52"/>
      <c r="AP1397" s="55"/>
      <c r="AQ1397" s="52"/>
      <c r="AR1397" s="52"/>
      <c r="AS1397" s="52"/>
      <c r="AT1397" s="52"/>
      <c r="AU1397" s="52"/>
      <c r="AV1397" s="52"/>
      <c r="AW1397" s="52"/>
    </row>
    <row r="1398" spans="1:49">
      <c r="A1398" s="52"/>
      <c r="B1398" s="52"/>
      <c r="C1398" s="52"/>
      <c r="D1398" s="53"/>
      <c r="E1398" s="53"/>
      <c r="F1398" s="53"/>
      <c r="G1398" s="53"/>
      <c r="H1398" s="53"/>
      <c r="I1398" s="52"/>
      <c r="J1398" s="52"/>
      <c r="K1398" s="52"/>
      <c r="L1398" s="52"/>
      <c r="M1398" s="55"/>
      <c r="N1398" s="54"/>
      <c r="O1398" s="52"/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  <c r="AA1398" s="52"/>
      <c r="AB1398" s="52"/>
      <c r="AC1398" s="52"/>
      <c r="AD1398" s="52"/>
      <c r="AE1398" s="52"/>
      <c r="AF1398" s="52"/>
      <c r="AG1398" s="52"/>
      <c r="AH1398" s="52"/>
      <c r="AI1398" s="52"/>
      <c r="AJ1398" s="52"/>
      <c r="AK1398" s="52"/>
      <c r="AL1398" s="55"/>
      <c r="AM1398" s="52"/>
      <c r="AN1398" s="52"/>
      <c r="AO1398" s="52"/>
      <c r="AP1398" s="55"/>
      <c r="AQ1398" s="52"/>
      <c r="AR1398" s="52"/>
      <c r="AS1398" s="52"/>
      <c r="AT1398" s="52"/>
      <c r="AU1398" s="52"/>
      <c r="AV1398" s="52"/>
      <c r="AW1398" s="52"/>
    </row>
    <row r="1399" spans="1:49">
      <c r="A1399" s="52"/>
      <c r="B1399" s="52"/>
      <c r="C1399" s="52"/>
      <c r="D1399" s="53"/>
      <c r="E1399" s="53"/>
      <c r="F1399" s="53"/>
      <c r="G1399" s="53"/>
      <c r="H1399" s="52"/>
      <c r="I1399" s="52"/>
      <c r="J1399" s="52"/>
      <c r="K1399" s="53"/>
      <c r="L1399" s="52"/>
      <c r="M1399" s="54"/>
      <c r="N1399" s="54"/>
      <c r="O1399" s="52"/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  <c r="AA1399" s="52"/>
      <c r="AB1399" s="52"/>
      <c r="AC1399" s="52"/>
      <c r="AD1399" s="52"/>
      <c r="AE1399" s="52"/>
      <c r="AF1399" s="52"/>
      <c r="AG1399" s="52"/>
      <c r="AH1399" s="52"/>
      <c r="AI1399" s="52"/>
      <c r="AJ1399" s="52"/>
      <c r="AK1399" s="52"/>
      <c r="AL1399" s="55"/>
      <c r="AM1399" s="52"/>
      <c r="AN1399" s="52"/>
      <c r="AO1399" s="52"/>
      <c r="AP1399" s="52"/>
      <c r="AQ1399" s="52"/>
      <c r="AR1399" s="52"/>
      <c r="AS1399" s="52"/>
      <c r="AT1399" s="52"/>
      <c r="AU1399" s="52"/>
      <c r="AV1399" s="52"/>
      <c r="AW1399" s="52"/>
    </row>
    <row r="1400" spans="1:49">
      <c r="A1400" s="52"/>
      <c r="B1400" s="52"/>
      <c r="C1400" s="52"/>
      <c r="D1400" s="53"/>
      <c r="E1400" s="53"/>
      <c r="F1400" s="53"/>
      <c r="G1400" s="53"/>
      <c r="H1400" s="52"/>
      <c r="I1400" s="52"/>
      <c r="J1400" s="52"/>
      <c r="K1400" s="53"/>
      <c r="L1400" s="52"/>
      <c r="M1400" s="54"/>
      <c r="N1400" s="55"/>
      <c r="O1400" s="52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  <c r="AA1400" s="52"/>
      <c r="AB1400" s="52"/>
      <c r="AC1400" s="52"/>
      <c r="AD1400" s="52"/>
      <c r="AE1400" s="52"/>
      <c r="AF1400" s="52"/>
      <c r="AG1400" s="52"/>
      <c r="AH1400" s="52"/>
      <c r="AI1400" s="53"/>
      <c r="AJ1400" s="53"/>
      <c r="AK1400" s="53"/>
      <c r="AL1400" s="55"/>
      <c r="AM1400" s="52"/>
      <c r="AN1400" s="55"/>
      <c r="AO1400" s="52"/>
      <c r="AP1400" s="55"/>
      <c r="AQ1400" s="52"/>
      <c r="AR1400" s="52"/>
      <c r="AS1400" s="52"/>
      <c r="AT1400" s="52"/>
      <c r="AU1400" s="52"/>
      <c r="AV1400" s="52"/>
      <c r="AW1400" s="52"/>
    </row>
    <row r="1401" spans="1:49">
      <c r="A1401" s="52"/>
      <c r="B1401" s="52"/>
      <c r="C1401" s="52"/>
      <c r="D1401" s="53"/>
      <c r="E1401" s="53"/>
      <c r="F1401" s="53"/>
      <c r="G1401" s="53"/>
      <c r="H1401" s="52"/>
      <c r="I1401" s="52"/>
      <c r="J1401" s="52"/>
      <c r="K1401" s="53"/>
      <c r="L1401" s="52"/>
      <c r="M1401" s="54"/>
      <c r="N1401" s="55"/>
      <c r="O1401" s="52"/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  <c r="AA1401" s="52"/>
      <c r="AB1401" s="52"/>
      <c r="AC1401" s="52"/>
      <c r="AD1401" s="52"/>
      <c r="AE1401" s="52"/>
      <c r="AF1401" s="52"/>
      <c r="AG1401" s="52"/>
      <c r="AH1401" s="52"/>
      <c r="AI1401" s="53"/>
      <c r="AJ1401" s="53"/>
      <c r="AK1401" s="53"/>
      <c r="AL1401" s="55"/>
      <c r="AM1401" s="52"/>
      <c r="AN1401" s="55"/>
      <c r="AO1401" s="52"/>
      <c r="AP1401" s="55"/>
      <c r="AQ1401" s="52"/>
      <c r="AR1401" s="52"/>
      <c r="AS1401" s="52"/>
      <c r="AT1401" s="52"/>
      <c r="AU1401" s="52"/>
      <c r="AV1401" s="52"/>
      <c r="AW1401" s="52"/>
    </row>
    <row r="1402" spans="1:49">
      <c r="A1402" s="52"/>
      <c r="B1402" s="52"/>
      <c r="C1402" s="52"/>
      <c r="D1402" s="53"/>
      <c r="E1402" s="53"/>
      <c r="F1402" s="53"/>
      <c r="G1402" s="53"/>
      <c r="H1402" s="52"/>
      <c r="I1402" s="52"/>
      <c r="J1402" s="52"/>
      <c r="K1402" s="53"/>
      <c r="L1402" s="52"/>
      <c r="M1402" s="54"/>
      <c r="N1402" s="54"/>
      <c r="O1402" s="52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  <c r="AA1402" s="52"/>
      <c r="AB1402" s="52"/>
      <c r="AC1402" s="52"/>
      <c r="AD1402" s="52"/>
      <c r="AE1402" s="52"/>
      <c r="AF1402" s="52"/>
      <c r="AG1402" s="52"/>
      <c r="AH1402" s="52"/>
      <c r="AI1402" s="52"/>
      <c r="AJ1402" s="52"/>
      <c r="AK1402" s="52"/>
      <c r="AL1402" s="55"/>
      <c r="AM1402" s="52"/>
      <c r="AN1402" s="52"/>
      <c r="AO1402" s="52"/>
      <c r="AP1402" s="52"/>
      <c r="AQ1402" s="52"/>
      <c r="AR1402" s="52"/>
      <c r="AS1402" s="52"/>
      <c r="AT1402" s="52"/>
      <c r="AU1402" s="52"/>
      <c r="AV1402" s="52"/>
      <c r="AW1402" s="52"/>
    </row>
    <row r="1403" spans="1:49">
      <c r="A1403" s="52"/>
      <c r="B1403" s="52"/>
      <c r="C1403" s="52"/>
      <c r="D1403" s="53"/>
      <c r="E1403" s="53"/>
      <c r="F1403" s="53"/>
      <c r="G1403" s="53"/>
      <c r="H1403" s="52"/>
      <c r="I1403" s="52"/>
      <c r="J1403" s="52"/>
      <c r="K1403" s="53"/>
      <c r="L1403" s="52"/>
      <c r="M1403" s="54"/>
      <c r="N1403" s="55"/>
      <c r="O1403" s="52"/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  <c r="AA1403" s="52"/>
      <c r="AB1403" s="52"/>
      <c r="AC1403" s="52"/>
      <c r="AD1403" s="52"/>
      <c r="AE1403" s="52"/>
      <c r="AF1403" s="52"/>
      <c r="AG1403" s="52"/>
      <c r="AH1403" s="52"/>
      <c r="AI1403" s="53"/>
      <c r="AJ1403" s="53"/>
      <c r="AK1403" s="53"/>
      <c r="AL1403" s="55"/>
      <c r="AM1403" s="52"/>
      <c r="AN1403" s="55"/>
      <c r="AO1403" s="52"/>
      <c r="AP1403" s="55"/>
      <c r="AQ1403" s="52"/>
      <c r="AR1403" s="52"/>
      <c r="AS1403" s="52"/>
      <c r="AT1403" s="52"/>
      <c r="AU1403" s="52"/>
      <c r="AV1403" s="52"/>
      <c r="AW1403" s="52"/>
    </row>
    <row r="1404" spans="1:49">
      <c r="A1404" s="52"/>
      <c r="B1404" s="52"/>
      <c r="C1404" s="52"/>
      <c r="D1404" s="53"/>
      <c r="E1404" s="53"/>
      <c r="F1404" s="53"/>
      <c r="G1404" s="53"/>
      <c r="H1404" s="52"/>
      <c r="I1404" s="52"/>
      <c r="J1404" s="52"/>
      <c r="K1404" s="53"/>
      <c r="L1404" s="52"/>
      <c r="M1404" s="54"/>
      <c r="N1404" s="55"/>
      <c r="O1404" s="52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  <c r="AA1404" s="52"/>
      <c r="AB1404" s="52"/>
      <c r="AC1404" s="52"/>
      <c r="AD1404" s="52"/>
      <c r="AE1404" s="52"/>
      <c r="AF1404" s="52"/>
      <c r="AG1404" s="52"/>
      <c r="AH1404" s="52"/>
      <c r="AI1404" s="53"/>
      <c r="AJ1404" s="53"/>
      <c r="AK1404" s="53"/>
      <c r="AL1404" s="55"/>
      <c r="AM1404" s="52"/>
      <c r="AN1404" s="55"/>
      <c r="AO1404" s="52"/>
      <c r="AP1404" s="55"/>
      <c r="AQ1404" s="52"/>
      <c r="AR1404" s="52"/>
      <c r="AS1404" s="52"/>
      <c r="AT1404" s="52"/>
      <c r="AU1404" s="52"/>
      <c r="AV1404" s="52"/>
      <c r="AW1404" s="52"/>
    </row>
    <row r="1405" spans="1:49">
      <c r="A1405" s="52"/>
      <c r="B1405" s="52"/>
      <c r="C1405" s="52"/>
      <c r="D1405" s="53"/>
      <c r="E1405" s="53"/>
      <c r="F1405" s="53"/>
      <c r="G1405" s="53"/>
      <c r="H1405" s="53"/>
      <c r="I1405" s="52"/>
      <c r="J1405" s="52"/>
      <c r="K1405" s="53"/>
      <c r="L1405" s="52"/>
      <c r="M1405" s="54"/>
      <c r="N1405" s="54"/>
      <c r="O1405" s="52"/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  <c r="AA1405" s="52"/>
      <c r="AB1405" s="52"/>
      <c r="AC1405" s="52"/>
      <c r="AD1405" s="52"/>
      <c r="AE1405" s="52"/>
      <c r="AF1405" s="52"/>
      <c r="AG1405" s="52"/>
      <c r="AH1405" s="52"/>
      <c r="AI1405" s="52"/>
      <c r="AJ1405" s="52"/>
      <c r="AK1405" s="52"/>
      <c r="AL1405" s="55"/>
      <c r="AM1405" s="52"/>
      <c r="AN1405" s="52"/>
      <c r="AO1405" s="52"/>
      <c r="AP1405" s="52"/>
      <c r="AQ1405" s="52"/>
      <c r="AR1405" s="52"/>
      <c r="AS1405" s="52"/>
      <c r="AT1405" s="52"/>
      <c r="AU1405" s="52"/>
      <c r="AV1405" s="52"/>
      <c r="AW1405" s="52"/>
    </row>
    <row r="1406" spans="1:49">
      <c r="A1406" s="52"/>
      <c r="B1406" s="52"/>
      <c r="C1406" s="52"/>
      <c r="D1406" s="53"/>
      <c r="E1406" s="53"/>
      <c r="F1406" s="53"/>
      <c r="G1406" s="53"/>
      <c r="H1406" s="53"/>
      <c r="I1406" s="52"/>
      <c r="J1406" s="52"/>
      <c r="K1406" s="53"/>
      <c r="L1406" s="52"/>
      <c r="M1406" s="54"/>
      <c r="N1406" s="54"/>
      <c r="O1406" s="52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  <c r="AA1406" s="52"/>
      <c r="AB1406" s="52"/>
      <c r="AC1406" s="52"/>
      <c r="AD1406" s="52"/>
      <c r="AE1406" s="52"/>
      <c r="AF1406" s="52"/>
      <c r="AG1406" s="52"/>
      <c r="AH1406" s="52"/>
      <c r="AI1406" s="53"/>
      <c r="AJ1406" s="53"/>
      <c r="AK1406" s="53"/>
      <c r="AL1406" s="55"/>
      <c r="AM1406" s="52"/>
      <c r="AN1406" s="55"/>
      <c r="AO1406" s="55"/>
      <c r="AP1406" s="55"/>
      <c r="AQ1406" s="52"/>
      <c r="AR1406" s="52"/>
      <c r="AS1406" s="52"/>
      <c r="AT1406" s="52"/>
      <c r="AU1406" s="52"/>
      <c r="AV1406" s="52"/>
      <c r="AW1406" s="52"/>
    </row>
    <row r="1407" spans="1:49">
      <c r="A1407" s="52"/>
      <c r="B1407" s="52"/>
      <c r="C1407" s="52"/>
      <c r="D1407" s="53"/>
      <c r="E1407" s="53"/>
      <c r="F1407" s="53"/>
      <c r="G1407" s="53"/>
      <c r="H1407" s="53"/>
      <c r="I1407" s="52"/>
      <c r="J1407" s="52"/>
      <c r="K1407" s="53"/>
      <c r="L1407" s="52"/>
      <c r="M1407" s="54"/>
      <c r="N1407" s="54"/>
      <c r="O1407" s="52"/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  <c r="AA1407" s="52"/>
      <c r="AB1407" s="52"/>
      <c r="AC1407" s="52"/>
      <c r="AD1407" s="52"/>
      <c r="AE1407" s="52"/>
      <c r="AF1407" s="52"/>
      <c r="AG1407" s="52"/>
      <c r="AH1407" s="52"/>
      <c r="AI1407" s="53"/>
      <c r="AJ1407" s="53"/>
      <c r="AK1407" s="53"/>
      <c r="AL1407" s="55"/>
      <c r="AM1407" s="52"/>
      <c r="AN1407" s="55"/>
      <c r="AO1407" s="55"/>
      <c r="AP1407" s="55"/>
      <c r="AQ1407" s="52"/>
      <c r="AR1407" s="52"/>
      <c r="AS1407" s="52"/>
      <c r="AT1407" s="52"/>
      <c r="AU1407" s="52"/>
      <c r="AV1407" s="52"/>
      <c r="AW1407" s="52"/>
    </row>
    <row r="1408" spans="1:49">
      <c r="A1408" s="52"/>
      <c r="B1408" s="52"/>
      <c r="C1408" s="52"/>
      <c r="D1408" s="53"/>
      <c r="E1408" s="53"/>
      <c r="F1408" s="53"/>
      <c r="G1408" s="53"/>
      <c r="H1408" s="53"/>
      <c r="I1408" s="52"/>
      <c r="J1408" s="52"/>
      <c r="K1408" s="53"/>
      <c r="L1408" s="52"/>
      <c r="M1408" s="55"/>
      <c r="N1408" s="54"/>
      <c r="O1408" s="52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  <c r="AA1408" s="52"/>
      <c r="AB1408" s="52"/>
      <c r="AC1408" s="52"/>
      <c r="AD1408" s="52"/>
      <c r="AE1408" s="52"/>
      <c r="AF1408" s="52"/>
      <c r="AG1408" s="52"/>
      <c r="AH1408" s="52"/>
      <c r="AI1408" s="52"/>
      <c r="AJ1408" s="52"/>
      <c r="AK1408" s="52"/>
      <c r="AL1408" s="55"/>
      <c r="AM1408" s="52"/>
      <c r="AN1408" s="52"/>
      <c r="AO1408" s="52"/>
      <c r="AP1408" s="52"/>
      <c r="AQ1408" s="52"/>
      <c r="AR1408" s="52"/>
      <c r="AS1408" s="52"/>
      <c r="AT1408" s="52"/>
      <c r="AU1408" s="52"/>
      <c r="AV1408" s="52"/>
      <c r="AW1408" s="52"/>
    </row>
    <row r="1409" spans="1:49">
      <c r="A1409" s="52"/>
      <c r="B1409" s="52"/>
      <c r="C1409" s="52"/>
      <c r="D1409" s="53"/>
      <c r="E1409" s="53"/>
      <c r="F1409" s="53"/>
      <c r="G1409" s="53"/>
      <c r="H1409" s="53"/>
      <c r="I1409" s="52"/>
      <c r="J1409" s="52"/>
      <c r="K1409" s="53"/>
      <c r="L1409" s="52"/>
      <c r="M1409" s="54"/>
      <c r="N1409" s="54"/>
      <c r="O1409" s="52"/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  <c r="AA1409" s="52"/>
      <c r="AB1409" s="52"/>
      <c r="AC1409" s="52"/>
      <c r="AD1409" s="52"/>
      <c r="AE1409" s="52"/>
      <c r="AF1409" s="52"/>
      <c r="AG1409" s="52"/>
      <c r="AH1409" s="52"/>
      <c r="AI1409" s="53"/>
      <c r="AJ1409" s="53"/>
      <c r="AK1409" s="53"/>
      <c r="AL1409" s="55"/>
      <c r="AM1409" s="52"/>
      <c r="AN1409" s="55"/>
      <c r="AO1409" s="55"/>
      <c r="AP1409" s="55"/>
      <c r="AQ1409" s="52"/>
      <c r="AR1409" s="52"/>
      <c r="AS1409" s="52"/>
      <c r="AT1409" s="52"/>
      <c r="AU1409" s="52"/>
      <c r="AV1409" s="52"/>
      <c r="AW1409" s="52"/>
    </row>
    <row r="1410" spans="1:49">
      <c r="A1410" s="52"/>
      <c r="B1410" s="52"/>
      <c r="C1410" s="52"/>
      <c r="D1410" s="53"/>
      <c r="E1410" s="53"/>
      <c r="F1410" s="53"/>
      <c r="G1410" s="53"/>
      <c r="H1410" s="53"/>
      <c r="I1410" s="52"/>
      <c r="J1410" s="52"/>
      <c r="K1410" s="53"/>
      <c r="L1410" s="52"/>
      <c r="M1410" s="54"/>
      <c r="N1410" s="54"/>
      <c r="O1410" s="52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  <c r="AA1410" s="52"/>
      <c r="AB1410" s="52"/>
      <c r="AC1410" s="52"/>
      <c r="AD1410" s="52"/>
      <c r="AE1410" s="52"/>
      <c r="AF1410" s="52"/>
      <c r="AG1410" s="52"/>
      <c r="AH1410" s="52"/>
      <c r="AI1410" s="53"/>
      <c r="AJ1410" s="53"/>
      <c r="AK1410" s="53"/>
      <c r="AL1410" s="55"/>
      <c r="AM1410" s="52"/>
      <c r="AN1410" s="55"/>
      <c r="AO1410" s="55"/>
      <c r="AP1410" s="55"/>
      <c r="AQ1410" s="52"/>
      <c r="AR1410" s="52"/>
      <c r="AS1410" s="52"/>
      <c r="AT1410" s="52"/>
      <c r="AU1410" s="52"/>
      <c r="AV1410" s="52"/>
      <c r="AW1410" s="52"/>
    </row>
    <row r="1411" spans="1:49">
      <c r="A1411" s="52"/>
      <c r="B1411" s="52"/>
      <c r="C1411" s="52"/>
      <c r="D1411" s="53"/>
      <c r="E1411" s="53"/>
      <c r="F1411" s="53"/>
      <c r="G1411" s="53"/>
      <c r="H1411" s="53"/>
      <c r="I1411" s="52"/>
      <c r="J1411" s="52"/>
      <c r="K1411" s="53"/>
      <c r="L1411" s="52"/>
      <c r="M1411" s="55"/>
      <c r="N1411" s="55"/>
      <c r="O1411" s="52"/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  <c r="AA1411" s="52"/>
      <c r="AB1411" s="52"/>
      <c r="AC1411" s="52"/>
      <c r="AD1411" s="52"/>
      <c r="AE1411" s="52"/>
      <c r="AF1411" s="52"/>
      <c r="AG1411" s="52"/>
      <c r="AH1411" s="52"/>
      <c r="AI1411" s="52"/>
      <c r="AJ1411" s="52"/>
      <c r="AK1411" s="52"/>
      <c r="AL1411" s="55"/>
      <c r="AM1411" s="52"/>
      <c r="AN1411" s="52"/>
      <c r="AO1411" s="52"/>
      <c r="AP1411" s="52"/>
      <c r="AQ1411" s="52"/>
      <c r="AR1411" s="52"/>
      <c r="AS1411" s="52"/>
      <c r="AT1411" s="52"/>
      <c r="AU1411" s="52"/>
      <c r="AV1411" s="52"/>
      <c r="AW1411" s="52"/>
    </row>
    <row r="1412" spans="1:49">
      <c r="A1412" s="52"/>
      <c r="B1412" s="52"/>
      <c r="C1412" s="52"/>
      <c r="D1412" s="53"/>
      <c r="E1412" s="53"/>
      <c r="F1412" s="53"/>
      <c r="G1412" s="53"/>
      <c r="H1412" s="53"/>
      <c r="I1412" s="52"/>
      <c r="J1412" s="52"/>
      <c r="K1412" s="53"/>
      <c r="L1412" s="52"/>
      <c r="M1412" s="55"/>
      <c r="N1412" s="55"/>
      <c r="O1412" s="52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  <c r="AA1412" s="52"/>
      <c r="AB1412" s="52"/>
      <c r="AC1412" s="52"/>
      <c r="AD1412" s="52"/>
      <c r="AE1412" s="52"/>
      <c r="AF1412" s="52"/>
      <c r="AG1412" s="52"/>
      <c r="AH1412" s="52"/>
      <c r="AI1412" s="53"/>
      <c r="AJ1412" s="53"/>
      <c r="AK1412" s="53"/>
      <c r="AL1412" s="55"/>
      <c r="AM1412" s="52"/>
      <c r="AN1412" s="55"/>
      <c r="AO1412" s="55"/>
      <c r="AP1412" s="55"/>
      <c r="AQ1412" s="52"/>
      <c r="AR1412" s="52"/>
      <c r="AS1412" s="52"/>
      <c r="AT1412" s="52"/>
      <c r="AU1412" s="52"/>
      <c r="AV1412" s="52"/>
      <c r="AW1412" s="52"/>
    </row>
    <row r="1413" spans="1:49">
      <c r="A1413" s="52"/>
      <c r="B1413" s="52"/>
      <c r="C1413" s="52"/>
      <c r="D1413" s="53"/>
      <c r="E1413" s="53"/>
      <c r="F1413" s="53"/>
      <c r="G1413" s="53"/>
      <c r="H1413" s="53"/>
      <c r="I1413" s="52"/>
      <c r="J1413" s="52"/>
      <c r="K1413" s="53"/>
      <c r="L1413" s="52"/>
      <c r="M1413" s="55"/>
      <c r="N1413" s="55"/>
      <c r="O1413" s="52"/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  <c r="AA1413" s="52"/>
      <c r="AB1413" s="52"/>
      <c r="AC1413" s="52"/>
      <c r="AD1413" s="52"/>
      <c r="AE1413" s="52"/>
      <c r="AF1413" s="52"/>
      <c r="AG1413" s="52"/>
      <c r="AH1413" s="52"/>
      <c r="AI1413" s="53"/>
      <c r="AJ1413" s="53"/>
      <c r="AK1413" s="53"/>
      <c r="AL1413" s="55"/>
      <c r="AM1413" s="52"/>
      <c r="AN1413" s="55"/>
      <c r="AO1413" s="55"/>
      <c r="AP1413" s="55"/>
      <c r="AQ1413" s="52"/>
      <c r="AR1413" s="52"/>
      <c r="AS1413" s="52"/>
      <c r="AT1413" s="52"/>
      <c r="AU1413" s="52"/>
      <c r="AV1413" s="52"/>
      <c r="AW1413" s="52"/>
    </row>
    <row r="1414" spans="1:49">
      <c r="A1414" s="52"/>
      <c r="B1414" s="52"/>
      <c r="C1414" s="52"/>
      <c r="D1414" s="53"/>
      <c r="E1414" s="53"/>
      <c r="F1414" s="52"/>
      <c r="G1414" s="52"/>
      <c r="H1414" s="52"/>
      <c r="I1414" s="52"/>
      <c r="J1414" s="52"/>
      <c r="K1414" s="52"/>
      <c r="L1414" s="52"/>
      <c r="M1414" s="55"/>
      <c r="N1414" s="54"/>
      <c r="O1414" s="52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  <c r="AA1414" s="52"/>
      <c r="AB1414" s="52"/>
      <c r="AC1414" s="52"/>
      <c r="AD1414" s="52"/>
      <c r="AE1414" s="52"/>
      <c r="AF1414" s="52"/>
      <c r="AG1414" s="52"/>
      <c r="AH1414" s="52"/>
      <c r="AI1414" s="52"/>
      <c r="AJ1414" s="52"/>
      <c r="AK1414" s="52"/>
      <c r="AL1414" s="52"/>
      <c r="AM1414" s="52"/>
      <c r="AN1414" s="52"/>
      <c r="AO1414" s="52"/>
      <c r="AP1414" s="52"/>
      <c r="AQ1414" s="52"/>
      <c r="AR1414" s="52"/>
      <c r="AS1414" s="52"/>
      <c r="AT1414" s="52"/>
      <c r="AU1414" s="52"/>
      <c r="AV1414" s="52"/>
      <c r="AW1414" s="52"/>
    </row>
    <row r="1415" spans="1:49">
      <c r="A1415" s="52"/>
      <c r="B1415" s="52"/>
      <c r="C1415" s="52"/>
      <c r="D1415" s="53"/>
      <c r="E1415" s="53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  <c r="AA1415" s="52"/>
      <c r="AB1415" s="52"/>
      <c r="AC1415" s="52"/>
      <c r="AD1415" s="52"/>
      <c r="AE1415" s="52"/>
      <c r="AF1415" s="52"/>
      <c r="AG1415" s="52"/>
      <c r="AH1415" s="52"/>
      <c r="AI1415" s="52"/>
      <c r="AJ1415" s="52"/>
      <c r="AK1415" s="52"/>
      <c r="AL1415" s="52"/>
      <c r="AM1415" s="52"/>
      <c r="AN1415" s="52"/>
      <c r="AO1415" s="52"/>
      <c r="AP1415" s="52"/>
      <c r="AQ1415" s="52"/>
      <c r="AR1415" s="52"/>
      <c r="AS1415" s="52"/>
      <c r="AT1415" s="52"/>
      <c r="AU1415" s="52"/>
      <c r="AV1415" s="52"/>
      <c r="AW1415" s="52"/>
    </row>
    <row r="1416" spans="1:49">
      <c r="A1416" s="52"/>
      <c r="B1416" s="52"/>
      <c r="C1416" s="52"/>
      <c r="D1416" s="53"/>
      <c r="E1416" s="53"/>
      <c r="F1416" s="53"/>
      <c r="G1416" s="53"/>
      <c r="H1416" s="53"/>
      <c r="I1416" s="52"/>
      <c r="J1416" s="52"/>
      <c r="K1416" s="53"/>
      <c r="L1416" s="52"/>
      <c r="M1416" s="55"/>
      <c r="N1416" s="54"/>
      <c r="O1416" s="52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  <c r="AA1416" s="52"/>
      <c r="AB1416" s="52"/>
      <c r="AC1416" s="52"/>
      <c r="AD1416" s="52"/>
      <c r="AE1416" s="52"/>
      <c r="AF1416" s="52"/>
      <c r="AG1416" s="52"/>
      <c r="AH1416" s="52"/>
      <c r="AI1416" s="52"/>
      <c r="AJ1416" s="52"/>
      <c r="AK1416" s="52"/>
      <c r="AL1416" s="52"/>
      <c r="AM1416" s="52"/>
      <c r="AN1416" s="52"/>
      <c r="AO1416" s="52"/>
      <c r="AP1416" s="52"/>
      <c r="AQ1416" s="52"/>
      <c r="AR1416" s="52"/>
      <c r="AS1416" s="52"/>
      <c r="AT1416" s="52"/>
      <c r="AU1416" s="52"/>
      <c r="AV1416" s="52"/>
      <c r="AW1416" s="52"/>
    </row>
    <row r="1417" spans="1:49">
      <c r="A1417" s="52"/>
      <c r="B1417" s="52"/>
      <c r="C1417" s="52"/>
      <c r="D1417" s="53"/>
      <c r="E1417" s="53"/>
      <c r="F1417" s="53"/>
      <c r="G1417" s="53"/>
      <c r="H1417" s="52"/>
      <c r="I1417" s="52"/>
      <c r="J1417" s="52"/>
      <c r="K1417" s="52"/>
      <c r="L1417" s="52"/>
      <c r="M1417" s="54"/>
      <c r="N1417" s="54"/>
      <c r="O1417" s="52"/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  <c r="AA1417" s="52"/>
      <c r="AB1417" s="52"/>
      <c r="AC1417" s="52"/>
      <c r="AD1417" s="52"/>
      <c r="AE1417" s="52"/>
      <c r="AF1417" s="52"/>
      <c r="AG1417" s="52"/>
      <c r="AH1417" s="52"/>
      <c r="AI1417" s="52"/>
      <c r="AJ1417" s="52"/>
      <c r="AK1417" s="52"/>
      <c r="AL1417" s="52"/>
      <c r="AM1417" s="52"/>
      <c r="AN1417" s="52"/>
      <c r="AO1417" s="52"/>
      <c r="AP1417" s="52"/>
      <c r="AQ1417" s="52"/>
      <c r="AR1417" s="52"/>
      <c r="AS1417" s="52"/>
      <c r="AT1417" s="52"/>
      <c r="AU1417" s="52"/>
      <c r="AV1417" s="52"/>
      <c r="AW1417" s="52"/>
    </row>
    <row r="1418" spans="1:49">
      <c r="A1418" s="52"/>
      <c r="B1418" s="52"/>
      <c r="C1418" s="52"/>
      <c r="D1418" s="53"/>
      <c r="E1418" s="53"/>
      <c r="F1418" s="53"/>
      <c r="G1418" s="53"/>
      <c r="H1418" s="52"/>
      <c r="I1418" s="52"/>
      <c r="J1418" s="52"/>
      <c r="K1418" s="52"/>
      <c r="L1418" s="52"/>
      <c r="M1418" s="54"/>
      <c r="N1418" s="54"/>
      <c r="O1418" s="52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  <c r="AA1418" s="52"/>
      <c r="AB1418" s="52"/>
      <c r="AC1418" s="52"/>
      <c r="AD1418" s="52"/>
      <c r="AE1418" s="52"/>
      <c r="AF1418" s="52"/>
      <c r="AG1418" s="52"/>
      <c r="AH1418" s="52"/>
      <c r="AI1418" s="52"/>
      <c r="AJ1418" s="52"/>
      <c r="AK1418" s="52"/>
      <c r="AL1418" s="52"/>
      <c r="AM1418" s="52"/>
      <c r="AN1418" s="52"/>
      <c r="AO1418" s="52"/>
      <c r="AP1418" s="52"/>
      <c r="AQ1418" s="52"/>
      <c r="AR1418" s="52"/>
      <c r="AS1418" s="52"/>
      <c r="AT1418" s="52"/>
      <c r="AU1418" s="52"/>
      <c r="AV1418" s="52"/>
      <c r="AW1418" s="52"/>
    </row>
    <row r="1419" spans="1:49">
      <c r="A1419" s="52"/>
      <c r="B1419" s="52"/>
      <c r="C1419" s="52"/>
      <c r="D1419" s="53"/>
      <c r="E1419" s="53"/>
      <c r="F1419" s="53"/>
      <c r="G1419" s="53"/>
      <c r="H1419" s="53"/>
      <c r="I1419" s="52"/>
      <c r="J1419" s="52"/>
      <c r="K1419" s="52"/>
      <c r="L1419" s="52"/>
      <c r="M1419" s="54"/>
      <c r="N1419" s="54"/>
      <c r="O1419" s="52"/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  <c r="AA1419" s="52"/>
      <c r="AB1419" s="52"/>
      <c r="AC1419" s="52"/>
      <c r="AD1419" s="52"/>
      <c r="AE1419" s="52"/>
      <c r="AF1419" s="52"/>
      <c r="AG1419" s="52"/>
      <c r="AH1419" s="52"/>
      <c r="AI1419" s="52"/>
      <c r="AJ1419" s="52"/>
      <c r="AK1419" s="52"/>
      <c r="AL1419" s="55"/>
      <c r="AM1419" s="52"/>
      <c r="AN1419" s="52"/>
      <c r="AO1419" s="52"/>
      <c r="AP1419" s="55"/>
      <c r="AQ1419" s="52"/>
      <c r="AR1419" s="52"/>
      <c r="AS1419" s="52"/>
      <c r="AT1419" s="52"/>
      <c r="AU1419" s="52"/>
      <c r="AV1419" s="52"/>
      <c r="AW1419" s="52"/>
    </row>
    <row r="1420" spans="1:49">
      <c r="A1420" s="52"/>
      <c r="B1420" s="52"/>
      <c r="C1420" s="52"/>
      <c r="D1420" s="53"/>
      <c r="E1420" s="53"/>
      <c r="F1420" s="53"/>
      <c r="G1420" s="53"/>
      <c r="H1420" s="53"/>
      <c r="I1420" s="52"/>
      <c r="J1420" s="52"/>
      <c r="K1420" s="52"/>
      <c r="L1420" s="52"/>
      <c r="M1420" s="54"/>
      <c r="N1420" s="54"/>
      <c r="O1420" s="52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  <c r="AA1420" s="52"/>
      <c r="AB1420" s="52"/>
      <c r="AC1420" s="52"/>
      <c r="AD1420" s="52"/>
      <c r="AE1420" s="52"/>
      <c r="AF1420" s="52"/>
      <c r="AG1420" s="52"/>
      <c r="AH1420" s="52"/>
      <c r="AI1420" s="52"/>
      <c r="AJ1420" s="52"/>
      <c r="AK1420" s="52"/>
      <c r="AL1420" s="55"/>
      <c r="AM1420" s="52"/>
      <c r="AN1420" s="52"/>
      <c r="AO1420" s="52"/>
      <c r="AP1420" s="55"/>
      <c r="AQ1420" s="52"/>
      <c r="AR1420" s="52"/>
      <c r="AS1420" s="52"/>
      <c r="AT1420" s="52"/>
      <c r="AU1420" s="52"/>
      <c r="AV1420" s="52"/>
      <c r="AW1420" s="52"/>
    </row>
    <row r="1421" spans="1:49">
      <c r="A1421" s="52"/>
      <c r="B1421" s="52"/>
      <c r="C1421" s="52"/>
      <c r="D1421" s="53"/>
      <c r="E1421" s="53"/>
      <c r="F1421" s="52"/>
      <c r="G1421" s="52"/>
      <c r="H1421" s="52"/>
      <c r="I1421" s="52"/>
      <c r="J1421" s="52"/>
      <c r="K1421" s="52"/>
      <c r="L1421" s="52"/>
      <c r="M1421" s="55"/>
      <c r="N1421" s="54"/>
      <c r="O1421" s="52"/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  <c r="AA1421" s="52"/>
      <c r="AB1421" s="52"/>
      <c r="AC1421" s="52"/>
      <c r="AD1421" s="52"/>
      <c r="AE1421" s="52"/>
      <c r="AF1421" s="52"/>
      <c r="AG1421" s="52"/>
      <c r="AH1421" s="52"/>
      <c r="AI1421" s="52"/>
      <c r="AJ1421" s="52"/>
      <c r="AK1421" s="52"/>
      <c r="AL1421" s="52"/>
      <c r="AM1421" s="52"/>
      <c r="AN1421" s="52"/>
      <c r="AO1421" s="52"/>
      <c r="AP1421" s="52"/>
      <c r="AQ1421" s="52"/>
      <c r="AR1421" s="52"/>
      <c r="AS1421" s="52"/>
      <c r="AT1421" s="52"/>
      <c r="AU1421" s="52"/>
      <c r="AV1421" s="52"/>
      <c r="AW1421" s="52"/>
    </row>
    <row r="1422" spans="1:49">
      <c r="A1422" s="52"/>
      <c r="B1422" s="52"/>
      <c r="C1422" s="52"/>
      <c r="D1422" s="53"/>
      <c r="E1422" s="53"/>
      <c r="F1422" s="52"/>
      <c r="G1422" s="52"/>
      <c r="H1422" s="52"/>
      <c r="I1422" s="52"/>
      <c r="J1422" s="52"/>
      <c r="K1422" s="52"/>
      <c r="L1422" s="52"/>
      <c r="M1422" s="52"/>
      <c r="N1422" s="52"/>
      <c r="O1422" s="52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  <c r="AA1422" s="52"/>
      <c r="AB1422" s="52"/>
      <c r="AC1422" s="52"/>
      <c r="AD1422" s="52"/>
      <c r="AE1422" s="52"/>
      <c r="AF1422" s="52"/>
      <c r="AG1422" s="52"/>
      <c r="AH1422" s="52"/>
      <c r="AI1422" s="52"/>
      <c r="AJ1422" s="52"/>
      <c r="AK1422" s="52"/>
      <c r="AL1422" s="52"/>
      <c r="AM1422" s="52"/>
      <c r="AN1422" s="52"/>
      <c r="AO1422" s="52"/>
      <c r="AP1422" s="52"/>
      <c r="AQ1422" s="52"/>
      <c r="AR1422" s="52"/>
      <c r="AS1422" s="52"/>
      <c r="AT1422" s="52"/>
      <c r="AU1422" s="52"/>
      <c r="AV1422" s="52"/>
      <c r="AW1422" s="52"/>
    </row>
    <row r="1423" spans="1:49">
      <c r="A1423" s="52"/>
      <c r="B1423" s="52"/>
      <c r="C1423" s="52"/>
      <c r="D1423" s="53"/>
      <c r="E1423" s="53"/>
      <c r="F1423" s="52"/>
      <c r="G1423" s="52"/>
      <c r="H1423" s="52"/>
      <c r="I1423" s="52"/>
      <c r="J1423" s="52"/>
      <c r="K1423" s="52"/>
      <c r="L1423" s="52"/>
      <c r="M1423" s="55"/>
      <c r="N1423" s="54"/>
      <c r="O1423" s="52"/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  <c r="AA1423" s="52"/>
      <c r="AB1423" s="52"/>
      <c r="AC1423" s="52"/>
      <c r="AD1423" s="52"/>
      <c r="AE1423" s="52"/>
      <c r="AF1423" s="52"/>
      <c r="AG1423" s="52"/>
      <c r="AH1423" s="52"/>
      <c r="AI1423" s="52"/>
      <c r="AJ1423" s="52"/>
      <c r="AK1423" s="52"/>
      <c r="AL1423" s="52"/>
      <c r="AM1423" s="52"/>
      <c r="AN1423" s="52"/>
      <c r="AO1423" s="52"/>
      <c r="AP1423" s="52"/>
      <c r="AQ1423" s="52"/>
      <c r="AR1423" s="52"/>
      <c r="AS1423" s="52"/>
      <c r="AT1423" s="52"/>
      <c r="AU1423" s="52"/>
      <c r="AV1423" s="52"/>
      <c r="AW1423" s="52"/>
    </row>
    <row r="1424" spans="1:49">
      <c r="A1424" s="52"/>
      <c r="B1424" s="52"/>
      <c r="C1424" s="52"/>
      <c r="D1424" s="53"/>
      <c r="E1424" s="53"/>
      <c r="F1424" s="52"/>
      <c r="G1424" s="52"/>
      <c r="H1424" s="52"/>
      <c r="I1424" s="52"/>
      <c r="J1424" s="52"/>
      <c r="K1424" s="52"/>
      <c r="L1424" s="52"/>
      <c r="M1424" s="52"/>
      <c r="N1424" s="52"/>
      <c r="O1424" s="52"/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  <c r="AA1424" s="52"/>
      <c r="AB1424" s="52"/>
      <c r="AC1424" s="52"/>
      <c r="AD1424" s="52"/>
      <c r="AE1424" s="52"/>
      <c r="AF1424" s="52"/>
      <c r="AG1424" s="52"/>
      <c r="AH1424" s="52"/>
      <c r="AI1424" s="52"/>
      <c r="AJ1424" s="52"/>
      <c r="AK1424" s="52"/>
      <c r="AL1424" s="52"/>
      <c r="AM1424" s="52"/>
      <c r="AN1424" s="52"/>
      <c r="AO1424" s="52"/>
      <c r="AP1424" s="52"/>
      <c r="AQ1424" s="52"/>
      <c r="AR1424" s="52"/>
      <c r="AS1424" s="52"/>
      <c r="AT1424" s="52"/>
      <c r="AU1424" s="52"/>
      <c r="AV1424" s="52"/>
      <c r="AW1424" s="52"/>
    </row>
    <row r="1425" spans="1:49">
      <c r="A1425" s="52"/>
      <c r="B1425" s="52"/>
      <c r="C1425" s="52"/>
      <c r="D1425" s="53"/>
      <c r="E1425" s="53"/>
      <c r="F1425" s="52"/>
      <c r="G1425" s="52"/>
      <c r="H1425" s="52"/>
      <c r="I1425" s="52"/>
      <c r="J1425" s="52"/>
      <c r="K1425" s="52"/>
      <c r="L1425" s="52"/>
      <c r="M1425" s="55"/>
      <c r="N1425" s="54"/>
      <c r="O1425" s="52"/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  <c r="AA1425" s="52"/>
      <c r="AB1425" s="52"/>
      <c r="AC1425" s="52"/>
      <c r="AD1425" s="52"/>
      <c r="AE1425" s="52"/>
      <c r="AF1425" s="52"/>
      <c r="AG1425" s="52"/>
      <c r="AH1425" s="52"/>
      <c r="AI1425" s="52"/>
      <c r="AJ1425" s="52"/>
      <c r="AK1425" s="52"/>
      <c r="AL1425" s="52"/>
      <c r="AM1425" s="52"/>
      <c r="AN1425" s="52"/>
      <c r="AO1425" s="52"/>
      <c r="AP1425" s="52"/>
      <c r="AQ1425" s="52"/>
      <c r="AR1425" s="52"/>
      <c r="AS1425" s="52"/>
      <c r="AT1425" s="52"/>
      <c r="AU1425" s="52"/>
      <c r="AV1425" s="52"/>
      <c r="AW1425" s="52"/>
    </row>
    <row r="1426" spans="1:49">
      <c r="A1426" s="52"/>
      <c r="B1426" s="52"/>
      <c r="C1426" s="52"/>
      <c r="D1426" s="53"/>
      <c r="E1426" s="53"/>
      <c r="F1426" s="52"/>
      <c r="G1426" s="52"/>
      <c r="H1426" s="52"/>
      <c r="I1426" s="52"/>
      <c r="J1426" s="52"/>
      <c r="K1426" s="52"/>
      <c r="L1426" s="52"/>
      <c r="M1426" s="52"/>
      <c r="N1426" s="52"/>
      <c r="O1426" s="52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  <c r="AA1426" s="52"/>
      <c r="AB1426" s="52"/>
      <c r="AC1426" s="52"/>
      <c r="AD1426" s="52"/>
      <c r="AE1426" s="52"/>
      <c r="AF1426" s="52"/>
      <c r="AG1426" s="52"/>
      <c r="AH1426" s="52"/>
      <c r="AI1426" s="52"/>
      <c r="AJ1426" s="52"/>
      <c r="AK1426" s="52"/>
      <c r="AL1426" s="52"/>
      <c r="AM1426" s="52"/>
      <c r="AN1426" s="52"/>
      <c r="AO1426" s="52"/>
      <c r="AP1426" s="52"/>
      <c r="AQ1426" s="52"/>
      <c r="AR1426" s="52"/>
      <c r="AS1426" s="52"/>
      <c r="AT1426" s="52"/>
      <c r="AU1426" s="52"/>
      <c r="AV1426" s="52"/>
      <c r="AW1426" s="52"/>
    </row>
    <row r="1427" spans="1:49">
      <c r="A1427" s="52"/>
      <c r="B1427" s="52"/>
      <c r="C1427" s="52"/>
      <c r="D1427" s="53"/>
      <c r="E1427" s="53"/>
      <c r="F1427" s="52"/>
      <c r="G1427" s="52"/>
      <c r="H1427" s="52"/>
      <c r="I1427" s="52"/>
      <c r="J1427" s="52"/>
      <c r="K1427" s="52"/>
      <c r="L1427" s="52"/>
      <c r="M1427" s="54"/>
      <c r="N1427" s="54"/>
      <c r="O1427" s="52"/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  <c r="AA1427" s="52"/>
      <c r="AB1427" s="52"/>
      <c r="AC1427" s="52"/>
      <c r="AD1427" s="52"/>
      <c r="AE1427" s="52"/>
      <c r="AF1427" s="52"/>
      <c r="AG1427" s="52"/>
      <c r="AH1427" s="52"/>
      <c r="AI1427" s="52"/>
      <c r="AJ1427" s="52"/>
      <c r="AK1427" s="52"/>
      <c r="AL1427" s="52"/>
      <c r="AM1427" s="52"/>
      <c r="AN1427" s="52"/>
      <c r="AO1427" s="52"/>
      <c r="AP1427" s="52"/>
      <c r="AQ1427" s="52"/>
      <c r="AR1427" s="52"/>
      <c r="AS1427" s="52"/>
      <c r="AT1427" s="52"/>
      <c r="AU1427" s="52"/>
      <c r="AV1427" s="52"/>
      <c r="AW1427" s="52"/>
    </row>
    <row r="1428" spans="1:49">
      <c r="A1428" s="52"/>
      <c r="B1428" s="52"/>
      <c r="C1428" s="52"/>
      <c r="D1428" s="53"/>
      <c r="E1428" s="53"/>
      <c r="F1428" s="52"/>
      <c r="G1428" s="52"/>
      <c r="H1428" s="52"/>
      <c r="I1428" s="52"/>
      <c r="J1428" s="52"/>
      <c r="K1428" s="52"/>
      <c r="L1428" s="52"/>
      <c r="M1428" s="52"/>
      <c r="N1428" s="52"/>
      <c r="O1428" s="52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  <c r="AA1428" s="52"/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52"/>
      <c r="AN1428" s="52"/>
      <c r="AO1428" s="52"/>
      <c r="AP1428" s="52"/>
      <c r="AQ1428" s="52"/>
      <c r="AR1428" s="52"/>
      <c r="AS1428" s="52"/>
      <c r="AT1428" s="52"/>
      <c r="AU1428" s="52"/>
      <c r="AV1428" s="52"/>
      <c r="AW1428" s="52"/>
    </row>
    <row r="1429" spans="1:49">
      <c r="A1429" s="52"/>
      <c r="B1429" s="52"/>
      <c r="C1429" s="52"/>
      <c r="D1429" s="53"/>
      <c r="E1429" s="53"/>
      <c r="F1429" s="52"/>
      <c r="G1429" s="52"/>
      <c r="H1429" s="52"/>
      <c r="I1429" s="52"/>
      <c r="J1429" s="52"/>
      <c r="K1429" s="52"/>
      <c r="L1429" s="52"/>
      <c r="M1429" s="54"/>
      <c r="N1429" s="54"/>
      <c r="O1429" s="52"/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  <c r="AA1429" s="52"/>
      <c r="AB1429" s="52"/>
      <c r="AC1429" s="52"/>
      <c r="AD1429" s="52"/>
      <c r="AE1429" s="52"/>
      <c r="AF1429" s="52"/>
      <c r="AG1429" s="52"/>
      <c r="AH1429" s="52"/>
      <c r="AI1429" s="52"/>
      <c r="AJ1429" s="52"/>
      <c r="AK1429" s="52"/>
      <c r="AL1429" s="52"/>
      <c r="AM1429" s="52"/>
      <c r="AN1429" s="52"/>
      <c r="AO1429" s="52"/>
      <c r="AP1429" s="52"/>
      <c r="AQ1429" s="52"/>
      <c r="AR1429" s="52"/>
      <c r="AS1429" s="52"/>
      <c r="AT1429" s="52"/>
      <c r="AU1429" s="52"/>
      <c r="AV1429" s="52"/>
      <c r="AW1429" s="52"/>
    </row>
    <row r="1430" spans="1:49">
      <c r="A1430" s="52"/>
      <c r="B1430" s="52"/>
      <c r="C1430" s="52"/>
      <c r="D1430" s="53"/>
      <c r="E1430" s="53"/>
      <c r="F1430" s="52"/>
      <c r="G1430" s="52"/>
      <c r="H1430" s="52"/>
      <c r="I1430" s="52"/>
      <c r="J1430" s="52"/>
      <c r="K1430" s="52"/>
      <c r="L1430" s="52"/>
      <c r="M1430" s="52"/>
      <c r="N1430" s="52"/>
      <c r="O1430" s="52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  <c r="AA1430" s="52"/>
      <c r="AB1430" s="52"/>
      <c r="AC1430" s="52"/>
      <c r="AD1430" s="52"/>
      <c r="AE1430" s="52"/>
      <c r="AF1430" s="52"/>
      <c r="AG1430" s="52"/>
      <c r="AH1430" s="52"/>
      <c r="AI1430" s="52"/>
      <c r="AJ1430" s="52"/>
      <c r="AK1430" s="52"/>
      <c r="AL1430" s="52"/>
      <c r="AM1430" s="52"/>
      <c r="AN1430" s="52"/>
      <c r="AO1430" s="52"/>
      <c r="AP1430" s="52"/>
      <c r="AQ1430" s="52"/>
      <c r="AR1430" s="52"/>
      <c r="AS1430" s="52"/>
      <c r="AT1430" s="52"/>
      <c r="AU1430" s="52"/>
      <c r="AV1430" s="52"/>
      <c r="AW1430" s="52"/>
    </row>
    <row r="1431" spans="1:49">
      <c r="A1431" s="52"/>
      <c r="B1431" s="52"/>
      <c r="C1431" s="52"/>
      <c r="D1431" s="53"/>
      <c r="E1431" s="53"/>
      <c r="F1431" s="52"/>
      <c r="G1431" s="52"/>
      <c r="H1431" s="52"/>
      <c r="I1431" s="52"/>
      <c r="J1431" s="52"/>
      <c r="K1431" s="52"/>
      <c r="L1431" s="52"/>
      <c r="M1431" s="54"/>
      <c r="N1431" s="54"/>
      <c r="O1431" s="52"/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  <c r="AA1431" s="52"/>
      <c r="AB1431" s="52"/>
      <c r="AC1431" s="52"/>
      <c r="AD1431" s="52"/>
      <c r="AE1431" s="52"/>
      <c r="AF1431" s="52"/>
      <c r="AG1431" s="52"/>
      <c r="AH1431" s="52"/>
      <c r="AI1431" s="52"/>
      <c r="AJ1431" s="52"/>
      <c r="AK1431" s="52"/>
      <c r="AL1431" s="52"/>
      <c r="AM1431" s="52"/>
      <c r="AN1431" s="52"/>
      <c r="AO1431" s="52"/>
      <c r="AP1431" s="52"/>
      <c r="AQ1431" s="52"/>
      <c r="AR1431" s="52"/>
      <c r="AS1431" s="52"/>
      <c r="AT1431" s="52"/>
      <c r="AU1431" s="52"/>
      <c r="AV1431" s="52"/>
      <c r="AW1431" s="52"/>
    </row>
    <row r="1432" spans="1:49">
      <c r="A1432" s="52"/>
      <c r="B1432" s="52"/>
      <c r="C1432" s="52"/>
      <c r="D1432" s="53"/>
      <c r="E1432" s="53"/>
      <c r="F1432" s="52"/>
      <c r="G1432" s="52"/>
      <c r="H1432" s="52"/>
      <c r="I1432" s="52"/>
      <c r="J1432" s="52"/>
      <c r="K1432" s="52"/>
      <c r="L1432" s="52"/>
      <c r="M1432" s="52"/>
      <c r="N1432" s="52"/>
      <c r="O1432" s="52"/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  <c r="AA1432" s="52"/>
      <c r="AB1432" s="52"/>
      <c r="AC1432" s="52"/>
      <c r="AD1432" s="52"/>
      <c r="AE1432" s="52"/>
      <c r="AF1432" s="52"/>
      <c r="AG1432" s="52"/>
      <c r="AH1432" s="52"/>
      <c r="AI1432" s="52"/>
      <c r="AJ1432" s="52"/>
      <c r="AK1432" s="52"/>
      <c r="AL1432" s="52"/>
      <c r="AM1432" s="52"/>
      <c r="AN1432" s="52"/>
      <c r="AO1432" s="52"/>
      <c r="AP1432" s="52"/>
      <c r="AQ1432" s="52"/>
      <c r="AR1432" s="52"/>
      <c r="AS1432" s="52"/>
      <c r="AT1432" s="52"/>
      <c r="AU1432" s="52"/>
      <c r="AV1432" s="52"/>
      <c r="AW1432" s="52"/>
    </row>
    <row r="1433" spans="1:49">
      <c r="A1433" s="52"/>
      <c r="B1433" s="52"/>
      <c r="C1433" s="52"/>
      <c r="D1433" s="53"/>
      <c r="E1433" s="53"/>
      <c r="F1433" s="52"/>
      <c r="G1433" s="52"/>
      <c r="H1433" s="52"/>
      <c r="I1433" s="52"/>
      <c r="J1433" s="52"/>
      <c r="K1433" s="52"/>
      <c r="L1433" s="52"/>
      <c r="M1433" s="54"/>
      <c r="N1433" s="54"/>
      <c r="O1433" s="52"/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  <c r="AA1433" s="52"/>
      <c r="AB1433" s="52"/>
      <c r="AC1433" s="52"/>
      <c r="AD1433" s="52"/>
      <c r="AE1433" s="52"/>
      <c r="AF1433" s="52"/>
      <c r="AG1433" s="52"/>
      <c r="AH1433" s="52"/>
      <c r="AI1433" s="52"/>
      <c r="AJ1433" s="52"/>
      <c r="AK1433" s="52"/>
      <c r="AL1433" s="52"/>
      <c r="AM1433" s="52"/>
      <c r="AN1433" s="52"/>
      <c r="AO1433" s="52"/>
      <c r="AP1433" s="52"/>
      <c r="AQ1433" s="52"/>
      <c r="AR1433" s="52"/>
      <c r="AS1433" s="52"/>
      <c r="AT1433" s="52"/>
      <c r="AU1433" s="52"/>
      <c r="AV1433" s="52"/>
      <c r="AW1433" s="52"/>
    </row>
    <row r="1434" spans="1:49">
      <c r="A1434" s="52"/>
      <c r="B1434" s="52"/>
      <c r="C1434" s="52"/>
      <c r="D1434" s="53"/>
      <c r="E1434" s="53"/>
      <c r="F1434" s="52"/>
      <c r="G1434" s="52"/>
      <c r="H1434" s="52"/>
      <c r="I1434" s="52"/>
      <c r="J1434" s="52"/>
      <c r="K1434" s="52"/>
      <c r="L1434" s="52"/>
      <c r="M1434" s="52"/>
      <c r="N1434" s="52"/>
      <c r="O1434" s="52"/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  <c r="AA1434" s="52"/>
      <c r="AB1434" s="52"/>
      <c r="AC1434" s="52"/>
      <c r="AD1434" s="52"/>
      <c r="AE1434" s="52"/>
      <c r="AF1434" s="52"/>
      <c r="AG1434" s="52"/>
      <c r="AH1434" s="52"/>
      <c r="AI1434" s="52"/>
      <c r="AJ1434" s="52"/>
      <c r="AK1434" s="52"/>
      <c r="AL1434" s="52"/>
      <c r="AM1434" s="52"/>
      <c r="AN1434" s="52"/>
      <c r="AO1434" s="52"/>
      <c r="AP1434" s="52"/>
      <c r="AQ1434" s="52"/>
      <c r="AR1434" s="52"/>
      <c r="AS1434" s="52"/>
      <c r="AT1434" s="52"/>
      <c r="AU1434" s="52"/>
      <c r="AV1434" s="52"/>
      <c r="AW1434" s="52"/>
    </row>
    <row r="1435" spans="1:49">
      <c r="A1435" s="52"/>
      <c r="B1435" s="52"/>
      <c r="C1435" s="52"/>
      <c r="D1435" s="53"/>
      <c r="E1435" s="53"/>
      <c r="F1435" s="52"/>
      <c r="G1435" s="52"/>
      <c r="H1435" s="52"/>
      <c r="I1435" s="52"/>
      <c r="J1435" s="52"/>
      <c r="K1435" s="52"/>
      <c r="L1435" s="52"/>
      <c r="M1435" s="54"/>
      <c r="N1435" s="54"/>
      <c r="O1435" s="52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  <c r="AA1435" s="52"/>
      <c r="AB1435" s="52"/>
      <c r="AC1435" s="52"/>
      <c r="AD1435" s="52"/>
      <c r="AE1435" s="52"/>
      <c r="AF1435" s="52"/>
      <c r="AG1435" s="52"/>
      <c r="AH1435" s="52"/>
      <c r="AI1435" s="52"/>
      <c r="AJ1435" s="52"/>
      <c r="AK1435" s="52"/>
      <c r="AL1435" s="52"/>
      <c r="AM1435" s="52"/>
      <c r="AN1435" s="52"/>
      <c r="AO1435" s="52"/>
      <c r="AP1435" s="52"/>
      <c r="AQ1435" s="52"/>
      <c r="AR1435" s="52"/>
      <c r="AS1435" s="52"/>
      <c r="AT1435" s="52"/>
      <c r="AU1435" s="52"/>
      <c r="AV1435" s="52"/>
      <c r="AW1435" s="52"/>
    </row>
    <row r="1436" spans="1:49">
      <c r="A1436" s="52"/>
      <c r="B1436" s="52"/>
      <c r="C1436" s="52"/>
      <c r="D1436" s="53"/>
      <c r="E1436" s="53"/>
      <c r="F1436" s="52"/>
      <c r="G1436" s="52"/>
      <c r="H1436" s="52"/>
      <c r="I1436" s="52"/>
      <c r="J1436" s="52"/>
      <c r="K1436" s="52"/>
      <c r="L1436" s="52"/>
      <c r="M1436" s="52"/>
      <c r="N1436" s="52"/>
      <c r="O1436" s="52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2"/>
      <c r="AE1436" s="52"/>
      <c r="AF1436" s="52"/>
      <c r="AG1436" s="52"/>
      <c r="AH1436" s="52"/>
      <c r="AI1436" s="52"/>
      <c r="AJ1436" s="52"/>
      <c r="AK1436" s="52"/>
      <c r="AL1436" s="52"/>
      <c r="AM1436" s="52"/>
      <c r="AN1436" s="52"/>
      <c r="AO1436" s="52"/>
      <c r="AP1436" s="52"/>
      <c r="AQ1436" s="52"/>
      <c r="AR1436" s="52"/>
      <c r="AS1436" s="52"/>
      <c r="AT1436" s="52"/>
      <c r="AU1436" s="52"/>
      <c r="AV1436" s="52"/>
      <c r="AW1436" s="52"/>
    </row>
    <row r="1437" spans="1:49">
      <c r="A1437" s="52"/>
      <c r="B1437" s="52"/>
      <c r="C1437" s="52"/>
      <c r="D1437" s="53"/>
      <c r="E1437" s="53"/>
      <c r="F1437" s="53"/>
      <c r="G1437" s="53"/>
      <c r="H1437" s="53"/>
      <c r="I1437" s="52"/>
      <c r="J1437" s="52"/>
      <c r="K1437" s="53"/>
      <c r="L1437" s="52"/>
      <c r="M1437" s="54"/>
      <c r="N1437" s="54"/>
      <c r="O1437" s="52"/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  <c r="AA1437" s="52"/>
      <c r="AB1437" s="52"/>
      <c r="AC1437" s="52"/>
      <c r="AD1437" s="52"/>
      <c r="AE1437" s="52"/>
      <c r="AF1437" s="52"/>
      <c r="AG1437" s="52"/>
      <c r="AH1437" s="52"/>
      <c r="AI1437" s="52"/>
      <c r="AJ1437" s="52"/>
      <c r="AK1437" s="52"/>
      <c r="AL1437" s="52"/>
      <c r="AM1437" s="52"/>
      <c r="AN1437" s="52"/>
      <c r="AO1437" s="52"/>
      <c r="AP1437" s="52"/>
      <c r="AQ1437" s="52"/>
      <c r="AR1437" s="52"/>
      <c r="AS1437" s="52"/>
      <c r="AT1437" s="52"/>
      <c r="AU1437" s="52"/>
      <c r="AV1437" s="52"/>
      <c r="AW1437" s="52"/>
    </row>
    <row r="1438" spans="1:49">
      <c r="A1438" s="52"/>
      <c r="B1438" s="52"/>
      <c r="C1438" s="52"/>
      <c r="D1438" s="53"/>
      <c r="E1438" s="53"/>
      <c r="F1438" s="53"/>
      <c r="G1438" s="53"/>
      <c r="H1438" s="52"/>
      <c r="I1438" s="52"/>
      <c r="J1438" s="52"/>
      <c r="K1438" s="52"/>
      <c r="L1438" s="52"/>
      <c r="M1438" s="54"/>
      <c r="N1438" s="54"/>
      <c r="O1438" s="52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  <c r="AA1438" s="52"/>
      <c r="AB1438" s="52"/>
      <c r="AC1438" s="52"/>
      <c r="AD1438" s="52"/>
      <c r="AE1438" s="52"/>
      <c r="AF1438" s="52"/>
      <c r="AG1438" s="52"/>
      <c r="AH1438" s="52"/>
      <c r="AI1438" s="52"/>
      <c r="AJ1438" s="52"/>
      <c r="AK1438" s="52"/>
      <c r="AL1438" s="52"/>
      <c r="AM1438" s="52"/>
      <c r="AN1438" s="52"/>
      <c r="AO1438" s="52"/>
      <c r="AP1438" s="52"/>
      <c r="AQ1438" s="52"/>
      <c r="AR1438" s="52"/>
      <c r="AS1438" s="52"/>
      <c r="AT1438" s="52"/>
      <c r="AU1438" s="52"/>
      <c r="AV1438" s="52"/>
      <c r="AW1438" s="52"/>
    </row>
    <row r="1439" spans="1:49">
      <c r="A1439" s="52"/>
      <c r="B1439" s="52"/>
      <c r="C1439" s="52"/>
      <c r="D1439" s="53"/>
      <c r="E1439" s="53"/>
      <c r="F1439" s="53"/>
      <c r="G1439" s="53"/>
      <c r="H1439" s="52"/>
      <c r="I1439" s="52"/>
      <c r="J1439" s="52"/>
      <c r="K1439" s="52"/>
      <c r="L1439" s="52"/>
      <c r="M1439" s="54"/>
      <c r="N1439" s="54"/>
      <c r="O1439" s="52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  <c r="AA1439" s="52"/>
      <c r="AB1439" s="52"/>
      <c r="AC1439" s="52"/>
      <c r="AD1439" s="52"/>
      <c r="AE1439" s="52"/>
      <c r="AF1439" s="52"/>
      <c r="AG1439" s="52"/>
      <c r="AH1439" s="52"/>
      <c r="AI1439" s="52"/>
      <c r="AJ1439" s="52"/>
      <c r="AK1439" s="52"/>
      <c r="AL1439" s="52"/>
      <c r="AM1439" s="52"/>
      <c r="AN1439" s="52"/>
      <c r="AO1439" s="52"/>
      <c r="AP1439" s="52"/>
      <c r="AQ1439" s="52"/>
      <c r="AR1439" s="52"/>
      <c r="AS1439" s="52"/>
      <c r="AT1439" s="52"/>
      <c r="AU1439" s="52"/>
      <c r="AV1439" s="52"/>
      <c r="AW1439" s="52"/>
    </row>
    <row r="1440" spans="1:49">
      <c r="A1440" s="52"/>
      <c r="B1440" s="52"/>
      <c r="C1440" s="52"/>
      <c r="D1440" s="53"/>
      <c r="E1440" s="53"/>
      <c r="F1440" s="53"/>
      <c r="G1440" s="53"/>
      <c r="H1440" s="53"/>
      <c r="I1440" s="52"/>
      <c r="J1440" s="52"/>
      <c r="K1440" s="52"/>
      <c r="L1440" s="52"/>
      <c r="M1440" s="54"/>
      <c r="N1440" s="54"/>
      <c r="O1440" s="52"/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  <c r="AA1440" s="52"/>
      <c r="AB1440" s="52"/>
      <c r="AC1440" s="52"/>
      <c r="AD1440" s="52"/>
      <c r="AE1440" s="52"/>
      <c r="AF1440" s="52"/>
      <c r="AG1440" s="52"/>
      <c r="AH1440" s="52"/>
      <c r="AI1440" s="52"/>
      <c r="AJ1440" s="52"/>
      <c r="AK1440" s="52"/>
      <c r="AL1440" s="55"/>
      <c r="AM1440" s="52"/>
      <c r="AN1440" s="52"/>
      <c r="AO1440" s="52"/>
      <c r="AP1440" s="55"/>
      <c r="AQ1440" s="52"/>
      <c r="AR1440" s="52"/>
      <c r="AS1440" s="52"/>
      <c r="AT1440" s="52"/>
      <c r="AU1440" s="52"/>
      <c r="AV1440" s="52"/>
      <c r="AW1440" s="52"/>
    </row>
    <row r="1441" spans="1:49">
      <c r="A1441" s="52"/>
      <c r="B1441" s="52"/>
      <c r="C1441" s="52"/>
      <c r="D1441" s="53"/>
      <c r="E1441" s="53"/>
      <c r="F1441" s="53"/>
      <c r="G1441" s="53"/>
      <c r="H1441" s="53"/>
      <c r="I1441" s="52"/>
      <c r="J1441" s="52"/>
      <c r="K1441" s="52"/>
      <c r="L1441" s="52"/>
      <c r="M1441" s="54"/>
      <c r="N1441" s="54"/>
      <c r="O1441" s="52"/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  <c r="AA1441" s="52"/>
      <c r="AB1441" s="52"/>
      <c r="AC1441" s="52"/>
      <c r="AD1441" s="52"/>
      <c r="AE1441" s="52"/>
      <c r="AF1441" s="52"/>
      <c r="AG1441" s="52"/>
      <c r="AH1441" s="52"/>
      <c r="AI1441" s="52"/>
      <c r="AJ1441" s="52"/>
      <c r="AK1441" s="52"/>
      <c r="AL1441" s="55"/>
      <c r="AM1441" s="52"/>
      <c r="AN1441" s="52"/>
      <c r="AO1441" s="52"/>
      <c r="AP1441" s="55"/>
      <c r="AQ1441" s="52"/>
      <c r="AR1441" s="52"/>
      <c r="AS1441" s="52"/>
      <c r="AT1441" s="52"/>
      <c r="AU1441" s="52"/>
      <c r="AV1441" s="52"/>
      <c r="AW1441" s="52"/>
    </row>
    <row r="1442" spans="1:49">
      <c r="A1442" s="52"/>
      <c r="B1442" s="52"/>
      <c r="C1442" s="52"/>
      <c r="D1442" s="53"/>
      <c r="E1442" s="53"/>
      <c r="F1442" s="53"/>
      <c r="G1442" s="53"/>
      <c r="H1442" s="53"/>
      <c r="I1442" s="52"/>
      <c r="J1442" s="52"/>
      <c r="K1442" s="52"/>
      <c r="L1442" s="52"/>
      <c r="M1442" s="54"/>
      <c r="N1442" s="54"/>
      <c r="O1442" s="52"/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  <c r="AA1442" s="52"/>
      <c r="AB1442" s="52"/>
      <c r="AC1442" s="52"/>
      <c r="AD1442" s="52"/>
      <c r="AE1442" s="52"/>
      <c r="AF1442" s="52"/>
      <c r="AG1442" s="52"/>
      <c r="AH1442" s="52"/>
      <c r="AI1442" s="52"/>
      <c r="AJ1442" s="52"/>
      <c r="AK1442" s="52"/>
      <c r="AL1442" s="55"/>
      <c r="AM1442" s="52"/>
      <c r="AN1442" s="52"/>
      <c r="AO1442" s="52"/>
      <c r="AP1442" s="52"/>
      <c r="AQ1442" s="52"/>
      <c r="AR1442" s="52"/>
      <c r="AS1442" s="52"/>
      <c r="AT1442" s="52"/>
      <c r="AU1442" s="52"/>
      <c r="AV1442" s="52"/>
      <c r="AW1442" s="52"/>
    </row>
    <row r="1443" spans="1:49">
      <c r="A1443" s="52"/>
      <c r="B1443" s="52"/>
      <c r="C1443" s="52"/>
      <c r="D1443" s="53"/>
      <c r="E1443" s="53"/>
      <c r="F1443" s="53"/>
      <c r="G1443" s="53"/>
      <c r="H1443" s="52"/>
      <c r="I1443" s="52"/>
      <c r="J1443" s="52"/>
      <c r="K1443" s="53"/>
      <c r="L1443" s="52"/>
      <c r="M1443" s="55"/>
      <c r="N1443" s="55"/>
      <c r="O1443" s="52"/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  <c r="AA1443" s="52"/>
      <c r="AB1443" s="52"/>
      <c r="AC1443" s="52"/>
      <c r="AD1443" s="52"/>
      <c r="AE1443" s="52"/>
      <c r="AF1443" s="52"/>
      <c r="AG1443" s="52"/>
      <c r="AH1443" s="52"/>
      <c r="AI1443" s="53"/>
      <c r="AJ1443" s="53"/>
      <c r="AK1443" s="53"/>
      <c r="AL1443" s="55"/>
      <c r="AM1443" s="52"/>
      <c r="AN1443" s="55"/>
      <c r="AO1443" s="52"/>
      <c r="AP1443" s="55"/>
      <c r="AQ1443" s="52"/>
      <c r="AR1443" s="52"/>
      <c r="AS1443" s="52"/>
      <c r="AT1443" s="52"/>
      <c r="AU1443" s="52"/>
      <c r="AV1443" s="52"/>
      <c r="AW1443" s="52"/>
    </row>
    <row r="1444" spans="1:49">
      <c r="A1444" s="52"/>
      <c r="B1444" s="52"/>
      <c r="C1444" s="52"/>
      <c r="D1444" s="53"/>
      <c r="E1444" s="53"/>
      <c r="F1444" s="53"/>
      <c r="G1444" s="53"/>
      <c r="H1444" s="52"/>
      <c r="I1444" s="52"/>
      <c r="J1444" s="52"/>
      <c r="K1444" s="53"/>
      <c r="L1444" s="52"/>
      <c r="M1444" s="55"/>
      <c r="N1444" s="55"/>
      <c r="O1444" s="52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  <c r="AA1444" s="52"/>
      <c r="AB1444" s="52"/>
      <c r="AC1444" s="52"/>
      <c r="AD1444" s="52"/>
      <c r="AE1444" s="52"/>
      <c r="AF1444" s="52"/>
      <c r="AG1444" s="52"/>
      <c r="AH1444" s="52"/>
      <c r="AI1444" s="53"/>
      <c r="AJ1444" s="53"/>
      <c r="AK1444" s="53"/>
      <c r="AL1444" s="55"/>
      <c r="AM1444" s="52"/>
      <c r="AN1444" s="55"/>
      <c r="AO1444" s="52"/>
      <c r="AP1444" s="55"/>
      <c r="AQ1444" s="52"/>
      <c r="AR1444" s="52"/>
      <c r="AS1444" s="52"/>
      <c r="AT1444" s="52"/>
      <c r="AU1444" s="52"/>
      <c r="AV1444" s="52"/>
      <c r="AW1444" s="52"/>
    </row>
    <row r="1445" spans="1:49">
      <c r="A1445" s="52"/>
      <c r="B1445" s="52"/>
      <c r="C1445" s="52"/>
      <c r="D1445" s="53"/>
      <c r="E1445" s="53"/>
      <c r="F1445" s="53"/>
      <c r="G1445" s="53"/>
      <c r="H1445" s="52"/>
      <c r="I1445" s="52"/>
      <c r="J1445" s="52"/>
      <c r="K1445" s="53"/>
      <c r="L1445" s="52"/>
      <c r="M1445" s="55"/>
      <c r="N1445" s="54"/>
      <c r="O1445" s="52"/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  <c r="AA1445" s="52"/>
      <c r="AB1445" s="52"/>
      <c r="AC1445" s="52"/>
      <c r="AD1445" s="52"/>
      <c r="AE1445" s="52"/>
      <c r="AF1445" s="52"/>
      <c r="AG1445" s="52"/>
      <c r="AH1445" s="52"/>
      <c r="AI1445" s="52"/>
      <c r="AJ1445" s="52"/>
      <c r="AK1445" s="52"/>
      <c r="AL1445" s="52"/>
      <c r="AM1445" s="52"/>
      <c r="AN1445" s="52"/>
      <c r="AO1445" s="52"/>
      <c r="AP1445" s="52"/>
      <c r="AQ1445" s="52"/>
      <c r="AR1445" s="52"/>
      <c r="AS1445" s="52"/>
      <c r="AT1445" s="52"/>
      <c r="AU1445" s="52"/>
      <c r="AV1445" s="52"/>
      <c r="AW1445" s="52"/>
    </row>
    <row r="1446" spans="1:49">
      <c r="A1446" s="52"/>
      <c r="B1446" s="52"/>
      <c r="C1446" s="52"/>
      <c r="D1446" s="53"/>
      <c r="E1446" s="53"/>
      <c r="F1446" s="53"/>
      <c r="G1446" s="53"/>
      <c r="H1446" s="52"/>
      <c r="I1446" s="52"/>
      <c r="J1446" s="52"/>
      <c r="K1446" s="53"/>
      <c r="L1446" s="52"/>
      <c r="M1446" s="54"/>
      <c r="N1446" s="55"/>
      <c r="O1446" s="52"/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  <c r="AA1446" s="52"/>
      <c r="AB1446" s="52"/>
      <c r="AC1446" s="52"/>
      <c r="AD1446" s="52"/>
      <c r="AE1446" s="52"/>
      <c r="AF1446" s="52"/>
      <c r="AG1446" s="52"/>
      <c r="AH1446" s="52"/>
      <c r="AI1446" s="53"/>
      <c r="AJ1446" s="52"/>
      <c r="AK1446" s="53"/>
      <c r="AL1446" s="52"/>
      <c r="AM1446" s="52"/>
      <c r="AN1446" s="52"/>
      <c r="AO1446" s="52"/>
      <c r="AP1446" s="52"/>
      <c r="AQ1446" s="52"/>
      <c r="AR1446" s="52"/>
      <c r="AS1446" s="52"/>
      <c r="AT1446" s="52"/>
      <c r="AU1446" s="52"/>
      <c r="AV1446" s="52"/>
      <c r="AW1446" s="52"/>
    </row>
    <row r="1447" spans="1:49">
      <c r="A1447" s="52"/>
      <c r="B1447" s="52"/>
      <c r="C1447" s="52"/>
      <c r="D1447" s="53"/>
      <c r="E1447" s="53"/>
      <c r="F1447" s="53"/>
      <c r="G1447" s="53"/>
      <c r="H1447" s="52"/>
      <c r="I1447" s="52"/>
      <c r="J1447" s="52"/>
      <c r="K1447" s="53"/>
      <c r="L1447" s="52"/>
      <c r="M1447" s="54"/>
      <c r="N1447" s="55"/>
      <c r="O1447" s="52"/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  <c r="AA1447" s="52"/>
      <c r="AB1447" s="52"/>
      <c r="AC1447" s="52"/>
      <c r="AD1447" s="52"/>
      <c r="AE1447" s="52"/>
      <c r="AF1447" s="52"/>
      <c r="AG1447" s="52"/>
      <c r="AH1447" s="52"/>
      <c r="AI1447" s="53"/>
      <c r="AJ1447" s="52"/>
      <c r="AK1447" s="53"/>
      <c r="AL1447" s="52"/>
      <c r="AM1447" s="52"/>
      <c r="AN1447" s="52"/>
      <c r="AO1447" s="52"/>
      <c r="AP1447" s="52"/>
      <c r="AQ1447" s="52"/>
      <c r="AR1447" s="52"/>
      <c r="AS1447" s="52"/>
      <c r="AT1447" s="52"/>
      <c r="AU1447" s="52"/>
      <c r="AV1447" s="52"/>
      <c r="AW1447" s="52"/>
    </row>
    <row r="1448" spans="1:49">
      <c r="A1448" s="52"/>
      <c r="B1448" s="52"/>
      <c r="C1448" s="52"/>
      <c r="D1448" s="53"/>
      <c r="E1448" s="53"/>
      <c r="F1448" s="53"/>
      <c r="G1448" s="53"/>
      <c r="H1448" s="53"/>
      <c r="I1448" s="52"/>
      <c r="J1448" s="52"/>
      <c r="K1448" s="52"/>
      <c r="L1448" s="52"/>
      <c r="M1448" s="55"/>
      <c r="N1448" s="54"/>
      <c r="O1448" s="52"/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  <c r="AA1448" s="52"/>
      <c r="AB1448" s="52"/>
      <c r="AC1448" s="52"/>
      <c r="AD1448" s="52"/>
      <c r="AE1448" s="52"/>
      <c r="AF1448" s="52"/>
      <c r="AG1448" s="52"/>
      <c r="AH1448" s="52"/>
      <c r="AI1448" s="52"/>
      <c r="AJ1448" s="52"/>
      <c r="AK1448" s="52"/>
      <c r="AL1448" s="55"/>
      <c r="AM1448" s="52"/>
      <c r="AN1448" s="52"/>
      <c r="AO1448" s="52"/>
      <c r="AP1448" s="52"/>
      <c r="AQ1448" s="52"/>
      <c r="AR1448" s="52"/>
      <c r="AS1448" s="52"/>
      <c r="AT1448" s="52"/>
      <c r="AU1448" s="52"/>
      <c r="AV1448" s="52"/>
      <c r="AW1448" s="52"/>
    </row>
    <row r="1449" spans="1:49">
      <c r="A1449" s="52"/>
      <c r="B1449" s="52"/>
      <c r="C1449" s="52"/>
      <c r="D1449" s="53"/>
      <c r="E1449" s="53"/>
      <c r="F1449" s="53"/>
      <c r="G1449" s="53"/>
      <c r="H1449" s="52"/>
      <c r="I1449" s="52"/>
      <c r="J1449" s="52"/>
      <c r="K1449" s="53"/>
      <c r="L1449" s="52"/>
      <c r="M1449" s="55"/>
      <c r="N1449" s="55"/>
      <c r="O1449" s="52"/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  <c r="AA1449" s="52"/>
      <c r="AB1449" s="52"/>
      <c r="AC1449" s="52"/>
      <c r="AD1449" s="52"/>
      <c r="AE1449" s="52"/>
      <c r="AF1449" s="52"/>
      <c r="AG1449" s="52"/>
      <c r="AH1449" s="52"/>
      <c r="AI1449" s="53"/>
      <c r="AJ1449" s="53"/>
      <c r="AK1449" s="53"/>
      <c r="AL1449" s="55"/>
      <c r="AM1449" s="52"/>
      <c r="AN1449" s="55"/>
      <c r="AO1449" s="52"/>
      <c r="AP1449" s="55"/>
      <c r="AQ1449" s="52"/>
      <c r="AR1449" s="52"/>
      <c r="AS1449" s="52"/>
      <c r="AT1449" s="52"/>
      <c r="AU1449" s="52"/>
      <c r="AV1449" s="52"/>
      <c r="AW1449" s="52"/>
    </row>
    <row r="1450" spans="1:49">
      <c r="A1450" s="52"/>
      <c r="B1450" s="52"/>
      <c r="C1450" s="52"/>
      <c r="D1450" s="53"/>
      <c r="E1450" s="53"/>
      <c r="F1450" s="53"/>
      <c r="G1450" s="53"/>
      <c r="H1450" s="52"/>
      <c r="I1450" s="52"/>
      <c r="J1450" s="52"/>
      <c r="K1450" s="53"/>
      <c r="L1450" s="52"/>
      <c r="M1450" s="55"/>
      <c r="N1450" s="55"/>
      <c r="O1450" s="52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  <c r="AA1450" s="52"/>
      <c r="AB1450" s="52"/>
      <c r="AC1450" s="52"/>
      <c r="AD1450" s="52"/>
      <c r="AE1450" s="52"/>
      <c r="AF1450" s="52"/>
      <c r="AG1450" s="52"/>
      <c r="AH1450" s="52"/>
      <c r="AI1450" s="53"/>
      <c r="AJ1450" s="53"/>
      <c r="AK1450" s="53"/>
      <c r="AL1450" s="55"/>
      <c r="AM1450" s="52"/>
      <c r="AN1450" s="55"/>
      <c r="AO1450" s="52"/>
      <c r="AP1450" s="55"/>
      <c r="AQ1450" s="52"/>
      <c r="AR1450" s="52"/>
      <c r="AS1450" s="52"/>
      <c r="AT1450" s="52"/>
      <c r="AU1450" s="52"/>
      <c r="AV1450" s="52"/>
      <c r="AW1450" s="52"/>
    </row>
    <row r="1451" spans="1:49">
      <c r="A1451" s="52"/>
      <c r="B1451" s="52"/>
      <c r="C1451" s="52"/>
      <c r="D1451" s="53"/>
      <c r="E1451" s="53"/>
      <c r="F1451" s="52"/>
      <c r="G1451" s="52"/>
      <c r="H1451" s="52"/>
      <c r="I1451" s="52"/>
      <c r="J1451" s="52"/>
      <c r="K1451" s="52"/>
      <c r="L1451" s="52"/>
      <c r="M1451" s="55"/>
      <c r="N1451" s="54"/>
      <c r="O1451" s="52"/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  <c r="AA1451" s="52"/>
      <c r="AB1451" s="52"/>
      <c r="AC1451" s="52"/>
      <c r="AD1451" s="52"/>
      <c r="AE1451" s="52"/>
      <c r="AF1451" s="52"/>
      <c r="AG1451" s="52"/>
      <c r="AH1451" s="52"/>
      <c r="AI1451" s="52"/>
      <c r="AJ1451" s="52"/>
      <c r="AK1451" s="52"/>
      <c r="AL1451" s="52"/>
      <c r="AM1451" s="52"/>
      <c r="AN1451" s="52"/>
      <c r="AO1451" s="52"/>
      <c r="AP1451" s="52"/>
      <c r="AQ1451" s="52"/>
      <c r="AR1451" s="52"/>
      <c r="AS1451" s="52"/>
      <c r="AT1451" s="52"/>
      <c r="AU1451" s="52"/>
      <c r="AV1451" s="52"/>
      <c r="AW1451" s="52"/>
    </row>
    <row r="1452" spans="1:49">
      <c r="A1452" s="52"/>
      <c r="B1452" s="52"/>
      <c r="C1452" s="52"/>
      <c r="D1452" s="53"/>
      <c r="E1452" s="53"/>
      <c r="F1452" s="52"/>
      <c r="G1452" s="52"/>
      <c r="H1452" s="52"/>
      <c r="I1452" s="52"/>
      <c r="J1452" s="52"/>
      <c r="K1452" s="52"/>
      <c r="L1452" s="52"/>
      <c r="M1452" s="52"/>
      <c r="N1452" s="52"/>
      <c r="O1452" s="52"/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  <c r="AA1452" s="52"/>
      <c r="AB1452" s="52"/>
      <c r="AC1452" s="52"/>
      <c r="AD1452" s="52"/>
      <c r="AE1452" s="52"/>
      <c r="AF1452" s="52"/>
      <c r="AG1452" s="52"/>
      <c r="AH1452" s="52"/>
      <c r="AI1452" s="52"/>
      <c r="AJ1452" s="52"/>
      <c r="AK1452" s="52"/>
      <c r="AL1452" s="52"/>
      <c r="AM1452" s="52"/>
      <c r="AN1452" s="52"/>
      <c r="AO1452" s="52"/>
      <c r="AP1452" s="52"/>
      <c r="AQ1452" s="52"/>
      <c r="AR1452" s="52"/>
      <c r="AS1452" s="52"/>
      <c r="AT1452" s="52"/>
      <c r="AU1452" s="52"/>
      <c r="AV1452" s="52"/>
      <c r="AW1452" s="52"/>
    </row>
    <row r="1453" spans="1:49">
      <c r="A1453" s="52"/>
      <c r="B1453" s="52"/>
      <c r="C1453" s="52"/>
      <c r="D1453" s="53"/>
      <c r="E1453" s="53"/>
      <c r="F1453" s="52"/>
      <c r="G1453" s="52"/>
      <c r="H1453" s="52"/>
      <c r="I1453" s="52"/>
      <c r="J1453" s="52"/>
      <c r="K1453" s="52"/>
      <c r="L1453" s="52"/>
      <c r="M1453" s="55"/>
      <c r="N1453" s="54"/>
      <c r="O1453" s="52"/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  <c r="AA1453" s="52"/>
      <c r="AB1453" s="52"/>
      <c r="AC1453" s="52"/>
      <c r="AD1453" s="52"/>
      <c r="AE1453" s="52"/>
      <c r="AF1453" s="52"/>
      <c r="AG1453" s="52"/>
      <c r="AH1453" s="52"/>
      <c r="AI1453" s="52"/>
      <c r="AJ1453" s="52"/>
      <c r="AK1453" s="52"/>
      <c r="AL1453" s="52"/>
      <c r="AM1453" s="52"/>
      <c r="AN1453" s="52"/>
      <c r="AO1453" s="52"/>
      <c r="AP1453" s="52"/>
      <c r="AQ1453" s="52"/>
      <c r="AR1453" s="52"/>
      <c r="AS1453" s="52"/>
      <c r="AT1453" s="52"/>
      <c r="AU1453" s="52"/>
      <c r="AV1453" s="52"/>
      <c r="AW1453" s="52"/>
    </row>
    <row r="1454" spans="1:49">
      <c r="A1454" s="52"/>
      <c r="B1454" s="52"/>
      <c r="C1454" s="52"/>
      <c r="D1454" s="53"/>
      <c r="E1454" s="53"/>
      <c r="F1454" s="52"/>
      <c r="G1454" s="52"/>
      <c r="H1454" s="52"/>
      <c r="I1454" s="52"/>
      <c r="J1454" s="52"/>
      <c r="K1454" s="52"/>
      <c r="L1454" s="52"/>
      <c r="M1454" s="52"/>
      <c r="N1454" s="52"/>
      <c r="O1454" s="52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  <c r="AA1454" s="52"/>
      <c r="AB1454" s="52"/>
      <c r="AC1454" s="52"/>
      <c r="AD1454" s="52"/>
      <c r="AE1454" s="52"/>
      <c r="AF1454" s="52"/>
      <c r="AG1454" s="52"/>
      <c r="AH1454" s="52"/>
      <c r="AI1454" s="52"/>
      <c r="AJ1454" s="52"/>
      <c r="AK1454" s="52"/>
      <c r="AL1454" s="52"/>
      <c r="AM1454" s="52"/>
      <c r="AN1454" s="52"/>
      <c r="AO1454" s="52"/>
      <c r="AP1454" s="52"/>
      <c r="AQ1454" s="52"/>
      <c r="AR1454" s="52"/>
      <c r="AS1454" s="52"/>
      <c r="AT1454" s="52"/>
      <c r="AU1454" s="52"/>
      <c r="AV1454" s="52"/>
      <c r="AW1454" s="52"/>
    </row>
    <row r="1455" spans="1:49">
      <c r="A1455" s="52"/>
      <c r="B1455" s="52"/>
      <c r="C1455" s="52"/>
      <c r="D1455" s="53"/>
      <c r="E1455" s="53"/>
      <c r="F1455" s="53"/>
      <c r="G1455" s="53"/>
      <c r="H1455" s="52"/>
      <c r="I1455" s="52"/>
      <c r="J1455" s="52"/>
      <c r="K1455" s="53"/>
      <c r="L1455" s="52"/>
      <c r="M1455" s="54"/>
      <c r="N1455" s="55"/>
      <c r="O1455" s="52"/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  <c r="AA1455" s="52"/>
      <c r="AB1455" s="52"/>
      <c r="AC1455" s="52"/>
      <c r="AD1455" s="52"/>
      <c r="AE1455" s="52"/>
      <c r="AF1455" s="52"/>
      <c r="AG1455" s="52"/>
      <c r="AH1455" s="52"/>
      <c r="AI1455" s="52"/>
      <c r="AJ1455" s="52"/>
      <c r="AK1455" s="52"/>
      <c r="AL1455" s="52"/>
      <c r="AM1455" s="52"/>
      <c r="AN1455" s="52"/>
      <c r="AO1455" s="52"/>
      <c r="AP1455" s="52"/>
      <c r="AQ1455" s="52"/>
      <c r="AR1455" s="52"/>
      <c r="AS1455" s="52"/>
      <c r="AT1455" s="52"/>
      <c r="AU1455" s="52"/>
      <c r="AV1455" s="52"/>
      <c r="AW1455" s="52"/>
    </row>
    <row r="1456" spans="1:49">
      <c r="A1456" s="52"/>
      <c r="B1456" s="52"/>
      <c r="C1456" s="52"/>
      <c r="D1456" s="53"/>
      <c r="E1456" s="53"/>
      <c r="F1456" s="52"/>
      <c r="G1456" s="53"/>
      <c r="H1456" s="52"/>
      <c r="I1456" s="52"/>
      <c r="J1456" s="52"/>
      <c r="K1456" s="53"/>
      <c r="L1456" s="52"/>
      <c r="M1456" s="52"/>
      <c r="N1456" s="52"/>
      <c r="O1456" s="52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  <c r="AA1456" s="52"/>
      <c r="AB1456" s="52"/>
      <c r="AC1456" s="52"/>
      <c r="AD1456" s="52"/>
      <c r="AE1456" s="52"/>
      <c r="AF1456" s="52"/>
      <c r="AG1456" s="52"/>
      <c r="AH1456" s="52"/>
      <c r="AI1456" s="53"/>
      <c r="AJ1456" s="52"/>
      <c r="AK1456" s="53"/>
      <c r="AL1456" s="52"/>
      <c r="AM1456" s="52"/>
      <c r="AN1456" s="52"/>
      <c r="AO1456" s="52"/>
      <c r="AP1456" s="52"/>
      <c r="AQ1456" s="52"/>
      <c r="AR1456" s="52"/>
      <c r="AS1456" s="52"/>
      <c r="AT1456" s="52"/>
      <c r="AU1456" s="52"/>
      <c r="AV1456" s="52"/>
      <c r="AW1456" s="52"/>
    </row>
    <row r="1457" spans="1:49">
      <c r="A1457" s="52"/>
      <c r="B1457" s="52"/>
      <c r="C1457" s="52"/>
      <c r="D1457" s="53"/>
      <c r="E1457" s="53"/>
      <c r="F1457" s="52"/>
      <c r="G1457" s="53"/>
      <c r="H1457" s="52"/>
      <c r="I1457" s="52"/>
      <c r="J1457" s="52"/>
      <c r="K1457" s="53"/>
      <c r="L1457" s="52"/>
      <c r="M1457" s="52"/>
      <c r="N1457" s="52"/>
      <c r="O1457" s="52"/>
      <c r="P1457" s="52"/>
      <c r="Q1457" s="52"/>
      <c r="R1457" s="52"/>
      <c r="S1457" s="52"/>
      <c r="T1457" s="52"/>
      <c r="U1457" s="52"/>
      <c r="V1457" s="52"/>
      <c r="W1457" s="52"/>
      <c r="X1457" s="52"/>
      <c r="Y1457" s="52"/>
      <c r="Z1457" s="52"/>
      <c r="AA1457" s="52"/>
      <c r="AB1457" s="52"/>
      <c r="AC1457" s="52"/>
      <c r="AD1457" s="52"/>
      <c r="AE1457" s="52"/>
      <c r="AF1457" s="52"/>
      <c r="AG1457" s="52"/>
      <c r="AH1457" s="52"/>
      <c r="AI1457" s="53"/>
      <c r="AJ1457" s="52"/>
      <c r="AK1457" s="53"/>
      <c r="AL1457" s="52"/>
      <c r="AM1457" s="52"/>
      <c r="AN1457" s="52"/>
      <c r="AO1457" s="52"/>
      <c r="AP1457" s="52"/>
      <c r="AQ1457" s="52"/>
      <c r="AR1457" s="52"/>
      <c r="AS1457" s="52"/>
      <c r="AT1457" s="52"/>
      <c r="AU1457" s="52"/>
      <c r="AV1457" s="52"/>
      <c r="AW1457" s="52"/>
    </row>
    <row r="1458" spans="1:49">
      <c r="A1458" s="52"/>
      <c r="B1458" s="52"/>
      <c r="C1458" s="52"/>
      <c r="D1458" s="53"/>
      <c r="E1458" s="53"/>
      <c r="F1458" s="53"/>
      <c r="G1458" s="53"/>
      <c r="H1458" s="52"/>
      <c r="I1458" s="52"/>
      <c r="J1458" s="52"/>
      <c r="K1458" s="53"/>
      <c r="L1458" s="52"/>
      <c r="M1458" s="54"/>
      <c r="N1458" s="54"/>
      <c r="O1458" s="52"/>
      <c r="P1458" s="52"/>
      <c r="Q1458" s="52"/>
      <c r="R1458" s="52"/>
      <c r="S1458" s="52"/>
      <c r="T1458" s="52"/>
      <c r="U1458" s="52"/>
      <c r="V1458" s="52"/>
      <c r="W1458" s="52"/>
      <c r="X1458" s="52"/>
      <c r="Y1458" s="52"/>
      <c r="Z1458" s="52"/>
      <c r="AA1458" s="52"/>
      <c r="AB1458" s="52"/>
      <c r="AC1458" s="52"/>
      <c r="AD1458" s="52"/>
      <c r="AE1458" s="52"/>
      <c r="AF1458" s="52"/>
      <c r="AG1458" s="52"/>
      <c r="AH1458" s="52"/>
      <c r="AI1458" s="52"/>
      <c r="AJ1458" s="52"/>
      <c r="AK1458" s="52"/>
      <c r="AL1458" s="52"/>
      <c r="AM1458" s="52"/>
      <c r="AN1458" s="52"/>
      <c r="AO1458" s="52"/>
      <c r="AP1458" s="52"/>
      <c r="AQ1458" s="52"/>
      <c r="AR1458" s="52"/>
      <c r="AS1458" s="52"/>
      <c r="AT1458" s="52"/>
      <c r="AU1458" s="52"/>
      <c r="AV1458" s="52"/>
      <c r="AW1458" s="52"/>
    </row>
    <row r="1459" spans="1:49">
      <c r="A1459" s="52"/>
      <c r="B1459" s="52"/>
      <c r="C1459" s="52"/>
      <c r="D1459" s="53"/>
      <c r="E1459" s="53"/>
      <c r="F1459" s="52"/>
      <c r="G1459" s="53"/>
      <c r="H1459" s="52"/>
      <c r="I1459" s="52"/>
      <c r="J1459" s="52"/>
      <c r="K1459" s="53"/>
      <c r="L1459" s="52"/>
      <c r="M1459" s="52"/>
      <c r="N1459" s="52"/>
      <c r="O1459" s="52"/>
      <c r="P1459" s="52"/>
      <c r="Q1459" s="52"/>
      <c r="R1459" s="52"/>
      <c r="S1459" s="52"/>
      <c r="T1459" s="52"/>
      <c r="U1459" s="52"/>
      <c r="V1459" s="52"/>
      <c r="W1459" s="52"/>
      <c r="X1459" s="52"/>
      <c r="Y1459" s="52"/>
      <c r="Z1459" s="52"/>
      <c r="AA1459" s="52"/>
      <c r="AB1459" s="52"/>
      <c r="AC1459" s="52"/>
      <c r="AD1459" s="52"/>
      <c r="AE1459" s="52"/>
      <c r="AF1459" s="52"/>
      <c r="AG1459" s="52"/>
      <c r="AH1459" s="52"/>
      <c r="AI1459" s="53"/>
      <c r="AJ1459" s="52"/>
      <c r="AK1459" s="53"/>
      <c r="AL1459" s="52"/>
      <c r="AM1459" s="52"/>
      <c r="AN1459" s="52"/>
      <c r="AO1459" s="52"/>
      <c r="AP1459" s="52"/>
      <c r="AQ1459" s="52"/>
      <c r="AR1459" s="52"/>
      <c r="AS1459" s="52"/>
      <c r="AT1459" s="52"/>
      <c r="AU1459" s="52"/>
      <c r="AV1459" s="52"/>
      <c r="AW1459" s="52"/>
    </row>
    <row r="1460" spans="1:49">
      <c r="A1460" s="52"/>
      <c r="B1460" s="52"/>
      <c r="C1460" s="52"/>
      <c r="D1460" s="53"/>
      <c r="E1460" s="53"/>
      <c r="F1460" s="52"/>
      <c r="G1460" s="53"/>
      <c r="H1460" s="52"/>
      <c r="I1460" s="52"/>
      <c r="J1460" s="52"/>
      <c r="K1460" s="53"/>
      <c r="L1460" s="52"/>
      <c r="M1460" s="52"/>
      <c r="N1460" s="52"/>
      <c r="O1460" s="52"/>
      <c r="P1460" s="52"/>
      <c r="Q1460" s="52"/>
      <c r="R1460" s="52"/>
      <c r="S1460" s="52"/>
      <c r="T1460" s="52"/>
      <c r="U1460" s="52"/>
      <c r="V1460" s="52"/>
      <c r="W1460" s="52"/>
      <c r="X1460" s="52"/>
      <c r="Y1460" s="52"/>
      <c r="Z1460" s="52"/>
      <c r="AA1460" s="52"/>
      <c r="AB1460" s="52"/>
      <c r="AC1460" s="52"/>
      <c r="AD1460" s="52"/>
      <c r="AE1460" s="52"/>
      <c r="AF1460" s="52"/>
      <c r="AG1460" s="52"/>
      <c r="AH1460" s="52"/>
      <c r="AI1460" s="53"/>
      <c r="AJ1460" s="52"/>
      <c r="AK1460" s="53"/>
      <c r="AL1460" s="52"/>
      <c r="AM1460" s="52"/>
      <c r="AN1460" s="52"/>
      <c r="AO1460" s="52"/>
      <c r="AP1460" s="52"/>
      <c r="AQ1460" s="52"/>
      <c r="AR1460" s="52"/>
      <c r="AS1460" s="52"/>
      <c r="AT1460" s="52"/>
      <c r="AU1460" s="52"/>
      <c r="AV1460" s="52"/>
      <c r="AW1460" s="52"/>
    </row>
    <row r="1461" spans="1:49">
      <c r="A1461" s="52"/>
      <c r="B1461" s="52"/>
      <c r="C1461" s="52"/>
      <c r="D1461" s="53"/>
      <c r="E1461" s="53"/>
      <c r="F1461" s="52"/>
      <c r="G1461" s="52"/>
      <c r="H1461" s="52"/>
      <c r="I1461" s="52"/>
      <c r="J1461" s="52"/>
      <c r="K1461" s="52"/>
      <c r="L1461" s="52"/>
      <c r="M1461" s="55"/>
      <c r="N1461" s="54"/>
      <c r="O1461" s="52"/>
      <c r="P1461" s="52"/>
      <c r="Q1461" s="52"/>
      <c r="R1461" s="52"/>
      <c r="S1461" s="52"/>
      <c r="T1461" s="52"/>
      <c r="U1461" s="52"/>
      <c r="V1461" s="52"/>
      <c r="W1461" s="52"/>
      <c r="X1461" s="52"/>
      <c r="Y1461" s="52"/>
      <c r="Z1461" s="52"/>
      <c r="AA1461" s="52"/>
      <c r="AB1461" s="52"/>
      <c r="AC1461" s="52"/>
      <c r="AD1461" s="52"/>
      <c r="AE1461" s="52"/>
      <c r="AF1461" s="52"/>
      <c r="AG1461" s="52"/>
      <c r="AH1461" s="52"/>
      <c r="AI1461" s="52"/>
      <c r="AJ1461" s="52"/>
      <c r="AK1461" s="52"/>
      <c r="AL1461" s="52"/>
      <c r="AM1461" s="52"/>
      <c r="AN1461" s="52"/>
      <c r="AO1461" s="52"/>
      <c r="AP1461" s="52"/>
      <c r="AQ1461" s="52"/>
      <c r="AR1461" s="52"/>
      <c r="AS1461" s="52"/>
      <c r="AT1461" s="52"/>
      <c r="AU1461" s="52"/>
      <c r="AV1461" s="52"/>
      <c r="AW1461" s="52"/>
    </row>
    <row r="1462" spans="1:49">
      <c r="A1462" s="52"/>
      <c r="B1462" s="52"/>
      <c r="C1462" s="52"/>
      <c r="D1462" s="53"/>
      <c r="E1462" s="53"/>
      <c r="F1462" s="52"/>
      <c r="G1462" s="52"/>
      <c r="H1462" s="52"/>
      <c r="I1462" s="52"/>
      <c r="J1462" s="52"/>
      <c r="K1462" s="52"/>
      <c r="L1462" s="52"/>
      <c r="M1462" s="52"/>
      <c r="N1462" s="52"/>
      <c r="O1462" s="52"/>
      <c r="P1462" s="52"/>
      <c r="Q1462" s="52"/>
      <c r="R1462" s="52"/>
      <c r="S1462" s="52"/>
      <c r="T1462" s="52"/>
      <c r="U1462" s="52"/>
      <c r="V1462" s="52"/>
      <c r="W1462" s="52"/>
      <c r="X1462" s="52"/>
      <c r="Y1462" s="52"/>
      <c r="Z1462" s="52"/>
      <c r="AA1462" s="52"/>
      <c r="AB1462" s="52"/>
      <c r="AC1462" s="52"/>
      <c r="AD1462" s="52"/>
      <c r="AE1462" s="52"/>
      <c r="AF1462" s="52"/>
      <c r="AG1462" s="52"/>
      <c r="AH1462" s="52"/>
      <c r="AI1462" s="52"/>
      <c r="AJ1462" s="52"/>
      <c r="AK1462" s="52"/>
      <c r="AL1462" s="52"/>
      <c r="AM1462" s="52"/>
      <c r="AN1462" s="52"/>
      <c r="AO1462" s="52"/>
      <c r="AP1462" s="52"/>
      <c r="AQ1462" s="52"/>
      <c r="AR1462" s="52"/>
      <c r="AS1462" s="52"/>
      <c r="AT1462" s="52"/>
      <c r="AU1462" s="52"/>
      <c r="AV1462" s="52"/>
      <c r="AW1462" s="52"/>
    </row>
    <row r="1463" spans="1:49">
      <c r="A1463" s="52"/>
      <c r="B1463" s="52"/>
      <c r="C1463" s="52"/>
      <c r="D1463" s="53"/>
      <c r="E1463" s="53"/>
      <c r="F1463" s="53"/>
      <c r="G1463" s="53"/>
      <c r="H1463" s="52"/>
      <c r="I1463" s="52"/>
      <c r="J1463" s="52"/>
      <c r="K1463" s="53"/>
      <c r="L1463" s="52"/>
      <c r="M1463" s="54"/>
      <c r="N1463" s="54"/>
      <c r="O1463" s="52"/>
      <c r="P1463" s="52"/>
      <c r="Q1463" s="52"/>
      <c r="R1463" s="52"/>
      <c r="S1463" s="52"/>
      <c r="T1463" s="52"/>
      <c r="U1463" s="52"/>
      <c r="V1463" s="52"/>
      <c r="W1463" s="52"/>
      <c r="X1463" s="52"/>
      <c r="Y1463" s="52"/>
      <c r="Z1463" s="52"/>
      <c r="AA1463" s="52"/>
      <c r="AB1463" s="52"/>
      <c r="AC1463" s="52"/>
      <c r="AD1463" s="52"/>
      <c r="AE1463" s="52"/>
      <c r="AF1463" s="52"/>
      <c r="AG1463" s="52"/>
      <c r="AH1463" s="52"/>
      <c r="AI1463" s="52"/>
      <c r="AJ1463" s="52"/>
      <c r="AK1463" s="52"/>
      <c r="AL1463" s="52"/>
      <c r="AM1463" s="52"/>
      <c r="AN1463" s="52"/>
      <c r="AO1463" s="52"/>
      <c r="AP1463" s="52"/>
      <c r="AQ1463" s="52"/>
      <c r="AR1463" s="52"/>
      <c r="AS1463" s="52"/>
      <c r="AT1463" s="52"/>
      <c r="AU1463" s="52"/>
      <c r="AV1463" s="52"/>
      <c r="AW1463" s="52"/>
    </row>
    <row r="1464" spans="1:49">
      <c r="A1464" s="52"/>
      <c r="B1464" s="52"/>
      <c r="C1464" s="52"/>
      <c r="D1464" s="53"/>
      <c r="E1464" s="53"/>
      <c r="F1464" s="52"/>
      <c r="G1464" s="53"/>
      <c r="H1464" s="52"/>
      <c r="I1464" s="52"/>
      <c r="J1464" s="52"/>
      <c r="K1464" s="53"/>
      <c r="L1464" s="52"/>
      <c r="M1464" s="52"/>
      <c r="N1464" s="52"/>
      <c r="O1464" s="52"/>
      <c r="P1464" s="52"/>
      <c r="Q1464" s="52"/>
      <c r="R1464" s="52"/>
      <c r="S1464" s="52"/>
      <c r="T1464" s="52"/>
      <c r="U1464" s="52"/>
      <c r="V1464" s="52"/>
      <c r="W1464" s="52"/>
      <c r="X1464" s="52"/>
      <c r="Y1464" s="52"/>
      <c r="Z1464" s="52"/>
      <c r="AA1464" s="52"/>
      <c r="AB1464" s="52"/>
      <c r="AC1464" s="52"/>
      <c r="AD1464" s="52"/>
      <c r="AE1464" s="52"/>
      <c r="AF1464" s="52"/>
      <c r="AG1464" s="52"/>
      <c r="AH1464" s="52"/>
      <c r="AI1464" s="53"/>
      <c r="AJ1464" s="52"/>
      <c r="AK1464" s="53"/>
      <c r="AL1464" s="52"/>
      <c r="AM1464" s="52"/>
      <c r="AN1464" s="52"/>
      <c r="AO1464" s="52"/>
      <c r="AP1464" s="52"/>
      <c r="AQ1464" s="52"/>
      <c r="AR1464" s="52"/>
      <c r="AS1464" s="52"/>
      <c r="AT1464" s="52"/>
      <c r="AU1464" s="52"/>
      <c r="AV1464" s="52"/>
      <c r="AW1464" s="52"/>
    </row>
    <row r="1465" spans="1:49">
      <c r="A1465" s="52"/>
      <c r="B1465" s="52"/>
      <c r="C1465" s="52"/>
      <c r="D1465" s="53"/>
      <c r="E1465" s="53"/>
      <c r="F1465" s="52"/>
      <c r="G1465" s="53"/>
      <c r="H1465" s="52"/>
      <c r="I1465" s="52"/>
      <c r="J1465" s="52"/>
      <c r="K1465" s="53"/>
      <c r="L1465" s="52"/>
      <c r="M1465" s="52"/>
      <c r="N1465" s="52"/>
      <c r="O1465" s="52"/>
      <c r="P1465" s="52"/>
      <c r="Q1465" s="52"/>
      <c r="R1465" s="52"/>
      <c r="S1465" s="52"/>
      <c r="T1465" s="52"/>
      <c r="U1465" s="52"/>
      <c r="V1465" s="52"/>
      <c r="W1465" s="52"/>
      <c r="X1465" s="52"/>
      <c r="Y1465" s="52"/>
      <c r="Z1465" s="52"/>
      <c r="AA1465" s="52"/>
      <c r="AB1465" s="52"/>
      <c r="AC1465" s="52"/>
      <c r="AD1465" s="52"/>
      <c r="AE1465" s="52"/>
      <c r="AF1465" s="52"/>
      <c r="AG1465" s="52"/>
      <c r="AH1465" s="52"/>
      <c r="AI1465" s="53"/>
      <c r="AJ1465" s="52"/>
      <c r="AK1465" s="53"/>
      <c r="AL1465" s="52"/>
      <c r="AM1465" s="52"/>
      <c r="AN1465" s="52"/>
      <c r="AO1465" s="52"/>
      <c r="AP1465" s="52"/>
      <c r="AQ1465" s="52"/>
      <c r="AR1465" s="52"/>
      <c r="AS1465" s="52"/>
      <c r="AT1465" s="52"/>
      <c r="AU1465" s="52"/>
      <c r="AV1465" s="52"/>
      <c r="AW1465" s="52"/>
    </row>
    <row r="1466" spans="1:49">
      <c r="A1466" s="52"/>
      <c r="B1466" s="52"/>
      <c r="C1466" s="52"/>
      <c r="D1466" s="53"/>
      <c r="E1466" s="53"/>
      <c r="F1466" s="52"/>
      <c r="G1466" s="52"/>
      <c r="H1466" s="52"/>
      <c r="I1466" s="52"/>
      <c r="J1466" s="52"/>
      <c r="K1466" s="52"/>
      <c r="L1466" s="52"/>
      <c r="M1466" s="54"/>
      <c r="N1466" s="54"/>
      <c r="O1466" s="52"/>
      <c r="P1466" s="52"/>
      <c r="Q1466" s="52"/>
      <c r="R1466" s="52"/>
      <c r="S1466" s="52"/>
      <c r="T1466" s="52"/>
      <c r="U1466" s="52"/>
      <c r="V1466" s="52"/>
      <c r="W1466" s="52"/>
      <c r="X1466" s="52"/>
      <c r="Y1466" s="52"/>
      <c r="Z1466" s="52"/>
      <c r="AA1466" s="52"/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52"/>
      <c r="AN1466" s="52"/>
      <c r="AO1466" s="52"/>
      <c r="AP1466" s="52"/>
      <c r="AQ1466" s="52"/>
      <c r="AR1466" s="52"/>
      <c r="AS1466" s="52"/>
      <c r="AT1466" s="52"/>
      <c r="AU1466" s="52"/>
      <c r="AV1466" s="52"/>
      <c r="AW1466" s="52"/>
    </row>
    <row r="1467" spans="1:49">
      <c r="A1467" s="52"/>
      <c r="B1467" s="52"/>
      <c r="C1467" s="52"/>
      <c r="D1467" s="53"/>
      <c r="E1467" s="53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  <c r="S1467" s="52"/>
      <c r="T1467" s="52"/>
      <c r="U1467" s="52"/>
      <c r="V1467" s="52"/>
      <c r="W1467" s="52"/>
      <c r="X1467" s="52"/>
      <c r="Y1467" s="52"/>
      <c r="Z1467" s="52"/>
      <c r="AA1467" s="52"/>
      <c r="AB1467" s="52"/>
      <c r="AC1467" s="52"/>
      <c r="AD1467" s="52"/>
      <c r="AE1467" s="52"/>
      <c r="AF1467" s="52"/>
      <c r="AG1467" s="52"/>
      <c r="AH1467" s="52"/>
      <c r="AI1467" s="52"/>
      <c r="AJ1467" s="52"/>
      <c r="AK1467" s="52"/>
      <c r="AL1467" s="52"/>
      <c r="AM1467" s="52"/>
      <c r="AN1467" s="52"/>
      <c r="AO1467" s="52"/>
      <c r="AP1467" s="52"/>
      <c r="AQ1467" s="52"/>
      <c r="AR1467" s="52"/>
      <c r="AS1467" s="52"/>
      <c r="AT1467" s="52"/>
      <c r="AU1467" s="52"/>
      <c r="AV1467" s="52"/>
      <c r="AW1467" s="52"/>
    </row>
    <row r="1468" spans="1:49">
      <c r="A1468" s="52"/>
      <c r="B1468" s="52"/>
      <c r="C1468" s="52"/>
      <c r="D1468" s="53"/>
      <c r="E1468" s="53"/>
      <c r="F1468" s="52"/>
      <c r="G1468" s="52"/>
      <c r="H1468" s="52"/>
      <c r="I1468" s="52"/>
      <c r="J1468" s="52"/>
      <c r="K1468" s="52"/>
      <c r="L1468" s="52"/>
      <c r="M1468" s="54"/>
      <c r="N1468" s="54"/>
      <c r="O1468" s="52"/>
      <c r="P1468" s="52"/>
      <c r="Q1468" s="52"/>
      <c r="R1468" s="52"/>
      <c r="S1468" s="52"/>
      <c r="T1468" s="52"/>
      <c r="U1468" s="52"/>
      <c r="V1468" s="52"/>
      <c r="W1468" s="52"/>
      <c r="X1468" s="52"/>
      <c r="Y1468" s="52"/>
      <c r="Z1468" s="52"/>
      <c r="AA1468" s="52"/>
      <c r="AB1468" s="52"/>
      <c r="AC1468" s="52"/>
      <c r="AD1468" s="52"/>
      <c r="AE1468" s="52"/>
      <c r="AF1468" s="52"/>
      <c r="AG1468" s="52"/>
      <c r="AH1468" s="52"/>
      <c r="AI1468" s="52"/>
      <c r="AJ1468" s="52"/>
      <c r="AK1468" s="52"/>
      <c r="AL1468" s="52"/>
      <c r="AM1468" s="52"/>
      <c r="AN1468" s="52"/>
      <c r="AO1468" s="52"/>
      <c r="AP1468" s="52"/>
      <c r="AQ1468" s="52"/>
      <c r="AR1468" s="52"/>
      <c r="AS1468" s="52"/>
      <c r="AT1468" s="52"/>
      <c r="AU1468" s="52"/>
      <c r="AV1468" s="52"/>
      <c r="AW1468" s="52"/>
    </row>
    <row r="1469" spans="1:49">
      <c r="A1469" s="52"/>
      <c r="B1469" s="52"/>
      <c r="C1469" s="52"/>
      <c r="D1469" s="53"/>
      <c r="E1469" s="53"/>
      <c r="F1469" s="52"/>
      <c r="G1469" s="52"/>
      <c r="H1469" s="52"/>
      <c r="I1469" s="52"/>
      <c r="J1469" s="52"/>
      <c r="K1469" s="52"/>
      <c r="L1469" s="52"/>
      <c r="M1469" s="52"/>
      <c r="N1469" s="52"/>
      <c r="O1469" s="52"/>
      <c r="P1469" s="52"/>
      <c r="Q1469" s="52"/>
      <c r="R1469" s="52"/>
      <c r="S1469" s="52"/>
      <c r="T1469" s="52"/>
      <c r="U1469" s="52"/>
      <c r="V1469" s="52"/>
      <c r="W1469" s="52"/>
      <c r="X1469" s="52"/>
      <c r="Y1469" s="52"/>
      <c r="Z1469" s="52"/>
      <c r="AA1469" s="52"/>
      <c r="AB1469" s="52"/>
      <c r="AC1469" s="52"/>
      <c r="AD1469" s="52"/>
      <c r="AE1469" s="52"/>
      <c r="AF1469" s="52"/>
      <c r="AG1469" s="52"/>
      <c r="AH1469" s="52"/>
      <c r="AI1469" s="52"/>
      <c r="AJ1469" s="52"/>
      <c r="AK1469" s="52"/>
      <c r="AL1469" s="52"/>
      <c r="AM1469" s="52"/>
      <c r="AN1469" s="52"/>
      <c r="AO1469" s="52"/>
      <c r="AP1469" s="52"/>
      <c r="AQ1469" s="52"/>
      <c r="AR1469" s="52"/>
      <c r="AS1469" s="52"/>
      <c r="AT1469" s="52"/>
      <c r="AU1469" s="52"/>
      <c r="AV1469" s="52"/>
      <c r="AW1469" s="52"/>
    </row>
    <row r="1470" spans="1:49">
      <c r="A1470" s="52"/>
      <c r="B1470" s="52"/>
      <c r="C1470" s="52"/>
      <c r="D1470" s="53"/>
      <c r="E1470" s="53"/>
      <c r="F1470" s="53"/>
      <c r="G1470" s="53"/>
      <c r="H1470" s="52"/>
      <c r="I1470" s="52"/>
      <c r="J1470" s="52"/>
      <c r="K1470" s="53"/>
      <c r="L1470" s="52"/>
      <c r="M1470" s="54"/>
      <c r="N1470" s="54"/>
      <c r="O1470" s="52"/>
      <c r="P1470" s="52"/>
      <c r="Q1470" s="52"/>
      <c r="R1470" s="52"/>
      <c r="S1470" s="52"/>
      <c r="T1470" s="52"/>
      <c r="U1470" s="52"/>
      <c r="V1470" s="52"/>
      <c r="W1470" s="52"/>
      <c r="X1470" s="52"/>
      <c r="Y1470" s="52"/>
      <c r="Z1470" s="52"/>
      <c r="AA1470" s="52"/>
      <c r="AB1470" s="52"/>
      <c r="AC1470" s="52"/>
      <c r="AD1470" s="52"/>
      <c r="AE1470" s="52"/>
      <c r="AF1470" s="52"/>
      <c r="AG1470" s="52"/>
      <c r="AH1470" s="52"/>
      <c r="AI1470" s="52"/>
      <c r="AJ1470" s="52"/>
      <c r="AK1470" s="52"/>
      <c r="AL1470" s="55"/>
      <c r="AM1470" s="52"/>
      <c r="AN1470" s="52"/>
      <c r="AO1470" s="52"/>
      <c r="AP1470" s="52"/>
      <c r="AQ1470" s="52"/>
      <c r="AR1470" s="52"/>
      <c r="AS1470" s="52"/>
      <c r="AT1470" s="52"/>
      <c r="AU1470" s="52"/>
      <c r="AV1470" s="52"/>
      <c r="AW1470" s="52"/>
    </row>
    <row r="1471" spans="1:49">
      <c r="A1471" s="52"/>
      <c r="B1471" s="52"/>
      <c r="C1471" s="52"/>
      <c r="D1471" s="53"/>
      <c r="E1471" s="53"/>
      <c r="F1471" s="53"/>
      <c r="G1471" s="53"/>
      <c r="H1471" s="52"/>
      <c r="I1471" s="52"/>
      <c r="J1471" s="52"/>
      <c r="K1471" s="53"/>
      <c r="L1471" s="52"/>
      <c r="M1471" s="54"/>
      <c r="N1471" s="55"/>
      <c r="O1471" s="52"/>
      <c r="P1471" s="52"/>
      <c r="Q1471" s="52"/>
      <c r="R1471" s="52"/>
      <c r="S1471" s="52"/>
      <c r="T1471" s="52"/>
      <c r="U1471" s="52"/>
      <c r="V1471" s="52"/>
      <c r="W1471" s="52"/>
      <c r="X1471" s="52"/>
      <c r="Y1471" s="52"/>
      <c r="Z1471" s="52"/>
      <c r="AA1471" s="52"/>
      <c r="AB1471" s="52"/>
      <c r="AC1471" s="52"/>
      <c r="AD1471" s="52"/>
      <c r="AE1471" s="52"/>
      <c r="AF1471" s="52"/>
      <c r="AG1471" s="52"/>
      <c r="AH1471" s="52"/>
      <c r="AI1471" s="53"/>
      <c r="AJ1471" s="53"/>
      <c r="AK1471" s="53"/>
      <c r="AL1471" s="55"/>
      <c r="AM1471" s="52"/>
      <c r="AN1471" s="55"/>
      <c r="AO1471" s="52"/>
      <c r="AP1471" s="55"/>
      <c r="AQ1471" s="52"/>
      <c r="AR1471" s="52"/>
      <c r="AS1471" s="52"/>
      <c r="AT1471" s="52"/>
      <c r="AU1471" s="52"/>
      <c r="AV1471" s="52"/>
      <c r="AW1471" s="52"/>
    </row>
    <row r="1472" spans="1:49">
      <c r="A1472" s="52"/>
      <c r="B1472" s="52"/>
      <c r="C1472" s="52"/>
      <c r="D1472" s="53"/>
      <c r="E1472" s="53"/>
      <c r="F1472" s="53"/>
      <c r="G1472" s="53"/>
      <c r="H1472" s="52"/>
      <c r="I1472" s="52"/>
      <c r="J1472" s="52"/>
      <c r="K1472" s="53"/>
      <c r="L1472" s="52"/>
      <c r="M1472" s="54"/>
      <c r="N1472" s="55"/>
      <c r="O1472" s="52"/>
      <c r="P1472" s="52"/>
      <c r="Q1472" s="52"/>
      <c r="R1472" s="52"/>
      <c r="S1472" s="52"/>
      <c r="T1472" s="52"/>
      <c r="U1472" s="52"/>
      <c r="V1472" s="52"/>
      <c r="W1472" s="52"/>
      <c r="X1472" s="52"/>
      <c r="Y1472" s="52"/>
      <c r="Z1472" s="52"/>
      <c r="AA1472" s="52"/>
      <c r="AB1472" s="52"/>
      <c r="AC1472" s="52"/>
      <c r="AD1472" s="52"/>
      <c r="AE1472" s="52"/>
      <c r="AF1472" s="52"/>
      <c r="AG1472" s="52"/>
      <c r="AH1472" s="52"/>
      <c r="AI1472" s="53"/>
      <c r="AJ1472" s="53"/>
      <c r="AK1472" s="53"/>
      <c r="AL1472" s="55"/>
      <c r="AM1472" s="52"/>
      <c r="AN1472" s="55"/>
      <c r="AO1472" s="52"/>
      <c r="AP1472" s="55"/>
      <c r="AQ1472" s="52"/>
      <c r="AR1472" s="52"/>
      <c r="AS1472" s="52"/>
      <c r="AT1472" s="52"/>
      <c r="AU1472" s="52"/>
      <c r="AV1472" s="52"/>
      <c r="AW1472" s="52"/>
    </row>
    <row r="1473" spans="1:49">
      <c r="A1473" s="52"/>
      <c r="B1473" s="52"/>
      <c r="C1473" s="52"/>
      <c r="D1473" s="53"/>
      <c r="E1473" s="53"/>
      <c r="F1473" s="53"/>
      <c r="G1473" s="53"/>
      <c r="H1473" s="53"/>
      <c r="I1473" s="52"/>
      <c r="J1473" s="52"/>
      <c r="K1473" s="52"/>
      <c r="L1473" s="52"/>
      <c r="M1473" s="54"/>
      <c r="N1473" s="54"/>
      <c r="O1473" s="52"/>
      <c r="P1473" s="52"/>
      <c r="Q1473" s="52"/>
      <c r="R1473" s="52"/>
      <c r="S1473" s="52"/>
      <c r="T1473" s="52"/>
      <c r="U1473" s="52"/>
      <c r="V1473" s="52"/>
      <c r="W1473" s="52"/>
      <c r="X1473" s="52"/>
      <c r="Y1473" s="52"/>
      <c r="Z1473" s="52"/>
      <c r="AA1473" s="52"/>
      <c r="AB1473" s="52"/>
      <c r="AC1473" s="52"/>
      <c r="AD1473" s="52"/>
      <c r="AE1473" s="52"/>
      <c r="AF1473" s="52"/>
      <c r="AG1473" s="52"/>
      <c r="AH1473" s="52"/>
      <c r="AI1473" s="52"/>
      <c r="AJ1473" s="52"/>
      <c r="AK1473" s="52"/>
      <c r="AL1473" s="55"/>
      <c r="AM1473" s="52"/>
      <c r="AN1473" s="52"/>
      <c r="AO1473" s="52"/>
      <c r="AP1473" s="52"/>
      <c r="AQ1473" s="52"/>
      <c r="AR1473" s="52"/>
      <c r="AS1473" s="52"/>
      <c r="AT1473" s="52"/>
      <c r="AU1473" s="52"/>
      <c r="AV1473" s="52"/>
      <c r="AW1473" s="52"/>
    </row>
    <row r="1474" spans="1:49">
      <c r="A1474" s="52"/>
      <c r="B1474" s="52"/>
      <c r="C1474" s="52"/>
      <c r="D1474" s="53"/>
      <c r="E1474" s="53"/>
      <c r="F1474" s="53"/>
      <c r="G1474" s="53"/>
      <c r="H1474" s="52"/>
      <c r="I1474" s="52"/>
      <c r="J1474" s="52"/>
      <c r="K1474" s="53"/>
      <c r="L1474" s="52"/>
      <c r="M1474" s="55"/>
      <c r="N1474" s="55"/>
      <c r="O1474" s="52"/>
      <c r="P1474" s="52"/>
      <c r="Q1474" s="52"/>
      <c r="R1474" s="52"/>
      <c r="S1474" s="52"/>
      <c r="T1474" s="52"/>
      <c r="U1474" s="52"/>
      <c r="V1474" s="52"/>
      <c r="W1474" s="52"/>
      <c r="X1474" s="52"/>
      <c r="Y1474" s="52"/>
      <c r="Z1474" s="52"/>
      <c r="AA1474" s="52"/>
      <c r="AB1474" s="52"/>
      <c r="AC1474" s="52"/>
      <c r="AD1474" s="52"/>
      <c r="AE1474" s="52"/>
      <c r="AF1474" s="52"/>
      <c r="AG1474" s="52"/>
      <c r="AH1474" s="52"/>
      <c r="AI1474" s="53"/>
      <c r="AJ1474" s="53"/>
      <c r="AK1474" s="53"/>
      <c r="AL1474" s="55"/>
      <c r="AM1474" s="52"/>
      <c r="AN1474" s="55"/>
      <c r="AO1474" s="52"/>
      <c r="AP1474" s="55"/>
      <c r="AQ1474" s="52"/>
      <c r="AR1474" s="52"/>
      <c r="AS1474" s="52"/>
      <c r="AT1474" s="52"/>
      <c r="AU1474" s="52"/>
      <c r="AV1474" s="52"/>
      <c r="AW1474" s="52"/>
    </row>
    <row r="1475" spans="1:49">
      <c r="A1475" s="52"/>
      <c r="B1475" s="52"/>
      <c r="C1475" s="52"/>
      <c r="D1475" s="53"/>
      <c r="E1475" s="53"/>
      <c r="F1475" s="53"/>
      <c r="G1475" s="53"/>
      <c r="H1475" s="52"/>
      <c r="I1475" s="52"/>
      <c r="J1475" s="52"/>
      <c r="K1475" s="53"/>
      <c r="L1475" s="52"/>
      <c r="M1475" s="55"/>
      <c r="N1475" s="55"/>
      <c r="O1475" s="52"/>
      <c r="P1475" s="52"/>
      <c r="Q1475" s="52"/>
      <c r="R1475" s="52"/>
      <c r="S1475" s="52"/>
      <c r="T1475" s="52"/>
      <c r="U1475" s="52"/>
      <c r="V1475" s="52"/>
      <c r="W1475" s="52"/>
      <c r="X1475" s="52"/>
      <c r="Y1475" s="52"/>
      <c r="Z1475" s="52"/>
      <c r="AA1475" s="52"/>
      <c r="AB1475" s="52"/>
      <c r="AC1475" s="52"/>
      <c r="AD1475" s="52"/>
      <c r="AE1475" s="52"/>
      <c r="AF1475" s="52"/>
      <c r="AG1475" s="52"/>
      <c r="AH1475" s="52"/>
      <c r="AI1475" s="53"/>
      <c r="AJ1475" s="53"/>
      <c r="AK1475" s="53"/>
      <c r="AL1475" s="55"/>
      <c r="AM1475" s="52"/>
      <c r="AN1475" s="55"/>
      <c r="AO1475" s="52"/>
      <c r="AP1475" s="55"/>
      <c r="AQ1475" s="52"/>
      <c r="AR1475" s="52"/>
      <c r="AS1475" s="52"/>
      <c r="AT1475" s="52"/>
      <c r="AU1475" s="52"/>
      <c r="AV1475" s="52"/>
      <c r="AW1475" s="52"/>
    </row>
    <row r="1476" spans="1:49">
      <c r="A1476" s="52"/>
      <c r="B1476" s="52"/>
      <c r="C1476" s="52"/>
      <c r="D1476" s="53"/>
      <c r="E1476" s="53"/>
      <c r="F1476" s="52"/>
      <c r="G1476" s="52"/>
      <c r="H1476" s="52"/>
      <c r="I1476" s="52"/>
      <c r="J1476" s="52"/>
      <c r="K1476" s="52"/>
      <c r="L1476" s="52"/>
      <c r="M1476" s="54"/>
      <c r="N1476" s="54"/>
      <c r="O1476" s="52"/>
      <c r="P1476" s="52"/>
      <c r="Q1476" s="52"/>
      <c r="R1476" s="52"/>
      <c r="S1476" s="52"/>
      <c r="T1476" s="52"/>
      <c r="U1476" s="52"/>
      <c r="V1476" s="52"/>
      <c r="W1476" s="52"/>
      <c r="X1476" s="52"/>
      <c r="Y1476" s="52"/>
      <c r="Z1476" s="52"/>
      <c r="AA1476" s="52"/>
      <c r="AB1476" s="52"/>
      <c r="AC1476" s="52"/>
      <c r="AD1476" s="52"/>
      <c r="AE1476" s="52"/>
      <c r="AF1476" s="52"/>
      <c r="AG1476" s="52"/>
      <c r="AH1476" s="52"/>
      <c r="AI1476" s="52"/>
      <c r="AJ1476" s="52"/>
      <c r="AK1476" s="52"/>
      <c r="AL1476" s="52"/>
      <c r="AM1476" s="52"/>
      <c r="AN1476" s="52"/>
      <c r="AO1476" s="52"/>
      <c r="AP1476" s="52"/>
      <c r="AQ1476" s="52"/>
      <c r="AR1476" s="52"/>
      <c r="AS1476" s="52"/>
      <c r="AT1476" s="52"/>
      <c r="AU1476" s="52"/>
      <c r="AV1476" s="52"/>
      <c r="AW1476" s="52"/>
    </row>
    <row r="1477" spans="1:49">
      <c r="A1477" s="52"/>
      <c r="B1477" s="52"/>
      <c r="C1477" s="52"/>
      <c r="D1477" s="53"/>
      <c r="E1477" s="53"/>
      <c r="F1477" s="52"/>
      <c r="G1477" s="52"/>
      <c r="H1477" s="52"/>
      <c r="I1477" s="52"/>
      <c r="J1477" s="52"/>
      <c r="K1477" s="52"/>
      <c r="L1477" s="52"/>
      <c r="M1477" s="52"/>
      <c r="N1477" s="52"/>
      <c r="O1477" s="52"/>
      <c r="P1477" s="52"/>
      <c r="Q1477" s="52"/>
      <c r="R1477" s="52"/>
      <c r="S1477" s="52"/>
      <c r="T1477" s="52"/>
      <c r="U1477" s="52"/>
      <c r="V1477" s="52"/>
      <c r="W1477" s="52"/>
      <c r="X1477" s="52"/>
      <c r="Y1477" s="52"/>
      <c r="Z1477" s="52"/>
      <c r="AA1477" s="52"/>
      <c r="AB1477" s="52"/>
      <c r="AC1477" s="52"/>
      <c r="AD1477" s="52"/>
      <c r="AE1477" s="52"/>
      <c r="AF1477" s="52"/>
      <c r="AG1477" s="52"/>
      <c r="AH1477" s="52"/>
      <c r="AI1477" s="52"/>
      <c r="AJ1477" s="52"/>
      <c r="AK1477" s="52"/>
      <c r="AL1477" s="52"/>
      <c r="AM1477" s="52"/>
      <c r="AN1477" s="52"/>
      <c r="AO1477" s="52"/>
      <c r="AP1477" s="52"/>
      <c r="AQ1477" s="52"/>
      <c r="AR1477" s="52"/>
      <c r="AS1477" s="52"/>
      <c r="AT1477" s="52"/>
      <c r="AU1477" s="52"/>
      <c r="AV1477" s="52"/>
      <c r="AW1477" s="52"/>
    </row>
    <row r="1478" spans="1:49">
      <c r="A1478" s="52"/>
      <c r="B1478" s="52"/>
      <c r="C1478" s="52"/>
      <c r="D1478" s="53"/>
      <c r="E1478" s="53"/>
      <c r="F1478" s="53"/>
      <c r="G1478" s="53"/>
      <c r="H1478" s="52"/>
      <c r="I1478" s="52"/>
      <c r="J1478" s="52"/>
      <c r="K1478" s="53"/>
      <c r="L1478" s="52"/>
      <c r="M1478" s="55"/>
      <c r="N1478" s="54"/>
      <c r="O1478" s="52"/>
      <c r="P1478" s="52"/>
      <c r="Q1478" s="52"/>
      <c r="R1478" s="52"/>
      <c r="S1478" s="52"/>
      <c r="T1478" s="52"/>
      <c r="U1478" s="52"/>
      <c r="V1478" s="52"/>
      <c r="W1478" s="52"/>
      <c r="X1478" s="52"/>
      <c r="Y1478" s="52"/>
      <c r="Z1478" s="52"/>
      <c r="AA1478" s="52"/>
      <c r="AB1478" s="52"/>
      <c r="AC1478" s="52"/>
      <c r="AD1478" s="52"/>
      <c r="AE1478" s="52"/>
      <c r="AF1478" s="52"/>
      <c r="AG1478" s="52"/>
      <c r="AH1478" s="52"/>
      <c r="AI1478" s="52"/>
      <c r="AJ1478" s="52"/>
      <c r="AK1478" s="52"/>
      <c r="AL1478" s="55"/>
      <c r="AM1478" s="52"/>
      <c r="AN1478" s="52"/>
      <c r="AO1478" s="52"/>
      <c r="AP1478" s="52"/>
      <c r="AQ1478" s="52"/>
      <c r="AR1478" s="52"/>
      <c r="AS1478" s="52"/>
      <c r="AT1478" s="52"/>
      <c r="AU1478" s="52"/>
      <c r="AV1478" s="52"/>
      <c r="AW1478" s="52"/>
    </row>
    <row r="1479" spans="1:49">
      <c r="A1479" s="52"/>
      <c r="B1479" s="52"/>
      <c r="C1479" s="52"/>
      <c r="D1479" s="53"/>
      <c r="E1479" s="53"/>
      <c r="F1479" s="53"/>
      <c r="G1479" s="53"/>
      <c r="H1479" s="53"/>
      <c r="I1479" s="52"/>
      <c r="J1479" s="52"/>
      <c r="K1479" s="53"/>
      <c r="L1479" s="52"/>
      <c r="M1479" s="54"/>
      <c r="N1479" s="54"/>
      <c r="O1479" s="52"/>
      <c r="P1479" s="52"/>
      <c r="Q1479" s="52"/>
      <c r="R1479" s="52"/>
      <c r="S1479" s="52"/>
      <c r="T1479" s="52"/>
      <c r="U1479" s="52"/>
      <c r="V1479" s="52"/>
      <c r="W1479" s="52"/>
      <c r="X1479" s="52"/>
      <c r="Y1479" s="52"/>
      <c r="Z1479" s="52"/>
      <c r="AA1479" s="52"/>
      <c r="AB1479" s="52"/>
      <c r="AC1479" s="52"/>
      <c r="AD1479" s="52"/>
      <c r="AE1479" s="52"/>
      <c r="AF1479" s="52"/>
      <c r="AG1479" s="52"/>
      <c r="AH1479" s="52"/>
      <c r="AI1479" s="53"/>
      <c r="AJ1479" s="53"/>
      <c r="AK1479" s="53"/>
      <c r="AL1479" s="55"/>
      <c r="AM1479" s="52"/>
      <c r="AN1479" s="55"/>
      <c r="AO1479" s="52"/>
      <c r="AP1479" s="55"/>
      <c r="AQ1479" s="52"/>
      <c r="AR1479" s="52"/>
      <c r="AS1479" s="52"/>
      <c r="AT1479" s="52"/>
      <c r="AU1479" s="52"/>
      <c r="AV1479" s="52"/>
      <c r="AW1479" s="52"/>
    </row>
    <row r="1480" spans="1:49">
      <c r="A1480" s="52"/>
      <c r="B1480" s="52"/>
      <c r="C1480" s="52"/>
      <c r="D1480" s="53"/>
      <c r="E1480" s="53"/>
      <c r="F1480" s="53"/>
      <c r="G1480" s="53"/>
      <c r="H1480" s="53"/>
      <c r="I1480" s="52"/>
      <c r="J1480" s="52"/>
      <c r="K1480" s="53"/>
      <c r="L1480" s="52"/>
      <c r="M1480" s="54"/>
      <c r="N1480" s="54"/>
      <c r="O1480" s="52"/>
      <c r="P1480" s="52"/>
      <c r="Q1480" s="52"/>
      <c r="R1480" s="52"/>
      <c r="S1480" s="52"/>
      <c r="T1480" s="52"/>
      <c r="U1480" s="52"/>
      <c r="V1480" s="52"/>
      <c r="W1480" s="52"/>
      <c r="X1480" s="52"/>
      <c r="Y1480" s="52"/>
      <c r="Z1480" s="52"/>
      <c r="AA1480" s="52"/>
      <c r="AB1480" s="52"/>
      <c r="AC1480" s="52"/>
      <c r="AD1480" s="52"/>
      <c r="AE1480" s="52"/>
      <c r="AF1480" s="52"/>
      <c r="AG1480" s="52"/>
      <c r="AH1480" s="52"/>
      <c r="AI1480" s="53"/>
      <c r="AJ1480" s="53"/>
      <c r="AK1480" s="53"/>
      <c r="AL1480" s="55"/>
      <c r="AM1480" s="52"/>
      <c r="AN1480" s="55"/>
      <c r="AO1480" s="52"/>
      <c r="AP1480" s="55"/>
      <c r="AQ1480" s="52"/>
      <c r="AR1480" s="52"/>
      <c r="AS1480" s="52"/>
      <c r="AT1480" s="52"/>
      <c r="AU1480" s="52"/>
      <c r="AV1480" s="52"/>
      <c r="AW1480" s="52"/>
    </row>
    <row r="1481" spans="1:49">
      <c r="A1481" s="52"/>
      <c r="B1481" s="52"/>
      <c r="C1481" s="52"/>
      <c r="D1481" s="53"/>
      <c r="E1481" s="53"/>
      <c r="F1481" s="53"/>
      <c r="G1481" s="53"/>
      <c r="H1481" s="52"/>
      <c r="I1481" s="52"/>
      <c r="J1481" s="52"/>
      <c r="K1481" s="53"/>
      <c r="L1481" s="52"/>
      <c r="M1481" s="55"/>
      <c r="N1481" s="54"/>
      <c r="O1481" s="52"/>
      <c r="P1481" s="52"/>
      <c r="Q1481" s="52"/>
      <c r="R1481" s="52"/>
      <c r="S1481" s="52"/>
      <c r="T1481" s="52"/>
      <c r="U1481" s="52"/>
      <c r="V1481" s="52"/>
      <c r="W1481" s="52"/>
      <c r="X1481" s="52"/>
      <c r="Y1481" s="52"/>
      <c r="Z1481" s="52"/>
      <c r="AA1481" s="52"/>
      <c r="AB1481" s="52"/>
      <c r="AC1481" s="52"/>
      <c r="AD1481" s="52"/>
      <c r="AE1481" s="52"/>
      <c r="AF1481" s="52"/>
      <c r="AG1481" s="52"/>
      <c r="AH1481" s="52"/>
      <c r="AI1481" s="52"/>
      <c r="AJ1481" s="52"/>
      <c r="AK1481" s="52"/>
      <c r="AL1481" s="52"/>
      <c r="AM1481" s="52"/>
      <c r="AN1481" s="52"/>
      <c r="AO1481" s="52"/>
      <c r="AP1481" s="52"/>
      <c r="AQ1481" s="52"/>
      <c r="AR1481" s="52"/>
      <c r="AS1481" s="52"/>
      <c r="AT1481" s="52"/>
      <c r="AU1481" s="52"/>
      <c r="AV1481" s="52"/>
      <c r="AW1481" s="52"/>
    </row>
    <row r="1482" spans="1:49">
      <c r="A1482" s="52"/>
      <c r="B1482" s="52"/>
      <c r="C1482" s="52"/>
      <c r="D1482" s="53"/>
      <c r="E1482" s="53"/>
      <c r="F1482" s="53"/>
      <c r="G1482" s="53"/>
      <c r="H1482" s="53"/>
      <c r="I1482" s="52"/>
      <c r="J1482" s="52"/>
      <c r="K1482" s="53"/>
      <c r="L1482" s="52"/>
      <c r="M1482" s="54"/>
      <c r="N1482" s="54"/>
      <c r="O1482" s="52"/>
      <c r="P1482" s="52"/>
      <c r="Q1482" s="52"/>
      <c r="R1482" s="52"/>
      <c r="S1482" s="52"/>
      <c r="T1482" s="52"/>
      <c r="U1482" s="52"/>
      <c r="V1482" s="52"/>
      <c r="W1482" s="52"/>
      <c r="X1482" s="52"/>
      <c r="Y1482" s="52"/>
      <c r="Z1482" s="52"/>
      <c r="AA1482" s="52"/>
      <c r="AB1482" s="52"/>
      <c r="AC1482" s="52"/>
      <c r="AD1482" s="52"/>
      <c r="AE1482" s="52"/>
      <c r="AF1482" s="52"/>
      <c r="AG1482" s="52"/>
      <c r="AH1482" s="52"/>
      <c r="AI1482" s="52"/>
      <c r="AJ1482" s="52"/>
      <c r="AK1482" s="52"/>
      <c r="AL1482" s="55"/>
      <c r="AM1482" s="52"/>
      <c r="AN1482" s="52"/>
      <c r="AO1482" s="52"/>
      <c r="AP1482" s="55"/>
      <c r="AQ1482" s="52"/>
      <c r="AR1482" s="52"/>
      <c r="AS1482" s="52"/>
      <c r="AT1482" s="52"/>
      <c r="AU1482" s="52"/>
      <c r="AV1482" s="52"/>
      <c r="AW1482" s="52"/>
    </row>
    <row r="1483" spans="1:49">
      <c r="A1483" s="52"/>
      <c r="B1483" s="52"/>
      <c r="C1483" s="52"/>
      <c r="D1483" s="53"/>
      <c r="E1483" s="53"/>
      <c r="F1483" s="53"/>
      <c r="G1483" s="53"/>
      <c r="H1483" s="53"/>
      <c r="I1483" s="52"/>
      <c r="J1483" s="52"/>
      <c r="K1483" s="53"/>
      <c r="L1483" s="52"/>
      <c r="M1483" s="54"/>
      <c r="N1483" s="54"/>
      <c r="O1483" s="52"/>
      <c r="P1483" s="52"/>
      <c r="Q1483" s="52"/>
      <c r="R1483" s="52"/>
      <c r="S1483" s="52"/>
      <c r="T1483" s="52"/>
      <c r="U1483" s="52"/>
      <c r="V1483" s="52"/>
      <c r="W1483" s="52"/>
      <c r="X1483" s="52"/>
      <c r="Y1483" s="52"/>
      <c r="Z1483" s="52"/>
      <c r="AA1483" s="52"/>
      <c r="AB1483" s="52"/>
      <c r="AC1483" s="52"/>
      <c r="AD1483" s="52"/>
      <c r="AE1483" s="52"/>
      <c r="AF1483" s="52"/>
      <c r="AG1483" s="52"/>
      <c r="AH1483" s="52"/>
      <c r="AI1483" s="52"/>
      <c r="AJ1483" s="52"/>
      <c r="AK1483" s="52"/>
      <c r="AL1483" s="55"/>
      <c r="AM1483" s="52"/>
      <c r="AN1483" s="52"/>
      <c r="AO1483" s="52"/>
      <c r="AP1483" s="55"/>
      <c r="AQ1483" s="52"/>
      <c r="AR1483" s="52"/>
      <c r="AS1483" s="52"/>
      <c r="AT1483" s="52"/>
      <c r="AU1483" s="52"/>
      <c r="AV1483" s="52"/>
      <c r="AW1483" s="52"/>
    </row>
    <row r="1484" spans="1:49">
      <c r="A1484" s="52"/>
      <c r="B1484" s="52"/>
      <c r="C1484" s="52"/>
      <c r="D1484" s="53"/>
      <c r="E1484" s="53"/>
      <c r="F1484" s="53"/>
      <c r="G1484" s="53"/>
      <c r="H1484" s="52"/>
      <c r="I1484" s="52"/>
      <c r="J1484" s="52"/>
      <c r="K1484" s="53"/>
      <c r="L1484" s="52"/>
      <c r="M1484" s="55"/>
      <c r="N1484" s="54"/>
      <c r="O1484" s="52"/>
      <c r="P1484" s="52"/>
      <c r="Q1484" s="52"/>
      <c r="R1484" s="52"/>
      <c r="S1484" s="52"/>
      <c r="T1484" s="52"/>
      <c r="U1484" s="52"/>
      <c r="V1484" s="52"/>
      <c r="W1484" s="52"/>
      <c r="X1484" s="52"/>
      <c r="Y1484" s="52"/>
      <c r="Z1484" s="52"/>
      <c r="AA1484" s="52"/>
      <c r="AB1484" s="52"/>
      <c r="AC1484" s="52"/>
      <c r="AD1484" s="52"/>
      <c r="AE1484" s="52"/>
      <c r="AF1484" s="52"/>
      <c r="AG1484" s="52"/>
      <c r="AH1484" s="52"/>
      <c r="AI1484" s="52"/>
      <c r="AJ1484" s="52"/>
      <c r="AK1484" s="52"/>
      <c r="AL1484" s="55"/>
      <c r="AM1484" s="52"/>
      <c r="AN1484" s="52"/>
      <c r="AO1484" s="52"/>
      <c r="AP1484" s="52"/>
      <c r="AQ1484" s="52"/>
      <c r="AR1484" s="52"/>
      <c r="AS1484" s="52"/>
      <c r="AT1484" s="52"/>
      <c r="AU1484" s="52"/>
      <c r="AV1484" s="52"/>
      <c r="AW1484" s="52"/>
    </row>
    <row r="1485" spans="1:49">
      <c r="A1485" s="52"/>
      <c r="B1485" s="52"/>
      <c r="C1485" s="52"/>
      <c r="D1485" s="53"/>
      <c r="E1485" s="53"/>
      <c r="F1485" s="53"/>
      <c r="G1485" s="53"/>
      <c r="H1485" s="53"/>
      <c r="I1485" s="52"/>
      <c r="J1485" s="52"/>
      <c r="K1485" s="53"/>
      <c r="L1485" s="52"/>
      <c r="M1485" s="54"/>
      <c r="N1485" s="54"/>
      <c r="O1485" s="52"/>
      <c r="P1485" s="52"/>
      <c r="Q1485" s="52"/>
      <c r="R1485" s="52"/>
      <c r="S1485" s="52"/>
      <c r="T1485" s="52"/>
      <c r="U1485" s="52"/>
      <c r="V1485" s="52"/>
      <c r="W1485" s="52"/>
      <c r="X1485" s="52"/>
      <c r="Y1485" s="52"/>
      <c r="Z1485" s="52"/>
      <c r="AA1485" s="52"/>
      <c r="AB1485" s="52"/>
      <c r="AC1485" s="52"/>
      <c r="AD1485" s="52"/>
      <c r="AE1485" s="52"/>
      <c r="AF1485" s="52"/>
      <c r="AG1485" s="52"/>
      <c r="AH1485" s="52"/>
      <c r="AI1485" s="53"/>
      <c r="AJ1485" s="53"/>
      <c r="AK1485" s="53"/>
      <c r="AL1485" s="55"/>
      <c r="AM1485" s="52"/>
      <c r="AN1485" s="55"/>
      <c r="AO1485" s="52"/>
      <c r="AP1485" s="55"/>
      <c r="AQ1485" s="52"/>
      <c r="AR1485" s="52"/>
      <c r="AS1485" s="52"/>
      <c r="AT1485" s="52"/>
      <c r="AU1485" s="52"/>
      <c r="AV1485" s="52"/>
      <c r="AW1485" s="52"/>
    </row>
    <row r="1486" spans="1:49">
      <c r="A1486" s="52"/>
      <c r="B1486" s="52"/>
      <c r="C1486" s="52"/>
      <c r="D1486" s="53"/>
      <c r="E1486" s="53"/>
      <c r="F1486" s="53"/>
      <c r="G1486" s="53"/>
      <c r="H1486" s="53"/>
      <c r="I1486" s="52"/>
      <c r="J1486" s="52"/>
      <c r="K1486" s="53"/>
      <c r="L1486" s="52"/>
      <c r="M1486" s="54"/>
      <c r="N1486" s="54"/>
      <c r="O1486" s="52"/>
      <c r="P1486" s="52"/>
      <c r="Q1486" s="52"/>
      <c r="R1486" s="52"/>
      <c r="S1486" s="52"/>
      <c r="T1486" s="52"/>
      <c r="U1486" s="52"/>
      <c r="V1486" s="52"/>
      <c r="W1486" s="52"/>
      <c r="X1486" s="52"/>
      <c r="Y1486" s="52"/>
      <c r="Z1486" s="52"/>
      <c r="AA1486" s="52"/>
      <c r="AB1486" s="52"/>
      <c r="AC1486" s="52"/>
      <c r="AD1486" s="52"/>
      <c r="AE1486" s="52"/>
      <c r="AF1486" s="52"/>
      <c r="AG1486" s="52"/>
      <c r="AH1486" s="52"/>
      <c r="AI1486" s="53"/>
      <c r="AJ1486" s="53"/>
      <c r="AK1486" s="53"/>
      <c r="AL1486" s="55"/>
      <c r="AM1486" s="52"/>
      <c r="AN1486" s="55"/>
      <c r="AO1486" s="52"/>
      <c r="AP1486" s="55"/>
      <c r="AQ1486" s="52"/>
      <c r="AR1486" s="52"/>
      <c r="AS1486" s="52"/>
      <c r="AT1486" s="52"/>
      <c r="AU1486" s="52"/>
      <c r="AV1486" s="52"/>
      <c r="AW1486" s="52"/>
    </row>
    <row r="1487" spans="1:49">
      <c r="A1487" s="52"/>
      <c r="B1487" s="52"/>
      <c r="C1487" s="52"/>
      <c r="D1487" s="53"/>
      <c r="E1487" s="53"/>
      <c r="F1487" s="53"/>
      <c r="G1487" s="53"/>
      <c r="H1487" s="52"/>
      <c r="I1487" s="52"/>
      <c r="J1487" s="52"/>
      <c r="K1487" s="53"/>
      <c r="L1487" s="52"/>
      <c r="M1487" s="55"/>
      <c r="N1487" s="54"/>
      <c r="O1487" s="52"/>
      <c r="P1487" s="52"/>
      <c r="Q1487" s="52"/>
      <c r="R1487" s="52"/>
      <c r="S1487" s="52"/>
      <c r="T1487" s="52"/>
      <c r="U1487" s="52"/>
      <c r="V1487" s="52"/>
      <c r="W1487" s="52"/>
      <c r="X1487" s="52"/>
      <c r="Y1487" s="52"/>
      <c r="Z1487" s="52"/>
      <c r="AA1487" s="52"/>
      <c r="AB1487" s="52"/>
      <c r="AC1487" s="52"/>
      <c r="AD1487" s="52"/>
      <c r="AE1487" s="52"/>
      <c r="AF1487" s="52"/>
      <c r="AG1487" s="52"/>
      <c r="AH1487" s="52"/>
      <c r="AI1487" s="52"/>
      <c r="AJ1487" s="52"/>
      <c r="AK1487" s="52"/>
      <c r="AL1487" s="55"/>
      <c r="AM1487" s="52"/>
      <c r="AN1487" s="52"/>
      <c r="AO1487" s="52"/>
      <c r="AP1487" s="52"/>
      <c r="AQ1487" s="52"/>
      <c r="AR1487" s="52"/>
      <c r="AS1487" s="52"/>
      <c r="AT1487" s="52"/>
      <c r="AU1487" s="52"/>
      <c r="AV1487" s="52"/>
      <c r="AW1487" s="52"/>
    </row>
    <row r="1488" spans="1:49">
      <c r="A1488" s="52"/>
      <c r="B1488" s="52"/>
      <c r="C1488" s="52"/>
      <c r="D1488" s="53"/>
      <c r="E1488" s="53"/>
      <c r="F1488" s="53"/>
      <c r="G1488" s="53"/>
      <c r="H1488" s="53"/>
      <c r="I1488" s="52"/>
      <c r="J1488" s="52"/>
      <c r="K1488" s="53"/>
      <c r="L1488" s="52"/>
      <c r="M1488" s="54"/>
      <c r="N1488" s="54"/>
      <c r="O1488" s="52"/>
      <c r="P1488" s="52"/>
      <c r="Q1488" s="52"/>
      <c r="R1488" s="52"/>
      <c r="S1488" s="52"/>
      <c r="T1488" s="52"/>
      <c r="U1488" s="52"/>
      <c r="V1488" s="52"/>
      <c r="W1488" s="52"/>
      <c r="X1488" s="52"/>
      <c r="Y1488" s="52"/>
      <c r="Z1488" s="52"/>
      <c r="AA1488" s="52"/>
      <c r="AB1488" s="52"/>
      <c r="AC1488" s="52"/>
      <c r="AD1488" s="52"/>
      <c r="AE1488" s="52"/>
      <c r="AF1488" s="52"/>
      <c r="AG1488" s="52"/>
      <c r="AH1488" s="52"/>
      <c r="AI1488" s="53"/>
      <c r="AJ1488" s="53"/>
      <c r="AK1488" s="53"/>
      <c r="AL1488" s="55"/>
      <c r="AM1488" s="52"/>
      <c r="AN1488" s="55"/>
      <c r="AO1488" s="52"/>
      <c r="AP1488" s="55"/>
      <c r="AQ1488" s="52"/>
      <c r="AR1488" s="52"/>
      <c r="AS1488" s="52"/>
      <c r="AT1488" s="52"/>
      <c r="AU1488" s="52"/>
      <c r="AV1488" s="52"/>
      <c r="AW1488" s="52"/>
    </row>
    <row r="1489" spans="1:49">
      <c r="A1489" s="52"/>
      <c r="B1489" s="52"/>
      <c r="C1489" s="52"/>
      <c r="D1489" s="53"/>
      <c r="E1489" s="53"/>
      <c r="F1489" s="53"/>
      <c r="G1489" s="53"/>
      <c r="H1489" s="53"/>
      <c r="I1489" s="52"/>
      <c r="J1489" s="52"/>
      <c r="K1489" s="53"/>
      <c r="L1489" s="52"/>
      <c r="M1489" s="54"/>
      <c r="N1489" s="54"/>
      <c r="O1489" s="52"/>
      <c r="P1489" s="52"/>
      <c r="Q1489" s="52"/>
      <c r="R1489" s="52"/>
      <c r="S1489" s="52"/>
      <c r="T1489" s="52"/>
      <c r="U1489" s="52"/>
      <c r="V1489" s="52"/>
      <c r="W1489" s="52"/>
      <c r="X1489" s="52"/>
      <c r="Y1489" s="52"/>
      <c r="Z1489" s="52"/>
      <c r="AA1489" s="52"/>
      <c r="AB1489" s="52"/>
      <c r="AC1489" s="52"/>
      <c r="AD1489" s="52"/>
      <c r="AE1489" s="52"/>
      <c r="AF1489" s="52"/>
      <c r="AG1489" s="52"/>
      <c r="AH1489" s="52"/>
      <c r="AI1489" s="53"/>
      <c r="AJ1489" s="53"/>
      <c r="AK1489" s="53"/>
      <c r="AL1489" s="55"/>
      <c r="AM1489" s="52"/>
      <c r="AN1489" s="55"/>
      <c r="AO1489" s="52"/>
      <c r="AP1489" s="55"/>
      <c r="AQ1489" s="52"/>
      <c r="AR1489" s="52"/>
      <c r="AS1489" s="52"/>
      <c r="AT1489" s="52"/>
      <c r="AU1489" s="52"/>
      <c r="AV1489" s="52"/>
      <c r="AW1489" s="52"/>
    </row>
    <row r="1490" spans="1:49">
      <c r="A1490" s="52"/>
      <c r="B1490" s="52"/>
      <c r="C1490" s="52"/>
      <c r="D1490" s="53"/>
      <c r="E1490" s="53"/>
      <c r="F1490" s="53"/>
      <c r="G1490" s="53"/>
      <c r="H1490" s="52"/>
      <c r="I1490" s="52"/>
      <c r="J1490" s="52"/>
      <c r="K1490" s="53"/>
      <c r="L1490" s="52"/>
      <c r="M1490" s="55"/>
      <c r="N1490" s="54"/>
      <c r="O1490" s="52"/>
      <c r="P1490" s="52"/>
      <c r="Q1490" s="52"/>
      <c r="R1490" s="52"/>
      <c r="S1490" s="52"/>
      <c r="T1490" s="52"/>
      <c r="U1490" s="52"/>
      <c r="V1490" s="52"/>
      <c r="W1490" s="52"/>
      <c r="X1490" s="52"/>
      <c r="Y1490" s="52"/>
      <c r="Z1490" s="52"/>
      <c r="AA1490" s="52"/>
      <c r="AB1490" s="52"/>
      <c r="AC1490" s="52"/>
      <c r="AD1490" s="52"/>
      <c r="AE1490" s="52"/>
      <c r="AF1490" s="52"/>
      <c r="AG1490" s="52"/>
      <c r="AH1490" s="52"/>
      <c r="AI1490" s="52"/>
      <c r="AJ1490" s="52"/>
      <c r="AK1490" s="52"/>
      <c r="AL1490" s="52"/>
      <c r="AM1490" s="52"/>
      <c r="AN1490" s="52"/>
      <c r="AO1490" s="52"/>
      <c r="AP1490" s="52"/>
      <c r="AQ1490" s="52"/>
      <c r="AR1490" s="52"/>
      <c r="AS1490" s="52"/>
      <c r="AT1490" s="52"/>
      <c r="AU1490" s="52"/>
      <c r="AV1490" s="52"/>
      <c r="AW1490" s="52"/>
    </row>
    <row r="1491" spans="1:49">
      <c r="A1491" s="52"/>
      <c r="B1491" s="52"/>
      <c r="C1491" s="52"/>
      <c r="D1491" s="53"/>
      <c r="E1491" s="53"/>
      <c r="F1491" s="53"/>
      <c r="G1491" s="53"/>
      <c r="H1491" s="53"/>
      <c r="I1491" s="52"/>
      <c r="J1491" s="52"/>
      <c r="K1491" s="53"/>
      <c r="L1491" s="52"/>
      <c r="M1491" s="54"/>
      <c r="N1491" s="54"/>
      <c r="O1491" s="52"/>
      <c r="P1491" s="52"/>
      <c r="Q1491" s="52"/>
      <c r="R1491" s="52"/>
      <c r="S1491" s="52"/>
      <c r="T1491" s="52"/>
      <c r="U1491" s="52"/>
      <c r="V1491" s="52"/>
      <c r="W1491" s="52"/>
      <c r="X1491" s="52"/>
      <c r="Y1491" s="52"/>
      <c r="Z1491" s="52"/>
      <c r="AA1491" s="52"/>
      <c r="AB1491" s="52"/>
      <c r="AC1491" s="52"/>
      <c r="AD1491" s="52"/>
      <c r="AE1491" s="52"/>
      <c r="AF1491" s="52"/>
      <c r="AG1491" s="52"/>
      <c r="AH1491" s="52"/>
      <c r="AI1491" s="52"/>
      <c r="AJ1491" s="52"/>
      <c r="AK1491" s="52"/>
      <c r="AL1491" s="55"/>
      <c r="AM1491" s="52"/>
      <c r="AN1491" s="52"/>
      <c r="AO1491" s="52"/>
      <c r="AP1491" s="55"/>
      <c r="AQ1491" s="52"/>
      <c r="AR1491" s="52"/>
      <c r="AS1491" s="52"/>
      <c r="AT1491" s="52"/>
      <c r="AU1491" s="52"/>
      <c r="AV1491" s="52"/>
      <c r="AW1491" s="52"/>
    </row>
    <row r="1492" spans="1:49">
      <c r="A1492" s="52"/>
      <c r="B1492" s="52"/>
      <c r="C1492" s="52"/>
      <c r="D1492" s="53"/>
      <c r="E1492" s="53"/>
      <c r="F1492" s="53"/>
      <c r="G1492" s="53"/>
      <c r="H1492" s="53"/>
      <c r="I1492" s="52"/>
      <c r="J1492" s="52"/>
      <c r="K1492" s="53"/>
      <c r="L1492" s="52"/>
      <c r="M1492" s="54"/>
      <c r="N1492" s="54"/>
      <c r="O1492" s="52"/>
      <c r="P1492" s="52"/>
      <c r="Q1492" s="52"/>
      <c r="R1492" s="52"/>
      <c r="S1492" s="52"/>
      <c r="T1492" s="52"/>
      <c r="U1492" s="52"/>
      <c r="V1492" s="52"/>
      <c r="W1492" s="52"/>
      <c r="X1492" s="52"/>
      <c r="Y1492" s="52"/>
      <c r="Z1492" s="52"/>
      <c r="AA1492" s="52"/>
      <c r="AB1492" s="52"/>
      <c r="AC1492" s="52"/>
      <c r="AD1492" s="52"/>
      <c r="AE1492" s="52"/>
      <c r="AF1492" s="52"/>
      <c r="AG1492" s="52"/>
      <c r="AH1492" s="52"/>
      <c r="AI1492" s="52"/>
      <c r="AJ1492" s="52"/>
      <c r="AK1492" s="52"/>
      <c r="AL1492" s="55"/>
      <c r="AM1492" s="52"/>
      <c r="AN1492" s="52"/>
      <c r="AO1492" s="52"/>
      <c r="AP1492" s="55"/>
      <c r="AQ1492" s="52"/>
      <c r="AR1492" s="52"/>
      <c r="AS1492" s="52"/>
      <c r="AT1492" s="52"/>
      <c r="AU1492" s="52"/>
      <c r="AV1492" s="52"/>
      <c r="AW1492" s="52"/>
    </row>
    <row r="1493" spans="1:49">
      <c r="A1493" s="52"/>
      <c r="B1493" s="52"/>
      <c r="C1493" s="52"/>
      <c r="D1493" s="53"/>
      <c r="E1493" s="53"/>
      <c r="F1493" s="53"/>
      <c r="G1493" s="53"/>
      <c r="H1493" s="52"/>
      <c r="I1493" s="52"/>
      <c r="J1493" s="52"/>
      <c r="K1493" s="53"/>
      <c r="L1493" s="52"/>
      <c r="M1493" s="55"/>
      <c r="N1493" s="54"/>
      <c r="O1493" s="52"/>
      <c r="P1493" s="52"/>
      <c r="Q1493" s="52"/>
      <c r="R1493" s="52"/>
      <c r="S1493" s="52"/>
      <c r="T1493" s="52"/>
      <c r="U1493" s="52"/>
      <c r="V1493" s="52"/>
      <c r="W1493" s="52"/>
      <c r="X1493" s="52"/>
      <c r="Y1493" s="52"/>
      <c r="Z1493" s="52"/>
      <c r="AA1493" s="52"/>
      <c r="AB1493" s="52"/>
      <c r="AC1493" s="52"/>
      <c r="AD1493" s="52"/>
      <c r="AE1493" s="52"/>
      <c r="AF1493" s="52"/>
      <c r="AG1493" s="52"/>
      <c r="AH1493" s="52"/>
      <c r="AI1493" s="52"/>
      <c r="AJ1493" s="52"/>
      <c r="AK1493" s="52"/>
      <c r="AL1493" s="52"/>
      <c r="AM1493" s="52"/>
      <c r="AN1493" s="52"/>
      <c r="AO1493" s="52"/>
      <c r="AP1493" s="52"/>
      <c r="AQ1493" s="52"/>
      <c r="AR1493" s="52"/>
      <c r="AS1493" s="52"/>
      <c r="AT1493" s="52"/>
      <c r="AU1493" s="52"/>
      <c r="AV1493" s="52"/>
      <c r="AW1493" s="52"/>
    </row>
    <row r="1494" spans="1:49">
      <c r="A1494" s="52"/>
      <c r="B1494" s="52"/>
      <c r="C1494" s="52"/>
      <c r="D1494" s="53"/>
      <c r="E1494" s="53"/>
      <c r="F1494" s="53"/>
      <c r="G1494" s="53"/>
      <c r="H1494" s="53"/>
      <c r="I1494" s="52"/>
      <c r="J1494" s="52"/>
      <c r="K1494" s="53"/>
      <c r="L1494" s="52"/>
      <c r="M1494" s="54"/>
      <c r="N1494" s="54"/>
      <c r="O1494" s="52"/>
      <c r="P1494" s="52"/>
      <c r="Q1494" s="52"/>
      <c r="R1494" s="52"/>
      <c r="S1494" s="52"/>
      <c r="T1494" s="52"/>
      <c r="U1494" s="52"/>
      <c r="V1494" s="52"/>
      <c r="W1494" s="52"/>
      <c r="X1494" s="52"/>
      <c r="Y1494" s="52"/>
      <c r="Z1494" s="52"/>
      <c r="AA1494" s="52"/>
      <c r="AB1494" s="52"/>
      <c r="AC1494" s="52"/>
      <c r="AD1494" s="52"/>
      <c r="AE1494" s="52"/>
      <c r="AF1494" s="52"/>
      <c r="AG1494" s="52"/>
      <c r="AH1494" s="52"/>
      <c r="AI1494" s="52"/>
      <c r="AJ1494" s="52"/>
      <c r="AK1494" s="52"/>
      <c r="AL1494" s="55"/>
      <c r="AM1494" s="52"/>
      <c r="AN1494" s="52"/>
      <c r="AO1494" s="52"/>
      <c r="AP1494" s="55"/>
      <c r="AQ1494" s="52"/>
      <c r="AR1494" s="52"/>
      <c r="AS1494" s="52"/>
      <c r="AT1494" s="52"/>
      <c r="AU1494" s="52"/>
      <c r="AV1494" s="52"/>
      <c r="AW1494" s="52"/>
    </row>
    <row r="1495" spans="1:49">
      <c r="A1495" s="52"/>
      <c r="B1495" s="52"/>
      <c r="C1495" s="52"/>
      <c r="D1495" s="53"/>
      <c r="E1495" s="53"/>
      <c r="F1495" s="53"/>
      <c r="G1495" s="53"/>
      <c r="H1495" s="53"/>
      <c r="I1495" s="52"/>
      <c r="J1495" s="52"/>
      <c r="K1495" s="53"/>
      <c r="L1495" s="52"/>
      <c r="M1495" s="54"/>
      <c r="N1495" s="54"/>
      <c r="O1495" s="52"/>
      <c r="P1495" s="52"/>
      <c r="Q1495" s="52"/>
      <c r="R1495" s="52"/>
      <c r="S1495" s="52"/>
      <c r="T1495" s="52"/>
      <c r="U1495" s="52"/>
      <c r="V1495" s="52"/>
      <c r="W1495" s="52"/>
      <c r="X1495" s="52"/>
      <c r="Y1495" s="52"/>
      <c r="Z1495" s="52"/>
      <c r="AA1495" s="52"/>
      <c r="AB1495" s="52"/>
      <c r="AC1495" s="52"/>
      <c r="AD1495" s="52"/>
      <c r="AE1495" s="52"/>
      <c r="AF1495" s="52"/>
      <c r="AG1495" s="52"/>
      <c r="AH1495" s="52"/>
      <c r="AI1495" s="52"/>
      <c r="AJ1495" s="52"/>
      <c r="AK1495" s="52"/>
      <c r="AL1495" s="55"/>
      <c r="AM1495" s="52"/>
      <c r="AN1495" s="52"/>
      <c r="AO1495" s="52"/>
      <c r="AP1495" s="55"/>
      <c r="AQ1495" s="52"/>
      <c r="AR1495" s="52"/>
      <c r="AS1495" s="52"/>
      <c r="AT1495" s="52"/>
      <c r="AU1495" s="52"/>
      <c r="AV1495" s="52"/>
      <c r="AW1495" s="52"/>
    </row>
    <row r="1496" spans="1:49">
      <c r="A1496" s="52"/>
      <c r="B1496" s="52"/>
      <c r="C1496" s="52"/>
      <c r="D1496" s="53"/>
      <c r="E1496" s="53"/>
      <c r="F1496" s="53"/>
      <c r="G1496" s="53"/>
      <c r="H1496" s="52"/>
      <c r="I1496" s="52"/>
      <c r="J1496" s="52"/>
      <c r="K1496" s="53"/>
      <c r="L1496" s="52"/>
      <c r="M1496" s="55"/>
      <c r="N1496" s="54"/>
      <c r="O1496" s="52"/>
      <c r="P1496" s="52"/>
      <c r="Q1496" s="52"/>
      <c r="R1496" s="52"/>
      <c r="S1496" s="52"/>
      <c r="T1496" s="52"/>
      <c r="U1496" s="52"/>
      <c r="V1496" s="52"/>
      <c r="W1496" s="52"/>
      <c r="X1496" s="52"/>
      <c r="Y1496" s="52"/>
      <c r="Z1496" s="52"/>
      <c r="AA1496" s="52"/>
      <c r="AB1496" s="52"/>
      <c r="AC1496" s="52"/>
      <c r="AD1496" s="52"/>
      <c r="AE1496" s="52"/>
      <c r="AF1496" s="52"/>
      <c r="AG1496" s="52"/>
      <c r="AH1496" s="52"/>
      <c r="AI1496" s="52"/>
      <c r="AJ1496" s="52"/>
      <c r="AK1496" s="52"/>
      <c r="AL1496" s="55"/>
      <c r="AM1496" s="52"/>
      <c r="AN1496" s="52"/>
      <c r="AO1496" s="52"/>
      <c r="AP1496" s="52"/>
      <c r="AQ1496" s="52"/>
      <c r="AR1496" s="52"/>
      <c r="AS1496" s="52"/>
      <c r="AT1496" s="52"/>
      <c r="AU1496" s="52"/>
      <c r="AV1496" s="52"/>
      <c r="AW1496" s="52"/>
    </row>
    <row r="1497" spans="1:49">
      <c r="A1497" s="52"/>
      <c r="B1497" s="52"/>
      <c r="C1497" s="52"/>
      <c r="D1497" s="53"/>
      <c r="E1497" s="53"/>
      <c r="F1497" s="53"/>
      <c r="G1497" s="53"/>
      <c r="H1497" s="52"/>
      <c r="I1497" s="52"/>
      <c r="J1497" s="52"/>
      <c r="K1497" s="53"/>
      <c r="L1497" s="52"/>
      <c r="M1497" s="54"/>
      <c r="N1497" s="54"/>
      <c r="O1497" s="52"/>
      <c r="P1497" s="52"/>
      <c r="Q1497" s="52"/>
      <c r="R1497" s="52"/>
      <c r="S1497" s="52"/>
      <c r="T1497" s="52"/>
      <c r="U1497" s="52"/>
      <c r="V1497" s="52"/>
      <c r="W1497" s="52"/>
      <c r="X1497" s="52"/>
      <c r="Y1497" s="52"/>
      <c r="Z1497" s="52"/>
      <c r="AA1497" s="52"/>
      <c r="AB1497" s="52"/>
      <c r="AC1497" s="52"/>
      <c r="AD1497" s="52"/>
      <c r="AE1497" s="52"/>
      <c r="AF1497" s="52"/>
      <c r="AG1497" s="52"/>
      <c r="AH1497" s="52"/>
      <c r="AI1497" s="53"/>
      <c r="AJ1497" s="53"/>
      <c r="AK1497" s="53"/>
      <c r="AL1497" s="55"/>
      <c r="AM1497" s="52"/>
      <c r="AN1497" s="55"/>
      <c r="AO1497" s="52"/>
      <c r="AP1497" s="55"/>
      <c r="AQ1497" s="52"/>
      <c r="AR1497" s="52"/>
      <c r="AS1497" s="52"/>
      <c r="AT1497" s="52"/>
      <c r="AU1497" s="52"/>
      <c r="AV1497" s="52"/>
      <c r="AW1497" s="52"/>
    </row>
    <row r="1498" spans="1:49">
      <c r="A1498" s="52"/>
      <c r="B1498" s="52"/>
      <c r="C1498" s="52"/>
      <c r="D1498" s="53"/>
      <c r="E1498" s="53"/>
      <c r="F1498" s="53"/>
      <c r="G1498" s="53"/>
      <c r="H1498" s="52"/>
      <c r="I1498" s="52"/>
      <c r="J1498" s="52"/>
      <c r="K1498" s="53"/>
      <c r="L1498" s="52"/>
      <c r="M1498" s="54"/>
      <c r="N1498" s="54"/>
      <c r="O1498" s="52"/>
      <c r="P1498" s="52"/>
      <c r="Q1498" s="52"/>
      <c r="R1498" s="52"/>
      <c r="S1498" s="52"/>
      <c r="T1498" s="52"/>
      <c r="U1498" s="52"/>
      <c r="V1498" s="52"/>
      <c r="W1498" s="52"/>
      <c r="X1498" s="52"/>
      <c r="Y1498" s="52"/>
      <c r="Z1498" s="52"/>
      <c r="AA1498" s="52"/>
      <c r="AB1498" s="52"/>
      <c r="AC1498" s="52"/>
      <c r="AD1498" s="52"/>
      <c r="AE1498" s="52"/>
      <c r="AF1498" s="52"/>
      <c r="AG1498" s="52"/>
      <c r="AH1498" s="52"/>
      <c r="AI1498" s="53"/>
      <c r="AJ1498" s="53"/>
      <c r="AK1498" s="53"/>
      <c r="AL1498" s="55"/>
      <c r="AM1498" s="52"/>
      <c r="AN1498" s="55"/>
      <c r="AO1498" s="52"/>
      <c r="AP1498" s="55"/>
      <c r="AQ1498" s="52"/>
      <c r="AR1498" s="52"/>
      <c r="AS1498" s="52"/>
      <c r="AT1498" s="52"/>
      <c r="AU1498" s="52"/>
      <c r="AV1498" s="52"/>
      <c r="AW1498" s="52"/>
    </row>
    <row r="1499" spans="1:49">
      <c r="A1499" s="52"/>
      <c r="B1499" s="52"/>
      <c r="C1499" s="52"/>
      <c r="D1499" s="53"/>
      <c r="E1499" s="53"/>
      <c r="F1499" s="53"/>
      <c r="G1499" s="53"/>
      <c r="H1499" s="52"/>
      <c r="I1499" s="52"/>
      <c r="J1499" s="52"/>
      <c r="K1499" s="53"/>
      <c r="L1499" s="52"/>
      <c r="M1499" s="55"/>
      <c r="N1499" s="54"/>
      <c r="O1499" s="52"/>
      <c r="P1499" s="52"/>
      <c r="Q1499" s="52"/>
      <c r="R1499" s="52"/>
      <c r="S1499" s="52"/>
      <c r="T1499" s="52"/>
      <c r="U1499" s="52"/>
      <c r="V1499" s="52"/>
      <c r="W1499" s="52"/>
      <c r="X1499" s="52"/>
      <c r="Y1499" s="52"/>
      <c r="Z1499" s="52"/>
      <c r="AA1499" s="52"/>
      <c r="AB1499" s="52"/>
      <c r="AC1499" s="52"/>
      <c r="AD1499" s="52"/>
      <c r="AE1499" s="52"/>
      <c r="AF1499" s="52"/>
      <c r="AG1499" s="52"/>
      <c r="AH1499" s="52"/>
      <c r="AI1499" s="52"/>
      <c r="AJ1499" s="52"/>
      <c r="AK1499" s="52"/>
      <c r="AL1499" s="55"/>
      <c r="AM1499" s="52"/>
      <c r="AN1499" s="52"/>
      <c r="AO1499" s="52"/>
      <c r="AP1499" s="52"/>
      <c r="AQ1499" s="52"/>
      <c r="AR1499" s="52"/>
      <c r="AS1499" s="52"/>
      <c r="AT1499" s="52"/>
      <c r="AU1499" s="52"/>
      <c r="AV1499" s="52"/>
      <c r="AW1499" s="52"/>
    </row>
    <row r="1500" spans="1:49">
      <c r="A1500" s="52"/>
      <c r="B1500" s="52"/>
      <c r="C1500" s="52"/>
      <c r="D1500" s="53"/>
      <c r="E1500" s="53"/>
      <c r="F1500" s="53"/>
      <c r="G1500" s="53"/>
      <c r="H1500" s="53"/>
      <c r="I1500" s="52"/>
      <c r="J1500" s="52"/>
      <c r="K1500" s="53"/>
      <c r="L1500" s="52"/>
      <c r="M1500" s="54"/>
      <c r="N1500" s="54"/>
      <c r="O1500" s="52"/>
      <c r="P1500" s="52"/>
      <c r="Q1500" s="52"/>
      <c r="R1500" s="52"/>
      <c r="S1500" s="52"/>
      <c r="T1500" s="52"/>
      <c r="U1500" s="52"/>
      <c r="V1500" s="52"/>
      <c r="W1500" s="52"/>
      <c r="X1500" s="52"/>
      <c r="Y1500" s="52"/>
      <c r="Z1500" s="52"/>
      <c r="AA1500" s="52"/>
      <c r="AB1500" s="52"/>
      <c r="AC1500" s="52"/>
      <c r="AD1500" s="52"/>
      <c r="AE1500" s="52"/>
      <c r="AF1500" s="52"/>
      <c r="AG1500" s="52"/>
      <c r="AH1500" s="52"/>
      <c r="AI1500" s="53"/>
      <c r="AJ1500" s="53"/>
      <c r="AK1500" s="53"/>
      <c r="AL1500" s="55"/>
      <c r="AM1500" s="52"/>
      <c r="AN1500" s="55"/>
      <c r="AO1500" s="52"/>
      <c r="AP1500" s="55"/>
      <c r="AQ1500" s="52"/>
      <c r="AR1500" s="52"/>
      <c r="AS1500" s="52"/>
      <c r="AT1500" s="52"/>
      <c r="AU1500" s="52"/>
      <c r="AV1500" s="52"/>
      <c r="AW1500" s="52"/>
    </row>
    <row r="1501" spans="1:49">
      <c r="A1501" s="52"/>
      <c r="B1501" s="52"/>
      <c r="C1501" s="52"/>
      <c r="D1501" s="53"/>
      <c r="E1501" s="53"/>
      <c r="F1501" s="53"/>
      <c r="G1501" s="53"/>
      <c r="H1501" s="53"/>
      <c r="I1501" s="52"/>
      <c r="J1501" s="52"/>
      <c r="K1501" s="53"/>
      <c r="L1501" s="52"/>
      <c r="M1501" s="54"/>
      <c r="N1501" s="54"/>
      <c r="O1501" s="52"/>
      <c r="P1501" s="52"/>
      <c r="Q1501" s="52"/>
      <c r="R1501" s="52"/>
      <c r="S1501" s="52"/>
      <c r="T1501" s="52"/>
      <c r="U1501" s="52"/>
      <c r="V1501" s="52"/>
      <c r="W1501" s="52"/>
      <c r="X1501" s="52"/>
      <c r="Y1501" s="52"/>
      <c r="Z1501" s="52"/>
      <c r="AA1501" s="52"/>
      <c r="AB1501" s="52"/>
      <c r="AC1501" s="52"/>
      <c r="AD1501" s="52"/>
      <c r="AE1501" s="52"/>
      <c r="AF1501" s="52"/>
      <c r="AG1501" s="52"/>
      <c r="AH1501" s="52"/>
      <c r="AI1501" s="53"/>
      <c r="AJ1501" s="53"/>
      <c r="AK1501" s="53"/>
      <c r="AL1501" s="55"/>
      <c r="AM1501" s="52"/>
      <c r="AN1501" s="55"/>
      <c r="AO1501" s="52"/>
      <c r="AP1501" s="55"/>
      <c r="AQ1501" s="52"/>
      <c r="AR1501" s="52"/>
      <c r="AS1501" s="52"/>
      <c r="AT1501" s="52"/>
      <c r="AU1501" s="52"/>
      <c r="AV1501" s="52"/>
      <c r="AW1501" s="52"/>
    </row>
    <row r="1502" spans="1:49">
      <c r="A1502" s="52"/>
      <c r="B1502" s="52"/>
      <c r="C1502" s="52"/>
      <c r="D1502" s="53"/>
      <c r="E1502" s="53"/>
      <c r="F1502" s="53"/>
      <c r="G1502" s="53"/>
      <c r="H1502" s="52"/>
      <c r="I1502" s="52"/>
      <c r="J1502" s="52"/>
      <c r="K1502" s="53"/>
      <c r="L1502" s="52"/>
      <c r="M1502" s="55"/>
      <c r="N1502" s="54"/>
      <c r="O1502" s="52"/>
      <c r="P1502" s="52"/>
      <c r="Q1502" s="52"/>
      <c r="R1502" s="52"/>
      <c r="S1502" s="52"/>
      <c r="T1502" s="52"/>
      <c r="U1502" s="52"/>
      <c r="V1502" s="52"/>
      <c r="W1502" s="52"/>
      <c r="X1502" s="52"/>
      <c r="Y1502" s="52"/>
      <c r="Z1502" s="52"/>
      <c r="AA1502" s="52"/>
      <c r="AB1502" s="52"/>
      <c r="AC1502" s="52"/>
      <c r="AD1502" s="52"/>
      <c r="AE1502" s="52"/>
      <c r="AF1502" s="52"/>
      <c r="AG1502" s="52"/>
      <c r="AH1502" s="52"/>
      <c r="AI1502" s="52"/>
      <c r="AJ1502" s="52"/>
      <c r="AK1502" s="52"/>
      <c r="AL1502" s="52"/>
      <c r="AM1502" s="52"/>
      <c r="AN1502" s="52"/>
      <c r="AO1502" s="52"/>
      <c r="AP1502" s="52"/>
      <c r="AQ1502" s="52"/>
      <c r="AR1502" s="52"/>
      <c r="AS1502" s="52"/>
      <c r="AT1502" s="52"/>
      <c r="AU1502" s="52"/>
      <c r="AV1502" s="52"/>
      <c r="AW1502" s="52"/>
    </row>
    <row r="1503" spans="1:49">
      <c r="A1503" s="52"/>
      <c r="B1503" s="52"/>
      <c r="C1503" s="52"/>
      <c r="D1503" s="53"/>
      <c r="E1503" s="53"/>
      <c r="F1503" s="53"/>
      <c r="G1503" s="53"/>
      <c r="H1503" s="53"/>
      <c r="I1503" s="52"/>
      <c r="J1503" s="52"/>
      <c r="K1503" s="53"/>
      <c r="L1503" s="52"/>
      <c r="M1503" s="54"/>
      <c r="N1503" s="54"/>
      <c r="O1503" s="52"/>
      <c r="P1503" s="52"/>
      <c r="Q1503" s="52"/>
      <c r="R1503" s="52"/>
      <c r="S1503" s="52"/>
      <c r="T1503" s="52"/>
      <c r="U1503" s="52"/>
      <c r="V1503" s="52"/>
      <c r="W1503" s="52"/>
      <c r="X1503" s="52"/>
      <c r="Y1503" s="52"/>
      <c r="Z1503" s="52"/>
      <c r="AA1503" s="52"/>
      <c r="AB1503" s="52"/>
      <c r="AC1503" s="52"/>
      <c r="AD1503" s="52"/>
      <c r="AE1503" s="52"/>
      <c r="AF1503" s="52"/>
      <c r="AG1503" s="52"/>
      <c r="AH1503" s="52"/>
      <c r="AI1503" s="52"/>
      <c r="AJ1503" s="52"/>
      <c r="AK1503" s="52"/>
      <c r="AL1503" s="55"/>
      <c r="AM1503" s="52"/>
      <c r="AN1503" s="52"/>
      <c r="AO1503" s="52"/>
      <c r="AP1503" s="55"/>
      <c r="AQ1503" s="52"/>
      <c r="AR1503" s="52"/>
      <c r="AS1503" s="52"/>
      <c r="AT1503" s="52"/>
      <c r="AU1503" s="52"/>
      <c r="AV1503" s="52"/>
      <c r="AW1503" s="52"/>
    </row>
    <row r="1504" spans="1:49">
      <c r="A1504" s="52"/>
      <c r="B1504" s="52"/>
      <c r="C1504" s="52"/>
      <c r="D1504" s="53"/>
      <c r="E1504" s="53"/>
      <c r="F1504" s="53"/>
      <c r="G1504" s="53"/>
      <c r="H1504" s="53"/>
      <c r="I1504" s="52"/>
      <c r="J1504" s="52"/>
      <c r="K1504" s="53"/>
      <c r="L1504" s="52"/>
      <c r="M1504" s="54"/>
      <c r="N1504" s="54"/>
      <c r="O1504" s="52"/>
      <c r="P1504" s="52"/>
      <c r="Q1504" s="52"/>
      <c r="R1504" s="52"/>
      <c r="S1504" s="52"/>
      <c r="T1504" s="52"/>
      <c r="U1504" s="52"/>
      <c r="V1504" s="52"/>
      <c r="W1504" s="52"/>
      <c r="X1504" s="52"/>
      <c r="Y1504" s="52"/>
      <c r="Z1504" s="52"/>
      <c r="AA1504" s="52"/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5"/>
      <c r="AM1504" s="52"/>
      <c r="AN1504" s="52"/>
      <c r="AO1504" s="52"/>
      <c r="AP1504" s="55"/>
      <c r="AQ1504" s="52"/>
      <c r="AR1504" s="52"/>
      <c r="AS1504" s="52"/>
      <c r="AT1504" s="52"/>
      <c r="AU1504" s="52"/>
      <c r="AV1504" s="52"/>
      <c r="AW1504" s="52"/>
    </row>
    <row r="1505" spans="1:49">
      <c r="A1505" s="52"/>
      <c r="B1505" s="52"/>
      <c r="C1505" s="52"/>
      <c r="D1505" s="53"/>
      <c r="E1505" s="53"/>
      <c r="F1505" s="53"/>
      <c r="G1505" s="53"/>
      <c r="H1505" s="52"/>
      <c r="I1505" s="52"/>
      <c r="J1505" s="52"/>
      <c r="K1505" s="53"/>
      <c r="L1505" s="52"/>
      <c r="M1505" s="55"/>
      <c r="N1505" s="54"/>
      <c r="O1505" s="52"/>
      <c r="P1505" s="52"/>
      <c r="Q1505" s="52"/>
      <c r="R1505" s="52"/>
      <c r="S1505" s="52"/>
      <c r="T1505" s="52"/>
      <c r="U1505" s="52"/>
      <c r="V1505" s="52"/>
      <c r="W1505" s="52"/>
      <c r="X1505" s="52"/>
      <c r="Y1505" s="52"/>
      <c r="Z1505" s="52"/>
      <c r="AA1505" s="52"/>
      <c r="AB1505" s="52"/>
      <c r="AC1505" s="52"/>
      <c r="AD1505" s="52"/>
      <c r="AE1505" s="52"/>
      <c r="AF1505" s="52"/>
      <c r="AG1505" s="52"/>
      <c r="AH1505" s="52"/>
      <c r="AI1505" s="52"/>
      <c r="AJ1505" s="52"/>
      <c r="AK1505" s="52"/>
      <c r="AL1505" s="55"/>
      <c r="AM1505" s="52"/>
      <c r="AN1505" s="52"/>
      <c r="AO1505" s="52"/>
      <c r="AP1505" s="52"/>
      <c r="AQ1505" s="52"/>
      <c r="AR1505" s="52"/>
      <c r="AS1505" s="52"/>
      <c r="AT1505" s="52"/>
      <c r="AU1505" s="52"/>
      <c r="AV1505" s="52"/>
      <c r="AW1505" s="52"/>
    </row>
    <row r="1506" spans="1:49">
      <c r="A1506" s="52"/>
      <c r="B1506" s="52"/>
      <c r="C1506" s="52"/>
      <c r="D1506" s="53"/>
      <c r="E1506" s="53"/>
      <c r="F1506" s="53"/>
      <c r="G1506" s="53"/>
      <c r="H1506" s="53"/>
      <c r="I1506" s="52"/>
      <c r="J1506" s="52"/>
      <c r="K1506" s="53"/>
      <c r="L1506" s="52"/>
      <c r="M1506" s="54"/>
      <c r="N1506" s="54"/>
      <c r="O1506" s="52"/>
      <c r="P1506" s="52"/>
      <c r="Q1506" s="52"/>
      <c r="R1506" s="52"/>
      <c r="S1506" s="52"/>
      <c r="T1506" s="52"/>
      <c r="U1506" s="52"/>
      <c r="V1506" s="52"/>
      <c r="W1506" s="52"/>
      <c r="X1506" s="52"/>
      <c r="Y1506" s="52"/>
      <c r="Z1506" s="52"/>
      <c r="AA1506" s="52"/>
      <c r="AB1506" s="52"/>
      <c r="AC1506" s="52"/>
      <c r="AD1506" s="52"/>
      <c r="AE1506" s="52"/>
      <c r="AF1506" s="52"/>
      <c r="AG1506" s="52"/>
      <c r="AH1506" s="52"/>
      <c r="AI1506" s="53"/>
      <c r="AJ1506" s="53"/>
      <c r="AK1506" s="53"/>
      <c r="AL1506" s="55"/>
      <c r="AM1506" s="52"/>
      <c r="AN1506" s="55"/>
      <c r="AO1506" s="52"/>
      <c r="AP1506" s="55"/>
      <c r="AQ1506" s="52"/>
      <c r="AR1506" s="52"/>
      <c r="AS1506" s="52"/>
      <c r="AT1506" s="52"/>
      <c r="AU1506" s="52"/>
      <c r="AV1506" s="52"/>
      <c r="AW1506" s="52"/>
    </row>
    <row r="1507" spans="1:49">
      <c r="A1507" s="52"/>
      <c r="B1507" s="52"/>
      <c r="C1507" s="52"/>
      <c r="D1507" s="53"/>
      <c r="E1507" s="53"/>
      <c r="F1507" s="53"/>
      <c r="G1507" s="53"/>
      <c r="H1507" s="53"/>
      <c r="I1507" s="52"/>
      <c r="J1507" s="52"/>
      <c r="K1507" s="53"/>
      <c r="L1507" s="52"/>
      <c r="M1507" s="54"/>
      <c r="N1507" s="54"/>
      <c r="O1507" s="52"/>
      <c r="P1507" s="52"/>
      <c r="Q1507" s="52"/>
      <c r="R1507" s="52"/>
      <c r="S1507" s="52"/>
      <c r="T1507" s="52"/>
      <c r="U1507" s="52"/>
      <c r="V1507" s="52"/>
      <c r="W1507" s="52"/>
      <c r="X1507" s="52"/>
      <c r="Y1507" s="52"/>
      <c r="Z1507" s="52"/>
      <c r="AA1507" s="52"/>
      <c r="AB1507" s="52"/>
      <c r="AC1507" s="52"/>
      <c r="AD1507" s="52"/>
      <c r="AE1507" s="52"/>
      <c r="AF1507" s="52"/>
      <c r="AG1507" s="52"/>
      <c r="AH1507" s="52"/>
      <c r="AI1507" s="53"/>
      <c r="AJ1507" s="53"/>
      <c r="AK1507" s="53"/>
      <c r="AL1507" s="55"/>
      <c r="AM1507" s="52"/>
      <c r="AN1507" s="55"/>
      <c r="AO1507" s="52"/>
      <c r="AP1507" s="55"/>
      <c r="AQ1507" s="52"/>
      <c r="AR1507" s="52"/>
      <c r="AS1507" s="52"/>
      <c r="AT1507" s="52"/>
      <c r="AU1507" s="52"/>
      <c r="AV1507" s="52"/>
      <c r="AW1507" s="52"/>
    </row>
    <row r="1508" spans="1:49">
      <c r="A1508" s="52"/>
      <c r="B1508" s="52"/>
      <c r="C1508" s="52"/>
      <c r="D1508" s="53"/>
      <c r="E1508" s="53"/>
      <c r="F1508" s="53"/>
      <c r="G1508" s="53"/>
      <c r="H1508" s="53"/>
      <c r="I1508" s="52"/>
      <c r="J1508" s="52"/>
      <c r="K1508" s="52"/>
      <c r="L1508" s="52"/>
      <c r="M1508" s="55"/>
      <c r="N1508" s="54"/>
      <c r="O1508" s="52"/>
      <c r="P1508" s="52"/>
      <c r="Q1508" s="52"/>
      <c r="R1508" s="52"/>
      <c r="S1508" s="52"/>
      <c r="T1508" s="52"/>
      <c r="U1508" s="52"/>
      <c r="V1508" s="52"/>
      <c r="W1508" s="52"/>
      <c r="X1508" s="52"/>
      <c r="Y1508" s="52"/>
      <c r="Z1508" s="52"/>
      <c r="AA1508" s="52"/>
      <c r="AB1508" s="52"/>
      <c r="AC1508" s="52"/>
      <c r="AD1508" s="52"/>
      <c r="AE1508" s="52"/>
      <c r="AF1508" s="52"/>
      <c r="AG1508" s="52"/>
      <c r="AH1508" s="52"/>
      <c r="AI1508" s="52"/>
      <c r="AJ1508" s="52"/>
      <c r="AK1508" s="52"/>
      <c r="AL1508" s="55"/>
      <c r="AM1508" s="52"/>
      <c r="AN1508" s="52"/>
      <c r="AO1508" s="52"/>
      <c r="AP1508" s="52"/>
      <c r="AQ1508" s="52"/>
      <c r="AR1508" s="52"/>
      <c r="AS1508" s="52"/>
      <c r="AT1508" s="52"/>
      <c r="AU1508" s="52"/>
      <c r="AV1508" s="52"/>
      <c r="AW1508" s="52"/>
    </row>
    <row r="1509" spans="1:49">
      <c r="A1509" s="52"/>
      <c r="B1509" s="52"/>
      <c r="C1509" s="52"/>
      <c r="D1509" s="53"/>
      <c r="E1509" s="53"/>
      <c r="F1509" s="53"/>
      <c r="G1509" s="53"/>
      <c r="H1509" s="53"/>
      <c r="I1509" s="52"/>
      <c r="J1509" s="52"/>
      <c r="K1509" s="53"/>
      <c r="L1509" s="52"/>
      <c r="M1509" s="55"/>
      <c r="N1509" s="54"/>
      <c r="O1509" s="52"/>
      <c r="P1509" s="52"/>
      <c r="Q1509" s="52"/>
      <c r="R1509" s="52"/>
      <c r="S1509" s="52"/>
      <c r="T1509" s="52"/>
      <c r="U1509" s="52"/>
      <c r="V1509" s="52"/>
      <c r="W1509" s="52"/>
      <c r="X1509" s="52"/>
      <c r="Y1509" s="52"/>
      <c r="Z1509" s="52"/>
      <c r="AA1509" s="52"/>
      <c r="AB1509" s="52"/>
      <c r="AC1509" s="52"/>
      <c r="AD1509" s="52"/>
      <c r="AE1509" s="52"/>
      <c r="AF1509" s="52"/>
      <c r="AG1509" s="52"/>
      <c r="AH1509" s="52"/>
      <c r="AI1509" s="53"/>
      <c r="AJ1509" s="53"/>
      <c r="AK1509" s="53"/>
      <c r="AL1509" s="55"/>
      <c r="AM1509" s="52"/>
      <c r="AN1509" s="55"/>
      <c r="AO1509" s="52"/>
      <c r="AP1509" s="55"/>
      <c r="AQ1509" s="52"/>
      <c r="AR1509" s="52"/>
      <c r="AS1509" s="52"/>
      <c r="AT1509" s="52"/>
      <c r="AU1509" s="52"/>
      <c r="AV1509" s="52"/>
      <c r="AW1509" s="52"/>
    </row>
    <row r="1510" spans="1:49">
      <c r="A1510" s="52"/>
      <c r="B1510" s="52"/>
      <c r="C1510" s="52"/>
      <c r="D1510" s="53"/>
      <c r="E1510" s="53"/>
      <c r="F1510" s="53"/>
      <c r="G1510" s="53"/>
      <c r="H1510" s="53"/>
      <c r="I1510" s="52"/>
      <c r="J1510" s="52"/>
      <c r="K1510" s="53"/>
      <c r="L1510" s="52"/>
      <c r="M1510" s="55"/>
      <c r="N1510" s="54"/>
      <c r="O1510" s="52"/>
      <c r="P1510" s="52"/>
      <c r="Q1510" s="52"/>
      <c r="R1510" s="52"/>
      <c r="S1510" s="52"/>
      <c r="T1510" s="52"/>
      <c r="U1510" s="52"/>
      <c r="V1510" s="52"/>
      <c r="W1510" s="52"/>
      <c r="X1510" s="52"/>
      <c r="Y1510" s="52"/>
      <c r="Z1510" s="52"/>
      <c r="AA1510" s="52"/>
      <c r="AB1510" s="52"/>
      <c r="AC1510" s="52"/>
      <c r="AD1510" s="52"/>
      <c r="AE1510" s="52"/>
      <c r="AF1510" s="52"/>
      <c r="AG1510" s="52"/>
      <c r="AH1510" s="52"/>
      <c r="AI1510" s="53"/>
      <c r="AJ1510" s="53"/>
      <c r="AK1510" s="53"/>
      <c r="AL1510" s="55"/>
      <c r="AM1510" s="52"/>
      <c r="AN1510" s="55"/>
      <c r="AO1510" s="52"/>
      <c r="AP1510" s="55"/>
      <c r="AQ1510" s="52"/>
      <c r="AR1510" s="52"/>
      <c r="AS1510" s="52"/>
      <c r="AT1510" s="52"/>
      <c r="AU1510" s="52"/>
      <c r="AV1510" s="52"/>
      <c r="AW1510" s="52"/>
    </row>
    <row r="1511" spans="1:49">
      <c r="A1511" s="52"/>
      <c r="B1511" s="52"/>
      <c r="C1511" s="52"/>
      <c r="D1511" s="53"/>
      <c r="E1511" s="53"/>
      <c r="F1511" s="53"/>
      <c r="G1511" s="53"/>
      <c r="H1511" s="52"/>
      <c r="I1511" s="52"/>
      <c r="J1511" s="52"/>
      <c r="K1511" s="53"/>
      <c r="L1511" s="52"/>
      <c r="M1511" s="55"/>
      <c r="N1511" s="54"/>
      <c r="O1511" s="52"/>
      <c r="P1511" s="52"/>
      <c r="Q1511" s="52"/>
      <c r="R1511" s="52"/>
      <c r="S1511" s="52"/>
      <c r="T1511" s="52"/>
      <c r="U1511" s="52"/>
      <c r="V1511" s="52"/>
      <c r="W1511" s="52"/>
      <c r="X1511" s="52"/>
      <c r="Y1511" s="52"/>
      <c r="Z1511" s="52"/>
      <c r="AA1511" s="52"/>
      <c r="AB1511" s="52"/>
      <c r="AC1511" s="52"/>
      <c r="AD1511" s="52"/>
      <c r="AE1511" s="52"/>
      <c r="AF1511" s="52"/>
      <c r="AG1511" s="52"/>
      <c r="AH1511" s="52"/>
      <c r="AI1511" s="52"/>
      <c r="AJ1511" s="52"/>
      <c r="AK1511" s="52"/>
      <c r="AL1511" s="52"/>
      <c r="AM1511" s="52"/>
      <c r="AN1511" s="52"/>
      <c r="AO1511" s="52"/>
      <c r="AP1511" s="52"/>
      <c r="AQ1511" s="52"/>
      <c r="AR1511" s="52"/>
      <c r="AS1511" s="52"/>
      <c r="AT1511" s="52"/>
      <c r="AU1511" s="52"/>
      <c r="AV1511" s="52"/>
      <c r="AW1511" s="52"/>
    </row>
    <row r="1512" spans="1:49">
      <c r="A1512" s="52"/>
      <c r="B1512" s="52"/>
      <c r="C1512" s="52"/>
      <c r="D1512" s="53"/>
      <c r="E1512" s="53"/>
      <c r="F1512" s="53"/>
      <c r="G1512" s="53"/>
      <c r="H1512" s="53"/>
      <c r="I1512" s="52"/>
      <c r="J1512" s="52"/>
      <c r="K1512" s="53"/>
      <c r="L1512" s="52"/>
      <c r="M1512" s="54"/>
      <c r="N1512" s="54"/>
      <c r="O1512" s="52"/>
      <c r="P1512" s="52"/>
      <c r="Q1512" s="52"/>
      <c r="R1512" s="52"/>
      <c r="S1512" s="52"/>
      <c r="T1512" s="52"/>
      <c r="U1512" s="52"/>
      <c r="V1512" s="52"/>
      <c r="W1512" s="52"/>
      <c r="X1512" s="52"/>
      <c r="Y1512" s="52"/>
      <c r="Z1512" s="52"/>
      <c r="AA1512" s="52"/>
      <c r="AB1512" s="52"/>
      <c r="AC1512" s="52"/>
      <c r="AD1512" s="52"/>
      <c r="AE1512" s="52"/>
      <c r="AF1512" s="52"/>
      <c r="AG1512" s="52"/>
      <c r="AH1512" s="52"/>
      <c r="AI1512" s="52"/>
      <c r="AJ1512" s="52"/>
      <c r="AK1512" s="52"/>
      <c r="AL1512" s="55"/>
      <c r="AM1512" s="52"/>
      <c r="AN1512" s="52"/>
      <c r="AO1512" s="52"/>
      <c r="AP1512" s="55"/>
      <c r="AQ1512" s="52"/>
      <c r="AR1512" s="52"/>
      <c r="AS1512" s="52"/>
      <c r="AT1512" s="52"/>
      <c r="AU1512" s="52"/>
      <c r="AV1512" s="52"/>
      <c r="AW1512" s="52"/>
    </row>
    <row r="1513" spans="1:49">
      <c r="A1513" s="52"/>
      <c r="B1513" s="52"/>
      <c r="C1513" s="52"/>
      <c r="D1513" s="53"/>
      <c r="E1513" s="53"/>
      <c r="F1513" s="53"/>
      <c r="G1513" s="53"/>
      <c r="H1513" s="53"/>
      <c r="I1513" s="52"/>
      <c r="J1513" s="52"/>
      <c r="K1513" s="53"/>
      <c r="L1513" s="52"/>
      <c r="M1513" s="54"/>
      <c r="N1513" s="54"/>
      <c r="O1513" s="52"/>
      <c r="P1513" s="52"/>
      <c r="Q1513" s="52"/>
      <c r="R1513" s="52"/>
      <c r="S1513" s="52"/>
      <c r="T1513" s="52"/>
      <c r="U1513" s="52"/>
      <c r="V1513" s="52"/>
      <c r="W1513" s="52"/>
      <c r="X1513" s="52"/>
      <c r="Y1513" s="52"/>
      <c r="Z1513" s="52"/>
      <c r="AA1513" s="52"/>
      <c r="AB1513" s="52"/>
      <c r="AC1513" s="52"/>
      <c r="AD1513" s="52"/>
      <c r="AE1513" s="52"/>
      <c r="AF1513" s="52"/>
      <c r="AG1513" s="52"/>
      <c r="AH1513" s="52"/>
      <c r="AI1513" s="52"/>
      <c r="AJ1513" s="52"/>
      <c r="AK1513" s="52"/>
      <c r="AL1513" s="55"/>
      <c r="AM1513" s="52"/>
      <c r="AN1513" s="52"/>
      <c r="AO1513" s="52"/>
      <c r="AP1513" s="55"/>
      <c r="AQ1513" s="52"/>
      <c r="AR1513" s="52"/>
      <c r="AS1513" s="52"/>
      <c r="AT1513" s="52"/>
      <c r="AU1513" s="52"/>
      <c r="AV1513" s="52"/>
      <c r="AW1513" s="52"/>
    </row>
    <row r="1514" spans="1:49">
      <c r="A1514" s="52"/>
      <c r="B1514" s="52"/>
      <c r="C1514" s="52"/>
      <c r="D1514" s="53"/>
      <c r="E1514" s="53"/>
      <c r="F1514" s="53"/>
      <c r="G1514" s="53"/>
      <c r="H1514" s="53"/>
      <c r="I1514" s="52"/>
      <c r="J1514" s="52"/>
      <c r="K1514" s="53"/>
      <c r="L1514" s="52"/>
      <c r="M1514" s="54"/>
      <c r="N1514" s="54"/>
      <c r="O1514" s="52"/>
      <c r="P1514" s="52"/>
      <c r="Q1514" s="52"/>
      <c r="R1514" s="52"/>
      <c r="S1514" s="52"/>
      <c r="T1514" s="52"/>
      <c r="U1514" s="52"/>
      <c r="V1514" s="52"/>
      <c r="W1514" s="52"/>
      <c r="X1514" s="52"/>
      <c r="Y1514" s="52"/>
      <c r="Z1514" s="52"/>
      <c r="AA1514" s="52"/>
      <c r="AB1514" s="52"/>
      <c r="AC1514" s="52"/>
      <c r="AD1514" s="52"/>
      <c r="AE1514" s="52"/>
      <c r="AF1514" s="52"/>
      <c r="AG1514" s="52"/>
      <c r="AH1514" s="52"/>
      <c r="AI1514" s="52"/>
      <c r="AJ1514" s="52"/>
      <c r="AK1514" s="52"/>
      <c r="AL1514" s="55"/>
      <c r="AM1514" s="52"/>
      <c r="AN1514" s="52"/>
      <c r="AO1514" s="52"/>
      <c r="AP1514" s="55"/>
      <c r="AQ1514" s="52"/>
      <c r="AR1514" s="52"/>
      <c r="AS1514" s="52"/>
      <c r="AT1514" s="52"/>
      <c r="AU1514" s="52"/>
      <c r="AV1514" s="52"/>
      <c r="AW1514" s="52"/>
    </row>
    <row r="1515" spans="1:49">
      <c r="A1515" s="52"/>
      <c r="B1515" s="52"/>
      <c r="C1515" s="52"/>
      <c r="D1515" s="53"/>
      <c r="E1515" s="53"/>
      <c r="F1515" s="53"/>
      <c r="G1515" s="53"/>
      <c r="H1515" s="53"/>
      <c r="I1515" s="52"/>
      <c r="J1515" s="52"/>
      <c r="K1515" s="53"/>
      <c r="L1515" s="52"/>
      <c r="M1515" s="54"/>
      <c r="N1515" s="54"/>
      <c r="O1515" s="52"/>
      <c r="P1515" s="52"/>
      <c r="Q1515" s="52"/>
      <c r="R1515" s="52"/>
      <c r="S1515" s="52"/>
      <c r="T1515" s="52"/>
      <c r="U1515" s="52"/>
      <c r="V1515" s="52"/>
      <c r="W1515" s="52"/>
      <c r="X1515" s="52"/>
      <c r="Y1515" s="52"/>
      <c r="Z1515" s="52"/>
      <c r="AA1515" s="52"/>
      <c r="AB1515" s="52"/>
      <c r="AC1515" s="52"/>
      <c r="AD1515" s="52"/>
      <c r="AE1515" s="52"/>
      <c r="AF1515" s="52"/>
      <c r="AG1515" s="52"/>
      <c r="AH1515" s="52"/>
      <c r="AI1515" s="52"/>
      <c r="AJ1515" s="52"/>
      <c r="AK1515" s="52"/>
      <c r="AL1515" s="55"/>
      <c r="AM1515" s="52"/>
      <c r="AN1515" s="52"/>
      <c r="AO1515" s="52"/>
      <c r="AP1515" s="55"/>
      <c r="AQ1515" s="52"/>
      <c r="AR1515" s="52"/>
      <c r="AS1515" s="52"/>
      <c r="AT1515" s="52"/>
      <c r="AU1515" s="52"/>
      <c r="AV1515" s="52"/>
      <c r="AW1515" s="52"/>
    </row>
    <row r="1516" spans="1:49">
      <c r="A1516" s="52"/>
      <c r="B1516" s="52"/>
      <c r="C1516" s="52"/>
      <c r="D1516" s="53"/>
      <c r="E1516" s="53"/>
      <c r="F1516" s="53"/>
      <c r="G1516" s="53"/>
      <c r="H1516" s="52"/>
      <c r="I1516" s="52"/>
      <c r="J1516" s="52"/>
      <c r="K1516" s="53"/>
      <c r="L1516" s="52"/>
      <c r="M1516" s="55"/>
      <c r="N1516" s="54"/>
      <c r="O1516" s="52"/>
      <c r="P1516" s="52"/>
      <c r="Q1516" s="52"/>
      <c r="R1516" s="52"/>
      <c r="S1516" s="52"/>
      <c r="T1516" s="52"/>
      <c r="U1516" s="52"/>
      <c r="V1516" s="52"/>
      <c r="W1516" s="52"/>
      <c r="X1516" s="52"/>
      <c r="Y1516" s="52"/>
      <c r="Z1516" s="52"/>
      <c r="AA1516" s="52"/>
      <c r="AB1516" s="52"/>
      <c r="AC1516" s="52"/>
      <c r="AD1516" s="52"/>
      <c r="AE1516" s="52"/>
      <c r="AF1516" s="52"/>
      <c r="AG1516" s="52"/>
      <c r="AH1516" s="52"/>
      <c r="AI1516" s="52"/>
      <c r="AJ1516" s="52"/>
      <c r="AK1516" s="52"/>
      <c r="AL1516" s="55"/>
      <c r="AM1516" s="52"/>
      <c r="AN1516" s="52"/>
      <c r="AO1516" s="52"/>
      <c r="AP1516" s="52"/>
      <c r="AQ1516" s="52"/>
      <c r="AR1516" s="52"/>
      <c r="AS1516" s="52"/>
      <c r="AT1516" s="52"/>
      <c r="AU1516" s="52"/>
      <c r="AV1516" s="52"/>
      <c r="AW1516" s="52"/>
    </row>
    <row r="1517" spans="1:49">
      <c r="A1517" s="52"/>
      <c r="B1517" s="52"/>
      <c r="C1517" s="52"/>
      <c r="D1517" s="53"/>
      <c r="E1517" s="53"/>
      <c r="F1517" s="53"/>
      <c r="G1517" s="53"/>
      <c r="H1517" s="53"/>
      <c r="I1517" s="52"/>
      <c r="J1517" s="52"/>
      <c r="K1517" s="53"/>
      <c r="L1517" s="52"/>
      <c r="M1517" s="54"/>
      <c r="N1517" s="54"/>
      <c r="O1517" s="52"/>
      <c r="P1517" s="52"/>
      <c r="Q1517" s="52"/>
      <c r="R1517" s="52"/>
      <c r="S1517" s="52"/>
      <c r="T1517" s="52"/>
      <c r="U1517" s="52"/>
      <c r="V1517" s="52"/>
      <c r="W1517" s="52"/>
      <c r="X1517" s="52"/>
      <c r="Y1517" s="52"/>
      <c r="Z1517" s="52"/>
      <c r="AA1517" s="52"/>
      <c r="AB1517" s="52"/>
      <c r="AC1517" s="52"/>
      <c r="AD1517" s="52"/>
      <c r="AE1517" s="52"/>
      <c r="AF1517" s="52"/>
      <c r="AG1517" s="52"/>
      <c r="AH1517" s="52"/>
      <c r="AI1517" s="53"/>
      <c r="AJ1517" s="53"/>
      <c r="AK1517" s="53"/>
      <c r="AL1517" s="55"/>
      <c r="AM1517" s="52"/>
      <c r="AN1517" s="55"/>
      <c r="AO1517" s="52"/>
      <c r="AP1517" s="55"/>
      <c r="AQ1517" s="52"/>
      <c r="AR1517" s="52"/>
      <c r="AS1517" s="52"/>
      <c r="AT1517" s="52"/>
      <c r="AU1517" s="52"/>
      <c r="AV1517" s="52"/>
      <c r="AW1517" s="52"/>
    </row>
    <row r="1518" spans="1:49">
      <c r="A1518" s="52"/>
      <c r="B1518" s="52"/>
      <c r="C1518" s="52"/>
      <c r="D1518" s="53"/>
      <c r="E1518" s="53"/>
      <c r="F1518" s="53"/>
      <c r="G1518" s="53"/>
      <c r="H1518" s="53"/>
      <c r="I1518" s="52"/>
      <c r="J1518" s="52"/>
      <c r="K1518" s="53"/>
      <c r="L1518" s="52"/>
      <c r="M1518" s="54"/>
      <c r="N1518" s="54"/>
      <c r="O1518" s="52"/>
      <c r="P1518" s="52"/>
      <c r="Q1518" s="52"/>
      <c r="R1518" s="52"/>
      <c r="S1518" s="52"/>
      <c r="T1518" s="52"/>
      <c r="U1518" s="52"/>
      <c r="V1518" s="52"/>
      <c r="W1518" s="52"/>
      <c r="X1518" s="52"/>
      <c r="Y1518" s="52"/>
      <c r="Z1518" s="52"/>
      <c r="AA1518" s="52"/>
      <c r="AB1518" s="52"/>
      <c r="AC1518" s="52"/>
      <c r="AD1518" s="52"/>
      <c r="AE1518" s="52"/>
      <c r="AF1518" s="52"/>
      <c r="AG1518" s="52"/>
      <c r="AH1518" s="52"/>
      <c r="AI1518" s="53"/>
      <c r="AJ1518" s="53"/>
      <c r="AK1518" s="53"/>
      <c r="AL1518" s="55"/>
      <c r="AM1518" s="52"/>
      <c r="AN1518" s="55"/>
      <c r="AO1518" s="52"/>
      <c r="AP1518" s="55"/>
      <c r="AQ1518" s="52"/>
      <c r="AR1518" s="52"/>
      <c r="AS1518" s="52"/>
      <c r="AT1518" s="52"/>
      <c r="AU1518" s="52"/>
      <c r="AV1518" s="52"/>
      <c r="AW1518" s="52"/>
    </row>
    <row r="1519" spans="1:49">
      <c r="A1519" s="52"/>
      <c r="B1519" s="52"/>
      <c r="C1519" s="52"/>
      <c r="D1519" s="53"/>
      <c r="E1519" s="53"/>
      <c r="F1519" s="52"/>
      <c r="G1519" s="52"/>
      <c r="H1519" s="52"/>
      <c r="I1519" s="52"/>
      <c r="J1519" s="52"/>
      <c r="K1519" s="52"/>
      <c r="L1519" s="52"/>
      <c r="M1519" s="54"/>
      <c r="N1519" s="54"/>
      <c r="O1519" s="52"/>
      <c r="P1519" s="52"/>
      <c r="Q1519" s="52"/>
      <c r="R1519" s="52"/>
      <c r="S1519" s="52"/>
      <c r="T1519" s="52"/>
      <c r="U1519" s="52"/>
      <c r="V1519" s="52"/>
      <c r="W1519" s="52"/>
      <c r="X1519" s="52"/>
      <c r="Y1519" s="52"/>
      <c r="Z1519" s="52"/>
      <c r="AA1519" s="52"/>
      <c r="AB1519" s="52"/>
      <c r="AC1519" s="52"/>
      <c r="AD1519" s="52"/>
      <c r="AE1519" s="52"/>
      <c r="AF1519" s="52"/>
      <c r="AG1519" s="52"/>
      <c r="AH1519" s="52"/>
      <c r="AI1519" s="52"/>
      <c r="AJ1519" s="52"/>
      <c r="AK1519" s="52"/>
      <c r="AL1519" s="52"/>
      <c r="AM1519" s="52"/>
      <c r="AN1519" s="52"/>
      <c r="AO1519" s="52"/>
      <c r="AP1519" s="52"/>
      <c r="AQ1519" s="52"/>
      <c r="AR1519" s="52"/>
      <c r="AS1519" s="52"/>
      <c r="AT1519" s="52"/>
      <c r="AU1519" s="52"/>
      <c r="AV1519" s="52"/>
      <c r="AW1519" s="52"/>
    </row>
    <row r="1520" spans="1:49">
      <c r="A1520" s="52"/>
      <c r="B1520" s="52"/>
      <c r="C1520" s="52"/>
      <c r="D1520" s="53"/>
      <c r="E1520" s="53"/>
      <c r="F1520" s="52"/>
      <c r="G1520" s="52"/>
      <c r="H1520" s="52"/>
      <c r="I1520" s="52"/>
      <c r="J1520" s="52"/>
      <c r="K1520" s="52"/>
      <c r="L1520" s="52"/>
      <c r="M1520" s="52"/>
      <c r="N1520" s="52"/>
      <c r="O1520" s="52"/>
      <c r="P1520" s="52"/>
      <c r="Q1520" s="52"/>
      <c r="R1520" s="52"/>
      <c r="S1520" s="52"/>
      <c r="T1520" s="52"/>
      <c r="U1520" s="52"/>
      <c r="V1520" s="52"/>
      <c r="W1520" s="52"/>
      <c r="X1520" s="52"/>
      <c r="Y1520" s="52"/>
      <c r="Z1520" s="52"/>
      <c r="AA1520" s="52"/>
      <c r="AB1520" s="52"/>
      <c r="AC1520" s="52"/>
      <c r="AD1520" s="52"/>
      <c r="AE1520" s="52"/>
      <c r="AF1520" s="52"/>
      <c r="AG1520" s="52"/>
      <c r="AH1520" s="52"/>
      <c r="AI1520" s="52"/>
      <c r="AJ1520" s="52"/>
      <c r="AK1520" s="52"/>
      <c r="AL1520" s="52"/>
      <c r="AM1520" s="52"/>
      <c r="AN1520" s="52"/>
      <c r="AO1520" s="52"/>
      <c r="AP1520" s="52"/>
      <c r="AQ1520" s="52"/>
      <c r="AR1520" s="52"/>
      <c r="AS1520" s="52"/>
      <c r="AT1520" s="52"/>
      <c r="AU1520" s="52"/>
      <c r="AV1520" s="52"/>
      <c r="AW1520" s="52"/>
    </row>
    <row r="1521" spans="1:49">
      <c r="A1521" s="52"/>
      <c r="B1521" s="52"/>
      <c r="C1521" s="52"/>
      <c r="D1521" s="53"/>
      <c r="E1521" s="53"/>
      <c r="F1521" s="52"/>
      <c r="G1521" s="52"/>
      <c r="H1521" s="52"/>
      <c r="I1521" s="52"/>
      <c r="J1521" s="52"/>
      <c r="K1521" s="52"/>
      <c r="L1521" s="52"/>
      <c r="M1521" s="54"/>
      <c r="N1521" s="54"/>
      <c r="O1521" s="52"/>
      <c r="P1521" s="52"/>
      <c r="Q1521" s="52"/>
      <c r="R1521" s="52"/>
      <c r="S1521" s="52"/>
      <c r="T1521" s="52"/>
      <c r="U1521" s="52"/>
      <c r="V1521" s="52"/>
      <c r="W1521" s="52"/>
      <c r="X1521" s="52"/>
      <c r="Y1521" s="52"/>
      <c r="Z1521" s="52"/>
      <c r="AA1521" s="52"/>
      <c r="AB1521" s="52"/>
      <c r="AC1521" s="52"/>
      <c r="AD1521" s="52"/>
      <c r="AE1521" s="52"/>
      <c r="AF1521" s="52"/>
      <c r="AG1521" s="52"/>
      <c r="AH1521" s="52"/>
      <c r="AI1521" s="52"/>
      <c r="AJ1521" s="52"/>
      <c r="AK1521" s="52"/>
      <c r="AL1521" s="52"/>
      <c r="AM1521" s="52"/>
      <c r="AN1521" s="52"/>
      <c r="AO1521" s="52"/>
      <c r="AP1521" s="52"/>
      <c r="AQ1521" s="52"/>
      <c r="AR1521" s="52"/>
      <c r="AS1521" s="52"/>
      <c r="AT1521" s="52"/>
      <c r="AU1521" s="52"/>
      <c r="AV1521" s="52"/>
      <c r="AW1521" s="52"/>
    </row>
    <row r="1522" spans="1:49">
      <c r="A1522" s="52"/>
      <c r="B1522" s="52"/>
      <c r="C1522" s="52"/>
      <c r="D1522" s="53"/>
      <c r="E1522" s="53"/>
      <c r="F1522" s="52"/>
      <c r="G1522" s="52"/>
      <c r="H1522" s="52"/>
      <c r="I1522" s="52"/>
      <c r="J1522" s="52"/>
      <c r="K1522" s="52"/>
      <c r="L1522" s="52"/>
      <c r="M1522" s="52"/>
      <c r="N1522" s="52"/>
      <c r="O1522" s="52"/>
      <c r="P1522" s="52"/>
      <c r="Q1522" s="52"/>
      <c r="R1522" s="52"/>
      <c r="S1522" s="52"/>
      <c r="T1522" s="52"/>
      <c r="U1522" s="52"/>
      <c r="V1522" s="52"/>
      <c r="W1522" s="52"/>
      <c r="X1522" s="52"/>
      <c r="Y1522" s="52"/>
      <c r="Z1522" s="52"/>
      <c r="AA1522" s="52"/>
      <c r="AB1522" s="52"/>
      <c r="AC1522" s="52"/>
      <c r="AD1522" s="52"/>
      <c r="AE1522" s="52"/>
      <c r="AF1522" s="52"/>
      <c r="AG1522" s="52"/>
      <c r="AH1522" s="52"/>
      <c r="AI1522" s="52"/>
      <c r="AJ1522" s="52"/>
      <c r="AK1522" s="52"/>
      <c r="AL1522" s="52"/>
      <c r="AM1522" s="52"/>
      <c r="AN1522" s="52"/>
      <c r="AO1522" s="52"/>
      <c r="AP1522" s="52"/>
      <c r="AQ1522" s="52"/>
      <c r="AR1522" s="52"/>
      <c r="AS1522" s="52"/>
      <c r="AT1522" s="52"/>
      <c r="AU1522" s="52"/>
      <c r="AV1522" s="52"/>
      <c r="AW1522" s="52"/>
    </row>
    <row r="1523" spans="1:49">
      <c r="A1523" s="52"/>
      <c r="B1523" s="52"/>
      <c r="C1523" s="52"/>
      <c r="D1523" s="53"/>
      <c r="E1523" s="53"/>
      <c r="F1523" s="53"/>
      <c r="G1523" s="53"/>
      <c r="H1523" s="53"/>
      <c r="I1523" s="52"/>
      <c r="J1523" s="52"/>
      <c r="K1523" s="52"/>
      <c r="L1523" s="52"/>
      <c r="M1523" s="54"/>
      <c r="N1523" s="54"/>
      <c r="O1523" s="52"/>
      <c r="P1523" s="52"/>
      <c r="Q1523" s="52"/>
      <c r="R1523" s="52"/>
      <c r="S1523" s="52"/>
      <c r="T1523" s="52"/>
      <c r="U1523" s="52"/>
      <c r="V1523" s="52"/>
      <c r="W1523" s="52"/>
      <c r="X1523" s="52"/>
      <c r="Y1523" s="52"/>
      <c r="Z1523" s="52"/>
      <c r="AA1523" s="52"/>
      <c r="AB1523" s="52"/>
      <c r="AC1523" s="52"/>
      <c r="AD1523" s="52"/>
      <c r="AE1523" s="52"/>
      <c r="AF1523" s="52"/>
      <c r="AG1523" s="52"/>
      <c r="AH1523" s="52"/>
      <c r="AI1523" s="52"/>
      <c r="AJ1523" s="52"/>
      <c r="AK1523" s="52"/>
      <c r="AL1523" s="55"/>
      <c r="AM1523" s="52"/>
      <c r="AN1523" s="52"/>
      <c r="AO1523" s="52"/>
      <c r="AP1523" s="52"/>
      <c r="AQ1523" s="52"/>
      <c r="AR1523" s="52"/>
      <c r="AS1523" s="52"/>
      <c r="AT1523" s="52"/>
      <c r="AU1523" s="52"/>
      <c r="AV1523" s="52"/>
      <c r="AW1523" s="52"/>
    </row>
    <row r="1524" spans="1:49">
      <c r="A1524" s="52"/>
      <c r="B1524" s="52"/>
      <c r="C1524" s="52"/>
      <c r="D1524" s="53"/>
      <c r="E1524" s="53"/>
      <c r="F1524" s="53"/>
      <c r="G1524" s="53"/>
      <c r="H1524" s="52"/>
      <c r="I1524" s="52"/>
      <c r="J1524" s="52"/>
      <c r="K1524" s="53"/>
      <c r="L1524" s="52"/>
      <c r="M1524" s="55"/>
      <c r="N1524" s="55"/>
      <c r="O1524" s="52"/>
      <c r="P1524" s="52"/>
      <c r="Q1524" s="52"/>
      <c r="R1524" s="52"/>
      <c r="S1524" s="52"/>
      <c r="T1524" s="52"/>
      <c r="U1524" s="52"/>
      <c r="V1524" s="52"/>
      <c r="W1524" s="52"/>
      <c r="X1524" s="52"/>
      <c r="Y1524" s="52"/>
      <c r="Z1524" s="52"/>
      <c r="AA1524" s="52"/>
      <c r="AB1524" s="52"/>
      <c r="AC1524" s="52"/>
      <c r="AD1524" s="52"/>
      <c r="AE1524" s="52"/>
      <c r="AF1524" s="52"/>
      <c r="AG1524" s="52"/>
      <c r="AH1524" s="52"/>
      <c r="AI1524" s="53"/>
      <c r="AJ1524" s="53"/>
      <c r="AK1524" s="53"/>
      <c r="AL1524" s="55"/>
      <c r="AM1524" s="52"/>
      <c r="AN1524" s="55"/>
      <c r="AO1524" s="52"/>
      <c r="AP1524" s="55"/>
      <c r="AQ1524" s="52"/>
      <c r="AR1524" s="52"/>
      <c r="AS1524" s="52"/>
      <c r="AT1524" s="52"/>
      <c r="AU1524" s="52"/>
      <c r="AV1524" s="52"/>
      <c r="AW1524" s="52"/>
    </row>
    <row r="1525" spans="1:49">
      <c r="A1525" s="52"/>
      <c r="B1525" s="52"/>
      <c r="C1525" s="52"/>
      <c r="D1525" s="53"/>
      <c r="E1525" s="53"/>
      <c r="F1525" s="53"/>
      <c r="G1525" s="53"/>
      <c r="H1525" s="52"/>
      <c r="I1525" s="52"/>
      <c r="J1525" s="52"/>
      <c r="K1525" s="53"/>
      <c r="L1525" s="52"/>
      <c r="M1525" s="55"/>
      <c r="N1525" s="55"/>
      <c r="O1525" s="52"/>
      <c r="P1525" s="52"/>
      <c r="Q1525" s="52"/>
      <c r="R1525" s="52"/>
      <c r="S1525" s="52"/>
      <c r="T1525" s="52"/>
      <c r="U1525" s="52"/>
      <c r="V1525" s="52"/>
      <c r="W1525" s="52"/>
      <c r="X1525" s="52"/>
      <c r="Y1525" s="52"/>
      <c r="Z1525" s="52"/>
      <c r="AA1525" s="52"/>
      <c r="AB1525" s="52"/>
      <c r="AC1525" s="52"/>
      <c r="AD1525" s="52"/>
      <c r="AE1525" s="52"/>
      <c r="AF1525" s="52"/>
      <c r="AG1525" s="52"/>
      <c r="AH1525" s="52"/>
      <c r="AI1525" s="53"/>
      <c r="AJ1525" s="53"/>
      <c r="AK1525" s="53"/>
      <c r="AL1525" s="55"/>
      <c r="AM1525" s="52"/>
      <c r="AN1525" s="55"/>
      <c r="AO1525" s="52"/>
      <c r="AP1525" s="55"/>
      <c r="AQ1525" s="52"/>
      <c r="AR1525" s="52"/>
      <c r="AS1525" s="52"/>
      <c r="AT1525" s="52"/>
      <c r="AU1525" s="52"/>
      <c r="AV1525" s="52"/>
      <c r="AW1525" s="52"/>
    </row>
    <row r="1526" spans="1:49">
      <c r="A1526" s="52"/>
      <c r="B1526" s="52"/>
      <c r="C1526" s="52"/>
      <c r="D1526" s="53"/>
      <c r="E1526" s="53"/>
      <c r="F1526" s="52"/>
      <c r="G1526" s="52"/>
      <c r="H1526" s="52"/>
      <c r="I1526" s="52"/>
      <c r="J1526" s="52"/>
      <c r="K1526" s="52"/>
      <c r="L1526" s="52"/>
      <c r="M1526" s="54"/>
      <c r="N1526" s="54"/>
      <c r="O1526" s="52"/>
      <c r="P1526" s="52"/>
      <c r="Q1526" s="52"/>
      <c r="R1526" s="52"/>
      <c r="S1526" s="52"/>
      <c r="T1526" s="52"/>
      <c r="U1526" s="52"/>
      <c r="V1526" s="52"/>
      <c r="W1526" s="52"/>
      <c r="X1526" s="52"/>
      <c r="Y1526" s="52"/>
      <c r="Z1526" s="52"/>
      <c r="AA1526" s="52"/>
      <c r="AB1526" s="52"/>
      <c r="AC1526" s="52"/>
      <c r="AD1526" s="52"/>
      <c r="AE1526" s="52"/>
      <c r="AF1526" s="52"/>
      <c r="AG1526" s="52"/>
      <c r="AH1526" s="52"/>
      <c r="AI1526" s="52"/>
      <c r="AJ1526" s="52"/>
      <c r="AK1526" s="52"/>
      <c r="AL1526" s="52"/>
      <c r="AM1526" s="52"/>
      <c r="AN1526" s="52"/>
      <c r="AO1526" s="52"/>
      <c r="AP1526" s="52"/>
      <c r="AQ1526" s="52"/>
      <c r="AR1526" s="52"/>
      <c r="AS1526" s="52"/>
      <c r="AT1526" s="52"/>
      <c r="AU1526" s="52"/>
      <c r="AV1526" s="52"/>
      <c r="AW1526" s="52"/>
    </row>
    <row r="1527" spans="1:49">
      <c r="A1527" s="52"/>
      <c r="B1527" s="52"/>
      <c r="C1527" s="52"/>
      <c r="D1527" s="53"/>
      <c r="E1527" s="53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  <c r="S1527" s="52"/>
      <c r="T1527" s="52"/>
      <c r="U1527" s="52"/>
      <c r="V1527" s="52"/>
      <c r="W1527" s="52"/>
      <c r="X1527" s="52"/>
      <c r="Y1527" s="52"/>
      <c r="Z1527" s="52"/>
      <c r="AA1527" s="52"/>
      <c r="AB1527" s="52"/>
      <c r="AC1527" s="52"/>
      <c r="AD1527" s="52"/>
      <c r="AE1527" s="52"/>
      <c r="AF1527" s="52"/>
      <c r="AG1527" s="52"/>
      <c r="AH1527" s="52"/>
      <c r="AI1527" s="52"/>
      <c r="AJ1527" s="52"/>
      <c r="AK1527" s="52"/>
      <c r="AL1527" s="52"/>
      <c r="AM1527" s="52"/>
      <c r="AN1527" s="52"/>
      <c r="AO1527" s="52"/>
      <c r="AP1527" s="52"/>
      <c r="AQ1527" s="52"/>
      <c r="AR1527" s="52"/>
      <c r="AS1527" s="52"/>
      <c r="AT1527" s="52"/>
      <c r="AU1527" s="52"/>
      <c r="AV1527" s="52"/>
      <c r="AW1527" s="52"/>
    </row>
    <row r="1528" spans="1:49">
      <c r="A1528" s="52"/>
      <c r="B1528" s="52"/>
      <c r="C1528" s="52"/>
      <c r="D1528" s="53"/>
      <c r="E1528" s="53"/>
      <c r="F1528" s="52"/>
      <c r="G1528" s="52"/>
      <c r="H1528" s="52"/>
      <c r="I1528" s="52"/>
      <c r="J1528" s="52"/>
      <c r="K1528" s="52"/>
      <c r="L1528" s="52"/>
      <c r="M1528" s="55"/>
      <c r="N1528" s="54"/>
      <c r="O1528" s="52"/>
      <c r="P1528" s="52"/>
      <c r="Q1528" s="52"/>
      <c r="R1528" s="52"/>
      <c r="S1528" s="52"/>
      <c r="T1528" s="52"/>
      <c r="U1528" s="52"/>
      <c r="V1528" s="52"/>
      <c r="W1528" s="52"/>
      <c r="X1528" s="52"/>
      <c r="Y1528" s="52"/>
      <c r="Z1528" s="52"/>
      <c r="AA1528" s="52"/>
      <c r="AB1528" s="52"/>
      <c r="AC1528" s="52"/>
      <c r="AD1528" s="52"/>
      <c r="AE1528" s="52"/>
      <c r="AF1528" s="52"/>
      <c r="AG1528" s="52"/>
      <c r="AH1528" s="52"/>
      <c r="AI1528" s="52"/>
      <c r="AJ1528" s="52"/>
      <c r="AK1528" s="52"/>
      <c r="AL1528" s="52"/>
      <c r="AM1528" s="52"/>
      <c r="AN1528" s="52"/>
      <c r="AO1528" s="52"/>
      <c r="AP1528" s="52"/>
      <c r="AQ1528" s="52"/>
      <c r="AR1528" s="52"/>
      <c r="AS1528" s="52"/>
      <c r="AT1528" s="52"/>
      <c r="AU1528" s="52"/>
      <c r="AV1528" s="52"/>
      <c r="AW1528" s="52"/>
    </row>
    <row r="1529" spans="1:49">
      <c r="A1529" s="52"/>
      <c r="B1529" s="52"/>
      <c r="C1529" s="52"/>
      <c r="D1529" s="53"/>
      <c r="E1529" s="53"/>
      <c r="F1529" s="52"/>
      <c r="G1529" s="52"/>
      <c r="H1529" s="52"/>
      <c r="I1529" s="52"/>
      <c r="J1529" s="52"/>
      <c r="K1529" s="52"/>
      <c r="L1529" s="52"/>
      <c r="M1529" s="52"/>
      <c r="N1529" s="52"/>
      <c r="O1529" s="52"/>
      <c r="P1529" s="52"/>
      <c r="Q1529" s="52"/>
      <c r="R1529" s="52"/>
      <c r="S1529" s="52"/>
      <c r="T1529" s="52"/>
      <c r="U1529" s="52"/>
      <c r="V1529" s="52"/>
      <c r="W1529" s="52"/>
      <c r="X1529" s="52"/>
      <c r="Y1529" s="52"/>
      <c r="Z1529" s="52"/>
      <c r="AA1529" s="52"/>
      <c r="AB1529" s="52"/>
      <c r="AC1529" s="52"/>
      <c r="AD1529" s="52"/>
      <c r="AE1529" s="52"/>
      <c r="AF1529" s="52"/>
      <c r="AG1529" s="52"/>
      <c r="AH1529" s="52"/>
      <c r="AI1529" s="52"/>
      <c r="AJ1529" s="52"/>
      <c r="AK1529" s="52"/>
      <c r="AL1529" s="52"/>
      <c r="AM1529" s="52"/>
      <c r="AN1529" s="52"/>
      <c r="AO1529" s="52"/>
      <c r="AP1529" s="52"/>
      <c r="AQ1529" s="52"/>
      <c r="AR1529" s="52"/>
      <c r="AS1529" s="52"/>
      <c r="AT1529" s="52"/>
      <c r="AU1529" s="52"/>
      <c r="AV1529" s="52"/>
      <c r="AW1529" s="52"/>
    </row>
    <row r="1530" spans="1:49">
      <c r="A1530" s="52"/>
      <c r="B1530" s="52"/>
      <c r="C1530" s="52"/>
      <c r="D1530" s="53"/>
      <c r="E1530" s="53"/>
      <c r="F1530" s="53"/>
      <c r="G1530" s="53"/>
      <c r="H1530" s="52"/>
      <c r="I1530" s="52"/>
      <c r="J1530" s="52"/>
      <c r="K1530" s="53"/>
      <c r="L1530" s="52"/>
      <c r="M1530" s="55"/>
      <c r="N1530" s="54"/>
      <c r="O1530" s="52"/>
      <c r="P1530" s="52"/>
      <c r="Q1530" s="52"/>
      <c r="R1530" s="52"/>
      <c r="S1530" s="52"/>
      <c r="T1530" s="52"/>
      <c r="U1530" s="52"/>
      <c r="V1530" s="52"/>
      <c r="W1530" s="52"/>
      <c r="X1530" s="52"/>
      <c r="Y1530" s="52"/>
      <c r="Z1530" s="52"/>
      <c r="AA1530" s="52"/>
      <c r="AB1530" s="52"/>
      <c r="AC1530" s="52"/>
      <c r="AD1530" s="52"/>
      <c r="AE1530" s="52"/>
      <c r="AF1530" s="52"/>
      <c r="AG1530" s="52"/>
      <c r="AH1530" s="52"/>
      <c r="AI1530" s="52"/>
      <c r="AJ1530" s="52"/>
      <c r="AK1530" s="52"/>
      <c r="AL1530" s="52"/>
      <c r="AM1530" s="52"/>
      <c r="AN1530" s="52"/>
      <c r="AO1530" s="52"/>
      <c r="AP1530" s="52"/>
      <c r="AQ1530" s="52"/>
      <c r="AR1530" s="52"/>
      <c r="AS1530" s="52"/>
      <c r="AT1530" s="52"/>
      <c r="AU1530" s="52"/>
      <c r="AV1530" s="52"/>
      <c r="AW1530" s="52"/>
    </row>
    <row r="1531" spans="1:49">
      <c r="A1531" s="52"/>
      <c r="B1531" s="52"/>
      <c r="C1531" s="52"/>
      <c r="D1531" s="53"/>
      <c r="E1531" s="53"/>
      <c r="F1531" s="53"/>
      <c r="G1531" s="53"/>
      <c r="H1531" s="52"/>
      <c r="I1531" s="52"/>
      <c r="J1531" s="52"/>
      <c r="K1531" s="53"/>
      <c r="L1531" s="52"/>
      <c r="M1531" s="54"/>
      <c r="N1531" s="55"/>
      <c r="O1531" s="52"/>
      <c r="P1531" s="52"/>
      <c r="Q1531" s="52"/>
      <c r="R1531" s="52"/>
      <c r="S1531" s="52"/>
      <c r="T1531" s="52"/>
      <c r="U1531" s="52"/>
      <c r="V1531" s="52"/>
      <c r="W1531" s="52"/>
      <c r="X1531" s="52"/>
      <c r="Y1531" s="52"/>
      <c r="Z1531" s="52"/>
      <c r="AA1531" s="52"/>
      <c r="AB1531" s="52"/>
      <c r="AC1531" s="52"/>
      <c r="AD1531" s="52"/>
      <c r="AE1531" s="52"/>
      <c r="AF1531" s="52"/>
      <c r="AG1531" s="52"/>
      <c r="AH1531" s="52"/>
      <c r="AI1531" s="53"/>
      <c r="AJ1531" s="52"/>
      <c r="AK1531" s="53"/>
      <c r="AL1531" s="52"/>
      <c r="AM1531" s="52"/>
      <c r="AN1531" s="52"/>
      <c r="AO1531" s="52"/>
      <c r="AP1531" s="52"/>
      <c r="AQ1531" s="52"/>
      <c r="AR1531" s="52"/>
      <c r="AS1531" s="52"/>
      <c r="AT1531" s="52"/>
      <c r="AU1531" s="52"/>
      <c r="AV1531" s="52"/>
      <c r="AW1531" s="52"/>
    </row>
    <row r="1532" spans="1:49">
      <c r="A1532" s="52"/>
      <c r="B1532" s="52"/>
      <c r="C1532" s="52"/>
      <c r="D1532" s="53"/>
      <c r="E1532" s="53"/>
      <c r="F1532" s="53"/>
      <c r="G1532" s="53"/>
      <c r="H1532" s="52"/>
      <c r="I1532" s="52"/>
      <c r="J1532" s="52"/>
      <c r="K1532" s="53"/>
      <c r="L1532" s="52"/>
      <c r="M1532" s="54"/>
      <c r="N1532" s="55"/>
      <c r="O1532" s="52"/>
      <c r="P1532" s="52"/>
      <c r="Q1532" s="52"/>
      <c r="R1532" s="52"/>
      <c r="S1532" s="52"/>
      <c r="T1532" s="52"/>
      <c r="U1532" s="52"/>
      <c r="V1532" s="52"/>
      <c r="W1532" s="52"/>
      <c r="X1532" s="52"/>
      <c r="Y1532" s="52"/>
      <c r="Z1532" s="52"/>
      <c r="AA1532" s="52"/>
      <c r="AB1532" s="52"/>
      <c r="AC1532" s="52"/>
      <c r="AD1532" s="52"/>
      <c r="AE1532" s="52"/>
      <c r="AF1532" s="52"/>
      <c r="AG1532" s="52"/>
      <c r="AH1532" s="52"/>
      <c r="AI1532" s="53"/>
      <c r="AJ1532" s="52"/>
      <c r="AK1532" s="53"/>
      <c r="AL1532" s="52"/>
      <c r="AM1532" s="52"/>
      <c r="AN1532" s="52"/>
      <c r="AO1532" s="52"/>
      <c r="AP1532" s="52"/>
      <c r="AQ1532" s="52"/>
      <c r="AR1532" s="52"/>
      <c r="AS1532" s="52"/>
      <c r="AT1532" s="52"/>
      <c r="AU1532" s="52"/>
      <c r="AV1532" s="52"/>
      <c r="AW1532" s="52"/>
    </row>
    <row r="1533" spans="1:49">
      <c r="A1533" s="52"/>
      <c r="B1533" s="52"/>
      <c r="C1533" s="52"/>
      <c r="D1533" s="53"/>
      <c r="E1533" s="53"/>
      <c r="F1533" s="53"/>
      <c r="G1533" s="53"/>
      <c r="H1533" s="52"/>
      <c r="I1533" s="52"/>
      <c r="J1533" s="52"/>
      <c r="K1533" s="53"/>
      <c r="L1533" s="52"/>
      <c r="M1533" s="55"/>
      <c r="N1533" s="54"/>
      <c r="O1533" s="52"/>
      <c r="P1533" s="52"/>
      <c r="Q1533" s="52"/>
      <c r="R1533" s="52"/>
      <c r="S1533" s="52"/>
      <c r="T1533" s="52"/>
      <c r="U1533" s="52"/>
      <c r="V1533" s="52"/>
      <c r="W1533" s="52"/>
      <c r="X1533" s="52"/>
      <c r="Y1533" s="52"/>
      <c r="Z1533" s="52"/>
      <c r="AA1533" s="52"/>
      <c r="AB1533" s="52"/>
      <c r="AC1533" s="52"/>
      <c r="AD1533" s="52"/>
      <c r="AE1533" s="52"/>
      <c r="AF1533" s="52"/>
      <c r="AG1533" s="52"/>
      <c r="AH1533" s="52"/>
      <c r="AI1533" s="52"/>
      <c r="AJ1533" s="52"/>
      <c r="AK1533" s="52"/>
      <c r="AL1533" s="52"/>
      <c r="AM1533" s="52"/>
      <c r="AN1533" s="52"/>
      <c r="AO1533" s="52"/>
      <c r="AP1533" s="52"/>
      <c r="AQ1533" s="52"/>
      <c r="AR1533" s="52"/>
      <c r="AS1533" s="52"/>
      <c r="AT1533" s="52"/>
      <c r="AU1533" s="52"/>
      <c r="AV1533" s="52"/>
      <c r="AW1533" s="52"/>
    </row>
    <row r="1534" spans="1:49">
      <c r="A1534" s="52"/>
      <c r="B1534" s="52"/>
      <c r="C1534" s="52"/>
      <c r="D1534" s="53"/>
      <c r="E1534" s="53"/>
      <c r="F1534" s="53"/>
      <c r="G1534" s="53"/>
      <c r="H1534" s="52"/>
      <c r="I1534" s="52"/>
      <c r="J1534" s="52"/>
      <c r="K1534" s="53"/>
      <c r="L1534" s="52"/>
      <c r="M1534" s="54"/>
      <c r="N1534" s="55"/>
      <c r="O1534" s="52"/>
      <c r="P1534" s="52"/>
      <c r="Q1534" s="52"/>
      <c r="R1534" s="52"/>
      <c r="S1534" s="52"/>
      <c r="T1534" s="52"/>
      <c r="U1534" s="52"/>
      <c r="V1534" s="52"/>
      <c r="W1534" s="52"/>
      <c r="X1534" s="52"/>
      <c r="Y1534" s="52"/>
      <c r="Z1534" s="52"/>
      <c r="AA1534" s="52"/>
      <c r="AB1534" s="52"/>
      <c r="AC1534" s="52"/>
      <c r="AD1534" s="52"/>
      <c r="AE1534" s="52"/>
      <c r="AF1534" s="52"/>
      <c r="AG1534" s="52"/>
      <c r="AH1534" s="52"/>
      <c r="AI1534" s="53"/>
      <c r="AJ1534" s="52"/>
      <c r="AK1534" s="53"/>
      <c r="AL1534" s="52"/>
      <c r="AM1534" s="52"/>
      <c r="AN1534" s="52"/>
      <c r="AO1534" s="52"/>
      <c r="AP1534" s="52"/>
      <c r="AQ1534" s="52"/>
      <c r="AR1534" s="52"/>
      <c r="AS1534" s="52"/>
      <c r="AT1534" s="52"/>
      <c r="AU1534" s="52"/>
      <c r="AV1534" s="52"/>
      <c r="AW1534" s="52"/>
    </row>
    <row r="1535" spans="1:49">
      <c r="A1535" s="52"/>
      <c r="B1535" s="52"/>
      <c r="C1535" s="52"/>
      <c r="D1535" s="53"/>
      <c r="E1535" s="53"/>
      <c r="F1535" s="53"/>
      <c r="G1535" s="53"/>
      <c r="H1535" s="52"/>
      <c r="I1535" s="52"/>
      <c r="J1535" s="52"/>
      <c r="K1535" s="53"/>
      <c r="L1535" s="52"/>
      <c r="M1535" s="54"/>
      <c r="N1535" s="55"/>
      <c r="O1535" s="52"/>
      <c r="P1535" s="52"/>
      <c r="Q1535" s="52"/>
      <c r="R1535" s="52"/>
      <c r="S1535" s="52"/>
      <c r="T1535" s="52"/>
      <c r="U1535" s="52"/>
      <c r="V1535" s="52"/>
      <c r="W1535" s="52"/>
      <c r="X1535" s="52"/>
      <c r="Y1535" s="52"/>
      <c r="Z1535" s="52"/>
      <c r="AA1535" s="52"/>
      <c r="AB1535" s="52"/>
      <c r="AC1535" s="52"/>
      <c r="AD1535" s="52"/>
      <c r="AE1535" s="52"/>
      <c r="AF1535" s="52"/>
      <c r="AG1535" s="52"/>
      <c r="AH1535" s="52"/>
      <c r="AI1535" s="53"/>
      <c r="AJ1535" s="52"/>
      <c r="AK1535" s="53"/>
      <c r="AL1535" s="52"/>
      <c r="AM1535" s="52"/>
      <c r="AN1535" s="52"/>
      <c r="AO1535" s="52"/>
      <c r="AP1535" s="52"/>
      <c r="AQ1535" s="52"/>
      <c r="AR1535" s="52"/>
      <c r="AS1535" s="52"/>
      <c r="AT1535" s="52"/>
      <c r="AU1535" s="52"/>
      <c r="AV1535" s="52"/>
      <c r="AW1535" s="52"/>
    </row>
    <row r="1536" spans="1:49">
      <c r="A1536" s="52"/>
      <c r="B1536" s="52"/>
      <c r="C1536" s="52"/>
      <c r="D1536" s="53"/>
      <c r="E1536" s="53"/>
      <c r="F1536" s="52"/>
      <c r="G1536" s="52"/>
      <c r="H1536" s="52"/>
      <c r="I1536" s="52"/>
      <c r="J1536" s="52"/>
      <c r="K1536" s="52"/>
      <c r="L1536" s="52"/>
      <c r="M1536" s="55"/>
      <c r="N1536" s="54"/>
      <c r="O1536" s="52"/>
      <c r="P1536" s="52"/>
      <c r="Q1536" s="52"/>
      <c r="R1536" s="52"/>
      <c r="S1536" s="52"/>
      <c r="T1536" s="52"/>
      <c r="U1536" s="52"/>
      <c r="V1536" s="52"/>
      <c r="W1536" s="52"/>
      <c r="X1536" s="52"/>
      <c r="Y1536" s="52"/>
      <c r="Z1536" s="52"/>
      <c r="AA1536" s="52"/>
      <c r="AB1536" s="52"/>
      <c r="AC1536" s="52"/>
      <c r="AD1536" s="52"/>
      <c r="AE1536" s="52"/>
      <c r="AF1536" s="52"/>
      <c r="AG1536" s="52"/>
      <c r="AH1536" s="52"/>
      <c r="AI1536" s="52"/>
      <c r="AJ1536" s="52"/>
      <c r="AK1536" s="52"/>
      <c r="AL1536" s="52"/>
      <c r="AM1536" s="52"/>
      <c r="AN1536" s="52"/>
      <c r="AO1536" s="52"/>
      <c r="AP1536" s="52"/>
      <c r="AQ1536" s="52"/>
      <c r="AR1536" s="52"/>
      <c r="AS1536" s="52"/>
      <c r="AT1536" s="52"/>
      <c r="AU1536" s="52"/>
      <c r="AV1536" s="52"/>
      <c r="AW1536" s="52"/>
    </row>
    <row r="1537" spans="1:49">
      <c r="A1537" s="52"/>
      <c r="B1537" s="52"/>
      <c r="C1537" s="52"/>
      <c r="D1537" s="53"/>
      <c r="E1537" s="53"/>
      <c r="F1537" s="52"/>
      <c r="G1537" s="52"/>
      <c r="H1537" s="52"/>
      <c r="I1537" s="52"/>
      <c r="J1537" s="52"/>
      <c r="K1537" s="52"/>
      <c r="L1537" s="52"/>
      <c r="M1537" s="52"/>
      <c r="N1537" s="52"/>
      <c r="O1537" s="52"/>
      <c r="P1537" s="52"/>
      <c r="Q1537" s="52"/>
      <c r="R1537" s="52"/>
      <c r="S1537" s="52"/>
      <c r="T1537" s="52"/>
      <c r="U1537" s="52"/>
      <c r="V1537" s="52"/>
      <c r="W1537" s="52"/>
      <c r="X1537" s="52"/>
      <c r="Y1537" s="52"/>
      <c r="Z1537" s="52"/>
      <c r="AA1537" s="52"/>
      <c r="AB1537" s="52"/>
      <c r="AC1537" s="52"/>
      <c r="AD1537" s="52"/>
      <c r="AE1537" s="52"/>
      <c r="AF1537" s="52"/>
      <c r="AG1537" s="52"/>
      <c r="AH1537" s="52"/>
      <c r="AI1537" s="52"/>
      <c r="AJ1537" s="52"/>
      <c r="AK1537" s="52"/>
      <c r="AL1537" s="52"/>
      <c r="AM1537" s="52"/>
      <c r="AN1537" s="52"/>
      <c r="AO1537" s="52"/>
      <c r="AP1537" s="52"/>
      <c r="AQ1537" s="52"/>
      <c r="AR1537" s="52"/>
      <c r="AS1537" s="52"/>
      <c r="AT1537" s="52"/>
      <c r="AU1537" s="52"/>
      <c r="AV1537" s="52"/>
      <c r="AW1537" s="52"/>
    </row>
    <row r="1538" spans="1:49">
      <c r="A1538" s="52"/>
      <c r="B1538" s="52"/>
      <c r="C1538" s="52"/>
      <c r="D1538" s="53"/>
      <c r="E1538" s="53"/>
      <c r="F1538" s="53"/>
      <c r="G1538" s="53"/>
      <c r="H1538" s="52"/>
      <c r="I1538" s="52"/>
      <c r="J1538" s="52"/>
      <c r="K1538" s="53"/>
      <c r="L1538" s="52"/>
      <c r="M1538" s="54"/>
      <c r="N1538" s="54"/>
      <c r="O1538" s="52"/>
      <c r="P1538" s="52"/>
      <c r="Q1538" s="52"/>
      <c r="R1538" s="52"/>
      <c r="S1538" s="52"/>
      <c r="T1538" s="52"/>
      <c r="U1538" s="52"/>
      <c r="V1538" s="52"/>
      <c r="W1538" s="52"/>
      <c r="X1538" s="52"/>
      <c r="Y1538" s="52"/>
      <c r="Z1538" s="52"/>
      <c r="AA1538" s="52"/>
      <c r="AB1538" s="52"/>
      <c r="AC1538" s="52"/>
      <c r="AD1538" s="52"/>
      <c r="AE1538" s="52"/>
      <c r="AF1538" s="52"/>
      <c r="AG1538" s="52"/>
      <c r="AH1538" s="52"/>
      <c r="AI1538" s="52"/>
      <c r="AJ1538" s="52"/>
      <c r="AK1538" s="52"/>
      <c r="AL1538" s="52"/>
      <c r="AM1538" s="52"/>
      <c r="AN1538" s="52"/>
      <c r="AO1538" s="52"/>
      <c r="AP1538" s="52"/>
      <c r="AQ1538" s="52"/>
      <c r="AR1538" s="52"/>
      <c r="AS1538" s="52"/>
      <c r="AT1538" s="52"/>
      <c r="AU1538" s="52"/>
      <c r="AV1538" s="52"/>
      <c r="AW1538" s="52"/>
    </row>
    <row r="1539" spans="1:49">
      <c r="A1539" s="52"/>
      <c r="B1539" s="52"/>
      <c r="C1539" s="52"/>
      <c r="D1539" s="53"/>
      <c r="E1539" s="53"/>
      <c r="F1539" s="53"/>
      <c r="G1539" s="53"/>
      <c r="H1539" s="52"/>
      <c r="I1539" s="52"/>
      <c r="J1539" s="52"/>
      <c r="K1539" s="53"/>
      <c r="L1539" s="52"/>
      <c r="M1539" s="54"/>
      <c r="N1539" s="55"/>
      <c r="O1539" s="52"/>
      <c r="P1539" s="52"/>
      <c r="Q1539" s="52"/>
      <c r="R1539" s="52"/>
      <c r="S1539" s="52"/>
      <c r="T1539" s="52"/>
      <c r="U1539" s="52"/>
      <c r="V1539" s="52"/>
      <c r="W1539" s="52"/>
      <c r="X1539" s="52"/>
      <c r="Y1539" s="52"/>
      <c r="Z1539" s="52"/>
      <c r="AA1539" s="52"/>
      <c r="AB1539" s="52"/>
      <c r="AC1539" s="52"/>
      <c r="AD1539" s="52"/>
      <c r="AE1539" s="52"/>
      <c r="AF1539" s="52"/>
      <c r="AG1539" s="52"/>
      <c r="AH1539" s="52"/>
      <c r="AI1539" s="52"/>
      <c r="AJ1539" s="52"/>
      <c r="AK1539" s="52"/>
      <c r="AL1539" s="52"/>
      <c r="AM1539" s="52"/>
      <c r="AN1539" s="52"/>
      <c r="AO1539" s="52"/>
      <c r="AP1539" s="52"/>
      <c r="AQ1539" s="52"/>
      <c r="AR1539" s="52"/>
      <c r="AS1539" s="52"/>
      <c r="AT1539" s="52"/>
      <c r="AU1539" s="52"/>
      <c r="AV1539" s="52"/>
      <c r="AW1539" s="52"/>
    </row>
    <row r="1540" spans="1:49">
      <c r="A1540" s="52"/>
      <c r="B1540" s="52"/>
      <c r="C1540" s="52"/>
      <c r="D1540" s="53"/>
      <c r="E1540" s="53"/>
      <c r="F1540" s="53"/>
      <c r="G1540" s="53"/>
      <c r="H1540" s="52"/>
      <c r="I1540" s="52"/>
      <c r="J1540" s="52"/>
      <c r="K1540" s="53"/>
      <c r="L1540" s="52"/>
      <c r="M1540" s="54"/>
      <c r="N1540" s="55"/>
      <c r="O1540" s="52"/>
      <c r="P1540" s="52"/>
      <c r="Q1540" s="52"/>
      <c r="R1540" s="52"/>
      <c r="S1540" s="52"/>
      <c r="T1540" s="52"/>
      <c r="U1540" s="52"/>
      <c r="V1540" s="52"/>
      <c r="W1540" s="52"/>
      <c r="X1540" s="52"/>
      <c r="Y1540" s="52"/>
      <c r="Z1540" s="52"/>
      <c r="AA1540" s="52"/>
      <c r="AB1540" s="52"/>
      <c r="AC1540" s="52"/>
      <c r="AD1540" s="52"/>
      <c r="AE1540" s="52"/>
      <c r="AF1540" s="52"/>
      <c r="AG1540" s="52"/>
      <c r="AH1540" s="52"/>
      <c r="AI1540" s="52"/>
      <c r="AJ1540" s="52"/>
      <c r="AK1540" s="52"/>
      <c r="AL1540" s="52"/>
      <c r="AM1540" s="52"/>
      <c r="AN1540" s="52"/>
      <c r="AO1540" s="52"/>
      <c r="AP1540" s="52"/>
      <c r="AQ1540" s="52"/>
      <c r="AR1540" s="52"/>
      <c r="AS1540" s="52"/>
      <c r="AT1540" s="52"/>
      <c r="AU1540" s="52"/>
      <c r="AV1540" s="52"/>
      <c r="AW1540" s="52"/>
    </row>
    <row r="1541" spans="1:49">
      <c r="A1541" s="52"/>
      <c r="B1541" s="52"/>
      <c r="C1541" s="52"/>
      <c r="D1541" s="53"/>
      <c r="E1541" s="53"/>
      <c r="F1541" s="53"/>
      <c r="G1541" s="53"/>
      <c r="H1541" s="52"/>
      <c r="I1541" s="52"/>
      <c r="J1541" s="52"/>
      <c r="K1541" s="53"/>
      <c r="L1541" s="52"/>
      <c r="M1541" s="54"/>
      <c r="N1541" s="55"/>
      <c r="O1541" s="52"/>
      <c r="P1541" s="52"/>
      <c r="Q1541" s="52"/>
      <c r="R1541" s="52"/>
      <c r="S1541" s="52"/>
      <c r="T1541" s="52"/>
      <c r="U1541" s="52"/>
      <c r="V1541" s="52"/>
      <c r="W1541" s="52"/>
      <c r="X1541" s="52"/>
      <c r="Y1541" s="52"/>
      <c r="Z1541" s="52"/>
      <c r="AA1541" s="52"/>
      <c r="AB1541" s="52"/>
      <c r="AC1541" s="52"/>
      <c r="AD1541" s="52"/>
      <c r="AE1541" s="52"/>
      <c r="AF1541" s="52"/>
      <c r="AG1541" s="52"/>
      <c r="AH1541" s="52"/>
      <c r="AI1541" s="52"/>
      <c r="AJ1541" s="52"/>
      <c r="AK1541" s="52"/>
      <c r="AL1541" s="52"/>
      <c r="AM1541" s="52"/>
      <c r="AN1541" s="52"/>
      <c r="AO1541" s="52"/>
      <c r="AP1541" s="52"/>
      <c r="AQ1541" s="52"/>
      <c r="AR1541" s="52"/>
      <c r="AS1541" s="52"/>
      <c r="AT1541" s="52"/>
      <c r="AU1541" s="52"/>
      <c r="AV1541" s="52"/>
      <c r="AW1541" s="52"/>
    </row>
    <row r="1542" spans="1:49">
      <c r="A1542" s="52"/>
      <c r="B1542" s="52"/>
      <c r="C1542" s="52"/>
      <c r="D1542" s="53"/>
      <c r="E1542" s="53"/>
      <c r="F1542" s="53"/>
      <c r="G1542" s="53"/>
      <c r="H1542" s="52"/>
      <c r="I1542" s="52"/>
      <c r="J1542" s="52"/>
      <c r="K1542" s="53"/>
      <c r="L1542" s="52"/>
      <c r="M1542" s="54"/>
      <c r="N1542" s="55"/>
      <c r="O1542" s="52"/>
      <c r="P1542" s="52"/>
      <c r="Q1542" s="52"/>
      <c r="R1542" s="52"/>
      <c r="S1542" s="52"/>
      <c r="T1542" s="52"/>
      <c r="U1542" s="52"/>
      <c r="V1542" s="52"/>
      <c r="W1542" s="52"/>
      <c r="X1542" s="52"/>
      <c r="Y1542" s="52"/>
      <c r="Z1542" s="52"/>
      <c r="AA1542" s="52"/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52"/>
      <c r="AN1542" s="52"/>
      <c r="AO1542" s="52"/>
      <c r="AP1542" s="52"/>
      <c r="AQ1542" s="52"/>
      <c r="AR1542" s="52"/>
      <c r="AS1542" s="52"/>
      <c r="AT1542" s="52"/>
      <c r="AU1542" s="52"/>
      <c r="AV1542" s="52"/>
      <c r="AW1542" s="52"/>
    </row>
    <row r="1543" spans="1:49">
      <c r="A1543" s="52"/>
      <c r="B1543" s="52"/>
      <c r="C1543" s="52"/>
      <c r="D1543" s="53"/>
      <c r="E1543" s="53"/>
      <c r="F1543" s="53"/>
      <c r="G1543" s="53"/>
      <c r="H1543" s="52"/>
      <c r="I1543" s="52"/>
      <c r="J1543" s="52"/>
      <c r="K1543" s="53"/>
      <c r="L1543" s="52"/>
      <c r="M1543" s="54"/>
      <c r="N1543" s="54"/>
      <c r="O1543" s="52"/>
      <c r="P1543" s="52"/>
      <c r="Q1543" s="52"/>
      <c r="R1543" s="52"/>
      <c r="S1543" s="52"/>
      <c r="T1543" s="52"/>
      <c r="U1543" s="52"/>
      <c r="V1543" s="52"/>
      <c r="W1543" s="52"/>
      <c r="X1543" s="52"/>
      <c r="Y1543" s="52"/>
      <c r="Z1543" s="52"/>
      <c r="AA1543" s="52"/>
      <c r="AB1543" s="52"/>
      <c r="AC1543" s="52"/>
      <c r="AD1543" s="52"/>
      <c r="AE1543" s="52"/>
      <c r="AF1543" s="52"/>
      <c r="AG1543" s="52"/>
      <c r="AH1543" s="52"/>
      <c r="AI1543" s="52"/>
      <c r="AJ1543" s="52"/>
      <c r="AK1543" s="52"/>
      <c r="AL1543" s="52"/>
      <c r="AM1543" s="52"/>
      <c r="AN1543" s="52"/>
      <c r="AO1543" s="52"/>
      <c r="AP1543" s="52"/>
      <c r="AQ1543" s="52"/>
      <c r="AR1543" s="52"/>
      <c r="AS1543" s="52"/>
      <c r="AT1543" s="52"/>
      <c r="AU1543" s="52"/>
      <c r="AV1543" s="52"/>
      <c r="AW1543" s="52"/>
    </row>
    <row r="1544" spans="1:49">
      <c r="A1544" s="52"/>
      <c r="B1544" s="52"/>
      <c r="C1544" s="52"/>
      <c r="D1544" s="53"/>
      <c r="E1544" s="53"/>
      <c r="F1544" s="52"/>
      <c r="G1544" s="53"/>
      <c r="H1544" s="52"/>
      <c r="I1544" s="52"/>
      <c r="J1544" s="52"/>
      <c r="K1544" s="53"/>
      <c r="L1544" s="52"/>
      <c r="M1544" s="52"/>
      <c r="N1544" s="52"/>
      <c r="O1544" s="52"/>
      <c r="P1544" s="52"/>
      <c r="Q1544" s="52"/>
      <c r="R1544" s="52"/>
      <c r="S1544" s="52"/>
      <c r="T1544" s="52"/>
      <c r="U1544" s="52"/>
      <c r="V1544" s="52"/>
      <c r="W1544" s="52"/>
      <c r="X1544" s="52"/>
      <c r="Y1544" s="52"/>
      <c r="Z1544" s="52"/>
      <c r="AA1544" s="52"/>
      <c r="AB1544" s="52"/>
      <c r="AC1544" s="52"/>
      <c r="AD1544" s="52"/>
      <c r="AE1544" s="52"/>
      <c r="AF1544" s="52"/>
      <c r="AG1544" s="52"/>
      <c r="AH1544" s="52"/>
      <c r="AI1544" s="52"/>
      <c r="AJ1544" s="52"/>
      <c r="AK1544" s="52"/>
      <c r="AL1544" s="52"/>
      <c r="AM1544" s="52"/>
      <c r="AN1544" s="52"/>
      <c r="AO1544" s="52"/>
      <c r="AP1544" s="52"/>
      <c r="AQ1544" s="52"/>
      <c r="AR1544" s="52"/>
      <c r="AS1544" s="52"/>
      <c r="AT1544" s="52"/>
      <c r="AU1544" s="52"/>
      <c r="AV1544" s="52"/>
      <c r="AW1544" s="52"/>
    </row>
    <row r="1545" spans="1:49">
      <c r="A1545" s="52"/>
      <c r="B1545" s="52"/>
      <c r="C1545" s="52"/>
      <c r="D1545" s="53"/>
      <c r="E1545" s="53"/>
      <c r="F1545" s="52"/>
      <c r="G1545" s="53"/>
      <c r="H1545" s="52"/>
      <c r="I1545" s="52"/>
      <c r="J1545" s="52"/>
      <c r="K1545" s="53"/>
      <c r="L1545" s="52"/>
      <c r="M1545" s="52"/>
      <c r="N1545" s="52"/>
      <c r="O1545" s="52"/>
      <c r="P1545" s="52"/>
      <c r="Q1545" s="52"/>
      <c r="R1545" s="52"/>
      <c r="S1545" s="52"/>
      <c r="T1545" s="52"/>
      <c r="U1545" s="52"/>
      <c r="V1545" s="52"/>
      <c r="W1545" s="52"/>
      <c r="X1545" s="52"/>
      <c r="Y1545" s="52"/>
      <c r="Z1545" s="52"/>
      <c r="AA1545" s="52"/>
      <c r="AB1545" s="52"/>
      <c r="AC1545" s="52"/>
      <c r="AD1545" s="52"/>
      <c r="AE1545" s="52"/>
      <c r="AF1545" s="52"/>
      <c r="AG1545" s="52"/>
      <c r="AH1545" s="52"/>
      <c r="AI1545" s="52"/>
      <c r="AJ1545" s="52"/>
      <c r="AK1545" s="52"/>
      <c r="AL1545" s="52"/>
      <c r="AM1545" s="52"/>
      <c r="AN1545" s="52"/>
      <c r="AO1545" s="52"/>
      <c r="AP1545" s="52"/>
      <c r="AQ1545" s="52"/>
      <c r="AR1545" s="52"/>
      <c r="AS1545" s="52"/>
      <c r="AT1545" s="52"/>
      <c r="AU1545" s="52"/>
      <c r="AV1545" s="52"/>
      <c r="AW1545" s="52"/>
    </row>
    <row r="1546" spans="1:49">
      <c r="A1546" s="52"/>
      <c r="B1546" s="52"/>
      <c r="C1546" s="52"/>
      <c r="D1546" s="53"/>
      <c r="E1546" s="53"/>
      <c r="F1546" s="53"/>
      <c r="G1546" s="53"/>
      <c r="H1546" s="52"/>
      <c r="I1546" s="52"/>
      <c r="J1546" s="52"/>
      <c r="K1546" s="53"/>
      <c r="L1546" s="52"/>
      <c r="M1546" s="55"/>
      <c r="N1546" s="54"/>
      <c r="O1546" s="52"/>
      <c r="P1546" s="52"/>
      <c r="Q1546" s="52"/>
      <c r="R1546" s="52"/>
      <c r="S1546" s="52"/>
      <c r="T1546" s="52"/>
      <c r="U1546" s="52"/>
      <c r="V1546" s="52"/>
      <c r="W1546" s="52"/>
      <c r="X1546" s="52"/>
      <c r="Y1546" s="52"/>
      <c r="Z1546" s="52"/>
      <c r="AA1546" s="52"/>
      <c r="AB1546" s="52"/>
      <c r="AC1546" s="52"/>
      <c r="AD1546" s="52"/>
      <c r="AE1546" s="52"/>
      <c r="AF1546" s="52"/>
      <c r="AG1546" s="52"/>
      <c r="AH1546" s="52"/>
      <c r="AI1546" s="52"/>
      <c r="AJ1546" s="52"/>
      <c r="AK1546" s="52"/>
      <c r="AL1546" s="52"/>
      <c r="AM1546" s="52"/>
      <c r="AN1546" s="52"/>
      <c r="AO1546" s="52"/>
      <c r="AP1546" s="52"/>
      <c r="AQ1546" s="52"/>
      <c r="AR1546" s="52"/>
      <c r="AS1546" s="52"/>
      <c r="AT1546" s="52"/>
      <c r="AU1546" s="52"/>
      <c r="AV1546" s="52"/>
      <c r="AW1546" s="52"/>
    </row>
    <row r="1547" spans="1:49">
      <c r="A1547" s="52"/>
      <c r="B1547" s="52"/>
      <c r="C1547" s="52"/>
      <c r="D1547" s="53"/>
      <c r="E1547" s="53"/>
      <c r="F1547" s="53"/>
      <c r="G1547" s="53"/>
      <c r="H1547" s="53"/>
      <c r="I1547" s="52"/>
      <c r="J1547" s="52"/>
      <c r="K1547" s="53"/>
      <c r="L1547" s="52"/>
      <c r="M1547" s="55"/>
      <c r="N1547" s="54"/>
      <c r="O1547" s="52"/>
      <c r="P1547" s="52"/>
      <c r="Q1547" s="52"/>
      <c r="R1547" s="52"/>
      <c r="S1547" s="52"/>
      <c r="T1547" s="52"/>
      <c r="U1547" s="52"/>
      <c r="V1547" s="52"/>
      <c r="W1547" s="52"/>
      <c r="X1547" s="52"/>
      <c r="Y1547" s="52"/>
      <c r="Z1547" s="52"/>
      <c r="AA1547" s="52"/>
      <c r="AB1547" s="52"/>
      <c r="AC1547" s="52"/>
      <c r="AD1547" s="52"/>
      <c r="AE1547" s="52"/>
      <c r="AF1547" s="52"/>
      <c r="AG1547" s="52"/>
      <c r="AH1547" s="52"/>
      <c r="AI1547" s="52"/>
      <c r="AJ1547" s="52"/>
      <c r="AK1547" s="52"/>
      <c r="AL1547" s="52"/>
      <c r="AM1547" s="52"/>
      <c r="AN1547" s="52"/>
      <c r="AO1547" s="52"/>
      <c r="AP1547" s="52"/>
      <c r="AQ1547" s="52"/>
      <c r="AR1547" s="52"/>
      <c r="AS1547" s="52"/>
      <c r="AT1547" s="52"/>
      <c r="AU1547" s="52"/>
      <c r="AV1547" s="52"/>
      <c r="AW1547" s="52"/>
    </row>
    <row r="1548" spans="1:49">
      <c r="A1548" s="52"/>
      <c r="B1548" s="52"/>
      <c r="C1548" s="52"/>
      <c r="D1548" s="53"/>
      <c r="E1548" s="53"/>
      <c r="F1548" s="53"/>
      <c r="G1548" s="53"/>
      <c r="H1548" s="53"/>
      <c r="I1548" s="52"/>
      <c r="J1548" s="52"/>
      <c r="K1548" s="53"/>
      <c r="L1548" s="52"/>
      <c r="M1548" s="55"/>
      <c r="N1548" s="54"/>
      <c r="O1548" s="52"/>
      <c r="P1548" s="52"/>
      <c r="Q1548" s="52"/>
      <c r="R1548" s="52"/>
      <c r="S1548" s="52"/>
      <c r="T1548" s="52"/>
      <c r="U1548" s="52"/>
      <c r="V1548" s="52"/>
      <c r="W1548" s="52"/>
      <c r="X1548" s="52"/>
      <c r="Y1548" s="52"/>
      <c r="Z1548" s="52"/>
      <c r="AA1548" s="52"/>
      <c r="AB1548" s="52"/>
      <c r="AC1548" s="52"/>
      <c r="AD1548" s="52"/>
      <c r="AE1548" s="52"/>
      <c r="AF1548" s="52"/>
      <c r="AG1548" s="52"/>
      <c r="AH1548" s="52"/>
      <c r="AI1548" s="52"/>
      <c r="AJ1548" s="52"/>
      <c r="AK1548" s="52"/>
      <c r="AL1548" s="52"/>
      <c r="AM1548" s="52"/>
      <c r="AN1548" s="52"/>
      <c r="AO1548" s="52"/>
      <c r="AP1548" s="52"/>
      <c r="AQ1548" s="52"/>
      <c r="AR1548" s="52"/>
      <c r="AS1548" s="52"/>
      <c r="AT1548" s="52"/>
      <c r="AU1548" s="52"/>
      <c r="AV1548" s="52"/>
      <c r="AW1548" s="52"/>
    </row>
    <row r="1549" spans="1:49">
      <c r="A1549" s="52"/>
      <c r="B1549" s="52"/>
      <c r="C1549" s="52"/>
      <c r="D1549" s="53"/>
      <c r="E1549" s="53"/>
      <c r="F1549" s="53"/>
      <c r="G1549" s="53"/>
      <c r="H1549" s="52"/>
      <c r="I1549" s="52"/>
      <c r="J1549" s="52"/>
      <c r="K1549" s="53"/>
      <c r="L1549" s="52"/>
      <c r="M1549" s="55"/>
      <c r="N1549" s="54"/>
      <c r="O1549" s="52"/>
      <c r="P1549" s="52"/>
      <c r="Q1549" s="52"/>
      <c r="R1549" s="52"/>
      <c r="S1549" s="52"/>
      <c r="T1549" s="52"/>
      <c r="U1549" s="52"/>
      <c r="V1549" s="52"/>
      <c r="W1549" s="52"/>
      <c r="X1549" s="52"/>
      <c r="Y1549" s="52"/>
      <c r="Z1549" s="52"/>
      <c r="AA1549" s="52"/>
      <c r="AB1549" s="52"/>
      <c r="AC1549" s="52"/>
      <c r="AD1549" s="52"/>
      <c r="AE1549" s="52"/>
      <c r="AF1549" s="52"/>
      <c r="AG1549" s="52"/>
      <c r="AH1549" s="52"/>
      <c r="AI1549" s="52"/>
      <c r="AJ1549" s="52"/>
      <c r="AK1549" s="52"/>
      <c r="AL1549" s="52"/>
      <c r="AM1549" s="52"/>
      <c r="AN1549" s="52"/>
      <c r="AO1549" s="52"/>
      <c r="AP1549" s="52"/>
      <c r="AQ1549" s="52"/>
      <c r="AR1549" s="52"/>
      <c r="AS1549" s="52"/>
      <c r="AT1549" s="52"/>
      <c r="AU1549" s="52"/>
      <c r="AV1549" s="52"/>
      <c r="AW1549" s="52"/>
    </row>
    <row r="1550" spans="1:49">
      <c r="A1550" s="52"/>
      <c r="B1550" s="52"/>
      <c r="C1550" s="52"/>
      <c r="D1550" s="53"/>
      <c r="E1550" s="53"/>
      <c r="F1550" s="52"/>
      <c r="G1550" s="53"/>
      <c r="H1550" s="52"/>
      <c r="I1550" s="52"/>
      <c r="J1550" s="52"/>
      <c r="K1550" s="53"/>
      <c r="L1550" s="52"/>
      <c r="M1550" s="52"/>
      <c r="N1550" s="52"/>
      <c r="O1550" s="52"/>
      <c r="P1550" s="52"/>
      <c r="Q1550" s="52"/>
      <c r="R1550" s="52"/>
      <c r="S1550" s="52"/>
      <c r="T1550" s="52"/>
      <c r="U1550" s="52"/>
      <c r="V1550" s="52"/>
      <c r="W1550" s="52"/>
      <c r="X1550" s="52"/>
      <c r="Y1550" s="52"/>
      <c r="Z1550" s="52"/>
      <c r="AA1550" s="52"/>
      <c r="AB1550" s="52"/>
      <c r="AC1550" s="52"/>
      <c r="AD1550" s="52"/>
      <c r="AE1550" s="52"/>
      <c r="AF1550" s="52"/>
      <c r="AG1550" s="52"/>
      <c r="AH1550" s="52"/>
      <c r="AI1550" s="52"/>
      <c r="AJ1550" s="52"/>
      <c r="AK1550" s="52"/>
      <c r="AL1550" s="52"/>
      <c r="AM1550" s="52"/>
      <c r="AN1550" s="52"/>
      <c r="AO1550" s="52"/>
      <c r="AP1550" s="52"/>
      <c r="AQ1550" s="52"/>
      <c r="AR1550" s="52"/>
      <c r="AS1550" s="52"/>
      <c r="AT1550" s="52"/>
      <c r="AU1550" s="52"/>
      <c r="AV1550" s="52"/>
      <c r="AW1550" s="52"/>
    </row>
    <row r="1551" spans="1:49">
      <c r="A1551" s="52"/>
      <c r="B1551" s="52"/>
      <c r="C1551" s="52"/>
      <c r="D1551" s="53"/>
      <c r="E1551" s="53"/>
      <c r="F1551" s="52"/>
      <c r="G1551" s="53"/>
      <c r="H1551" s="52"/>
      <c r="I1551" s="52"/>
      <c r="J1551" s="52"/>
      <c r="K1551" s="53"/>
      <c r="L1551" s="52"/>
      <c r="M1551" s="52"/>
      <c r="N1551" s="52"/>
      <c r="O1551" s="52"/>
      <c r="P1551" s="52"/>
      <c r="Q1551" s="52"/>
      <c r="R1551" s="52"/>
      <c r="S1551" s="52"/>
      <c r="T1551" s="52"/>
      <c r="U1551" s="52"/>
      <c r="V1551" s="52"/>
      <c r="W1551" s="52"/>
      <c r="X1551" s="52"/>
      <c r="Y1551" s="52"/>
      <c r="Z1551" s="52"/>
      <c r="AA1551" s="52"/>
      <c r="AB1551" s="52"/>
      <c r="AC1551" s="52"/>
      <c r="AD1551" s="52"/>
      <c r="AE1551" s="52"/>
      <c r="AF1551" s="52"/>
      <c r="AG1551" s="52"/>
      <c r="AH1551" s="52"/>
      <c r="AI1551" s="52"/>
      <c r="AJ1551" s="52"/>
      <c r="AK1551" s="52"/>
      <c r="AL1551" s="52"/>
      <c r="AM1551" s="52"/>
      <c r="AN1551" s="52"/>
      <c r="AO1551" s="52"/>
      <c r="AP1551" s="52"/>
      <c r="AQ1551" s="52"/>
      <c r="AR1551" s="52"/>
      <c r="AS1551" s="52"/>
      <c r="AT1551" s="52"/>
      <c r="AU1551" s="52"/>
      <c r="AV1551" s="52"/>
      <c r="AW1551" s="52"/>
    </row>
    <row r="1552" spans="1:49">
      <c r="A1552" s="52"/>
      <c r="B1552" s="52"/>
      <c r="C1552" s="52"/>
      <c r="D1552" s="53"/>
      <c r="E1552" s="53"/>
      <c r="F1552" s="53"/>
      <c r="G1552" s="53"/>
      <c r="H1552" s="52"/>
      <c r="I1552" s="52"/>
      <c r="J1552" s="52"/>
      <c r="K1552" s="53"/>
      <c r="L1552" s="52"/>
      <c r="M1552" s="54"/>
      <c r="N1552" s="55"/>
      <c r="O1552" s="52"/>
      <c r="P1552" s="52"/>
      <c r="Q1552" s="52"/>
      <c r="R1552" s="52"/>
      <c r="S1552" s="52"/>
      <c r="T1552" s="52"/>
      <c r="U1552" s="52"/>
      <c r="V1552" s="52"/>
      <c r="W1552" s="52"/>
      <c r="X1552" s="52"/>
      <c r="Y1552" s="52"/>
      <c r="Z1552" s="52"/>
      <c r="AA1552" s="52"/>
      <c r="AB1552" s="52"/>
      <c r="AC1552" s="52"/>
      <c r="AD1552" s="52"/>
      <c r="AE1552" s="52"/>
      <c r="AF1552" s="52"/>
      <c r="AG1552" s="52"/>
      <c r="AH1552" s="52"/>
      <c r="AI1552" s="52"/>
      <c r="AJ1552" s="52"/>
      <c r="AK1552" s="52"/>
      <c r="AL1552" s="55"/>
      <c r="AM1552" s="52"/>
      <c r="AN1552" s="52"/>
      <c r="AO1552" s="52"/>
      <c r="AP1552" s="52"/>
      <c r="AQ1552" s="52"/>
      <c r="AR1552" s="52"/>
      <c r="AS1552" s="52"/>
      <c r="AT1552" s="52"/>
      <c r="AU1552" s="52"/>
      <c r="AV1552" s="52"/>
      <c r="AW1552" s="52"/>
    </row>
    <row r="1553" spans="1:49">
      <c r="A1553" s="52"/>
      <c r="B1553" s="52"/>
      <c r="C1553" s="52"/>
      <c r="D1553" s="53"/>
      <c r="E1553" s="53"/>
      <c r="F1553" s="53"/>
      <c r="G1553" s="53"/>
      <c r="H1553" s="52"/>
      <c r="I1553" s="52"/>
      <c r="J1553" s="52"/>
      <c r="K1553" s="53"/>
      <c r="L1553" s="52"/>
      <c r="M1553" s="55"/>
      <c r="N1553" s="55"/>
      <c r="O1553" s="52"/>
      <c r="P1553" s="52"/>
      <c r="Q1553" s="52"/>
      <c r="R1553" s="52"/>
      <c r="S1553" s="52"/>
      <c r="T1553" s="52"/>
      <c r="U1553" s="52"/>
      <c r="V1553" s="52"/>
      <c r="W1553" s="52"/>
      <c r="X1553" s="52"/>
      <c r="Y1553" s="52"/>
      <c r="Z1553" s="52"/>
      <c r="AA1553" s="52"/>
      <c r="AB1553" s="52"/>
      <c r="AC1553" s="52"/>
      <c r="AD1553" s="52"/>
      <c r="AE1553" s="52"/>
      <c r="AF1553" s="52"/>
      <c r="AG1553" s="52"/>
      <c r="AH1553" s="52"/>
      <c r="AI1553" s="53"/>
      <c r="AJ1553" s="53"/>
      <c r="AK1553" s="53"/>
      <c r="AL1553" s="55"/>
      <c r="AM1553" s="52"/>
      <c r="AN1553" s="55"/>
      <c r="AO1553" s="52"/>
      <c r="AP1553" s="55"/>
      <c r="AQ1553" s="52"/>
      <c r="AR1553" s="52"/>
      <c r="AS1553" s="52"/>
      <c r="AT1553" s="52"/>
      <c r="AU1553" s="52"/>
      <c r="AV1553" s="52"/>
      <c r="AW1553" s="52"/>
    </row>
    <row r="1554" spans="1:49">
      <c r="A1554" s="52"/>
      <c r="B1554" s="52"/>
      <c r="C1554" s="52"/>
      <c r="D1554" s="53"/>
      <c r="E1554" s="53"/>
      <c r="F1554" s="53"/>
      <c r="G1554" s="53"/>
      <c r="H1554" s="52"/>
      <c r="I1554" s="52"/>
      <c r="J1554" s="52"/>
      <c r="K1554" s="53"/>
      <c r="L1554" s="52"/>
      <c r="M1554" s="55"/>
      <c r="N1554" s="55"/>
      <c r="O1554" s="52"/>
      <c r="P1554" s="52"/>
      <c r="Q1554" s="52"/>
      <c r="R1554" s="52"/>
      <c r="S1554" s="52"/>
      <c r="T1554" s="52"/>
      <c r="U1554" s="52"/>
      <c r="V1554" s="52"/>
      <c r="W1554" s="52"/>
      <c r="X1554" s="52"/>
      <c r="Y1554" s="52"/>
      <c r="Z1554" s="52"/>
      <c r="AA1554" s="52"/>
      <c r="AB1554" s="52"/>
      <c r="AC1554" s="52"/>
      <c r="AD1554" s="52"/>
      <c r="AE1554" s="52"/>
      <c r="AF1554" s="52"/>
      <c r="AG1554" s="52"/>
      <c r="AH1554" s="52"/>
      <c r="AI1554" s="53"/>
      <c r="AJ1554" s="53"/>
      <c r="AK1554" s="53"/>
      <c r="AL1554" s="55"/>
      <c r="AM1554" s="52"/>
      <c r="AN1554" s="55"/>
      <c r="AO1554" s="52"/>
      <c r="AP1554" s="55"/>
      <c r="AQ1554" s="52"/>
      <c r="AR1554" s="52"/>
      <c r="AS1554" s="52"/>
      <c r="AT1554" s="52"/>
      <c r="AU1554" s="52"/>
      <c r="AV1554" s="52"/>
      <c r="AW1554" s="52"/>
    </row>
    <row r="1555" spans="1:49">
      <c r="A1555" s="52"/>
      <c r="B1555" s="52"/>
      <c r="C1555" s="52"/>
      <c r="D1555" s="53"/>
      <c r="E1555" s="53"/>
      <c r="F1555" s="52"/>
      <c r="G1555" s="52"/>
      <c r="H1555" s="52"/>
      <c r="I1555" s="52"/>
      <c r="J1555" s="52"/>
      <c r="K1555" s="52"/>
      <c r="L1555" s="52"/>
      <c r="M1555" s="55"/>
      <c r="N1555" s="54"/>
      <c r="O1555" s="52"/>
      <c r="P1555" s="52"/>
      <c r="Q1555" s="52"/>
      <c r="R1555" s="52"/>
      <c r="S1555" s="52"/>
      <c r="T1555" s="52"/>
      <c r="U1555" s="52"/>
      <c r="V1555" s="52"/>
      <c r="W1555" s="52"/>
      <c r="X1555" s="52"/>
      <c r="Y1555" s="52"/>
      <c r="Z1555" s="52"/>
      <c r="AA1555" s="52"/>
      <c r="AB1555" s="52"/>
      <c r="AC1555" s="52"/>
      <c r="AD1555" s="52"/>
      <c r="AE1555" s="52"/>
      <c r="AF1555" s="52"/>
      <c r="AG1555" s="52"/>
      <c r="AH1555" s="52"/>
      <c r="AI1555" s="52"/>
      <c r="AJ1555" s="52"/>
      <c r="AK1555" s="52"/>
      <c r="AL1555" s="52"/>
      <c r="AM1555" s="52"/>
      <c r="AN1555" s="52"/>
      <c r="AO1555" s="52"/>
      <c r="AP1555" s="52"/>
      <c r="AQ1555" s="52"/>
      <c r="AR1555" s="52"/>
      <c r="AS1555" s="52"/>
      <c r="AT1555" s="52"/>
      <c r="AU1555" s="52"/>
      <c r="AV1555" s="52"/>
      <c r="AW1555" s="52"/>
    </row>
    <row r="1556" spans="1:49">
      <c r="A1556" s="52"/>
      <c r="B1556" s="52"/>
      <c r="C1556" s="52"/>
      <c r="D1556" s="53"/>
      <c r="E1556" s="53"/>
      <c r="F1556" s="52"/>
      <c r="G1556" s="52"/>
      <c r="H1556" s="52"/>
      <c r="I1556" s="52"/>
      <c r="J1556" s="52"/>
      <c r="K1556" s="52"/>
      <c r="L1556" s="52"/>
      <c r="M1556" s="52"/>
      <c r="N1556" s="52"/>
      <c r="O1556" s="52"/>
      <c r="P1556" s="52"/>
      <c r="Q1556" s="52"/>
      <c r="R1556" s="52"/>
      <c r="S1556" s="52"/>
      <c r="T1556" s="52"/>
      <c r="U1556" s="52"/>
      <c r="V1556" s="52"/>
      <c r="W1556" s="52"/>
      <c r="X1556" s="52"/>
      <c r="Y1556" s="52"/>
      <c r="Z1556" s="52"/>
      <c r="AA1556" s="52"/>
      <c r="AB1556" s="52"/>
      <c r="AC1556" s="52"/>
      <c r="AD1556" s="52"/>
      <c r="AE1556" s="52"/>
      <c r="AF1556" s="52"/>
      <c r="AG1556" s="52"/>
      <c r="AH1556" s="52"/>
      <c r="AI1556" s="52"/>
      <c r="AJ1556" s="52"/>
      <c r="AK1556" s="52"/>
      <c r="AL1556" s="52"/>
      <c r="AM1556" s="52"/>
      <c r="AN1556" s="52"/>
      <c r="AO1556" s="52"/>
      <c r="AP1556" s="52"/>
      <c r="AQ1556" s="52"/>
      <c r="AR1556" s="52"/>
      <c r="AS1556" s="52"/>
      <c r="AT1556" s="52"/>
      <c r="AU1556" s="52"/>
      <c r="AV1556" s="52"/>
      <c r="AW1556" s="52"/>
    </row>
    <row r="1557" spans="1:49">
      <c r="A1557" s="52"/>
      <c r="B1557" s="52"/>
      <c r="C1557" s="52"/>
      <c r="D1557" s="53"/>
      <c r="E1557" s="53"/>
      <c r="F1557" s="53"/>
      <c r="G1557" s="53"/>
      <c r="H1557" s="52"/>
      <c r="I1557" s="52"/>
      <c r="J1557" s="52"/>
      <c r="K1557" s="53"/>
      <c r="L1557" s="52"/>
      <c r="M1557" s="54"/>
      <c r="N1557" s="55"/>
      <c r="O1557" s="52"/>
      <c r="P1557" s="52"/>
      <c r="Q1557" s="52"/>
      <c r="R1557" s="52"/>
      <c r="S1557" s="52"/>
      <c r="T1557" s="52"/>
      <c r="U1557" s="52"/>
      <c r="V1557" s="52"/>
      <c r="W1557" s="52"/>
      <c r="X1557" s="52"/>
      <c r="Y1557" s="52"/>
      <c r="Z1557" s="52"/>
      <c r="AA1557" s="52"/>
      <c r="AB1557" s="52"/>
      <c r="AC1557" s="52"/>
      <c r="AD1557" s="52"/>
      <c r="AE1557" s="52"/>
      <c r="AF1557" s="52"/>
      <c r="AG1557" s="52"/>
      <c r="AH1557" s="52"/>
      <c r="AI1557" s="52"/>
      <c r="AJ1557" s="52"/>
      <c r="AK1557" s="52"/>
      <c r="AL1557" s="55"/>
      <c r="AM1557" s="52"/>
      <c r="AN1557" s="52"/>
      <c r="AO1557" s="52"/>
      <c r="AP1557" s="52"/>
      <c r="AQ1557" s="52"/>
      <c r="AR1557" s="52"/>
      <c r="AS1557" s="52"/>
      <c r="AT1557" s="52"/>
      <c r="AU1557" s="52"/>
      <c r="AV1557" s="52"/>
      <c r="AW1557" s="52"/>
    </row>
    <row r="1558" spans="1:49">
      <c r="A1558" s="52"/>
      <c r="B1558" s="52"/>
      <c r="C1558" s="52"/>
      <c r="D1558" s="53"/>
      <c r="E1558" s="53"/>
      <c r="F1558" s="53"/>
      <c r="G1558" s="53"/>
      <c r="H1558" s="52"/>
      <c r="I1558" s="52"/>
      <c r="J1558" s="52"/>
      <c r="K1558" s="53"/>
      <c r="L1558" s="52"/>
      <c r="M1558" s="54"/>
      <c r="N1558" s="55"/>
      <c r="O1558" s="52"/>
      <c r="P1558" s="52"/>
      <c r="Q1558" s="52"/>
      <c r="R1558" s="52"/>
      <c r="S1558" s="52"/>
      <c r="T1558" s="52"/>
      <c r="U1558" s="52"/>
      <c r="V1558" s="52"/>
      <c r="W1558" s="52"/>
      <c r="X1558" s="52"/>
      <c r="Y1558" s="52"/>
      <c r="Z1558" s="52"/>
      <c r="AA1558" s="52"/>
      <c r="AB1558" s="52"/>
      <c r="AC1558" s="52"/>
      <c r="AD1558" s="52"/>
      <c r="AE1558" s="52"/>
      <c r="AF1558" s="52"/>
      <c r="AG1558" s="52"/>
      <c r="AH1558" s="52"/>
      <c r="AI1558" s="53"/>
      <c r="AJ1558" s="53"/>
      <c r="AK1558" s="53"/>
      <c r="AL1558" s="55"/>
      <c r="AM1558" s="52"/>
      <c r="AN1558" s="55"/>
      <c r="AO1558" s="52"/>
      <c r="AP1558" s="55"/>
      <c r="AQ1558" s="52"/>
      <c r="AR1558" s="52"/>
      <c r="AS1558" s="52"/>
      <c r="AT1558" s="52"/>
      <c r="AU1558" s="52"/>
      <c r="AV1558" s="52"/>
      <c r="AW1558" s="52"/>
    </row>
    <row r="1559" spans="1:49">
      <c r="A1559" s="52"/>
      <c r="B1559" s="52"/>
      <c r="C1559" s="52"/>
      <c r="D1559" s="53"/>
      <c r="E1559" s="53"/>
      <c r="F1559" s="53"/>
      <c r="G1559" s="53"/>
      <c r="H1559" s="52"/>
      <c r="I1559" s="52"/>
      <c r="J1559" s="52"/>
      <c r="K1559" s="53"/>
      <c r="L1559" s="52"/>
      <c r="M1559" s="54"/>
      <c r="N1559" s="55"/>
      <c r="O1559" s="52"/>
      <c r="P1559" s="52"/>
      <c r="Q1559" s="52"/>
      <c r="R1559" s="52"/>
      <c r="S1559" s="52"/>
      <c r="T1559" s="52"/>
      <c r="U1559" s="52"/>
      <c r="V1559" s="52"/>
      <c r="W1559" s="52"/>
      <c r="X1559" s="52"/>
      <c r="Y1559" s="52"/>
      <c r="Z1559" s="52"/>
      <c r="AA1559" s="52"/>
      <c r="AB1559" s="52"/>
      <c r="AC1559" s="52"/>
      <c r="AD1559" s="52"/>
      <c r="AE1559" s="52"/>
      <c r="AF1559" s="52"/>
      <c r="AG1559" s="52"/>
      <c r="AH1559" s="52"/>
      <c r="AI1559" s="53"/>
      <c r="AJ1559" s="53"/>
      <c r="AK1559" s="53"/>
      <c r="AL1559" s="55"/>
      <c r="AM1559" s="52"/>
      <c r="AN1559" s="55"/>
      <c r="AO1559" s="52"/>
      <c r="AP1559" s="55"/>
      <c r="AQ1559" s="52"/>
      <c r="AR1559" s="52"/>
      <c r="AS1559" s="52"/>
      <c r="AT1559" s="52"/>
      <c r="AU1559" s="52"/>
      <c r="AV1559" s="52"/>
      <c r="AW1559" s="52"/>
    </row>
    <row r="1560" spans="1:49">
      <c r="A1560" s="52"/>
      <c r="B1560" s="52"/>
      <c r="C1560" s="52"/>
      <c r="D1560" s="53"/>
      <c r="E1560" s="53"/>
      <c r="F1560" s="53"/>
      <c r="G1560" s="53"/>
      <c r="H1560" s="52"/>
      <c r="I1560" s="52"/>
      <c r="J1560" s="52"/>
      <c r="K1560" s="53"/>
      <c r="L1560" s="52"/>
      <c r="M1560" s="54"/>
      <c r="N1560" s="55"/>
      <c r="O1560" s="52"/>
      <c r="P1560" s="52"/>
      <c r="Q1560" s="52"/>
      <c r="R1560" s="52"/>
      <c r="S1560" s="52"/>
      <c r="T1560" s="52"/>
      <c r="U1560" s="52"/>
      <c r="V1560" s="52"/>
      <c r="W1560" s="52"/>
      <c r="X1560" s="52"/>
      <c r="Y1560" s="52"/>
      <c r="Z1560" s="52"/>
      <c r="AA1560" s="52"/>
      <c r="AB1560" s="52"/>
      <c r="AC1560" s="52"/>
      <c r="AD1560" s="52"/>
      <c r="AE1560" s="52"/>
      <c r="AF1560" s="52"/>
      <c r="AG1560" s="52"/>
      <c r="AH1560" s="52"/>
      <c r="AI1560" s="53"/>
      <c r="AJ1560" s="53"/>
      <c r="AK1560" s="53"/>
      <c r="AL1560" s="52"/>
      <c r="AM1560" s="52"/>
      <c r="AN1560" s="55"/>
      <c r="AO1560" s="52"/>
      <c r="AP1560" s="52"/>
      <c r="AQ1560" s="52"/>
      <c r="AR1560" s="52"/>
      <c r="AS1560" s="52"/>
      <c r="AT1560" s="52"/>
      <c r="AU1560" s="52"/>
      <c r="AV1560" s="52"/>
      <c r="AW1560" s="52"/>
    </row>
    <row r="1561" spans="1:49">
      <c r="A1561" s="52"/>
      <c r="B1561" s="52"/>
      <c r="C1561" s="52"/>
      <c r="D1561" s="53"/>
      <c r="E1561" s="53"/>
      <c r="F1561" s="53"/>
      <c r="G1561" s="53"/>
      <c r="H1561" s="52"/>
      <c r="I1561" s="52"/>
      <c r="J1561" s="52"/>
      <c r="K1561" s="53"/>
      <c r="L1561" s="52"/>
      <c r="M1561" s="54"/>
      <c r="N1561" s="55"/>
      <c r="O1561" s="52"/>
      <c r="P1561" s="52"/>
      <c r="Q1561" s="52"/>
      <c r="R1561" s="52"/>
      <c r="S1561" s="52"/>
      <c r="T1561" s="52"/>
      <c r="U1561" s="52"/>
      <c r="V1561" s="52"/>
      <c r="W1561" s="52"/>
      <c r="X1561" s="52"/>
      <c r="Y1561" s="52"/>
      <c r="Z1561" s="52"/>
      <c r="AA1561" s="52"/>
      <c r="AB1561" s="52"/>
      <c r="AC1561" s="52"/>
      <c r="AD1561" s="52"/>
      <c r="AE1561" s="52"/>
      <c r="AF1561" s="52"/>
      <c r="AG1561" s="52"/>
      <c r="AH1561" s="52"/>
      <c r="AI1561" s="53"/>
      <c r="AJ1561" s="53"/>
      <c r="AK1561" s="53"/>
      <c r="AL1561" s="52"/>
      <c r="AM1561" s="52"/>
      <c r="AN1561" s="55"/>
      <c r="AO1561" s="52"/>
      <c r="AP1561" s="52"/>
      <c r="AQ1561" s="52"/>
      <c r="AR1561" s="52"/>
      <c r="AS1561" s="52"/>
      <c r="AT1561" s="52"/>
      <c r="AU1561" s="52"/>
      <c r="AV1561" s="52"/>
      <c r="AW1561" s="52"/>
    </row>
    <row r="1562" spans="1:49">
      <c r="A1562" s="52"/>
      <c r="B1562" s="52"/>
      <c r="C1562" s="52"/>
      <c r="D1562" s="53"/>
      <c r="E1562" s="53"/>
      <c r="F1562" s="53"/>
      <c r="G1562" s="53"/>
      <c r="H1562" s="52"/>
      <c r="I1562" s="52"/>
      <c r="J1562" s="52"/>
      <c r="K1562" s="53"/>
      <c r="L1562" s="52"/>
      <c r="M1562" s="55"/>
      <c r="N1562" s="54"/>
      <c r="O1562" s="52"/>
      <c r="P1562" s="52"/>
      <c r="Q1562" s="52"/>
      <c r="R1562" s="52"/>
      <c r="S1562" s="52"/>
      <c r="T1562" s="52"/>
      <c r="U1562" s="52"/>
      <c r="V1562" s="52"/>
      <c r="W1562" s="52"/>
      <c r="X1562" s="52"/>
      <c r="Y1562" s="52"/>
      <c r="Z1562" s="52"/>
      <c r="AA1562" s="52"/>
      <c r="AB1562" s="52"/>
      <c r="AC1562" s="52"/>
      <c r="AD1562" s="52"/>
      <c r="AE1562" s="52"/>
      <c r="AF1562" s="52"/>
      <c r="AG1562" s="52"/>
      <c r="AH1562" s="52"/>
      <c r="AI1562" s="52"/>
      <c r="AJ1562" s="52"/>
      <c r="AK1562" s="52"/>
      <c r="AL1562" s="52"/>
      <c r="AM1562" s="52"/>
      <c r="AN1562" s="52"/>
      <c r="AO1562" s="52"/>
      <c r="AP1562" s="52"/>
      <c r="AQ1562" s="52"/>
      <c r="AR1562" s="52"/>
      <c r="AS1562" s="52"/>
      <c r="AT1562" s="52"/>
      <c r="AU1562" s="52"/>
      <c r="AV1562" s="52"/>
      <c r="AW1562" s="52"/>
    </row>
    <row r="1563" spans="1:49">
      <c r="A1563" s="52"/>
      <c r="B1563" s="52"/>
      <c r="C1563" s="52"/>
      <c r="D1563" s="53"/>
      <c r="E1563" s="53"/>
      <c r="F1563" s="52"/>
      <c r="G1563" s="53"/>
      <c r="H1563" s="52"/>
      <c r="I1563" s="52"/>
      <c r="J1563" s="52"/>
      <c r="K1563" s="53"/>
      <c r="L1563" s="52"/>
      <c r="M1563" s="52"/>
      <c r="N1563" s="52"/>
      <c r="O1563" s="52"/>
      <c r="P1563" s="52"/>
      <c r="Q1563" s="52"/>
      <c r="R1563" s="52"/>
      <c r="S1563" s="52"/>
      <c r="T1563" s="52"/>
      <c r="U1563" s="52"/>
      <c r="V1563" s="52"/>
      <c r="W1563" s="52"/>
      <c r="X1563" s="52"/>
      <c r="Y1563" s="52"/>
      <c r="Z1563" s="52"/>
      <c r="AA1563" s="52"/>
      <c r="AB1563" s="52"/>
      <c r="AC1563" s="52"/>
      <c r="AD1563" s="52"/>
      <c r="AE1563" s="52"/>
      <c r="AF1563" s="52"/>
      <c r="AG1563" s="52"/>
      <c r="AH1563" s="52"/>
      <c r="AI1563" s="52"/>
      <c r="AJ1563" s="52"/>
      <c r="AK1563" s="52"/>
      <c r="AL1563" s="52"/>
      <c r="AM1563" s="52"/>
      <c r="AN1563" s="52"/>
      <c r="AO1563" s="52"/>
      <c r="AP1563" s="52"/>
      <c r="AQ1563" s="52"/>
      <c r="AR1563" s="52"/>
      <c r="AS1563" s="52"/>
      <c r="AT1563" s="52"/>
      <c r="AU1563" s="52"/>
      <c r="AV1563" s="52"/>
      <c r="AW1563" s="52"/>
    </row>
    <row r="1564" spans="1:49">
      <c r="A1564" s="52"/>
      <c r="B1564" s="52"/>
      <c r="C1564" s="52"/>
      <c r="D1564" s="53"/>
      <c r="E1564" s="53"/>
      <c r="F1564" s="52"/>
      <c r="G1564" s="53"/>
      <c r="H1564" s="52"/>
      <c r="I1564" s="52"/>
      <c r="J1564" s="52"/>
      <c r="K1564" s="53"/>
      <c r="L1564" s="52"/>
      <c r="M1564" s="52"/>
      <c r="N1564" s="52"/>
      <c r="O1564" s="52"/>
      <c r="P1564" s="52"/>
      <c r="Q1564" s="52"/>
      <c r="R1564" s="52"/>
      <c r="S1564" s="52"/>
      <c r="T1564" s="52"/>
      <c r="U1564" s="52"/>
      <c r="V1564" s="52"/>
      <c r="W1564" s="52"/>
      <c r="X1564" s="52"/>
      <c r="Y1564" s="52"/>
      <c r="Z1564" s="52"/>
      <c r="AA1564" s="52"/>
      <c r="AB1564" s="52"/>
      <c r="AC1564" s="52"/>
      <c r="AD1564" s="52"/>
      <c r="AE1564" s="52"/>
      <c r="AF1564" s="52"/>
      <c r="AG1564" s="52"/>
      <c r="AH1564" s="52"/>
      <c r="AI1564" s="52"/>
      <c r="AJ1564" s="52"/>
      <c r="AK1564" s="52"/>
      <c r="AL1564" s="52"/>
      <c r="AM1564" s="52"/>
      <c r="AN1564" s="52"/>
      <c r="AO1564" s="52"/>
      <c r="AP1564" s="52"/>
      <c r="AQ1564" s="52"/>
      <c r="AR1564" s="52"/>
      <c r="AS1564" s="52"/>
      <c r="AT1564" s="52"/>
      <c r="AU1564" s="52"/>
      <c r="AV1564" s="52"/>
      <c r="AW1564" s="52"/>
    </row>
    <row r="1565" spans="1:49">
      <c r="A1565" s="52"/>
      <c r="B1565" s="52"/>
      <c r="C1565" s="52"/>
      <c r="D1565" s="53"/>
      <c r="E1565" s="53"/>
      <c r="F1565" s="53"/>
      <c r="G1565" s="53"/>
      <c r="H1565" s="52"/>
      <c r="I1565" s="52"/>
      <c r="J1565" s="52"/>
      <c r="K1565" s="53"/>
      <c r="L1565" s="52"/>
      <c r="M1565" s="54"/>
      <c r="N1565" s="55"/>
      <c r="O1565" s="52"/>
      <c r="P1565" s="52"/>
      <c r="Q1565" s="52"/>
      <c r="R1565" s="52"/>
      <c r="S1565" s="52"/>
      <c r="T1565" s="52"/>
      <c r="U1565" s="52"/>
      <c r="V1565" s="52"/>
      <c r="W1565" s="52"/>
      <c r="X1565" s="52"/>
      <c r="Y1565" s="52"/>
      <c r="Z1565" s="52"/>
      <c r="AA1565" s="52"/>
      <c r="AB1565" s="52"/>
      <c r="AC1565" s="52"/>
      <c r="AD1565" s="52"/>
      <c r="AE1565" s="52"/>
      <c r="AF1565" s="52"/>
      <c r="AG1565" s="52"/>
      <c r="AH1565" s="52"/>
      <c r="AI1565" s="52"/>
      <c r="AJ1565" s="52"/>
      <c r="AK1565" s="52"/>
      <c r="AL1565" s="52"/>
      <c r="AM1565" s="52"/>
      <c r="AN1565" s="52"/>
      <c r="AO1565" s="52"/>
      <c r="AP1565" s="52"/>
      <c r="AQ1565" s="52"/>
      <c r="AR1565" s="52"/>
      <c r="AS1565" s="52"/>
      <c r="AT1565" s="52"/>
      <c r="AU1565" s="52"/>
      <c r="AV1565" s="52"/>
      <c r="AW1565" s="52"/>
    </row>
    <row r="1566" spans="1:49">
      <c r="A1566" s="52"/>
      <c r="B1566" s="52"/>
      <c r="C1566" s="52"/>
      <c r="D1566" s="53"/>
      <c r="E1566" s="53"/>
      <c r="F1566" s="53"/>
      <c r="G1566" s="53"/>
      <c r="H1566" s="52"/>
      <c r="I1566" s="52"/>
      <c r="J1566" s="52"/>
      <c r="K1566" s="53"/>
      <c r="L1566" s="52"/>
      <c r="M1566" s="54"/>
      <c r="N1566" s="55"/>
      <c r="O1566" s="52"/>
      <c r="P1566" s="52"/>
      <c r="Q1566" s="52"/>
      <c r="R1566" s="52"/>
      <c r="S1566" s="52"/>
      <c r="T1566" s="52"/>
      <c r="U1566" s="52"/>
      <c r="V1566" s="52"/>
      <c r="W1566" s="52"/>
      <c r="X1566" s="52"/>
      <c r="Y1566" s="52"/>
      <c r="Z1566" s="52"/>
      <c r="AA1566" s="52"/>
      <c r="AB1566" s="52"/>
      <c r="AC1566" s="52"/>
      <c r="AD1566" s="52"/>
      <c r="AE1566" s="52"/>
      <c r="AF1566" s="52"/>
      <c r="AG1566" s="52"/>
      <c r="AH1566" s="52"/>
      <c r="AI1566" s="53"/>
      <c r="AJ1566" s="52"/>
      <c r="AK1566" s="53"/>
      <c r="AL1566" s="52"/>
      <c r="AM1566" s="52"/>
      <c r="AN1566" s="52"/>
      <c r="AO1566" s="52"/>
      <c r="AP1566" s="52"/>
      <c r="AQ1566" s="52"/>
      <c r="AR1566" s="52"/>
      <c r="AS1566" s="52"/>
      <c r="AT1566" s="52"/>
      <c r="AU1566" s="52"/>
      <c r="AV1566" s="52"/>
      <c r="AW1566" s="52"/>
    </row>
    <row r="1567" spans="1:49">
      <c r="A1567" s="52"/>
      <c r="B1567" s="52"/>
      <c r="C1567" s="52"/>
      <c r="D1567" s="53"/>
      <c r="E1567" s="53"/>
      <c r="F1567" s="53"/>
      <c r="G1567" s="53"/>
      <c r="H1567" s="52"/>
      <c r="I1567" s="52"/>
      <c r="J1567" s="52"/>
      <c r="K1567" s="53"/>
      <c r="L1567" s="52"/>
      <c r="M1567" s="54"/>
      <c r="N1567" s="55"/>
      <c r="O1567" s="52"/>
      <c r="P1567" s="52"/>
      <c r="Q1567" s="52"/>
      <c r="R1567" s="52"/>
      <c r="S1567" s="52"/>
      <c r="T1567" s="52"/>
      <c r="U1567" s="52"/>
      <c r="V1567" s="52"/>
      <c r="W1567" s="52"/>
      <c r="X1567" s="52"/>
      <c r="Y1567" s="52"/>
      <c r="Z1567" s="52"/>
      <c r="AA1567" s="52"/>
      <c r="AB1567" s="52"/>
      <c r="AC1567" s="52"/>
      <c r="AD1567" s="52"/>
      <c r="AE1567" s="52"/>
      <c r="AF1567" s="52"/>
      <c r="AG1567" s="52"/>
      <c r="AH1567" s="52"/>
      <c r="AI1567" s="53"/>
      <c r="AJ1567" s="52"/>
      <c r="AK1567" s="53"/>
      <c r="AL1567" s="52"/>
      <c r="AM1567" s="52"/>
      <c r="AN1567" s="52"/>
      <c r="AO1567" s="52"/>
      <c r="AP1567" s="52"/>
      <c r="AQ1567" s="52"/>
      <c r="AR1567" s="52"/>
      <c r="AS1567" s="52"/>
      <c r="AT1567" s="52"/>
      <c r="AU1567" s="52"/>
      <c r="AV1567" s="52"/>
      <c r="AW1567" s="52"/>
    </row>
    <row r="1568" spans="1:49">
      <c r="A1568" s="52"/>
      <c r="B1568" s="52"/>
      <c r="C1568" s="52"/>
      <c r="D1568" s="53"/>
      <c r="E1568" s="53"/>
      <c r="F1568" s="53"/>
      <c r="G1568" s="53"/>
      <c r="H1568" s="52"/>
      <c r="I1568" s="52"/>
      <c r="J1568" s="52"/>
      <c r="K1568" s="53"/>
      <c r="L1568" s="52"/>
      <c r="M1568" s="54"/>
      <c r="N1568" s="55"/>
      <c r="O1568" s="52"/>
      <c r="P1568" s="52"/>
      <c r="Q1568" s="52"/>
      <c r="R1568" s="52"/>
      <c r="S1568" s="52"/>
      <c r="T1568" s="52"/>
      <c r="U1568" s="52"/>
      <c r="V1568" s="52"/>
      <c r="W1568" s="52"/>
      <c r="X1568" s="52"/>
      <c r="Y1568" s="52"/>
      <c r="Z1568" s="52"/>
      <c r="AA1568" s="52"/>
      <c r="AB1568" s="52"/>
      <c r="AC1568" s="52"/>
      <c r="AD1568" s="52"/>
      <c r="AE1568" s="52"/>
      <c r="AF1568" s="52"/>
      <c r="AG1568" s="52"/>
      <c r="AH1568" s="52"/>
      <c r="AI1568" s="52"/>
      <c r="AJ1568" s="52"/>
      <c r="AK1568" s="52"/>
      <c r="AL1568" s="52"/>
      <c r="AM1568" s="52"/>
      <c r="AN1568" s="52"/>
      <c r="AO1568" s="52"/>
      <c r="AP1568" s="52"/>
      <c r="AQ1568" s="52"/>
      <c r="AR1568" s="52"/>
      <c r="AS1568" s="52"/>
      <c r="AT1568" s="52"/>
      <c r="AU1568" s="52"/>
      <c r="AV1568" s="52"/>
      <c r="AW1568" s="52"/>
    </row>
    <row r="1569" spans="1:49">
      <c r="A1569" s="52"/>
      <c r="B1569" s="52"/>
      <c r="C1569" s="52"/>
      <c r="D1569" s="53"/>
      <c r="E1569" s="53"/>
      <c r="F1569" s="53"/>
      <c r="G1569" s="53"/>
      <c r="H1569" s="52"/>
      <c r="I1569" s="52"/>
      <c r="J1569" s="52"/>
      <c r="K1569" s="53"/>
      <c r="L1569" s="52"/>
      <c r="M1569" s="54"/>
      <c r="N1569" s="55"/>
      <c r="O1569" s="52"/>
      <c r="P1569" s="52"/>
      <c r="Q1569" s="52"/>
      <c r="R1569" s="52"/>
      <c r="S1569" s="52"/>
      <c r="T1569" s="52"/>
      <c r="U1569" s="52"/>
      <c r="V1569" s="52"/>
      <c r="W1569" s="52"/>
      <c r="X1569" s="52"/>
      <c r="Y1569" s="52"/>
      <c r="Z1569" s="52"/>
      <c r="AA1569" s="52"/>
      <c r="AB1569" s="52"/>
      <c r="AC1569" s="52"/>
      <c r="AD1569" s="52"/>
      <c r="AE1569" s="52"/>
      <c r="AF1569" s="52"/>
      <c r="AG1569" s="52"/>
      <c r="AH1569" s="52"/>
      <c r="AI1569" s="53"/>
      <c r="AJ1569" s="52"/>
      <c r="AK1569" s="53"/>
      <c r="AL1569" s="52"/>
      <c r="AM1569" s="52"/>
      <c r="AN1569" s="52"/>
      <c r="AO1569" s="52"/>
      <c r="AP1569" s="52"/>
      <c r="AQ1569" s="52"/>
      <c r="AR1569" s="52"/>
      <c r="AS1569" s="52"/>
      <c r="AT1569" s="52"/>
      <c r="AU1569" s="52"/>
      <c r="AV1569" s="52"/>
      <c r="AW1569" s="52"/>
    </row>
    <row r="1570" spans="1:49">
      <c r="A1570" s="52"/>
      <c r="B1570" s="52"/>
      <c r="C1570" s="52"/>
      <c r="D1570" s="53"/>
      <c r="E1570" s="53"/>
      <c r="F1570" s="53"/>
      <c r="G1570" s="53"/>
      <c r="H1570" s="52"/>
      <c r="I1570" s="52"/>
      <c r="J1570" s="52"/>
      <c r="K1570" s="53"/>
      <c r="L1570" s="52"/>
      <c r="M1570" s="54"/>
      <c r="N1570" s="55"/>
      <c r="O1570" s="52"/>
      <c r="P1570" s="52"/>
      <c r="Q1570" s="52"/>
      <c r="R1570" s="52"/>
      <c r="S1570" s="52"/>
      <c r="T1570" s="52"/>
      <c r="U1570" s="52"/>
      <c r="V1570" s="52"/>
      <c r="W1570" s="52"/>
      <c r="X1570" s="52"/>
      <c r="Y1570" s="52"/>
      <c r="Z1570" s="52"/>
      <c r="AA1570" s="52"/>
      <c r="AB1570" s="52"/>
      <c r="AC1570" s="52"/>
      <c r="AD1570" s="52"/>
      <c r="AE1570" s="52"/>
      <c r="AF1570" s="52"/>
      <c r="AG1570" s="52"/>
      <c r="AH1570" s="52"/>
      <c r="AI1570" s="53"/>
      <c r="AJ1570" s="52"/>
      <c r="AK1570" s="53"/>
      <c r="AL1570" s="52"/>
      <c r="AM1570" s="52"/>
      <c r="AN1570" s="52"/>
      <c r="AO1570" s="52"/>
      <c r="AP1570" s="52"/>
      <c r="AQ1570" s="52"/>
      <c r="AR1570" s="52"/>
      <c r="AS1570" s="52"/>
      <c r="AT1570" s="52"/>
      <c r="AU1570" s="52"/>
      <c r="AV1570" s="52"/>
      <c r="AW1570" s="52"/>
    </row>
    <row r="1571" spans="1:49">
      <c r="A1571" s="52"/>
      <c r="B1571" s="52"/>
      <c r="C1571" s="52"/>
      <c r="D1571" s="53"/>
      <c r="E1571" s="53"/>
      <c r="F1571" s="53"/>
      <c r="G1571" s="53"/>
      <c r="H1571" s="52"/>
      <c r="I1571" s="52"/>
      <c r="J1571" s="52"/>
      <c r="K1571" s="53"/>
      <c r="L1571" s="52"/>
      <c r="M1571" s="55"/>
      <c r="N1571" s="54"/>
      <c r="O1571" s="52"/>
      <c r="P1571" s="52"/>
      <c r="Q1571" s="52"/>
      <c r="R1571" s="52"/>
      <c r="S1571" s="52"/>
      <c r="T1571" s="52"/>
      <c r="U1571" s="52"/>
      <c r="V1571" s="52"/>
      <c r="W1571" s="52"/>
      <c r="X1571" s="52"/>
      <c r="Y1571" s="52"/>
      <c r="Z1571" s="52"/>
      <c r="AA1571" s="52"/>
      <c r="AB1571" s="52"/>
      <c r="AC1571" s="52"/>
      <c r="AD1571" s="52"/>
      <c r="AE1571" s="52"/>
      <c r="AF1571" s="52"/>
      <c r="AG1571" s="52"/>
      <c r="AH1571" s="52"/>
      <c r="AI1571" s="52"/>
      <c r="AJ1571" s="52"/>
      <c r="AK1571" s="52"/>
      <c r="AL1571" s="52"/>
      <c r="AM1571" s="52"/>
      <c r="AN1571" s="52"/>
      <c r="AO1571" s="52"/>
      <c r="AP1571" s="52"/>
      <c r="AQ1571" s="52"/>
      <c r="AR1571" s="52"/>
      <c r="AS1571" s="52"/>
      <c r="AT1571" s="52"/>
      <c r="AU1571" s="52"/>
      <c r="AV1571" s="52"/>
      <c r="AW1571" s="52"/>
    </row>
    <row r="1572" spans="1:49">
      <c r="A1572" s="52"/>
      <c r="B1572" s="52"/>
      <c r="C1572" s="52"/>
      <c r="D1572" s="53"/>
      <c r="E1572" s="53"/>
      <c r="F1572" s="52"/>
      <c r="G1572" s="53"/>
      <c r="H1572" s="52"/>
      <c r="I1572" s="52"/>
      <c r="J1572" s="52"/>
      <c r="K1572" s="53"/>
      <c r="L1572" s="52"/>
      <c r="M1572" s="52"/>
      <c r="N1572" s="52"/>
      <c r="O1572" s="52"/>
      <c r="P1572" s="52"/>
      <c r="Q1572" s="52"/>
      <c r="R1572" s="52"/>
      <c r="S1572" s="52"/>
      <c r="T1572" s="52"/>
      <c r="U1572" s="52"/>
      <c r="V1572" s="52"/>
      <c r="W1572" s="52"/>
      <c r="X1572" s="52"/>
      <c r="Y1572" s="52"/>
      <c r="Z1572" s="52"/>
      <c r="AA1572" s="52"/>
      <c r="AB1572" s="52"/>
      <c r="AC1572" s="52"/>
      <c r="AD1572" s="52"/>
      <c r="AE1572" s="52"/>
      <c r="AF1572" s="52"/>
      <c r="AG1572" s="52"/>
      <c r="AH1572" s="52"/>
      <c r="AI1572" s="52"/>
      <c r="AJ1572" s="52"/>
      <c r="AK1572" s="52"/>
      <c r="AL1572" s="52"/>
      <c r="AM1572" s="52"/>
      <c r="AN1572" s="52"/>
      <c r="AO1572" s="52"/>
      <c r="AP1572" s="52"/>
      <c r="AQ1572" s="52"/>
      <c r="AR1572" s="52"/>
      <c r="AS1572" s="52"/>
      <c r="AT1572" s="52"/>
      <c r="AU1572" s="52"/>
      <c r="AV1572" s="52"/>
      <c r="AW1572" s="52"/>
    </row>
    <row r="1573" spans="1:49">
      <c r="A1573" s="52"/>
      <c r="B1573" s="52"/>
      <c r="C1573" s="52"/>
      <c r="D1573" s="53"/>
      <c r="E1573" s="53"/>
      <c r="F1573" s="52"/>
      <c r="G1573" s="53"/>
      <c r="H1573" s="52"/>
      <c r="I1573" s="52"/>
      <c r="J1573" s="52"/>
      <c r="K1573" s="53"/>
      <c r="L1573" s="52"/>
      <c r="M1573" s="52"/>
      <c r="N1573" s="52"/>
      <c r="O1573" s="52"/>
      <c r="P1573" s="52"/>
      <c r="Q1573" s="52"/>
      <c r="R1573" s="52"/>
      <c r="S1573" s="52"/>
      <c r="T1573" s="52"/>
      <c r="U1573" s="52"/>
      <c r="V1573" s="52"/>
      <c r="W1573" s="52"/>
      <c r="X1573" s="52"/>
      <c r="Y1573" s="52"/>
      <c r="Z1573" s="52"/>
      <c r="AA1573" s="52"/>
      <c r="AB1573" s="52"/>
      <c r="AC1573" s="52"/>
      <c r="AD1573" s="52"/>
      <c r="AE1573" s="52"/>
      <c r="AF1573" s="52"/>
      <c r="AG1573" s="52"/>
      <c r="AH1573" s="52"/>
      <c r="AI1573" s="52"/>
      <c r="AJ1573" s="52"/>
      <c r="AK1573" s="52"/>
      <c r="AL1573" s="52"/>
      <c r="AM1573" s="52"/>
      <c r="AN1573" s="52"/>
      <c r="AO1573" s="52"/>
      <c r="AP1573" s="52"/>
      <c r="AQ1573" s="52"/>
      <c r="AR1573" s="52"/>
      <c r="AS1573" s="52"/>
      <c r="AT1573" s="52"/>
      <c r="AU1573" s="52"/>
      <c r="AV1573" s="52"/>
      <c r="AW1573" s="52"/>
    </row>
    <row r="1574" spans="1:49">
      <c r="A1574" s="52"/>
      <c r="B1574" s="52"/>
      <c r="C1574" s="52"/>
      <c r="D1574" s="53"/>
      <c r="E1574" s="53"/>
      <c r="F1574" s="52"/>
      <c r="G1574" s="52"/>
      <c r="H1574" s="52"/>
      <c r="I1574" s="52"/>
      <c r="J1574" s="52"/>
      <c r="K1574" s="52"/>
      <c r="L1574" s="52"/>
      <c r="M1574" s="54"/>
      <c r="N1574" s="55"/>
      <c r="O1574" s="52"/>
      <c r="P1574" s="52"/>
      <c r="Q1574" s="52"/>
      <c r="R1574" s="52"/>
      <c r="S1574" s="52"/>
      <c r="T1574" s="52"/>
      <c r="U1574" s="52"/>
      <c r="V1574" s="52"/>
      <c r="W1574" s="52"/>
      <c r="X1574" s="52"/>
      <c r="Y1574" s="52"/>
      <c r="Z1574" s="52"/>
      <c r="AA1574" s="52"/>
      <c r="AB1574" s="52"/>
      <c r="AC1574" s="52"/>
      <c r="AD1574" s="52"/>
      <c r="AE1574" s="52"/>
      <c r="AF1574" s="52"/>
      <c r="AG1574" s="52"/>
      <c r="AH1574" s="52"/>
      <c r="AI1574" s="52"/>
      <c r="AJ1574" s="52"/>
      <c r="AK1574" s="52"/>
      <c r="AL1574" s="52"/>
      <c r="AM1574" s="52"/>
      <c r="AN1574" s="52"/>
      <c r="AO1574" s="52"/>
      <c r="AP1574" s="52"/>
      <c r="AQ1574" s="52"/>
      <c r="AR1574" s="52"/>
      <c r="AS1574" s="52"/>
      <c r="AT1574" s="52"/>
      <c r="AU1574" s="52"/>
      <c r="AV1574" s="52"/>
      <c r="AW1574" s="52"/>
    </row>
    <row r="1575" spans="1:49">
      <c r="A1575" s="52"/>
      <c r="B1575" s="52"/>
      <c r="C1575" s="52"/>
      <c r="D1575" s="53"/>
      <c r="E1575" s="53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  <c r="S1575" s="52"/>
      <c r="T1575" s="52"/>
      <c r="U1575" s="52"/>
      <c r="V1575" s="52"/>
      <c r="W1575" s="52"/>
      <c r="X1575" s="52"/>
      <c r="Y1575" s="52"/>
      <c r="Z1575" s="52"/>
      <c r="AA1575" s="52"/>
      <c r="AB1575" s="52"/>
      <c r="AC1575" s="52"/>
      <c r="AD1575" s="52"/>
      <c r="AE1575" s="52"/>
      <c r="AF1575" s="52"/>
      <c r="AG1575" s="52"/>
      <c r="AH1575" s="52"/>
      <c r="AI1575" s="52"/>
      <c r="AJ1575" s="52"/>
      <c r="AK1575" s="52"/>
      <c r="AL1575" s="52"/>
      <c r="AM1575" s="52"/>
      <c r="AN1575" s="52"/>
      <c r="AO1575" s="52"/>
      <c r="AP1575" s="52"/>
      <c r="AQ1575" s="52"/>
      <c r="AR1575" s="52"/>
      <c r="AS1575" s="52"/>
      <c r="AT1575" s="52"/>
      <c r="AU1575" s="52"/>
      <c r="AV1575" s="52"/>
      <c r="AW1575" s="52"/>
    </row>
    <row r="1576" spans="1:49">
      <c r="A1576" s="52"/>
      <c r="B1576" s="52"/>
      <c r="C1576" s="52"/>
      <c r="D1576" s="53"/>
      <c r="E1576" s="53"/>
      <c r="F1576" s="52"/>
      <c r="G1576" s="52"/>
      <c r="H1576" s="52"/>
      <c r="I1576" s="52"/>
      <c r="J1576" s="52"/>
      <c r="K1576" s="52"/>
      <c r="L1576" s="52"/>
      <c r="M1576" s="54"/>
      <c r="N1576" s="54"/>
      <c r="O1576" s="52"/>
      <c r="P1576" s="52"/>
      <c r="Q1576" s="52"/>
      <c r="R1576" s="52"/>
      <c r="S1576" s="52"/>
      <c r="T1576" s="52"/>
      <c r="U1576" s="52"/>
      <c r="V1576" s="52"/>
      <c r="W1576" s="52"/>
      <c r="X1576" s="52"/>
      <c r="Y1576" s="52"/>
      <c r="Z1576" s="52"/>
      <c r="AA1576" s="52"/>
      <c r="AB1576" s="52"/>
      <c r="AC1576" s="52"/>
      <c r="AD1576" s="52"/>
      <c r="AE1576" s="52"/>
      <c r="AF1576" s="52"/>
      <c r="AG1576" s="52"/>
      <c r="AH1576" s="52"/>
      <c r="AI1576" s="52"/>
      <c r="AJ1576" s="52"/>
      <c r="AK1576" s="52"/>
      <c r="AL1576" s="52"/>
      <c r="AM1576" s="52"/>
      <c r="AN1576" s="52"/>
      <c r="AO1576" s="52"/>
      <c r="AP1576" s="52"/>
      <c r="AQ1576" s="52"/>
      <c r="AR1576" s="52"/>
      <c r="AS1576" s="52"/>
      <c r="AT1576" s="52"/>
      <c r="AU1576" s="52"/>
      <c r="AV1576" s="52"/>
      <c r="AW1576" s="52"/>
    </row>
    <row r="1577" spans="1:49">
      <c r="A1577" s="52"/>
      <c r="B1577" s="52"/>
      <c r="C1577" s="52"/>
      <c r="D1577" s="53"/>
      <c r="E1577" s="53"/>
      <c r="F1577" s="52"/>
      <c r="G1577" s="52"/>
      <c r="H1577" s="52"/>
      <c r="I1577" s="52"/>
      <c r="J1577" s="52"/>
      <c r="K1577" s="52"/>
      <c r="L1577" s="52"/>
      <c r="M1577" s="52"/>
      <c r="N1577" s="52"/>
      <c r="O1577" s="52"/>
      <c r="P1577" s="52"/>
      <c r="Q1577" s="52"/>
      <c r="R1577" s="52"/>
      <c r="S1577" s="52"/>
      <c r="T1577" s="52"/>
      <c r="U1577" s="52"/>
      <c r="V1577" s="52"/>
      <c r="W1577" s="52"/>
      <c r="X1577" s="52"/>
      <c r="Y1577" s="52"/>
      <c r="Z1577" s="52"/>
      <c r="AA1577" s="52"/>
      <c r="AB1577" s="52"/>
      <c r="AC1577" s="52"/>
      <c r="AD1577" s="52"/>
      <c r="AE1577" s="52"/>
      <c r="AF1577" s="52"/>
      <c r="AG1577" s="52"/>
      <c r="AH1577" s="52"/>
      <c r="AI1577" s="52"/>
      <c r="AJ1577" s="52"/>
      <c r="AK1577" s="52"/>
      <c r="AL1577" s="52"/>
      <c r="AM1577" s="52"/>
      <c r="AN1577" s="52"/>
      <c r="AO1577" s="52"/>
      <c r="AP1577" s="52"/>
      <c r="AQ1577" s="52"/>
      <c r="AR1577" s="52"/>
      <c r="AS1577" s="52"/>
      <c r="AT1577" s="52"/>
      <c r="AU1577" s="52"/>
      <c r="AV1577" s="52"/>
      <c r="AW1577" s="52"/>
    </row>
    <row r="1578" spans="1:49">
      <c r="A1578" s="52"/>
      <c r="B1578" s="52"/>
      <c r="C1578" s="52"/>
      <c r="D1578" s="53"/>
      <c r="E1578" s="53"/>
      <c r="F1578" s="52"/>
      <c r="G1578" s="52"/>
      <c r="H1578" s="52"/>
      <c r="I1578" s="52"/>
      <c r="J1578" s="52"/>
      <c r="K1578" s="52"/>
      <c r="L1578" s="52"/>
      <c r="M1578" s="54"/>
      <c r="N1578" s="54"/>
      <c r="O1578" s="52"/>
      <c r="P1578" s="52"/>
      <c r="Q1578" s="52"/>
      <c r="R1578" s="52"/>
      <c r="S1578" s="52"/>
      <c r="T1578" s="52"/>
      <c r="U1578" s="52"/>
      <c r="V1578" s="52"/>
      <c r="W1578" s="52"/>
      <c r="X1578" s="52"/>
      <c r="Y1578" s="52"/>
      <c r="Z1578" s="52"/>
      <c r="AA1578" s="52"/>
      <c r="AB1578" s="52"/>
      <c r="AC1578" s="52"/>
      <c r="AD1578" s="52"/>
      <c r="AE1578" s="52"/>
      <c r="AF1578" s="52"/>
      <c r="AG1578" s="52"/>
      <c r="AH1578" s="52"/>
      <c r="AI1578" s="52"/>
      <c r="AJ1578" s="52"/>
      <c r="AK1578" s="52"/>
      <c r="AL1578" s="52"/>
      <c r="AM1578" s="52"/>
      <c r="AN1578" s="52"/>
      <c r="AO1578" s="52"/>
      <c r="AP1578" s="52"/>
      <c r="AQ1578" s="52"/>
      <c r="AR1578" s="52"/>
      <c r="AS1578" s="52"/>
      <c r="AT1578" s="52"/>
      <c r="AU1578" s="52"/>
      <c r="AV1578" s="52"/>
      <c r="AW1578" s="52"/>
    </row>
    <row r="1579" spans="1:49">
      <c r="A1579" s="52"/>
      <c r="B1579" s="52"/>
      <c r="C1579" s="52"/>
      <c r="D1579" s="53"/>
      <c r="E1579" s="53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  <c r="S1579" s="52"/>
      <c r="T1579" s="52"/>
      <c r="U1579" s="52"/>
      <c r="V1579" s="52"/>
      <c r="W1579" s="52"/>
      <c r="X1579" s="52"/>
      <c r="Y1579" s="52"/>
      <c r="Z1579" s="52"/>
      <c r="AA1579" s="52"/>
      <c r="AB1579" s="52"/>
      <c r="AC1579" s="52"/>
      <c r="AD1579" s="52"/>
      <c r="AE1579" s="52"/>
      <c r="AF1579" s="52"/>
      <c r="AG1579" s="52"/>
      <c r="AH1579" s="52"/>
      <c r="AI1579" s="52"/>
      <c r="AJ1579" s="52"/>
      <c r="AK1579" s="52"/>
      <c r="AL1579" s="52"/>
      <c r="AM1579" s="52"/>
      <c r="AN1579" s="52"/>
      <c r="AO1579" s="52"/>
      <c r="AP1579" s="52"/>
      <c r="AQ1579" s="52"/>
      <c r="AR1579" s="52"/>
      <c r="AS1579" s="52"/>
      <c r="AT1579" s="52"/>
      <c r="AU1579" s="52"/>
      <c r="AV1579" s="52"/>
      <c r="AW1579" s="52"/>
    </row>
    <row r="1580" spans="1:49">
      <c r="A1580" s="52"/>
      <c r="B1580" s="52"/>
      <c r="C1580" s="52"/>
      <c r="D1580" s="53"/>
      <c r="E1580" s="53"/>
      <c r="F1580" s="52"/>
      <c r="G1580" s="52"/>
      <c r="H1580" s="52"/>
      <c r="I1580" s="52"/>
      <c r="J1580" s="52"/>
      <c r="K1580" s="52"/>
      <c r="L1580" s="52"/>
      <c r="M1580" s="54"/>
      <c r="N1580" s="54"/>
      <c r="O1580" s="52"/>
      <c r="P1580" s="52"/>
      <c r="Q1580" s="52"/>
      <c r="R1580" s="52"/>
      <c r="S1580" s="52"/>
      <c r="T1580" s="52"/>
      <c r="U1580" s="52"/>
      <c r="V1580" s="52"/>
      <c r="W1580" s="52"/>
      <c r="X1580" s="52"/>
      <c r="Y1580" s="52"/>
      <c r="Z1580" s="52"/>
      <c r="AA1580" s="52"/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52"/>
      <c r="AN1580" s="52"/>
      <c r="AO1580" s="52"/>
      <c r="AP1580" s="52"/>
      <c r="AQ1580" s="52"/>
      <c r="AR1580" s="52"/>
      <c r="AS1580" s="52"/>
      <c r="AT1580" s="52"/>
      <c r="AU1580" s="52"/>
      <c r="AV1580" s="52"/>
      <c r="AW1580" s="52"/>
    </row>
    <row r="1581" spans="1:49">
      <c r="A1581" s="52"/>
      <c r="B1581" s="52"/>
      <c r="C1581" s="52"/>
      <c r="D1581" s="53"/>
      <c r="E1581" s="53"/>
      <c r="F1581" s="52"/>
      <c r="G1581" s="52"/>
      <c r="H1581" s="52"/>
      <c r="I1581" s="52"/>
      <c r="J1581" s="52"/>
      <c r="K1581" s="52"/>
      <c r="L1581" s="52"/>
      <c r="M1581" s="52"/>
      <c r="N1581" s="52"/>
      <c r="O1581" s="52"/>
      <c r="P1581" s="52"/>
      <c r="Q1581" s="52"/>
      <c r="R1581" s="52"/>
      <c r="S1581" s="52"/>
      <c r="T1581" s="52"/>
      <c r="U1581" s="52"/>
      <c r="V1581" s="52"/>
      <c r="W1581" s="52"/>
      <c r="X1581" s="52"/>
      <c r="Y1581" s="52"/>
      <c r="Z1581" s="52"/>
      <c r="AA1581" s="52"/>
      <c r="AB1581" s="52"/>
      <c r="AC1581" s="52"/>
      <c r="AD1581" s="52"/>
      <c r="AE1581" s="52"/>
      <c r="AF1581" s="52"/>
      <c r="AG1581" s="52"/>
      <c r="AH1581" s="52"/>
      <c r="AI1581" s="52"/>
      <c r="AJ1581" s="52"/>
      <c r="AK1581" s="52"/>
      <c r="AL1581" s="52"/>
      <c r="AM1581" s="52"/>
      <c r="AN1581" s="52"/>
      <c r="AO1581" s="52"/>
      <c r="AP1581" s="52"/>
      <c r="AQ1581" s="52"/>
      <c r="AR1581" s="52"/>
      <c r="AS1581" s="52"/>
      <c r="AT1581" s="52"/>
      <c r="AU1581" s="52"/>
      <c r="AV1581" s="52"/>
      <c r="AW1581" s="52"/>
    </row>
    <row r="1582" spans="1:49">
      <c r="A1582" s="52"/>
      <c r="B1582" s="52"/>
      <c r="C1582" s="52"/>
      <c r="D1582" s="53"/>
      <c r="E1582" s="53"/>
      <c r="F1582" s="52"/>
      <c r="G1582" s="52"/>
      <c r="H1582" s="52"/>
      <c r="I1582" s="52"/>
      <c r="J1582" s="52"/>
      <c r="K1582" s="52"/>
      <c r="L1582" s="52"/>
      <c r="M1582" s="54"/>
      <c r="N1582" s="54"/>
      <c r="O1582" s="52"/>
      <c r="P1582" s="52"/>
      <c r="Q1582" s="52"/>
      <c r="R1582" s="52"/>
      <c r="S1582" s="52"/>
      <c r="T1582" s="52"/>
      <c r="U1582" s="52"/>
      <c r="V1582" s="52"/>
      <c r="W1582" s="52"/>
      <c r="X1582" s="52"/>
      <c r="Y1582" s="52"/>
      <c r="Z1582" s="52"/>
      <c r="AA1582" s="52"/>
      <c r="AB1582" s="52"/>
      <c r="AC1582" s="52"/>
      <c r="AD1582" s="52"/>
      <c r="AE1582" s="52"/>
      <c r="AF1582" s="52"/>
      <c r="AG1582" s="52"/>
      <c r="AH1582" s="52"/>
      <c r="AI1582" s="52"/>
      <c r="AJ1582" s="52"/>
      <c r="AK1582" s="52"/>
      <c r="AL1582" s="52"/>
      <c r="AM1582" s="52"/>
      <c r="AN1582" s="52"/>
      <c r="AO1582" s="52"/>
      <c r="AP1582" s="52"/>
      <c r="AQ1582" s="52"/>
      <c r="AR1582" s="52"/>
      <c r="AS1582" s="52"/>
      <c r="AT1582" s="52"/>
      <c r="AU1582" s="52"/>
      <c r="AV1582" s="52"/>
      <c r="AW1582" s="52"/>
    </row>
    <row r="1583" spans="1:49">
      <c r="A1583" s="52"/>
      <c r="B1583" s="52"/>
      <c r="C1583" s="52"/>
      <c r="D1583" s="53"/>
      <c r="E1583" s="53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  <c r="S1583" s="52"/>
      <c r="T1583" s="52"/>
      <c r="U1583" s="52"/>
      <c r="V1583" s="52"/>
      <c r="W1583" s="52"/>
      <c r="X1583" s="52"/>
      <c r="Y1583" s="52"/>
      <c r="Z1583" s="52"/>
      <c r="AA1583" s="52"/>
      <c r="AB1583" s="52"/>
      <c r="AC1583" s="52"/>
      <c r="AD1583" s="52"/>
      <c r="AE1583" s="52"/>
      <c r="AF1583" s="52"/>
      <c r="AG1583" s="52"/>
      <c r="AH1583" s="52"/>
      <c r="AI1583" s="52"/>
      <c r="AJ1583" s="52"/>
      <c r="AK1583" s="52"/>
      <c r="AL1583" s="52"/>
      <c r="AM1583" s="52"/>
      <c r="AN1583" s="52"/>
      <c r="AO1583" s="52"/>
      <c r="AP1583" s="52"/>
      <c r="AQ1583" s="52"/>
      <c r="AR1583" s="52"/>
      <c r="AS1583" s="52"/>
      <c r="AT1583" s="52"/>
      <c r="AU1583" s="52"/>
      <c r="AV1583" s="52"/>
      <c r="AW1583" s="52"/>
    </row>
    <row r="1584" spans="1:49">
      <c r="A1584" s="52"/>
      <c r="B1584" s="52"/>
      <c r="C1584" s="52"/>
      <c r="D1584" s="53"/>
      <c r="E1584" s="53"/>
      <c r="F1584" s="53"/>
      <c r="G1584" s="53"/>
      <c r="H1584" s="52"/>
      <c r="I1584" s="52"/>
      <c r="J1584" s="52"/>
      <c r="K1584" s="53"/>
      <c r="L1584" s="52"/>
      <c r="M1584" s="54"/>
      <c r="N1584" s="54"/>
      <c r="O1584" s="52"/>
      <c r="P1584" s="52"/>
      <c r="Q1584" s="52"/>
      <c r="R1584" s="52"/>
      <c r="S1584" s="52"/>
      <c r="T1584" s="52"/>
      <c r="U1584" s="52"/>
      <c r="V1584" s="52"/>
      <c r="W1584" s="52"/>
      <c r="X1584" s="52"/>
      <c r="Y1584" s="52"/>
      <c r="Z1584" s="52"/>
      <c r="AA1584" s="52"/>
      <c r="AB1584" s="52"/>
      <c r="AC1584" s="52"/>
      <c r="AD1584" s="52"/>
      <c r="AE1584" s="52"/>
      <c r="AF1584" s="52"/>
      <c r="AG1584" s="52"/>
      <c r="AH1584" s="52"/>
      <c r="AI1584" s="52"/>
      <c r="AJ1584" s="52"/>
      <c r="AK1584" s="52"/>
      <c r="AL1584" s="52"/>
      <c r="AM1584" s="52"/>
      <c r="AN1584" s="52"/>
      <c r="AO1584" s="52"/>
      <c r="AP1584" s="52"/>
      <c r="AQ1584" s="52"/>
      <c r="AR1584" s="52"/>
      <c r="AS1584" s="52"/>
      <c r="AT1584" s="52"/>
      <c r="AU1584" s="52"/>
      <c r="AV1584" s="52"/>
      <c r="AW1584" s="52"/>
    </row>
    <row r="1585" spans="1:49">
      <c r="A1585" s="52"/>
      <c r="B1585" s="52"/>
      <c r="C1585" s="52"/>
      <c r="D1585" s="53"/>
      <c r="E1585" s="53"/>
      <c r="F1585" s="52"/>
      <c r="G1585" s="53"/>
      <c r="H1585" s="52"/>
      <c r="I1585" s="52"/>
      <c r="J1585" s="52"/>
      <c r="K1585" s="53"/>
      <c r="L1585" s="52"/>
      <c r="M1585" s="52"/>
      <c r="N1585" s="52"/>
      <c r="O1585" s="52"/>
      <c r="P1585" s="52"/>
      <c r="Q1585" s="52"/>
      <c r="R1585" s="52"/>
      <c r="S1585" s="52"/>
      <c r="T1585" s="52"/>
      <c r="U1585" s="52"/>
      <c r="V1585" s="52"/>
      <c r="W1585" s="52"/>
      <c r="X1585" s="52"/>
      <c r="Y1585" s="52"/>
      <c r="Z1585" s="52"/>
      <c r="AA1585" s="52"/>
      <c r="AB1585" s="52"/>
      <c r="AC1585" s="52"/>
      <c r="AD1585" s="52"/>
      <c r="AE1585" s="52"/>
      <c r="AF1585" s="52"/>
      <c r="AG1585" s="52"/>
      <c r="AH1585" s="52"/>
      <c r="AI1585" s="52"/>
      <c r="AJ1585" s="52"/>
      <c r="AK1585" s="52"/>
      <c r="AL1585" s="52"/>
      <c r="AM1585" s="52"/>
      <c r="AN1585" s="52"/>
      <c r="AO1585" s="52"/>
      <c r="AP1585" s="52"/>
      <c r="AQ1585" s="52"/>
      <c r="AR1585" s="52"/>
      <c r="AS1585" s="52"/>
      <c r="AT1585" s="52"/>
      <c r="AU1585" s="52"/>
      <c r="AV1585" s="52"/>
      <c r="AW1585" s="52"/>
    </row>
    <row r="1586" spans="1:49">
      <c r="A1586" s="52"/>
      <c r="B1586" s="52"/>
      <c r="C1586" s="52"/>
      <c r="D1586" s="53"/>
      <c r="E1586" s="53"/>
      <c r="F1586" s="52"/>
      <c r="G1586" s="53"/>
      <c r="H1586" s="52"/>
      <c r="I1586" s="52"/>
      <c r="J1586" s="52"/>
      <c r="K1586" s="53"/>
      <c r="L1586" s="52"/>
      <c r="M1586" s="52"/>
      <c r="N1586" s="52"/>
      <c r="O1586" s="52"/>
      <c r="P1586" s="52"/>
      <c r="Q1586" s="52"/>
      <c r="R1586" s="52"/>
      <c r="S1586" s="52"/>
      <c r="T1586" s="52"/>
      <c r="U1586" s="52"/>
      <c r="V1586" s="52"/>
      <c r="W1586" s="52"/>
      <c r="X1586" s="52"/>
      <c r="Y1586" s="52"/>
      <c r="Z1586" s="52"/>
      <c r="AA1586" s="52"/>
      <c r="AB1586" s="52"/>
      <c r="AC1586" s="52"/>
      <c r="AD1586" s="52"/>
      <c r="AE1586" s="52"/>
      <c r="AF1586" s="52"/>
      <c r="AG1586" s="52"/>
      <c r="AH1586" s="52"/>
      <c r="AI1586" s="52"/>
      <c r="AJ1586" s="52"/>
      <c r="AK1586" s="52"/>
      <c r="AL1586" s="52"/>
      <c r="AM1586" s="52"/>
      <c r="AN1586" s="52"/>
      <c r="AO1586" s="52"/>
      <c r="AP1586" s="52"/>
      <c r="AQ1586" s="52"/>
      <c r="AR1586" s="52"/>
      <c r="AS1586" s="52"/>
      <c r="AT1586" s="52"/>
      <c r="AU1586" s="52"/>
      <c r="AV1586" s="52"/>
      <c r="AW1586" s="52"/>
    </row>
    <row r="1587" spans="1:49">
      <c r="A1587" s="52"/>
      <c r="B1587" s="52"/>
      <c r="C1587" s="52"/>
      <c r="D1587" s="53"/>
      <c r="E1587" s="53"/>
      <c r="F1587" s="52"/>
      <c r="G1587" s="52"/>
      <c r="H1587" s="52"/>
      <c r="I1587" s="52"/>
      <c r="J1587" s="52"/>
      <c r="K1587" s="52"/>
      <c r="L1587" s="52"/>
      <c r="M1587" s="54"/>
      <c r="N1587" s="54"/>
      <c r="O1587" s="52"/>
      <c r="P1587" s="52"/>
      <c r="Q1587" s="52"/>
      <c r="R1587" s="52"/>
      <c r="S1587" s="52"/>
      <c r="T1587" s="52"/>
      <c r="U1587" s="52"/>
      <c r="V1587" s="52"/>
      <c r="W1587" s="52"/>
      <c r="X1587" s="52"/>
      <c r="Y1587" s="52"/>
      <c r="Z1587" s="52"/>
      <c r="AA1587" s="52"/>
      <c r="AB1587" s="52"/>
      <c r="AC1587" s="52"/>
      <c r="AD1587" s="52"/>
      <c r="AE1587" s="52"/>
      <c r="AF1587" s="52"/>
      <c r="AG1587" s="52"/>
      <c r="AH1587" s="52"/>
      <c r="AI1587" s="52"/>
      <c r="AJ1587" s="52"/>
      <c r="AK1587" s="52"/>
      <c r="AL1587" s="52"/>
      <c r="AM1587" s="52"/>
      <c r="AN1587" s="52"/>
      <c r="AO1587" s="52"/>
      <c r="AP1587" s="52"/>
      <c r="AQ1587" s="52"/>
      <c r="AR1587" s="52"/>
      <c r="AS1587" s="52"/>
      <c r="AT1587" s="52"/>
      <c r="AU1587" s="52"/>
      <c r="AV1587" s="52"/>
      <c r="AW1587" s="52"/>
    </row>
    <row r="1588" spans="1:49">
      <c r="A1588" s="52"/>
      <c r="B1588" s="52"/>
      <c r="C1588" s="52"/>
      <c r="D1588" s="53"/>
      <c r="E1588" s="53"/>
      <c r="F1588" s="52"/>
      <c r="G1588" s="52"/>
      <c r="H1588" s="52"/>
      <c r="I1588" s="52"/>
      <c r="J1588" s="52"/>
      <c r="K1588" s="52"/>
      <c r="L1588" s="52"/>
      <c r="M1588" s="52"/>
      <c r="N1588" s="52"/>
      <c r="O1588" s="52"/>
      <c r="P1588" s="52"/>
      <c r="Q1588" s="52"/>
      <c r="R1588" s="52"/>
      <c r="S1588" s="52"/>
      <c r="T1588" s="52"/>
      <c r="U1588" s="52"/>
      <c r="V1588" s="52"/>
      <c r="W1588" s="52"/>
      <c r="X1588" s="52"/>
      <c r="Y1588" s="52"/>
      <c r="Z1588" s="52"/>
      <c r="AA1588" s="52"/>
      <c r="AB1588" s="52"/>
      <c r="AC1588" s="52"/>
      <c r="AD1588" s="52"/>
      <c r="AE1588" s="52"/>
      <c r="AF1588" s="52"/>
      <c r="AG1588" s="52"/>
      <c r="AH1588" s="52"/>
      <c r="AI1588" s="52"/>
      <c r="AJ1588" s="52"/>
      <c r="AK1588" s="52"/>
      <c r="AL1588" s="52"/>
      <c r="AM1588" s="52"/>
      <c r="AN1588" s="52"/>
      <c r="AO1588" s="52"/>
      <c r="AP1588" s="52"/>
      <c r="AQ1588" s="52"/>
      <c r="AR1588" s="52"/>
      <c r="AS1588" s="52"/>
      <c r="AT1588" s="52"/>
      <c r="AU1588" s="52"/>
      <c r="AV1588" s="52"/>
      <c r="AW1588" s="52"/>
    </row>
    <row r="1589" spans="1:49">
      <c r="A1589" s="52"/>
      <c r="B1589" s="52"/>
      <c r="C1589" s="52"/>
      <c r="D1589" s="53"/>
      <c r="E1589" s="53"/>
      <c r="F1589" s="53"/>
      <c r="G1589" s="53"/>
      <c r="H1589" s="52"/>
      <c r="I1589" s="52"/>
      <c r="J1589" s="52"/>
      <c r="K1589" s="53"/>
      <c r="L1589" s="52"/>
      <c r="M1589" s="55"/>
      <c r="N1589" s="54"/>
      <c r="O1589" s="52"/>
      <c r="P1589" s="52"/>
      <c r="Q1589" s="52"/>
      <c r="R1589" s="52"/>
      <c r="S1589" s="52"/>
      <c r="T1589" s="52"/>
      <c r="U1589" s="52"/>
      <c r="V1589" s="52"/>
      <c r="W1589" s="52"/>
      <c r="X1589" s="52"/>
      <c r="Y1589" s="52"/>
      <c r="Z1589" s="52"/>
      <c r="AA1589" s="52"/>
      <c r="AB1589" s="52"/>
      <c r="AC1589" s="52"/>
      <c r="AD1589" s="52"/>
      <c r="AE1589" s="52"/>
      <c r="AF1589" s="52"/>
      <c r="AG1589" s="52"/>
      <c r="AH1589" s="52"/>
      <c r="AI1589" s="52"/>
      <c r="AJ1589" s="52"/>
      <c r="AK1589" s="52"/>
      <c r="AL1589" s="52"/>
      <c r="AM1589" s="52"/>
      <c r="AN1589" s="52"/>
      <c r="AO1589" s="52"/>
      <c r="AP1589" s="52"/>
      <c r="AQ1589" s="52"/>
      <c r="AR1589" s="52"/>
      <c r="AS1589" s="52"/>
      <c r="AT1589" s="52"/>
      <c r="AU1589" s="52"/>
      <c r="AV1589" s="52"/>
      <c r="AW1589" s="52"/>
    </row>
    <row r="1590" spans="1:49">
      <c r="A1590" s="52"/>
      <c r="B1590" s="52"/>
      <c r="C1590" s="52"/>
      <c r="D1590" s="53"/>
      <c r="E1590" s="53"/>
      <c r="F1590" s="53"/>
      <c r="G1590" s="53"/>
      <c r="H1590" s="52"/>
      <c r="I1590" s="52"/>
      <c r="J1590" s="52"/>
      <c r="K1590" s="53"/>
      <c r="L1590" s="52"/>
      <c r="M1590" s="54"/>
      <c r="N1590" s="55"/>
      <c r="O1590" s="52"/>
      <c r="P1590" s="52"/>
      <c r="Q1590" s="52"/>
      <c r="R1590" s="52"/>
      <c r="S1590" s="52"/>
      <c r="T1590" s="52"/>
      <c r="U1590" s="52"/>
      <c r="V1590" s="52"/>
      <c r="W1590" s="52"/>
      <c r="X1590" s="52"/>
      <c r="Y1590" s="52"/>
      <c r="Z1590" s="52"/>
      <c r="AA1590" s="52"/>
      <c r="AB1590" s="52"/>
      <c r="AC1590" s="52"/>
      <c r="AD1590" s="52"/>
      <c r="AE1590" s="52"/>
      <c r="AF1590" s="52"/>
      <c r="AG1590" s="52"/>
      <c r="AH1590" s="52"/>
      <c r="AI1590" s="52"/>
      <c r="AJ1590" s="52"/>
      <c r="AK1590" s="52"/>
      <c r="AL1590" s="52"/>
      <c r="AM1590" s="52"/>
      <c r="AN1590" s="52"/>
      <c r="AO1590" s="52"/>
      <c r="AP1590" s="52"/>
      <c r="AQ1590" s="52"/>
      <c r="AR1590" s="52"/>
      <c r="AS1590" s="52"/>
      <c r="AT1590" s="52"/>
      <c r="AU1590" s="52"/>
      <c r="AV1590" s="52"/>
      <c r="AW1590" s="52"/>
    </row>
    <row r="1591" spans="1:49">
      <c r="A1591" s="52"/>
      <c r="B1591" s="52"/>
      <c r="C1591" s="52"/>
      <c r="D1591" s="53"/>
      <c r="E1591" s="53"/>
      <c r="F1591" s="53"/>
      <c r="G1591" s="53"/>
      <c r="H1591" s="52"/>
      <c r="I1591" s="52"/>
      <c r="J1591" s="52"/>
      <c r="K1591" s="53"/>
      <c r="L1591" s="52"/>
      <c r="M1591" s="54"/>
      <c r="N1591" s="55"/>
      <c r="O1591" s="52"/>
      <c r="P1591" s="52"/>
      <c r="Q1591" s="52"/>
      <c r="R1591" s="52"/>
      <c r="S1591" s="52"/>
      <c r="T1591" s="52"/>
      <c r="U1591" s="52"/>
      <c r="V1591" s="52"/>
      <c r="W1591" s="52"/>
      <c r="X1591" s="52"/>
      <c r="Y1591" s="52"/>
      <c r="Z1591" s="52"/>
      <c r="AA1591" s="52"/>
      <c r="AB1591" s="52"/>
      <c r="AC1591" s="52"/>
      <c r="AD1591" s="52"/>
      <c r="AE1591" s="52"/>
      <c r="AF1591" s="52"/>
      <c r="AG1591" s="52"/>
      <c r="AH1591" s="52"/>
      <c r="AI1591" s="52"/>
      <c r="AJ1591" s="52"/>
      <c r="AK1591" s="52"/>
      <c r="AL1591" s="52"/>
      <c r="AM1591" s="52"/>
      <c r="AN1591" s="52"/>
      <c r="AO1591" s="52"/>
      <c r="AP1591" s="52"/>
      <c r="AQ1591" s="52"/>
      <c r="AR1591" s="52"/>
      <c r="AS1591" s="52"/>
      <c r="AT1591" s="52"/>
      <c r="AU1591" s="52"/>
      <c r="AV1591" s="52"/>
      <c r="AW1591" s="52"/>
    </row>
    <row r="1592" spans="1:49">
      <c r="A1592" s="52"/>
      <c r="B1592" s="52"/>
      <c r="C1592" s="52"/>
      <c r="D1592" s="53"/>
      <c r="E1592" s="53"/>
      <c r="F1592" s="52"/>
      <c r="G1592" s="52"/>
      <c r="H1592" s="52"/>
      <c r="I1592" s="52"/>
      <c r="J1592" s="52"/>
      <c r="K1592" s="52"/>
      <c r="L1592" s="52"/>
      <c r="M1592" s="54"/>
      <c r="N1592" s="55"/>
      <c r="O1592" s="52"/>
      <c r="P1592" s="52"/>
      <c r="Q1592" s="52"/>
      <c r="R1592" s="52"/>
      <c r="S1592" s="52"/>
      <c r="T1592" s="52"/>
      <c r="U1592" s="52"/>
      <c r="V1592" s="52"/>
      <c r="W1592" s="52"/>
      <c r="X1592" s="52"/>
      <c r="Y1592" s="52"/>
      <c r="Z1592" s="52"/>
      <c r="AA1592" s="52"/>
      <c r="AB1592" s="52"/>
      <c r="AC1592" s="52"/>
      <c r="AD1592" s="52"/>
      <c r="AE1592" s="52"/>
      <c r="AF1592" s="52"/>
      <c r="AG1592" s="52"/>
      <c r="AH1592" s="52"/>
      <c r="AI1592" s="52"/>
      <c r="AJ1592" s="52"/>
      <c r="AK1592" s="52"/>
      <c r="AL1592" s="52"/>
      <c r="AM1592" s="52"/>
      <c r="AN1592" s="52"/>
      <c r="AO1592" s="52"/>
      <c r="AP1592" s="52"/>
      <c r="AQ1592" s="52"/>
      <c r="AR1592" s="52"/>
      <c r="AS1592" s="52"/>
      <c r="AT1592" s="52"/>
      <c r="AU1592" s="52"/>
      <c r="AV1592" s="52"/>
      <c r="AW1592" s="52"/>
    </row>
    <row r="1593" spans="1:49">
      <c r="A1593" s="52"/>
      <c r="B1593" s="52"/>
      <c r="C1593" s="52"/>
      <c r="D1593" s="53"/>
      <c r="E1593" s="53"/>
      <c r="F1593" s="52"/>
      <c r="G1593" s="52"/>
      <c r="H1593" s="52"/>
      <c r="I1593" s="52"/>
      <c r="J1593" s="52"/>
      <c r="K1593" s="52"/>
      <c r="L1593" s="52"/>
      <c r="M1593" s="52"/>
      <c r="N1593" s="52"/>
      <c r="O1593" s="52"/>
      <c r="P1593" s="52"/>
      <c r="Q1593" s="52"/>
      <c r="R1593" s="52"/>
      <c r="S1593" s="52"/>
      <c r="T1593" s="52"/>
      <c r="U1593" s="52"/>
      <c r="V1593" s="52"/>
      <c r="W1593" s="52"/>
      <c r="X1593" s="52"/>
      <c r="Y1593" s="52"/>
      <c r="Z1593" s="52"/>
      <c r="AA1593" s="52"/>
      <c r="AB1593" s="52"/>
      <c r="AC1593" s="52"/>
      <c r="AD1593" s="52"/>
      <c r="AE1593" s="52"/>
      <c r="AF1593" s="52"/>
      <c r="AG1593" s="52"/>
      <c r="AH1593" s="52"/>
      <c r="AI1593" s="52"/>
      <c r="AJ1593" s="52"/>
      <c r="AK1593" s="52"/>
      <c r="AL1593" s="52"/>
      <c r="AM1593" s="52"/>
      <c r="AN1593" s="52"/>
      <c r="AO1593" s="52"/>
      <c r="AP1593" s="52"/>
      <c r="AQ1593" s="52"/>
      <c r="AR1593" s="52"/>
      <c r="AS1593" s="52"/>
      <c r="AT1593" s="52"/>
      <c r="AU1593" s="52"/>
      <c r="AV1593" s="52"/>
      <c r="AW1593" s="52"/>
    </row>
    <row r="1594" spans="1:49">
      <c r="A1594" s="52"/>
      <c r="B1594" s="52"/>
      <c r="C1594" s="52"/>
      <c r="D1594" s="53"/>
      <c r="E1594" s="53"/>
      <c r="F1594" s="53"/>
      <c r="G1594" s="53"/>
      <c r="H1594" s="52"/>
      <c r="I1594" s="52"/>
      <c r="J1594" s="52"/>
      <c r="K1594" s="53"/>
      <c r="L1594" s="52"/>
      <c r="M1594" s="54"/>
      <c r="N1594" s="55"/>
      <c r="O1594" s="52"/>
      <c r="P1594" s="52"/>
      <c r="Q1594" s="52"/>
      <c r="R1594" s="52"/>
      <c r="S1594" s="52"/>
      <c r="T1594" s="52"/>
      <c r="U1594" s="52"/>
      <c r="V1594" s="52"/>
      <c r="W1594" s="52"/>
      <c r="X1594" s="52"/>
      <c r="Y1594" s="52"/>
      <c r="Z1594" s="52"/>
      <c r="AA1594" s="52"/>
      <c r="AB1594" s="52"/>
      <c r="AC1594" s="52"/>
      <c r="AD1594" s="52"/>
      <c r="AE1594" s="52"/>
      <c r="AF1594" s="52"/>
      <c r="AG1594" s="52"/>
      <c r="AH1594" s="52"/>
      <c r="AI1594" s="52"/>
      <c r="AJ1594" s="52"/>
      <c r="AK1594" s="52"/>
      <c r="AL1594" s="55"/>
      <c r="AM1594" s="52"/>
      <c r="AN1594" s="52"/>
      <c r="AO1594" s="52"/>
      <c r="AP1594" s="52"/>
      <c r="AQ1594" s="52"/>
      <c r="AR1594" s="52"/>
      <c r="AS1594" s="52"/>
      <c r="AT1594" s="52"/>
      <c r="AU1594" s="52"/>
      <c r="AV1594" s="52"/>
      <c r="AW1594" s="52"/>
    </row>
    <row r="1595" spans="1:49">
      <c r="A1595" s="52"/>
      <c r="B1595" s="52"/>
      <c r="C1595" s="52"/>
      <c r="D1595" s="53"/>
      <c r="E1595" s="53"/>
      <c r="F1595" s="53"/>
      <c r="G1595" s="53"/>
      <c r="H1595" s="52"/>
      <c r="I1595" s="52"/>
      <c r="J1595" s="52"/>
      <c r="K1595" s="53"/>
      <c r="L1595" s="52"/>
      <c r="M1595" s="54"/>
      <c r="N1595" s="55"/>
      <c r="O1595" s="52"/>
      <c r="P1595" s="52"/>
      <c r="Q1595" s="52"/>
      <c r="R1595" s="52"/>
      <c r="S1595" s="52"/>
      <c r="T1595" s="52"/>
      <c r="U1595" s="52"/>
      <c r="V1595" s="52"/>
      <c r="W1595" s="52"/>
      <c r="X1595" s="52"/>
      <c r="Y1595" s="52"/>
      <c r="Z1595" s="52"/>
      <c r="AA1595" s="52"/>
      <c r="AB1595" s="52"/>
      <c r="AC1595" s="52"/>
      <c r="AD1595" s="52"/>
      <c r="AE1595" s="52"/>
      <c r="AF1595" s="52"/>
      <c r="AG1595" s="52"/>
      <c r="AH1595" s="52"/>
      <c r="AI1595" s="53"/>
      <c r="AJ1595" s="53"/>
      <c r="AK1595" s="53"/>
      <c r="AL1595" s="55"/>
      <c r="AM1595" s="52"/>
      <c r="AN1595" s="55"/>
      <c r="AO1595" s="52"/>
      <c r="AP1595" s="55"/>
      <c r="AQ1595" s="52"/>
      <c r="AR1595" s="52"/>
      <c r="AS1595" s="52"/>
      <c r="AT1595" s="52"/>
      <c r="AU1595" s="52"/>
      <c r="AV1595" s="52"/>
      <c r="AW1595" s="52"/>
    </row>
    <row r="1596" spans="1:49">
      <c r="A1596" s="52"/>
      <c r="B1596" s="52"/>
      <c r="C1596" s="52"/>
      <c r="D1596" s="53"/>
      <c r="E1596" s="53"/>
      <c r="F1596" s="53"/>
      <c r="G1596" s="53"/>
      <c r="H1596" s="52"/>
      <c r="I1596" s="52"/>
      <c r="J1596" s="52"/>
      <c r="K1596" s="53"/>
      <c r="L1596" s="52"/>
      <c r="M1596" s="54"/>
      <c r="N1596" s="55"/>
      <c r="O1596" s="52"/>
      <c r="P1596" s="52"/>
      <c r="Q1596" s="52"/>
      <c r="R1596" s="52"/>
      <c r="S1596" s="52"/>
      <c r="T1596" s="52"/>
      <c r="U1596" s="52"/>
      <c r="V1596" s="52"/>
      <c r="W1596" s="52"/>
      <c r="X1596" s="52"/>
      <c r="Y1596" s="52"/>
      <c r="Z1596" s="52"/>
      <c r="AA1596" s="52"/>
      <c r="AB1596" s="52"/>
      <c r="AC1596" s="52"/>
      <c r="AD1596" s="52"/>
      <c r="AE1596" s="52"/>
      <c r="AF1596" s="52"/>
      <c r="AG1596" s="52"/>
      <c r="AH1596" s="52"/>
      <c r="AI1596" s="53"/>
      <c r="AJ1596" s="53"/>
      <c r="AK1596" s="53"/>
      <c r="AL1596" s="55"/>
      <c r="AM1596" s="52"/>
      <c r="AN1596" s="55"/>
      <c r="AO1596" s="52"/>
      <c r="AP1596" s="55"/>
      <c r="AQ1596" s="52"/>
      <c r="AR1596" s="52"/>
      <c r="AS1596" s="52"/>
      <c r="AT1596" s="52"/>
      <c r="AU1596" s="52"/>
      <c r="AV1596" s="52"/>
      <c r="AW1596" s="52"/>
    </row>
    <row r="1597" spans="1:49">
      <c r="A1597" s="52"/>
      <c r="B1597" s="52"/>
      <c r="C1597" s="52"/>
      <c r="D1597" s="53"/>
      <c r="E1597" s="53"/>
      <c r="F1597" s="53"/>
      <c r="G1597" s="53"/>
      <c r="H1597" s="52"/>
      <c r="I1597" s="52"/>
      <c r="J1597" s="52"/>
      <c r="K1597" s="53"/>
      <c r="L1597" s="52"/>
      <c r="M1597" s="54"/>
      <c r="N1597" s="55"/>
      <c r="O1597" s="52"/>
      <c r="P1597" s="52"/>
      <c r="Q1597" s="52"/>
      <c r="R1597" s="52"/>
      <c r="S1597" s="52"/>
      <c r="T1597" s="52"/>
      <c r="U1597" s="52"/>
      <c r="V1597" s="52"/>
      <c r="W1597" s="52"/>
      <c r="X1597" s="52"/>
      <c r="Y1597" s="52"/>
      <c r="Z1597" s="52"/>
      <c r="AA1597" s="52"/>
      <c r="AB1597" s="52"/>
      <c r="AC1597" s="52"/>
      <c r="AD1597" s="52"/>
      <c r="AE1597" s="52"/>
      <c r="AF1597" s="52"/>
      <c r="AG1597" s="52"/>
      <c r="AH1597" s="52"/>
      <c r="AI1597" s="53"/>
      <c r="AJ1597" s="53"/>
      <c r="AK1597" s="53"/>
      <c r="AL1597" s="52"/>
      <c r="AM1597" s="52"/>
      <c r="AN1597" s="55"/>
      <c r="AO1597" s="52"/>
      <c r="AP1597" s="52"/>
      <c r="AQ1597" s="52"/>
      <c r="AR1597" s="52"/>
      <c r="AS1597" s="52"/>
      <c r="AT1597" s="52"/>
      <c r="AU1597" s="52"/>
      <c r="AV1597" s="52"/>
      <c r="AW1597" s="52"/>
    </row>
    <row r="1598" spans="1:49">
      <c r="A1598" s="52"/>
      <c r="B1598" s="52"/>
      <c r="C1598" s="52"/>
      <c r="D1598" s="53"/>
      <c r="E1598" s="53"/>
      <c r="F1598" s="53"/>
      <c r="G1598" s="53"/>
      <c r="H1598" s="52"/>
      <c r="I1598" s="52"/>
      <c r="J1598" s="52"/>
      <c r="K1598" s="53"/>
      <c r="L1598" s="52"/>
      <c r="M1598" s="54"/>
      <c r="N1598" s="55"/>
      <c r="O1598" s="52"/>
      <c r="P1598" s="52"/>
      <c r="Q1598" s="52"/>
      <c r="R1598" s="52"/>
      <c r="S1598" s="52"/>
      <c r="T1598" s="52"/>
      <c r="U1598" s="52"/>
      <c r="V1598" s="52"/>
      <c r="W1598" s="52"/>
      <c r="X1598" s="52"/>
      <c r="Y1598" s="52"/>
      <c r="Z1598" s="52"/>
      <c r="AA1598" s="52"/>
      <c r="AB1598" s="52"/>
      <c r="AC1598" s="52"/>
      <c r="AD1598" s="52"/>
      <c r="AE1598" s="52"/>
      <c r="AF1598" s="52"/>
      <c r="AG1598" s="52"/>
      <c r="AH1598" s="52"/>
      <c r="AI1598" s="53"/>
      <c r="AJ1598" s="53"/>
      <c r="AK1598" s="53"/>
      <c r="AL1598" s="52"/>
      <c r="AM1598" s="52"/>
      <c r="AN1598" s="55"/>
      <c r="AO1598" s="52"/>
      <c r="AP1598" s="52"/>
      <c r="AQ1598" s="52"/>
      <c r="AR1598" s="52"/>
      <c r="AS1598" s="52"/>
      <c r="AT1598" s="52"/>
      <c r="AU1598" s="52"/>
      <c r="AV1598" s="52"/>
      <c r="AW1598" s="52"/>
    </row>
    <row r="1599" spans="1:49">
      <c r="A1599" s="52"/>
      <c r="B1599" s="52"/>
      <c r="C1599" s="52"/>
      <c r="D1599" s="53"/>
      <c r="E1599" s="53"/>
      <c r="F1599" s="52"/>
      <c r="G1599" s="52"/>
      <c r="H1599" s="52"/>
      <c r="I1599" s="52"/>
      <c r="J1599" s="52"/>
      <c r="K1599" s="52"/>
      <c r="L1599" s="52"/>
      <c r="M1599" s="55"/>
      <c r="N1599" s="54"/>
      <c r="O1599" s="52"/>
      <c r="P1599" s="52"/>
      <c r="Q1599" s="52"/>
      <c r="R1599" s="52"/>
      <c r="S1599" s="52"/>
      <c r="T1599" s="52"/>
      <c r="U1599" s="52"/>
      <c r="V1599" s="52"/>
      <c r="W1599" s="52"/>
      <c r="X1599" s="52"/>
      <c r="Y1599" s="52"/>
      <c r="Z1599" s="52"/>
      <c r="AA1599" s="52"/>
      <c r="AB1599" s="52"/>
      <c r="AC1599" s="52"/>
      <c r="AD1599" s="52"/>
      <c r="AE1599" s="52"/>
      <c r="AF1599" s="52"/>
      <c r="AG1599" s="52"/>
      <c r="AH1599" s="52"/>
      <c r="AI1599" s="52"/>
      <c r="AJ1599" s="52"/>
      <c r="AK1599" s="52"/>
      <c r="AL1599" s="52"/>
      <c r="AM1599" s="52"/>
      <c r="AN1599" s="52"/>
      <c r="AO1599" s="52"/>
      <c r="AP1599" s="52"/>
      <c r="AQ1599" s="52"/>
      <c r="AR1599" s="52"/>
      <c r="AS1599" s="52"/>
      <c r="AT1599" s="52"/>
      <c r="AU1599" s="52"/>
      <c r="AV1599" s="52"/>
      <c r="AW1599" s="52"/>
    </row>
    <row r="1600" spans="1:49">
      <c r="A1600" s="52"/>
      <c r="B1600" s="52"/>
      <c r="C1600" s="52"/>
      <c r="D1600" s="53"/>
      <c r="E1600" s="53"/>
      <c r="F1600" s="52"/>
      <c r="G1600" s="52"/>
      <c r="H1600" s="52"/>
      <c r="I1600" s="52"/>
      <c r="J1600" s="52"/>
      <c r="K1600" s="52"/>
      <c r="L1600" s="52"/>
      <c r="M1600" s="52"/>
      <c r="N1600" s="52"/>
      <c r="O1600" s="52"/>
      <c r="P1600" s="52"/>
      <c r="Q1600" s="52"/>
      <c r="R1600" s="52"/>
      <c r="S1600" s="52"/>
      <c r="T1600" s="52"/>
      <c r="U1600" s="52"/>
      <c r="V1600" s="52"/>
      <c r="W1600" s="52"/>
      <c r="X1600" s="52"/>
      <c r="Y1600" s="52"/>
      <c r="Z1600" s="52"/>
      <c r="AA1600" s="52"/>
      <c r="AB1600" s="52"/>
      <c r="AC1600" s="52"/>
      <c r="AD1600" s="52"/>
      <c r="AE1600" s="52"/>
      <c r="AF1600" s="52"/>
      <c r="AG1600" s="52"/>
      <c r="AH1600" s="52"/>
      <c r="AI1600" s="52"/>
      <c r="AJ1600" s="52"/>
      <c r="AK1600" s="52"/>
      <c r="AL1600" s="52"/>
      <c r="AM1600" s="52"/>
      <c r="AN1600" s="52"/>
      <c r="AO1600" s="52"/>
      <c r="AP1600" s="52"/>
      <c r="AQ1600" s="52"/>
      <c r="AR1600" s="52"/>
      <c r="AS1600" s="52"/>
      <c r="AT1600" s="52"/>
      <c r="AU1600" s="52"/>
      <c r="AV1600" s="52"/>
      <c r="AW1600" s="52"/>
    </row>
    <row r="1601" spans="1:49">
      <c r="A1601" s="52"/>
      <c r="B1601" s="52"/>
      <c r="C1601" s="52"/>
      <c r="D1601" s="53"/>
      <c r="E1601" s="53"/>
      <c r="F1601" s="53"/>
      <c r="G1601" s="53"/>
      <c r="H1601" s="52"/>
      <c r="I1601" s="52"/>
      <c r="J1601" s="52"/>
      <c r="K1601" s="52"/>
      <c r="L1601" s="52"/>
      <c r="M1601" s="54"/>
      <c r="N1601" s="55"/>
      <c r="O1601" s="52"/>
      <c r="P1601" s="52"/>
      <c r="Q1601" s="52"/>
      <c r="R1601" s="52"/>
      <c r="S1601" s="52"/>
      <c r="T1601" s="52"/>
      <c r="U1601" s="52"/>
      <c r="V1601" s="52"/>
      <c r="W1601" s="52"/>
      <c r="X1601" s="52"/>
      <c r="Y1601" s="52"/>
      <c r="Z1601" s="52"/>
      <c r="AA1601" s="52"/>
      <c r="AB1601" s="52"/>
      <c r="AC1601" s="52"/>
      <c r="AD1601" s="52"/>
      <c r="AE1601" s="52"/>
      <c r="AF1601" s="52"/>
      <c r="AG1601" s="52"/>
      <c r="AH1601" s="52"/>
      <c r="AI1601" s="52"/>
      <c r="AJ1601" s="52"/>
      <c r="AK1601" s="52"/>
      <c r="AL1601" s="55"/>
      <c r="AM1601" s="52"/>
      <c r="AN1601" s="52"/>
      <c r="AO1601" s="52"/>
      <c r="AP1601" s="52"/>
      <c r="AQ1601" s="52"/>
      <c r="AR1601" s="52"/>
      <c r="AS1601" s="52"/>
      <c r="AT1601" s="52"/>
      <c r="AU1601" s="52"/>
      <c r="AV1601" s="52"/>
      <c r="AW1601" s="52"/>
    </row>
    <row r="1602" spans="1:49">
      <c r="A1602" s="52"/>
      <c r="B1602" s="52"/>
      <c r="C1602" s="52"/>
      <c r="D1602" s="53"/>
      <c r="E1602" s="53"/>
      <c r="F1602" s="53"/>
      <c r="G1602" s="53"/>
      <c r="H1602" s="52"/>
      <c r="I1602" s="52"/>
      <c r="J1602" s="52"/>
      <c r="K1602" s="53"/>
      <c r="L1602" s="52"/>
      <c r="M1602" s="54"/>
      <c r="N1602" s="55"/>
      <c r="O1602" s="52"/>
      <c r="P1602" s="52"/>
      <c r="Q1602" s="52"/>
      <c r="R1602" s="52"/>
      <c r="S1602" s="52"/>
      <c r="T1602" s="52"/>
      <c r="U1602" s="52"/>
      <c r="V1602" s="52"/>
      <c r="W1602" s="52"/>
      <c r="X1602" s="52"/>
      <c r="Y1602" s="52"/>
      <c r="Z1602" s="52"/>
      <c r="AA1602" s="52"/>
      <c r="AB1602" s="52"/>
      <c r="AC1602" s="52"/>
      <c r="AD1602" s="52"/>
      <c r="AE1602" s="52"/>
      <c r="AF1602" s="52"/>
      <c r="AG1602" s="52"/>
      <c r="AH1602" s="52"/>
      <c r="AI1602" s="53"/>
      <c r="AJ1602" s="53"/>
      <c r="AK1602" s="53"/>
      <c r="AL1602" s="55"/>
      <c r="AM1602" s="52"/>
      <c r="AN1602" s="55"/>
      <c r="AO1602" s="52"/>
      <c r="AP1602" s="55"/>
      <c r="AQ1602" s="52"/>
      <c r="AR1602" s="52"/>
      <c r="AS1602" s="52"/>
      <c r="AT1602" s="52"/>
      <c r="AU1602" s="52"/>
      <c r="AV1602" s="52"/>
      <c r="AW1602" s="52"/>
    </row>
    <row r="1603" spans="1:49">
      <c r="A1603" s="52"/>
      <c r="B1603" s="52"/>
      <c r="C1603" s="52"/>
      <c r="D1603" s="53"/>
      <c r="E1603" s="53"/>
      <c r="F1603" s="53"/>
      <c r="G1603" s="53"/>
      <c r="H1603" s="52"/>
      <c r="I1603" s="52"/>
      <c r="J1603" s="52"/>
      <c r="K1603" s="53"/>
      <c r="L1603" s="52"/>
      <c r="M1603" s="54"/>
      <c r="N1603" s="55"/>
      <c r="O1603" s="52"/>
      <c r="P1603" s="52"/>
      <c r="Q1603" s="52"/>
      <c r="R1603" s="52"/>
      <c r="S1603" s="52"/>
      <c r="T1603" s="52"/>
      <c r="U1603" s="52"/>
      <c r="V1603" s="52"/>
      <c r="W1603" s="52"/>
      <c r="X1603" s="52"/>
      <c r="Y1603" s="52"/>
      <c r="Z1603" s="52"/>
      <c r="AA1603" s="52"/>
      <c r="AB1603" s="52"/>
      <c r="AC1603" s="52"/>
      <c r="AD1603" s="52"/>
      <c r="AE1603" s="52"/>
      <c r="AF1603" s="52"/>
      <c r="AG1603" s="52"/>
      <c r="AH1603" s="52"/>
      <c r="AI1603" s="53"/>
      <c r="AJ1603" s="53"/>
      <c r="AK1603" s="53"/>
      <c r="AL1603" s="55"/>
      <c r="AM1603" s="52"/>
      <c r="AN1603" s="55"/>
      <c r="AO1603" s="52"/>
      <c r="AP1603" s="55"/>
      <c r="AQ1603" s="52"/>
      <c r="AR1603" s="52"/>
      <c r="AS1603" s="52"/>
      <c r="AT1603" s="52"/>
      <c r="AU1603" s="52"/>
      <c r="AV1603" s="52"/>
      <c r="AW1603" s="52"/>
    </row>
    <row r="1604" spans="1:49">
      <c r="A1604" s="52"/>
      <c r="B1604" s="52"/>
      <c r="C1604" s="52"/>
      <c r="D1604" s="53"/>
      <c r="E1604" s="53"/>
      <c r="F1604" s="52"/>
      <c r="G1604" s="53"/>
      <c r="H1604" s="52"/>
      <c r="I1604" s="52"/>
      <c r="J1604" s="52"/>
      <c r="K1604" s="53"/>
      <c r="L1604" s="52"/>
      <c r="M1604" s="52"/>
      <c r="N1604" s="52"/>
      <c r="O1604" s="52"/>
      <c r="P1604" s="52"/>
      <c r="Q1604" s="52"/>
      <c r="R1604" s="52"/>
      <c r="S1604" s="52"/>
      <c r="T1604" s="52"/>
      <c r="U1604" s="52"/>
      <c r="V1604" s="52"/>
      <c r="W1604" s="52"/>
      <c r="X1604" s="52"/>
      <c r="Y1604" s="52"/>
      <c r="Z1604" s="52"/>
      <c r="AA1604" s="52"/>
      <c r="AB1604" s="52"/>
      <c r="AC1604" s="52"/>
      <c r="AD1604" s="52"/>
      <c r="AE1604" s="52"/>
      <c r="AF1604" s="52"/>
      <c r="AG1604" s="52"/>
      <c r="AH1604" s="52"/>
      <c r="AI1604" s="53"/>
      <c r="AJ1604" s="53"/>
      <c r="AK1604" s="53"/>
      <c r="AL1604" s="52"/>
      <c r="AM1604" s="52"/>
      <c r="AN1604" s="55"/>
      <c r="AO1604" s="52"/>
      <c r="AP1604" s="52"/>
      <c r="AQ1604" s="52"/>
      <c r="AR1604" s="52"/>
      <c r="AS1604" s="52"/>
      <c r="AT1604" s="52"/>
      <c r="AU1604" s="52"/>
      <c r="AV1604" s="52"/>
      <c r="AW1604" s="52"/>
    </row>
    <row r="1605" spans="1:49">
      <c r="A1605" s="52"/>
      <c r="B1605" s="52"/>
      <c r="C1605" s="52"/>
      <c r="D1605" s="53"/>
      <c r="E1605" s="53"/>
      <c r="F1605" s="52"/>
      <c r="G1605" s="53"/>
      <c r="H1605" s="52"/>
      <c r="I1605" s="52"/>
      <c r="J1605" s="52"/>
      <c r="K1605" s="53"/>
      <c r="L1605" s="52"/>
      <c r="M1605" s="52"/>
      <c r="N1605" s="52"/>
      <c r="O1605" s="52"/>
      <c r="P1605" s="52"/>
      <c r="Q1605" s="52"/>
      <c r="R1605" s="52"/>
      <c r="S1605" s="52"/>
      <c r="T1605" s="52"/>
      <c r="U1605" s="52"/>
      <c r="V1605" s="52"/>
      <c r="W1605" s="52"/>
      <c r="X1605" s="52"/>
      <c r="Y1605" s="52"/>
      <c r="Z1605" s="52"/>
      <c r="AA1605" s="52"/>
      <c r="AB1605" s="52"/>
      <c r="AC1605" s="52"/>
      <c r="AD1605" s="52"/>
      <c r="AE1605" s="52"/>
      <c r="AF1605" s="52"/>
      <c r="AG1605" s="52"/>
      <c r="AH1605" s="52"/>
      <c r="AI1605" s="53"/>
      <c r="AJ1605" s="53"/>
      <c r="AK1605" s="53"/>
      <c r="AL1605" s="52"/>
      <c r="AM1605" s="52"/>
      <c r="AN1605" s="55"/>
      <c r="AO1605" s="52"/>
      <c r="AP1605" s="52"/>
      <c r="AQ1605" s="52"/>
      <c r="AR1605" s="52"/>
      <c r="AS1605" s="52"/>
      <c r="AT1605" s="52"/>
      <c r="AU1605" s="52"/>
      <c r="AV1605" s="52"/>
      <c r="AW1605" s="52"/>
    </row>
    <row r="1606" spans="1:49">
      <c r="A1606" s="52"/>
      <c r="B1606" s="52"/>
      <c r="C1606" s="52"/>
      <c r="D1606" s="53"/>
      <c r="E1606" s="53"/>
      <c r="F1606" s="52"/>
      <c r="G1606" s="52"/>
      <c r="H1606" s="52"/>
      <c r="I1606" s="52"/>
      <c r="J1606" s="52"/>
      <c r="K1606" s="52"/>
      <c r="L1606" s="52"/>
      <c r="M1606" s="54"/>
      <c r="N1606" s="55"/>
      <c r="O1606" s="52"/>
      <c r="P1606" s="52"/>
      <c r="Q1606" s="52"/>
      <c r="R1606" s="52"/>
      <c r="S1606" s="52"/>
      <c r="T1606" s="52"/>
      <c r="U1606" s="52"/>
      <c r="V1606" s="52"/>
      <c r="W1606" s="52"/>
      <c r="X1606" s="52"/>
      <c r="Y1606" s="52"/>
      <c r="Z1606" s="52"/>
      <c r="AA1606" s="52"/>
      <c r="AB1606" s="52"/>
      <c r="AC1606" s="52"/>
      <c r="AD1606" s="52"/>
      <c r="AE1606" s="52"/>
      <c r="AF1606" s="52"/>
      <c r="AG1606" s="52"/>
      <c r="AH1606" s="52"/>
      <c r="AI1606" s="52"/>
      <c r="AJ1606" s="52"/>
      <c r="AK1606" s="52"/>
      <c r="AL1606" s="52"/>
      <c r="AM1606" s="52"/>
      <c r="AN1606" s="52"/>
      <c r="AO1606" s="52"/>
      <c r="AP1606" s="52"/>
      <c r="AQ1606" s="52"/>
      <c r="AR1606" s="52"/>
      <c r="AS1606" s="52"/>
      <c r="AT1606" s="52"/>
      <c r="AU1606" s="52"/>
      <c r="AV1606" s="52"/>
      <c r="AW1606" s="52"/>
    </row>
    <row r="1607" spans="1:49">
      <c r="A1607" s="52"/>
      <c r="B1607" s="52"/>
      <c r="C1607" s="52"/>
      <c r="D1607" s="53"/>
      <c r="E1607" s="53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  <c r="S1607" s="52"/>
      <c r="T1607" s="52"/>
      <c r="U1607" s="52"/>
      <c r="V1607" s="52"/>
      <c r="W1607" s="52"/>
      <c r="X1607" s="52"/>
      <c r="Y1607" s="52"/>
      <c r="Z1607" s="52"/>
      <c r="AA1607" s="52"/>
      <c r="AB1607" s="52"/>
      <c r="AC1607" s="52"/>
      <c r="AD1607" s="52"/>
      <c r="AE1607" s="52"/>
      <c r="AF1607" s="52"/>
      <c r="AG1607" s="52"/>
      <c r="AH1607" s="52"/>
      <c r="AI1607" s="52"/>
      <c r="AJ1607" s="52"/>
      <c r="AK1607" s="52"/>
      <c r="AL1607" s="52"/>
      <c r="AM1607" s="52"/>
      <c r="AN1607" s="52"/>
      <c r="AO1607" s="52"/>
      <c r="AP1607" s="52"/>
      <c r="AQ1607" s="52"/>
      <c r="AR1607" s="52"/>
      <c r="AS1607" s="52"/>
      <c r="AT1607" s="52"/>
      <c r="AU1607" s="52"/>
      <c r="AV1607" s="52"/>
      <c r="AW1607" s="52"/>
    </row>
    <row r="1608" spans="1:49">
      <c r="A1608" s="52"/>
      <c r="B1608" s="52"/>
      <c r="C1608" s="52"/>
      <c r="D1608" s="53"/>
      <c r="E1608" s="53"/>
      <c r="F1608" s="53"/>
      <c r="G1608" s="53"/>
      <c r="H1608" s="52"/>
      <c r="I1608" s="52"/>
      <c r="J1608" s="52"/>
      <c r="K1608" s="53"/>
      <c r="L1608" s="52"/>
      <c r="M1608" s="54"/>
      <c r="N1608" s="55"/>
      <c r="O1608" s="52"/>
      <c r="P1608" s="52"/>
      <c r="Q1608" s="52"/>
      <c r="R1608" s="52"/>
      <c r="S1608" s="52"/>
      <c r="T1608" s="52"/>
      <c r="U1608" s="52"/>
      <c r="V1608" s="52"/>
      <c r="W1608" s="52"/>
      <c r="X1608" s="52"/>
      <c r="Y1608" s="52"/>
      <c r="Z1608" s="52"/>
      <c r="AA1608" s="52"/>
      <c r="AB1608" s="52"/>
      <c r="AC1608" s="52"/>
      <c r="AD1608" s="52"/>
      <c r="AE1608" s="52"/>
      <c r="AF1608" s="52"/>
      <c r="AG1608" s="52"/>
      <c r="AH1608" s="52"/>
      <c r="AI1608" s="52"/>
      <c r="AJ1608" s="52"/>
      <c r="AK1608" s="52"/>
      <c r="AL1608" s="52"/>
      <c r="AM1608" s="52"/>
      <c r="AN1608" s="52"/>
      <c r="AO1608" s="52"/>
      <c r="AP1608" s="52"/>
      <c r="AQ1608" s="52"/>
      <c r="AR1608" s="52"/>
      <c r="AS1608" s="52"/>
      <c r="AT1608" s="52"/>
      <c r="AU1608" s="52"/>
      <c r="AV1608" s="52"/>
      <c r="AW1608" s="52"/>
    </row>
    <row r="1609" spans="1:49">
      <c r="A1609" s="52"/>
      <c r="B1609" s="52"/>
      <c r="C1609" s="52"/>
      <c r="D1609" s="53"/>
      <c r="E1609" s="53"/>
      <c r="F1609" s="52"/>
      <c r="G1609" s="53"/>
      <c r="H1609" s="52"/>
      <c r="I1609" s="52"/>
      <c r="J1609" s="52"/>
      <c r="K1609" s="53"/>
      <c r="L1609" s="52"/>
      <c r="M1609" s="52"/>
      <c r="N1609" s="52"/>
      <c r="O1609" s="52"/>
      <c r="P1609" s="52"/>
      <c r="Q1609" s="52"/>
      <c r="R1609" s="52"/>
      <c r="S1609" s="52"/>
      <c r="T1609" s="52"/>
      <c r="U1609" s="52"/>
      <c r="V1609" s="52"/>
      <c r="W1609" s="52"/>
      <c r="X1609" s="52"/>
      <c r="Y1609" s="52"/>
      <c r="Z1609" s="52"/>
      <c r="AA1609" s="52"/>
      <c r="AB1609" s="52"/>
      <c r="AC1609" s="52"/>
      <c r="AD1609" s="52"/>
      <c r="AE1609" s="52"/>
      <c r="AF1609" s="52"/>
      <c r="AG1609" s="52"/>
      <c r="AH1609" s="52"/>
      <c r="AI1609" s="52"/>
      <c r="AJ1609" s="52"/>
      <c r="AK1609" s="52"/>
      <c r="AL1609" s="52"/>
      <c r="AM1609" s="52"/>
      <c r="AN1609" s="52"/>
      <c r="AO1609" s="52"/>
      <c r="AP1609" s="52"/>
      <c r="AQ1609" s="52"/>
      <c r="AR1609" s="52"/>
      <c r="AS1609" s="52"/>
      <c r="AT1609" s="52"/>
      <c r="AU1609" s="52"/>
      <c r="AV1609" s="52"/>
      <c r="AW1609" s="52"/>
    </row>
    <row r="1610" spans="1:49">
      <c r="A1610" s="52"/>
      <c r="B1610" s="52"/>
      <c r="C1610" s="52"/>
      <c r="D1610" s="53"/>
      <c r="E1610" s="53"/>
      <c r="F1610" s="52"/>
      <c r="G1610" s="53"/>
      <c r="H1610" s="52"/>
      <c r="I1610" s="52"/>
      <c r="J1610" s="52"/>
      <c r="K1610" s="53"/>
      <c r="L1610" s="52"/>
      <c r="M1610" s="52"/>
      <c r="N1610" s="52"/>
      <c r="O1610" s="52"/>
      <c r="P1610" s="52"/>
      <c r="Q1610" s="52"/>
      <c r="R1610" s="52"/>
      <c r="S1610" s="52"/>
      <c r="T1610" s="52"/>
      <c r="U1610" s="52"/>
      <c r="V1610" s="52"/>
      <c r="W1610" s="52"/>
      <c r="X1610" s="52"/>
      <c r="Y1610" s="52"/>
      <c r="Z1610" s="52"/>
      <c r="AA1610" s="52"/>
      <c r="AB1610" s="52"/>
      <c r="AC1610" s="52"/>
      <c r="AD1610" s="52"/>
      <c r="AE1610" s="52"/>
      <c r="AF1610" s="52"/>
      <c r="AG1610" s="52"/>
      <c r="AH1610" s="52"/>
      <c r="AI1610" s="52"/>
      <c r="AJ1610" s="52"/>
      <c r="AK1610" s="52"/>
      <c r="AL1610" s="52"/>
      <c r="AM1610" s="52"/>
      <c r="AN1610" s="52"/>
      <c r="AO1610" s="52"/>
      <c r="AP1610" s="52"/>
      <c r="AQ1610" s="52"/>
      <c r="AR1610" s="52"/>
      <c r="AS1610" s="52"/>
      <c r="AT1610" s="52"/>
      <c r="AU1610" s="52"/>
      <c r="AV1610" s="52"/>
      <c r="AW1610" s="52"/>
    </row>
    <row r="1611" spans="1:49">
      <c r="A1611" s="52"/>
      <c r="B1611" s="52"/>
      <c r="C1611" s="52"/>
      <c r="D1611" s="53"/>
      <c r="E1611" s="53"/>
      <c r="F1611" s="52"/>
      <c r="G1611" s="52"/>
      <c r="H1611" s="52"/>
      <c r="I1611" s="52"/>
      <c r="J1611" s="52"/>
      <c r="K1611" s="52"/>
      <c r="L1611" s="52"/>
      <c r="M1611" s="55"/>
      <c r="N1611" s="54"/>
      <c r="O1611" s="52"/>
      <c r="P1611" s="52"/>
      <c r="Q1611" s="52"/>
      <c r="R1611" s="52"/>
      <c r="S1611" s="52"/>
      <c r="T1611" s="52"/>
      <c r="U1611" s="52"/>
      <c r="V1611" s="52"/>
      <c r="W1611" s="52"/>
      <c r="X1611" s="52"/>
      <c r="Y1611" s="52"/>
      <c r="Z1611" s="52"/>
      <c r="AA1611" s="52"/>
      <c r="AB1611" s="52"/>
      <c r="AC1611" s="52"/>
      <c r="AD1611" s="52"/>
      <c r="AE1611" s="52"/>
      <c r="AF1611" s="52"/>
      <c r="AG1611" s="52"/>
      <c r="AH1611" s="52"/>
      <c r="AI1611" s="52"/>
      <c r="AJ1611" s="52"/>
      <c r="AK1611" s="52"/>
      <c r="AL1611" s="52"/>
      <c r="AM1611" s="52"/>
      <c r="AN1611" s="52"/>
      <c r="AO1611" s="52"/>
      <c r="AP1611" s="52"/>
      <c r="AQ1611" s="52"/>
      <c r="AR1611" s="52"/>
      <c r="AS1611" s="52"/>
      <c r="AT1611" s="52"/>
      <c r="AU1611" s="52"/>
      <c r="AV1611" s="52"/>
      <c r="AW1611" s="52"/>
    </row>
    <row r="1612" spans="1:49">
      <c r="A1612" s="52"/>
      <c r="B1612" s="52"/>
      <c r="C1612" s="52"/>
      <c r="D1612" s="53"/>
      <c r="E1612" s="53"/>
      <c r="F1612" s="52"/>
      <c r="G1612" s="52"/>
      <c r="H1612" s="52"/>
      <c r="I1612" s="52"/>
      <c r="J1612" s="52"/>
      <c r="K1612" s="52"/>
      <c r="L1612" s="52"/>
      <c r="M1612" s="52"/>
      <c r="N1612" s="52"/>
      <c r="O1612" s="52"/>
      <c r="P1612" s="52"/>
      <c r="Q1612" s="52"/>
      <c r="R1612" s="52"/>
      <c r="S1612" s="52"/>
      <c r="T1612" s="52"/>
      <c r="U1612" s="52"/>
      <c r="V1612" s="52"/>
      <c r="W1612" s="52"/>
      <c r="X1612" s="52"/>
      <c r="Y1612" s="52"/>
      <c r="Z1612" s="52"/>
      <c r="AA1612" s="52"/>
      <c r="AB1612" s="52"/>
      <c r="AC1612" s="52"/>
      <c r="AD1612" s="52"/>
      <c r="AE1612" s="52"/>
      <c r="AF1612" s="52"/>
      <c r="AG1612" s="52"/>
      <c r="AH1612" s="52"/>
      <c r="AI1612" s="52"/>
      <c r="AJ1612" s="52"/>
      <c r="AK1612" s="52"/>
      <c r="AL1612" s="52"/>
      <c r="AM1612" s="52"/>
      <c r="AN1612" s="52"/>
      <c r="AO1612" s="52"/>
      <c r="AP1612" s="52"/>
      <c r="AQ1612" s="52"/>
      <c r="AR1612" s="52"/>
      <c r="AS1612" s="52"/>
      <c r="AT1612" s="52"/>
      <c r="AU1612" s="52"/>
      <c r="AV1612" s="52"/>
      <c r="AW1612" s="52"/>
    </row>
    <row r="1613" spans="1:49">
      <c r="A1613" s="52"/>
      <c r="B1613" s="52"/>
      <c r="C1613" s="52"/>
      <c r="D1613" s="53"/>
      <c r="E1613" s="53"/>
      <c r="F1613" s="52"/>
      <c r="G1613" s="52"/>
      <c r="H1613" s="52"/>
      <c r="I1613" s="52"/>
      <c r="J1613" s="52"/>
      <c r="K1613" s="52"/>
      <c r="L1613" s="52"/>
      <c r="M1613" s="54"/>
      <c r="N1613" s="54"/>
      <c r="O1613" s="52"/>
      <c r="P1613" s="52"/>
      <c r="Q1613" s="52"/>
      <c r="R1613" s="52"/>
      <c r="S1613" s="52"/>
      <c r="T1613" s="52"/>
      <c r="U1613" s="52"/>
      <c r="V1613" s="52"/>
      <c r="W1613" s="52"/>
      <c r="X1613" s="52"/>
      <c r="Y1613" s="52"/>
      <c r="Z1613" s="52"/>
      <c r="AA1613" s="52"/>
      <c r="AB1613" s="52"/>
      <c r="AC1613" s="52"/>
      <c r="AD1613" s="52"/>
      <c r="AE1613" s="52"/>
      <c r="AF1613" s="52"/>
      <c r="AG1613" s="52"/>
      <c r="AH1613" s="52"/>
      <c r="AI1613" s="52"/>
      <c r="AJ1613" s="52"/>
      <c r="AK1613" s="52"/>
      <c r="AL1613" s="52"/>
      <c r="AM1613" s="52"/>
      <c r="AN1613" s="52"/>
      <c r="AO1613" s="52"/>
      <c r="AP1613" s="52"/>
      <c r="AQ1613" s="52"/>
      <c r="AR1613" s="52"/>
      <c r="AS1613" s="52"/>
      <c r="AT1613" s="52"/>
      <c r="AU1613" s="52"/>
      <c r="AV1613" s="52"/>
      <c r="AW1613" s="52"/>
    </row>
    <row r="1614" spans="1:49">
      <c r="A1614" s="52"/>
      <c r="B1614" s="52"/>
      <c r="C1614" s="52"/>
      <c r="D1614" s="53"/>
      <c r="E1614" s="53"/>
      <c r="F1614" s="52"/>
      <c r="G1614" s="52"/>
      <c r="H1614" s="52"/>
      <c r="I1614" s="52"/>
      <c r="J1614" s="52"/>
      <c r="K1614" s="52"/>
      <c r="L1614" s="52"/>
      <c r="M1614" s="52"/>
      <c r="N1614" s="52"/>
      <c r="O1614" s="52"/>
      <c r="P1614" s="52"/>
      <c r="Q1614" s="52"/>
      <c r="R1614" s="52"/>
      <c r="S1614" s="52"/>
      <c r="T1614" s="52"/>
      <c r="U1614" s="52"/>
      <c r="V1614" s="52"/>
      <c r="W1614" s="52"/>
      <c r="X1614" s="52"/>
      <c r="Y1614" s="52"/>
      <c r="Z1614" s="52"/>
      <c r="AA1614" s="52"/>
      <c r="AB1614" s="52"/>
      <c r="AC1614" s="52"/>
      <c r="AD1614" s="52"/>
      <c r="AE1614" s="52"/>
      <c r="AF1614" s="52"/>
      <c r="AG1614" s="52"/>
      <c r="AH1614" s="52"/>
      <c r="AI1614" s="52"/>
      <c r="AJ1614" s="52"/>
      <c r="AK1614" s="52"/>
      <c r="AL1614" s="52"/>
      <c r="AM1614" s="52"/>
      <c r="AN1614" s="52"/>
      <c r="AO1614" s="52"/>
      <c r="AP1614" s="52"/>
      <c r="AQ1614" s="52"/>
      <c r="AR1614" s="52"/>
      <c r="AS1614" s="52"/>
      <c r="AT1614" s="52"/>
      <c r="AU1614" s="52"/>
      <c r="AV1614" s="52"/>
      <c r="AW1614" s="52"/>
    </row>
    <row r="1615" spans="1:49">
      <c r="A1615" s="52"/>
      <c r="B1615" s="52"/>
      <c r="C1615" s="52"/>
      <c r="D1615" s="53"/>
      <c r="E1615" s="53"/>
      <c r="F1615" s="52"/>
      <c r="G1615" s="52"/>
      <c r="H1615" s="52"/>
      <c r="I1615" s="52"/>
      <c r="J1615" s="52"/>
      <c r="K1615" s="52"/>
      <c r="L1615" s="52"/>
      <c r="M1615" s="55"/>
      <c r="N1615" s="54"/>
      <c r="O1615" s="52"/>
      <c r="P1615" s="52"/>
      <c r="Q1615" s="52"/>
      <c r="R1615" s="52"/>
      <c r="S1615" s="52"/>
      <c r="T1615" s="52"/>
      <c r="U1615" s="52"/>
      <c r="V1615" s="52"/>
      <c r="W1615" s="52"/>
      <c r="X1615" s="52"/>
      <c r="Y1615" s="52"/>
      <c r="Z1615" s="52"/>
      <c r="AA1615" s="52"/>
      <c r="AB1615" s="52"/>
      <c r="AC1615" s="52"/>
      <c r="AD1615" s="52"/>
      <c r="AE1615" s="52"/>
      <c r="AF1615" s="52"/>
      <c r="AG1615" s="52"/>
      <c r="AH1615" s="52"/>
      <c r="AI1615" s="52"/>
      <c r="AJ1615" s="52"/>
      <c r="AK1615" s="52"/>
      <c r="AL1615" s="52"/>
      <c r="AM1615" s="52"/>
      <c r="AN1615" s="52"/>
      <c r="AO1615" s="52"/>
      <c r="AP1615" s="52"/>
      <c r="AQ1615" s="52"/>
      <c r="AR1615" s="52"/>
      <c r="AS1615" s="52"/>
      <c r="AT1615" s="52"/>
      <c r="AU1615" s="52"/>
      <c r="AV1615" s="52"/>
      <c r="AW1615" s="52"/>
    </row>
    <row r="1616" spans="1:49">
      <c r="A1616" s="52"/>
      <c r="B1616" s="52"/>
      <c r="C1616" s="52"/>
      <c r="D1616" s="53"/>
      <c r="E1616" s="53"/>
      <c r="F1616" s="52"/>
      <c r="G1616" s="52"/>
      <c r="H1616" s="52"/>
      <c r="I1616" s="52"/>
      <c r="J1616" s="52"/>
      <c r="K1616" s="52"/>
      <c r="L1616" s="52"/>
      <c r="M1616" s="52"/>
      <c r="N1616" s="52"/>
      <c r="O1616" s="52"/>
      <c r="P1616" s="52"/>
      <c r="Q1616" s="52"/>
      <c r="R1616" s="52"/>
      <c r="S1616" s="52"/>
      <c r="T1616" s="52"/>
      <c r="U1616" s="52"/>
      <c r="V1616" s="52"/>
      <c r="W1616" s="52"/>
      <c r="X1616" s="52"/>
      <c r="Y1616" s="52"/>
      <c r="Z1616" s="52"/>
      <c r="AA1616" s="52"/>
      <c r="AB1616" s="52"/>
      <c r="AC1616" s="52"/>
      <c r="AD1616" s="52"/>
      <c r="AE1616" s="52"/>
      <c r="AF1616" s="52"/>
      <c r="AG1616" s="52"/>
      <c r="AH1616" s="52"/>
      <c r="AI1616" s="52"/>
      <c r="AJ1616" s="52"/>
      <c r="AK1616" s="52"/>
      <c r="AL1616" s="52"/>
      <c r="AM1616" s="52"/>
      <c r="AN1616" s="52"/>
      <c r="AO1616" s="52"/>
      <c r="AP1616" s="52"/>
      <c r="AQ1616" s="52"/>
      <c r="AR1616" s="52"/>
      <c r="AS1616" s="52"/>
      <c r="AT1616" s="52"/>
      <c r="AU1616" s="52"/>
      <c r="AV1616" s="52"/>
      <c r="AW1616" s="52"/>
    </row>
    <row r="1617" spans="1:49">
      <c r="A1617" s="52"/>
      <c r="B1617" s="52"/>
      <c r="C1617" s="52"/>
      <c r="D1617" s="53"/>
      <c r="E1617" s="53"/>
      <c r="F1617" s="53"/>
      <c r="G1617" s="53"/>
      <c r="H1617" s="52"/>
      <c r="I1617" s="52"/>
      <c r="J1617" s="52"/>
      <c r="K1617" s="53"/>
      <c r="L1617" s="52"/>
      <c r="M1617" s="54"/>
      <c r="N1617" s="55"/>
      <c r="O1617" s="52"/>
      <c r="P1617" s="52"/>
      <c r="Q1617" s="52"/>
      <c r="R1617" s="52"/>
      <c r="S1617" s="52"/>
      <c r="T1617" s="52"/>
      <c r="U1617" s="52"/>
      <c r="V1617" s="52"/>
      <c r="W1617" s="52"/>
      <c r="X1617" s="52"/>
      <c r="Y1617" s="52"/>
      <c r="Z1617" s="52"/>
      <c r="AA1617" s="52"/>
      <c r="AB1617" s="52"/>
      <c r="AC1617" s="52"/>
      <c r="AD1617" s="52"/>
      <c r="AE1617" s="52"/>
      <c r="AF1617" s="52"/>
      <c r="AG1617" s="52"/>
      <c r="AH1617" s="52"/>
      <c r="AI1617" s="52"/>
      <c r="AJ1617" s="52"/>
      <c r="AK1617" s="52"/>
      <c r="AL1617" s="52"/>
      <c r="AM1617" s="52"/>
      <c r="AN1617" s="52"/>
      <c r="AO1617" s="52"/>
      <c r="AP1617" s="52"/>
      <c r="AQ1617" s="52"/>
      <c r="AR1617" s="52"/>
      <c r="AS1617" s="52"/>
      <c r="AT1617" s="52"/>
      <c r="AU1617" s="52"/>
      <c r="AV1617" s="52"/>
      <c r="AW1617" s="52"/>
    </row>
    <row r="1618" spans="1:49">
      <c r="A1618" s="52"/>
      <c r="B1618" s="52"/>
      <c r="C1618" s="52"/>
      <c r="D1618" s="53"/>
      <c r="E1618" s="53"/>
      <c r="F1618" s="52"/>
      <c r="G1618" s="53"/>
      <c r="H1618" s="52"/>
      <c r="I1618" s="52"/>
      <c r="J1618" s="52"/>
      <c r="K1618" s="53"/>
      <c r="L1618" s="52"/>
      <c r="M1618" s="52"/>
      <c r="N1618" s="52"/>
      <c r="O1618" s="52"/>
      <c r="P1618" s="52"/>
      <c r="Q1618" s="52"/>
      <c r="R1618" s="52"/>
      <c r="S1618" s="52"/>
      <c r="T1618" s="52"/>
      <c r="U1618" s="52"/>
      <c r="V1618" s="52"/>
      <c r="W1618" s="52"/>
      <c r="X1618" s="52"/>
      <c r="Y1618" s="52"/>
      <c r="Z1618" s="52"/>
      <c r="AA1618" s="52"/>
      <c r="AB1618" s="52"/>
      <c r="AC1618" s="52"/>
      <c r="AD1618" s="52"/>
      <c r="AE1618" s="52"/>
      <c r="AF1618" s="52"/>
      <c r="AG1618" s="52"/>
      <c r="AH1618" s="52"/>
      <c r="AI1618" s="53"/>
      <c r="AJ1618" s="52"/>
      <c r="AK1618" s="53"/>
      <c r="AL1618" s="52"/>
      <c r="AM1618" s="52"/>
      <c r="AN1618" s="52"/>
      <c r="AO1618" s="52"/>
      <c r="AP1618" s="52"/>
      <c r="AQ1618" s="52"/>
      <c r="AR1618" s="52"/>
      <c r="AS1618" s="52"/>
      <c r="AT1618" s="52"/>
      <c r="AU1618" s="52"/>
      <c r="AV1618" s="52"/>
      <c r="AW1618" s="52"/>
    </row>
    <row r="1619" spans="1:49">
      <c r="A1619" s="52"/>
      <c r="B1619" s="52"/>
      <c r="C1619" s="52"/>
      <c r="D1619" s="53"/>
      <c r="E1619" s="53"/>
      <c r="F1619" s="52"/>
      <c r="G1619" s="53"/>
      <c r="H1619" s="52"/>
      <c r="I1619" s="52"/>
      <c r="J1619" s="52"/>
      <c r="K1619" s="53"/>
      <c r="L1619" s="52"/>
      <c r="M1619" s="52"/>
      <c r="N1619" s="52"/>
      <c r="O1619" s="52"/>
      <c r="P1619" s="52"/>
      <c r="Q1619" s="52"/>
      <c r="R1619" s="52"/>
      <c r="S1619" s="52"/>
      <c r="T1619" s="52"/>
      <c r="U1619" s="52"/>
      <c r="V1619" s="52"/>
      <c r="W1619" s="52"/>
      <c r="X1619" s="52"/>
      <c r="Y1619" s="52"/>
      <c r="Z1619" s="52"/>
      <c r="AA1619" s="52"/>
      <c r="AB1619" s="52"/>
      <c r="AC1619" s="52"/>
      <c r="AD1619" s="52"/>
      <c r="AE1619" s="52"/>
      <c r="AF1619" s="52"/>
      <c r="AG1619" s="52"/>
      <c r="AH1619" s="52"/>
      <c r="AI1619" s="53"/>
      <c r="AJ1619" s="52"/>
      <c r="AK1619" s="53"/>
      <c r="AL1619" s="52"/>
      <c r="AM1619" s="52"/>
      <c r="AN1619" s="52"/>
      <c r="AO1619" s="52"/>
      <c r="AP1619" s="52"/>
      <c r="AQ1619" s="52"/>
      <c r="AR1619" s="52"/>
      <c r="AS1619" s="52"/>
      <c r="AT1619" s="52"/>
      <c r="AU1619" s="52"/>
      <c r="AV1619" s="52"/>
      <c r="AW1619" s="52"/>
    </row>
    <row r="1620" spans="1:49">
      <c r="A1620" s="52"/>
      <c r="B1620" s="52"/>
      <c r="C1620" s="52"/>
      <c r="D1620" s="53"/>
      <c r="E1620" s="53"/>
      <c r="F1620" s="52"/>
      <c r="G1620" s="52"/>
      <c r="H1620" s="52"/>
      <c r="I1620" s="52"/>
      <c r="J1620" s="52"/>
      <c r="K1620" s="52"/>
      <c r="L1620" s="52"/>
      <c r="M1620" s="54"/>
      <c r="N1620" s="54"/>
      <c r="O1620" s="52"/>
      <c r="P1620" s="52"/>
      <c r="Q1620" s="52"/>
      <c r="R1620" s="52"/>
      <c r="S1620" s="52"/>
      <c r="T1620" s="52"/>
      <c r="U1620" s="52"/>
      <c r="V1620" s="52"/>
      <c r="W1620" s="52"/>
      <c r="X1620" s="52"/>
      <c r="Y1620" s="52"/>
      <c r="Z1620" s="52"/>
      <c r="AA1620" s="52"/>
      <c r="AB1620" s="52"/>
      <c r="AC1620" s="52"/>
      <c r="AD1620" s="52"/>
      <c r="AE1620" s="52"/>
      <c r="AF1620" s="52"/>
      <c r="AG1620" s="52"/>
      <c r="AH1620" s="52"/>
      <c r="AI1620" s="52"/>
      <c r="AJ1620" s="52"/>
      <c r="AK1620" s="52"/>
      <c r="AL1620" s="52"/>
      <c r="AM1620" s="52"/>
      <c r="AN1620" s="52"/>
      <c r="AO1620" s="52"/>
      <c r="AP1620" s="52"/>
      <c r="AQ1620" s="52"/>
      <c r="AR1620" s="52"/>
      <c r="AS1620" s="52"/>
      <c r="AT1620" s="52"/>
      <c r="AU1620" s="52"/>
      <c r="AV1620" s="52"/>
      <c r="AW1620" s="52"/>
    </row>
    <row r="1621" spans="1:49">
      <c r="A1621" s="52"/>
      <c r="B1621" s="52"/>
      <c r="C1621" s="52"/>
      <c r="D1621" s="53"/>
      <c r="E1621" s="53"/>
      <c r="F1621" s="52"/>
      <c r="G1621" s="52"/>
      <c r="H1621" s="52"/>
      <c r="I1621" s="52"/>
      <c r="J1621" s="52"/>
      <c r="K1621" s="52"/>
      <c r="L1621" s="52"/>
      <c r="M1621" s="52"/>
      <c r="N1621" s="52"/>
      <c r="O1621" s="52"/>
      <c r="P1621" s="52"/>
      <c r="Q1621" s="52"/>
      <c r="R1621" s="52"/>
      <c r="S1621" s="52"/>
      <c r="T1621" s="52"/>
      <c r="U1621" s="52"/>
      <c r="V1621" s="52"/>
      <c r="W1621" s="52"/>
      <c r="X1621" s="52"/>
      <c r="Y1621" s="52"/>
      <c r="Z1621" s="52"/>
      <c r="AA1621" s="52"/>
      <c r="AB1621" s="52"/>
      <c r="AC1621" s="52"/>
      <c r="AD1621" s="52"/>
      <c r="AE1621" s="52"/>
      <c r="AF1621" s="52"/>
      <c r="AG1621" s="52"/>
      <c r="AH1621" s="52"/>
      <c r="AI1621" s="52"/>
      <c r="AJ1621" s="52"/>
      <c r="AK1621" s="52"/>
      <c r="AL1621" s="52"/>
      <c r="AM1621" s="52"/>
      <c r="AN1621" s="52"/>
      <c r="AO1621" s="52"/>
      <c r="AP1621" s="52"/>
      <c r="AQ1621" s="52"/>
      <c r="AR1621" s="52"/>
      <c r="AS1621" s="52"/>
      <c r="AT1621" s="52"/>
      <c r="AU1621" s="52"/>
      <c r="AV1621" s="52"/>
      <c r="AW1621" s="52"/>
    </row>
    <row r="1622" spans="1:49">
      <c r="A1622" s="52"/>
      <c r="B1622" s="52"/>
      <c r="C1622" s="52"/>
      <c r="D1622" s="53"/>
      <c r="E1622" s="53"/>
      <c r="F1622" s="53"/>
      <c r="G1622" s="53"/>
      <c r="H1622" s="52"/>
      <c r="I1622" s="52"/>
      <c r="J1622" s="52"/>
      <c r="K1622" s="53"/>
      <c r="L1622" s="52"/>
      <c r="M1622" s="54"/>
      <c r="N1622" s="54"/>
      <c r="O1622" s="52"/>
      <c r="P1622" s="52"/>
      <c r="Q1622" s="52"/>
      <c r="R1622" s="52"/>
      <c r="S1622" s="52"/>
      <c r="T1622" s="52"/>
      <c r="U1622" s="52"/>
      <c r="V1622" s="52"/>
      <c r="W1622" s="52"/>
      <c r="X1622" s="52"/>
      <c r="Y1622" s="52"/>
      <c r="Z1622" s="52"/>
      <c r="AA1622" s="52"/>
      <c r="AB1622" s="52"/>
      <c r="AC1622" s="52"/>
      <c r="AD1622" s="52"/>
      <c r="AE1622" s="52"/>
      <c r="AF1622" s="52"/>
      <c r="AG1622" s="52"/>
      <c r="AH1622" s="52"/>
      <c r="AI1622" s="52"/>
      <c r="AJ1622" s="52"/>
      <c r="AK1622" s="52"/>
      <c r="AL1622" s="55"/>
      <c r="AM1622" s="52"/>
      <c r="AN1622" s="52"/>
      <c r="AO1622" s="52"/>
      <c r="AP1622" s="52"/>
      <c r="AQ1622" s="52"/>
      <c r="AR1622" s="52"/>
      <c r="AS1622" s="52"/>
      <c r="AT1622" s="52"/>
      <c r="AU1622" s="52"/>
      <c r="AV1622" s="52"/>
      <c r="AW1622" s="52"/>
    </row>
    <row r="1623" spans="1:49">
      <c r="A1623" s="52"/>
      <c r="B1623" s="52"/>
      <c r="C1623" s="52"/>
      <c r="D1623" s="53"/>
      <c r="E1623" s="53"/>
      <c r="F1623" s="53"/>
      <c r="G1623" s="53"/>
      <c r="H1623" s="53"/>
      <c r="I1623" s="52"/>
      <c r="J1623" s="52"/>
      <c r="K1623" s="53"/>
      <c r="L1623" s="52"/>
      <c r="M1623" s="54"/>
      <c r="N1623" s="54"/>
      <c r="O1623" s="52"/>
      <c r="P1623" s="52"/>
      <c r="Q1623" s="52"/>
      <c r="R1623" s="52"/>
      <c r="S1623" s="52"/>
      <c r="T1623" s="52"/>
      <c r="U1623" s="52"/>
      <c r="V1623" s="52"/>
      <c r="W1623" s="52"/>
      <c r="X1623" s="52"/>
      <c r="Y1623" s="52"/>
      <c r="Z1623" s="52"/>
      <c r="AA1623" s="52"/>
      <c r="AB1623" s="52"/>
      <c r="AC1623" s="52"/>
      <c r="AD1623" s="52"/>
      <c r="AE1623" s="52"/>
      <c r="AF1623" s="52"/>
      <c r="AG1623" s="52"/>
      <c r="AH1623" s="52"/>
      <c r="AI1623" s="53"/>
      <c r="AJ1623" s="53"/>
      <c r="AK1623" s="53"/>
      <c r="AL1623" s="55"/>
      <c r="AM1623" s="52"/>
      <c r="AN1623" s="55"/>
      <c r="AO1623" s="52"/>
      <c r="AP1623" s="55"/>
      <c r="AQ1623" s="52"/>
      <c r="AR1623" s="52"/>
      <c r="AS1623" s="52"/>
      <c r="AT1623" s="52"/>
      <c r="AU1623" s="52"/>
      <c r="AV1623" s="52"/>
      <c r="AW1623" s="52"/>
    </row>
    <row r="1624" spans="1:49">
      <c r="A1624" s="52"/>
      <c r="B1624" s="52"/>
      <c r="C1624" s="52"/>
      <c r="D1624" s="53"/>
      <c r="E1624" s="53"/>
      <c r="F1624" s="53"/>
      <c r="G1624" s="53"/>
      <c r="H1624" s="53"/>
      <c r="I1624" s="52"/>
      <c r="J1624" s="52"/>
      <c r="K1624" s="53"/>
      <c r="L1624" s="52"/>
      <c r="M1624" s="54"/>
      <c r="N1624" s="54"/>
      <c r="O1624" s="52"/>
      <c r="P1624" s="52"/>
      <c r="Q1624" s="52"/>
      <c r="R1624" s="52"/>
      <c r="S1624" s="52"/>
      <c r="T1624" s="52"/>
      <c r="U1624" s="52"/>
      <c r="V1624" s="52"/>
      <c r="W1624" s="52"/>
      <c r="X1624" s="52"/>
      <c r="Y1624" s="52"/>
      <c r="Z1624" s="52"/>
      <c r="AA1624" s="52"/>
      <c r="AB1624" s="52"/>
      <c r="AC1624" s="52"/>
      <c r="AD1624" s="52"/>
      <c r="AE1624" s="52"/>
      <c r="AF1624" s="52"/>
      <c r="AG1624" s="52"/>
      <c r="AH1624" s="52"/>
      <c r="AI1624" s="53"/>
      <c r="AJ1624" s="53"/>
      <c r="AK1624" s="53"/>
      <c r="AL1624" s="55"/>
      <c r="AM1624" s="52"/>
      <c r="AN1624" s="55"/>
      <c r="AO1624" s="52"/>
      <c r="AP1624" s="55"/>
      <c r="AQ1624" s="52"/>
      <c r="AR1624" s="52"/>
      <c r="AS1624" s="52"/>
      <c r="AT1624" s="52"/>
      <c r="AU1624" s="52"/>
      <c r="AV1624" s="52"/>
      <c r="AW1624" s="52"/>
    </row>
    <row r="1625" spans="1:49">
      <c r="A1625" s="52"/>
      <c r="B1625" s="52"/>
      <c r="C1625" s="52"/>
      <c r="D1625" s="53"/>
      <c r="E1625" s="53"/>
      <c r="F1625" s="52"/>
      <c r="G1625" s="52"/>
      <c r="H1625" s="52"/>
      <c r="I1625" s="52"/>
      <c r="J1625" s="52"/>
      <c r="K1625" s="52"/>
      <c r="L1625" s="52"/>
      <c r="M1625" s="54"/>
      <c r="N1625" s="54"/>
      <c r="O1625" s="52"/>
      <c r="P1625" s="52"/>
      <c r="Q1625" s="52"/>
      <c r="R1625" s="52"/>
      <c r="S1625" s="52"/>
      <c r="T1625" s="52"/>
      <c r="U1625" s="52"/>
      <c r="V1625" s="52"/>
      <c r="W1625" s="52"/>
      <c r="X1625" s="52"/>
      <c r="Y1625" s="52"/>
      <c r="Z1625" s="52"/>
      <c r="AA1625" s="52"/>
      <c r="AB1625" s="52"/>
      <c r="AC1625" s="52"/>
      <c r="AD1625" s="52"/>
      <c r="AE1625" s="52"/>
      <c r="AF1625" s="52"/>
      <c r="AG1625" s="52"/>
      <c r="AH1625" s="52"/>
      <c r="AI1625" s="52"/>
      <c r="AJ1625" s="52"/>
      <c r="AK1625" s="52"/>
      <c r="AL1625" s="52"/>
      <c r="AM1625" s="52"/>
      <c r="AN1625" s="52"/>
      <c r="AO1625" s="52"/>
      <c r="AP1625" s="52"/>
      <c r="AQ1625" s="52"/>
      <c r="AR1625" s="52"/>
      <c r="AS1625" s="52"/>
      <c r="AT1625" s="52"/>
      <c r="AU1625" s="52"/>
      <c r="AV1625" s="52"/>
      <c r="AW1625" s="52"/>
    </row>
    <row r="1626" spans="1:49">
      <c r="A1626" s="52"/>
      <c r="B1626" s="52"/>
      <c r="C1626" s="52"/>
      <c r="D1626" s="53"/>
      <c r="E1626" s="53"/>
      <c r="F1626" s="52"/>
      <c r="G1626" s="52"/>
      <c r="H1626" s="52"/>
      <c r="I1626" s="52"/>
      <c r="J1626" s="52"/>
      <c r="K1626" s="52"/>
      <c r="L1626" s="52"/>
      <c r="M1626" s="52"/>
      <c r="N1626" s="52"/>
      <c r="O1626" s="52"/>
      <c r="P1626" s="52"/>
      <c r="Q1626" s="52"/>
      <c r="R1626" s="52"/>
      <c r="S1626" s="52"/>
      <c r="T1626" s="52"/>
      <c r="U1626" s="52"/>
      <c r="V1626" s="52"/>
      <c r="W1626" s="52"/>
      <c r="X1626" s="52"/>
      <c r="Y1626" s="52"/>
      <c r="Z1626" s="52"/>
      <c r="AA1626" s="52"/>
      <c r="AB1626" s="52"/>
      <c r="AC1626" s="52"/>
      <c r="AD1626" s="52"/>
      <c r="AE1626" s="52"/>
      <c r="AF1626" s="52"/>
      <c r="AG1626" s="52"/>
      <c r="AH1626" s="52"/>
      <c r="AI1626" s="52"/>
      <c r="AJ1626" s="52"/>
      <c r="AK1626" s="52"/>
      <c r="AL1626" s="52"/>
      <c r="AM1626" s="52"/>
      <c r="AN1626" s="52"/>
      <c r="AO1626" s="52"/>
      <c r="AP1626" s="52"/>
      <c r="AQ1626" s="52"/>
      <c r="AR1626" s="52"/>
      <c r="AS1626" s="52"/>
      <c r="AT1626" s="52"/>
      <c r="AU1626" s="52"/>
      <c r="AV1626" s="52"/>
      <c r="AW1626" s="52"/>
    </row>
    <row r="1627" spans="1:49">
      <c r="A1627" s="52"/>
      <c r="B1627" s="52"/>
      <c r="C1627" s="52"/>
      <c r="D1627" s="53"/>
      <c r="E1627" s="53"/>
      <c r="F1627" s="52"/>
      <c r="G1627" s="52"/>
      <c r="H1627" s="52"/>
      <c r="I1627" s="52"/>
      <c r="J1627" s="52"/>
      <c r="K1627" s="52"/>
      <c r="L1627" s="52"/>
      <c r="M1627" s="54"/>
      <c r="N1627" s="54"/>
      <c r="O1627" s="52"/>
      <c r="P1627" s="52"/>
      <c r="Q1627" s="52"/>
      <c r="R1627" s="52"/>
      <c r="S1627" s="52"/>
      <c r="T1627" s="52"/>
      <c r="U1627" s="52"/>
      <c r="V1627" s="52"/>
      <c r="W1627" s="52"/>
      <c r="X1627" s="52"/>
      <c r="Y1627" s="52"/>
      <c r="Z1627" s="52"/>
      <c r="AA1627" s="52"/>
      <c r="AB1627" s="52"/>
      <c r="AC1627" s="52"/>
      <c r="AD1627" s="52"/>
      <c r="AE1627" s="52"/>
      <c r="AF1627" s="52"/>
      <c r="AG1627" s="52"/>
      <c r="AH1627" s="52"/>
      <c r="AI1627" s="52"/>
      <c r="AJ1627" s="52"/>
      <c r="AK1627" s="52"/>
      <c r="AL1627" s="52"/>
      <c r="AM1627" s="52"/>
      <c r="AN1627" s="52"/>
      <c r="AO1627" s="52"/>
      <c r="AP1627" s="52"/>
      <c r="AQ1627" s="52"/>
      <c r="AR1627" s="52"/>
      <c r="AS1627" s="52"/>
      <c r="AT1627" s="52"/>
      <c r="AU1627" s="52"/>
      <c r="AV1627" s="52"/>
      <c r="AW1627" s="52"/>
    </row>
    <row r="1628" spans="1:49">
      <c r="A1628" s="52"/>
      <c r="B1628" s="52"/>
      <c r="C1628" s="52"/>
      <c r="D1628" s="53"/>
      <c r="E1628" s="53"/>
      <c r="F1628" s="52"/>
      <c r="G1628" s="52"/>
      <c r="H1628" s="52"/>
      <c r="I1628" s="52"/>
      <c r="J1628" s="52"/>
      <c r="K1628" s="52"/>
      <c r="L1628" s="52"/>
      <c r="M1628" s="52"/>
      <c r="N1628" s="52"/>
      <c r="O1628" s="52"/>
      <c r="P1628" s="52"/>
      <c r="Q1628" s="52"/>
      <c r="R1628" s="52"/>
      <c r="S1628" s="52"/>
      <c r="T1628" s="52"/>
      <c r="U1628" s="52"/>
      <c r="V1628" s="52"/>
      <c r="W1628" s="52"/>
      <c r="X1628" s="52"/>
      <c r="Y1628" s="52"/>
      <c r="Z1628" s="52"/>
      <c r="AA1628" s="52"/>
      <c r="AB1628" s="52"/>
      <c r="AC1628" s="52"/>
      <c r="AD1628" s="52"/>
      <c r="AE1628" s="52"/>
      <c r="AF1628" s="52"/>
      <c r="AG1628" s="52"/>
      <c r="AH1628" s="52"/>
      <c r="AI1628" s="52"/>
      <c r="AJ1628" s="52"/>
      <c r="AK1628" s="52"/>
      <c r="AL1628" s="52"/>
      <c r="AM1628" s="52"/>
      <c r="AN1628" s="52"/>
      <c r="AO1628" s="52"/>
      <c r="AP1628" s="52"/>
      <c r="AQ1628" s="52"/>
      <c r="AR1628" s="52"/>
      <c r="AS1628" s="52"/>
      <c r="AT1628" s="52"/>
      <c r="AU1628" s="52"/>
      <c r="AV1628" s="52"/>
      <c r="AW1628" s="52"/>
    </row>
    <row r="1629" spans="1:49">
      <c r="A1629" s="52"/>
      <c r="B1629" s="52"/>
      <c r="C1629" s="52"/>
      <c r="D1629" s="53"/>
      <c r="E1629" s="53"/>
      <c r="F1629" s="52"/>
      <c r="G1629" s="52"/>
      <c r="H1629" s="52"/>
      <c r="I1629" s="52"/>
      <c r="J1629" s="52"/>
      <c r="K1629" s="52"/>
      <c r="L1629" s="52"/>
      <c r="M1629" s="54"/>
      <c r="N1629" s="54"/>
      <c r="O1629" s="52"/>
      <c r="P1629" s="52"/>
      <c r="Q1629" s="52"/>
      <c r="R1629" s="52"/>
      <c r="S1629" s="52"/>
      <c r="T1629" s="52"/>
      <c r="U1629" s="52"/>
      <c r="V1629" s="52"/>
      <c r="W1629" s="52"/>
      <c r="X1629" s="52"/>
      <c r="Y1629" s="52"/>
      <c r="Z1629" s="52"/>
      <c r="AA1629" s="52"/>
      <c r="AB1629" s="52"/>
      <c r="AC1629" s="52"/>
      <c r="AD1629" s="52"/>
      <c r="AE1629" s="52"/>
      <c r="AF1629" s="52"/>
      <c r="AG1629" s="52"/>
      <c r="AH1629" s="52"/>
      <c r="AI1629" s="52"/>
      <c r="AJ1629" s="52"/>
      <c r="AK1629" s="52"/>
      <c r="AL1629" s="52"/>
      <c r="AM1629" s="52"/>
      <c r="AN1629" s="52"/>
      <c r="AO1629" s="52"/>
      <c r="AP1629" s="52"/>
      <c r="AQ1629" s="52"/>
      <c r="AR1629" s="52"/>
      <c r="AS1629" s="52"/>
      <c r="AT1629" s="52"/>
      <c r="AU1629" s="52"/>
      <c r="AV1629" s="52"/>
      <c r="AW1629" s="52"/>
    </row>
    <row r="1630" spans="1:49">
      <c r="A1630" s="52"/>
      <c r="B1630" s="52"/>
      <c r="C1630" s="52"/>
      <c r="D1630" s="53"/>
      <c r="E1630" s="53"/>
      <c r="F1630" s="52"/>
      <c r="G1630" s="52"/>
      <c r="H1630" s="52"/>
      <c r="I1630" s="52"/>
      <c r="J1630" s="52"/>
      <c r="K1630" s="52"/>
      <c r="L1630" s="52"/>
      <c r="M1630" s="52"/>
      <c r="N1630" s="52"/>
      <c r="O1630" s="52"/>
      <c r="P1630" s="52"/>
      <c r="Q1630" s="52"/>
      <c r="R1630" s="52"/>
      <c r="S1630" s="52"/>
      <c r="T1630" s="52"/>
      <c r="U1630" s="52"/>
      <c r="V1630" s="52"/>
      <c r="W1630" s="52"/>
      <c r="X1630" s="52"/>
      <c r="Y1630" s="52"/>
      <c r="Z1630" s="52"/>
      <c r="AA1630" s="52"/>
      <c r="AB1630" s="52"/>
      <c r="AC1630" s="52"/>
      <c r="AD1630" s="52"/>
      <c r="AE1630" s="52"/>
      <c r="AF1630" s="52"/>
      <c r="AG1630" s="52"/>
      <c r="AH1630" s="52"/>
      <c r="AI1630" s="52"/>
      <c r="AJ1630" s="52"/>
      <c r="AK1630" s="52"/>
      <c r="AL1630" s="52"/>
      <c r="AM1630" s="52"/>
      <c r="AN1630" s="52"/>
      <c r="AO1630" s="52"/>
      <c r="AP1630" s="52"/>
      <c r="AQ1630" s="52"/>
      <c r="AR1630" s="52"/>
      <c r="AS1630" s="52"/>
      <c r="AT1630" s="52"/>
      <c r="AU1630" s="52"/>
      <c r="AV1630" s="52"/>
      <c r="AW1630" s="52"/>
    </row>
    <row r="1631" spans="1:49">
      <c r="A1631" s="52"/>
      <c r="B1631" s="52"/>
      <c r="C1631" s="52"/>
      <c r="D1631" s="53"/>
      <c r="E1631" s="53"/>
      <c r="F1631" s="52"/>
      <c r="G1631" s="52"/>
      <c r="H1631" s="52"/>
      <c r="I1631" s="52"/>
      <c r="J1631" s="52"/>
      <c r="K1631" s="52"/>
      <c r="L1631" s="52"/>
      <c r="M1631" s="55"/>
      <c r="N1631" s="54"/>
      <c r="O1631" s="52"/>
      <c r="P1631" s="52"/>
      <c r="Q1631" s="52"/>
      <c r="R1631" s="52"/>
      <c r="S1631" s="52"/>
      <c r="T1631" s="52"/>
      <c r="U1631" s="52"/>
      <c r="V1631" s="52"/>
      <c r="W1631" s="52"/>
      <c r="X1631" s="52"/>
      <c r="Y1631" s="52"/>
      <c r="Z1631" s="52"/>
      <c r="AA1631" s="52"/>
      <c r="AB1631" s="52"/>
      <c r="AC1631" s="52"/>
      <c r="AD1631" s="52"/>
      <c r="AE1631" s="52"/>
      <c r="AF1631" s="52"/>
      <c r="AG1631" s="52"/>
      <c r="AH1631" s="52"/>
      <c r="AI1631" s="52"/>
      <c r="AJ1631" s="52"/>
      <c r="AK1631" s="52"/>
      <c r="AL1631" s="52"/>
      <c r="AM1631" s="52"/>
      <c r="AN1631" s="52"/>
      <c r="AO1631" s="52"/>
      <c r="AP1631" s="52"/>
      <c r="AQ1631" s="52"/>
      <c r="AR1631" s="52"/>
      <c r="AS1631" s="52"/>
      <c r="AT1631" s="52"/>
      <c r="AU1631" s="52"/>
      <c r="AV1631" s="52"/>
      <c r="AW1631" s="52"/>
    </row>
    <row r="1632" spans="1:49">
      <c r="A1632" s="52"/>
      <c r="B1632" s="52"/>
      <c r="C1632" s="52"/>
      <c r="D1632" s="53"/>
      <c r="E1632" s="53"/>
      <c r="F1632" s="52"/>
      <c r="G1632" s="52"/>
      <c r="H1632" s="52"/>
      <c r="I1632" s="52"/>
      <c r="J1632" s="52"/>
      <c r="K1632" s="52"/>
      <c r="L1632" s="52"/>
      <c r="M1632" s="52"/>
      <c r="N1632" s="52"/>
      <c r="O1632" s="52"/>
      <c r="P1632" s="52"/>
      <c r="Q1632" s="52"/>
      <c r="R1632" s="52"/>
      <c r="S1632" s="52"/>
      <c r="T1632" s="52"/>
      <c r="U1632" s="52"/>
      <c r="V1632" s="52"/>
      <c r="W1632" s="52"/>
      <c r="X1632" s="52"/>
      <c r="Y1632" s="52"/>
      <c r="Z1632" s="52"/>
      <c r="AA1632" s="52"/>
      <c r="AB1632" s="52"/>
      <c r="AC1632" s="52"/>
      <c r="AD1632" s="52"/>
      <c r="AE1632" s="52"/>
      <c r="AF1632" s="52"/>
      <c r="AG1632" s="52"/>
      <c r="AH1632" s="52"/>
      <c r="AI1632" s="52"/>
      <c r="AJ1632" s="52"/>
      <c r="AK1632" s="52"/>
      <c r="AL1632" s="52"/>
      <c r="AM1632" s="52"/>
      <c r="AN1632" s="52"/>
      <c r="AO1632" s="52"/>
      <c r="AP1632" s="52"/>
      <c r="AQ1632" s="52"/>
      <c r="AR1632" s="52"/>
      <c r="AS1632" s="52"/>
      <c r="AT1632" s="52"/>
      <c r="AU1632" s="52"/>
      <c r="AV1632" s="52"/>
      <c r="AW1632" s="52"/>
    </row>
    <row r="1633" spans="1:49">
      <c r="A1633" s="52"/>
      <c r="B1633" s="52"/>
      <c r="C1633" s="52"/>
      <c r="D1633" s="53"/>
      <c r="E1633" s="53"/>
      <c r="F1633" s="52"/>
      <c r="G1633" s="52"/>
      <c r="H1633" s="52"/>
      <c r="I1633" s="52"/>
      <c r="J1633" s="52"/>
      <c r="K1633" s="52"/>
      <c r="L1633" s="52"/>
      <c r="M1633" s="54"/>
      <c r="N1633" s="54"/>
      <c r="O1633" s="52"/>
      <c r="P1633" s="52"/>
      <c r="Q1633" s="52"/>
      <c r="R1633" s="52"/>
      <c r="S1633" s="52"/>
      <c r="T1633" s="52"/>
      <c r="U1633" s="52"/>
      <c r="V1633" s="52"/>
      <c r="W1633" s="52"/>
      <c r="X1633" s="52"/>
      <c r="Y1633" s="52"/>
      <c r="Z1633" s="52"/>
      <c r="AA1633" s="52"/>
      <c r="AB1633" s="52"/>
      <c r="AC1633" s="52"/>
      <c r="AD1633" s="52"/>
      <c r="AE1633" s="52"/>
      <c r="AF1633" s="52"/>
      <c r="AG1633" s="52"/>
      <c r="AH1633" s="52"/>
      <c r="AI1633" s="52"/>
      <c r="AJ1633" s="52"/>
      <c r="AK1633" s="52"/>
      <c r="AL1633" s="52"/>
      <c r="AM1633" s="52"/>
      <c r="AN1633" s="52"/>
      <c r="AO1633" s="52"/>
      <c r="AP1633" s="52"/>
      <c r="AQ1633" s="52"/>
      <c r="AR1633" s="52"/>
      <c r="AS1633" s="52"/>
      <c r="AT1633" s="52"/>
      <c r="AU1633" s="52"/>
      <c r="AV1633" s="52"/>
      <c r="AW1633" s="52"/>
    </row>
    <row r="1634" spans="1:49">
      <c r="A1634" s="52"/>
      <c r="B1634" s="52"/>
      <c r="C1634" s="52"/>
      <c r="D1634" s="53"/>
      <c r="E1634" s="53"/>
      <c r="F1634" s="52"/>
      <c r="G1634" s="52"/>
      <c r="H1634" s="52"/>
      <c r="I1634" s="52"/>
      <c r="J1634" s="52"/>
      <c r="K1634" s="52"/>
      <c r="L1634" s="52"/>
      <c r="M1634" s="52"/>
      <c r="N1634" s="52"/>
      <c r="O1634" s="52"/>
      <c r="P1634" s="52"/>
      <c r="Q1634" s="52"/>
      <c r="R1634" s="52"/>
      <c r="S1634" s="52"/>
      <c r="T1634" s="52"/>
      <c r="U1634" s="52"/>
      <c r="V1634" s="52"/>
      <c r="W1634" s="52"/>
      <c r="X1634" s="52"/>
      <c r="Y1634" s="52"/>
      <c r="Z1634" s="52"/>
      <c r="AA1634" s="52"/>
      <c r="AB1634" s="52"/>
      <c r="AC1634" s="52"/>
      <c r="AD1634" s="52"/>
      <c r="AE1634" s="52"/>
      <c r="AF1634" s="52"/>
      <c r="AG1634" s="52"/>
      <c r="AH1634" s="52"/>
      <c r="AI1634" s="52"/>
      <c r="AJ1634" s="52"/>
      <c r="AK1634" s="52"/>
      <c r="AL1634" s="52"/>
      <c r="AM1634" s="52"/>
      <c r="AN1634" s="52"/>
      <c r="AO1634" s="52"/>
      <c r="AP1634" s="52"/>
      <c r="AQ1634" s="52"/>
      <c r="AR1634" s="52"/>
      <c r="AS1634" s="52"/>
      <c r="AT1634" s="52"/>
      <c r="AU1634" s="52"/>
      <c r="AV1634" s="52"/>
      <c r="AW1634" s="52"/>
    </row>
    <row r="1635" spans="1:49">
      <c r="A1635" s="52"/>
      <c r="B1635" s="52"/>
      <c r="C1635" s="52"/>
      <c r="D1635" s="53"/>
      <c r="E1635" s="53"/>
      <c r="F1635" s="52"/>
      <c r="G1635" s="52"/>
      <c r="H1635" s="52"/>
      <c r="I1635" s="52"/>
      <c r="J1635" s="52"/>
      <c r="K1635" s="52"/>
      <c r="L1635" s="52"/>
      <c r="M1635" s="54"/>
      <c r="N1635" s="54"/>
      <c r="O1635" s="52"/>
      <c r="P1635" s="52"/>
      <c r="Q1635" s="52"/>
      <c r="R1635" s="52"/>
      <c r="S1635" s="52"/>
      <c r="T1635" s="52"/>
      <c r="U1635" s="52"/>
      <c r="V1635" s="52"/>
      <c r="W1635" s="52"/>
      <c r="X1635" s="52"/>
      <c r="Y1635" s="52"/>
      <c r="Z1635" s="52"/>
      <c r="AA1635" s="52"/>
      <c r="AB1635" s="52"/>
      <c r="AC1635" s="52"/>
      <c r="AD1635" s="52"/>
      <c r="AE1635" s="52"/>
      <c r="AF1635" s="52"/>
      <c r="AG1635" s="52"/>
      <c r="AH1635" s="52"/>
      <c r="AI1635" s="52"/>
      <c r="AJ1635" s="52"/>
      <c r="AK1635" s="52"/>
      <c r="AL1635" s="52"/>
      <c r="AM1635" s="52"/>
      <c r="AN1635" s="52"/>
      <c r="AO1635" s="52"/>
      <c r="AP1635" s="52"/>
      <c r="AQ1635" s="52"/>
      <c r="AR1635" s="52"/>
      <c r="AS1635" s="52"/>
      <c r="AT1635" s="52"/>
      <c r="AU1635" s="52"/>
      <c r="AV1635" s="52"/>
      <c r="AW1635" s="52"/>
    </row>
    <row r="1636" spans="1:49">
      <c r="A1636" s="52"/>
      <c r="B1636" s="52"/>
      <c r="C1636" s="52"/>
      <c r="D1636" s="53"/>
      <c r="E1636" s="53"/>
      <c r="F1636" s="52"/>
      <c r="G1636" s="52"/>
      <c r="H1636" s="52"/>
      <c r="I1636" s="52"/>
      <c r="J1636" s="52"/>
      <c r="K1636" s="52"/>
      <c r="L1636" s="52"/>
      <c r="M1636" s="52"/>
      <c r="N1636" s="52"/>
      <c r="O1636" s="52"/>
      <c r="P1636" s="52"/>
      <c r="Q1636" s="52"/>
      <c r="R1636" s="52"/>
      <c r="S1636" s="52"/>
      <c r="T1636" s="52"/>
      <c r="U1636" s="52"/>
      <c r="V1636" s="52"/>
      <c r="W1636" s="52"/>
      <c r="X1636" s="52"/>
      <c r="Y1636" s="52"/>
      <c r="Z1636" s="52"/>
      <c r="AA1636" s="52"/>
      <c r="AB1636" s="52"/>
      <c r="AC1636" s="52"/>
      <c r="AD1636" s="52"/>
      <c r="AE1636" s="52"/>
      <c r="AF1636" s="52"/>
      <c r="AG1636" s="52"/>
      <c r="AH1636" s="52"/>
      <c r="AI1636" s="52"/>
      <c r="AJ1636" s="52"/>
      <c r="AK1636" s="52"/>
      <c r="AL1636" s="52"/>
      <c r="AM1636" s="52"/>
      <c r="AN1636" s="52"/>
      <c r="AO1636" s="52"/>
      <c r="AP1636" s="52"/>
      <c r="AQ1636" s="52"/>
      <c r="AR1636" s="52"/>
      <c r="AS1636" s="52"/>
      <c r="AT1636" s="52"/>
      <c r="AU1636" s="52"/>
      <c r="AV1636" s="52"/>
      <c r="AW1636" s="52"/>
    </row>
    <row r="1637" spans="1:49">
      <c r="A1637" s="52"/>
      <c r="B1637" s="52"/>
      <c r="C1637" s="52"/>
      <c r="D1637" s="53"/>
      <c r="E1637" s="53"/>
      <c r="F1637" s="52"/>
      <c r="G1637" s="52"/>
      <c r="H1637" s="52"/>
      <c r="I1637" s="52"/>
      <c r="J1637" s="52"/>
      <c r="K1637" s="52"/>
      <c r="L1637" s="52"/>
      <c r="M1637" s="54"/>
      <c r="N1637" s="54"/>
      <c r="O1637" s="52"/>
      <c r="P1637" s="52"/>
      <c r="Q1637" s="52"/>
      <c r="R1637" s="52"/>
      <c r="S1637" s="52"/>
      <c r="T1637" s="52"/>
      <c r="U1637" s="52"/>
      <c r="V1637" s="52"/>
      <c r="W1637" s="52"/>
      <c r="X1637" s="52"/>
      <c r="Y1637" s="52"/>
      <c r="Z1637" s="52"/>
      <c r="AA1637" s="52"/>
      <c r="AB1637" s="52"/>
      <c r="AC1637" s="52"/>
      <c r="AD1637" s="52"/>
      <c r="AE1637" s="52"/>
      <c r="AF1637" s="52"/>
      <c r="AG1637" s="52"/>
      <c r="AH1637" s="52"/>
      <c r="AI1637" s="52"/>
      <c r="AJ1637" s="52"/>
      <c r="AK1637" s="52"/>
      <c r="AL1637" s="52"/>
      <c r="AM1637" s="52"/>
      <c r="AN1637" s="52"/>
      <c r="AO1637" s="52"/>
      <c r="AP1637" s="52"/>
      <c r="AQ1637" s="52"/>
      <c r="AR1637" s="52"/>
      <c r="AS1637" s="52"/>
      <c r="AT1637" s="52"/>
      <c r="AU1637" s="52"/>
      <c r="AV1637" s="52"/>
      <c r="AW1637" s="52"/>
    </row>
    <row r="1638" spans="1:49">
      <c r="A1638" s="52"/>
      <c r="B1638" s="52"/>
      <c r="C1638" s="52"/>
      <c r="D1638" s="53"/>
      <c r="E1638" s="53"/>
      <c r="F1638" s="52"/>
      <c r="G1638" s="52"/>
      <c r="H1638" s="52"/>
      <c r="I1638" s="52"/>
      <c r="J1638" s="52"/>
      <c r="K1638" s="52"/>
      <c r="L1638" s="52"/>
      <c r="M1638" s="52"/>
      <c r="N1638" s="52"/>
      <c r="O1638" s="52"/>
      <c r="P1638" s="52"/>
      <c r="Q1638" s="52"/>
      <c r="R1638" s="52"/>
      <c r="S1638" s="52"/>
      <c r="T1638" s="52"/>
      <c r="U1638" s="52"/>
      <c r="V1638" s="52"/>
      <c r="W1638" s="52"/>
      <c r="X1638" s="52"/>
      <c r="Y1638" s="52"/>
      <c r="Z1638" s="52"/>
      <c r="AA1638" s="52"/>
      <c r="AB1638" s="52"/>
      <c r="AC1638" s="52"/>
      <c r="AD1638" s="52"/>
      <c r="AE1638" s="52"/>
      <c r="AF1638" s="52"/>
      <c r="AG1638" s="52"/>
      <c r="AH1638" s="52"/>
      <c r="AI1638" s="52"/>
      <c r="AJ1638" s="52"/>
      <c r="AK1638" s="52"/>
      <c r="AL1638" s="52"/>
      <c r="AM1638" s="52"/>
      <c r="AN1638" s="52"/>
      <c r="AO1638" s="52"/>
      <c r="AP1638" s="52"/>
      <c r="AQ1638" s="52"/>
      <c r="AR1638" s="52"/>
      <c r="AS1638" s="52"/>
      <c r="AT1638" s="52"/>
      <c r="AU1638" s="52"/>
      <c r="AV1638" s="52"/>
      <c r="AW1638" s="52"/>
    </row>
    <row r="1639" spans="1:49">
      <c r="A1639" s="52"/>
      <c r="B1639" s="52"/>
      <c r="C1639" s="52"/>
      <c r="D1639" s="53"/>
      <c r="E1639" s="53"/>
      <c r="F1639" s="52"/>
      <c r="G1639" s="52"/>
      <c r="H1639" s="52"/>
      <c r="I1639" s="52"/>
      <c r="J1639" s="52"/>
      <c r="K1639" s="52"/>
      <c r="L1639" s="52"/>
      <c r="M1639" s="54"/>
      <c r="N1639" s="54"/>
      <c r="O1639" s="52"/>
      <c r="P1639" s="52"/>
      <c r="Q1639" s="52"/>
      <c r="R1639" s="52"/>
      <c r="S1639" s="52"/>
      <c r="T1639" s="52"/>
      <c r="U1639" s="52"/>
      <c r="V1639" s="52"/>
      <c r="W1639" s="52"/>
      <c r="X1639" s="52"/>
      <c r="Y1639" s="52"/>
      <c r="Z1639" s="52"/>
      <c r="AA1639" s="52"/>
      <c r="AB1639" s="52"/>
      <c r="AC1639" s="52"/>
      <c r="AD1639" s="52"/>
      <c r="AE1639" s="52"/>
      <c r="AF1639" s="52"/>
      <c r="AG1639" s="52"/>
      <c r="AH1639" s="52"/>
      <c r="AI1639" s="52"/>
      <c r="AJ1639" s="52"/>
      <c r="AK1639" s="52"/>
      <c r="AL1639" s="52"/>
      <c r="AM1639" s="52"/>
      <c r="AN1639" s="52"/>
      <c r="AO1639" s="52"/>
      <c r="AP1639" s="52"/>
      <c r="AQ1639" s="52"/>
      <c r="AR1639" s="52"/>
      <c r="AS1639" s="52"/>
      <c r="AT1639" s="52"/>
      <c r="AU1639" s="52"/>
      <c r="AV1639" s="52"/>
      <c r="AW1639" s="52"/>
    </row>
    <row r="1640" spans="1:49">
      <c r="A1640" s="52"/>
      <c r="B1640" s="52"/>
      <c r="C1640" s="52"/>
      <c r="D1640" s="53"/>
      <c r="E1640" s="53"/>
      <c r="F1640" s="52"/>
      <c r="G1640" s="52"/>
      <c r="H1640" s="52"/>
      <c r="I1640" s="52"/>
      <c r="J1640" s="52"/>
      <c r="K1640" s="52"/>
      <c r="L1640" s="52"/>
      <c r="M1640" s="52"/>
      <c r="N1640" s="52"/>
      <c r="O1640" s="52"/>
      <c r="P1640" s="52"/>
      <c r="Q1640" s="52"/>
      <c r="R1640" s="52"/>
      <c r="S1640" s="52"/>
      <c r="T1640" s="52"/>
      <c r="U1640" s="52"/>
      <c r="V1640" s="52"/>
      <c r="W1640" s="52"/>
      <c r="X1640" s="52"/>
      <c r="Y1640" s="52"/>
      <c r="Z1640" s="52"/>
      <c r="AA1640" s="52"/>
      <c r="AB1640" s="52"/>
      <c r="AC1640" s="52"/>
      <c r="AD1640" s="52"/>
      <c r="AE1640" s="52"/>
      <c r="AF1640" s="52"/>
      <c r="AG1640" s="52"/>
      <c r="AH1640" s="52"/>
      <c r="AI1640" s="52"/>
      <c r="AJ1640" s="52"/>
      <c r="AK1640" s="52"/>
      <c r="AL1640" s="52"/>
      <c r="AM1640" s="52"/>
      <c r="AN1640" s="52"/>
      <c r="AO1640" s="52"/>
      <c r="AP1640" s="52"/>
      <c r="AQ1640" s="52"/>
      <c r="AR1640" s="52"/>
      <c r="AS1640" s="52"/>
      <c r="AT1640" s="52"/>
      <c r="AU1640" s="52"/>
      <c r="AV1640" s="52"/>
      <c r="AW1640" s="52"/>
    </row>
    <row r="1641" spans="1:49">
      <c r="A1641" s="52"/>
      <c r="B1641" s="52"/>
      <c r="C1641" s="52"/>
      <c r="D1641" s="53"/>
      <c r="E1641" s="53"/>
      <c r="F1641" s="53"/>
      <c r="G1641" s="53"/>
      <c r="H1641" s="52"/>
      <c r="I1641" s="52"/>
      <c r="J1641" s="52"/>
      <c r="K1641" s="53"/>
      <c r="L1641" s="52"/>
      <c r="M1641" s="55"/>
      <c r="N1641" s="54"/>
      <c r="O1641" s="52"/>
      <c r="P1641" s="52"/>
      <c r="Q1641" s="52"/>
      <c r="R1641" s="52"/>
      <c r="S1641" s="52"/>
      <c r="T1641" s="52"/>
      <c r="U1641" s="52"/>
      <c r="V1641" s="52"/>
      <c r="W1641" s="52"/>
      <c r="X1641" s="52"/>
      <c r="Y1641" s="52"/>
      <c r="Z1641" s="52"/>
      <c r="AA1641" s="52"/>
      <c r="AB1641" s="52"/>
      <c r="AC1641" s="52"/>
      <c r="AD1641" s="52"/>
      <c r="AE1641" s="52"/>
      <c r="AF1641" s="52"/>
      <c r="AG1641" s="52"/>
      <c r="AH1641" s="52"/>
      <c r="AI1641" s="52"/>
      <c r="AJ1641" s="52"/>
      <c r="AK1641" s="52"/>
      <c r="AL1641" s="52"/>
      <c r="AM1641" s="52"/>
      <c r="AN1641" s="52"/>
      <c r="AO1641" s="52"/>
      <c r="AP1641" s="52"/>
      <c r="AQ1641" s="52"/>
      <c r="AR1641" s="52"/>
      <c r="AS1641" s="52"/>
      <c r="AT1641" s="52"/>
      <c r="AU1641" s="52"/>
      <c r="AV1641" s="52"/>
      <c r="AW1641" s="52"/>
    </row>
    <row r="1642" spans="1:49">
      <c r="A1642" s="52"/>
      <c r="B1642" s="52"/>
      <c r="C1642" s="52"/>
      <c r="D1642" s="53"/>
      <c r="E1642" s="53"/>
      <c r="F1642" s="53"/>
      <c r="G1642" s="53"/>
      <c r="H1642" s="52"/>
      <c r="I1642" s="52"/>
      <c r="J1642" s="52"/>
      <c r="K1642" s="53"/>
      <c r="L1642" s="52"/>
      <c r="M1642" s="54"/>
      <c r="N1642" s="55"/>
      <c r="O1642" s="52"/>
      <c r="P1642" s="52"/>
      <c r="Q1642" s="52"/>
      <c r="R1642" s="52"/>
      <c r="S1642" s="52"/>
      <c r="T1642" s="52"/>
      <c r="U1642" s="52"/>
      <c r="V1642" s="52"/>
      <c r="W1642" s="52"/>
      <c r="X1642" s="52"/>
      <c r="Y1642" s="52"/>
      <c r="Z1642" s="52"/>
      <c r="AA1642" s="52"/>
      <c r="AB1642" s="52"/>
      <c r="AC1642" s="52"/>
      <c r="AD1642" s="52"/>
      <c r="AE1642" s="52"/>
      <c r="AF1642" s="52"/>
      <c r="AG1642" s="52"/>
      <c r="AH1642" s="52"/>
      <c r="AI1642" s="53"/>
      <c r="AJ1642" s="52"/>
      <c r="AK1642" s="53"/>
      <c r="AL1642" s="52"/>
      <c r="AM1642" s="52"/>
      <c r="AN1642" s="52"/>
      <c r="AO1642" s="52"/>
      <c r="AP1642" s="52"/>
      <c r="AQ1642" s="52"/>
      <c r="AR1642" s="52"/>
      <c r="AS1642" s="52"/>
      <c r="AT1642" s="52"/>
      <c r="AU1642" s="52"/>
      <c r="AV1642" s="52"/>
      <c r="AW1642" s="52"/>
    </row>
    <row r="1643" spans="1:49">
      <c r="A1643" s="52"/>
      <c r="B1643" s="52"/>
      <c r="C1643" s="52"/>
      <c r="D1643" s="53"/>
      <c r="E1643" s="53"/>
      <c r="F1643" s="53"/>
      <c r="G1643" s="53"/>
      <c r="H1643" s="52"/>
      <c r="I1643" s="52"/>
      <c r="J1643" s="52"/>
      <c r="K1643" s="53"/>
      <c r="L1643" s="52"/>
      <c r="M1643" s="54"/>
      <c r="N1643" s="55"/>
      <c r="O1643" s="52"/>
      <c r="P1643" s="52"/>
      <c r="Q1643" s="52"/>
      <c r="R1643" s="52"/>
      <c r="S1643" s="52"/>
      <c r="T1643" s="52"/>
      <c r="U1643" s="52"/>
      <c r="V1643" s="52"/>
      <c r="W1643" s="52"/>
      <c r="X1643" s="52"/>
      <c r="Y1643" s="52"/>
      <c r="Z1643" s="52"/>
      <c r="AA1643" s="52"/>
      <c r="AB1643" s="52"/>
      <c r="AC1643" s="52"/>
      <c r="AD1643" s="52"/>
      <c r="AE1643" s="52"/>
      <c r="AF1643" s="52"/>
      <c r="AG1643" s="52"/>
      <c r="AH1643" s="52"/>
      <c r="AI1643" s="53"/>
      <c r="AJ1643" s="52"/>
      <c r="AK1643" s="53"/>
      <c r="AL1643" s="52"/>
      <c r="AM1643" s="52"/>
      <c r="AN1643" s="52"/>
      <c r="AO1643" s="52"/>
      <c r="AP1643" s="52"/>
      <c r="AQ1643" s="52"/>
      <c r="AR1643" s="52"/>
      <c r="AS1643" s="52"/>
      <c r="AT1643" s="52"/>
      <c r="AU1643" s="52"/>
      <c r="AV1643" s="52"/>
      <c r="AW1643" s="52"/>
    </row>
    <row r="1644" spans="1:49">
      <c r="A1644" s="52"/>
      <c r="B1644" s="52"/>
      <c r="C1644" s="52"/>
      <c r="D1644" s="53"/>
      <c r="E1644" s="53"/>
      <c r="F1644" s="53"/>
      <c r="G1644" s="53"/>
      <c r="H1644" s="52"/>
      <c r="I1644" s="52"/>
      <c r="J1644" s="52"/>
      <c r="K1644" s="53"/>
      <c r="L1644" s="52"/>
      <c r="M1644" s="55"/>
      <c r="N1644" s="54"/>
      <c r="O1644" s="52"/>
      <c r="P1644" s="52"/>
      <c r="Q1644" s="52"/>
      <c r="R1644" s="52"/>
      <c r="S1644" s="52"/>
      <c r="T1644" s="52"/>
      <c r="U1644" s="52"/>
      <c r="V1644" s="52"/>
      <c r="W1644" s="52"/>
      <c r="X1644" s="52"/>
      <c r="Y1644" s="52"/>
      <c r="Z1644" s="52"/>
      <c r="AA1644" s="52"/>
      <c r="AB1644" s="52"/>
      <c r="AC1644" s="52"/>
      <c r="AD1644" s="52"/>
      <c r="AE1644" s="52"/>
      <c r="AF1644" s="52"/>
      <c r="AG1644" s="52"/>
      <c r="AH1644" s="52"/>
      <c r="AI1644" s="52"/>
      <c r="AJ1644" s="52"/>
      <c r="AK1644" s="52"/>
      <c r="AL1644" s="52"/>
      <c r="AM1644" s="52"/>
      <c r="AN1644" s="52"/>
      <c r="AO1644" s="52"/>
      <c r="AP1644" s="52"/>
      <c r="AQ1644" s="52"/>
      <c r="AR1644" s="52"/>
      <c r="AS1644" s="52"/>
      <c r="AT1644" s="52"/>
      <c r="AU1644" s="52"/>
      <c r="AV1644" s="52"/>
      <c r="AW1644" s="52"/>
    </row>
    <row r="1645" spans="1:49">
      <c r="A1645" s="52"/>
      <c r="B1645" s="52"/>
      <c r="C1645" s="52"/>
      <c r="D1645" s="53"/>
      <c r="E1645" s="53"/>
      <c r="F1645" s="53"/>
      <c r="G1645" s="53"/>
      <c r="H1645" s="52"/>
      <c r="I1645" s="52"/>
      <c r="J1645" s="52"/>
      <c r="K1645" s="53"/>
      <c r="L1645" s="52"/>
      <c r="M1645" s="54"/>
      <c r="N1645" s="55"/>
      <c r="O1645" s="52"/>
      <c r="P1645" s="52"/>
      <c r="Q1645" s="52"/>
      <c r="R1645" s="52"/>
      <c r="S1645" s="52"/>
      <c r="T1645" s="52"/>
      <c r="U1645" s="52"/>
      <c r="V1645" s="52"/>
      <c r="W1645" s="52"/>
      <c r="X1645" s="52"/>
      <c r="Y1645" s="52"/>
      <c r="Z1645" s="52"/>
      <c r="AA1645" s="52"/>
      <c r="AB1645" s="52"/>
      <c r="AC1645" s="52"/>
      <c r="AD1645" s="52"/>
      <c r="AE1645" s="52"/>
      <c r="AF1645" s="52"/>
      <c r="AG1645" s="52"/>
      <c r="AH1645" s="52"/>
      <c r="AI1645" s="52"/>
      <c r="AJ1645" s="52"/>
      <c r="AK1645" s="52"/>
      <c r="AL1645" s="55"/>
      <c r="AM1645" s="52"/>
      <c r="AN1645" s="52"/>
      <c r="AO1645" s="52"/>
      <c r="AP1645" s="55"/>
      <c r="AQ1645" s="52"/>
      <c r="AR1645" s="52"/>
      <c r="AS1645" s="52"/>
      <c r="AT1645" s="52"/>
      <c r="AU1645" s="52"/>
      <c r="AV1645" s="52"/>
      <c r="AW1645" s="52"/>
    </row>
    <row r="1646" spans="1:49">
      <c r="A1646" s="52"/>
      <c r="B1646" s="52"/>
      <c r="C1646" s="52"/>
      <c r="D1646" s="53"/>
      <c r="E1646" s="53"/>
      <c r="F1646" s="53"/>
      <c r="G1646" s="53"/>
      <c r="H1646" s="52"/>
      <c r="I1646" s="52"/>
      <c r="J1646" s="52"/>
      <c r="K1646" s="53"/>
      <c r="L1646" s="52"/>
      <c r="M1646" s="54"/>
      <c r="N1646" s="55"/>
      <c r="O1646" s="52"/>
      <c r="P1646" s="52"/>
      <c r="Q1646" s="52"/>
      <c r="R1646" s="52"/>
      <c r="S1646" s="52"/>
      <c r="T1646" s="52"/>
      <c r="U1646" s="52"/>
      <c r="V1646" s="52"/>
      <c r="W1646" s="52"/>
      <c r="X1646" s="52"/>
      <c r="Y1646" s="52"/>
      <c r="Z1646" s="52"/>
      <c r="AA1646" s="52"/>
      <c r="AB1646" s="52"/>
      <c r="AC1646" s="52"/>
      <c r="AD1646" s="52"/>
      <c r="AE1646" s="52"/>
      <c r="AF1646" s="52"/>
      <c r="AG1646" s="52"/>
      <c r="AH1646" s="52"/>
      <c r="AI1646" s="52"/>
      <c r="AJ1646" s="52"/>
      <c r="AK1646" s="52"/>
      <c r="AL1646" s="55"/>
      <c r="AM1646" s="52"/>
      <c r="AN1646" s="52"/>
      <c r="AO1646" s="52"/>
      <c r="AP1646" s="55"/>
      <c r="AQ1646" s="52"/>
      <c r="AR1646" s="52"/>
      <c r="AS1646" s="52"/>
      <c r="AT1646" s="52"/>
      <c r="AU1646" s="52"/>
      <c r="AV1646" s="52"/>
      <c r="AW1646" s="52"/>
    </row>
    <row r="1647" spans="1:49">
      <c r="A1647" s="52"/>
      <c r="B1647" s="52"/>
      <c r="C1647" s="52"/>
      <c r="D1647" s="53"/>
      <c r="E1647" s="53"/>
      <c r="F1647" s="53"/>
      <c r="G1647" s="53"/>
      <c r="H1647" s="52"/>
      <c r="I1647" s="52"/>
      <c r="J1647" s="52"/>
      <c r="K1647" s="53"/>
      <c r="L1647" s="52"/>
      <c r="M1647" s="54"/>
      <c r="N1647" s="54"/>
      <c r="O1647" s="52"/>
      <c r="P1647" s="52"/>
      <c r="Q1647" s="52"/>
      <c r="R1647" s="52"/>
      <c r="S1647" s="52"/>
      <c r="T1647" s="52"/>
      <c r="U1647" s="52"/>
      <c r="V1647" s="52"/>
      <c r="W1647" s="52"/>
      <c r="X1647" s="52"/>
      <c r="Y1647" s="52"/>
      <c r="Z1647" s="52"/>
      <c r="AA1647" s="52"/>
      <c r="AB1647" s="52"/>
      <c r="AC1647" s="52"/>
      <c r="AD1647" s="52"/>
      <c r="AE1647" s="52"/>
      <c r="AF1647" s="52"/>
      <c r="AG1647" s="52"/>
      <c r="AH1647" s="52"/>
      <c r="AI1647" s="52"/>
      <c r="AJ1647" s="52"/>
      <c r="AK1647" s="52"/>
      <c r="AL1647" s="52"/>
      <c r="AM1647" s="52"/>
      <c r="AN1647" s="52"/>
      <c r="AO1647" s="52"/>
      <c r="AP1647" s="52"/>
      <c r="AQ1647" s="52"/>
      <c r="AR1647" s="52"/>
      <c r="AS1647" s="52"/>
      <c r="AT1647" s="52"/>
      <c r="AU1647" s="52"/>
      <c r="AV1647" s="52"/>
      <c r="AW1647" s="52"/>
    </row>
    <row r="1648" spans="1:49">
      <c r="A1648" s="52"/>
      <c r="B1648" s="52"/>
      <c r="C1648" s="52"/>
      <c r="D1648" s="53"/>
      <c r="E1648" s="53"/>
      <c r="F1648" s="52"/>
      <c r="G1648" s="53"/>
      <c r="H1648" s="52"/>
      <c r="I1648" s="52"/>
      <c r="J1648" s="52"/>
      <c r="K1648" s="53"/>
      <c r="L1648" s="52"/>
      <c r="M1648" s="52"/>
      <c r="N1648" s="52"/>
      <c r="O1648" s="52"/>
      <c r="P1648" s="52"/>
      <c r="Q1648" s="52"/>
      <c r="R1648" s="52"/>
      <c r="S1648" s="52"/>
      <c r="T1648" s="52"/>
      <c r="U1648" s="52"/>
      <c r="V1648" s="52"/>
      <c r="W1648" s="52"/>
      <c r="X1648" s="52"/>
      <c r="Y1648" s="52"/>
      <c r="Z1648" s="52"/>
      <c r="AA1648" s="52"/>
      <c r="AB1648" s="52"/>
      <c r="AC1648" s="52"/>
      <c r="AD1648" s="52"/>
      <c r="AE1648" s="52"/>
      <c r="AF1648" s="52"/>
      <c r="AG1648" s="52"/>
      <c r="AH1648" s="52"/>
      <c r="AI1648" s="52"/>
      <c r="AJ1648" s="52"/>
      <c r="AK1648" s="52"/>
      <c r="AL1648" s="52"/>
      <c r="AM1648" s="52"/>
      <c r="AN1648" s="52"/>
      <c r="AO1648" s="52"/>
      <c r="AP1648" s="52"/>
      <c r="AQ1648" s="52"/>
      <c r="AR1648" s="52"/>
      <c r="AS1648" s="52"/>
      <c r="AT1648" s="52"/>
      <c r="AU1648" s="52"/>
      <c r="AV1648" s="52"/>
      <c r="AW1648" s="52"/>
    </row>
    <row r="1649" spans="1:49">
      <c r="A1649" s="52"/>
      <c r="B1649" s="52"/>
      <c r="C1649" s="52"/>
      <c r="D1649" s="53"/>
      <c r="E1649" s="53"/>
      <c r="F1649" s="52"/>
      <c r="G1649" s="53"/>
      <c r="H1649" s="52"/>
      <c r="I1649" s="52"/>
      <c r="J1649" s="52"/>
      <c r="K1649" s="53"/>
      <c r="L1649" s="52"/>
      <c r="M1649" s="52"/>
      <c r="N1649" s="52"/>
      <c r="O1649" s="52"/>
      <c r="P1649" s="52"/>
      <c r="Q1649" s="52"/>
      <c r="R1649" s="52"/>
      <c r="S1649" s="52"/>
      <c r="T1649" s="52"/>
      <c r="U1649" s="52"/>
      <c r="V1649" s="52"/>
      <c r="W1649" s="52"/>
      <c r="X1649" s="52"/>
      <c r="Y1649" s="52"/>
      <c r="Z1649" s="52"/>
      <c r="AA1649" s="52"/>
      <c r="AB1649" s="52"/>
      <c r="AC1649" s="52"/>
      <c r="AD1649" s="52"/>
      <c r="AE1649" s="52"/>
      <c r="AF1649" s="52"/>
      <c r="AG1649" s="52"/>
      <c r="AH1649" s="52"/>
      <c r="AI1649" s="52"/>
      <c r="AJ1649" s="52"/>
      <c r="AK1649" s="52"/>
      <c r="AL1649" s="52"/>
      <c r="AM1649" s="52"/>
      <c r="AN1649" s="52"/>
      <c r="AO1649" s="52"/>
      <c r="AP1649" s="52"/>
      <c r="AQ1649" s="52"/>
      <c r="AR1649" s="52"/>
      <c r="AS1649" s="52"/>
      <c r="AT1649" s="52"/>
      <c r="AU1649" s="52"/>
      <c r="AV1649" s="52"/>
      <c r="AW1649" s="52"/>
    </row>
    <row r="1650" spans="1:49">
      <c r="A1650" s="52"/>
      <c r="B1650" s="52"/>
      <c r="C1650" s="52"/>
      <c r="D1650" s="53"/>
      <c r="E1650" s="53"/>
      <c r="F1650" s="53"/>
      <c r="G1650" s="53"/>
      <c r="H1650" s="52"/>
      <c r="I1650" s="52"/>
      <c r="J1650" s="52"/>
      <c r="K1650" s="53"/>
      <c r="L1650" s="52"/>
      <c r="M1650" s="54"/>
      <c r="N1650" s="54"/>
      <c r="O1650" s="52"/>
      <c r="P1650" s="52"/>
      <c r="Q1650" s="52"/>
      <c r="R1650" s="52"/>
      <c r="S1650" s="52"/>
      <c r="T1650" s="52"/>
      <c r="U1650" s="52"/>
      <c r="V1650" s="52"/>
      <c r="W1650" s="52"/>
      <c r="X1650" s="52"/>
      <c r="Y1650" s="52"/>
      <c r="Z1650" s="52"/>
      <c r="AA1650" s="52"/>
      <c r="AB1650" s="52"/>
      <c r="AC1650" s="52"/>
      <c r="AD1650" s="52"/>
      <c r="AE1650" s="52"/>
      <c r="AF1650" s="52"/>
      <c r="AG1650" s="52"/>
      <c r="AH1650" s="52"/>
      <c r="AI1650" s="52"/>
      <c r="AJ1650" s="52"/>
      <c r="AK1650" s="52"/>
      <c r="AL1650" s="52"/>
      <c r="AM1650" s="52"/>
      <c r="AN1650" s="52"/>
      <c r="AO1650" s="52"/>
      <c r="AP1650" s="52"/>
      <c r="AQ1650" s="52"/>
      <c r="AR1650" s="52"/>
      <c r="AS1650" s="52"/>
      <c r="AT1650" s="52"/>
      <c r="AU1650" s="52"/>
      <c r="AV1650" s="52"/>
      <c r="AW1650" s="52"/>
    </row>
    <row r="1651" spans="1:49">
      <c r="A1651" s="52"/>
      <c r="B1651" s="52"/>
      <c r="C1651" s="52"/>
      <c r="D1651" s="53"/>
      <c r="E1651" s="53"/>
      <c r="F1651" s="52"/>
      <c r="G1651" s="53"/>
      <c r="H1651" s="52"/>
      <c r="I1651" s="52"/>
      <c r="J1651" s="52"/>
      <c r="K1651" s="53"/>
      <c r="L1651" s="52"/>
      <c r="M1651" s="52"/>
      <c r="N1651" s="52"/>
      <c r="O1651" s="52"/>
      <c r="P1651" s="52"/>
      <c r="Q1651" s="52"/>
      <c r="R1651" s="52"/>
      <c r="S1651" s="52"/>
      <c r="T1651" s="52"/>
      <c r="U1651" s="52"/>
      <c r="V1651" s="52"/>
      <c r="W1651" s="52"/>
      <c r="X1651" s="52"/>
      <c r="Y1651" s="52"/>
      <c r="Z1651" s="52"/>
      <c r="AA1651" s="52"/>
      <c r="AB1651" s="52"/>
      <c r="AC1651" s="52"/>
      <c r="AD1651" s="52"/>
      <c r="AE1651" s="52"/>
      <c r="AF1651" s="52"/>
      <c r="AG1651" s="52"/>
      <c r="AH1651" s="52"/>
      <c r="AI1651" s="52"/>
      <c r="AJ1651" s="52"/>
      <c r="AK1651" s="52"/>
      <c r="AL1651" s="52"/>
      <c r="AM1651" s="52"/>
      <c r="AN1651" s="52"/>
      <c r="AO1651" s="52"/>
      <c r="AP1651" s="52"/>
      <c r="AQ1651" s="52"/>
      <c r="AR1651" s="52"/>
      <c r="AS1651" s="52"/>
      <c r="AT1651" s="52"/>
      <c r="AU1651" s="52"/>
      <c r="AV1651" s="52"/>
      <c r="AW1651" s="52"/>
    </row>
    <row r="1652" spans="1:49">
      <c r="A1652" s="52"/>
      <c r="B1652" s="52"/>
      <c r="C1652" s="52"/>
      <c r="D1652" s="53"/>
      <c r="E1652" s="53"/>
      <c r="F1652" s="52"/>
      <c r="G1652" s="53"/>
      <c r="H1652" s="52"/>
      <c r="I1652" s="52"/>
      <c r="J1652" s="52"/>
      <c r="K1652" s="53"/>
      <c r="L1652" s="52"/>
      <c r="M1652" s="52"/>
      <c r="N1652" s="52"/>
      <c r="O1652" s="52"/>
      <c r="P1652" s="52"/>
      <c r="Q1652" s="52"/>
      <c r="R1652" s="52"/>
      <c r="S1652" s="52"/>
      <c r="T1652" s="52"/>
      <c r="U1652" s="52"/>
      <c r="V1652" s="52"/>
      <c r="W1652" s="52"/>
      <c r="X1652" s="52"/>
      <c r="Y1652" s="52"/>
      <c r="Z1652" s="52"/>
      <c r="AA1652" s="52"/>
      <c r="AB1652" s="52"/>
      <c r="AC1652" s="52"/>
      <c r="AD1652" s="52"/>
      <c r="AE1652" s="52"/>
      <c r="AF1652" s="52"/>
      <c r="AG1652" s="52"/>
      <c r="AH1652" s="52"/>
      <c r="AI1652" s="52"/>
      <c r="AJ1652" s="52"/>
      <c r="AK1652" s="52"/>
      <c r="AL1652" s="52"/>
      <c r="AM1652" s="52"/>
      <c r="AN1652" s="52"/>
      <c r="AO1652" s="52"/>
      <c r="AP1652" s="52"/>
      <c r="AQ1652" s="52"/>
      <c r="AR1652" s="52"/>
      <c r="AS1652" s="52"/>
      <c r="AT1652" s="52"/>
      <c r="AU1652" s="52"/>
      <c r="AV1652" s="52"/>
      <c r="AW1652" s="52"/>
    </row>
    <row r="1653" spans="1:49">
      <c r="A1653" s="52"/>
      <c r="B1653" s="52"/>
      <c r="C1653" s="52"/>
      <c r="D1653" s="53"/>
      <c r="E1653" s="53"/>
      <c r="F1653" s="52"/>
      <c r="G1653" s="52"/>
      <c r="H1653" s="52"/>
      <c r="I1653" s="52"/>
      <c r="J1653" s="52"/>
      <c r="K1653" s="52"/>
      <c r="L1653" s="52"/>
      <c r="M1653" s="55"/>
      <c r="N1653" s="54"/>
      <c r="O1653" s="52"/>
      <c r="P1653" s="52"/>
      <c r="Q1653" s="52"/>
      <c r="R1653" s="52"/>
      <c r="S1653" s="52"/>
      <c r="T1653" s="52"/>
      <c r="U1653" s="52"/>
      <c r="V1653" s="52"/>
      <c r="W1653" s="52"/>
      <c r="X1653" s="52"/>
      <c r="Y1653" s="52"/>
      <c r="Z1653" s="52"/>
      <c r="AA1653" s="52"/>
      <c r="AB1653" s="52"/>
      <c r="AC1653" s="52"/>
      <c r="AD1653" s="52"/>
      <c r="AE1653" s="52"/>
      <c r="AF1653" s="52"/>
      <c r="AG1653" s="52"/>
      <c r="AH1653" s="52"/>
      <c r="AI1653" s="52"/>
      <c r="AJ1653" s="52"/>
      <c r="AK1653" s="52"/>
      <c r="AL1653" s="52"/>
      <c r="AM1653" s="52"/>
      <c r="AN1653" s="52"/>
      <c r="AO1653" s="52"/>
      <c r="AP1653" s="52"/>
      <c r="AQ1653" s="52"/>
      <c r="AR1653" s="52"/>
      <c r="AS1653" s="52"/>
      <c r="AT1653" s="52"/>
      <c r="AU1653" s="52"/>
      <c r="AV1653" s="52"/>
      <c r="AW1653" s="52"/>
    </row>
    <row r="1654" spans="1:49">
      <c r="A1654" s="52"/>
      <c r="B1654" s="52"/>
      <c r="C1654" s="52"/>
      <c r="D1654" s="53"/>
      <c r="E1654" s="53"/>
      <c r="F1654" s="52"/>
      <c r="G1654" s="52"/>
      <c r="H1654" s="52"/>
      <c r="I1654" s="52"/>
      <c r="J1654" s="52"/>
      <c r="K1654" s="52"/>
      <c r="L1654" s="52"/>
      <c r="M1654" s="52"/>
      <c r="N1654" s="52"/>
      <c r="O1654" s="52"/>
      <c r="P1654" s="52"/>
      <c r="Q1654" s="52"/>
      <c r="R1654" s="52"/>
      <c r="S1654" s="52"/>
      <c r="T1654" s="52"/>
      <c r="U1654" s="52"/>
      <c r="V1654" s="52"/>
      <c r="W1654" s="52"/>
      <c r="X1654" s="52"/>
      <c r="Y1654" s="52"/>
      <c r="Z1654" s="52"/>
      <c r="AA1654" s="52"/>
      <c r="AB1654" s="52"/>
      <c r="AC1654" s="52"/>
      <c r="AD1654" s="52"/>
      <c r="AE1654" s="52"/>
      <c r="AF1654" s="52"/>
      <c r="AG1654" s="52"/>
      <c r="AH1654" s="52"/>
      <c r="AI1654" s="52"/>
      <c r="AJ1654" s="52"/>
      <c r="AK1654" s="52"/>
      <c r="AL1654" s="52"/>
      <c r="AM1654" s="52"/>
      <c r="AN1654" s="52"/>
      <c r="AO1654" s="52"/>
      <c r="AP1654" s="52"/>
      <c r="AQ1654" s="52"/>
      <c r="AR1654" s="52"/>
      <c r="AS1654" s="52"/>
      <c r="AT1654" s="52"/>
      <c r="AU1654" s="52"/>
      <c r="AV1654" s="52"/>
      <c r="AW1654" s="52"/>
    </row>
    <row r="1655" spans="1:49">
      <c r="A1655" s="52"/>
      <c r="B1655" s="52"/>
      <c r="C1655" s="52"/>
      <c r="D1655" s="53"/>
      <c r="E1655" s="53"/>
      <c r="F1655" s="52"/>
      <c r="G1655" s="52"/>
      <c r="H1655" s="52"/>
      <c r="I1655" s="52"/>
      <c r="J1655" s="52"/>
      <c r="K1655" s="52"/>
      <c r="L1655" s="52"/>
      <c r="M1655" s="54"/>
      <c r="N1655" s="54"/>
      <c r="O1655" s="52"/>
      <c r="P1655" s="52"/>
      <c r="Q1655" s="52"/>
      <c r="R1655" s="52"/>
      <c r="S1655" s="52"/>
      <c r="T1655" s="52"/>
      <c r="U1655" s="52"/>
      <c r="V1655" s="52"/>
      <c r="W1655" s="52"/>
      <c r="X1655" s="52"/>
      <c r="Y1655" s="52"/>
      <c r="Z1655" s="52"/>
      <c r="AA1655" s="52"/>
      <c r="AB1655" s="52"/>
      <c r="AC1655" s="52"/>
      <c r="AD1655" s="52"/>
      <c r="AE1655" s="52"/>
      <c r="AF1655" s="52"/>
      <c r="AG1655" s="52"/>
      <c r="AH1655" s="52"/>
      <c r="AI1655" s="52"/>
      <c r="AJ1655" s="52"/>
      <c r="AK1655" s="52"/>
      <c r="AL1655" s="52"/>
      <c r="AM1655" s="52"/>
      <c r="AN1655" s="52"/>
      <c r="AO1655" s="52"/>
      <c r="AP1655" s="52"/>
      <c r="AQ1655" s="52"/>
      <c r="AR1655" s="52"/>
      <c r="AS1655" s="52"/>
      <c r="AT1655" s="52"/>
      <c r="AU1655" s="52"/>
      <c r="AV1655" s="52"/>
      <c r="AW1655" s="52"/>
    </row>
    <row r="1656" spans="1:49">
      <c r="A1656" s="52"/>
      <c r="B1656" s="52"/>
      <c r="C1656" s="52"/>
      <c r="D1656" s="53"/>
      <c r="E1656" s="53"/>
      <c r="F1656" s="52"/>
      <c r="G1656" s="52"/>
      <c r="H1656" s="52"/>
      <c r="I1656" s="52"/>
      <c r="J1656" s="52"/>
      <c r="K1656" s="52"/>
      <c r="L1656" s="52"/>
      <c r="M1656" s="52"/>
      <c r="N1656" s="52"/>
      <c r="O1656" s="52"/>
      <c r="P1656" s="52"/>
      <c r="Q1656" s="52"/>
      <c r="R1656" s="52"/>
      <c r="S1656" s="52"/>
      <c r="T1656" s="52"/>
      <c r="U1656" s="52"/>
      <c r="V1656" s="52"/>
      <c r="W1656" s="52"/>
      <c r="X1656" s="52"/>
      <c r="Y1656" s="52"/>
      <c r="Z1656" s="52"/>
      <c r="AA1656" s="52"/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52"/>
      <c r="AN1656" s="52"/>
      <c r="AO1656" s="52"/>
      <c r="AP1656" s="52"/>
      <c r="AQ1656" s="52"/>
      <c r="AR1656" s="52"/>
      <c r="AS1656" s="52"/>
      <c r="AT1656" s="52"/>
      <c r="AU1656" s="52"/>
      <c r="AV1656" s="52"/>
      <c r="AW1656" s="52"/>
    </row>
    <row r="1657" spans="1:49">
      <c r="A1657" s="52"/>
      <c r="B1657" s="52"/>
      <c r="C1657" s="52"/>
      <c r="D1657" s="53"/>
      <c r="E1657" s="53"/>
      <c r="F1657" s="52"/>
      <c r="G1657" s="52"/>
      <c r="H1657" s="52"/>
      <c r="I1657" s="52"/>
      <c r="J1657" s="52"/>
      <c r="K1657" s="52"/>
      <c r="L1657" s="52"/>
      <c r="M1657" s="55"/>
      <c r="N1657" s="54"/>
      <c r="O1657" s="52"/>
      <c r="P1657" s="52"/>
      <c r="Q1657" s="52"/>
      <c r="R1657" s="52"/>
      <c r="S1657" s="52"/>
      <c r="T1657" s="52"/>
      <c r="U1657" s="52"/>
      <c r="V1657" s="52"/>
      <c r="W1657" s="52"/>
      <c r="X1657" s="52"/>
      <c r="Y1657" s="52"/>
      <c r="Z1657" s="52"/>
      <c r="AA1657" s="52"/>
      <c r="AB1657" s="52"/>
      <c r="AC1657" s="52"/>
      <c r="AD1657" s="52"/>
      <c r="AE1657" s="52"/>
      <c r="AF1657" s="52"/>
      <c r="AG1657" s="52"/>
      <c r="AH1657" s="52"/>
      <c r="AI1657" s="52"/>
      <c r="AJ1657" s="52"/>
      <c r="AK1657" s="52"/>
      <c r="AL1657" s="52"/>
      <c r="AM1657" s="52"/>
      <c r="AN1657" s="52"/>
      <c r="AO1657" s="52"/>
      <c r="AP1657" s="52"/>
      <c r="AQ1657" s="52"/>
      <c r="AR1657" s="52"/>
      <c r="AS1657" s="52"/>
      <c r="AT1657" s="52"/>
      <c r="AU1657" s="52"/>
      <c r="AV1657" s="52"/>
      <c r="AW1657" s="52"/>
    </row>
    <row r="1658" spans="1:49">
      <c r="A1658" s="52"/>
      <c r="B1658" s="52"/>
      <c r="C1658" s="52"/>
      <c r="D1658" s="53"/>
      <c r="E1658" s="53"/>
      <c r="F1658" s="52"/>
      <c r="G1658" s="52"/>
      <c r="H1658" s="52"/>
      <c r="I1658" s="52"/>
      <c r="J1658" s="52"/>
      <c r="K1658" s="52"/>
      <c r="L1658" s="52"/>
      <c r="M1658" s="52"/>
      <c r="N1658" s="52"/>
      <c r="O1658" s="52"/>
      <c r="P1658" s="52"/>
      <c r="Q1658" s="52"/>
      <c r="R1658" s="52"/>
      <c r="S1658" s="52"/>
      <c r="T1658" s="52"/>
      <c r="U1658" s="52"/>
      <c r="V1658" s="52"/>
      <c r="W1658" s="52"/>
      <c r="X1658" s="52"/>
      <c r="Y1658" s="52"/>
      <c r="Z1658" s="52"/>
      <c r="AA1658" s="52"/>
      <c r="AB1658" s="52"/>
      <c r="AC1658" s="52"/>
      <c r="AD1658" s="52"/>
      <c r="AE1658" s="52"/>
      <c r="AF1658" s="52"/>
      <c r="AG1658" s="52"/>
      <c r="AH1658" s="52"/>
      <c r="AI1658" s="52"/>
      <c r="AJ1658" s="52"/>
      <c r="AK1658" s="52"/>
      <c r="AL1658" s="52"/>
      <c r="AM1658" s="52"/>
      <c r="AN1658" s="52"/>
      <c r="AO1658" s="52"/>
      <c r="AP1658" s="52"/>
      <c r="AQ1658" s="52"/>
      <c r="AR1658" s="52"/>
      <c r="AS1658" s="52"/>
      <c r="AT1658" s="52"/>
      <c r="AU1658" s="52"/>
      <c r="AV1658" s="52"/>
      <c r="AW1658" s="52"/>
    </row>
    <row r="1659" spans="1:49">
      <c r="A1659" s="52"/>
      <c r="B1659" s="52"/>
      <c r="C1659" s="52"/>
      <c r="D1659" s="53"/>
      <c r="E1659" s="53"/>
      <c r="F1659" s="52"/>
      <c r="G1659" s="52"/>
      <c r="H1659" s="52"/>
      <c r="I1659" s="52"/>
      <c r="J1659" s="52"/>
      <c r="K1659" s="52"/>
      <c r="L1659" s="52"/>
      <c r="M1659" s="55"/>
      <c r="N1659" s="54"/>
      <c r="O1659" s="52"/>
      <c r="P1659" s="52"/>
      <c r="Q1659" s="52"/>
      <c r="R1659" s="52"/>
      <c r="S1659" s="52"/>
      <c r="T1659" s="52"/>
      <c r="U1659" s="52"/>
      <c r="V1659" s="52"/>
      <c r="W1659" s="52"/>
      <c r="X1659" s="52"/>
      <c r="Y1659" s="52"/>
      <c r="Z1659" s="52"/>
      <c r="AA1659" s="52"/>
      <c r="AB1659" s="52"/>
      <c r="AC1659" s="52"/>
      <c r="AD1659" s="52"/>
      <c r="AE1659" s="52"/>
      <c r="AF1659" s="52"/>
      <c r="AG1659" s="52"/>
      <c r="AH1659" s="52"/>
      <c r="AI1659" s="52"/>
      <c r="AJ1659" s="52"/>
      <c r="AK1659" s="52"/>
      <c r="AL1659" s="52"/>
      <c r="AM1659" s="52"/>
      <c r="AN1659" s="52"/>
      <c r="AO1659" s="52"/>
      <c r="AP1659" s="52"/>
      <c r="AQ1659" s="52"/>
      <c r="AR1659" s="52"/>
      <c r="AS1659" s="52"/>
      <c r="AT1659" s="52"/>
      <c r="AU1659" s="52"/>
      <c r="AV1659" s="52"/>
      <c r="AW1659" s="52"/>
    </row>
    <row r="1660" spans="1:49">
      <c r="A1660" s="52"/>
      <c r="B1660" s="52"/>
      <c r="C1660" s="52"/>
      <c r="D1660" s="53"/>
      <c r="E1660" s="53"/>
      <c r="F1660" s="52"/>
      <c r="G1660" s="52"/>
      <c r="H1660" s="52"/>
      <c r="I1660" s="52"/>
      <c r="J1660" s="52"/>
      <c r="K1660" s="52"/>
      <c r="L1660" s="52"/>
      <c r="M1660" s="52"/>
      <c r="N1660" s="52"/>
      <c r="O1660" s="52"/>
      <c r="P1660" s="52"/>
      <c r="Q1660" s="52"/>
      <c r="R1660" s="52"/>
      <c r="S1660" s="52"/>
      <c r="T1660" s="52"/>
      <c r="U1660" s="52"/>
      <c r="V1660" s="52"/>
      <c r="W1660" s="52"/>
      <c r="X1660" s="52"/>
      <c r="Y1660" s="52"/>
      <c r="Z1660" s="52"/>
      <c r="AA1660" s="52"/>
      <c r="AB1660" s="52"/>
      <c r="AC1660" s="52"/>
      <c r="AD1660" s="52"/>
      <c r="AE1660" s="52"/>
      <c r="AF1660" s="52"/>
      <c r="AG1660" s="52"/>
      <c r="AH1660" s="52"/>
      <c r="AI1660" s="52"/>
      <c r="AJ1660" s="52"/>
      <c r="AK1660" s="52"/>
      <c r="AL1660" s="52"/>
      <c r="AM1660" s="52"/>
      <c r="AN1660" s="52"/>
      <c r="AO1660" s="52"/>
      <c r="AP1660" s="52"/>
      <c r="AQ1660" s="52"/>
      <c r="AR1660" s="52"/>
      <c r="AS1660" s="52"/>
      <c r="AT1660" s="52"/>
      <c r="AU1660" s="52"/>
      <c r="AV1660" s="52"/>
      <c r="AW1660" s="52"/>
    </row>
    <row r="1661" spans="1:49">
      <c r="A1661" s="52"/>
      <c r="B1661" s="52"/>
      <c r="C1661" s="52"/>
      <c r="D1661" s="53"/>
      <c r="E1661" s="53"/>
      <c r="F1661" s="52"/>
      <c r="G1661" s="52"/>
      <c r="H1661" s="52"/>
      <c r="I1661" s="52"/>
      <c r="J1661" s="52"/>
      <c r="K1661" s="52"/>
      <c r="L1661" s="52"/>
      <c r="M1661" s="55"/>
      <c r="N1661" s="55"/>
      <c r="O1661" s="52"/>
      <c r="P1661" s="52"/>
      <c r="Q1661" s="52"/>
      <c r="R1661" s="52"/>
      <c r="S1661" s="52"/>
      <c r="T1661" s="52"/>
      <c r="U1661" s="52"/>
      <c r="V1661" s="52"/>
      <c r="W1661" s="52"/>
      <c r="X1661" s="52"/>
      <c r="Y1661" s="52"/>
      <c r="Z1661" s="52"/>
      <c r="AA1661" s="52"/>
      <c r="AB1661" s="52"/>
      <c r="AC1661" s="52"/>
      <c r="AD1661" s="52"/>
      <c r="AE1661" s="52"/>
      <c r="AF1661" s="52"/>
      <c r="AG1661" s="52"/>
      <c r="AH1661" s="52"/>
      <c r="AI1661" s="52"/>
      <c r="AJ1661" s="52"/>
      <c r="AK1661" s="52"/>
      <c r="AL1661" s="52"/>
      <c r="AM1661" s="52"/>
      <c r="AN1661" s="52"/>
      <c r="AO1661" s="52"/>
      <c r="AP1661" s="52"/>
      <c r="AQ1661" s="52"/>
      <c r="AR1661" s="52"/>
      <c r="AS1661" s="52"/>
      <c r="AT1661" s="52"/>
      <c r="AU1661" s="52"/>
      <c r="AV1661" s="52"/>
      <c r="AW1661" s="52"/>
    </row>
    <row r="1662" spans="1:49">
      <c r="A1662" s="52"/>
      <c r="B1662" s="52"/>
      <c r="C1662" s="52"/>
      <c r="D1662" s="53"/>
      <c r="E1662" s="53"/>
      <c r="F1662" s="52"/>
      <c r="G1662" s="52"/>
      <c r="H1662" s="52"/>
      <c r="I1662" s="52"/>
      <c r="J1662" s="52"/>
      <c r="K1662" s="52"/>
      <c r="L1662" s="52"/>
      <c r="M1662" s="52"/>
      <c r="N1662" s="52"/>
      <c r="O1662" s="52"/>
      <c r="P1662" s="52"/>
      <c r="Q1662" s="52"/>
      <c r="R1662" s="52"/>
      <c r="S1662" s="52"/>
      <c r="T1662" s="52"/>
      <c r="U1662" s="52"/>
      <c r="V1662" s="52"/>
      <c r="W1662" s="52"/>
      <c r="X1662" s="52"/>
      <c r="Y1662" s="52"/>
      <c r="Z1662" s="52"/>
      <c r="AA1662" s="52"/>
      <c r="AB1662" s="52"/>
      <c r="AC1662" s="52"/>
      <c r="AD1662" s="52"/>
      <c r="AE1662" s="52"/>
      <c r="AF1662" s="52"/>
      <c r="AG1662" s="52"/>
      <c r="AH1662" s="52"/>
      <c r="AI1662" s="52"/>
      <c r="AJ1662" s="52"/>
      <c r="AK1662" s="52"/>
      <c r="AL1662" s="52"/>
      <c r="AM1662" s="52"/>
      <c r="AN1662" s="52"/>
      <c r="AO1662" s="52"/>
      <c r="AP1662" s="52"/>
      <c r="AQ1662" s="52"/>
      <c r="AR1662" s="52"/>
      <c r="AS1662" s="52"/>
      <c r="AT1662" s="52"/>
      <c r="AU1662" s="52"/>
      <c r="AV1662" s="52"/>
      <c r="AW1662" s="52"/>
    </row>
    <row r="1663" spans="1:49">
      <c r="A1663" s="52"/>
      <c r="B1663" s="52"/>
      <c r="C1663" s="52"/>
      <c r="D1663" s="53"/>
      <c r="E1663" s="53"/>
      <c r="F1663" s="52"/>
      <c r="G1663" s="52"/>
      <c r="H1663" s="52"/>
      <c r="I1663" s="52"/>
      <c r="J1663" s="52"/>
      <c r="K1663" s="52"/>
      <c r="L1663" s="52"/>
      <c r="M1663" s="54"/>
      <c r="N1663" s="54"/>
      <c r="O1663" s="52"/>
      <c r="P1663" s="52"/>
      <c r="Q1663" s="52"/>
      <c r="R1663" s="52"/>
      <c r="S1663" s="52"/>
      <c r="T1663" s="52"/>
      <c r="U1663" s="52"/>
      <c r="V1663" s="52"/>
      <c r="W1663" s="52"/>
      <c r="X1663" s="52"/>
      <c r="Y1663" s="52"/>
      <c r="Z1663" s="52"/>
      <c r="AA1663" s="52"/>
      <c r="AB1663" s="52"/>
      <c r="AC1663" s="52"/>
      <c r="AD1663" s="52"/>
      <c r="AE1663" s="52"/>
      <c r="AF1663" s="52"/>
      <c r="AG1663" s="52"/>
      <c r="AH1663" s="52"/>
      <c r="AI1663" s="52"/>
      <c r="AJ1663" s="52"/>
      <c r="AK1663" s="52"/>
      <c r="AL1663" s="52"/>
      <c r="AM1663" s="52"/>
      <c r="AN1663" s="52"/>
      <c r="AO1663" s="52"/>
      <c r="AP1663" s="52"/>
      <c r="AQ1663" s="52"/>
      <c r="AR1663" s="52"/>
      <c r="AS1663" s="52"/>
      <c r="AT1663" s="52"/>
      <c r="AU1663" s="52"/>
      <c r="AV1663" s="52"/>
      <c r="AW1663" s="52"/>
    </row>
    <row r="1664" spans="1:49">
      <c r="A1664" s="52"/>
      <c r="B1664" s="52"/>
      <c r="C1664" s="52"/>
      <c r="D1664" s="53"/>
      <c r="E1664" s="53"/>
      <c r="F1664" s="52"/>
      <c r="G1664" s="52"/>
      <c r="H1664" s="52"/>
      <c r="I1664" s="52"/>
      <c r="J1664" s="52"/>
      <c r="K1664" s="52"/>
      <c r="L1664" s="52"/>
      <c r="M1664" s="52"/>
      <c r="N1664" s="52"/>
      <c r="O1664" s="52"/>
      <c r="P1664" s="52"/>
      <c r="Q1664" s="52"/>
      <c r="R1664" s="52"/>
      <c r="S1664" s="52"/>
      <c r="T1664" s="52"/>
      <c r="U1664" s="52"/>
      <c r="V1664" s="52"/>
      <c r="W1664" s="52"/>
      <c r="X1664" s="52"/>
      <c r="Y1664" s="52"/>
      <c r="Z1664" s="52"/>
      <c r="AA1664" s="52"/>
      <c r="AB1664" s="52"/>
      <c r="AC1664" s="52"/>
      <c r="AD1664" s="52"/>
      <c r="AE1664" s="52"/>
      <c r="AF1664" s="52"/>
      <c r="AG1664" s="52"/>
      <c r="AH1664" s="52"/>
      <c r="AI1664" s="52"/>
      <c r="AJ1664" s="52"/>
      <c r="AK1664" s="52"/>
      <c r="AL1664" s="52"/>
      <c r="AM1664" s="52"/>
      <c r="AN1664" s="52"/>
      <c r="AO1664" s="52"/>
      <c r="AP1664" s="52"/>
      <c r="AQ1664" s="52"/>
      <c r="AR1664" s="52"/>
      <c r="AS1664" s="52"/>
      <c r="AT1664" s="52"/>
      <c r="AU1664" s="52"/>
      <c r="AV1664" s="52"/>
      <c r="AW1664" s="52"/>
    </row>
    <row r="1665" spans="1:49">
      <c r="A1665" s="52"/>
      <c r="B1665" s="52"/>
      <c r="C1665" s="52"/>
      <c r="D1665" s="53"/>
      <c r="E1665" s="53"/>
      <c r="F1665" s="53"/>
      <c r="G1665" s="53"/>
      <c r="H1665" s="52"/>
      <c r="I1665" s="52"/>
      <c r="J1665" s="52"/>
      <c r="K1665" s="53"/>
      <c r="L1665" s="52"/>
      <c r="M1665" s="54"/>
      <c r="N1665" s="55"/>
      <c r="O1665" s="52"/>
      <c r="P1665" s="52"/>
      <c r="Q1665" s="52"/>
      <c r="R1665" s="52"/>
      <c r="S1665" s="52"/>
      <c r="T1665" s="52"/>
      <c r="U1665" s="52"/>
      <c r="V1665" s="52"/>
      <c r="W1665" s="52"/>
      <c r="X1665" s="52"/>
      <c r="Y1665" s="52"/>
      <c r="Z1665" s="52"/>
      <c r="AA1665" s="52"/>
      <c r="AB1665" s="52"/>
      <c r="AC1665" s="52"/>
      <c r="AD1665" s="52"/>
      <c r="AE1665" s="52"/>
      <c r="AF1665" s="52"/>
      <c r="AG1665" s="52"/>
      <c r="AH1665" s="52"/>
      <c r="AI1665" s="52"/>
      <c r="AJ1665" s="52"/>
      <c r="AK1665" s="52"/>
      <c r="AL1665" s="52"/>
      <c r="AM1665" s="52"/>
      <c r="AN1665" s="52"/>
      <c r="AO1665" s="52"/>
      <c r="AP1665" s="52"/>
      <c r="AQ1665" s="52"/>
      <c r="AR1665" s="52"/>
      <c r="AS1665" s="52"/>
      <c r="AT1665" s="52"/>
      <c r="AU1665" s="52"/>
      <c r="AV1665" s="52"/>
      <c r="AW1665" s="52"/>
    </row>
    <row r="1666" spans="1:49">
      <c r="A1666" s="52"/>
      <c r="B1666" s="52"/>
      <c r="C1666" s="52"/>
      <c r="D1666" s="53"/>
      <c r="E1666" s="53"/>
      <c r="F1666" s="53"/>
      <c r="G1666" s="53"/>
      <c r="H1666" s="52"/>
      <c r="I1666" s="52"/>
      <c r="J1666" s="52"/>
      <c r="K1666" s="53"/>
      <c r="L1666" s="52"/>
      <c r="M1666" s="54"/>
      <c r="N1666" s="55"/>
      <c r="O1666" s="52"/>
      <c r="P1666" s="52"/>
      <c r="Q1666" s="52"/>
      <c r="R1666" s="52"/>
      <c r="S1666" s="52"/>
      <c r="T1666" s="52"/>
      <c r="U1666" s="52"/>
      <c r="V1666" s="52"/>
      <c r="W1666" s="52"/>
      <c r="X1666" s="52"/>
      <c r="Y1666" s="52"/>
      <c r="Z1666" s="52"/>
      <c r="AA1666" s="52"/>
      <c r="AB1666" s="52"/>
      <c r="AC1666" s="52"/>
      <c r="AD1666" s="52"/>
      <c r="AE1666" s="52"/>
      <c r="AF1666" s="52"/>
      <c r="AG1666" s="52"/>
      <c r="AH1666" s="52"/>
      <c r="AI1666" s="53"/>
      <c r="AJ1666" s="52"/>
      <c r="AK1666" s="53"/>
      <c r="AL1666" s="52"/>
      <c r="AM1666" s="52"/>
      <c r="AN1666" s="52"/>
      <c r="AO1666" s="52"/>
      <c r="AP1666" s="52"/>
      <c r="AQ1666" s="52"/>
      <c r="AR1666" s="52"/>
      <c r="AS1666" s="52"/>
      <c r="AT1666" s="52"/>
      <c r="AU1666" s="52"/>
      <c r="AV1666" s="52"/>
      <c r="AW1666" s="52"/>
    </row>
    <row r="1667" spans="1:49">
      <c r="A1667" s="52"/>
      <c r="B1667" s="52"/>
      <c r="C1667" s="52"/>
      <c r="D1667" s="53"/>
      <c r="E1667" s="53"/>
      <c r="F1667" s="53"/>
      <c r="G1667" s="53"/>
      <c r="H1667" s="52"/>
      <c r="I1667" s="52"/>
      <c r="J1667" s="52"/>
      <c r="K1667" s="53"/>
      <c r="L1667" s="52"/>
      <c r="M1667" s="54"/>
      <c r="N1667" s="55"/>
      <c r="O1667" s="52"/>
      <c r="P1667" s="52"/>
      <c r="Q1667" s="52"/>
      <c r="R1667" s="52"/>
      <c r="S1667" s="52"/>
      <c r="T1667" s="52"/>
      <c r="U1667" s="52"/>
      <c r="V1667" s="52"/>
      <c r="W1667" s="52"/>
      <c r="X1667" s="52"/>
      <c r="Y1667" s="52"/>
      <c r="Z1667" s="52"/>
      <c r="AA1667" s="52"/>
      <c r="AB1667" s="52"/>
      <c r="AC1667" s="52"/>
      <c r="AD1667" s="52"/>
      <c r="AE1667" s="52"/>
      <c r="AF1667" s="52"/>
      <c r="AG1667" s="52"/>
      <c r="AH1667" s="52"/>
      <c r="AI1667" s="53"/>
      <c r="AJ1667" s="52"/>
      <c r="AK1667" s="53"/>
      <c r="AL1667" s="52"/>
      <c r="AM1667" s="52"/>
      <c r="AN1667" s="52"/>
      <c r="AO1667" s="52"/>
      <c r="AP1667" s="52"/>
      <c r="AQ1667" s="52"/>
      <c r="AR1667" s="52"/>
      <c r="AS1667" s="52"/>
      <c r="AT1667" s="52"/>
      <c r="AU1667" s="52"/>
      <c r="AV1667" s="52"/>
      <c r="AW1667" s="52"/>
    </row>
    <row r="1668" spans="1:49">
      <c r="A1668" s="52"/>
      <c r="B1668" s="52"/>
      <c r="C1668" s="52"/>
      <c r="D1668" s="53"/>
      <c r="E1668" s="53"/>
      <c r="F1668" s="52"/>
      <c r="G1668" s="52"/>
      <c r="H1668" s="52"/>
      <c r="I1668" s="52"/>
      <c r="J1668" s="52"/>
      <c r="K1668" s="52"/>
      <c r="L1668" s="52"/>
      <c r="M1668" s="55"/>
      <c r="N1668" s="54"/>
      <c r="O1668" s="52"/>
      <c r="P1668" s="52"/>
      <c r="Q1668" s="52"/>
      <c r="R1668" s="52"/>
      <c r="S1668" s="52"/>
      <c r="T1668" s="52"/>
      <c r="U1668" s="52"/>
      <c r="V1668" s="52"/>
      <c r="W1668" s="52"/>
      <c r="X1668" s="52"/>
      <c r="Y1668" s="52"/>
      <c r="Z1668" s="52"/>
      <c r="AA1668" s="52"/>
      <c r="AB1668" s="52"/>
      <c r="AC1668" s="52"/>
      <c r="AD1668" s="52"/>
      <c r="AE1668" s="52"/>
      <c r="AF1668" s="52"/>
      <c r="AG1668" s="52"/>
      <c r="AH1668" s="52"/>
      <c r="AI1668" s="52"/>
      <c r="AJ1668" s="52"/>
      <c r="AK1668" s="52"/>
      <c r="AL1668" s="52"/>
      <c r="AM1668" s="52"/>
      <c r="AN1668" s="52"/>
      <c r="AO1668" s="52"/>
      <c r="AP1668" s="52"/>
      <c r="AQ1668" s="52"/>
      <c r="AR1668" s="52"/>
      <c r="AS1668" s="52"/>
      <c r="AT1668" s="52"/>
      <c r="AU1668" s="52"/>
      <c r="AV1668" s="52"/>
      <c r="AW1668" s="52"/>
    </row>
    <row r="1669" spans="1:49">
      <c r="A1669" s="52"/>
      <c r="B1669" s="52"/>
      <c r="C1669" s="52"/>
      <c r="D1669" s="53"/>
      <c r="E1669" s="53"/>
      <c r="F1669" s="52"/>
      <c r="G1669" s="52"/>
      <c r="H1669" s="52"/>
      <c r="I1669" s="52"/>
      <c r="J1669" s="52"/>
      <c r="K1669" s="52"/>
      <c r="L1669" s="52"/>
      <c r="M1669" s="52"/>
      <c r="N1669" s="52"/>
      <c r="O1669" s="52"/>
      <c r="P1669" s="52"/>
      <c r="Q1669" s="52"/>
      <c r="R1669" s="52"/>
      <c r="S1669" s="52"/>
      <c r="T1669" s="52"/>
      <c r="U1669" s="52"/>
      <c r="V1669" s="52"/>
      <c r="W1669" s="52"/>
      <c r="X1669" s="52"/>
      <c r="Y1669" s="52"/>
      <c r="Z1669" s="52"/>
      <c r="AA1669" s="52"/>
      <c r="AB1669" s="52"/>
      <c r="AC1669" s="52"/>
      <c r="AD1669" s="52"/>
      <c r="AE1669" s="52"/>
      <c r="AF1669" s="52"/>
      <c r="AG1669" s="52"/>
      <c r="AH1669" s="52"/>
      <c r="AI1669" s="52"/>
      <c r="AJ1669" s="52"/>
      <c r="AK1669" s="52"/>
      <c r="AL1669" s="52"/>
      <c r="AM1669" s="52"/>
      <c r="AN1669" s="52"/>
      <c r="AO1669" s="52"/>
      <c r="AP1669" s="52"/>
      <c r="AQ1669" s="52"/>
      <c r="AR1669" s="52"/>
      <c r="AS1669" s="52"/>
      <c r="AT1669" s="52"/>
      <c r="AU1669" s="52"/>
      <c r="AV1669" s="52"/>
      <c r="AW1669" s="52"/>
    </row>
    <row r="1670" spans="1:49">
      <c r="A1670" s="52"/>
      <c r="B1670" s="52"/>
      <c r="C1670" s="52"/>
      <c r="D1670" s="53"/>
      <c r="E1670" s="53"/>
      <c r="F1670" s="52"/>
      <c r="G1670" s="52"/>
      <c r="H1670" s="52"/>
      <c r="I1670" s="52"/>
      <c r="J1670" s="52"/>
      <c r="K1670" s="52"/>
      <c r="L1670" s="52"/>
      <c r="M1670" s="55"/>
      <c r="N1670" s="54"/>
      <c r="O1670" s="52"/>
      <c r="P1670" s="52"/>
      <c r="Q1670" s="52"/>
      <c r="R1670" s="52"/>
      <c r="S1670" s="52"/>
      <c r="T1670" s="52"/>
      <c r="U1670" s="52"/>
      <c r="V1670" s="52"/>
      <c r="W1670" s="52"/>
      <c r="X1670" s="52"/>
      <c r="Y1670" s="52"/>
      <c r="Z1670" s="52"/>
      <c r="AA1670" s="52"/>
      <c r="AB1670" s="52"/>
      <c r="AC1670" s="52"/>
      <c r="AD1670" s="52"/>
      <c r="AE1670" s="52"/>
      <c r="AF1670" s="52"/>
      <c r="AG1670" s="52"/>
      <c r="AH1670" s="52"/>
      <c r="AI1670" s="52"/>
      <c r="AJ1670" s="52"/>
      <c r="AK1670" s="52"/>
      <c r="AL1670" s="52"/>
      <c r="AM1670" s="52"/>
      <c r="AN1670" s="52"/>
      <c r="AO1670" s="52"/>
      <c r="AP1670" s="52"/>
      <c r="AQ1670" s="52"/>
      <c r="AR1670" s="52"/>
      <c r="AS1670" s="52"/>
      <c r="AT1670" s="52"/>
      <c r="AU1670" s="52"/>
      <c r="AV1670" s="52"/>
      <c r="AW1670" s="52"/>
    </row>
    <row r="1671" spans="1:49">
      <c r="A1671" s="52"/>
      <c r="B1671" s="52"/>
      <c r="C1671" s="52"/>
      <c r="D1671" s="53"/>
      <c r="E1671" s="53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  <c r="S1671" s="52"/>
      <c r="T1671" s="52"/>
      <c r="U1671" s="52"/>
      <c r="V1671" s="52"/>
      <c r="W1671" s="52"/>
      <c r="X1671" s="52"/>
      <c r="Y1671" s="52"/>
      <c r="Z1671" s="52"/>
      <c r="AA1671" s="52"/>
      <c r="AB1671" s="52"/>
      <c r="AC1671" s="52"/>
      <c r="AD1671" s="52"/>
      <c r="AE1671" s="52"/>
      <c r="AF1671" s="52"/>
      <c r="AG1671" s="52"/>
      <c r="AH1671" s="52"/>
      <c r="AI1671" s="52"/>
      <c r="AJ1671" s="52"/>
      <c r="AK1671" s="52"/>
      <c r="AL1671" s="52"/>
      <c r="AM1671" s="52"/>
      <c r="AN1671" s="52"/>
      <c r="AO1671" s="52"/>
      <c r="AP1671" s="52"/>
      <c r="AQ1671" s="52"/>
      <c r="AR1671" s="52"/>
      <c r="AS1671" s="52"/>
      <c r="AT1671" s="52"/>
      <c r="AU1671" s="52"/>
      <c r="AV1671" s="52"/>
      <c r="AW1671" s="52"/>
    </row>
    <row r="1672" spans="1:49">
      <c r="A1672" s="52"/>
      <c r="B1672" s="52"/>
      <c r="C1672" s="52"/>
      <c r="D1672" s="53"/>
      <c r="E1672" s="53"/>
      <c r="F1672" s="53"/>
      <c r="G1672" s="53"/>
      <c r="H1672" s="52"/>
      <c r="I1672" s="52"/>
      <c r="J1672" s="52"/>
      <c r="K1672" s="53"/>
      <c r="L1672" s="52"/>
      <c r="M1672" s="54"/>
      <c r="N1672" s="55"/>
      <c r="O1672" s="52"/>
      <c r="P1672" s="52"/>
      <c r="Q1672" s="52"/>
      <c r="R1672" s="52"/>
      <c r="S1672" s="52"/>
      <c r="T1672" s="52"/>
      <c r="U1672" s="52"/>
      <c r="V1672" s="52"/>
      <c r="W1672" s="52"/>
      <c r="X1672" s="52"/>
      <c r="Y1672" s="52"/>
      <c r="Z1672" s="52"/>
      <c r="AA1672" s="52"/>
      <c r="AB1672" s="52"/>
      <c r="AC1672" s="52"/>
      <c r="AD1672" s="52"/>
      <c r="AE1672" s="52"/>
      <c r="AF1672" s="52"/>
      <c r="AG1672" s="52"/>
      <c r="AH1672" s="52"/>
      <c r="AI1672" s="52"/>
      <c r="AJ1672" s="52"/>
      <c r="AK1672" s="52"/>
      <c r="AL1672" s="52"/>
      <c r="AM1672" s="52"/>
      <c r="AN1672" s="52"/>
      <c r="AO1672" s="52"/>
      <c r="AP1672" s="52"/>
      <c r="AQ1672" s="52"/>
      <c r="AR1672" s="52"/>
      <c r="AS1672" s="52"/>
      <c r="AT1672" s="52"/>
      <c r="AU1672" s="52"/>
      <c r="AV1672" s="52"/>
      <c r="AW1672" s="52"/>
    </row>
    <row r="1673" spans="1:49">
      <c r="A1673" s="52"/>
      <c r="B1673" s="52"/>
      <c r="C1673" s="52"/>
      <c r="D1673" s="53"/>
      <c r="E1673" s="53"/>
      <c r="F1673" s="53"/>
      <c r="G1673" s="53"/>
      <c r="H1673" s="52"/>
      <c r="I1673" s="52"/>
      <c r="J1673" s="52"/>
      <c r="K1673" s="53"/>
      <c r="L1673" s="52"/>
      <c r="M1673" s="54"/>
      <c r="N1673" s="55"/>
      <c r="O1673" s="52"/>
      <c r="P1673" s="52"/>
      <c r="Q1673" s="52"/>
      <c r="R1673" s="52"/>
      <c r="S1673" s="52"/>
      <c r="T1673" s="52"/>
      <c r="U1673" s="52"/>
      <c r="V1673" s="52"/>
      <c r="W1673" s="52"/>
      <c r="X1673" s="52"/>
      <c r="Y1673" s="52"/>
      <c r="Z1673" s="52"/>
      <c r="AA1673" s="52"/>
      <c r="AB1673" s="52"/>
      <c r="AC1673" s="52"/>
      <c r="AD1673" s="52"/>
      <c r="AE1673" s="52"/>
      <c r="AF1673" s="52"/>
      <c r="AG1673" s="52"/>
      <c r="AH1673" s="52"/>
      <c r="AI1673" s="53"/>
      <c r="AJ1673" s="52"/>
      <c r="AK1673" s="53"/>
      <c r="AL1673" s="52"/>
      <c r="AM1673" s="52"/>
      <c r="AN1673" s="52"/>
      <c r="AO1673" s="52"/>
      <c r="AP1673" s="52"/>
      <c r="AQ1673" s="52"/>
      <c r="AR1673" s="52"/>
      <c r="AS1673" s="52"/>
      <c r="AT1673" s="52"/>
      <c r="AU1673" s="52"/>
      <c r="AV1673" s="52"/>
      <c r="AW1673" s="52"/>
    </row>
    <row r="1674" spans="1:49">
      <c r="A1674" s="52"/>
      <c r="B1674" s="52"/>
      <c r="C1674" s="52"/>
      <c r="D1674" s="53"/>
      <c r="E1674" s="53"/>
      <c r="F1674" s="53"/>
      <c r="G1674" s="53"/>
      <c r="H1674" s="52"/>
      <c r="I1674" s="52"/>
      <c r="J1674" s="52"/>
      <c r="K1674" s="53"/>
      <c r="L1674" s="52"/>
      <c r="M1674" s="54"/>
      <c r="N1674" s="55"/>
      <c r="O1674" s="52"/>
      <c r="P1674" s="52"/>
      <c r="Q1674" s="52"/>
      <c r="R1674" s="52"/>
      <c r="S1674" s="52"/>
      <c r="T1674" s="52"/>
      <c r="U1674" s="52"/>
      <c r="V1674" s="52"/>
      <c r="W1674" s="52"/>
      <c r="X1674" s="52"/>
      <c r="Y1674" s="52"/>
      <c r="Z1674" s="52"/>
      <c r="AA1674" s="52"/>
      <c r="AB1674" s="52"/>
      <c r="AC1674" s="52"/>
      <c r="AD1674" s="52"/>
      <c r="AE1674" s="52"/>
      <c r="AF1674" s="52"/>
      <c r="AG1674" s="52"/>
      <c r="AH1674" s="52"/>
      <c r="AI1674" s="53"/>
      <c r="AJ1674" s="52"/>
      <c r="AK1674" s="53"/>
      <c r="AL1674" s="52"/>
      <c r="AM1674" s="52"/>
      <c r="AN1674" s="52"/>
      <c r="AO1674" s="52"/>
      <c r="AP1674" s="52"/>
      <c r="AQ1674" s="52"/>
      <c r="AR1674" s="52"/>
      <c r="AS1674" s="52"/>
      <c r="AT1674" s="52"/>
      <c r="AU1674" s="52"/>
      <c r="AV1674" s="52"/>
      <c r="AW1674" s="52"/>
    </row>
    <row r="1675" spans="1:49">
      <c r="A1675" s="52"/>
      <c r="B1675" s="52"/>
      <c r="C1675" s="52"/>
      <c r="D1675" s="53"/>
      <c r="E1675" s="53"/>
      <c r="F1675" s="52"/>
      <c r="G1675" s="52"/>
      <c r="H1675" s="52"/>
      <c r="I1675" s="52"/>
      <c r="J1675" s="52"/>
      <c r="K1675" s="52"/>
      <c r="L1675" s="52"/>
      <c r="M1675" s="54"/>
      <c r="N1675" s="55"/>
      <c r="O1675" s="52"/>
      <c r="P1675" s="52"/>
      <c r="Q1675" s="52"/>
      <c r="R1675" s="52"/>
      <c r="S1675" s="52"/>
      <c r="T1675" s="52"/>
      <c r="U1675" s="52"/>
      <c r="V1675" s="52"/>
      <c r="W1675" s="52"/>
      <c r="X1675" s="52"/>
      <c r="Y1675" s="52"/>
      <c r="Z1675" s="52"/>
      <c r="AA1675" s="52"/>
      <c r="AB1675" s="52"/>
      <c r="AC1675" s="52"/>
      <c r="AD1675" s="52"/>
      <c r="AE1675" s="52"/>
      <c r="AF1675" s="52"/>
      <c r="AG1675" s="52"/>
      <c r="AH1675" s="52"/>
      <c r="AI1675" s="52"/>
      <c r="AJ1675" s="52"/>
      <c r="AK1675" s="52"/>
      <c r="AL1675" s="52"/>
      <c r="AM1675" s="52"/>
      <c r="AN1675" s="52"/>
      <c r="AO1675" s="52"/>
      <c r="AP1675" s="52"/>
      <c r="AQ1675" s="52"/>
      <c r="AR1675" s="52"/>
      <c r="AS1675" s="52"/>
      <c r="AT1675" s="52"/>
      <c r="AU1675" s="52"/>
      <c r="AV1675" s="52"/>
      <c r="AW1675" s="52"/>
    </row>
    <row r="1676" spans="1:49">
      <c r="A1676" s="52"/>
      <c r="B1676" s="52"/>
      <c r="C1676" s="52"/>
      <c r="D1676" s="53"/>
      <c r="E1676" s="53"/>
      <c r="F1676" s="52"/>
      <c r="G1676" s="52"/>
      <c r="H1676" s="52"/>
      <c r="I1676" s="52"/>
      <c r="J1676" s="52"/>
      <c r="K1676" s="52"/>
      <c r="L1676" s="52"/>
      <c r="M1676" s="52"/>
      <c r="N1676" s="52"/>
      <c r="O1676" s="52"/>
      <c r="P1676" s="52"/>
      <c r="Q1676" s="52"/>
      <c r="R1676" s="52"/>
      <c r="S1676" s="52"/>
      <c r="T1676" s="52"/>
      <c r="U1676" s="52"/>
      <c r="V1676" s="52"/>
      <c r="W1676" s="52"/>
      <c r="X1676" s="52"/>
      <c r="Y1676" s="52"/>
      <c r="Z1676" s="52"/>
      <c r="AA1676" s="52"/>
      <c r="AB1676" s="52"/>
      <c r="AC1676" s="52"/>
      <c r="AD1676" s="52"/>
      <c r="AE1676" s="52"/>
      <c r="AF1676" s="52"/>
      <c r="AG1676" s="52"/>
      <c r="AH1676" s="52"/>
      <c r="AI1676" s="52"/>
      <c r="AJ1676" s="52"/>
      <c r="AK1676" s="52"/>
      <c r="AL1676" s="52"/>
      <c r="AM1676" s="52"/>
      <c r="AN1676" s="52"/>
      <c r="AO1676" s="52"/>
      <c r="AP1676" s="52"/>
      <c r="AQ1676" s="52"/>
      <c r="AR1676" s="52"/>
      <c r="AS1676" s="52"/>
      <c r="AT1676" s="52"/>
      <c r="AU1676" s="52"/>
      <c r="AV1676" s="52"/>
      <c r="AW1676" s="52"/>
    </row>
    <row r="1677" spans="1:49">
      <c r="A1677" s="52"/>
      <c r="B1677" s="52"/>
      <c r="C1677" s="52"/>
      <c r="D1677" s="53"/>
      <c r="E1677" s="53"/>
      <c r="F1677" s="52"/>
      <c r="G1677" s="52"/>
      <c r="H1677" s="52"/>
      <c r="I1677" s="52"/>
      <c r="J1677" s="52"/>
      <c r="K1677" s="52"/>
      <c r="L1677" s="52"/>
      <c r="M1677" s="55"/>
      <c r="N1677" s="54"/>
      <c r="O1677" s="52"/>
      <c r="P1677" s="52"/>
      <c r="Q1677" s="52"/>
      <c r="R1677" s="52"/>
      <c r="S1677" s="52"/>
      <c r="T1677" s="52"/>
      <c r="U1677" s="52"/>
      <c r="V1677" s="52"/>
      <c r="W1677" s="52"/>
      <c r="X1677" s="52"/>
      <c r="Y1677" s="52"/>
      <c r="Z1677" s="52"/>
      <c r="AA1677" s="52"/>
      <c r="AB1677" s="52"/>
      <c r="AC1677" s="52"/>
      <c r="AD1677" s="52"/>
      <c r="AE1677" s="52"/>
      <c r="AF1677" s="52"/>
      <c r="AG1677" s="52"/>
      <c r="AH1677" s="52"/>
      <c r="AI1677" s="52"/>
      <c r="AJ1677" s="52"/>
      <c r="AK1677" s="52"/>
      <c r="AL1677" s="52"/>
      <c r="AM1677" s="52"/>
      <c r="AN1677" s="52"/>
      <c r="AO1677" s="52"/>
      <c r="AP1677" s="52"/>
      <c r="AQ1677" s="52"/>
      <c r="AR1677" s="52"/>
      <c r="AS1677" s="52"/>
      <c r="AT1677" s="52"/>
      <c r="AU1677" s="52"/>
      <c r="AV1677" s="52"/>
      <c r="AW1677" s="52"/>
    </row>
    <row r="1678" spans="1:49">
      <c r="A1678" s="52"/>
      <c r="B1678" s="52"/>
      <c r="C1678" s="52"/>
      <c r="D1678" s="53"/>
      <c r="E1678" s="53"/>
      <c r="F1678" s="52"/>
      <c r="G1678" s="52"/>
      <c r="H1678" s="52"/>
      <c r="I1678" s="52"/>
      <c r="J1678" s="52"/>
      <c r="K1678" s="52"/>
      <c r="L1678" s="52"/>
      <c r="M1678" s="52"/>
      <c r="N1678" s="52"/>
      <c r="O1678" s="52"/>
      <c r="P1678" s="52"/>
      <c r="Q1678" s="52"/>
      <c r="R1678" s="52"/>
      <c r="S1678" s="52"/>
      <c r="T1678" s="52"/>
      <c r="U1678" s="52"/>
      <c r="V1678" s="52"/>
      <c r="W1678" s="52"/>
      <c r="X1678" s="52"/>
      <c r="Y1678" s="52"/>
      <c r="Z1678" s="52"/>
      <c r="AA1678" s="52"/>
      <c r="AB1678" s="52"/>
      <c r="AC1678" s="52"/>
      <c r="AD1678" s="52"/>
      <c r="AE1678" s="52"/>
      <c r="AF1678" s="52"/>
      <c r="AG1678" s="52"/>
      <c r="AH1678" s="52"/>
      <c r="AI1678" s="52"/>
      <c r="AJ1678" s="52"/>
      <c r="AK1678" s="52"/>
      <c r="AL1678" s="52"/>
      <c r="AM1678" s="52"/>
      <c r="AN1678" s="52"/>
      <c r="AO1678" s="52"/>
      <c r="AP1678" s="52"/>
      <c r="AQ1678" s="52"/>
      <c r="AR1678" s="52"/>
      <c r="AS1678" s="52"/>
      <c r="AT1678" s="52"/>
      <c r="AU1678" s="52"/>
      <c r="AV1678" s="52"/>
      <c r="AW1678" s="52"/>
    </row>
    <row r="1679" spans="1:49">
      <c r="A1679" s="52"/>
      <c r="B1679" s="52"/>
      <c r="C1679" s="52"/>
      <c r="D1679" s="53"/>
      <c r="E1679" s="53"/>
      <c r="F1679" s="52"/>
      <c r="G1679" s="52"/>
      <c r="H1679" s="52"/>
      <c r="I1679" s="52"/>
      <c r="J1679" s="52"/>
      <c r="K1679" s="52"/>
      <c r="L1679" s="52"/>
      <c r="M1679" s="55"/>
      <c r="N1679" s="54"/>
      <c r="O1679" s="52"/>
      <c r="P1679" s="52"/>
      <c r="Q1679" s="52"/>
      <c r="R1679" s="52"/>
      <c r="S1679" s="52"/>
      <c r="T1679" s="52"/>
      <c r="U1679" s="52"/>
      <c r="V1679" s="52"/>
      <c r="W1679" s="52"/>
      <c r="X1679" s="52"/>
      <c r="Y1679" s="52"/>
      <c r="Z1679" s="52"/>
      <c r="AA1679" s="52"/>
      <c r="AB1679" s="52"/>
      <c r="AC1679" s="52"/>
      <c r="AD1679" s="52"/>
      <c r="AE1679" s="52"/>
      <c r="AF1679" s="52"/>
      <c r="AG1679" s="52"/>
      <c r="AH1679" s="52"/>
      <c r="AI1679" s="52"/>
      <c r="AJ1679" s="52"/>
      <c r="AK1679" s="52"/>
      <c r="AL1679" s="52"/>
      <c r="AM1679" s="52"/>
      <c r="AN1679" s="52"/>
      <c r="AO1679" s="52"/>
      <c r="AP1679" s="52"/>
      <c r="AQ1679" s="52"/>
      <c r="AR1679" s="52"/>
      <c r="AS1679" s="52"/>
      <c r="AT1679" s="52"/>
      <c r="AU1679" s="52"/>
      <c r="AV1679" s="52"/>
      <c r="AW1679" s="52"/>
    </row>
    <row r="1680" spans="1:49">
      <c r="A1680" s="52"/>
      <c r="B1680" s="52"/>
      <c r="C1680" s="52"/>
      <c r="D1680" s="53"/>
      <c r="E1680" s="53"/>
      <c r="F1680" s="52"/>
      <c r="G1680" s="52"/>
      <c r="H1680" s="52"/>
      <c r="I1680" s="52"/>
      <c r="J1680" s="52"/>
      <c r="K1680" s="52"/>
      <c r="L1680" s="52"/>
      <c r="M1680" s="52"/>
      <c r="N1680" s="52"/>
      <c r="O1680" s="52"/>
      <c r="P1680" s="52"/>
      <c r="Q1680" s="52"/>
      <c r="R1680" s="52"/>
      <c r="S1680" s="52"/>
      <c r="T1680" s="52"/>
      <c r="U1680" s="52"/>
      <c r="V1680" s="52"/>
      <c r="W1680" s="52"/>
      <c r="X1680" s="52"/>
      <c r="Y1680" s="52"/>
      <c r="Z1680" s="52"/>
      <c r="AA1680" s="52"/>
      <c r="AB1680" s="52"/>
      <c r="AC1680" s="52"/>
      <c r="AD1680" s="52"/>
      <c r="AE1680" s="52"/>
      <c r="AF1680" s="52"/>
      <c r="AG1680" s="52"/>
      <c r="AH1680" s="52"/>
      <c r="AI1680" s="52"/>
      <c r="AJ1680" s="52"/>
      <c r="AK1680" s="52"/>
      <c r="AL1680" s="52"/>
      <c r="AM1680" s="52"/>
      <c r="AN1680" s="52"/>
      <c r="AO1680" s="52"/>
      <c r="AP1680" s="52"/>
      <c r="AQ1680" s="52"/>
      <c r="AR1680" s="52"/>
      <c r="AS1680" s="52"/>
      <c r="AT1680" s="52"/>
      <c r="AU1680" s="52"/>
      <c r="AV1680" s="52"/>
      <c r="AW1680" s="52"/>
    </row>
    <row r="1681" spans="1:49">
      <c r="A1681" s="52"/>
      <c r="B1681" s="52"/>
      <c r="C1681" s="52"/>
      <c r="D1681" s="53"/>
      <c r="E1681" s="53"/>
      <c r="F1681" s="52"/>
      <c r="G1681" s="52"/>
      <c r="H1681" s="52"/>
      <c r="I1681" s="52"/>
      <c r="J1681" s="52"/>
      <c r="K1681" s="52"/>
      <c r="L1681" s="52"/>
      <c r="M1681" s="55"/>
      <c r="N1681" s="54"/>
      <c r="O1681" s="52"/>
      <c r="P1681" s="52"/>
      <c r="Q1681" s="52"/>
      <c r="R1681" s="52"/>
      <c r="S1681" s="52"/>
      <c r="T1681" s="52"/>
      <c r="U1681" s="52"/>
      <c r="V1681" s="52"/>
      <c r="W1681" s="52"/>
      <c r="X1681" s="52"/>
      <c r="Y1681" s="52"/>
      <c r="Z1681" s="52"/>
      <c r="AA1681" s="52"/>
      <c r="AB1681" s="52"/>
      <c r="AC1681" s="52"/>
      <c r="AD1681" s="52"/>
      <c r="AE1681" s="52"/>
      <c r="AF1681" s="52"/>
      <c r="AG1681" s="52"/>
      <c r="AH1681" s="52"/>
      <c r="AI1681" s="52"/>
      <c r="AJ1681" s="52"/>
      <c r="AK1681" s="52"/>
      <c r="AL1681" s="52"/>
      <c r="AM1681" s="52"/>
      <c r="AN1681" s="52"/>
      <c r="AO1681" s="52"/>
      <c r="AP1681" s="52"/>
      <c r="AQ1681" s="52"/>
      <c r="AR1681" s="52"/>
      <c r="AS1681" s="52"/>
      <c r="AT1681" s="52"/>
      <c r="AU1681" s="52"/>
      <c r="AV1681" s="52"/>
      <c r="AW1681" s="52"/>
    </row>
    <row r="1682" spans="1:49">
      <c r="A1682" s="52"/>
      <c r="B1682" s="52"/>
      <c r="C1682" s="52"/>
      <c r="D1682" s="53"/>
      <c r="E1682" s="53"/>
      <c r="F1682" s="52"/>
      <c r="G1682" s="52"/>
      <c r="H1682" s="52"/>
      <c r="I1682" s="52"/>
      <c r="J1682" s="52"/>
      <c r="K1682" s="52"/>
      <c r="L1682" s="52"/>
      <c r="M1682" s="52"/>
      <c r="N1682" s="52"/>
      <c r="O1682" s="52"/>
      <c r="P1682" s="52"/>
      <c r="Q1682" s="52"/>
      <c r="R1682" s="52"/>
      <c r="S1682" s="52"/>
      <c r="T1682" s="52"/>
      <c r="U1682" s="52"/>
      <c r="V1682" s="52"/>
      <c r="W1682" s="52"/>
      <c r="X1682" s="52"/>
      <c r="Y1682" s="52"/>
      <c r="Z1682" s="52"/>
      <c r="AA1682" s="52"/>
      <c r="AB1682" s="52"/>
      <c r="AC1682" s="52"/>
      <c r="AD1682" s="52"/>
      <c r="AE1682" s="52"/>
      <c r="AF1682" s="52"/>
      <c r="AG1682" s="52"/>
      <c r="AH1682" s="52"/>
      <c r="AI1682" s="52"/>
      <c r="AJ1682" s="52"/>
      <c r="AK1682" s="52"/>
      <c r="AL1682" s="52"/>
      <c r="AM1682" s="52"/>
      <c r="AN1682" s="52"/>
      <c r="AO1682" s="52"/>
      <c r="AP1682" s="52"/>
      <c r="AQ1682" s="52"/>
      <c r="AR1682" s="52"/>
      <c r="AS1682" s="52"/>
      <c r="AT1682" s="52"/>
      <c r="AU1682" s="52"/>
      <c r="AV1682" s="52"/>
      <c r="AW1682" s="52"/>
    </row>
    <row r="1683" spans="1:49">
      <c r="A1683" s="52"/>
      <c r="B1683" s="52"/>
      <c r="C1683" s="52"/>
      <c r="D1683" s="53"/>
      <c r="E1683" s="53"/>
      <c r="F1683" s="52"/>
      <c r="G1683" s="52"/>
      <c r="H1683" s="52"/>
      <c r="I1683" s="52"/>
      <c r="J1683" s="52"/>
      <c r="K1683" s="52"/>
      <c r="L1683" s="52"/>
      <c r="M1683" s="54"/>
      <c r="N1683" s="55"/>
      <c r="O1683" s="52"/>
      <c r="P1683" s="52"/>
      <c r="Q1683" s="52"/>
      <c r="R1683" s="52"/>
      <c r="S1683" s="52"/>
      <c r="T1683" s="52"/>
      <c r="U1683" s="52"/>
      <c r="V1683" s="52"/>
      <c r="W1683" s="52"/>
      <c r="X1683" s="52"/>
      <c r="Y1683" s="52"/>
      <c r="Z1683" s="52"/>
      <c r="AA1683" s="52"/>
      <c r="AB1683" s="52"/>
      <c r="AC1683" s="52"/>
      <c r="AD1683" s="52"/>
      <c r="AE1683" s="52"/>
      <c r="AF1683" s="52"/>
      <c r="AG1683" s="52"/>
      <c r="AH1683" s="52"/>
      <c r="AI1683" s="52"/>
      <c r="AJ1683" s="52"/>
      <c r="AK1683" s="52"/>
      <c r="AL1683" s="52"/>
      <c r="AM1683" s="52"/>
      <c r="AN1683" s="52"/>
      <c r="AO1683" s="52"/>
      <c r="AP1683" s="52"/>
      <c r="AQ1683" s="52"/>
      <c r="AR1683" s="52"/>
      <c r="AS1683" s="52"/>
      <c r="AT1683" s="52"/>
      <c r="AU1683" s="52"/>
      <c r="AV1683" s="52"/>
      <c r="AW1683" s="52"/>
    </row>
    <row r="1684" spans="1:49">
      <c r="A1684" s="52"/>
      <c r="B1684" s="52"/>
      <c r="C1684" s="52"/>
      <c r="D1684" s="53"/>
      <c r="E1684" s="53"/>
      <c r="F1684" s="52"/>
      <c r="G1684" s="52"/>
      <c r="H1684" s="52"/>
      <c r="I1684" s="52"/>
      <c r="J1684" s="52"/>
      <c r="K1684" s="52"/>
      <c r="L1684" s="52"/>
      <c r="M1684" s="52"/>
      <c r="N1684" s="52"/>
      <c r="O1684" s="52"/>
      <c r="P1684" s="52"/>
      <c r="Q1684" s="52"/>
      <c r="R1684" s="52"/>
      <c r="S1684" s="52"/>
      <c r="T1684" s="52"/>
      <c r="U1684" s="52"/>
      <c r="V1684" s="52"/>
      <c r="W1684" s="52"/>
      <c r="X1684" s="52"/>
      <c r="Y1684" s="52"/>
      <c r="Z1684" s="52"/>
      <c r="AA1684" s="52"/>
      <c r="AB1684" s="52"/>
      <c r="AC1684" s="52"/>
      <c r="AD1684" s="52"/>
      <c r="AE1684" s="52"/>
      <c r="AF1684" s="52"/>
      <c r="AG1684" s="52"/>
      <c r="AH1684" s="52"/>
      <c r="AI1684" s="52"/>
      <c r="AJ1684" s="52"/>
      <c r="AK1684" s="52"/>
      <c r="AL1684" s="52"/>
      <c r="AM1684" s="52"/>
      <c r="AN1684" s="52"/>
      <c r="AO1684" s="52"/>
      <c r="AP1684" s="52"/>
      <c r="AQ1684" s="52"/>
      <c r="AR1684" s="52"/>
      <c r="AS1684" s="52"/>
      <c r="AT1684" s="52"/>
      <c r="AU1684" s="52"/>
      <c r="AV1684" s="52"/>
      <c r="AW1684" s="52"/>
    </row>
    <row r="1685" spans="1:49">
      <c r="A1685" s="52"/>
      <c r="B1685" s="52"/>
      <c r="C1685" s="52"/>
      <c r="D1685" s="53"/>
      <c r="E1685" s="53"/>
      <c r="F1685" s="52"/>
      <c r="G1685" s="52"/>
      <c r="H1685" s="52"/>
      <c r="I1685" s="52"/>
      <c r="J1685" s="52"/>
      <c r="K1685" s="52"/>
      <c r="L1685" s="52"/>
      <c r="M1685" s="54"/>
      <c r="N1685" s="54"/>
      <c r="O1685" s="52"/>
      <c r="P1685" s="52"/>
      <c r="Q1685" s="52"/>
      <c r="R1685" s="52"/>
      <c r="S1685" s="52"/>
      <c r="T1685" s="52"/>
      <c r="U1685" s="52"/>
      <c r="V1685" s="52"/>
      <c r="W1685" s="52"/>
      <c r="X1685" s="52"/>
      <c r="Y1685" s="52"/>
      <c r="Z1685" s="52"/>
      <c r="AA1685" s="52"/>
      <c r="AB1685" s="52"/>
      <c r="AC1685" s="52"/>
      <c r="AD1685" s="52"/>
      <c r="AE1685" s="52"/>
      <c r="AF1685" s="52"/>
      <c r="AG1685" s="52"/>
      <c r="AH1685" s="52"/>
      <c r="AI1685" s="52"/>
      <c r="AJ1685" s="52"/>
      <c r="AK1685" s="52"/>
      <c r="AL1685" s="52"/>
      <c r="AM1685" s="52"/>
      <c r="AN1685" s="52"/>
      <c r="AO1685" s="52"/>
      <c r="AP1685" s="52"/>
      <c r="AQ1685" s="52"/>
      <c r="AR1685" s="52"/>
      <c r="AS1685" s="52"/>
      <c r="AT1685" s="52"/>
      <c r="AU1685" s="52"/>
      <c r="AV1685" s="52"/>
      <c r="AW1685" s="52"/>
    </row>
    <row r="1686" spans="1:49">
      <c r="A1686" s="52"/>
      <c r="B1686" s="52"/>
      <c r="C1686" s="52"/>
      <c r="D1686" s="53"/>
      <c r="E1686" s="53"/>
      <c r="F1686" s="52"/>
      <c r="G1686" s="52"/>
      <c r="H1686" s="52"/>
      <c r="I1686" s="52"/>
      <c r="J1686" s="52"/>
      <c r="K1686" s="52"/>
      <c r="L1686" s="52"/>
      <c r="M1686" s="52"/>
      <c r="N1686" s="52"/>
      <c r="O1686" s="52"/>
      <c r="P1686" s="52"/>
      <c r="Q1686" s="52"/>
      <c r="R1686" s="52"/>
      <c r="S1686" s="52"/>
      <c r="T1686" s="52"/>
      <c r="U1686" s="52"/>
      <c r="V1686" s="52"/>
      <c r="W1686" s="52"/>
      <c r="X1686" s="52"/>
      <c r="Y1686" s="52"/>
      <c r="Z1686" s="52"/>
      <c r="AA1686" s="52"/>
      <c r="AB1686" s="52"/>
      <c r="AC1686" s="52"/>
      <c r="AD1686" s="52"/>
      <c r="AE1686" s="52"/>
      <c r="AF1686" s="52"/>
      <c r="AG1686" s="52"/>
      <c r="AH1686" s="52"/>
      <c r="AI1686" s="52"/>
      <c r="AJ1686" s="52"/>
      <c r="AK1686" s="52"/>
      <c r="AL1686" s="52"/>
      <c r="AM1686" s="52"/>
      <c r="AN1686" s="52"/>
      <c r="AO1686" s="52"/>
      <c r="AP1686" s="52"/>
      <c r="AQ1686" s="52"/>
      <c r="AR1686" s="52"/>
      <c r="AS1686" s="52"/>
      <c r="AT1686" s="52"/>
      <c r="AU1686" s="52"/>
      <c r="AV1686" s="52"/>
      <c r="AW1686" s="52"/>
    </row>
    <row r="1687" spans="1:49">
      <c r="A1687" s="52"/>
      <c r="B1687" s="52"/>
      <c r="C1687" s="52"/>
      <c r="D1687" s="53"/>
      <c r="E1687" s="53"/>
      <c r="F1687" s="52"/>
      <c r="G1687" s="52"/>
      <c r="H1687" s="52"/>
      <c r="I1687" s="52"/>
      <c r="J1687" s="52"/>
      <c r="K1687" s="52"/>
      <c r="L1687" s="52"/>
      <c r="M1687" s="55"/>
      <c r="N1687" s="54"/>
      <c r="O1687" s="52"/>
      <c r="P1687" s="52"/>
      <c r="Q1687" s="52"/>
      <c r="R1687" s="52"/>
      <c r="S1687" s="52"/>
      <c r="T1687" s="52"/>
      <c r="U1687" s="52"/>
      <c r="V1687" s="52"/>
      <c r="W1687" s="52"/>
      <c r="X1687" s="52"/>
      <c r="Y1687" s="52"/>
      <c r="Z1687" s="52"/>
      <c r="AA1687" s="52"/>
      <c r="AB1687" s="52"/>
      <c r="AC1687" s="52"/>
      <c r="AD1687" s="52"/>
      <c r="AE1687" s="52"/>
      <c r="AF1687" s="52"/>
      <c r="AG1687" s="52"/>
      <c r="AH1687" s="52"/>
      <c r="AI1687" s="52"/>
      <c r="AJ1687" s="52"/>
      <c r="AK1687" s="52"/>
      <c r="AL1687" s="52"/>
      <c r="AM1687" s="52"/>
      <c r="AN1687" s="52"/>
      <c r="AO1687" s="52"/>
      <c r="AP1687" s="52"/>
      <c r="AQ1687" s="52"/>
      <c r="AR1687" s="52"/>
      <c r="AS1687" s="52"/>
      <c r="AT1687" s="52"/>
      <c r="AU1687" s="52"/>
      <c r="AV1687" s="52"/>
      <c r="AW1687" s="52"/>
    </row>
    <row r="1688" spans="1:49">
      <c r="A1688" s="52"/>
      <c r="B1688" s="52"/>
      <c r="C1688" s="52"/>
      <c r="D1688" s="53"/>
      <c r="E1688" s="53"/>
      <c r="F1688" s="52"/>
      <c r="G1688" s="52"/>
      <c r="H1688" s="52"/>
      <c r="I1688" s="52"/>
      <c r="J1688" s="52"/>
      <c r="K1688" s="52"/>
      <c r="L1688" s="52"/>
      <c r="M1688" s="52"/>
      <c r="N1688" s="52"/>
      <c r="O1688" s="52"/>
      <c r="P1688" s="52"/>
      <c r="Q1688" s="52"/>
      <c r="R1688" s="52"/>
      <c r="S1688" s="52"/>
      <c r="T1688" s="52"/>
      <c r="U1688" s="52"/>
      <c r="V1688" s="52"/>
      <c r="W1688" s="52"/>
      <c r="X1688" s="52"/>
      <c r="Y1688" s="52"/>
      <c r="Z1688" s="52"/>
      <c r="AA1688" s="52"/>
      <c r="AB1688" s="52"/>
      <c r="AC1688" s="52"/>
      <c r="AD1688" s="52"/>
      <c r="AE1688" s="52"/>
      <c r="AF1688" s="52"/>
      <c r="AG1688" s="52"/>
      <c r="AH1688" s="52"/>
      <c r="AI1688" s="52"/>
      <c r="AJ1688" s="52"/>
      <c r="AK1688" s="52"/>
      <c r="AL1688" s="52"/>
      <c r="AM1688" s="52"/>
      <c r="AN1688" s="52"/>
      <c r="AO1688" s="52"/>
      <c r="AP1688" s="52"/>
      <c r="AQ1688" s="52"/>
      <c r="AR1688" s="52"/>
      <c r="AS1688" s="52"/>
      <c r="AT1688" s="52"/>
      <c r="AU1688" s="52"/>
      <c r="AV1688" s="52"/>
      <c r="AW1688" s="52"/>
    </row>
    <row r="1689" spans="1:49">
      <c r="A1689" s="52"/>
      <c r="B1689" s="52"/>
      <c r="C1689" s="52"/>
      <c r="D1689" s="53"/>
      <c r="E1689" s="53"/>
      <c r="F1689" s="53"/>
      <c r="G1689" s="53"/>
      <c r="H1689" s="52"/>
      <c r="I1689" s="52"/>
      <c r="J1689" s="52"/>
      <c r="K1689" s="53"/>
      <c r="L1689" s="52"/>
      <c r="M1689" s="54"/>
      <c r="N1689" s="55"/>
      <c r="O1689" s="52"/>
      <c r="P1689" s="52"/>
      <c r="Q1689" s="52"/>
      <c r="R1689" s="52"/>
      <c r="S1689" s="52"/>
      <c r="T1689" s="52"/>
      <c r="U1689" s="52"/>
      <c r="V1689" s="52"/>
      <c r="W1689" s="52"/>
      <c r="X1689" s="52"/>
      <c r="Y1689" s="52"/>
      <c r="Z1689" s="52"/>
      <c r="AA1689" s="52"/>
      <c r="AB1689" s="52"/>
      <c r="AC1689" s="52"/>
      <c r="AD1689" s="52"/>
      <c r="AE1689" s="52"/>
      <c r="AF1689" s="52"/>
      <c r="AG1689" s="52"/>
      <c r="AH1689" s="52"/>
      <c r="AI1689" s="52"/>
      <c r="AJ1689" s="52"/>
      <c r="AK1689" s="52"/>
      <c r="AL1689" s="52"/>
      <c r="AM1689" s="52"/>
      <c r="AN1689" s="52"/>
      <c r="AO1689" s="52"/>
      <c r="AP1689" s="52"/>
      <c r="AQ1689" s="52"/>
      <c r="AR1689" s="52"/>
      <c r="AS1689" s="52"/>
      <c r="AT1689" s="52"/>
      <c r="AU1689" s="52"/>
      <c r="AV1689" s="52"/>
      <c r="AW1689" s="52"/>
    </row>
    <row r="1690" spans="1:49">
      <c r="A1690" s="52"/>
      <c r="B1690" s="52"/>
      <c r="C1690" s="52"/>
      <c r="D1690" s="53"/>
      <c r="E1690" s="53"/>
      <c r="F1690" s="52"/>
      <c r="G1690" s="53"/>
      <c r="H1690" s="52"/>
      <c r="I1690" s="52"/>
      <c r="J1690" s="52"/>
      <c r="K1690" s="53"/>
      <c r="L1690" s="52"/>
      <c r="M1690" s="52"/>
      <c r="N1690" s="52"/>
      <c r="O1690" s="52"/>
      <c r="P1690" s="52"/>
      <c r="Q1690" s="52"/>
      <c r="R1690" s="52"/>
      <c r="S1690" s="52"/>
      <c r="T1690" s="52"/>
      <c r="U1690" s="52"/>
      <c r="V1690" s="52"/>
      <c r="W1690" s="52"/>
      <c r="X1690" s="52"/>
      <c r="Y1690" s="52"/>
      <c r="Z1690" s="52"/>
      <c r="AA1690" s="52"/>
      <c r="AB1690" s="52"/>
      <c r="AC1690" s="52"/>
      <c r="AD1690" s="52"/>
      <c r="AE1690" s="52"/>
      <c r="AF1690" s="52"/>
      <c r="AG1690" s="52"/>
      <c r="AH1690" s="52"/>
      <c r="AI1690" s="52"/>
      <c r="AJ1690" s="52"/>
      <c r="AK1690" s="52"/>
      <c r="AL1690" s="52"/>
      <c r="AM1690" s="52"/>
      <c r="AN1690" s="52"/>
      <c r="AO1690" s="52"/>
      <c r="AP1690" s="52"/>
      <c r="AQ1690" s="52"/>
      <c r="AR1690" s="52"/>
      <c r="AS1690" s="52"/>
      <c r="AT1690" s="52"/>
      <c r="AU1690" s="52"/>
      <c r="AV1690" s="52"/>
      <c r="AW1690" s="52"/>
    </row>
    <row r="1691" spans="1:49">
      <c r="A1691" s="52"/>
      <c r="B1691" s="52"/>
      <c r="C1691" s="52"/>
      <c r="D1691" s="53"/>
      <c r="E1691" s="53"/>
      <c r="F1691" s="52"/>
      <c r="G1691" s="53"/>
      <c r="H1691" s="52"/>
      <c r="I1691" s="52"/>
      <c r="J1691" s="52"/>
      <c r="K1691" s="53"/>
      <c r="L1691" s="52"/>
      <c r="M1691" s="52"/>
      <c r="N1691" s="52"/>
      <c r="O1691" s="52"/>
      <c r="P1691" s="52"/>
      <c r="Q1691" s="52"/>
      <c r="R1691" s="52"/>
      <c r="S1691" s="52"/>
      <c r="T1691" s="52"/>
      <c r="U1691" s="52"/>
      <c r="V1691" s="52"/>
      <c r="W1691" s="52"/>
      <c r="X1691" s="52"/>
      <c r="Y1691" s="52"/>
      <c r="Z1691" s="52"/>
      <c r="AA1691" s="52"/>
      <c r="AB1691" s="52"/>
      <c r="AC1691" s="52"/>
      <c r="AD1691" s="52"/>
      <c r="AE1691" s="52"/>
      <c r="AF1691" s="52"/>
      <c r="AG1691" s="52"/>
      <c r="AH1691" s="52"/>
      <c r="AI1691" s="52"/>
      <c r="AJ1691" s="52"/>
      <c r="AK1691" s="52"/>
      <c r="AL1691" s="52"/>
      <c r="AM1691" s="52"/>
      <c r="AN1691" s="52"/>
      <c r="AO1691" s="52"/>
      <c r="AP1691" s="52"/>
      <c r="AQ1691" s="52"/>
      <c r="AR1691" s="52"/>
      <c r="AS1691" s="52"/>
      <c r="AT1691" s="52"/>
      <c r="AU1691" s="52"/>
      <c r="AV1691" s="52"/>
      <c r="AW1691" s="52"/>
    </row>
    <row r="1692" spans="1:49">
      <c r="A1692" s="52"/>
      <c r="B1692" s="52"/>
      <c r="C1692" s="52"/>
      <c r="D1692" s="53"/>
      <c r="E1692" s="53"/>
      <c r="F1692" s="52"/>
      <c r="G1692" s="52"/>
      <c r="H1692" s="52"/>
      <c r="I1692" s="52"/>
      <c r="J1692" s="52"/>
      <c r="K1692" s="52"/>
      <c r="L1692" s="52"/>
      <c r="M1692" s="55"/>
      <c r="N1692" s="54"/>
      <c r="O1692" s="52"/>
      <c r="P1692" s="52"/>
      <c r="Q1692" s="52"/>
      <c r="R1692" s="52"/>
      <c r="S1692" s="52"/>
      <c r="T1692" s="52"/>
      <c r="U1692" s="52"/>
      <c r="V1692" s="52"/>
      <c r="W1692" s="52"/>
      <c r="X1692" s="52"/>
      <c r="Y1692" s="52"/>
      <c r="Z1692" s="52"/>
      <c r="AA1692" s="52"/>
      <c r="AB1692" s="52"/>
      <c r="AC1692" s="52"/>
      <c r="AD1692" s="52"/>
      <c r="AE1692" s="52"/>
      <c r="AF1692" s="52"/>
      <c r="AG1692" s="52"/>
      <c r="AH1692" s="52"/>
      <c r="AI1692" s="52"/>
      <c r="AJ1692" s="52"/>
      <c r="AK1692" s="52"/>
      <c r="AL1692" s="52"/>
      <c r="AM1692" s="52"/>
      <c r="AN1692" s="52"/>
      <c r="AO1692" s="52"/>
      <c r="AP1692" s="52"/>
      <c r="AQ1692" s="52"/>
      <c r="AR1692" s="52"/>
      <c r="AS1692" s="52"/>
      <c r="AT1692" s="52"/>
      <c r="AU1692" s="52"/>
      <c r="AV1692" s="52"/>
      <c r="AW1692" s="52"/>
    </row>
    <row r="1693" spans="1:49">
      <c r="A1693" s="52"/>
      <c r="B1693" s="52"/>
      <c r="C1693" s="52"/>
      <c r="D1693" s="53"/>
      <c r="E1693" s="53"/>
      <c r="F1693" s="52"/>
      <c r="G1693" s="52"/>
      <c r="H1693" s="52"/>
      <c r="I1693" s="52"/>
      <c r="J1693" s="52"/>
      <c r="K1693" s="52"/>
      <c r="L1693" s="52"/>
      <c r="M1693" s="52"/>
      <c r="N1693" s="52"/>
      <c r="O1693" s="52"/>
      <c r="P1693" s="52"/>
      <c r="Q1693" s="52"/>
      <c r="R1693" s="52"/>
      <c r="S1693" s="52"/>
      <c r="T1693" s="52"/>
      <c r="U1693" s="52"/>
      <c r="V1693" s="52"/>
      <c r="W1693" s="52"/>
      <c r="X1693" s="52"/>
      <c r="Y1693" s="52"/>
      <c r="Z1693" s="52"/>
      <c r="AA1693" s="52"/>
      <c r="AB1693" s="52"/>
      <c r="AC1693" s="52"/>
      <c r="AD1693" s="52"/>
      <c r="AE1693" s="52"/>
      <c r="AF1693" s="52"/>
      <c r="AG1693" s="52"/>
      <c r="AH1693" s="52"/>
      <c r="AI1693" s="52"/>
      <c r="AJ1693" s="52"/>
      <c r="AK1693" s="52"/>
      <c r="AL1693" s="52"/>
      <c r="AM1693" s="52"/>
      <c r="AN1693" s="52"/>
      <c r="AO1693" s="52"/>
      <c r="AP1693" s="52"/>
      <c r="AQ1693" s="52"/>
      <c r="AR1693" s="52"/>
      <c r="AS1693" s="52"/>
      <c r="AT1693" s="52"/>
      <c r="AU1693" s="52"/>
      <c r="AV1693" s="52"/>
      <c r="AW1693" s="52"/>
    </row>
    <row r="1694" spans="1:49">
      <c r="A1694" s="52"/>
      <c r="B1694" s="52"/>
      <c r="C1694" s="52"/>
      <c r="D1694" s="53"/>
      <c r="E1694" s="53"/>
      <c r="F1694" s="52"/>
      <c r="G1694" s="52"/>
      <c r="H1694" s="52"/>
      <c r="I1694" s="52"/>
      <c r="J1694" s="52"/>
      <c r="K1694" s="52"/>
      <c r="L1694" s="52"/>
      <c r="M1694" s="55"/>
      <c r="N1694" s="54"/>
      <c r="O1694" s="52"/>
      <c r="P1694" s="52"/>
      <c r="Q1694" s="52"/>
      <c r="R1694" s="52"/>
      <c r="S1694" s="52"/>
      <c r="T1694" s="52"/>
      <c r="U1694" s="52"/>
      <c r="V1694" s="52"/>
      <c r="W1694" s="52"/>
      <c r="X1694" s="52"/>
      <c r="Y1694" s="52"/>
      <c r="Z1694" s="52"/>
      <c r="AA1694" s="52"/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52"/>
      <c r="AN1694" s="52"/>
      <c r="AO1694" s="52"/>
      <c r="AP1694" s="52"/>
      <c r="AQ1694" s="52"/>
      <c r="AR1694" s="52"/>
      <c r="AS1694" s="52"/>
      <c r="AT1694" s="52"/>
      <c r="AU1694" s="52"/>
      <c r="AV1694" s="52"/>
      <c r="AW1694" s="52"/>
    </row>
    <row r="1695" spans="1:49">
      <c r="A1695" s="52"/>
      <c r="B1695" s="52"/>
      <c r="C1695" s="52"/>
      <c r="D1695" s="53"/>
      <c r="E1695" s="53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  <c r="S1695" s="52"/>
      <c r="T1695" s="52"/>
      <c r="U1695" s="52"/>
      <c r="V1695" s="52"/>
      <c r="W1695" s="52"/>
      <c r="X1695" s="52"/>
      <c r="Y1695" s="52"/>
      <c r="Z1695" s="52"/>
      <c r="AA1695" s="52"/>
      <c r="AB1695" s="52"/>
      <c r="AC1695" s="52"/>
      <c r="AD1695" s="52"/>
      <c r="AE1695" s="52"/>
      <c r="AF1695" s="52"/>
      <c r="AG1695" s="52"/>
      <c r="AH1695" s="52"/>
      <c r="AI1695" s="52"/>
      <c r="AJ1695" s="52"/>
      <c r="AK1695" s="52"/>
      <c r="AL1695" s="52"/>
      <c r="AM1695" s="52"/>
      <c r="AN1695" s="52"/>
      <c r="AO1695" s="52"/>
      <c r="AP1695" s="52"/>
      <c r="AQ1695" s="52"/>
      <c r="AR1695" s="52"/>
      <c r="AS1695" s="52"/>
      <c r="AT1695" s="52"/>
      <c r="AU1695" s="52"/>
      <c r="AV1695" s="52"/>
      <c r="AW1695" s="52"/>
    </row>
    <row r="1696" spans="1:49">
      <c r="A1696" s="52"/>
      <c r="B1696" s="52"/>
      <c r="C1696" s="52"/>
      <c r="D1696" s="53"/>
      <c r="E1696" s="53"/>
      <c r="F1696" s="52"/>
      <c r="G1696" s="52"/>
      <c r="H1696" s="52"/>
      <c r="I1696" s="52"/>
      <c r="J1696" s="52"/>
      <c r="K1696" s="52"/>
      <c r="L1696" s="52"/>
      <c r="M1696" s="55"/>
      <c r="N1696" s="54"/>
      <c r="O1696" s="52"/>
      <c r="P1696" s="52"/>
      <c r="Q1696" s="52"/>
      <c r="R1696" s="52"/>
      <c r="S1696" s="52"/>
      <c r="T1696" s="52"/>
      <c r="U1696" s="52"/>
      <c r="V1696" s="52"/>
      <c r="W1696" s="52"/>
      <c r="X1696" s="52"/>
      <c r="Y1696" s="52"/>
      <c r="Z1696" s="52"/>
      <c r="AA1696" s="52"/>
      <c r="AB1696" s="52"/>
      <c r="AC1696" s="52"/>
      <c r="AD1696" s="52"/>
      <c r="AE1696" s="52"/>
      <c r="AF1696" s="52"/>
      <c r="AG1696" s="52"/>
      <c r="AH1696" s="52"/>
      <c r="AI1696" s="52"/>
      <c r="AJ1696" s="52"/>
      <c r="AK1696" s="52"/>
      <c r="AL1696" s="52"/>
      <c r="AM1696" s="52"/>
      <c r="AN1696" s="52"/>
      <c r="AO1696" s="52"/>
      <c r="AP1696" s="52"/>
      <c r="AQ1696" s="52"/>
      <c r="AR1696" s="52"/>
      <c r="AS1696" s="52"/>
      <c r="AT1696" s="52"/>
      <c r="AU1696" s="52"/>
      <c r="AV1696" s="52"/>
      <c r="AW1696" s="52"/>
    </row>
    <row r="1697" spans="1:49">
      <c r="A1697" s="52"/>
      <c r="B1697" s="52"/>
      <c r="C1697" s="52"/>
      <c r="D1697" s="53"/>
      <c r="E1697" s="53"/>
      <c r="F1697" s="52"/>
      <c r="G1697" s="52"/>
      <c r="H1697" s="52"/>
      <c r="I1697" s="52"/>
      <c r="J1697" s="52"/>
      <c r="K1697" s="52"/>
      <c r="L1697" s="52"/>
      <c r="M1697" s="52"/>
      <c r="N1697" s="52"/>
      <c r="O1697" s="52"/>
      <c r="P1697" s="52"/>
      <c r="Q1697" s="52"/>
      <c r="R1697" s="52"/>
      <c r="S1697" s="52"/>
      <c r="T1697" s="52"/>
      <c r="U1697" s="52"/>
      <c r="V1697" s="52"/>
      <c r="W1697" s="52"/>
      <c r="X1697" s="52"/>
      <c r="Y1697" s="52"/>
      <c r="Z1697" s="52"/>
      <c r="AA1697" s="52"/>
      <c r="AB1697" s="52"/>
      <c r="AC1697" s="52"/>
      <c r="AD1697" s="52"/>
      <c r="AE1697" s="52"/>
      <c r="AF1697" s="52"/>
      <c r="AG1697" s="52"/>
      <c r="AH1697" s="52"/>
      <c r="AI1697" s="52"/>
      <c r="AJ1697" s="52"/>
      <c r="AK1697" s="52"/>
      <c r="AL1697" s="52"/>
      <c r="AM1697" s="52"/>
      <c r="AN1697" s="52"/>
      <c r="AO1697" s="52"/>
      <c r="AP1697" s="52"/>
      <c r="AQ1697" s="52"/>
      <c r="AR1697" s="52"/>
      <c r="AS1697" s="52"/>
      <c r="AT1697" s="52"/>
      <c r="AU1697" s="52"/>
      <c r="AV1697" s="52"/>
      <c r="AW1697" s="52"/>
    </row>
    <row r="1698" spans="1:49">
      <c r="A1698" s="52"/>
      <c r="B1698" s="52"/>
      <c r="C1698" s="52"/>
      <c r="D1698" s="53"/>
      <c r="E1698" s="53"/>
      <c r="F1698" s="52"/>
      <c r="G1698" s="52"/>
      <c r="H1698" s="52"/>
      <c r="I1698" s="52"/>
      <c r="J1698" s="52"/>
      <c r="K1698" s="52"/>
      <c r="L1698" s="52"/>
      <c r="M1698" s="55"/>
      <c r="N1698" s="54"/>
      <c r="O1698" s="52"/>
      <c r="P1698" s="52"/>
      <c r="Q1698" s="52"/>
      <c r="R1698" s="52"/>
      <c r="S1698" s="52"/>
      <c r="T1698" s="52"/>
      <c r="U1698" s="52"/>
      <c r="V1698" s="52"/>
      <c r="W1698" s="52"/>
      <c r="X1698" s="52"/>
      <c r="Y1698" s="52"/>
      <c r="Z1698" s="52"/>
      <c r="AA1698" s="52"/>
      <c r="AB1698" s="52"/>
      <c r="AC1698" s="52"/>
      <c r="AD1698" s="52"/>
      <c r="AE1698" s="52"/>
      <c r="AF1698" s="52"/>
      <c r="AG1698" s="52"/>
      <c r="AH1698" s="52"/>
      <c r="AI1698" s="52"/>
      <c r="AJ1698" s="52"/>
      <c r="AK1698" s="52"/>
      <c r="AL1698" s="52"/>
      <c r="AM1698" s="52"/>
      <c r="AN1698" s="52"/>
      <c r="AO1698" s="52"/>
      <c r="AP1698" s="52"/>
      <c r="AQ1698" s="52"/>
      <c r="AR1698" s="52"/>
      <c r="AS1698" s="52"/>
      <c r="AT1698" s="52"/>
      <c r="AU1698" s="52"/>
      <c r="AV1698" s="52"/>
      <c r="AW1698" s="52"/>
    </row>
    <row r="1699" spans="1:49">
      <c r="A1699" s="52"/>
      <c r="B1699" s="52"/>
      <c r="C1699" s="52"/>
      <c r="D1699" s="53"/>
      <c r="E1699" s="53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  <c r="S1699" s="52"/>
      <c r="T1699" s="52"/>
      <c r="U1699" s="52"/>
      <c r="V1699" s="52"/>
      <c r="W1699" s="52"/>
      <c r="X1699" s="52"/>
      <c r="Y1699" s="52"/>
      <c r="Z1699" s="52"/>
      <c r="AA1699" s="52"/>
      <c r="AB1699" s="52"/>
      <c r="AC1699" s="52"/>
      <c r="AD1699" s="52"/>
      <c r="AE1699" s="52"/>
      <c r="AF1699" s="52"/>
      <c r="AG1699" s="52"/>
      <c r="AH1699" s="52"/>
      <c r="AI1699" s="52"/>
      <c r="AJ1699" s="52"/>
      <c r="AK1699" s="52"/>
      <c r="AL1699" s="52"/>
      <c r="AM1699" s="52"/>
      <c r="AN1699" s="52"/>
      <c r="AO1699" s="52"/>
      <c r="AP1699" s="52"/>
      <c r="AQ1699" s="52"/>
      <c r="AR1699" s="52"/>
      <c r="AS1699" s="52"/>
      <c r="AT1699" s="52"/>
      <c r="AU1699" s="52"/>
      <c r="AV1699" s="52"/>
      <c r="AW1699" s="52"/>
    </row>
    <row r="1700" spans="1:49">
      <c r="A1700" s="52"/>
      <c r="B1700" s="52"/>
      <c r="C1700" s="52"/>
      <c r="D1700" s="53"/>
      <c r="E1700" s="53"/>
      <c r="F1700" s="52"/>
      <c r="G1700" s="52"/>
      <c r="H1700" s="52"/>
      <c r="I1700" s="52"/>
      <c r="J1700" s="52"/>
      <c r="K1700" s="52"/>
      <c r="L1700" s="52"/>
      <c r="M1700" s="55"/>
      <c r="N1700" s="54"/>
      <c r="O1700" s="52"/>
      <c r="P1700" s="52"/>
      <c r="Q1700" s="52"/>
      <c r="R1700" s="52"/>
      <c r="S1700" s="52"/>
      <c r="T1700" s="52"/>
      <c r="U1700" s="52"/>
      <c r="V1700" s="52"/>
      <c r="W1700" s="52"/>
      <c r="X1700" s="52"/>
      <c r="Y1700" s="52"/>
      <c r="Z1700" s="52"/>
      <c r="AA1700" s="52"/>
      <c r="AB1700" s="52"/>
      <c r="AC1700" s="52"/>
      <c r="AD1700" s="52"/>
      <c r="AE1700" s="52"/>
      <c r="AF1700" s="52"/>
      <c r="AG1700" s="52"/>
      <c r="AH1700" s="52"/>
      <c r="AI1700" s="52"/>
      <c r="AJ1700" s="52"/>
      <c r="AK1700" s="52"/>
      <c r="AL1700" s="52"/>
      <c r="AM1700" s="52"/>
      <c r="AN1700" s="52"/>
      <c r="AO1700" s="52"/>
      <c r="AP1700" s="52"/>
      <c r="AQ1700" s="52"/>
      <c r="AR1700" s="52"/>
      <c r="AS1700" s="52"/>
      <c r="AT1700" s="52"/>
      <c r="AU1700" s="52"/>
      <c r="AV1700" s="52"/>
      <c r="AW1700" s="52"/>
    </row>
    <row r="1701" spans="1:49">
      <c r="A1701" s="52"/>
      <c r="B1701" s="52"/>
      <c r="C1701" s="52"/>
      <c r="D1701" s="53"/>
      <c r="E1701" s="53"/>
      <c r="F1701" s="52"/>
      <c r="G1701" s="52"/>
      <c r="H1701" s="52"/>
      <c r="I1701" s="52"/>
      <c r="J1701" s="52"/>
      <c r="K1701" s="52"/>
      <c r="L1701" s="52"/>
      <c r="M1701" s="52"/>
      <c r="N1701" s="52"/>
      <c r="O1701" s="52"/>
      <c r="P1701" s="52"/>
      <c r="Q1701" s="52"/>
      <c r="R1701" s="52"/>
      <c r="S1701" s="52"/>
      <c r="T1701" s="52"/>
      <c r="U1701" s="52"/>
      <c r="V1701" s="52"/>
      <c r="W1701" s="52"/>
      <c r="X1701" s="52"/>
      <c r="Y1701" s="52"/>
      <c r="Z1701" s="52"/>
      <c r="AA1701" s="52"/>
      <c r="AB1701" s="52"/>
      <c r="AC1701" s="52"/>
      <c r="AD1701" s="52"/>
      <c r="AE1701" s="52"/>
      <c r="AF1701" s="52"/>
      <c r="AG1701" s="52"/>
      <c r="AH1701" s="52"/>
      <c r="AI1701" s="52"/>
      <c r="AJ1701" s="52"/>
      <c r="AK1701" s="52"/>
      <c r="AL1701" s="52"/>
      <c r="AM1701" s="52"/>
      <c r="AN1701" s="52"/>
      <c r="AO1701" s="52"/>
      <c r="AP1701" s="52"/>
      <c r="AQ1701" s="52"/>
      <c r="AR1701" s="52"/>
      <c r="AS1701" s="52"/>
      <c r="AT1701" s="52"/>
      <c r="AU1701" s="52"/>
      <c r="AV1701" s="52"/>
      <c r="AW1701" s="52"/>
    </row>
    <row r="1702" spans="1:49">
      <c r="A1702" s="52"/>
      <c r="B1702" s="52"/>
      <c r="C1702" s="52"/>
      <c r="D1702" s="53"/>
      <c r="E1702" s="53"/>
      <c r="F1702" s="52"/>
      <c r="G1702" s="52"/>
      <c r="H1702" s="52"/>
      <c r="I1702" s="52"/>
      <c r="J1702" s="52"/>
      <c r="K1702" s="52"/>
      <c r="L1702" s="52"/>
      <c r="M1702" s="55"/>
      <c r="N1702" s="54"/>
      <c r="O1702" s="52"/>
      <c r="P1702" s="52"/>
      <c r="Q1702" s="52"/>
      <c r="R1702" s="52"/>
      <c r="S1702" s="52"/>
      <c r="T1702" s="52"/>
      <c r="U1702" s="52"/>
      <c r="V1702" s="52"/>
      <c r="W1702" s="52"/>
      <c r="X1702" s="52"/>
      <c r="Y1702" s="52"/>
      <c r="Z1702" s="52"/>
      <c r="AA1702" s="52"/>
      <c r="AB1702" s="52"/>
      <c r="AC1702" s="52"/>
      <c r="AD1702" s="52"/>
      <c r="AE1702" s="52"/>
      <c r="AF1702" s="52"/>
      <c r="AG1702" s="52"/>
      <c r="AH1702" s="52"/>
      <c r="AI1702" s="52"/>
      <c r="AJ1702" s="52"/>
      <c r="AK1702" s="52"/>
      <c r="AL1702" s="52"/>
      <c r="AM1702" s="52"/>
      <c r="AN1702" s="52"/>
      <c r="AO1702" s="52"/>
      <c r="AP1702" s="52"/>
      <c r="AQ1702" s="52"/>
      <c r="AR1702" s="52"/>
      <c r="AS1702" s="52"/>
      <c r="AT1702" s="52"/>
      <c r="AU1702" s="52"/>
      <c r="AV1702" s="52"/>
      <c r="AW1702" s="52"/>
    </row>
    <row r="1703" spans="1:49">
      <c r="A1703" s="52"/>
      <c r="B1703" s="52"/>
      <c r="C1703" s="52"/>
      <c r="D1703" s="53"/>
      <c r="E1703" s="53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  <c r="S1703" s="52"/>
      <c r="T1703" s="52"/>
      <c r="U1703" s="52"/>
      <c r="V1703" s="52"/>
      <c r="W1703" s="52"/>
      <c r="X1703" s="52"/>
      <c r="Y1703" s="52"/>
      <c r="Z1703" s="52"/>
      <c r="AA1703" s="52"/>
      <c r="AB1703" s="52"/>
      <c r="AC1703" s="52"/>
      <c r="AD1703" s="52"/>
      <c r="AE1703" s="52"/>
      <c r="AF1703" s="52"/>
      <c r="AG1703" s="52"/>
      <c r="AH1703" s="52"/>
      <c r="AI1703" s="52"/>
      <c r="AJ1703" s="52"/>
      <c r="AK1703" s="52"/>
      <c r="AL1703" s="52"/>
      <c r="AM1703" s="52"/>
      <c r="AN1703" s="52"/>
      <c r="AO1703" s="52"/>
      <c r="AP1703" s="52"/>
      <c r="AQ1703" s="52"/>
      <c r="AR1703" s="52"/>
      <c r="AS1703" s="52"/>
      <c r="AT1703" s="52"/>
      <c r="AU1703" s="52"/>
      <c r="AV1703" s="52"/>
      <c r="AW1703" s="52"/>
    </row>
    <row r="1704" spans="1:49">
      <c r="A1704" s="52"/>
      <c r="B1704" s="52"/>
      <c r="C1704" s="52"/>
      <c r="D1704" s="53"/>
      <c r="E1704" s="53"/>
      <c r="F1704" s="52"/>
      <c r="G1704" s="52"/>
      <c r="H1704" s="52"/>
      <c r="I1704" s="52"/>
      <c r="J1704" s="52"/>
      <c r="K1704" s="52"/>
      <c r="L1704" s="52"/>
      <c r="M1704" s="55"/>
      <c r="N1704" s="54"/>
      <c r="O1704" s="52"/>
      <c r="P1704" s="52"/>
      <c r="Q1704" s="52"/>
      <c r="R1704" s="52"/>
      <c r="S1704" s="52"/>
      <c r="T1704" s="52"/>
      <c r="U1704" s="52"/>
      <c r="V1704" s="52"/>
      <c r="W1704" s="52"/>
      <c r="X1704" s="52"/>
      <c r="Y1704" s="52"/>
      <c r="Z1704" s="52"/>
      <c r="AA1704" s="52"/>
      <c r="AB1704" s="52"/>
      <c r="AC1704" s="52"/>
      <c r="AD1704" s="52"/>
      <c r="AE1704" s="52"/>
      <c r="AF1704" s="52"/>
      <c r="AG1704" s="52"/>
      <c r="AH1704" s="52"/>
      <c r="AI1704" s="52"/>
      <c r="AJ1704" s="52"/>
      <c r="AK1704" s="52"/>
      <c r="AL1704" s="52"/>
      <c r="AM1704" s="52"/>
      <c r="AN1704" s="52"/>
      <c r="AO1704" s="52"/>
      <c r="AP1704" s="52"/>
      <c r="AQ1704" s="52"/>
      <c r="AR1704" s="52"/>
      <c r="AS1704" s="52"/>
      <c r="AT1704" s="52"/>
      <c r="AU1704" s="52"/>
      <c r="AV1704" s="52"/>
      <c r="AW1704" s="52"/>
    </row>
    <row r="1705" spans="1:49">
      <c r="A1705" s="52"/>
      <c r="B1705" s="52"/>
      <c r="C1705" s="52"/>
      <c r="D1705" s="53"/>
      <c r="E1705" s="53"/>
      <c r="F1705" s="52"/>
      <c r="G1705" s="52"/>
      <c r="H1705" s="52"/>
      <c r="I1705" s="52"/>
      <c r="J1705" s="52"/>
      <c r="K1705" s="52"/>
      <c r="L1705" s="52"/>
      <c r="M1705" s="52"/>
      <c r="N1705" s="52"/>
      <c r="O1705" s="52"/>
      <c r="P1705" s="52"/>
      <c r="Q1705" s="52"/>
      <c r="R1705" s="52"/>
      <c r="S1705" s="52"/>
      <c r="T1705" s="52"/>
      <c r="U1705" s="52"/>
      <c r="V1705" s="52"/>
      <c r="W1705" s="52"/>
      <c r="X1705" s="52"/>
      <c r="Y1705" s="52"/>
      <c r="Z1705" s="52"/>
      <c r="AA1705" s="52"/>
      <c r="AB1705" s="52"/>
      <c r="AC1705" s="52"/>
      <c r="AD1705" s="52"/>
      <c r="AE1705" s="52"/>
      <c r="AF1705" s="52"/>
      <c r="AG1705" s="52"/>
      <c r="AH1705" s="52"/>
      <c r="AI1705" s="52"/>
      <c r="AJ1705" s="52"/>
      <c r="AK1705" s="52"/>
      <c r="AL1705" s="52"/>
      <c r="AM1705" s="52"/>
      <c r="AN1705" s="52"/>
      <c r="AO1705" s="52"/>
      <c r="AP1705" s="52"/>
      <c r="AQ1705" s="52"/>
      <c r="AR1705" s="52"/>
      <c r="AS1705" s="52"/>
      <c r="AT1705" s="52"/>
      <c r="AU1705" s="52"/>
      <c r="AV1705" s="52"/>
      <c r="AW1705" s="52"/>
    </row>
    <row r="1706" spans="1:49">
      <c r="A1706" s="52"/>
      <c r="B1706" s="52"/>
      <c r="C1706" s="52"/>
      <c r="D1706" s="53"/>
      <c r="E1706" s="53"/>
      <c r="F1706" s="52"/>
      <c r="G1706" s="52"/>
      <c r="H1706" s="52"/>
      <c r="I1706" s="52"/>
      <c r="J1706" s="52"/>
      <c r="K1706" s="52"/>
      <c r="L1706" s="52"/>
      <c r="M1706" s="54"/>
      <c r="N1706" s="54"/>
      <c r="O1706" s="52"/>
      <c r="P1706" s="52"/>
      <c r="Q1706" s="52"/>
      <c r="R1706" s="52"/>
      <c r="S1706" s="52"/>
      <c r="T1706" s="52"/>
      <c r="U1706" s="52"/>
      <c r="V1706" s="52"/>
      <c r="W1706" s="52"/>
      <c r="X1706" s="52"/>
      <c r="Y1706" s="52"/>
      <c r="Z1706" s="52"/>
      <c r="AA1706" s="52"/>
      <c r="AB1706" s="52"/>
      <c r="AC1706" s="52"/>
      <c r="AD1706" s="52"/>
      <c r="AE1706" s="52"/>
      <c r="AF1706" s="52"/>
      <c r="AG1706" s="52"/>
      <c r="AH1706" s="52"/>
      <c r="AI1706" s="52"/>
      <c r="AJ1706" s="52"/>
      <c r="AK1706" s="52"/>
      <c r="AL1706" s="52"/>
      <c r="AM1706" s="52"/>
      <c r="AN1706" s="52"/>
      <c r="AO1706" s="52"/>
      <c r="AP1706" s="52"/>
      <c r="AQ1706" s="52"/>
      <c r="AR1706" s="52"/>
      <c r="AS1706" s="52"/>
      <c r="AT1706" s="52"/>
      <c r="AU1706" s="52"/>
      <c r="AV1706" s="52"/>
      <c r="AW1706" s="52"/>
    </row>
    <row r="1707" spans="1:49">
      <c r="A1707" s="52"/>
      <c r="B1707" s="52"/>
      <c r="C1707" s="52"/>
      <c r="D1707" s="53"/>
      <c r="E1707" s="53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  <c r="S1707" s="52"/>
      <c r="T1707" s="52"/>
      <c r="U1707" s="52"/>
      <c r="V1707" s="52"/>
      <c r="W1707" s="52"/>
      <c r="X1707" s="52"/>
      <c r="Y1707" s="52"/>
      <c r="Z1707" s="52"/>
      <c r="AA1707" s="52"/>
      <c r="AB1707" s="52"/>
      <c r="AC1707" s="52"/>
      <c r="AD1707" s="52"/>
      <c r="AE1707" s="52"/>
      <c r="AF1707" s="52"/>
      <c r="AG1707" s="52"/>
      <c r="AH1707" s="52"/>
      <c r="AI1707" s="52"/>
      <c r="AJ1707" s="52"/>
      <c r="AK1707" s="52"/>
      <c r="AL1707" s="52"/>
      <c r="AM1707" s="52"/>
      <c r="AN1707" s="52"/>
      <c r="AO1707" s="52"/>
      <c r="AP1707" s="52"/>
      <c r="AQ1707" s="52"/>
      <c r="AR1707" s="52"/>
      <c r="AS1707" s="52"/>
      <c r="AT1707" s="52"/>
      <c r="AU1707" s="52"/>
      <c r="AV1707" s="52"/>
      <c r="AW1707" s="52"/>
    </row>
    <row r="1708" spans="1:49">
      <c r="A1708" s="52"/>
      <c r="B1708" s="52"/>
      <c r="C1708" s="52"/>
      <c r="D1708" s="53"/>
      <c r="E1708" s="53"/>
      <c r="F1708" s="53"/>
      <c r="G1708" s="53"/>
      <c r="H1708" s="52"/>
      <c r="I1708" s="52"/>
      <c r="J1708" s="52"/>
      <c r="K1708" s="53"/>
      <c r="L1708" s="52"/>
      <c r="M1708" s="55"/>
      <c r="N1708" s="55"/>
      <c r="O1708" s="52"/>
      <c r="P1708" s="52"/>
      <c r="Q1708" s="52"/>
      <c r="R1708" s="52"/>
      <c r="S1708" s="52"/>
      <c r="T1708" s="52"/>
      <c r="U1708" s="52"/>
      <c r="V1708" s="52"/>
      <c r="W1708" s="52"/>
      <c r="X1708" s="52"/>
      <c r="Y1708" s="52"/>
      <c r="Z1708" s="52"/>
      <c r="AA1708" s="52"/>
      <c r="AB1708" s="52"/>
      <c r="AC1708" s="52"/>
      <c r="AD1708" s="52"/>
      <c r="AE1708" s="52"/>
      <c r="AF1708" s="52"/>
      <c r="AG1708" s="52"/>
      <c r="AH1708" s="52"/>
      <c r="AI1708" s="52"/>
      <c r="AJ1708" s="52"/>
      <c r="AK1708" s="52"/>
      <c r="AL1708" s="55"/>
      <c r="AM1708" s="52"/>
      <c r="AN1708" s="52"/>
      <c r="AO1708" s="52"/>
      <c r="AP1708" s="52"/>
      <c r="AQ1708" s="52"/>
      <c r="AR1708" s="52"/>
      <c r="AS1708" s="52"/>
      <c r="AT1708" s="52"/>
      <c r="AU1708" s="52"/>
      <c r="AV1708" s="52"/>
      <c r="AW1708" s="52"/>
    </row>
    <row r="1709" spans="1:49">
      <c r="A1709" s="52"/>
      <c r="B1709" s="52"/>
      <c r="C1709" s="52"/>
      <c r="D1709" s="53"/>
      <c r="E1709" s="53"/>
      <c r="F1709" s="52"/>
      <c r="G1709" s="53"/>
      <c r="H1709" s="52"/>
      <c r="I1709" s="52"/>
      <c r="J1709" s="52"/>
      <c r="K1709" s="53"/>
      <c r="L1709" s="52"/>
      <c r="M1709" s="52"/>
      <c r="N1709" s="52"/>
      <c r="O1709" s="52"/>
      <c r="P1709" s="52"/>
      <c r="Q1709" s="52"/>
      <c r="R1709" s="52"/>
      <c r="S1709" s="52"/>
      <c r="T1709" s="52"/>
      <c r="U1709" s="52"/>
      <c r="V1709" s="52"/>
      <c r="W1709" s="52"/>
      <c r="X1709" s="52"/>
      <c r="Y1709" s="52"/>
      <c r="Z1709" s="52"/>
      <c r="AA1709" s="52"/>
      <c r="AB1709" s="52"/>
      <c r="AC1709" s="52"/>
      <c r="AD1709" s="52"/>
      <c r="AE1709" s="52"/>
      <c r="AF1709" s="52"/>
      <c r="AG1709" s="52"/>
      <c r="AH1709" s="52"/>
      <c r="AI1709" s="53"/>
      <c r="AJ1709" s="53"/>
      <c r="AK1709" s="53"/>
      <c r="AL1709" s="55"/>
      <c r="AM1709" s="52"/>
      <c r="AN1709" s="55"/>
      <c r="AO1709" s="52"/>
      <c r="AP1709" s="55"/>
      <c r="AQ1709" s="52"/>
      <c r="AR1709" s="52"/>
      <c r="AS1709" s="52"/>
      <c r="AT1709" s="52"/>
      <c r="AU1709" s="52"/>
      <c r="AV1709" s="52"/>
      <c r="AW1709" s="52"/>
    </row>
    <row r="1710" spans="1:49">
      <c r="A1710" s="52"/>
      <c r="B1710" s="52"/>
      <c r="C1710" s="52"/>
      <c r="D1710" s="53"/>
      <c r="E1710" s="53"/>
      <c r="F1710" s="52"/>
      <c r="G1710" s="53"/>
      <c r="H1710" s="52"/>
      <c r="I1710" s="52"/>
      <c r="J1710" s="52"/>
      <c r="K1710" s="53"/>
      <c r="L1710" s="52"/>
      <c r="M1710" s="52"/>
      <c r="N1710" s="52"/>
      <c r="O1710" s="52"/>
      <c r="P1710" s="52"/>
      <c r="Q1710" s="52"/>
      <c r="R1710" s="52"/>
      <c r="S1710" s="52"/>
      <c r="T1710" s="52"/>
      <c r="U1710" s="52"/>
      <c r="V1710" s="52"/>
      <c r="W1710" s="52"/>
      <c r="X1710" s="52"/>
      <c r="Y1710" s="52"/>
      <c r="Z1710" s="52"/>
      <c r="AA1710" s="52"/>
      <c r="AB1710" s="52"/>
      <c r="AC1710" s="52"/>
      <c r="AD1710" s="52"/>
      <c r="AE1710" s="52"/>
      <c r="AF1710" s="52"/>
      <c r="AG1710" s="52"/>
      <c r="AH1710" s="52"/>
      <c r="AI1710" s="53"/>
      <c r="AJ1710" s="53"/>
      <c r="AK1710" s="53"/>
      <c r="AL1710" s="55"/>
      <c r="AM1710" s="52"/>
      <c r="AN1710" s="55"/>
      <c r="AO1710" s="52"/>
      <c r="AP1710" s="55"/>
      <c r="AQ1710" s="52"/>
      <c r="AR1710" s="52"/>
      <c r="AS1710" s="52"/>
      <c r="AT1710" s="52"/>
      <c r="AU1710" s="52"/>
      <c r="AV1710" s="52"/>
      <c r="AW1710" s="52"/>
    </row>
    <row r="1711" spans="1:49">
      <c r="A1711" s="52"/>
      <c r="B1711" s="52"/>
      <c r="C1711" s="52"/>
      <c r="D1711" s="53"/>
      <c r="E1711" s="53"/>
      <c r="F1711" s="53"/>
      <c r="G1711" s="53"/>
      <c r="H1711" s="52"/>
      <c r="I1711" s="52"/>
      <c r="J1711" s="52"/>
      <c r="K1711" s="53"/>
      <c r="L1711" s="52"/>
      <c r="M1711" s="55"/>
      <c r="N1711" s="55"/>
      <c r="O1711" s="52"/>
      <c r="P1711" s="52"/>
      <c r="Q1711" s="52"/>
      <c r="R1711" s="52"/>
      <c r="S1711" s="52"/>
      <c r="T1711" s="52"/>
      <c r="U1711" s="52"/>
      <c r="V1711" s="52"/>
      <c r="W1711" s="52"/>
      <c r="X1711" s="52"/>
      <c r="Y1711" s="52"/>
      <c r="Z1711" s="52"/>
      <c r="AA1711" s="52"/>
      <c r="AB1711" s="52"/>
      <c r="AC1711" s="52"/>
      <c r="AD1711" s="52"/>
      <c r="AE1711" s="52"/>
      <c r="AF1711" s="52"/>
      <c r="AG1711" s="52"/>
      <c r="AH1711" s="52"/>
      <c r="AI1711" s="53"/>
      <c r="AJ1711" s="53"/>
      <c r="AK1711" s="53"/>
      <c r="AL1711" s="55"/>
      <c r="AM1711" s="52"/>
      <c r="AN1711" s="55"/>
      <c r="AO1711" s="52"/>
      <c r="AP1711" s="55"/>
      <c r="AQ1711" s="52"/>
      <c r="AR1711" s="52"/>
      <c r="AS1711" s="52"/>
      <c r="AT1711" s="52"/>
      <c r="AU1711" s="52"/>
      <c r="AV1711" s="52"/>
      <c r="AW1711" s="52"/>
    </row>
    <row r="1712" spans="1:49">
      <c r="A1712" s="52"/>
      <c r="B1712" s="52"/>
      <c r="C1712" s="52"/>
      <c r="D1712" s="53"/>
      <c r="E1712" s="53"/>
      <c r="F1712" s="53"/>
      <c r="G1712" s="53"/>
      <c r="H1712" s="52"/>
      <c r="I1712" s="52"/>
      <c r="J1712" s="52"/>
      <c r="K1712" s="53"/>
      <c r="L1712" s="52"/>
      <c r="M1712" s="55"/>
      <c r="N1712" s="55"/>
      <c r="O1712" s="52"/>
      <c r="P1712" s="52"/>
      <c r="Q1712" s="52"/>
      <c r="R1712" s="52"/>
      <c r="S1712" s="52"/>
      <c r="T1712" s="52"/>
      <c r="U1712" s="52"/>
      <c r="V1712" s="52"/>
      <c r="W1712" s="52"/>
      <c r="X1712" s="52"/>
      <c r="Y1712" s="52"/>
      <c r="Z1712" s="52"/>
      <c r="AA1712" s="52"/>
      <c r="AB1712" s="52"/>
      <c r="AC1712" s="52"/>
      <c r="AD1712" s="52"/>
      <c r="AE1712" s="52"/>
      <c r="AF1712" s="52"/>
      <c r="AG1712" s="52"/>
      <c r="AH1712" s="52"/>
      <c r="AI1712" s="53"/>
      <c r="AJ1712" s="53"/>
      <c r="AK1712" s="53"/>
      <c r="AL1712" s="55"/>
      <c r="AM1712" s="52"/>
      <c r="AN1712" s="55"/>
      <c r="AO1712" s="52"/>
      <c r="AP1712" s="55"/>
      <c r="AQ1712" s="52"/>
      <c r="AR1712" s="52"/>
      <c r="AS1712" s="52"/>
      <c r="AT1712" s="52"/>
      <c r="AU1712" s="52"/>
      <c r="AV1712" s="52"/>
      <c r="AW1712" s="52"/>
    </row>
    <row r="1713" spans="1:49">
      <c r="A1713" s="52"/>
      <c r="B1713" s="52"/>
      <c r="C1713" s="52"/>
      <c r="D1713" s="53"/>
      <c r="E1713" s="53"/>
      <c r="F1713" s="52"/>
      <c r="G1713" s="52"/>
      <c r="H1713" s="52"/>
      <c r="I1713" s="52"/>
      <c r="J1713" s="52"/>
      <c r="K1713" s="52"/>
      <c r="L1713" s="52"/>
      <c r="M1713" s="54"/>
      <c r="N1713" s="54"/>
      <c r="O1713" s="52"/>
      <c r="P1713" s="52"/>
      <c r="Q1713" s="52"/>
      <c r="R1713" s="52"/>
      <c r="S1713" s="52"/>
      <c r="T1713" s="52"/>
      <c r="U1713" s="52"/>
      <c r="V1713" s="52"/>
      <c r="W1713" s="52"/>
      <c r="X1713" s="52"/>
      <c r="Y1713" s="52"/>
      <c r="Z1713" s="52"/>
      <c r="AA1713" s="52"/>
      <c r="AB1713" s="52"/>
      <c r="AC1713" s="52"/>
      <c r="AD1713" s="52"/>
      <c r="AE1713" s="52"/>
      <c r="AF1713" s="52"/>
      <c r="AG1713" s="52"/>
      <c r="AH1713" s="52"/>
      <c r="AI1713" s="52"/>
      <c r="AJ1713" s="52"/>
      <c r="AK1713" s="52"/>
      <c r="AL1713" s="52"/>
      <c r="AM1713" s="52"/>
      <c r="AN1713" s="52"/>
      <c r="AO1713" s="52"/>
      <c r="AP1713" s="52"/>
      <c r="AQ1713" s="52"/>
      <c r="AR1713" s="52"/>
      <c r="AS1713" s="52"/>
      <c r="AT1713" s="52"/>
      <c r="AU1713" s="52"/>
      <c r="AV1713" s="52"/>
      <c r="AW1713" s="52"/>
    </row>
    <row r="1714" spans="1:49">
      <c r="A1714" s="52"/>
      <c r="B1714" s="52"/>
      <c r="C1714" s="52"/>
      <c r="D1714" s="53"/>
      <c r="E1714" s="53"/>
      <c r="F1714" s="52"/>
      <c r="G1714" s="52"/>
      <c r="H1714" s="52"/>
      <c r="I1714" s="52"/>
      <c r="J1714" s="52"/>
      <c r="K1714" s="52"/>
      <c r="L1714" s="52"/>
      <c r="M1714" s="52"/>
      <c r="N1714" s="52"/>
      <c r="O1714" s="52"/>
      <c r="P1714" s="52"/>
      <c r="Q1714" s="52"/>
      <c r="R1714" s="52"/>
      <c r="S1714" s="52"/>
      <c r="T1714" s="52"/>
      <c r="U1714" s="52"/>
      <c r="V1714" s="52"/>
      <c r="W1714" s="52"/>
      <c r="X1714" s="52"/>
      <c r="Y1714" s="52"/>
      <c r="Z1714" s="52"/>
      <c r="AA1714" s="52"/>
      <c r="AB1714" s="52"/>
      <c r="AC1714" s="52"/>
      <c r="AD1714" s="52"/>
      <c r="AE1714" s="52"/>
      <c r="AF1714" s="52"/>
      <c r="AG1714" s="52"/>
      <c r="AH1714" s="52"/>
      <c r="AI1714" s="52"/>
      <c r="AJ1714" s="52"/>
      <c r="AK1714" s="52"/>
      <c r="AL1714" s="52"/>
      <c r="AM1714" s="52"/>
      <c r="AN1714" s="52"/>
      <c r="AO1714" s="52"/>
      <c r="AP1714" s="52"/>
      <c r="AQ1714" s="52"/>
      <c r="AR1714" s="52"/>
      <c r="AS1714" s="52"/>
      <c r="AT1714" s="52"/>
      <c r="AU1714" s="52"/>
      <c r="AV1714" s="52"/>
      <c r="AW1714" s="52"/>
    </row>
    <row r="1715" spans="1:49">
      <c r="A1715" s="52"/>
      <c r="B1715" s="52"/>
      <c r="C1715" s="52"/>
      <c r="D1715" s="53"/>
      <c r="E1715" s="53"/>
      <c r="F1715" s="52"/>
      <c r="G1715" s="52"/>
      <c r="H1715" s="52"/>
      <c r="I1715" s="52"/>
      <c r="J1715" s="52"/>
      <c r="K1715" s="52"/>
      <c r="L1715" s="52"/>
      <c r="M1715" s="55"/>
      <c r="N1715" s="54"/>
      <c r="O1715" s="52"/>
      <c r="P1715" s="52"/>
      <c r="Q1715" s="52"/>
      <c r="R1715" s="52"/>
      <c r="S1715" s="52"/>
      <c r="T1715" s="52"/>
      <c r="U1715" s="52"/>
      <c r="V1715" s="52"/>
      <c r="W1715" s="52"/>
      <c r="X1715" s="52"/>
      <c r="Y1715" s="52"/>
      <c r="Z1715" s="52"/>
      <c r="AA1715" s="52"/>
      <c r="AB1715" s="52"/>
      <c r="AC1715" s="52"/>
      <c r="AD1715" s="52"/>
      <c r="AE1715" s="52"/>
      <c r="AF1715" s="52"/>
      <c r="AG1715" s="52"/>
      <c r="AH1715" s="52"/>
      <c r="AI1715" s="52"/>
      <c r="AJ1715" s="52"/>
      <c r="AK1715" s="52"/>
      <c r="AL1715" s="52"/>
      <c r="AM1715" s="52"/>
      <c r="AN1715" s="52"/>
      <c r="AO1715" s="52"/>
      <c r="AP1715" s="52"/>
      <c r="AQ1715" s="52"/>
      <c r="AR1715" s="52"/>
      <c r="AS1715" s="52"/>
      <c r="AT1715" s="52"/>
      <c r="AU1715" s="52"/>
      <c r="AV1715" s="52"/>
      <c r="AW1715" s="52"/>
    </row>
    <row r="1716" spans="1:49">
      <c r="A1716" s="52"/>
      <c r="B1716" s="52"/>
      <c r="C1716" s="52"/>
      <c r="D1716" s="53"/>
      <c r="E1716" s="53"/>
      <c r="F1716" s="52"/>
      <c r="G1716" s="52"/>
      <c r="H1716" s="52"/>
      <c r="I1716" s="52"/>
      <c r="J1716" s="52"/>
      <c r="K1716" s="52"/>
      <c r="L1716" s="52"/>
      <c r="M1716" s="52"/>
      <c r="N1716" s="52"/>
      <c r="O1716" s="52"/>
      <c r="P1716" s="52"/>
      <c r="Q1716" s="52"/>
      <c r="R1716" s="52"/>
      <c r="S1716" s="52"/>
      <c r="T1716" s="52"/>
      <c r="U1716" s="52"/>
      <c r="V1716" s="52"/>
      <c r="W1716" s="52"/>
      <c r="X1716" s="52"/>
      <c r="Y1716" s="52"/>
      <c r="Z1716" s="52"/>
      <c r="AA1716" s="52"/>
      <c r="AB1716" s="52"/>
      <c r="AC1716" s="52"/>
      <c r="AD1716" s="52"/>
      <c r="AE1716" s="52"/>
      <c r="AF1716" s="52"/>
      <c r="AG1716" s="52"/>
      <c r="AH1716" s="52"/>
      <c r="AI1716" s="52"/>
      <c r="AJ1716" s="52"/>
      <c r="AK1716" s="52"/>
      <c r="AL1716" s="52"/>
      <c r="AM1716" s="52"/>
      <c r="AN1716" s="52"/>
      <c r="AO1716" s="52"/>
      <c r="AP1716" s="52"/>
      <c r="AQ1716" s="52"/>
      <c r="AR1716" s="52"/>
      <c r="AS1716" s="52"/>
      <c r="AT1716" s="52"/>
      <c r="AU1716" s="52"/>
      <c r="AV1716" s="52"/>
      <c r="AW1716" s="52"/>
    </row>
    <row r="1717" spans="1:49">
      <c r="A1717" s="52"/>
      <c r="B1717" s="52"/>
      <c r="C1717" s="52"/>
      <c r="D1717" s="53"/>
      <c r="E1717" s="53"/>
      <c r="F1717" s="53"/>
      <c r="G1717" s="53"/>
      <c r="H1717" s="52"/>
      <c r="I1717" s="52"/>
      <c r="J1717" s="52"/>
      <c r="K1717" s="53"/>
      <c r="L1717" s="52"/>
      <c r="M1717" s="55"/>
      <c r="N1717" s="54"/>
      <c r="O1717" s="52"/>
      <c r="P1717" s="52"/>
      <c r="Q1717" s="52"/>
      <c r="R1717" s="52"/>
      <c r="S1717" s="52"/>
      <c r="T1717" s="52"/>
      <c r="U1717" s="52"/>
      <c r="V1717" s="52"/>
      <c r="W1717" s="52"/>
      <c r="X1717" s="52"/>
      <c r="Y1717" s="52"/>
      <c r="Z1717" s="52"/>
      <c r="AA1717" s="52"/>
      <c r="AB1717" s="52"/>
      <c r="AC1717" s="52"/>
      <c r="AD1717" s="52"/>
      <c r="AE1717" s="52"/>
      <c r="AF1717" s="52"/>
      <c r="AG1717" s="52"/>
      <c r="AH1717" s="52"/>
      <c r="AI1717" s="52"/>
      <c r="AJ1717" s="52"/>
      <c r="AK1717" s="52"/>
      <c r="AL1717" s="52"/>
      <c r="AM1717" s="52"/>
      <c r="AN1717" s="52"/>
      <c r="AO1717" s="52"/>
      <c r="AP1717" s="52"/>
      <c r="AQ1717" s="52"/>
      <c r="AR1717" s="52"/>
      <c r="AS1717" s="52"/>
      <c r="AT1717" s="52"/>
      <c r="AU1717" s="52"/>
      <c r="AV1717" s="52"/>
      <c r="AW1717" s="52"/>
    </row>
    <row r="1718" spans="1:49">
      <c r="A1718" s="52"/>
      <c r="B1718" s="52"/>
      <c r="C1718" s="52"/>
      <c r="D1718" s="53"/>
      <c r="E1718" s="53"/>
      <c r="F1718" s="53"/>
      <c r="G1718" s="53"/>
      <c r="H1718" s="52"/>
      <c r="I1718" s="52"/>
      <c r="J1718" s="52"/>
      <c r="K1718" s="53"/>
      <c r="L1718" s="52"/>
      <c r="M1718" s="54"/>
      <c r="N1718" s="55"/>
      <c r="O1718" s="52"/>
      <c r="P1718" s="52"/>
      <c r="Q1718" s="52"/>
      <c r="R1718" s="52"/>
      <c r="S1718" s="52"/>
      <c r="T1718" s="52"/>
      <c r="U1718" s="52"/>
      <c r="V1718" s="52"/>
      <c r="W1718" s="52"/>
      <c r="X1718" s="52"/>
      <c r="Y1718" s="52"/>
      <c r="Z1718" s="52"/>
      <c r="AA1718" s="52"/>
      <c r="AB1718" s="52"/>
      <c r="AC1718" s="52"/>
      <c r="AD1718" s="52"/>
      <c r="AE1718" s="52"/>
      <c r="AF1718" s="52"/>
      <c r="AG1718" s="52"/>
      <c r="AH1718" s="52"/>
      <c r="AI1718" s="53"/>
      <c r="AJ1718" s="52"/>
      <c r="AK1718" s="53"/>
      <c r="AL1718" s="52"/>
      <c r="AM1718" s="52"/>
      <c r="AN1718" s="52"/>
      <c r="AO1718" s="52"/>
      <c r="AP1718" s="52"/>
      <c r="AQ1718" s="52"/>
      <c r="AR1718" s="52"/>
      <c r="AS1718" s="52"/>
      <c r="AT1718" s="52"/>
      <c r="AU1718" s="52"/>
      <c r="AV1718" s="52"/>
      <c r="AW1718" s="52"/>
    </row>
    <row r="1719" spans="1:49">
      <c r="A1719" s="52"/>
      <c r="B1719" s="52"/>
      <c r="C1719" s="52"/>
      <c r="D1719" s="53"/>
      <c r="E1719" s="53"/>
      <c r="F1719" s="53"/>
      <c r="G1719" s="53"/>
      <c r="H1719" s="52"/>
      <c r="I1719" s="52"/>
      <c r="J1719" s="52"/>
      <c r="K1719" s="53"/>
      <c r="L1719" s="52"/>
      <c r="M1719" s="54"/>
      <c r="N1719" s="55"/>
      <c r="O1719" s="52"/>
      <c r="P1719" s="52"/>
      <c r="Q1719" s="52"/>
      <c r="R1719" s="52"/>
      <c r="S1719" s="52"/>
      <c r="T1719" s="52"/>
      <c r="U1719" s="52"/>
      <c r="V1719" s="52"/>
      <c r="W1719" s="52"/>
      <c r="X1719" s="52"/>
      <c r="Y1719" s="52"/>
      <c r="Z1719" s="52"/>
      <c r="AA1719" s="52"/>
      <c r="AB1719" s="52"/>
      <c r="AC1719" s="52"/>
      <c r="AD1719" s="52"/>
      <c r="AE1719" s="52"/>
      <c r="AF1719" s="52"/>
      <c r="AG1719" s="52"/>
      <c r="AH1719" s="52"/>
      <c r="AI1719" s="53"/>
      <c r="AJ1719" s="52"/>
      <c r="AK1719" s="53"/>
      <c r="AL1719" s="52"/>
      <c r="AM1719" s="52"/>
      <c r="AN1719" s="52"/>
      <c r="AO1719" s="52"/>
      <c r="AP1719" s="52"/>
      <c r="AQ1719" s="52"/>
      <c r="AR1719" s="52"/>
      <c r="AS1719" s="52"/>
      <c r="AT1719" s="52"/>
      <c r="AU1719" s="52"/>
      <c r="AV1719" s="52"/>
      <c r="AW1719" s="52"/>
    </row>
    <row r="1720" spans="1:49">
      <c r="A1720" s="52"/>
      <c r="B1720" s="52"/>
      <c r="C1720" s="52"/>
      <c r="D1720" s="53"/>
      <c r="E1720" s="53"/>
      <c r="F1720" s="53"/>
      <c r="G1720" s="53"/>
      <c r="H1720" s="52"/>
      <c r="I1720" s="52"/>
      <c r="J1720" s="52"/>
      <c r="K1720" s="53"/>
      <c r="L1720" s="52"/>
      <c r="M1720" s="54"/>
      <c r="N1720" s="54"/>
      <c r="O1720" s="52"/>
      <c r="P1720" s="52"/>
      <c r="Q1720" s="52"/>
      <c r="R1720" s="52"/>
      <c r="S1720" s="52"/>
      <c r="T1720" s="52"/>
      <c r="U1720" s="52"/>
      <c r="V1720" s="52"/>
      <c r="W1720" s="52"/>
      <c r="X1720" s="52"/>
      <c r="Y1720" s="52"/>
      <c r="Z1720" s="52"/>
      <c r="AA1720" s="52"/>
      <c r="AB1720" s="52"/>
      <c r="AC1720" s="52"/>
      <c r="AD1720" s="52"/>
      <c r="AE1720" s="52"/>
      <c r="AF1720" s="52"/>
      <c r="AG1720" s="52"/>
      <c r="AH1720" s="52"/>
      <c r="AI1720" s="52"/>
      <c r="AJ1720" s="52"/>
      <c r="AK1720" s="52"/>
      <c r="AL1720" s="52"/>
      <c r="AM1720" s="52"/>
      <c r="AN1720" s="52"/>
      <c r="AO1720" s="52"/>
      <c r="AP1720" s="52"/>
      <c r="AQ1720" s="52"/>
      <c r="AR1720" s="52"/>
      <c r="AS1720" s="52"/>
      <c r="AT1720" s="52"/>
      <c r="AU1720" s="52"/>
      <c r="AV1720" s="52"/>
      <c r="AW1720" s="52"/>
    </row>
    <row r="1721" spans="1:49">
      <c r="A1721" s="52"/>
      <c r="B1721" s="52"/>
      <c r="C1721" s="52"/>
      <c r="D1721" s="53"/>
      <c r="E1721" s="53"/>
      <c r="F1721" s="52"/>
      <c r="G1721" s="53"/>
      <c r="H1721" s="52"/>
      <c r="I1721" s="52"/>
      <c r="J1721" s="52"/>
      <c r="K1721" s="53"/>
      <c r="L1721" s="52"/>
      <c r="M1721" s="52"/>
      <c r="N1721" s="52"/>
      <c r="O1721" s="52"/>
      <c r="P1721" s="52"/>
      <c r="Q1721" s="52"/>
      <c r="R1721" s="52"/>
      <c r="S1721" s="52"/>
      <c r="T1721" s="52"/>
      <c r="U1721" s="52"/>
      <c r="V1721" s="52"/>
      <c r="W1721" s="52"/>
      <c r="X1721" s="52"/>
      <c r="Y1721" s="52"/>
      <c r="Z1721" s="52"/>
      <c r="AA1721" s="52"/>
      <c r="AB1721" s="52"/>
      <c r="AC1721" s="52"/>
      <c r="AD1721" s="52"/>
      <c r="AE1721" s="52"/>
      <c r="AF1721" s="52"/>
      <c r="AG1721" s="52"/>
      <c r="AH1721" s="52"/>
      <c r="AI1721" s="52"/>
      <c r="AJ1721" s="52"/>
      <c r="AK1721" s="52"/>
      <c r="AL1721" s="52"/>
      <c r="AM1721" s="52"/>
      <c r="AN1721" s="52"/>
      <c r="AO1721" s="52"/>
      <c r="AP1721" s="52"/>
      <c r="AQ1721" s="52"/>
      <c r="AR1721" s="52"/>
      <c r="AS1721" s="52"/>
      <c r="AT1721" s="52"/>
      <c r="AU1721" s="52"/>
      <c r="AV1721" s="52"/>
      <c r="AW1721" s="52"/>
    </row>
    <row r="1722" spans="1:49">
      <c r="A1722" s="52"/>
      <c r="B1722" s="52"/>
      <c r="C1722" s="52"/>
      <c r="D1722" s="53"/>
      <c r="E1722" s="53"/>
      <c r="F1722" s="52"/>
      <c r="G1722" s="53"/>
      <c r="H1722" s="52"/>
      <c r="I1722" s="52"/>
      <c r="J1722" s="52"/>
      <c r="K1722" s="53"/>
      <c r="L1722" s="52"/>
      <c r="M1722" s="52"/>
      <c r="N1722" s="52"/>
      <c r="O1722" s="52"/>
      <c r="P1722" s="52"/>
      <c r="Q1722" s="52"/>
      <c r="R1722" s="52"/>
      <c r="S1722" s="52"/>
      <c r="T1722" s="52"/>
      <c r="U1722" s="52"/>
      <c r="V1722" s="52"/>
      <c r="W1722" s="52"/>
      <c r="X1722" s="52"/>
      <c r="Y1722" s="52"/>
      <c r="Z1722" s="52"/>
      <c r="AA1722" s="52"/>
      <c r="AB1722" s="52"/>
      <c r="AC1722" s="52"/>
      <c r="AD1722" s="52"/>
      <c r="AE1722" s="52"/>
      <c r="AF1722" s="52"/>
      <c r="AG1722" s="52"/>
      <c r="AH1722" s="52"/>
      <c r="AI1722" s="52"/>
      <c r="AJ1722" s="52"/>
      <c r="AK1722" s="52"/>
      <c r="AL1722" s="52"/>
      <c r="AM1722" s="52"/>
      <c r="AN1722" s="52"/>
      <c r="AO1722" s="52"/>
      <c r="AP1722" s="52"/>
      <c r="AQ1722" s="52"/>
      <c r="AR1722" s="52"/>
      <c r="AS1722" s="52"/>
      <c r="AT1722" s="52"/>
      <c r="AU1722" s="52"/>
      <c r="AV1722" s="52"/>
      <c r="AW1722" s="52"/>
    </row>
    <row r="1723" spans="1:49">
      <c r="A1723" s="52"/>
      <c r="B1723" s="52"/>
      <c r="C1723" s="52"/>
      <c r="D1723" s="53"/>
      <c r="E1723" s="53"/>
      <c r="F1723" s="52"/>
      <c r="G1723" s="52"/>
      <c r="H1723" s="52"/>
      <c r="I1723" s="52"/>
      <c r="J1723" s="52"/>
      <c r="K1723" s="52"/>
      <c r="L1723" s="52"/>
      <c r="M1723" s="55"/>
      <c r="N1723" s="55"/>
      <c r="O1723" s="52"/>
      <c r="P1723" s="52"/>
      <c r="Q1723" s="52"/>
      <c r="R1723" s="52"/>
      <c r="S1723" s="52"/>
      <c r="T1723" s="52"/>
      <c r="U1723" s="52"/>
      <c r="V1723" s="52"/>
      <c r="W1723" s="52"/>
      <c r="X1723" s="52"/>
      <c r="Y1723" s="52"/>
      <c r="Z1723" s="52"/>
      <c r="AA1723" s="52"/>
      <c r="AB1723" s="52"/>
      <c r="AC1723" s="52"/>
      <c r="AD1723" s="52"/>
      <c r="AE1723" s="52"/>
      <c r="AF1723" s="52"/>
      <c r="AG1723" s="52"/>
      <c r="AH1723" s="52"/>
      <c r="AI1723" s="52"/>
      <c r="AJ1723" s="52"/>
      <c r="AK1723" s="52"/>
      <c r="AL1723" s="52"/>
      <c r="AM1723" s="52"/>
      <c r="AN1723" s="52"/>
      <c r="AO1723" s="52"/>
      <c r="AP1723" s="52"/>
      <c r="AQ1723" s="52"/>
      <c r="AR1723" s="52"/>
      <c r="AS1723" s="52"/>
      <c r="AT1723" s="52"/>
      <c r="AU1723" s="52"/>
      <c r="AV1723" s="52"/>
      <c r="AW1723" s="52"/>
    </row>
    <row r="1724" spans="1:49">
      <c r="A1724" s="52"/>
      <c r="B1724" s="52"/>
      <c r="C1724" s="52"/>
      <c r="D1724" s="53"/>
      <c r="E1724" s="53"/>
      <c r="F1724" s="52"/>
      <c r="G1724" s="52"/>
      <c r="H1724" s="52"/>
      <c r="I1724" s="52"/>
      <c r="J1724" s="52"/>
      <c r="K1724" s="52"/>
      <c r="L1724" s="52"/>
      <c r="M1724" s="52"/>
      <c r="N1724" s="52"/>
      <c r="O1724" s="52"/>
      <c r="P1724" s="52"/>
      <c r="Q1724" s="52"/>
      <c r="R1724" s="52"/>
      <c r="S1724" s="52"/>
      <c r="T1724" s="52"/>
      <c r="U1724" s="52"/>
      <c r="V1724" s="52"/>
      <c r="W1724" s="52"/>
      <c r="X1724" s="52"/>
      <c r="Y1724" s="52"/>
      <c r="Z1724" s="52"/>
      <c r="AA1724" s="52"/>
      <c r="AB1724" s="52"/>
      <c r="AC1724" s="52"/>
      <c r="AD1724" s="52"/>
      <c r="AE1724" s="52"/>
      <c r="AF1724" s="52"/>
      <c r="AG1724" s="52"/>
      <c r="AH1724" s="52"/>
      <c r="AI1724" s="52"/>
      <c r="AJ1724" s="52"/>
      <c r="AK1724" s="52"/>
      <c r="AL1724" s="52"/>
      <c r="AM1724" s="52"/>
      <c r="AN1724" s="52"/>
      <c r="AO1724" s="52"/>
      <c r="AP1724" s="52"/>
      <c r="AQ1724" s="52"/>
      <c r="AR1724" s="52"/>
      <c r="AS1724" s="52"/>
      <c r="AT1724" s="52"/>
      <c r="AU1724" s="52"/>
      <c r="AV1724" s="52"/>
      <c r="AW1724" s="52"/>
    </row>
    <row r="1725" spans="1:49">
      <c r="A1725" s="52"/>
      <c r="B1725" s="52"/>
      <c r="C1725" s="52"/>
      <c r="D1725" s="53"/>
      <c r="E1725" s="53"/>
      <c r="F1725" s="52"/>
      <c r="G1725" s="52"/>
      <c r="H1725" s="52"/>
      <c r="I1725" s="52"/>
      <c r="J1725" s="52"/>
      <c r="K1725" s="52"/>
      <c r="L1725" s="52"/>
      <c r="M1725" s="55"/>
      <c r="N1725" s="54"/>
      <c r="O1725" s="52"/>
      <c r="P1725" s="52"/>
      <c r="Q1725" s="52"/>
      <c r="R1725" s="52"/>
      <c r="S1725" s="52"/>
      <c r="T1725" s="52"/>
      <c r="U1725" s="52"/>
      <c r="V1725" s="52"/>
      <c r="W1725" s="52"/>
      <c r="X1725" s="52"/>
      <c r="Y1725" s="52"/>
      <c r="Z1725" s="52"/>
      <c r="AA1725" s="52"/>
      <c r="AB1725" s="52"/>
      <c r="AC1725" s="52"/>
      <c r="AD1725" s="52"/>
      <c r="AE1725" s="52"/>
      <c r="AF1725" s="52"/>
      <c r="AG1725" s="52"/>
      <c r="AH1725" s="52"/>
      <c r="AI1725" s="52"/>
      <c r="AJ1725" s="52"/>
      <c r="AK1725" s="52"/>
      <c r="AL1725" s="52"/>
      <c r="AM1725" s="52"/>
      <c r="AN1725" s="52"/>
      <c r="AO1725" s="52"/>
      <c r="AP1725" s="52"/>
      <c r="AQ1725" s="52"/>
      <c r="AR1725" s="52"/>
      <c r="AS1725" s="52"/>
      <c r="AT1725" s="52"/>
      <c r="AU1725" s="52"/>
      <c r="AV1725" s="52"/>
      <c r="AW1725" s="52"/>
    </row>
    <row r="1726" spans="1:49">
      <c r="A1726" s="52"/>
      <c r="B1726" s="52"/>
      <c r="C1726" s="52"/>
      <c r="D1726" s="53"/>
      <c r="E1726" s="53"/>
      <c r="F1726" s="52"/>
      <c r="G1726" s="52"/>
      <c r="H1726" s="52"/>
      <c r="I1726" s="52"/>
      <c r="J1726" s="52"/>
      <c r="K1726" s="52"/>
      <c r="L1726" s="52"/>
      <c r="M1726" s="52"/>
      <c r="N1726" s="52"/>
      <c r="O1726" s="52"/>
      <c r="P1726" s="52"/>
      <c r="Q1726" s="52"/>
      <c r="R1726" s="52"/>
      <c r="S1726" s="52"/>
      <c r="T1726" s="52"/>
      <c r="U1726" s="52"/>
      <c r="V1726" s="52"/>
      <c r="W1726" s="52"/>
      <c r="X1726" s="52"/>
      <c r="Y1726" s="52"/>
      <c r="Z1726" s="52"/>
      <c r="AA1726" s="52"/>
      <c r="AB1726" s="52"/>
      <c r="AC1726" s="52"/>
      <c r="AD1726" s="52"/>
      <c r="AE1726" s="52"/>
      <c r="AF1726" s="52"/>
      <c r="AG1726" s="52"/>
      <c r="AH1726" s="52"/>
      <c r="AI1726" s="52"/>
      <c r="AJ1726" s="52"/>
      <c r="AK1726" s="52"/>
      <c r="AL1726" s="52"/>
      <c r="AM1726" s="52"/>
      <c r="AN1726" s="52"/>
      <c r="AO1726" s="52"/>
      <c r="AP1726" s="52"/>
      <c r="AQ1726" s="52"/>
      <c r="AR1726" s="52"/>
      <c r="AS1726" s="52"/>
      <c r="AT1726" s="52"/>
      <c r="AU1726" s="52"/>
      <c r="AV1726" s="52"/>
      <c r="AW1726" s="52"/>
    </row>
    <row r="1727" spans="1:49">
      <c r="A1727" s="52"/>
      <c r="B1727" s="52"/>
      <c r="C1727" s="52"/>
      <c r="D1727" s="53"/>
      <c r="E1727" s="53"/>
      <c r="F1727" s="52"/>
      <c r="G1727" s="52"/>
      <c r="H1727" s="52"/>
      <c r="I1727" s="52"/>
      <c r="J1727" s="52"/>
      <c r="K1727" s="52"/>
      <c r="L1727" s="52"/>
      <c r="M1727" s="55"/>
      <c r="N1727" s="55"/>
      <c r="O1727" s="52"/>
      <c r="P1727" s="52"/>
      <c r="Q1727" s="52"/>
      <c r="R1727" s="52"/>
      <c r="S1727" s="52"/>
      <c r="T1727" s="52"/>
      <c r="U1727" s="52"/>
      <c r="V1727" s="52"/>
      <c r="W1727" s="52"/>
      <c r="X1727" s="52"/>
      <c r="Y1727" s="52"/>
      <c r="Z1727" s="52"/>
      <c r="AA1727" s="52"/>
      <c r="AB1727" s="52"/>
      <c r="AC1727" s="52"/>
      <c r="AD1727" s="52"/>
      <c r="AE1727" s="52"/>
      <c r="AF1727" s="52"/>
      <c r="AG1727" s="52"/>
      <c r="AH1727" s="52"/>
      <c r="AI1727" s="52"/>
      <c r="AJ1727" s="52"/>
      <c r="AK1727" s="52"/>
      <c r="AL1727" s="52"/>
      <c r="AM1727" s="52"/>
      <c r="AN1727" s="52"/>
      <c r="AO1727" s="52"/>
      <c r="AP1727" s="52"/>
      <c r="AQ1727" s="52"/>
      <c r="AR1727" s="52"/>
      <c r="AS1727" s="52"/>
      <c r="AT1727" s="52"/>
      <c r="AU1727" s="52"/>
      <c r="AV1727" s="52"/>
      <c r="AW1727" s="52"/>
    </row>
    <row r="1728" spans="1:49">
      <c r="A1728" s="52"/>
      <c r="B1728" s="52"/>
      <c r="C1728" s="52"/>
      <c r="D1728" s="53"/>
      <c r="E1728" s="53"/>
      <c r="F1728" s="52"/>
      <c r="G1728" s="52"/>
      <c r="H1728" s="52"/>
      <c r="I1728" s="52"/>
      <c r="J1728" s="52"/>
      <c r="K1728" s="52"/>
      <c r="L1728" s="52"/>
      <c r="M1728" s="52"/>
      <c r="N1728" s="52"/>
      <c r="O1728" s="52"/>
      <c r="P1728" s="52"/>
      <c r="Q1728" s="52"/>
      <c r="R1728" s="52"/>
      <c r="S1728" s="52"/>
      <c r="T1728" s="52"/>
      <c r="U1728" s="52"/>
      <c r="V1728" s="52"/>
      <c r="W1728" s="52"/>
      <c r="X1728" s="52"/>
      <c r="Y1728" s="52"/>
      <c r="Z1728" s="52"/>
      <c r="AA1728" s="52"/>
      <c r="AB1728" s="52"/>
      <c r="AC1728" s="52"/>
      <c r="AD1728" s="52"/>
      <c r="AE1728" s="52"/>
      <c r="AF1728" s="52"/>
      <c r="AG1728" s="52"/>
      <c r="AH1728" s="52"/>
      <c r="AI1728" s="52"/>
      <c r="AJ1728" s="52"/>
      <c r="AK1728" s="52"/>
      <c r="AL1728" s="52"/>
      <c r="AM1728" s="52"/>
      <c r="AN1728" s="52"/>
      <c r="AO1728" s="52"/>
      <c r="AP1728" s="52"/>
      <c r="AQ1728" s="52"/>
      <c r="AR1728" s="52"/>
      <c r="AS1728" s="52"/>
      <c r="AT1728" s="52"/>
      <c r="AU1728" s="52"/>
      <c r="AV1728" s="52"/>
      <c r="AW1728" s="52"/>
    </row>
    <row r="1729" spans="1:49">
      <c r="A1729" s="52"/>
      <c r="B1729" s="52"/>
      <c r="C1729" s="52"/>
      <c r="D1729" s="53"/>
      <c r="E1729" s="53"/>
      <c r="F1729" s="52"/>
      <c r="G1729" s="52"/>
      <c r="H1729" s="52"/>
      <c r="I1729" s="52"/>
      <c r="J1729" s="52"/>
      <c r="K1729" s="52"/>
      <c r="L1729" s="52"/>
      <c r="M1729" s="55"/>
      <c r="N1729" s="54"/>
      <c r="O1729" s="52"/>
      <c r="P1729" s="52"/>
      <c r="Q1729" s="52"/>
      <c r="R1729" s="52"/>
      <c r="S1729" s="52"/>
      <c r="T1729" s="52"/>
      <c r="U1729" s="52"/>
      <c r="V1729" s="52"/>
      <c r="W1729" s="52"/>
      <c r="X1729" s="52"/>
      <c r="Y1729" s="52"/>
      <c r="Z1729" s="52"/>
      <c r="AA1729" s="52"/>
      <c r="AB1729" s="52"/>
      <c r="AC1729" s="52"/>
      <c r="AD1729" s="52"/>
      <c r="AE1729" s="52"/>
      <c r="AF1729" s="52"/>
      <c r="AG1729" s="52"/>
      <c r="AH1729" s="52"/>
      <c r="AI1729" s="52"/>
      <c r="AJ1729" s="52"/>
      <c r="AK1729" s="52"/>
      <c r="AL1729" s="52"/>
      <c r="AM1729" s="52"/>
      <c r="AN1729" s="52"/>
      <c r="AO1729" s="52"/>
      <c r="AP1729" s="52"/>
      <c r="AQ1729" s="52"/>
      <c r="AR1729" s="52"/>
      <c r="AS1729" s="52"/>
      <c r="AT1729" s="52"/>
      <c r="AU1729" s="52"/>
      <c r="AV1729" s="52"/>
      <c r="AW1729" s="52"/>
    </row>
    <row r="1730" spans="1:49">
      <c r="A1730" s="52"/>
      <c r="B1730" s="52"/>
      <c r="C1730" s="52"/>
      <c r="D1730" s="53"/>
      <c r="E1730" s="53"/>
      <c r="F1730" s="52"/>
      <c r="G1730" s="52"/>
      <c r="H1730" s="52"/>
      <c r="I1730" s="52"/>
      <c r="J1730" s="52"/>
      <c r="K1730" s="52"/>
      <c r="L1730" s="52"/>
      <c r="M1730" s="52"/>
      <c r="N1730" s="52"/>
      <c r="O1730" s="52"/>
      <c r="P1730" s="52"/>
      <c r="Q1730" s="52"/>
      <c r="R1730" s="52"/>
      <c r="S1730" s="52"/>
      <c r="T1730" s="52"/>
      <c r="U1730" s="52"/>
      <c r="V1730" s="52"/>
      <c r="W1730" s="52"/>
      <c r="X1730" s="52"/>
      <c r="Y1730" s="52"/>
      <c r="Z1730" s="52"/>
      <c r="AA1730" s="52"/>
      <c r="AB1730" s="52"/>
      <c r="AC1730" s="52"/>
      <c r="AD1730" s="52"/>
      <c r="AE1730" s="52"/>
      <c r="AF1730" s="52"/>
      <c r="AG1730" s="52"/>
      <c r="AH1730" s="52"/>
      <c r="AI1730" s="52"/>
      <c r="AJ1730" s="52"/>
      <c r="AK1730" s="52"/>
      <c r="AL1730" s="52"/>
      <c r="AM1730" s="52"/>
      <c r="AN1730" s="52"/>
      <c r="AO1730" s="52"/>
      <c r="AP1730" s="52"/>
      <c r="AQ1730" s="52"/>
      <c r="AR1730" s="52"/>
      <c r="AS1730" s="52"/>
      <c r="AT1730" s="52"/>
      <c r="AU1730" s="52"/>
      <c r="AV1730" s="52"/>
      <c r="AW1730" s="52"/>
    </row>
    <row r="1731" spans="1:49">
      <c r="A1731" s="52"/>
      <c r="B1731" s="52"/>
      <c r="C1731" s="52"/>
      <c r="D1731" s="53"/>
      <c r="E1731" s="53"/>
      <c r="F1731" s="52"/>
      <c r="G1731" s="52"/>
      <c r="H1731" s="52"/>
      <c r="I1731" s="52"/>
      <c r="J1731" s="52"/>
      <c r="K1731" s="52"/>
      <c r="L1731" s="52"/>
      <c r="M1731" s="55"/>
      <c r="N1731" s="55"/>
      <c r="O1731" s="52"/>
      <c r="P1731" s="52"/>
      <c r="Q1731" s="52"/>
      <c r="R1731" s="52"/>
      <c r="S1731" s="52"/>
      <c r="T1731" s="52"/>
      <c r="U1731" s="52"/>
      <c r="V1731" s="52"/>
      <c r="W1731" s="52"/>
      <c r="X1731" s="52"/>
      <c r="Y1731" s="52"/>
      <c r="Z1731" s="52"/>
      <c r="AA1731" s="52"/>
      <c r="AB1731" s="52"/>
      <c r="AC1731" s="52"/>
      <c r="AD1731" s="52"/>
      <c r="AE1731" s="52"/>
      <c r="AF1731" s="52"/>
      <c r="AG1731" s="52"/>
      <c r="AH1731" s="52"/>
      <c r="AI1731" s="52"/>
      <c r="AJ1731" s="52"/>
      <c r="AK1731" s="52"/>
      <c r="AL1731" s="52"/>
      <c r="AM1731" s="52"/>
      <c r="AN1731" s="52"/>
      <c r="AO1731" s="52"/>
      <c r="AP1731" s="52"/>
      <c r="AQ1731" s="52"/>
      <c r="AR1731" s="52"/>
      <c r="AS1731" s="52"/>
      <c r="AT1731" s="52"/>
      <c r="AU1731" s="52"/>
      <c r="AV1731" s="52"/>
      <c r="AW1731" s="52"/>
    </row>
    <row r="1732" spans="1:49">
      <c r="A1732" s="52"/>
      <c r="B1732" s="52"/>
      <c r="C1732" s="52"/>
      <c r="D1732" s="53"/>
      <c r="E1732" s="53"/>
      <c r="F1732" s="52"/>
      <c r="G1732" s="52"/>
      <c r="H1732" s="52"/>
      <c r="I1732" s="52"/>
      <c r="J1732" s="52"/>
      <c r="K1732" s="52"/>
      <c r="L1732" s="52"/>
      <c r="M1732" s="52"/>
      <c r="N1732" s="52"/>
      <c r="O1732" s="52"/>
      <c r="P1732" s="52"/>
      <c r="Q1732" s="52"/>
      <c r="R1732" s="52"/>
      <c r="S1732" s="52"/>
      <c r="T1732" s="52"/>
      <c r="U1732" s="52"/>
      <c r="V1732" s="52"/>
      <c r="W1732" s="52"/>
      <c r="X1732" s="52"/>
      <c r="Y1732" s="52"/>
      <c r="Z1732" s="52"/>
      <c r="AA1732" s="52"/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52"/>
      <c r="AN1732" s="52"/>
      <c r="AO1732" s="52"/>
      <c r="AP1732" s="52"/>
      <c r="AQ1732" s="52"/>
      <c r="AR1732" s="52"/>
      <c r="AS1732" s="52"/>
      <c r="AT1732" s="52"/>
      <c r="AU1732" s="52"/>
      <c r="AV1732" s="52"/>
      <c r="AW1732" s="52"/>
    </row>
    <row r="1733" spans="1:49">
      <c r="A1733" s="52"/>
      <c r="B1733" s="52"/>
      <c r="C1733" s="52"/>
      <c r="D1733" s="53"/>
      <c r="E1733" s="53"/>
      <c r="F1733" s="52"/>
      <c r="G1733" s="52"/>
      <c r="H1733" s="52"/>
      <c r="I1733" s="52"/>
      <c r="J1733" s="52"/>
      <c r="K1733" s="52"/>
      <c r="L1733" s="52"/>
      <c r="M1733" s="55"/>
      <c r="N1733" s="55"/>
      <c r="O1733" s="52"/>
      <c r="P1733" s="52"/>
      <c r="Q1733" s="52"/>
      <c r="R1733" s="52"/>
      <c r="S1733" s="52"/>
      <c r="T1733" s="52"/>
      <c r="U1733" s="52"/>
      <c r="V1733" s="52"/>
      <c r="W1733" s="52"/>
      <c r="X1733" s="52"/>
      <c r="Y1733" s="52"/>
      <c r="Z1733" s="52"/>
      <c r="AA1733" s="52"/>
      <c r="AB1733" s="52"/>
      <c r="AC1733" s="52"/>
      <c r="AD1733" s="52"/>
      <c r="AE1733" s="52"/>
      <c r="AF1733" s="52"/>
      <c r="AG1733" s="52"/>
      <c r="AH1733" s="52"/>
      <c r="AI1733" s="52"/>
      <c r="AJ1733" s="52"/>
      <c r="AK1733" s="52"/>
      <c r="AL1733" s="52"/>
      <c r="AM1733" s="52"/>
      <c r="AN1733" s="52"/>
      <c r="AO1733" s="52"/>
      <c r="AP1733" s="52"/>
      <c r="AQ1733" s="52"/>
      <c r="AR1733" s="52"/>
      <c r="AS1733" s="52"/>
      <c r="AT1733" s="52"/>
      <c r="AU1733" s="52"/>
      <c r="AV1733" s="52"/>
      <c r="AW1733" s="52"/>
    </row>
    <row r="1734" spans="1:49">
      <c r="A1734" s="52"/>
      <c r="B1734" s="52"/>
      <c r="C1734" s="52"/>
      <c r="D1734" s="53"/>
      <c r="E1734" s="53"/>
      <c r="F1734" s="52"/>
      <c r="G1734" s="52"/>
      <c r="H1734" s="52"/>
      <c r="I1734" s="52"/>
      <c r="J1734" s="52"/>
      <c r="K1734" s="52"/>
      <c r="L1734" s="52"/>
      <c r="M1734" s="52"/>
      <c r="N1734" s="52"/>
      <c r="O1734" s="52"/>
      <c r="P1734" s="52"/>
      <c r="Q1734" s="52"/>
      <c r="R1734" s="52"/>
      <c r="S1734" s="52"/>
      <c r="T1734" s="52"/>
      <c r="U1734" s="52"/>
      <c r="V1734" s="52"/>
      <c r="W1734" s="52"/>
      <c r="X1734" s="52"/>
      <c r="Y1734" s="52"/>
      <c r="Z1734" s="52"/>
      <c r="AA1734" s="52"/>
      <c r="AB1734" s="52"/>
      <c r="AC1734" s="52"/>
      <c r="AD1734" s="52"/>
      <c r="AE1734" s="52"/>
      <c r="AF1734" s="52"/>
      <c r="AG1734" s="52"/>
      <c r="AH1734" s="52"/>
      <c r="AI1734" s="52"/>
      <c r="AJ1734" s="52"/>
      <c r="AK1734" s="52"/>
      <c r="AL1734" s="52"/>
      <c r="AM1734" s="52"/>
      <c r="AN1734" s="52"/>
      <c r="AO1734" s="52"/>
      <c r="AP1734" s="52"/>
      <c r="AQ1734" s="52"/>
      <c r="AR1734" s="52"/>
      <c r="AS1734" s="52"/>
      <c r="AT1734" s="52"/>
      <c r="AU1734" s="52"/>
      <c r="AV1734" s="52"/>
      <c r="AW1734" s="52"/>
    </row>
    <row r="1735" spans="1:49">
      <c r="A1735" s="52"/>
      <c r="B1735" s="52"/>
      <c r="C1735" s="52"/>
      <c r="D1735" s="53"/>
      <c r="E1735" s="53"/>
      <c r="F1735" s="52"/>
      <c r="G1735" s="52"/>
      <c r="H1735" s="52"/>
      <c r="I1735" s="52"/>
      <c r="J1735" s="52"/>
      <c r="K1735" s="52"/>
      <c r="L1735" s="52"/>
      <c r="M1735" s="55"/>
      <c r="N1735" s="54"/>
      <c r="O1735" s="52"/>
      <c r="P1735" s="52"/>
      <c r="Q1735" s="52"/>
      <c r="R1735" s="52"/>
      <c r="S1735" s="52"/>
      <c r="T1735" s="52"/>
      <c r="U1735" s="52"/>
      <c r="V1735" s="52"/>
      <c r="W1735" s="52"/>
      <c r="X1735" s="52"/>
      <c r="Y1735" s="52"/>
      <c r="Z1735" s="52"/>
      <c r="AA1735" s="52"/>
      <c r="AB1735" s="52"/>
      <c r="AC1735" s="52"/>
      <c r="AD1735" s="52"/>
      <c r="AE1735" s="52"/>
      <c r="AF1735" s="52"/>
      <c r="AG1735" s="52"/>
      <c r="AH1735" s="52"/>
      <c r="AI1735" s="52"/>
      <c r="AJ1735" s="52"/>
      <c r="AK1735" s="52"/>
      <c r="AL1735" s="52"/>
      <c r="AM1735" s="52"/>
      <c r="AN1735" s="52"/>
      <c r="AO1735" s="52"/>
      <c r="AP1735" s="52"/>
      <c r="AQ1735" s="52"/>
      <c r="AR1735" s="52"/>
      <c r="AS1735" s="52"/>
      <c r="AT1735" s="52"/>
      <c r="AU1735" s="52"/>
      <c r="AV1735" s="52"/>
      <c r="AW1735" s="52"/>
    </row>
    <row r="1736" spans="1:49">
      <c r="A1736" s="52"/>
      <c r="B1736" s="52"/>
      <c r="C1736" s="52"/>
      <c r="D1736" s="53"/>
      <c r="E1736" s="53"/>
      <c r="F1736" s="52"/>
      <c r="G1736" s="52"/>
      <c r="H1736" s="52"/>
      <c r="I1736" s="52"/>
      <c r="J1736" s="52"/>
      <c r="K1736" s="52"/>
      <c r="L1736" s="52"/>
      <c r="M1736" s="52"/>
      <c r="N1736" s="52"/>
      <c r="O1736" s="52"/>
      <c r="P1736" s="52"/>
      <c r="Q1736" s="52"/>
      <c r="R1736" s="52"/>
      <c r="S1736" s="52"/>
      <c r="T1736" s="52"/>
      <c r="U1736" s="52"/>
      <c r="V1736" s="52"/>
      <c r="W1736" s="52"/>
      <c r="X1736" s="52"/>
      <c r="Y1736" s="52"/>
      <c r="Z1736" s="52"/>
      <c r="AA1736" s="52"/>
      <c r="AB1736" s="52"/>
      <c r="AC1736" s="52"/>
      <c r="AD1736" s="52"/>
      <c r="AE1736" s="52"/>
      <c r="AF1736" s="52"/>
      <c r="AG1736" s="52"/>
      <c r="AH1736" s="52"/>
      <c r="AI1736" s="52"/>
      <c r="AJ1736" s="52"/>
      <c r="AK1736" s="52"/>
      <c r="AL1736" s="52"/>
      <c r="AM1736" s="52"/>
      <c r="AN1736" s="52"/>
      <c r="AO1736" s="52"/>
      <c r="AP1736" s="52"/>
      <c r="AQ1736" s="52"/>
      <c r="AR1736" s="52"/>
      <c r="AS1736" s="52"/>
      <c r="AT1736" s="52"/>
      <c r="AU1736" s="52"/>
      <c r="AV1736" s="52"/>
      <c r="AW1736" s="52"/>
    </row>
    <row r="1737" spans="1:49">
      <c r="A1737" s="52"/>
      <c r="B1737" s="52"/>
      <c r="C1737" s="52"/>
      <c r="D1737" s="53"/>
      <c r="E1737" s="53"/>
      <c r="F1737" s="52"/>
      <c r="G1737" s="52"/>
      <c r="H1737" s="52"/>
      <c r="I1737" s="52"/>
      <c r="J1737" s="52"/>
      <c r="K1737" s="52"/>
      <c r="L1737" s="52"/>
      <c r="M1737" s="55"/>
      <c r="N1737" s="54"/>
      <c r="O1737" s="52"/>
      <c r="P1737" s="52"/>
      <c r="Q1737" s="52"/>
      <c r="R1737" s="52"/>
      <c r="S1737" s="52"/>
      <c r="T1737" s="52"/>
      <c r="U1737" s="52"/>
      <c r="V1737" s="52"/>
      <c r="W1737" s="52"/>
      <c r="X1737" s="52"/>
      <c r="Y1737" s="52"/>
      <c r="Z1737" s="52"/>
      <c r="AA1737" s="52"/>
      <c r="AB1737" s="52"/>
      <c r="AC1737" s="52"/>
      <c r="AD1737" s="52"/>
      <c r="AE1737" s="52"/>
      <c r="AF1737" s="52"/>
      <c r="AG1737" s="52"/>
      <c r="AH1737" s="52"/>
      <c r="AI1737" s="52"/>
      <c r="AJ1737" s="52"/>
      <c r="AK1737" s="52"/>
      <c r="AL1737" s="52"/>
      <c r="AM1737" s="52"/>
      <c r="AN1737" s="52"/>
      <c r="AO1737" s="52"/>
      <c r="AP1737" s="52"/>
      <c r="AQ1737" s="52"/>
      <c r="AR1737" s="52"/>
      <c r="AS1737" s="52"/>
      <c r="AT1737" s="52"/>
      <c r="AU1737" s="52"/>
      <c r="AV1737" s="52"/>
      <c r="AW1737" s="52"/>
    </row>
    <row r="1738" spans="1:49">
      <c r="A1738" s="52"/>
      <c r="B1738" s="52"/>
      <c r="C1738" s="52"/>
      <c r="D1738" s="53"/>
      <c r="E1738" s="53"/>
      <c r="F1738" s="52"/>
      <c r="G1738" s="52"/>
      <c r="H1738" s="52"/>
      <c r="I1738" s="52"/>
      <c r="J1738" s="52"/>
      <c r="K1738" s="52"/>
      <c r="L1738" s="52"/>
      <c r="M1738" s="52"/>
      <c r="N1738" s="52"/>
      <c r="O1738" s="52"/>
      <c r="P1738" s="52"/>
      <c r="Q1738" s="52"/>
      <c r="R1738" s="52"/>
      <c r="S1738" s="52"/>
      <c r="T1738" s="52"/>
      <c r="U1738" s="52"/>
      <c r="V1738" s="52"/>
      <c r="W1738" s="52"/>
      <c r="X1738" s="52"/>
      <c r="Y1738" s="52"/>
      <c r="Z1738" s="52"/>
      <c r="AA1738" s="52"/>
      <c r="AB1738" s="52"/>
      <c r="AC1738" s="52"/>
      <c r="AD1738" s="52"/>
      <c r="AE1738" s="52"/>
      <c r="AF1738" s="52"/>
      <c r="AG1738" s="52"/>
      <c r="AH1738" s="52"/>
      <c r="AI1738" s="52"/>
      <c r="AJ1738" s="52"/>
      <c r="AK1738" s="52"/>
      <c r="AL1738" s="52"/>
      <c r="AM1738" s="52"/>
      <c r="AN1738" s="52"/>
      <c r="AO1738" s="52"/>
      <c r="AP1738" s="52"/>
      <c r="AQ1738" s="52"/>
      <c r="AR1738" s="52"/>
      <c r="AS1738" s="52"/>
      <c r="AT1738" s="52"/>
      <c r="AU1738" s="52"/>
      <c r="AV1738" s="52"/>
      <c r="AW1738" s="52"/>
    </row>
    <row r="1739" spans="1:49">
      <c r="A1739" s="52"/>
      <c r="B1739" s="52"/>
      <c r="C1739" s="52"/>
      <c r="D1739" s="53"/>
      <c r="E1739" s="53"/>
      <c r="F1739" s="52"/>
      <c r="G1739" s="52"/>
      <c r="H1739" s="52"/>
      <c r="I1739" s="52"/>
      <c r="J1739" s="52"/>
      <c r="K1739" s="52"/>
      <c r="L1739" s="52"/>
      <c r="M1739" s="55"/>
      <c r="N1739" s="54"/>
      <c r="O1739" s="52"/>
      <c r="P1739" s="52"/>
      <c r="Q1739" s="52"/>
      <c r="R1739" s="52"/>
      <c r="S1739" s="52"/>
      <c r="T1739" s="52"/>
      <c r="U1739" s="52"/>
      <c r="V1739" s="52"/>
      <c r="W1739" s="52"/>
      <c r="X1739" s="52"/>
      <c r="Y1739" s="52"/>
      <c r="Z1739" s="52"/>
      <c r="AA1739" s="52"/>
      <c r="AB1739" s="52"/>
      <c r="AC1739" s="52"/>
      <c r="AD1739" s="52"/>
      <c r="AE1739" s="52"/>
      <c r="AF1739" s="52"/>
      <c r="AG1739" s="52"/>
      <c r="AH1739" s="52"/>
      <c r="AI1739" s="52"/>
      <c r="AJ1739" s="52"/>
      <c r="AK1739" s="52"/>
      <c r="AL1739" s="52"/>
      <c r="AM1739" s="52"/>
      <c r="AN1739" s="52"/>
      <c r="AO1739" s="52"/>
      <c r="AP1739" s="52"/>
      <c r="AQ1739" s="52"/>
      <c r="AR1739" s="52"/>
      <c r="AS1739" s="52"/>
      <c r="AT1739" s="52"/>
      <c r="AU1739" s="52"/>
      <c r="AV1739" s="52"/>
      <c r="AW1739" s="52"/>
    </row>
    <row r="1740" spans="1:49">
      <c r="A1740" s="52"/>
      <c r="B1740" s="52"/>
      <c r="C1740" s="52"/>
      <c r="D1740" s="53"/>
      <c r="E1740" s="53"/>
      <c r="F1740" s="52"/>
      <c r="G1740" s="52"/>
      <c r="H1740" s="52"/>
      <c r="I1740" s="52"/>
      <c r="J1740" s="52"/>
      <c r="K1740" s="52"/>
      <c r="L1740" s="52"/>
      <c r="M1740" s="52"/>
      <c r="N1740" s="52"/>
      <c r="O1740" s="52"/>
      <c r="P1740" s="52"/>
      <c r="Q1740" s="52"/>
      <c r="R1740" s="52"/>
      <c r="S1740" s="52"/>
      <c r="T1740" s="52"/>
      <c r="U1740" s="52"/>
      <c r="V1740" s="52"/>
      <c r="W1740" s="52"/>
      <c r="X1740" s="52"/>
      <c r="Y1740" s="52"/>
      <c r="Z1740" s="52"/>
      <c r="AA1740" s="52"/>
      <c r="AB1740" s="52"/>
      <c r="AC1740" s="52"/>
      <c r="AD1740" s="52"/>
      <c r="AE1740" s="52"/>
      <c r="AF1740" s="52"/>
      <c r="AG1740" s="52"/>
      <c r="AH1740" s="52"/>
      <c r="AI1740" s="52"/>
      <c r="AJ1740" s="52"/>
      <c r="AK1740" s="52"/>
      <c r="AL1740" s="52"/>
      <c r="AM1740" s="52"/>
      <c r="AN1740" s="52"/>
      <c r="AO1740" s="52"/>
      <c r="AP1740" s="52"/>
      <c r="AQ1740" s="52"/>
      <c r="AR1740" s="52"/>
      <c r="AS1740" s="52"/>
      <c r="AT1740" s="52"/>
      <c r="AU1740" s="52"/>
      <c r="AV1740" s="52"/>
      <c r="AW1740" s="52"/>
    </row>
    <row r="1741" spans="1:49">
      <c r="A1741" s="52"/>
      <c r="B1741" s="52"/>
      <c r="C1741" s="52"/>
      <c r="D1741" s="53"/>
      <c r="E1741" s="53"/>
      <c r="F1741" s="52"/>
      <c r="G1741" s="52"/>
      <c r="H1741" s="52"/>
      <c r="I1741" s="52"/>
      <c r="J1741" s="52"/>
      <c r="K1741" s="52"/>
      <c r="L1741" s="52"/>
      <c r="M1741" s="55"/>
      <c r="N1741" s="54"/>
      <c r="O1741" s="52"/>
      <c r="P1741" s="52"/>
      <c r="Q1741" s="52"/>
      <c r="R1741" s="52"/>
      <c r="S1741" s="52"/>
      <c r="T1741" s="52"/>
      <c r="U1741" s="52"/>
      <c r="V1741" s="52"/>
      <c r="W1741" s="52"/>
      <c r="X1741" s="52"/>
      <c r="Y1741" s="52"/>
      <c r="Z1741" s="52"/>
      <c r="AA1741" s="52"/>
      <c r="AB1741" s="52"/>
      <c r="AC1741" s="52"/>
      <c r="AD1741" s="52"/>
      <c r="AE1741" s="52"/>
      <c r="AF1741" s="52"/>
      <c r="AG1741" s="52"/>
      <c r="AH1741" s="52"/>
      <c r="AI1741" s="52"/>
      <c r="AJ1741" s="52"/>
      <c r="AK1741" s="52"/>
      <c r="AL1741" s="52"/>
      <c r="AM1741" s="52"/>
      <c r="AN1741" s="52"/>
      <c r="AO1741" s="52"/>
      <c r="AP1741" s="52"/>
      <c r="AQ1741" s="52"/>
      <c r="AR1741" s="52"/>
      <c r="AS1741" s="52"/>
      <c r="AT1741" s="52"/>
      <c r="AU1741" s="52"/>
      <c r="AV1741" s="52"/>
      <c r="AW1741" s="52"/>
    </row>
    <row r="1742" spans="1:49">
      <c r="A1742" s="52"/>
      <c r="B1742" s="52"/>
      <c r="C1742" s="52"/>
      <c r="D1742" s="53"/>
      <c r="E1742" s="53"/>
      <c r="F1742" s="52"/>
      <c r="G1742" s="52"/>
      <c r="H1742" s="52"/>
      <c r="I1742" s="52"/>
      <c r="J1742" s="52"/>
      <c r="K1742" s="52"/>
      <c r="L1742" s="52"/>
      <c r="M1742" s="52"/>
      <c r="N1742" s="52"/>
      <c r="O1742" s="52"/>
      <c r="P1742" s="52"/>
      <c r="Q1742" s="52"/>
      <c r="R1742" s="52"/>
      <c r="S1742" s="52"/>
      <c r="T1742" s="52"/>
      <c r="U1742" s="52"/>
      <c r="V1742" s="52"/>
      <c r="W1742" s="52"/>
      <c r="X1742" s="52"/>
      <c r="Y1742" s="52"/>
      <c r="Z1742" s="52"/>
      <c r="AA1742" s="52"/>
      <c r="AB1742" s="52"/>
      <c r="AC1742" s="52"/>
      <c r="AD1742" s="52"/>
      <c r="AE1742" s="52"/>
      <c r="AF1742" s="52"/>
      <c r="AG1742" s="52"/>
      <c r="AH1742" s="52"/>
      <c r="AI1742" s="52"/>
      <c r="AJ1742" s="52"/>
      <c r="AK1742" s="52"/>
      <c r="AL1742" s="52"/>
      <c r="AM1742" s="52"/>
      <c r="AN1742" s="52"/>
      <c r="AO1742" s="52"/>
      <c r="AP1742" s="52"/>
      <c r="AQ1742" s="52"/>
      <c r="AR1742" s="52"/>
      <c r="AS1742" s="52"/>
      <c r="AT1742" s="52"/>
      <c r="AU1742" s="52"/>
      <c r="AV1742" s="52"/>
      <c r="AW1742" s="52"/>
    </row>
    <row r="1743" spans="1:49">
      <c r="A1743" s="52"/>
      <c r="B1743" s="52"/>
      <c r="C1743" s="52"/>
      <c r="D1743" s="53"/>
      <c r="E1743" s="53"/>
      <c r="F1743" s="52"/>
      <c r="G1743" s="52"/>
      <c r="H1743" s="52"/>
      <c r="I1743" s="52"/>
      <c r="J1743" s="52"/>
      <c r="K1743" s="52"/>
      <c r="L1743" s="52"/>
      <c r="M1743" s="55"/>
      <c r="N1743" s="54"/>
      <c r="O1743" s="52"/>
      <c r="P1743" s="52"/>
      <c r="Q1743" s="52"/>
      <c r="R1743" s="52"/>
      <c r="S1743" s="52"/>
      <c r="T1743" s="52"/>
      <c r="U1743" s="52"/>
      <c r="V1743" s="52"/>
      <c r="W1743" s="52"/>
      <c r="X1743" s="52"/>
      <c r="Y1743" s="52"/>
      <c r="Z1743" s="52"/>
      <c r="AA1743" s="52"/>
      <c r="AB1743" s="52"/>
      <c r="AC1743" s="52"/>
      <c r="AD1743" s="52"/>
      <c r="AE1743" s="52"/>
      <c r="AF1743" s="52"/>
      <c r="AG1743" s="52"/>
      <c r="AH1743" s="52"/>
      <c r="AI1743" s="52"/>
      <c r="AJ1743" s="52"/>
      <c r="AK1743" s="52"/>
      <c r="AL1743" s="52"/>
      <c r="AM1743" s="52"/>
      <c r="AN1743" s="52"/>
      <c r="AO1743" s="52"/>
      <c r="AP1743" s="52"/>
      <c r="AQ1743" s="52"/>
      <c r="AR1743" s="52"/>
      <c r="AS1743" s="52"/>
      <c r="AT1743" s="52"/>
      <c r="AU1743" s="52"/>
      <c r="AV1743" s="52"/>
      <c r="AW1743" s="52"/>
    </row>
    <row r="1744" spans="1:49">
      <c r="A1744" s="52"/>
      <c r="B1744" s="52"/>
      <c r="C1744" s="52"/>
      <c r="D1744" s="53"/>
      <c r="E1744" s="53"/>
      <c r="F1744" s="52"/>
      <c r="G1744" s="52"/>
      <c r="H1744" s="52"/>
      <c r="I1744" s="52"/>
      <c r="J1744" s="52"/>
      <c r="K1744" s="52"/>
      <c r="L1744" s="52"/>
      <c r="M1744" s="52"/>
      <c r="N1744" s="52"/>
      <c r="O1744" s="52"/>
      <c r="P1744" s="52"/>
      <c r="Q1744" s="52"/>
      <c r="R1744" s="52"/>
      <c r="S1744" s="52"/>
      <c r="T1744" s="52"/>
      <c r="U1744" s="52"/>
      <c r="V1744" s="52"/>
      <c r="W1744" s="52"/>
      <c r="X1744" s="52"/>
      <c r="Y1744" s="52"/>
      <c r="Z1744" s="52"/>
      <c r="AA1744" s="52"/>
      <c r="AB1744" s="52"/>
      <c r="AC1744" s="52"/>
      <c r="AD1744" s="52"/>
      <c r="AE1744" s="52"/>
      <c r="AF1744" s="52"/>
      <c r="AG1744" s="52"/>
      <c r="AH1744" s="52"/>
      <c r="AI1744" s="52"/>
      <c r="AJ1744" s="52"/>
      <c r="AK1744" s="52"/>
      <c r="AL1744" s="52"/>
      <c r="AM1744" s="52"/>
      <c r="AN1744" s="52"/>
      <c r="AO1744" s="52"/>
      <c r="AP1744" s="52"/>
      <c r="AQ1744" s="52"/>
      <c r="AR1744" s="52"/>
      <c r="AS1744" s="52"/>
      <c r="AT1744" s="52"/>
      <c r="AU1744" s="52"/>
      <c r="AV1744" s="52"/>
      <c r="AW1744" s="52"/>
    </row>
    <row r="1745" spans="1:49">
      <c r="A1745" s="52"/>
      <c r="B1745" s="52"/>
      <c r="C1745" s="52"/>
      <c r="D1745" s="53"/>
      <c r="E1745" s="53"/>
      <c r="F1745" s="52"/>
      <c r="G1745" s="52"/>
      <c r="H1745" s="52"/>
      <c r="I1745" s="52"/>
      <c r="J1745" s="52"/>
      <c r="K1745" s="52"/>
      <c r="L1745" s="52"/>
      <c r="M1745" s="55"/>
      <c r="N1745" s="54"/>
      <c r="O1745" s="52"/>
      <c r="P1745" s="52"/>
      <c r="Q1745" s="52"/>
      <c r="R1745" s="52"/>
      <c r="S1745" s="52"/>
      <c r="T1745" s="52"/>
      <c r="U1745" s="52"/>
      <c r="V1745" s="52"/>
      <c r="W1745" s="52"/>
      <c r="X1745" s="52"/>
      <c r="Y1745" s="52"/>
      <c r="Z1745" s="52"/>
      <c r="AA1745" s="52"/>
      <c r="AB1745" s="52"/>
      <c r="AC1745" s="52"/>
      <c r="AD1745" s="52"/>
      <c r="AE1745" s="52"/>
      <c r="AF1745" s="52"/>
      <c r="AG1745" s="52"/>
      <c r="AH1745" s="52"/>
      <c r="AI1745" s="52"/>
      <c r="AJ1745" s="52"/>
      <c r="AK1745" s="52"/>
      <c r="AL1745" s="52"/>
      <c r="AM1745" s="52"/>
      <c r="AN1745" s="52"/>
      <c r="AO1745" s="52"/>
      <c r="AP1745" s="52"/>
      <c r="AQ1745" s="52"/>
      <c r="AR1745" s="52"/>
      <c r="AS1745" s="52"/>
      <c r="AT1745" s="52"/>
      <c r="AU1745" s="52"/>
      <c r="AV1745" s="52"/>
      <c r="AW1745" s="52"/>
    </row>
    <row r="1746" spans="1:49">
      <c r="A1746" s="52"/>
      <c r="B1746" s="52"/>
      <c r="C1746" s="52"/>
      <c r="D1746" s="53"/>
      <c r="E1746" s="53"/>
      <c r="F1746" s="52"/>
      <c r="G1746" s="52"/>
      <c r="H1746" s="52"/>
      <c r="I1746" s="52"/>
      <c r="J1746" s="52"/>
      <c r="K1746" s="52"/>
      <c r="L1746" s="52"/>
      <c r="M1746" s="52"/>
      <c r="N1746" s="52"/>
      <c r="O1746" s="52"/>
      <c r="P1746" s="52"/>
      <c r="Q1746" s="52"/>
      <c r="R1746" s="52"/>
      <c r="S1746" s="52"/>
      <c r="T1746" s="52"/>
      <c r="U1746" s="52"/>
      <c r="V1746" s="52"/>
      <c r="W1746" s="52"/>
      <c r="X1746" s="52"/>
      <c r="Y1746" s="52"/>
      <c r="Z1746" s="52"/>
      <c r="AA1746" s="52"/>
      <c r="AB1746" s="52"/>
      <c r="AC1746" s="52"/>
      <c r="AD1746" s="52"/>
      <c r="AE1746" s="52"/>
      <c r="AF1746" s="52"/>
      <c r="AG1746" s="52"/>
      <c r="AH1746" s="52"/>
      <c r="AI1746" s="52"/>
      <c r="AJ1746" s="52"/>
      <c r="AK1746" s="52"/>
      <c r="AL1746" s="52"/>
      <c r="AM1746" s="52"/>
      <c r="AN1746" s="52"/>
      <c r="AO1746" s="52"/>
      <c r="AP1746" s="52"/>
      <c r="AQ1746" s="52"/>
      <c r="AR1746" s="52"/>
      <c r="AS1746" s="52"/>
      <c r="AT1746" s="52"/>
      <c r="AU1746" s="52"/>
      <c r="AV1746" s="52"/>
      <c r="AW1746" s="52"/>
    </row>
    <row r="1747" spans="1:49">
      <c r="A1747" s="52"/>
      <c r="B1747" s="52"/>
      <c r="C1747" s="52"/>
      <c r="D1747" s="53"/>
      <c r="E1747" s="53"/>
      <c r="F1747" s="52"/>
      <c r="G1747" s="52"/>
      <c r="H1747" s="52"/>
      <c r="I1747" s="52"/>
      <c r="J1747" s="52"/>
      <c r="K1747" s="52"/>
      <c r="L1747" s="52"/>
      <c r="M1747" s="55"/>
      <c r="N1747" s="54"/>
      <c r="O1747" s="52"/>
      <c r="P1747" s="52"/>
      <c r="Q1747" s="52"/>
      <c r="R1747" s="52"/>
      <c r="S1747" s="52"/>
      <c r="T1747" s="52"/>
      <c r="U1747" s="52"/>
      <c r="V1747" s="52"/>
      <c r="W1747" s="52"/>
      <c r="X1747" s="52"/>
      <c r="Y1747" s="52"/>
      <c r="Z1747" s="52"/>
      <c r="AA1747" s="52"/>
      <c r="AB1747" s="52"/>
      <c r="AC1747" s="52"/>
      <c r="AD1747" s="52"/>
      <c r="AE1747" s="52"/>
      <c r="AF1747" s="52"/>
      <c r="AG1747" s="52"/>
      <c r="AH1747" s="52"/>
      <c r="AI1747" s="52"/>
      <c r="AJ1747" s="52"/>
      <c r="AK1747" s="52"/>
      <c r="AL1747" s="52"/>
      <c r="AM1747" s="52"/>
      <c r="AN1747" s="52"/>
      <c r="AO1747" s="52"/>
      <c r="AP1747" s="52"/>
      <c r="AQ1747" s="52"/>
      <c r="AR1747" s="52"/>
      <c r="AS1747" s="52"/>
      <c r="AT1747" s="52"/>
      <c r="AU1747" s="52"/>
      <c r="AV1747" s="52"/>
      <c r="AW1747" s="52"/>
    </row>
    <row r="1748" spans="1:49">
      <c r="A1748" s="52"/>
      <c r="B1748" s="52"/>
      <c r="C1748" s="52"/>
      <c r="D1748" s="53"/>
      <c r="E1748" s="53"/>
      <c r="F1748" s="52"/>
      <c r="G1748" s="52"/>
      <c r="H1748" s="52"/>
      <c r="I1748" s="52"/>
      <c r="J1748" s="52"/>
      <c r="K1748" s="52"/>
      <c r="L1748" s="52"/>
      <c r="M1748" s="52"/>
      <c r="N1748" s="52"/>
      <c r="O1748" s="52"/>
      <c r="P1748" s="52"/>
      <c r="Q1748" s="52"/>
      <c r="R1748" s="52"/>
      <c r="S1748" s="52"/>
      <c r="T1748" s="52"/>
      <c r="U1748" s="52"/>
      <c r="V1748" s="52"/>
      <c r="W1748" s="52"/>
      <c r="X1748" s="52"/>
      <c r="Y1748" s="52"/>
      <c r="Z1748" s="52"/>
      <c r="AA1748" s="52"/>
      <c r="AB1748" s="52"/>
      <c r="AC1748" s="52"/>
      <c r="AD1748" s="52"/>
      <c r="AE1748" s="52"/>
      <c r="AF1748" s="52"/>
      <c r="AG1748" s="52"/>
      <c r="AH1748" s="52"/>
      <c r="AI1748" s="52"/>
      <c r="AJ1748" s="52"/>
      <c r="AK1748" s="52"/>
      <c r="AL1748" s="52"/>
      <c r="AM1748" s="52"/>
      <c r="AN1748" s="52"/>
      <c r="AO1748" s="52"/>
      <c r="AP1748" s="52"/>
      <c r="AQ1748" s="52"/>
      <c r="AR1748" s="52"/>
      <c r="AS1748" s="52"/>
      <c r="AT1748" s="52"/>
      <c r="AU1748" s="52"/>
      <c r="AV1748" s="52"/>
      <c r="AW1748" s="52"/>
    </row>
    <row r="1749" spans="1:49">
      <c r="A1749" s="52"/>
      <c r="B1749" s="52"/>
      <c r="C1749" s="52"/>
      <c r="D1749" s="53"/>
      <c r="E1749" s="53"/>
      <c r="F1749" s="52"/>
      <c r="G1749" s="52"/>
      <c r="H1749" s="52"/>
      <c r="I1749" s="52"/>
      <c r="J1749" s="52"/>
      <c r="K1749" s="52"/>
      <c r="L1749" s="52"/>
      <c r="M1749" s="55"/>
      <c r="N1749" s="54"/>
      <c r="O1749" s="52"/>
      <c r="P1749" s="52"/>
      <c r="Q1749" s="52"/>
      <c r="R1749" s="52"/>
      <c r="S1749" s="52"/>
      <c r="T1749" s="52"/>
      <c r="U1749" s="52"/>
      <c r="V1749" s="52"/>
      <c r="W1749" s="52"/>
      <c r="X1749" s="52"/>
      <c r="Y1749" s="52"/>
      <c r="Z1749" s="52"/>
      <c r="AA1749" s="52"/>
      <c r="AB1749" s="52"/>
      <c r="AC1749" s="52"/>
      <c r="AD1749" s="52"/>
      <c r="AE1749" s="52"/>
      <c r="AF1749" s="52"/>
      <c r="AG1749" s="52"/>
      <c r="AH1749" s="52"/>
      <c r="AI1749" s="52"/>
      <c r="AJ1749" s="52"/>
      <c r="AK1749" s="52"/>
      <c r="AL1749" s="52"/>
      <c r="AM1749" s="52"/>
      <c r="AN1749" s="52"/>
      <c r="AO1749" s="52"/>
      <c r="AP1749" s="52"/>
      <c r="AQ1749" s="52"/>
      <c r="AR1749" s="52"/>
      <c r="AS1749" s="52"/>
      <c r="AT1749" s="52"/>
      <c r="AU1749" s="52"/>
      <c r="AV1749" s="52"/>
      <c r="AW1749" s="52"/>
    </row>
    <row r="1750" spans="1:49">
      <c r="A1750" s="52"/>
      <c r="B1750" s="52"/>
      <c r="C1750" s="52"/>
      <c r="D1750" s="53"/>
      <c r="E1750" s="53"/>
      <c r="F1750" s="52"/>
      <c r="G1750" s="52"/>
      <c r="H1750" s="52"/>
      <c r="I1750" s="52"/>
      <c r="J1750" s="52"/>
      <c r="K1750" s="52"/>
      <c r="L1750" s="52"/>
      <c r="M1750" s="52"/>
      <c r="N1750" s="52"/>
      <c r="O1750" s="52"/>
      <c r="P1750" s="52"/>
      <c r="Q1750" s="52"/>
      <c r="R1750" s="52"/>
      <c r="S1750" s="52"/>
      <c r="T1750" s="52"/>
      <c r="U1750" s="52"/>
      <c r="V1750" s="52"/>
      <c r="W1750" s="52"/>
      <c r="X1750" s="52"/>
      <c r="Y1750" s="52"/>
      <c r="Z1750" s="52"/>
      <c r="AA1750" s="52"/>
      <c r="AB1750" s="52"/>
      <c r="AC1750" s="52"/>
      <c r="AD1750" s="52"/>
      <c r="AE1750" s="52"/>
      <c r="AF1750" s="52"/>
      <c r="AG1750" s="52"/>
      <c r="AH1750" s="52"/>
      <c r="AI1750" s="52"/>
      <c r="AJ1750" s="52"/>
      <c r="AK1750" s="52"/>
      <c r="AL1750" s="52"/>
      <c r="AM1750" s="52"/>
      <c r="AN1750" s="52"/>
      <c r="AO1750" s="52"/>
      <c r="AP1750" s="52"/>
      <c r="AQ1750" s="52"/>
      <c r="AR1750" s="52"/>
      <c r="AS1750" s="52"/>
      <c r="AT1750" s="52"/>
      <c r="AU1750" s="52"/>
      <c r="AV1750" s="52"/>
      <c r="AW1750" s="52"/>
    </row>
    <row r="1751" spans="1:49">
      <c r="A1751" s="52"/>
      <c r="B1751" s="52"/>
      <c r="C1751" s="52"/>
      <c r="D1751" s="53"/>
      <c r="E1751" s="53"/>
      <c r="F1751" s="52"/>
      <c r="G1751" s="52"/>
      <c r="H1751" s="52"/>
      <c r="I1751" s="52"/>
      <c r="J1751" s="52"/>
      <c r="K1751" s="52"/>
      <c r="L1751" s="52"/>
      <c r="M1751" s="55"/>
      <c r="N1751" s="54"/>
      <c r="O1751" s="52"/>
      <c r="P1751" s="52"/>
      <c r="Q1751" s="52"/>
      <c r="R1751" s="52"/>
      <c r="S1751" s="52"/>
      <c r="T1751" s="52"/>
      <c r="U1751" s="52"/>
      <c r="V1751" s="52"/>
      <c r="W1751" s="52"/>
      <c r="X1751" s="52"/>
      <c r="Y1751" s="52"/>
      <c r="Z1751" s="52"/>
      <c r="AA1751" s="52"/>
      <c r="AB1751" s="52"/>
      <c r="AC1751" s="52"/>
      <c r="AD1751" s="52"/>
      <c r="AE1751" s="52"/>
      <c r="AF1751" s="52"/>
      <c r="AG1751" s="52"/>
      <c r="AH1751" s="52"/>
      <c r="AI1751" s="52"/>
      <c r="AJ1751" s="52"/>
      <c r="AK1751" s="52"/>
      <c r="AL1751" s="52"/>
      <c r="AM1751" s="52"/>
      <c r="AN1751" s="52"/>
      <c r="AO1751" s="52"/>
      <c r="AP1751" s="52"/>
      <c r="AQ1751" s="52"/>
      <c r="AR1751" s="52"/>
      <c r="AS1751" s="52"/>
      <c r="AT1751" s="52"/>
      <c r="AU1751" s="52"/>
      <c r="AV1751" s="52"/>
      <c r="AW1751" s="52"/>
    </row>
    <row r="1752" spans="1:49">
      <c r="A1752" s="52"/>
      <c r="B1752" s="52"/>
      <c r="C1752" s="52"/>
      <c r="D1752" s="53"/>
      <c r="E1752" s="53"/>
      <c r="F1752" s="52"/>
      <c r="G1752" s="52"/>
      <c r="H1752" s="52"/>
      <c r="I1752" s="52"/>
      <c r="J1752" s="52"/>
      <c r="K1752" s="52"/>
      <c r="L1752" s="52"/>
      <c r="M1752" s="52"/>
      <c r="N1752" s="52"/>
      <c r="O1752" s="52"/>
      <c r="P1752" s="52"/>
      <c r="Q1752" s="52"/>
      <c r="R1752" s="52"/>
      <c r="S1752" s="52"/>
      <c r="T1752" s="52"/>
      <c r="U1752" s="52"/>
      <c r="V1752" s="52"/>
      <c r="W1752" s="52"/>
      <c r="X1752" s="52"/>
      <c r="Y1752" s="52"/>
      <c r="Z1752" s="52"/>
      <c r="AA1752" s="52"/>
      <c r="AB1752" s="52"/>
      <c r="AC1752" s="52"/>
      <c r="AD1752" s="52"/>
      <c r="AE1752" s="52"/>
      <c r="AF1752" s="52"/>
      <c r="AG1752" s="52"/>
      <c r="AH1752" s="52"/>
      <c r="AI1752" s="52"/>
      <c r="AJ1752" s="52"/>
      <c r="AK1752" s="52"/>
      <c r="AL1752" s="52"/>
      <c r="AM1752" s="52"/>
      <c r="AN1752" s="52"/>
      <c r="AO1752" s="52"/>
      <c r="AP1752" s="52"/>
      <c r="AQ1752" s="52"/>
      <c r="AR1752" s="52"/>
      <c r="AS1752" s="52"/>
      <c r="AT1752" s="52"/>
      <c r="AU1752" s="52"/>
      <c r="AV1752" s="52"/>
      <c r="AW1752" s="52"/>
    </row>
    <row r="1753" spans="1:49">
      <c r="A1753" s="52"/>
      <c r="B1753" s="52"/>
      <c r="C1753" s="52"/>
      <c r="D1753" s="53"/>
      <c r="E1753" s="53"/>
      <c r="F1753" s="52"/>
      <c r="G1753" s="52"/>
      <c r="H1753" s="52"/>
      <c r="I1753" s="52"/>
      <c r="J1753" s="52"/>
      <c r="K1753" s="52"/>
      <c r="L1753" s="52"/>
      <c r="M1753" s="55"/>
      <c r="N1753" s="54"/>
      <c r="O1753" s="52"/>
      <c r="P1753" s="52"/>
      <c r="Q1753" s="52"/>
      <c r="R1753" s="52"/>
      <c r="S1753" s="52"/>
      <c r="T1753" s="52"/>
      <c r="U1753" s="52"/>
      <c r="V1753" s="52"/>
      <c r="W1753" s="52"/>
      <c r="X1753" s="52"/>
      <c r="Y1753" s="52"/>
      <c r="Z1753" s="52"/>
      <c r="AA1753" s="52"/>
      <c r="AB1753" s="52"/>
      <c r="AC1753" s="52"/>
      <c r="AD1753" s="52"/>
      <c r="AE1753" s="52"/>
      <c r="AF1753" s="52"/>
      <c r="AG1753" s="52"/>
      <c r="AH1753" s="52"/>
      <c r="AI1753" s="52"/>
      <c r="AJ1753" s="52"/>
      <c r="AK1753" s="52"/>
      <c r="AL1753" s="52"/>
      <c r="AM1753" s="52"/>
      <c r="AN1753" s="52"/>
      <c r="AO1753" s="52"/>
      <c r="AP1753" s="52"/>
      <c r="AQ1753" s="52"/>
      <c r="AR1753" s="52"/>
      <c r="AS1753" s="52"/>
      <c r="AT1753" s="52"/>
      <c r="AU1753" s="52"/>
      <c r="AV1753" s="52"/>
      <c r="AW1753" s="52"/>
    </row>
    <row r="1754" spans="1:49">
      <c r="A1754" s="52"/>
      <c r="B1754" s="52"/>
      <c r="C1754" s="52"/>
      <c r="D1754" s="53"/>
      <c r="E1754" s="53"/>
      <c r="F1754" s="52"/>
      <c r="G1754" s="52"/>
      <c r="H1754" s="52"/>
      <c r="I1754" s="52"/>
      <c r="J1754" s="52"/>
      <c r="K1754" s="52"/>
      <c r="L1754" s="52"/>
      <c r="M1754" s="52"/>
      <c r="N1754" s="52"/>
      <c r="O1754" s="52"/>
      <c r="P1754" s="52"/>
      <c r="Q1754" s="52"/>
      <c r="R1754" s="52"/>
      <c r="S1754" s="52"/>
      <c r="T1754" s="52"/>
      <c r="U1754" s="52"/>
      <c r="V1754" s="52"/>
      <c r="W1754" s="52"/>
      <c r="X1754" s="52"/>
      <c r="Y1754" s="52"/>
      <c r="Z1754" s="52"/>
      <c r="AA1754" s="52"/>
      <c r="AB1754" s="52"/>
      <c r="AC1754" s="52"/>
      <c r="AD1754" s="52"/>
      <c r="AE1754" s="52"/>
      <c r="AF1754" s="52"/>
      <c r="AG1754" s="52"/>
      <c r="AH1754" s="52"/>
      <c r="AI1754" s="52"/>
      <c r="AJ1754" s="52"/>
      <c r="AK1754" s="52"/>
      <c r="AL1754" s="52"/>
      <c r="AM1754" s="52"/>
      <c r="AN1754" s="52"/>
      <c r="AO1754" s="52"/>
      <c r="AP1754" s="52"/>
      <c r="AQ1754" s="52"/>
      <c r="AR1754" s="52"/>
      <c r="AS1754" s="52"/>
      <c r="AT1754" s="52"/>
      <c r="AU1754" s="52"/>
      <c r="AV1754" s="52"/>
      <c r="AW1754" s="52"/>
    </row>
    <row r="1755" spans="1:49">
      <c r="A1755" s="52"/>
      <c r="B1755" s="52"/>
      <c r="C1755" s="52"/>
      <c r="D1755" s="53"/>
      <c r="E1755" s="53"/>
      <c r="F1755" s="52"/>
      <c r="G1755" s="52"/>
      <c r="H1755" s="52"/>
      <c r="I1755" s="52"/>
      <c r="J1755" s="52"/>
      <c r="K1755" s="52"/>
      <c r="L1755" s="52"/>
      <c r="M1755" s="55"/>
      <c r="N1755" s="54"/>
      <c r="O1755" s="52"/>
      <c r="P1755" s="52"/>
      <c r="Q1755" s="52"/>
      <c r="R1755" s="52"/>
      <c r="S1755" s="52"/>
      <c r="T1755" s="52"/>
      <c r="U1755" s="52"/>
      <c r="V1755" s="52"/>
      <c r="W1755" s="52"/>
      <c r="X1755" s="52"/>
      <c r="Y1755" s="52"/>
      <c r="Z1755" s="52"/>
      <c r="AA1755" s="52"/>
      <c r="AB1755" s="52"/>
      <c r="AC1755" s="52"/>
      <c r="AD1755" s="52"/>
      <c r="AE1755" s="52"/>
      <c r="AF1755" s="52"/>
      <c r="AG1755" s="52"/>
      <c r="AH1755" s="52"/>
      <c r="AI1755" s="52"/>
      <c r="AJ1755" s="52"/>
      <c r="AK1755" s="52"/>
      <c r="AL1755" s="52"/>
      <c r="AM1755" s="52"/>
      <c r="AN1755" s="52"/>
      <c r="AO1755" s="52"/>
      <c r="AP1755" s="52"/>
      <c r="AQ1755" s="52"/>
      <c r="AR1755" s="52"/>
      <c r="AS1755" s="52"/>
      <c r="AT1755" s="52"/>
      <c r="AU1755" s="52"/>
      <c r="AV1755" s="52"/>
      <c r="AW1755" s="52"/>
    </row>
    <row r="1756" spans="1:49">
      <c r="A1756" s="52"/>
      <c r="B1756" s="52"/>
      <c r="C1756" s="52"/>
      <c r="D1756" s="53"/>
      <c r="E1756" s="53"/>
      <c r="F1756" s="52"/>
      <c r="G1756" s="52"/>
      <c r="H1756" s="52"/>
      <c r="I1756" s="52"/>
      <c r="J1756" s="52"/>
      <c r="K1756" s="52"/>
      <c r="L1756" s="52"/>
      <c r="M1756" s="52"/>
      <c r="N1756" s="52"/>
      <c r="O1756" s="52"/>
      <c r="P1756" s="52"/>
      <c r="Q1756" s="52"/>
      <c r="R1756" s="52"/>
      <c r="S1756" s="52"/>
      <c r="T1756" s="52"/>
      <c r="U1756" s="52"/>
      <c r="V1756" s="52"/>
      <c r="W1756" s="52"/>
      <c r="X1756" s="52"/>
      <c r="Y1756" s="52"/>
      <c r="Z1756" s="52"/>
      <c r="AA1756" s="52"/>
      <c r="AB1756" s="52"/>
      <c r="AC1756" s="52"/>
      <c r="AD1756" s="52"/>
      <c r="AE1756" s="52"/>
      <c r="AF1756" s="52"/>
      <c r="AG1756" s="52"/>
      <c r="AH1756" s="52"/>
      <c r="AI1756" s="52"/>
      <c r="AJ1756" s="52"/>
      <c r="AK1756" s="52"/>
      <c r="AL1756" s="52"/>
      <c r="AM1756" s="52"/>
      <c r="AN1756" s="52"/>
      <c r="AO1756" s="52"/>
      <c r="AP1756" s="52"/>
      <c r="AQ1756" s="52"/>
      <c r="AR1756" s="52"/>
      <c r="AS1756" s="52"/>
      <c r="AT1756" s="52"/>
      <c r="AU1756" s="52"/>
      <c r="AV1756" s="52"/>
      <c r="AW1756" s="52"/>
    </row>
    <row r="1757" spans="1:49">
      <c r="A1757" s="52"/>
      <c r="B1757" s="52"/>
      <c r="C1757" s="52"/>
      <c r="D1757" s="53"/>
      <c r="E1757" s="53"/>
      <c r="F1757" s="53"/>
      <c r="G1757" s="53"/>
      <c r="H1757" s="53"/>
      <c r="I1757" s="52"/>
      <c r="J1757" s="52"/>
      <c r="K1757" s="53"/>
      <c r="L1757" s="52"/>
      <c r="M1757" s="54"/>
      <c r="N1757" s="54"/>
      <c r="O1757" s="52"/>
      <c r="P1757" s="52"/>
      <c r="Q1757" s="52"/>
      <c r="R1757" s="52"/>
      <c r="S1757" s="52"/>
      <c r="T1757" s="52"/>
      <c r="U1757" s="52"/>
      <c r="V1757" s="52"/>
      <c r="W1757" s="52"/>
      <c r="X1757" s="52"/>
      <c r="Y1757" s="52"/>
      <c r="Z1757" s="52"/>
      <c r="AA1757" s="52"/>
      <c r="AB1757" s="52"/>
      <c r="AC1757" s="52"/>
      <c r="AD1757" s="52"/>
      <c r="AE1757" s="52"/>
      <c r="AF1757" s="52"/>
      <c r="AG1757" s="52"/>
      <c r="AH1757" s="52"/>
      <c r="AI1757" s="52"/>
      <c r="AJ1757" s="52"/>
      <c r="AK1757" s="52"/>
      <c r="AL1757" s="55"/>
      <c r="AM1757" s="52"/>
      <c r="AN1757" s="52"/>
      <c r="AO1757" s="52"/>
      <c r="AP1757" s="52"/>
      <c r="AQ1757" s="52"/>
      <c r="AR1757" s="52"/>
      <c r="AS1757" s="52"/>
      <c r="AT1757" s="52"/>
      <c r="AU1757" s="52"/>
      <c r="AV1757" s="52"/>
      <c r="AW1757" s="52"/>
    </row>
    <row r="1758" spans="1:49">
      <c r="A1758" s="52"/>
      <c r="B1758" s="52"/>
      <c r="C1758" s="52"/>
      <c r="D1758" s="53"/>
      <c r="E1758" s="53"/>
      <c r="F1758" s="53"/>
      <c r="G1758" s="53"/>
      <c r="H1758" s="53"/>
      <c r="I1758" s="52"/>
      <c r="J1758" s="52"/>
      <c r="K1758" s="53"/>
      <c r="L1758" s="52"/>
      <c r="M1758" s="54"/>
      <c r="N1758" s="54"/>
      <c r="O1758" s="52"/>
      <c r="P1758" s="52"/>
      <c r="Q1758" s="52"/>
      <c r="R1758" s="52"/>
      <c r="S1758" s="52"/>
      <c r="T1758" s="52"/>
      <c r="U1758" s="52"/>
      <c r="V1758" s="52"/>
      <c r="W1758" s="52"/>
      <c r="X1758" s="52"/>
      <c r="Y1758" s="52"/>
      <c r="Z1758" s="52"/>
      <c r="AA1758" s="52"/>
      <c r="AB1758" s="52"/>
      <c r="AC1758" s="52"/>
      <c r="AD1758" s="52"/>
      <c r="AE1758" s="52"/>
      <c r="AF1758" s="52"/>
      <c r="AG1758" s="52"/>
      <c r="AH1758" s="52"/>
      <c r="AI1758" s="52"/>
      <c r="AJ1758" s="52"/>
      <c r="AK1758" s="52"/>
      <c r="AL1758" s="55"/>
      <c r="AM1758" s="52"/>
      <c r="AN1758" s="52"/>
      <c r="AO1758" s="52"/>
      <c r="AP1758" s="52"/>
      <c r="AQ1758" s="52"/>
      <c r="AR1758" s="52"/>
      <c r="AS1758" s="52"/>
      <c r="AT1758" s="52"/>
      <c r="AU1758" s="52"/>
      <c r="AV1758" s="52"/>
      <c r="AW1758" s="52"/>
    </row>
    <row r="1759" spans="1:49">
      <c r="A1759" s="52"/>
      <c r="B1759" s="52"/>
      <c r="C1759" s="52"/>
      <c r="D1759" s="53"/>
      <c r="E1759" s="53"/>
      <c r="F1759" s="53"/>
      <c r="G1759" s="53"/>
      <c r="H1759" s="53"/>
      <c r="I1759" s="52"/>
      <c r="J1759" s="52"/>
      <c r="K1759" s="53"/>
      <c r="L1759" s="52"/>
      <c r="M1759" s="54"/>
      <c r="N1759" s="54"/>
      <c r="O1759" s="52"/>
      <c r="P1759" s="52"/>
      <c r="Q1759" s="52"/>
      <c r="R1759" s="52"/>
      <c r="S1759" s="52"/>
      <c r="T1759" s="52"/>
      <c r="U1759" s="52"/>
      <c r="V1759" s="52"/>
      <c r="W1759" s="52"/>
      <c r="X1759" s="52"/>
      <c r="Y1759" s="52"/>
      <c r="Z1759" s="52"/>
      <c r="AA1759" s="52"/>
      <c r="AB1759" s="52"/>
      <c r="AC1759" s="52"/>
      <c r="AD1759" s="52"/>
      <c r="AE1759" s="52"/>
      <c r="AF1759" s="52"/>
      <c r="AG1759" s="52"/>
      <c r="AH1759" s="52"/>
      <c r="AI1759" s="53"/>
      <c r="AJ1759" s="53"/>
      <c r="AK1759" s="53"/>
      <c r="AL1759" s="55"/>
      <c r="AM1759" s="52"/>
      <c r="AN1759" s="55"/>
      <c r="AO1759" s="55"/>
      <c r="AP1759" s="55"/>
      <c r="AQ1759" s="52"/>
      <c r="AR1759" s="52"/>
      <c r="AS1759" s="52"/>
      <c r="AT1759" s="52"/>
      <c r="AU1759" s="52"/>
      <c r="AV1759" s="52"/>
      <c r="AW1759" s="52"/>
    </row>
    <row r="1760" spans="1:49">
      <c r="A1760" s="52"/>
      <c r="B1760" s="52"/>
      <c r="C1760" s="52"/>
      <c r="D1760" s="53"/>
      <c r="E1760" s="53"/>
      <c r="F1760" s="53"/>
      <c r="G1760" s="53"/>
      <c r="H1760" s="53"/>
      <c r="I1760" s="52"/>
      <c r="J1760" s="52"/>
      <c r="K1760" s="53"/>
      <c r="L1760" s="52"/>
      <c r="M1760" s="54"/>
      <c r="N1760" s="54"/>
      <c r="O1760" s="52"/>
      <c r="P1760" s="52"/>
      <c r="Q1760" s="52"/>
      <c r="R1760" s="52"/>
      <c r="S1760" s="52"/>
      <c r="T1760" s="52"/>
      <c r="U1760" s="52"/>
      <c r="V1760" s="52"/>
      <c r="W1760" s="52"/>
      <c r="X1760" s="52"/>
      <c r="Y1760" s="52"/>
      <c r="Z1760" s="52"/>
      <c r="AA1760" s="52"/>
      <c r="AB1760" s="52"/>
      <c r="AC1760" s="52"/>
      <c r="AD1760" s="52"/>
      <c r="AE1760" s="52"/>
      <c r="AF1760" s="52"/>
      <c r="AG1760" s="52"/>
      <c r="AH1760" s="52"/>
      <c r="AI1760" s="53"/>
      <c r="AJ1760" s="53"/>
      <c r="AK1760" s="53"/>
      <c r="AL1760" s="55"/>
      <c r="AM1760" s="52"/>
      <c r="AN1760" s="55"/>
      <c r="AO1760" s="55"/>
      <c r="AP1760" s="55"/>
      <c r="AQ1760" s="52"/>
      <c r="AR1760" s="52"/>
      <c r="AS1760" s="52"/>
      <c r="AT1760" s="52"/>
      <c r="AU1760" s="52"/>
      <c r="AV1760" s="52"/>
      <c r="AW1760" s="52"/>
    </row>
    <row r="1761" spans="1:49">
      <c r="A1761" s="52"/>
      <c r="B1761" s="52"/>
      <c r="C1761" s="52"/>
      <c r="D1761" s="53"/>
      <c r="E1761" s="53"/>
      <c r="F1761" s="52"/>
      <c r="G1761" s="52"/>
      <c r="H1761" s="52"/>
      <c r="I1761" s="52"/>
      <c r="J1761" s="52"/>
      <c r="K1761" s="52"/>
      <c r="L1761" s="52"/>
      <c r="M1761" s="54"/>
      <c r="N1761" s="54"/>
      <c r="O1761" s="52"/>
      <c r="P1761" s="52"/>
      <c r="Q1761" s="52"/>
      <c r="R1761" s="52"/>
      <c r="S1761" s="52"/>
      <c r="T1761" s="52"/>
      <c r="U1761" s="52"/>
      <c r="V1761" s="52"/>
      <c r="W1761" s="52"/>
      <c r="X1761" s="52"/>
      <c r="Y1761" s="52"/>
      <c r="Z1761" s="52"/>
      <c r="AA1761" s="52"/>
      <c r="AB1761" s="52"/>
      <c r="AC1761" s="52"/>
      <c r="AD1761" s="52"/>
      <c r="AE1761" s="52"/>
      <c r="AF1761" s="52"/>
      <c r="AG1761" s="52"/>
      <c r="AH1761" s="52"/>
      <c r="AI1761" s="52"/>
      <c r="AJ1761" s="52"/>
      <c r="AK1761" s="52"/>
      <c r="AL1761" s="52"/>
      <c r="AM1761" s="52"/>
      <c r="AN1761" s="52"/>
      <c r="AO1761" s="52"/>
      <c r="AP1761" s="52"/>
      <c r="AQ1761" s="52"/>
      <c r="AR1761" s="52"/>
      <c r="AS1761" s="52"/>
      <c r="AT1761" s="52"/>
      <c r="AU1761" s="52"/>
      <c r="AV1761" s="52"/>
      <c r="AW1761" s="52"/>
    </row>
    <row r="1762" spans="1:49">
      <c r="A1762" s="52"/>
      <c r="B1762" s="52"/>
      <c r="C1762" s="52"/>
      <c r="D1762" s="53"/>
      <c r="E1762" s="53"/>
      <c r="F1762" s="52"/>
      <c r="G1762" s="52"/>
      <c r="H1762" s="52"/>
      <c r="I1762" s="52"/>
      <c r="J1762" s="52"/>
      <c r="K1762" s="52"/>
      <c r="L1762" s="52"/>
      <c r="M1762" s="52"/>
      <c r="N1762" s="52"/>
      <c r="O1762" s="52"/>
      <c r="P1762" s="52"/>
      <c r="Q1762" s="52"/>
      <c r="R1762" s="52"/>
      <c r="S1762" s="52"/>
      <c r="T1762" s="52"/>
      <c r="U1762" s="52"/>
      <c r="V1762" s="52"/>
      <c r="W1762" s="52"/>
      <c r="X1762" s="52"/>
      <c r="Y1762" s="52"/>
      <c r="Z1762" s="52"/>
      <c r="AA1762" s="52"/>
      <c r="AB1762" s="52"/>
      <c r="AC1762" s="52"/>
      <c r="AD1762" s="52"/>
      <c r="AE1762" s="52"/>
      <c r="AF1762" s="52"/>
      <c r="AG1762" s="52"/>
      <c r="AH1762" s="52"/>
      <c r="AI1762" s="52"/>
      <c r="AJ1762" s="52"/>
      <c r="AK1762" s="52"/>
      <c r="AL1762" s="52"/>
      <c r="AM1762" s="52"/>
      <c r="AN1762" s="52"/>
      <c r="AO1762" s="52"/>
      <c r="AP1762" s="52"/>
      <c r="AQ1762" s="52"/>
      <c r="AR1762" s="52"/>
      <c r="AS1762" s="52"/>
      <c r="AT1762" s="52"/>
      <c r="AU1762" s="52"/>
      <c r="AV1762" s="52"/>
      <c r="AW1762" s="52"/>
    </row>
    <row r="1763" spans="1:49">
      <c r="A1763" s="52"/>
      <c r="B1763" s="52"/>
      <c r="C1763" s="52"/>
      <c r="D1763" s="53"/>
      <c r="E1763" s="53"/>
      <c r="F1763" s="53"/>
      <c r="G1763" s="53"/>
      <c r="H1763" s="53"/>
      <c r="I1763" s="52"/>
      <c r="J1763" s="52"/>
      <c r="K1763" s="53"/>
      <c r="L1763" s="52"/>
      <c r="M1763" s="54"/>
      <c r="N1763" s="54"/>
      <c r="O1763" s="52"/>
      <c r="P1763" s="52"/>
      <c r="Q1763" s="52"/>
      <c r="R1763" s="52"/>
      <c r="S1763" s="52"/>
      <c r="T1763" s="52"/>
      <c r="U1763" s="52"/>
      <c r="V1763" s="52"/>
      <c r="W1763" s="52"/>
      <c r="X1763" s="52"/>
      <c r="Y1763" s="52"/>
      <c r="Z1763" s="52"/>
      <c r="AA1763" s="52"/>
      <c r="AB1763" s="52"/>
      <c r="AC1763" s="52"/>
      <c r="AD1763" s="52"/>
      <c r="AE1763" s="52"/>
      <c r="AF1763" s="52"/>
      <c r="AG1763" s="52"/>
      <c r="AH1763" s="52"/>
      <c r="AI1763" s="52"/>
      <c r="AJ1763" s="52"/>
      <c r="AK1763" s="52"/>
      <c r="AL1763" s="52"/>
      <c r="AM1763" s="52"/>
      <c r="AN1763" s="52"/>
      <c r="AO1763" s="52"/>
      <c r="AP1763" s="52"/>
      <c r="AQ1763" s="52"/>
      <c r="AR1763" s="52"/>
      <c r="AS1763" s="52"/>
      <c r="AT1763" s="52"/>
      <c r="AU1763" s="52"/>
      <c r="AV1763" s="52"/>
      <c r="AW1763" s="52"/>
    </row>
    <row r="1764" spans="1:49">
      <c r="A1764" s="52"/>
      <c r="B1764" s="52"/>
      <c r="C1764" s="52"/>
      <c r="D1764" s="53"/>
      <c r="E1764" s="53"/>
      <c r="F1764" s="53"/>
      <c r="G1764" s="53"/>
      <c r="H1764" s="53"/>
      <c r="I1764" s="52"/>
      <c r="J1764" s="52"/>
      <c r="K1764" s="53"/>
      <c r="L1764" s="52"/>
      <c r="M1764" s="54"/>
      <c r="N1764" s="54"/>
      <c r="O1764" s="52"/>
      <c r="P1764" s="52"/>
      <c r="Q1764" s="52"/>
      <c r="R1764" s="52"/>
      <c r="S1764" s="52"/>
      <c r="T1764" s="52"/>
      <c r="U1764" s="52"/>
      <c r="V1764" s="52"/>
      <c r="W1764" s="52"/>
      <c r="X1764" s="52"/>
      <c r="Y1764" s="52"/>
      <c r="Z1764" s="52"/>
      <c r="AA1764" s="52"/>
      <c r="AB1764" s="52"/>
      <c r="AC1764" s="52"/>
      <c r="AD1764" s="52"/>
      <c r="AE1764" s="52"/>
      <c r="AF1764" s="52"/>
      <c r="AG1764" s="52"/>
      <c r="AH1764" s="52"/>
      <c r="AI1764" s="52"/>
      <c r="AJ1764" s="52"/>
      <c r="AK1764" s="52"/>
      <c r="AL1764" s="55"/>
      <c r="AM1764" s="52"/>
      <c r="AN1764" s="52"/>
      <c r="AO1764" s="55"/>
      <c r="AP1764" s="55"/>
      <c r="AQ1764" s="52"/>
      <c r="AR1764" s="52"/>
      <c r="AS1764" s="52"/>
      <c r="AT1764" s="52"/>
      <c r="AU1764" s="52"/>
      <c r="AV1764" s="52"/>
      <c r="AW1764" s="52"/>
    </row>
    <row r="1765" spans="1:49">
      <c r="A1765" s="52"/>
      <c r="B1765" s="52"/>
      <c r="C1765" s="52"/>
      <c r="D1765" s="53"/>
      <c r="E1765" s="53"/>
      <c r="F1765" s="53"/>
      <c r="G1765" s="53"/>
      <c r="H1765" s="53"/>
      <c r="I1765" s="52"/>
      <c r="J1765" s="52"/>
      <c r="K1765" s="53"/>
      <c r="L1765" s="52"/>
      <c r="M1765" s="54"/>
      <c r="N1765" s="54"/>
      <c r="O1765" s="52"/>
      <c r="P1765" s="52"/>
      <c r="Q1765" s="52"/>
      <c r="R1765" s="52"/>
      <c r="S1765" s="52"/>
      <c r="T1765" s="52"/>
      <c r="U1765" s="52"/>
      <c r="V1765" s="52"/>
      <c r="W1765" s="52"/>
      <c r="X1765" s="52"/>
      <c r="Y1765" s="52"/>
      <c r="Z1765" s="52"/>
      <c r="AA1765" s="52"/>
      <c r="AB1765" s="52"/>
      <c r="AC1765" s="52"/>
      <c r="AD1765" s="52"/>
      <c r="AE1765" s="52"/>
      <c r="AF1765" s="52"/>
      <c r="AG1765" s="52"/>
      <c r="AH1765" s="52"/>
      <c r="AI1765" s="52"/>
      <c r="AJ1765" s="52"/>
      <c r="AK1765" s="52"/>
      <c r="AL1765" s="55"/>
      <c r="AM1765" s="52"/>
      <c r="AN1765" s="52"/>
      <c r="AO1765" s="55"/>
      <c r="AP1765" s="55"/>
      <c r="AQ1765" s="52"/>
      <c r="AR1765" s="52"/>
      <c r="AS1765" s="52"/>
      <c r="AT1765" s="52"/>
      <c r="AU1765" s="52"/>
      <c r="AV1765" s="52"/>
      <c r="AW1765" s="52"/>
    </row>
    <row r="1766" spans="1:49">
      <c r="A1766" s="52"/>
      <c r="B1766" s="52"/>
      <c r="C1766" s="52"/>
      <c r="D1766" s="53"/>
      <c r="E1766" s="53"/>
      <c r="F1766" s="53"/>
      <c r="G1766" s="53"/>
      <c r="H1766" s="53"/>
      <c r="I1766" s="52"/>
      <c r="J1766" s="52"/>
      <c r="K1766" s="53"/>
      <c r="L1766" s="52"/>
      <c r="M1766" s="54"/>
      <c r="N1766" s="54"/>
      <c r="O1766" s="52"/>
      <c r="P1766" s="52"/>
      <c r="Q1766" s="52"/>
      <c r="R1766" s="52"/>
      <c r="S1766" s="52"/>
      <c r="T1766" s="52"/>
      <c r="U1766" s="52"/>
      <c r="V1766" s="52"/>
      <c r="W1766" s="52"/>
      <c r="X1766" s="52"/>
      <c r="Y1766" s="52"/>
      <c r="Z1766" s="52"/>
      <c r="AA1766" s="52"/>
      <c r="AB1766" s="52"/>
      <c r="AC1766" s="52"/>
      <c r="AD1766" s="52"/>
      <c r="AE1766" s="52"/>
      <c r="AF1766" s="52"/>
      <c r="AG1766" s="52"/>
      <c r="AH1766" s="52"/>
      <c r="AI1766" s="52"/>
      <c r="AJ1766" s="52"/>
      <c r="AK1766" s="52"/>
      <c r="AL1766" s="55"/>
      <c r="AM1766" s="52"/>
      <c r="AN1766" s="52"/>
      <c r="AO1766" s="52"/>
      <c r="AP1766" s="52"/>
      <c r="AQ1766" s="52"/>
      <c r="AR1766" s="52"/>
      <c r="AS1766" s="52"/>
      <c r="AT1766" s="52"/>
      <c r="AU1766" s="52"/>
      <c r="AV1766" s="52"/>
      <c r="AW1766" s="52"/>
    </row>
    <row r="1767" spans="1:49">
      <c r="A1767" s="52"/>
      <c r="B1767" s="52"/>
      <c r="C1767" s="52"/>
      <c r="D1767" s="53"/>
      <c r="E1767" s="53"/>
      <c r="F1767" s="53"/>
      <c r="G1767" s="53"/>
      <c r="H1767" s="53"/>
      <c r="I1767" s="52"/>
      <c r="J1767" s="52"/>
      <c r="K1767" s="53"/>
      <c r="L1767" s="52"/>
      <c r="M1767" s="54"/>
      <c r="N1767" s="54"/>
      <c r="O1767" s="52"/>
      <c r="P1767" s="52"/>
      <c r="Q1767" s="52"/>
      <c r="R1767" s="52"/>
      <c r="S1767" s="52"/>
      <c r="T1767" s="52"/>
      <c r="U1767" s="52"/>
      <c r="V1767" s="52"/>
      <c r="W1767" s="52"/>
      <c r="X1767" s="52"/>
      <c r="Y1767" s="52"/>
      <c r="Z1767" s="52"/>
      <c r="AA1767" s="52"/>
      <c r="AB1767" s="52"/>
      <c r="AC1767" s="52"/>
      <c r="AD1767" s="52"/>
      <c r="AE1767" s="52"/>
      <c r="AF1767" s="52"/>
      <c r="AG1767" s="52"/>
      <c r="AH1767" s="52"/>
      <c r="AI1767" s="53"/>
      <c r="AJ1767" s="53"/>
      <c r="AK1767" s="53"/>
      <c r="AL1767" s="55"/>
      <c r="AM1767" s="52"/>
      <c r="AN1767" s="55"/>
      <c r="AO1767" s="55"/>
      <c r="AP1767" s="55"/>
      <c r="AQ1767" s="52"/>
      <c r="AR1767" s="52"/>
      <c r="AS1767" s="52"/>
      <c r="AT1767" s="52"/>
      <c r="AU1767" s="52"/>
      <c r="AV1767" s="52"/>
      <c r="AW1767" s="52"/>
    </row>
    <row r="1768" spans="1:49">
      <c r="A1768" s="52"/>
      <c r="B1768" s="52"/>
      <c r="C1768" s="52"/>
      <c r="D1768" s="53"/>
      <c r="E1768" s="53"/>
      <c r="F1768" s="53"/>
      <c r="G1768" s="53"/>
      <c r="H1768" s="53"/>
      <c r="I1768" s="52"/>
      <c r="J1768" s="52"/>
      <c r="K1768" s="53"/>
      <c r="L1768" s="52"/>
      <c r="M1768" s="54"/>
      <c r="N1768" s="54"/>
      <c r="O1768" s="52"/>
      <c r="P1768" s="52"/>
      <c r="Q1768" s="52"/>
      <c r="R1768" s="52"/>
      <c r="S1768" s="52"/>
      <c r="T1768" s="52"/>
      <c r="U1768" s="52"/>
      <c r="V1768" s="52"/>
      <c r="W1768" s="52"/>
      <c r="X1768" s="52"/>
      <c r="Y1768" s="52"/>
      <c r="Z1768" s="52"/>
      <c r="AA1768" s="52"/>
      <c r="AB1768" s="52"/>
      <c r="AC1768" s="52"/>
      <c r="AD1768" s="52"/>
      <c r="AE1768" s="52"/>
      <c r="AF1768" s="52"/>
      <c r="AG1768" s="52"/>
      <c r="AH1768" s="52"/>
      <c r="AI1768" s="53"/>
      <c r="AJ1768" s="53"/>
      <c r="AK1768" s="53"/>
      <c r="AL1768" s="55"/>
      <c r="AM1768" s="52"/>
      <c r="AN1768" s="55"/>
      <c r="AO1768" s="55"/>
      <c r="AP1768" s="55"/>
      <c r="AQ1768" s="52"/>
      <c r="AR1768" s="52"/>
      <c r="AS1768" s="52"/>
      <c r="AT1768" s="52"/>
      <c r="AU1768" s="52"/>
      <c r="AV1768" s="52"/>
      <c r="AW1768" s="52"/>
    </row>
    <row r="1769" spans="1:49">
      <c r="A1769" s="52"/>
      <c r="B1769" s="52"/>
      <c r="C1769" s="52"/>
      <c r="D1769" s="53"/>
      <c r="E1769" s="53"/>
      <c r="F1769" s="52"/>
      <c r="G1769" s="52"/>
      <c r="H1769" s="52"/>
      <c r="I1769" s="52"/>
      <c r="J1769" s="52"/>
      <c r="K1769" s="52"/>
      <c r="L1769" s="52"/>
      <c r="M1769" s="54"/>
      <c r="N1769" s="54"/>
      <c r="O1769" s="52"/>
      <c r="P1769" s="52"/>
      <c r="Q1769" s="52"/>
      <c r="R1769" s="52"/>
      <c r="S1769" s="52"/>
      <c r="T1769" s="52"/>
      <c r="U1769" s="52"/>
      <c r="V1769" s="52"/>
      <c r="W1769" s="52"/>
      <c r="X1769" s="52"/>
      <c r="Y1769" s="52"/>
      <c r="Z1769" s="52"/>
      <c r="AA1769" s="52"/>
      <c r="AB1769" s="52"/>
      <c r="AC1769" s="52"/>
      <c r="AD1769" s="52"/>
      <c r="AE1769" s="52"/>
      <c r="AF1769" s="52"/>
      <c r="AG1769" s="52"/>
      <c r="AH1769" s="52"/>
      <c r="AI1769" s="52"/>
      <c r="AJ1769" s="52"/>
      <c r="AK1769" s="52"/>
      <c r="AL1769" s="52"/>
      <c r="AM1769" s="52"/>
      <c r="AN1769" s="52"/>
      <c r="AO1769" s="52"/>
      <c r="AP1769" s="52"/>
      <c r="AQ1769" s="52"/>
      <c r="AR1769" s="52"/>
      <c r="AS1769" s="52"/>
      <c r="AT1769" s="52"/>
      <c r="AU1769" s="52"/>
      <c r="AV1769" s="52"/>
      <c r="AW1769" s="52"/>
    </row>
    <row r="1770" spans="1:49">
      <c r="A1770" s="52"/>
      <c r="B1770" s="52"/>
      <c r="C1770" s="52"/>
      <c r="D1770" s="53"/>
      <c r="E1770" s="53"/>
      <c r="F1770" s="52"/>
      <c r="G1770" s="52"/>
      <c r="H1770" s="52"/>
      <c r="I1770" s="52"/>
      <c r="J1770" s="52"/>
      <c r="K1770" s="52"/>
      <c r="L1770" s="52"/>
      <c r="M1770" s="52"/>
      <c r="N1770" s="52"/>
      <c r="O1770" s="52"/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2"/>
      <c r="AA1770" s="52"/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2"/>
      <c r="AM1770" s="52"/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</row>
    <row r="1771" spans="1:49">
      <c r="A1771" s="52"/>
      <c r="B1771" s="52"/>
      <c r="C1771" s="52"/>
      <c r="D1771" s="53"/>
      <c r="E1771" s="53"/>
      <c r="F1771" s="53"/>
      <c r="G1771" s="53"/>
      <c r="H1771" s="53"/>
      <c r="I1771" s="52"/>
      <c r="J1771" s="52"/>
      <c r="K1771" s="53"/>
      <c r="L1771" s="52"/>
      <c r="M1771" s="54"/>
      <c r="N1771" s="54"/>
      <c r="O1771" s="52"/>
      <c r="P1771" s="52"/>
      <c r="Q1771" s="52"/>
      <c r="R1771" s="52"/>
      <c r="S1771" s="52"/>
      <c r="T1771" s="52"/>
      <c r="U1771" s="52"/>
      <c r="V1771" s="52"/>
      <c r="W1771" s="52"/>
      <c r="X1771" s="52"/>
      <c r="Y1771" s="52"/>
      <c r="Z1771" s="52"/>
      <c r="AA1771" s="52"/>
      <c r="AB1771" s="52"/>
      <c r="AC1771" s="52"/>
      <c r="AD1771" s="52"/>
      <c r="AE1771" s="52"/>
      <c r="AF1771" s="52"/>
      <c r="AG1771" s="52"/>
      <c r="AH1771" s="52"/>
      <c r="AI1771" s="52"/>
      <c r="AJ1771" s="52"/>
      <c r="AK1771" s="52"/>
      <c r="AL1771" s="52"/>
      <c r="AM1771" s="52"/>
      <c r="AN1771" s="52"/>
      <c r="AO1771" s="52"/>
      <c r="AP1771" s="52"/>
      <c r="AQ1771" s="52"/>
      <c r="AR1771" s="52"/>
      <c r="AS1771" s="52"/>
      <c r="AT1771" s="52"/>
      <c r="AU1771" s="52"/>
      <c r="AV1771" s="52"/>
      <c r="AW1771" s="52"/>
    </row>
    <row r="1772" spans="1:49">
      <c r="A1772" s="52"/>
      <c r="B1772" s="52"/>
      <c r="C1772" s="52"/>
      <c r="D1772" s="53"/>
      <c r="E1772" s="53"/>
      <c r="F1772" s="53"/>
      <c r="G1772" s="53"/>
      <c r="H1772" s="52"/>
      <c r="I1772" s="52"/>
      <c r="J1772" s="52"/>
      <c r="K1772" s="52"/>
      <c r="L1772" s="52"/>
      <c r="M1772" s="54"/>
      <c r="N1772" s="54"/>
      <c r="O1772" s="52"/>
      <c r="P1772" s="52"/>
      <c r="Q1772" s="52"/>
      <c r="R1772" s="52"/>
      <c r="S1772" s="52"/>
      <c r="T1772" s="52"/>
      <c r="U1772" s="52"/>
      <c r="V1772" s="52"/>
      <c r="W1772" s="52"/>
      <c r="X1772" s="52"/>
      <c r="Y1772" s="52"/>
      <c r="Z1772" s="52"/>
      <c r="AA1772" s="52"/>
      <c r="AB1772" s="52"/>
      <c r="AC1772" s="52"/>
      <c r="AD1772" s="52"/>
      <c r="AE1772" s="52"/>
      <c r="AF1772" s="52"/>
      <c r="AG1772" s="52"/>
      <c r="AH1772" s="52"/>
      <c r="AI1772" s="52"/>
      <c r="AJ1772" s="52"/>
      <c r="AK1772" s="52"/>
      <c r="AL1772" s="52"/>
      <c r="AM1772" s="52"/>
      <c r="AN1772" s="52"/>
      <c r="AO1772" s="52"/>
      <c r="AP1772" s="52"/>
      <c r="AQ1772" s="52"/>
      <c r="AR1772" s="52"/>
      <c r="AS1772" s="52"/>
      <c r="AT1772" s="52"/>
      <c r="AU1772" s="52"/>
      <c r="AV1772" s="52"/>
      <c r="AW1772" s="52"/>
    </row>
    <row r="1773" spans="1:49">
      <c r="A1773" s="52"/>
      <c r="B1773" s="52"/>
      <c r="C1773" s="52"/>
      <c r="D1773" s="53"/>
      <c r="E1773" s="53"/>
      <c r="F1773" s="53"/>
      <c r="G1773" s="53"/>
      <c r="H1773" s="52"/>
      <c r="I1773" s="52"/>
      <c r="J1773" s="52"/>
      <c r="K1773" s="52"/>
      <c r="L1773" s="52"/>
      <c r="M1773" s="54"/>
      <c r="N1773" s="54"/>
      <c r="O1773" s="52"/>
      <c r="P1773" s="52"/>
      <c r="Q1773" s="52"/>
      <c r="R1773" s="52"/>
      <c r="S1773" s="52"/>
      <c r="T1773" s="52"/>
      <c r="U1773" s="52"/>
      <c r="V1773" s="52"/>
      <c r="W1773" s="52"/>
      <c r="X1773" s="52"/>
      <c r="Y1773" s="52"/>
      <c r="Z1773" s="52"/>
      <c r="AA1773" s="52"/>
      <c r="AB1773" s="52"/>
      <c r="AC1773" s="52"/>
      <c r="AD1773" s="52"/>
      <c r="AE1773" s="52"/>
      <c r="AF1773" s="52"/>
      <c r="AG1773" s="52"/>
      <c r="AH1773" s="52"/>
      <c r="AI1773" s="52"/>
      <c r="AJ1773" s="52"/>
      <c r="AK1773" s="52"/>
      <c r="AL1773" s="52"/>
      <c r="AM1773" s="52"/>
      <c r="AN1773" s="52"/>
      <c r="AO1773" s="52"/>
      <c r="AP1773" s="52"/>
      <c r="AQ1773" s="52"/>
      <c r="AR1773" s="52"/>
      <c r="AS1773" s="52"/>
      <c r="AT1773" s="52"/>
      <c r="AU1773" s="52"/>
      <c r="AV1773" s="52"/>
      <c r="AW1773" s="52"/>
    </row>
    <row r="1774" spans="1:49">
      <c r="A1774" s="52"/>
      <c r="B1774" s="52"/>
      <c r="C1774" s="52"/>
      <c r="D1774" s="53"/>
      <c r="E1774" s="53"/>
      <c r="F1774" s="53"/>
      <c r="G1774" s="53"/>
      <c r="H1774" s="53"/>
      <c r="I1774" s="52"/>
      <c r="J1774" s="52"/>
      <c r="K1774" s="52"/>
      <c r="L1774" s="52"/>
      <c r="M1774" s="54"/>
      <c r="N1774" s="54"/>
      <c r="O1774" s="52"/>
      <c r="P1774" s="52"/>
      <c r="Q1774" s="52"/>
      <c r="R1774" s="52"/>
      <c r="S1774" s="52"/>
      <c r="T1774" s="52"/>
      <c r="U1774" s="52"/>
      <c r="V1774" s="52"/>
      <c r="W1774" s="52"/>
      <c r="X1774" s="52"/>
      <c r="Y1774" s="52"/>
      <c r="Z1774" s="52"/>
      <c r="AA1774" s="52"/>
      <c r="AB1774" s="52"/>
      <c r="AC1774" s="52"/>
      <c r="AD1774" s="52"/>
      <c r="AE1774" s="52"/>
      <c r="AF1774" s="52"/>
      <c r="AG1774" s="52"/>
      <c r="AH1774" s="52"/>
      <c r="AI1774" s="52"/>
      <c r="AJ1774" s="52"/>
      <c r="AK1774" s="52"/>
      <c r="AL1774" s="55"/>
      <c r="AM1774" s="52"/>
      <c r="AN1774" s="52"/>
      <c r="AO1774" s="52"/>
      <c r="AP1774" s="55"/>
      <c r="AQ1774" s="52"/>
      <c r="AR1774" s="52"/>
      <c r="AS1774" s="52"/>
      <c r="AT1774" s="52"/>
      <c r="AU1774" s="52"/>
      <c r="AV1774" s="52"/>
      <c r="AW1774" s="52"/>
    </row>
    <row r="1775" spans="1:49">
      <c r="A1775" s="52"/>
      <c r="B1775" s="52"/>
      <c r="C1775" s="52"/>
      <c r="D1775" s="53"/>
      <c r="E1775" s="53"/>
      <c r="F1775" s="53"/>
      <c r="G1775" s="53"/>
      <c r="H1775" s="53"/>
      <c r="I1775" s="52"/>
      <c r="J1775" s="52"/>
      <c r="K1775" s="52"/>
      <c r="L1775" s="52"/>
      <c r="M1775" s="54"/>
      <c r="N1775" s="54"/>
      <c r="O1775" s="52"/>
      <c r="P1775" s="52"/>
      <c r="Q1775" s="52"/>
      <c r="R1775" s="52"/>
      <c r="S1775" s="52"/>
      <c r="T1775" s="52"/>
      <c r="U1775" s="52"/>
      <c r="V1775" s="52"/>
      <c r="W1775" s="52"/>
      <c r="X1775" s="52"/>
      <c r="Y1775" s="52"/>
      <c r="Z1775" s="52"/>
      <c r="AA1775" s="52"/>
      <c r="AB1775" s="52"/>
      <c r="AC1775" s="52"/>
      <c r="AD1775" s="52"/>
      <c r="AE1775" s="52"/>
      <c r="AF1775" s="52"/>
      <c r="AG1775" s="52"/>
      <c r="AH1775" s="52"/>
      <c r="AI1775" s="52"/>
      <c r="AJ1775" s="52"/>
      <c r="AK1775" s="52"/>
      <c r="AL1775" s="55"/>
      <c r="AM1775" s="52"/>
      <c r="AN1775" s="52"/>
      <c r="AO1775" s="52"/>
      <c r="AP1775" s="55"/>
      <c r="AQ1775" s="52"/>
      <c r="AR1775" s="52"/>
      <c r="AS1775" s="52"/>
      <c r="AT1775" s="52"/>
      <c r="AU1775" s="52"/>
      <c r="AV1775" s="52"/>
      <c r="AW1775" s="52"/>
    </row>
    <row r="1776" spans="1:49">
      <c r="A1776" s="52"/>
      <c r="B1776" s="52"/>
      <c r="C1776" s="52"/>
      <c r="D1776" s="53"/>
      <c r="E1776" s="53"/>
      <c r="F1776" s="52"/>
      <c r="G1776" s="52"/>
      <c r="H1776" s="52"/>
      <c r="I1776" s="52"/>
      <c r="J1776" s="52"/>
      <c r="K1776" s="52"/>
      <c r="L1776" s="52"/>
      <c r="M1776" s="54"/>
      <c r="N1776" s="55"/>
      <c r="O1776" s="52"/>
      <c r="P1776" s="52"/>
      <c r="Q1776" s="52"/>
      <c r="R1776" s="52"/>
      <c r="S1776" s="52"/>
      <c r="T1776" s="52"/>
      <c r="U1776" s="52"/>
      <c r="V1776" s="52"/>
      <c r="W1776" s="52"/>
      <c r="X1776" s="52"/>
      <c r="Y1776" s="52"/>
      <c r="Z1776" s="52"/>
      <c r="AA1776" s="52"/>
      <c r="AB1776" s="52"/>
      <c r="AC1776" s="52"/>
      <c r="AD1776" s="52"/>
      <c r="AE1776" s="52"/>
      <c r="AF1776" s="52"/>
      <c r="AG1776" s="52"/>
      <c r="AH1776" s="52"/>
      <c r="AI1776" s="52"/>
      <c r="AJ1776" s="52"/>
      <c r="AK1776" s="52"/>
      <c r="AL1776" s="52"/>
      <c r="AM1776" s="52"/>
      <c r="AN1776" s="52"/>
      <c r="AO1776" s="52"/>
      <c r="AP1776" s="52"/>
      <c r="AQ1776" s="52"/>
      <c r="AR1776" s="52"/>
      <c r="AS1776" s="52"/>
      <c r="AT1776" s="52"/>
      <c r="AU1776" s="52"/>
      <c r="AV1776" s="52"/>
      <c r="AW1776" s="52"/>
    </row>
    <row r="1777" spans="1:49">
      <c r="A1777" s="52"/>
      <c r="B1777" s="52"/>
      <c r="C1777" s="52"/>
      <c r="D1777" s="53"/>
      <c r="E1777" s="53"/>
      <c r="F1777" s="52"/>
      <c r="G1777" s="52"/>
      <c r="H1777" s="52"/>
      <c r="I1777" s="52"/>
      <c r="J1777" s="52"/>
      <c r="K1777" s="52"/>
      <c r="L1777" s="52"/>
      <c r="M1777" s="52"/>
      <c r="N1777" s="52"/>
      <c r="O1777" s="52"/>
      <c r="P1777" s="52"/>
      <c r="Q1777" s="52"/>
      <c r="R1777" s="52"/>
      <c r="S1777" s="52"/>
      <c r="T1777" s="52"/>
      <c r="U1777" s="52"/>
      <c r="V1777" s="52"/>
      <c r="W1777" s="52"/>
      <c r="X1777" s="52"/>
      <c r="Y1777" s="52"/>
      <c r="Z1777" s="52"/>
      <c r="AA1777" s="52"/>
      <c r="AB1777" s="52"/>
      <c r="AC1777" s="52"/>
      <c r="AD1777" s="52"/>
      <c r="AE1777" s="52"/>
      <c r="AF1777" s="52"/>
      <c r="AG1777" s="52"/>
      <c r="AH1777" s="52"/>
      <c r="AI1777" s="52"/>
      <c r="AJ1777" s="52"/>
      <c r="AK1777" s="52"/>
      <c r="AL1777" s="52"/>
      <c r="AM1777" s="52"/>
      <c r="AN1777" s="52"/>
      <c r="AO1777" s="52"/>
      <c r="AP1777" s="52"/>
      <c r="AQ1777" s="52"/>
      <c r="AR1777" s="52"/>
      <c r="AS1777" s="52"/>
      <c r="AT1777" s="52"/>
      <c r="AU1777" s="52"/>
      <c r="AV1777" s="52"/>
      <c r="AW1777" s="52"/>
    </row>
    <row r="1778" spans="1:49">
      <c r="A1778" s="52"/>
      <c r="B1778" s="52"/>
      <c r="C1778" s="52"/>
      <c r="D1778" s="53"/>
      <c r="E1778" s="53"/>
      <c r="F1778" s="53"/>
      <c r="G1778" s="53"/>
      <c r="H1778" s="53"/>
      <c r="I1778" s="52"/>
      <c r="J1778" s="52"/>
      <c r="K1778" s="53"/>
      <c r="L1778" s="52"/>
      <c r="M1778" s="54"/>
      <c r="N1778" s="54"/>
      <c r="O1778" s="52"/>
      <c r="P1778" s="52"/>
      <c r="Q1778" s="52"/>
      <c r="R1778" s="52"/>
      <c r="S1778" s="52"/>
      <c r="T1778" s="52"/>
      <c r="U1778" s="52"/>
      <c r="V1778" s="52"/>
      <c r="W1778" s="52"/>
      <c r="X1778" s="52"/>
      <c r="Y1778" s="52"/>
      <c r="Z1778" s="52"/>
      <c r="AA1778" s="52"/>
      <c r="AB1778" s="52"/>
      <c r="AC1778" s="52"/>
      <c r="AD1778" s="52"/>
      <c r="AE1778" s="52"/>
      <c r="AF1778" s="52"/>
      <c r="AG1778" s="52"/>
      <c r="AH1778" s="52"/>
      <c r="AI1778" s="52"/>
      <c r="AJ1778" s="52"/>
      <c r="AK1778" s="52"/>
      <c r="AL1778" s="52"/>
      <c r="AM1778" s="52"/>
      <c r="AN1778" s="52"/>
      <c r="AO1778" s="52"/>
      <c r="AP1778" s="52"/>
      <c r="AQ1778" s="52"/>
      <c r="AR1778" s="52"/>
      <c r="AS1778" s="52"/>
      <c r="AT1778" s="52"/>
      <c r="AU1778" s="52"/>
      <c r="AV1778" s="52"/>
      <c r="AW1778" s="52"/>
    </row>
    <row r="1779" spans="1:49">
      <c r="A1779" s="52"/>
      <c r="B1779" s="52"/>
      <c r="C1779" s="52"/>
      <c r="D1779" s="53"/>
      <c r="E1779" s="53"/>
      <c r="F1779" s="53"/>
      <c r="G1779" s="53"/>
      <c r="H1779" s="53"/>
      <c r="I1779" s="52"/>
      <c r="J1779" s="52"/>
      <c r="K1779" s="53"/>
      <c r="L1779" s="52"/>
      <c r="M1779" s="54"/>
      <c r="N1779" s="54"/>
      <c r="O1779" s="52"/>
      <c r="P1779" s="52"/>
      <c r="Q1779" s="52"/>
      <c r="R1779" s="52"/>
      <c r="S1779" s="52"/>
      <c r="T1779" s="52"/>
      <c r="U1779" s="52"/>
      <c r="V1779" s="52"/>
      <c r="W1779" s="52"/>
      <c r="X1779" s="52"/>
      <c r="Y1779" s="52"/>
      <c r="Z1779" s="52"/>
      <c r="AA1779" s="52"/>
      <c r="AB1779" s="52"/>
      <c r="AC1779" s="52"/>
      <c r="AD1779" s="52"/>
      <c r="AE1779" s="52"/>
      <c r="AF1779" s="52"/>
      <c r="AG1779" s="52"/>
      <c r="AH1779" s="52"/>
      <c r="AI1779" s="52"/>
      <c r="AJ1779" s="52"/>
      <c r="AK1779" s="52"/>
      <c r="AL1779" s="52"/>
      <c r="AM1779" s="52"/>
      <c r="AN1779" s="52"/>
      <c r="AO1779" s="52"/>
      <c r="AP1779" s="52"/>
      <c r="AQ1779" s="52"/>
      <c r="AR1779" s="52"/>
      <c r="AS1779" s="52"/>
      <c r="AT1779" s="52"/>
      <c r="AU1779" s="52"/>
      <c r="AV1779" s="52"/>
      <c r="AW1779" s="52"/>
    </row>
    <row r="1780" spans="1:49">
      <c r="A1780" s="52"/>
      <c r="B1780" s="52"/>
      <c r="C1780" s="52"/>
      <c r="D1780" s="53"/>
      <c r="E1780" s="53"/>
      <c r="F1780" s="53"/>
      <c r="G1780" s="53"/>
      <c r="H1780" s="53"/>
      <c r="I1780" s="52"/>
      <c r="J1780" s="52"/>
      <c r="K1780" s="53"/>
      <c r="L1780" s="52"/>
      <c r="M1780" s="54"/>
      <c r="N1780" s="54"/>
      <c r="O1780" s="52"/>
      <c r="P1780" s="52"/>
      <c r="Q1780" s="52"/>
      <c r="R1780" s="52"/>
      <c r="S1780" s="52"/>
      <c r="T1780" s="52"/>
      <c r="U1780" s="52"/>
      <c r="V1780" s="52"/>
      <c r="W1780" s="52"/>
      <c r="X1780" s="52"/>
      <c r="Y1780" s="52"/>
      <c r="Z1780" s="52"/>
      <c r="AA1780" s="52"/>
      <c r="AB1780" s="52"/>
      <c r="AC1780" s="52"/>
      <c r="AD1780" s="52"/>
      <c r="AE1780" s="52"/>
      <c r="AF1780" s="52"/>
      <c r="AG1780" s="52"/>
      <c r="AH1780" s="52"/>
      <c r="AI1780" s="52"/>
      <c r="AJ1780" s="52"/>
      <c r="AK1780" s="52"/>
      <c r="AL1780" s="55"/>
      <c r="AM1780" s="52"/>
      <c r="AN1780" s="52"/>
      <c r="AO1780" s="55"/>
      <c r="AP1780" s="55"/>
      <c r="AQ1780" s="52"/>
      <c r="AR1780" s="52"/>
      <c r="AS1780" s="52"/>
      <c r="AT1780" s="52"/>
      <c r="AU1780" s="52"/>
      <c r="AV1780" s="52"/>
      <c r="AW1780" s="52"/>
    </row>
    <row r="1781" spans="1:49">
      <c r="A1781" s="52"/>
      <c r="B1781" s="52"/>
      <c r="C1781" s="52"/>
      <c r="D1781" s="53"/>
      <c r="E1781" s="53"/>
      <c r="F1781" s="53"/>
      <c r="G1781" s="53"/>
      <c r="H1781" s="53"/>
      <c r="I1781" s="52"/>
      <c r="J1781" s="52"/>
      <c r="K1781" s="53"/>
      <c r="L1781" s="52"/>
      <c r="M1781" s="54"/>
      <c r="N1781" s="54"/>
      <c r="O1781" s="52"/>
      <c r="P1781" s="52"/>
      <c r="Q1781" s="52"/>
      <c r="R1781" s="52"/>
      <c r="S1781" s="52"/>
      <c r="T1781" s="52"/>
      <c r="U1781" s="52"/>
      <c r="V1781" s="52"/>
      <c r="W1781" s="52"/>
      <c r="X1781" s="52"/>
      <c r="Y1781" s="52"/>
      <c r="Z1781" s="52"/>
      <c r="AA1781" s="52"/>
      <c r="AB1781" s="52"/>
      <c r="AC1781" s="52"/>
      <c r="AD1781" s="52"/>
      <c r="AE1781" s="52"/>
      <c r="AF1781" s="52"/>
      <c r="AG1781" s="52"/>
      <c r="AH1781" s="52"/>
      <c r="AI1781" s="52"/>
      <c r="AJ1781" s="52"/>
      <c r="AK1781" s="52"/>
      <c r="AL1781" s="55"/>
      <c r="AM1781" s="52"/>
      <c r="AN1781" s="52"/>
      <c r="AO1781" s="55"/>
      <c r="AP1781" s="55"/>
      <c r="AQ1781" s="52"/>
      <c r="AR1781" s="52"/>
      <c r="AS1781" s="52"/>
      <c r="AT1781" s="52"/>
      <c r="AU1781" s="52"/>
      <c r="AV1781" s="52"/>
      <c r="AW1781" s="52"/>
    </row>
    <row r="1782" spans="1:49">
      <c r="A1782" s="52"/>
      <c r="B1782" s="52"/>
      <c r="C1782" s="52"/>
      <c r="D1782" s="53"/>
      <c r="E1782" s="53"/>
      <c r="F1782" s="53"/>
      <c r="G1782" s="53"/>
      <c r="H1782" s="53"/>
      <c r="I1782" s="52"/>
      <c r="J1782" s="52"/>
      <c r="K1782" s="53"/>
      <c r="L1782" s="52"/>
      <c r="M1782" s="54"/>
      <c r="N1782" s="54"/>
      <c r="O1782" s="52"/>
      <c r="P1782" s="52"/>
      <c r="Q1782" s="52"/>
      <c r="R1782" s="52"/>
      <c r="S1782" s="52"/>
      <c r="T1782" s="52"/>
      <c r="U1782" s="52"/>
      <c r="V1782" s="52"/>
      <c r="W1782" s="52"/>
      <c r="X1782" s="52"/>
      <c r="Y1782" s="52"/>
      <c r="Z1782" s="52"/>
      <c r="AA1782" s="52"/>
      <c r="AB1782" s="52"/>
      <c r="AC1782" s="52"/>
      <c r="AD1782" s="52"/>
      <c r="AE1782" s="52"/>
      <c r="AF1782" s="52"/>
      <c r="AG1782" s="52"/>
      <c r="AH1782" s="52"/>
      <c r="AI1782" s="52"/>
      <c r="AJ1782" s="52"/>
      <c r="AK1782" s="52"/>
      <c r="AL1782" s="52"/>
      <c r="AM1782" s="52"/>
      <c r="AN1782" s="52"/>
      <c r="AO1782" s="52"/>
      <c r="AP1782" s="52"/>
      <c r="AQ1782" s="52"/>
      <c r="AR1782" s="52"/>
      <c r="AS1782" s="52"/>
      <c r="AT1782" s="52"/>
      <c r="AU1782" s="52"/>
      <c r="AV1782" s="52"/>
      <c r="AW1782" s="52"/>
    </row>
    <row r="1783" spans="1:49">
      <c r="A1783" s="52"/>
      <c r="B1783" s="52"/>
      <c r="C1783" s="52"/>
      <c r="D1783" s="53"/>
      <c r="E1783" s="53"/>
      <c r="F1783" s="53"/>
      <c r="G1783" s="53"/>
      <c r="H1783" s="53"/>
      <c r="I1783" s="52"/>
      <c r="J1783" s="52"/>
      <c r="K1783" s="53"/>
      <c r="L1783" s="52"/>
      <c r="M1783" s="54"/>
      <c r="N1783" s="54"/>
      <c r="O1783" s="52"/>
      <c r="P1783" s="52"/>
      <c r="Q1783" s="52"/>
      <c r="R1783" s="52"/>
      <c r="S1783" s="52"/>
      <c r="T1783" s="52"/>
      <c r="U1783" s="52"/>
      <c r="V1783" s="52"/>
      <c r="W1783" s="52"/>
      <c r="X1783" s="52"/>
      <c r="Y1783" s="52"/>
      <c r="Z1783" s="52"/>
      <c r="AA1783" s="52"/>
      <c r="AB1783" s="52"/>
      <c r="AC1783" s="52"/>
      <c r="AD1783" s="52"/>
      <c r="AE1783" s="52"/>
      <c r="AF1783" s="52"/>
      <c r="AG1783" s="52"/>
      <c r="AH1783" s="52"/>
      <c r="AI1783" s="52"/>
      <c r="AJ1783" s="52"/>
      <c r="AK1783" s="52"/>
      <c r="AL1783" s="52"/>
      <c r="AM1783" s="52"/>
      <c r="AN1783" s="52"/>
      <c r="AO1783" s="52"/>
      <c r="AP1783" s="52"/>
      <c r="AQ1783" s="52"/>
      <c r="AR1783" s="52"/>
      <c r="AS1783" s="52"/>
      <c r="AT1783" s="52"/>
      <c r="AU1783" s="52"/>
      <c r="AV1783" s="52"/>
      <c r="AW1783" s="52"/>
    </row>
    <row r="1784" spans="1:49">
      <c r="A1784" s="52"/>
      <c r="B1784" s="52"/>
      <c r="C1784" s="52"/>
      <c r="D1784" s="53"/>
      <c r="E1784" s="53"/>
      <c r="F1784" s="53"/>
      <c r="G1784" s="53"/>
      <c r="H1784" s="53"/>
      <c r="I1784" s="52"/>
      <c r="J1784" s="52"/>
      <c r="K1784" s="53"/>
      <c r="L1784" s="52"/>
      <c r="M1784" s="54"/>
      <c r="N1784" s="54"/>
      <c r="O1784" s="52"/>
      <c r="P1784" s="52"/>
      <c r="Q1784" s="52"/>
      <c r="R1784" s="52"/>
      <c r="S1784" s="52"/>
      <c r="T1784" s="52"/>
      <c r="U1784" s="52"/>
      <c r="V1784" s="52"/>
      <c r="W1784" s="52"/>
      <c r="X1784" s="52"/>
      <c r="Y1784" s="52"/>
      <c r="Z1784" s="52"/>
      <c r="AA1784" s="52"/>
      <c r="AB1784" s="52"/>
      <c r="AC1784" s="52"/>
      <c r="AD1784" s="52"/>
      <c r="AE1784" s="52"/>
      <c r="AF1784" s="52"/>
      <c r="AG1784" s="52"/>
      <c r="AH1784" s="52"/>
      <c r="AI1784" s="52"/>
      <c r="AJ1784" s="52"/>
      <c r="AK1784" s="52"/>
      <c r="AL1784" s="55"/>
      <c r="AM1784" s="52"/>
      <c r="AN1784" s="52"/>
      <c r="AO1784" s="55"/>
      <c r="AP1784" s="55"/>
      <c r="AQ1784" s="52"/>
      <c r="AR1784" s="52"/>
      <c r="AS1784" s="52"/>
      <c r="AT1784" s="52"/>
      <c r="AU1784" s="52"/>
      <c r="AV1784" s="52"/>
      <c r="AW1784" s="52"/>
    </row>
    <row r="1785" spans="1:49">
      <c r="A1785" s="52"/>
      <c r="B1785" s="52"/>
      <c r="C1785" s="52"/>
      <c r="D1785" s="53"/>
      <c r="E1785" s="53"/>
      <c r="F1785" s="53"/>
      <c r="G1785" s="53"/>
      <c r="H1785" s="53"/>
      <c r="I1785" s="52"/>
      <c r="J1785" s="52"/>
      <c r="K1785" s="53"/>
      <c r="L1785" s="52"/>
      <c r="M1785" s="54"/>
      <c r="N1785" s="54"/>
      <c r="O1785" s="52"/>
      <c r="P1785" s="52"/>
      <c r="Q1785" s="52"/>
      <c r="R1785" s="52"/>
      <c r="S1785" s="52"/>
      <c r="T1785" s="52"/>
      <c r="U1785" s="52"/>
      <c r="V1785" s="52"/>
      <c r="W1785" s="52"/>
      <c r="X1785" s="52"/>
      <c r="Y1785" s="52"/>
      <c r="Z1785" s="52"/>
      <c r="AA1785" s="52"/>
      <c r="AB1785" s="52"/>
      <c r="AC1785" s="52"/>
      <c r="AD1785" s="52"/>
      <c r="AE1785" s="52"/>
      <c r="AF1785" s="52"/>
      <c r="AG1785" s="52"/>
      <c r="AH1785" s="52"/>
      <c r="AI1785" s="52"/>
      <c r="AJ1785" s="52"/>
      <c r="AK1785" s="52"/>
      <c r="AL1785" s="55"/>
      <c r="AM1785" s="52"/>
      <c r="AN1785" s="52"/>
      <c r="AO1785" s="55"/>
      <c r="AP1785" s="55"/>
      <c r="AQ1785" s="52"/>
      <c r="AR1785" s="52"/>
      <c r="AS1785" s="52"/>
      <c r="AT1785" s="52"/>
      <c r="AU1785" s="52"/>
      <c r="AV1785" s="52"/>
      <c r="AW1785" s="52"/>
    </row>
    <row r="1786" spans="1:49">
      <c r="A1786" s="52"/>
      <c r="B1786" s="52"/>
      <c r="C1786" s="52"/>
      <c r="D1786" s="53"/>
      <c r="E1786" s="53"/>
      <c r="F1786" s="53"/>
      <c r="G1786" s="53"/>
      <c r="H1786" s="53"/>
      <c r="I1786" s="52"/>
      <c r="J1786" s="52"/>
      <c r="K1786" s="53"/>
      <c r="L1786" s="52"/>
      <c r="M1786" s="54"/>
      <c r="N1786" s="54"/>
      <c r="O1786" s="52"/>
      <c r="P1786" s="52"/>
      <c r="Q1786" s="52"/>
      <c r="R1786" s="52"/>
      <c r="S1786" s="52"/>
      <c r="T1786" s="52"/>
      <c r="U1786" s="52"/>
      <c r="V1786" s="52"/>
      <c r="W1786" s="52"/>
      <c r="X1786" s="52"/>
      <c r="Y1786" s="52"/>
      <c r="Z1786" s="52"/>
      <c r="AA1786" s="52"/>
      <c r="AB1786" s="52"/>
      <c r="AC1786" s="52"/>
      <c r="AD1786" s="52"/>
      <c r="AE1786" s="52"/>
      <c r="AF1786" s="52"/>
      <c r="AG1786" s="52"/>
      <c r="AH1786" s="52"/>
      <c r="AI1786" s="52"/>
      <c r="AJ1786" s="52"/>
      <c r="AK1786" s="52"/>
      <c r="AL1786" s="52"/>
      <c r="AM1786" s="52"/>
      <c r="AN1786" s="52"/>
      <c r="AO1786" s="52"/>
      <c r="AP1786" s="52"/>
      <c r="AQ1786" s="52"/>
      <c r="AR1786" s="52"/>
      <c r="AS1786" s="52"/>
      <c r="AT1786" s="52"/>
      <c r="AU1786" s="52"/>
      <c r="AV1786" s="52"/>
      <c r="AW1786" s="52"/>
    </row>
    <row r="1787" spans="1:49">
      <c r="A1787" s="52"/>
      <c r="B1787" s="52"/>
      <c r="C1787" s="52"/>
      <c r="D1787" s="53"/>
      <c r="E1787" s="53"/>
      <c r="F1787" s="53"/>
      <c r="G1787" s="53"/>
      <c r="H1787" s="53"/>
      <c r="I1787" s="52"/>
      <c r="J1787" s="52"/>
      <c r="K1787" s="53"/>
      <c r="L1787" s="52"/>
      <c r="M1787" s="54"/>
      <c r="N1787" s="54"/>
      <c r="O1787" s="52"/>
      <c r="P1787" s="52"/>
      <c r="Q1787" s="52"/>
      <c r="R1787" s="52"/>
      <c r="S1787" s="52"/>
      <c r="T1787" s="52"/>
      <c r="U1787" s="52"/>
      <c r="V1787" s="52"/>
      <c r="W1787" s="52"/>
      <c r="X1787" s="52"/>
      <c r="Y1787" s="52"/>
      <c r="Z1787" s="52"/>
      <c r="AA1787" s="52"/>
      <c r="AB1787" s="52"/>
      <c r="AC1787" s="52"/>
      <c r="AD1787" s="52"/>
      <c r="AE1787" s="52"/>
      <c r="AF1787" s="52"/>
      <c r="AG1787" s="52"/>
      <c r="AH1787" s="52"/>
      <c r="AI1787" s="52"/>
      <c r="AJ1787" s="52"/>
      <c r="AK1787" s="52"/>
      <c r="AL1787" s="52"/>
      <c r="AM1787" s="52"/>
      <c r="AN1787" s="52"/>
      <c r="AO1787" s="52"/>
      <c r="AP1787" s="52"/>
      <c r="AQ1787" s="52"/>
      <c r="AR1787" s="52"/>
      <c r="AS1787" s="52"/>
      <c r="AT1787" s="52"/>
      <c r="AU1787" s="52"/>
      <c r="AV1787" s="52"/>
      <c r="AW1787" s="52"/>
    </row>
    <row r="1788" spans="1:49">
      <c r="A1788" s="52"/>
      <c r="B1788" s="52"/>
      <c r="C1788" s="52"/>
      <c r="D1788" s="53"/>
      <c r="E1788" s="53"/>
      <c r="F1788" s="53"/>
      <c r="G1788" s="53"/>
      <c r="H1788" s="53"/>
      <c r="I1788" s="52"/>
      <c r="J1788" s="52"/>
      <c r="K1788" s="53"/>
      <c r="L1788" s="52"/>
      <c r="M1788" s="54"/>
      <c r="N1788" s="54"/>
      <c r="O1788" s="52"/>
      <c r="P1788" s="52"/>
      <c r="Q1788" s="52"/>
      <c r="R1788" s="52"/>
      <c r="S1788" s="52"/>
      <c r="T1788" s="52"/>
      <c r="U1788" s="52"/>
      <c r="V1788" s="52"/>
      <c r="W1788" s="52"/>
      <c r="X1788" s="52"/>
      <c r="Y1788" s="52"/>
      <c r="Z1788" s="52"/>
      <c r="AA1788" s="52"/>
      <c r="AB1788" s="52"/>
      <c r="AC1788" s="52"/>
      <c r="AD1788" s="52"/>
      <c r="AE1788" s="52"/>
      <c r="AF1788" s="52"/>
      <c r="AG1788" s="52"/>
      <c r="AH1788" s="52"/>
      <c r="AI1788" s="52"/>
      <c r="AJ1788" s="52"/>
      <c r="AK1788" s="52"/>
      <c r="AL1788" s="55"/>
      <c r="AM1788" s="52"/>
      <c r="AN1788" s="52"/>
      <c r="AO1788" s="55"/>
      <c r="AP1788" s="55"/>
      <c r="AQ1788" s="52"/>
      <c r="AR1788" s="52"/>
      <c r="AS1788" s="52"/>
      <c r="AT1788" s="52"/>
      <c r="AU1788" s="52"/>
      <c r="AV1788" s="52"/>
      <c r="AW1788" s="52"/>
    </row>
    <row r="1789" spans="1:49">
      <c r="A1789" s="52"/>
      <c r="B1789" s="52"/>
      <c r="C1789" s="52"/>
      <c r="D1789" s="53"/>
      <c r="E1789" s="53"/>
      <c r="F1789" s="53"/>
      <c r="G1789" s="53"/>
      <c r="H1789" s="53"/>
      <c r="I1789" s="52"/>
      <c r="J1789" s="52"/>
      <c r="K1789" s="53"/>
      <c r="L1789" s="52"/>
      <c r="M1789" s="54"/>
      <c r="N1789" s="54"/>
      <c r="O1789" s="52"/>
      <c r="P1789" s="52"/>
      <c r="Q1789" s="52"/>
      <c r="R1789" s="52"/>
      <c r="S1789" s="52"/>
      <c r="T1789" s="52"/>
      <c r="U1789" s="52"/>
      <c r="V1789" s="52"/>
      <c r="W1789" s="52"/>
      <c r="X1789" s="52"/>
      <c r="Y1789" s="52"/>
      <c r="Z1789" s="52"/>
      <c r="AA1789" s="52"/>
      <c r="AB1789" s="52"/>
      <c r="AC1789" s="52"/>
      <c r="AD1789" s="52"/>
      <c r="AE1789" s="52"/>
      <c r="AF1789" s="52"/>
      <c r="AG1789" s="52"/>
      <c r="AH1789" s="52"/>
      <c r="AI1789" s="52"/>
      <c r="AJ1789" s="52"/>
      <c r="AK1789" s="52"/>
      <c r="AL1789" s="55"/>
      <c r="AM1789" s="52"/>
      <c r="AN1789" s="52"/>
      <c r="AO1789" s="55"/>
      <c r="AP1789" s="55"/>
      <c r="AQ1789" s="52"/>
      <c r="AR1789" s="52"/>
      <c r="AS1789" s="52"/>
      <c r="AT1789" s="52"/>
      <c r="AU1789" s="52"/>
      <c r="AV1789" s="52"/>
      <c r="AW1789" s="52"/>
    </row>
    <row r="1790" spans="1:49">
      <c r="A1790" s="52"/>
      <c r="B1790" s="52"/>
      <c r="C1790" s="52"/>
      <c r="D1790" s="53"/>
      <c r="E1790" s="53"/>
      <c r="F1790" s="53"/>
      <c r="G1790" s="53"/>
      <c r="H1790" s="53"/>
      <c r="I1790" s="52"/>
      <c r="J1790" s="52"/>
      <c r="K1790" s="53"/>
      <c r="L1790" s="52"/>
      <c r="M1790" s="54"/>
      <c r="N1790" s="54"/>
      <c r="O1790" s="52"/>
      <c r="P1790" s="52"/>
      <c r="Q1790" s="52"/>
      <c r="R1790" s="52"/>
      <c r="S1790" s="52"/>
      <c r="T1790" s="52"/>
      <c r="U1790" s="52"/>
      <c r="V1790" s="52"/>
      <c r="W1790" s="52"/>
      <c r="X1790" s="52"/>
      <c r="Y1790" s="52"/>
      <c r="Z1790" s="52"/>
      <c r="AA1790" s="52"/>
      <c r="AB1790" s="52"/>
      <c r="AC1790" s="52"/>
      <c r="AD1790" s="52"/>
      <c r="AE1790" s="52"/>
      <c r="AF1790" s="52"/>
      <c r="AG1790" s="52"/>
      <c r="AH1790" s="52"/>
      <c r="AI1790" s="52"/>
      <c r="AJ1790" s="52"/>
      <c r="AK1790" s="52"/>
      <c r="AL1790" s="52"/>
      <c r="AM1790" s="52"/>
      <c r="AN1790" s="52"/>
      <c r="AO1790" s="52"/>
      <c r="AP1790" s="52"/>
      <c r="AQ1790" s="52"/>
      <c r="AR1790" s="52"/>
      <c r="AS1790" s="52"/>
      <c r="AT1790" s="52"/>
      <c r="AU1790" s="52"/>
      <c r="AV1790" s="52"/>
      <c r="AW1790" s="52"/>
    </row>
    <row r="1791" spans="1:49">
      <c r="A1791" s="52"/>
      <c r="B1791" s="52"/>
      <c r="C1791" s="52"/>
      <c r="D1791" s="53"/>
      <c r="E1791" s="53"/>
      <c r="F1791" s="53"/>
      <c r="G1791" s="53"/>
      <c r="H1791" s="53"/>
      <c r="I1791" s="52"/>
      <c r="J1791" s="52"/>
      <c r="K1791" s="53"/>
      <c r="L1791" s="52"/>
      <c r="M1791" s="54"/>
      <c r="N1791" s="54"/>
      <c r="O1791" s="52"/>
      <c r="P1791" s="52"/>
      <c r="Q1791" s="52"/>
      <c r="R1791" s="52"/>
      <c r="S1791" s="52"/>
      <c r="T1791" s="52"/>
      <c r="U1791" s="52"/>
      <c r="V1791" s="52"/>
      <c r="W1791" s="52"/>
      <c r="X1791" s="52"/>
      <c r="Y1791" s="52"/>
      <c r="Z1791" s="52"/>
      <c r="AA1791" s="52"/>
      <c r="AB1791" s="52"/>
      <c r="AC1791" s="52"/>
      <c r="AD1791" s="52"/>
      <c r="AE1791" s="52"/>
      <c r="AF1791" s="52"/>
      <c r="AG1791" s="52"/>
      <c r="AH1791" s="52"/>
      <c r="AI1791" s="52"/>
      <c r="AJ1791" s="52"/>
      <c r="AK1791" s="52"/>
      <c r="AL1791" s="55"/>
      <c r="AM1791" s="52"/>
      <c r="AN1791" s="52"/>
      <c r="AO1791" s="55"/>
      <c r="AP1791" s="55"/>
      <c r="AQ1791" s="52"/>
      <c r="AR1791" s="52"/>
      <c r="AS1791" s="52"/>
      <c r="AT1791" s="52"/>
      <c r="AU1791" s="52"/>
      <c r="AV1791" s="52"/>
      <c r="AW1791" s="52"/>
    </row>
    <row r="1792" spans="1:49">
      <c r="A1792" s="52"/>
      <c r="B1792" s="52"/>
      <c r="C1792" s="52"/>
      <c r="D1792" s="53"/>
      <c r="E1792" s="53"/>
      <c r="F1792" s="53"/>
      <c r="G1792" s="53"/>
      <c r="H1792" s="53"/>
      <c r="I1792" s="52"/>
      <c r="J1792" s="52"/>
      <c r="K1792" s="53"/>
      <c r="L1792" s="52"/>
      <c r="M1792" s="54"/>
      <c r="N1792" s="54"/>
      <c r="O1792" s="52"/>
      <c r="P1792" s="52"/>
      <c r="Q1792" s="52"/>
      <c r="R1792" s="52"/>
      <c r="S1792" s="52"/>
      <c r="T1792" s="52"/>
      <c r="U1792" s="52"/>
      <c r="V1792" s="52"/>
      <c r="W1792" s="52"/>
      <c r="X1792" s="52"/>
      <c r="Y1792" s="52"/>
      <c r="Z1792" s="52"/>
      <c r="AA1792" s="52"/>
      <c r="AB1792" s="52"/>
      <c r="AC1792" s="52"/>
      <c r="AD1792" s="52"/>
      <c r="AE1792" s="52"/>
      <c r="AF1792" s="52"/>
      <c r="AG1792" s="52"/>
      <c r="AH1792" s="52"/>
      <c r="AI1792" s="52"/>
      <c r="AJ1792" s="52"/>
      <c r="AK1792" s="52"/>
      <c r="AL1792" s="55"/>
      <c r="AM1792" s="52"/>
      <c r="AN1792" s="52"/>
      <c r="AO1792" s="55"/>
      <c r="AP1792" s="55"/>
      <c r="AQ1792" s="52"/>
      <c r="AR1792" s="52"/>
      <c r="AS1792" s="52"/>
      <c r="AT1792" s="52"/>
      <c r="AU1792" s="52"/>
      <c r="AV1792" s="52"/>
      <c r="AW1792" s="52"/>
    </row>
    <row r="1793" spans="1:49">
      <c r="A1793" s="52"/>
      <c r="B1793" s="52"/>
      <c r="C1793" s="52"/>
      <c r="D1793" s="53"/>
      <c r="E1793" s="53"/>
      <c r="F1793" s="53"/>
      <c r="G1793" s="53"/>
      <c r="H1793" s="53"/>
      <c r="I1793" s="52"/>
      <c r="J1793" s="52"/>
      <c r="K1793" s="53"/>
      <c r="L1793" s="52"/>
      <c r="M1793" s="54"/>
      <c r="N1793" s="54"/>
      <c r="O1793" s="52"/>
      <c r="P1793" s="52"/>
      <c r="Q1793" s="52"/>
      <c r="R1793" s="52"/>
      <c r="S1793" s="52"/>
      <c r="T1793" s="52"/>
      <c r="U1793" s="52"/>
      <c r="V1793" s="52"/>
      <c r="W1793" s="52"/>
      <c r="X1793" s="52"/>
      <c r="Y1793" s="52"/>
      <c r="Z1793" s="52"/>
      <c r="AA1793" s="52"/>
      <c r="AB1793" s="52"/>
      <c r="AC1793" s="52"/>
      <c r="AD1793" s="52"/>
      <c r="AE1793" s="52"/>
      <c r="AF1793" s="52"/>
      <c r="AG1793" s="52"/>
      <c r="AH1793" s="52"/>
      <c r="AI1793" s="52"/>
      <c r="AJ1793" s="52"/>
      <c r="AK1793" s="52"/>
      <c r="AL1793" s="52"/>
      <c r="AM1793" s="52"/>
      <c r="AN1793" s="52"/>
      <c r="AO1793" s="52"/>
      <c r="AP1793" s="52"/>
      <c r="AQ1793" s="52"/>
      <c r="AR1793" s="52"/>
      <c r="AS1793" s="52"/>
      <c r="AT1793" s="52"/>
      <c r="AU1793" s="52"/>
      <c r="AV1793" s="52"/>
      <c r="AW1793" s="52"/>
    </row>
    <row r="1794" spans="1:49">
      <c r="A1794" s="52"/>
      <c r="B1794" s="52"/>
      <c r="C1794" s="52"/>
      <c r="D1794" s="53"/>
      <c r="E1794" s="53"/>
      <c r="F1794" s="53"/>
      <c r="G1794" s="53"/>
      <c r="H1794" s="52"/>
      <c r="I1794" s="52"/>
      <c r="J1794" s="52"/>
      <c r="K1794" s="52"/>
      <c r="L1794" s="52"/>
      <c r="M1794" s="54"/>
      <c r="N1794" s="54"/>
      <c r="O1794" s="52"/>
      <c r="P1794" s="52"/>
      <c r="Q1794" s="52"/>
      <c r="R1794" s="52"/>
      <c r="S1794" s="52"/>
      <c r="T1794" s="52"/>
      <c r="U1794" s="52"/>
      <c r="V1794" s="52"/>
      <c r="W1794" s="52"/>
      <c r="X1794" s="52"/>
      <c r="Y1794" s="52"/>
      <c r="Z1794" s="52"/>
      <c r="AA1794" s="52"/>
      <c r="AB1794" s="52"/>
      <c r="AC1794" s="52"/>
      <c r="AD1794" s="52"/>
      <c r="AE1794" s="52"/>
      <c r="AF1794" s="52"/>
      <c r="AG1794" s="52"/>
      <c r="AH1794" s="52"/>
      <c r="AI1794" s="52"/>
      <c r="AJ1794" s="52"/>
      <c r="AK1794" s="52"/>
      <c r="AL1794" s="52"/>
      <c r="AM1794" s="52"/>
      <c r="AN1794" s="52"/>
      <c r="AO1794" s="52"/>
      <c r="AP1794" s="52"/>
      <c r="AQ1794" s="52"/>
      <c r="AR1794" s="52"/>
      <c r="AS1794" s="52"/>
      <c r="AT1794" s="52"/>
      <c r="AU1794" s="52"/>
      <c r="AV1794" s="52"/>
      <c r="AW1794" s="52"/>
    </row>
    <row r="1795" spans="1:49">
      <c r="A1795" s="52"/>
      <c r="B1795" s="52"/>
      <c r="C1795" s="52"/>
      <c r="D1795" s="53"/>
      <c r="E1795" s="53"/>
      <c r="F1795" s="53"/>
      <c r="G1795" s="53"/>
      <c r="H1795" s="52"/>
      <c r="I1795" s="52"/>
      <c r="J1795" s="52"/>
      <c r="K1795" s="52"/>
      <c r="L1795" s="52"/>
      <c r="M1795" s="54"/>
      <c r="N1795" s="54"/>
      <c r="O1795" s="52"/>
      <c r="P1795" s="52"/>
      <c r="Q1795" s="52"/>
      <c r="R1795" s="52"/>
      <c r="S1795" s="52"/>
      <c r="T1795" s="52"/>
      <c r="U1795" s="52"/>
      <c r="V1795" s="52"/>
      <c r="W1795" s="52"/>
      <c r="X1795" s="52"/>
      <c r="Y1795" s="52"/>
      <c r="Z1795" s="52"/>
      <c r="AA1795" s="52"/>
      <c r="AB1795" s="52"/>
      <c r="AC1795" s="52"/>
      <c r="AD1795" s="52"/>
      <c r="AE1795" s="52"/>
      <c r="AF1795" s="52"/>
      <c r="AG1795" s="52"/>
      <c r="AH1795" s="52"/>
      <c r="AI1795" s="52"/>
      <c r="AJ1795" s="52"/>
      <c r="AK1795" s="52"/>
      <c r="AL1795" s="52"/>
      <c r="AM1795" s="52"/>
      <c r="AN1795" s="52"/>
      <c r="AO1795" s="52"/>
      <c r="AP1795" s="52"/>
      <c r="AQ1795" s="52"/>
      <c r="AR1795" s="52"/>
      <c r="AS1795" s="52"/>
      <c r="AT1795" s="52"/>
      <c r="AU1795" s="52"/>
      <c r="AV1795" s="52"/>
      <c r="AW1795" s="52"/>
    </row>
    <row r="1796" spans="1:49">
      <c r="A1796" s="52"/>
      <c r="B1796" s="52"/>
      <c r="C1796" s="52"/>
      <c r="D1796" s="53"/>
      <c r="E1796" s="53"/>
      <c r="F1796" s="53"/>
      <c r="G1796" s="53"/>
      <c r="H1796" s="53"/>
      <c r="I1796" s="52"/>
      <c r="J1796" s="52"/>
      <c r="K1796" s="52"/>
      <c r="L1796" s="52"/>
      <c r="M1796" s="54"/>
      <c r="N1796" s="54"/>
      <c r="O1796" s="52"/>
      <c r="P1796" s="52"/>
      <c r="Q1796" s="52"/>
      <c r="R1796" s="52"/>
      <c r="S1796" s="52"/>
      <c r="T1796" s="52"/>
      <c r="U1796" s="52"/>
      <c r="V1796" s="52"/>
      <c r="W1796" s="52"/>
      <c r="X1796" s="52"/>
      <c r="Y1796" s="52"/>
      <c r="Z1796" s="52"/>
      <c r="AA1796" s="52"/>
      <c r="AB1796" s="52"/>
      <c r="AC1796" s="52"/>
      <c r="AD1796" s="52"/>
      <c r="AE1796" s="52"/>
      <c r="AF1796" s="52"/>
      <c r="AG1796" s="52"/>
      <c r="AH1796" s="52"/>
      <c r="AI1796" s="52"/>
      <c r="AJ1796" s="52"/>
      <c r="AK1796" s="52"/>
      <c r="AL1796" s="55"/>
      <c r="AM1796" s="52"/>
      <c r="AN1796" s="52"/>
      <c r="AO1796" s="52"/>
      <c r="AP1796" s="55"/>
      <c r="AQ1796" s="52"/>
      <c r="AR1796" s="52"/>
      <c r="AS1796" s="52"/>
      <c r="AT1796" s="52"/>
      <c r="AU1796" s="52"/>
      <c r="AV1796" s="52"/>
      <c r="AW1796" s="52"/>
    </row>
    <row r="1797" spans="1:49">
      <c r="A1797" s="52"/>
      <c r="B1797" s="52"/>
      <c r="C1797" s="52"/>
      <c r="D1797" s="53"/>
      <c r="E1797" s="53"/>
      <c r="F1797" s="53"/>
      <c r="G1797" s="53"/>
      <c r="H1797" s="53"/>
      <c r="I1797" s="52"/>
      <c r="J1797" s="52"/>
      <c r="K1797" s="52"/>
      <c r="L1797" s="52"/>
      <c r="M1797" s="54"/>
      <c r="N1797" s="54"/>
      <c r="O1797" s="52"/>
      <c r="P1797" s="52"/>
      <c r="Q1797" s="52"/>
      <c r="R1797" s="52"/>
      <c r="S1797" s="52"/>
      <c r="T1797" s="52"/>
      <c r="U1797" s="52"/>
      <c r="V1797" s="52"/>
      <c r="W1797" s="52"/>
      <c r="X1797" s="52"/>
      <c r="Y1797" s="52"/>
      <c r="Z1797" s="52"/>
      <c r="AA1797" s="52"/>
      <c r="AB1797" s="52"/>
      <c r="AC1797" s="52"/>
      <c r="AD1797" s="52"/>
      <c r="AE1797" s="52"/>
      <c r="AF1797" s="52"/>
      <c r="AG1797" s="52"/>
      <c r="AH1797" s="52"/>
      <c r="AI1797" s="52"/>
      <c r="AJ1797" s="52"/>
      <c r="AK1797" s="52"/>
      <c r="AL1797" s="55"/>
      <c r="AM1797" s="52"/>
      <c r="AN1797" s="52"/>
      <c r="AO1797" s="52"/>
      <c r="AP1797" s="55"/>
      <c r="AQ1797" s="52"/>
      <c r="AR1797" s="52"/>
      <c r="AS1797" s="52"/>
      <c r="AT1797" s="52"/>
      <c r="AU1797" s="52"/>
      <c r="AV1797" s="52"/>
      <c r="AW1797" s="52"/>
    </row>
    <row r="1798" spans="1:49">
      <c r="A1798" s="52"/>
      <c r="B1798" s="52"/>
      <c r="C1798" s="52"/>
      <c r="D1798" s="53"/>
      <c r="E1798" s="53"/>
      <c r="F1798" s="53"/>
      <c r="G1798" s="53"/>
      <c r="H1798" s="53"/>
      <c r="I1798" s="52"/>
      <c r="J1798" s="52"/>
      <c r="K1798" s="53"/>
      <c r="L1798" s="52"/>
      <c r="M1798" s="54"/>
      <c r="N1798" s="54"/>
      <c r="O1798" s="52"/>
      <c r="P1798" s="52"/>
      <c r="Q1798" s="52"/>
      <c r="R1798" s="52"/>
      <c r="S1798" s="52"/>
      <c r="T1798" s="52"/>
      <c r="U1798" s="52"/>
      <c r="V1798" s="52"/>
      <c r="W1798" s="52"/>
      <c r="X1798" s="52"/>
      <c r="Y1798" s="52"/>
      <c r="Z1798" s="52"/>
      <c r="AA1798" s="52"/>
      <c r="AB1798" s="52"/>
      <c r="AC1798" s="52"/>
      <c r="AD1798" s="52"/>
      <c r="AE1798" s="52"/>
      <c r="AF1798" s="52"/>
      <c r="AG1798" s="52"/>
      <c r="AH1798" s="52"/>
      <c r="AI1798" s="52"/>
      <c r="AJ1798" s="52"/>
      <c r="AK1798" s="52"/>
      <c r="AL1798" s="52"/>
      <c r="AM1798" s="52"/>
      <c r="AN1798" s="52"/>
      <c r="AO1798" s="52"/>
      <c r="AP1798" s="52"/>
      <c r="AQ1798" s="52"/>
      <c r="AR1798" s="52"/>
      <c r="AS1798" s="52"/>
      <c r="AT1798" s="52"/>
      <c r="AU1798" s="52"/>
      <c r="AV1798" s="52"/>
      <c r="AW1798" s="52"/>
    </row>
    <row r="1799" spans="1:49">
      <c r="A1799" s="52"/>
      <c r="B1799" s="52"/>
      <c r="C1799" s="52"/>
      <c r="D1799" s="53"/>
      <c r="E1799" s="53"/>
      <c r="F1799" s="53"/>
      <c r="G1799" s="53"/>
      <c r="H1799" s="53"/>
      <c r="I1799" s="52"/>
      <c r="J1799" s="52"/>
      <c r="K1799" s="53"/>
      <c r="L1799" s="52"/>
      <c r="M1799" s="54"/>
      <c r="N1799" s="54"/>
      <c r="O1799" s="52"/>
      <c r="P1799" s="52"/>
      <c r="Q1799" s="52"/>
      <c r="R1799" s="52"/>
      <c r="S1799" s="52"/>
      <c r="T1799" s="52"/>
      <c r="U1799" s="52"/>
      <c r="V1799" s="52"/>
      <c r="W1799" s="52"/>
      <c r="X1799" s="52"/>
      <c r="Y1799" s="52"/>
      <c r="Z1799" s="52"/>
      <c r="AA1799" s="52"/>
      <c r="AB1799" s="52"/>
      <c r="AC1799" s="52"/>
      <c r="AD1799" s="52"/>
      <c r="AE1799" s="52"/>
      <c r="AF1799" s="52"/>
      <c r="AG1799" s="52"/>
      <c r="AH1799" s="52"/>
      <c r="AI1799" s="52"/>
      <c r="AJ1799" s="52"/>
      <c r="AK1799" s="52"/>
      <c r="AL1799" s="55"/>
      <c r="AM1799" s="52"/>
      <c r="AN1799" s="52"/>
      <c r="AO1799" s="55"/>
      <c r="AP1799" s="55"/>
      <c r="AQ1799" s="52"/>
      <c r="AR1799" s="52"/>
      <c r="AS1799" s="52"/>
      <c r="AT1799" s="52"/>
      <c r="AU1799" s="52"/>
      <c r="AV1799" s="52"/>
      <c r="AW1799" s="52"/>
    </row>
    <row r="1800" spans="1:49">
      <c r="A1800" s="52"/>
      <c r="B1800" s="52"/>
      <c r="C1800" s="52"/>
      <c r="D1800" s="53"/>
      <c r="E1800" s="53"/>
      <c r="F1800" s="53"/>
      <c r="G1800" s="53"/>
      <c r="H1800" s="53"/>
      <c r="I1800" s="52"/>
      <c r="J1800" s="52"/>
      <c r="K1800" s="53"/>
      <c r="L1800" s="52"/>
      <c r="M1800" s="54"/>
      <c r="N1800" s="54"/>
      <c r="O1800" s="52"/>
      <c r="P1800" s="52"/>
      <c r="Q1800" s="52"/>
      <c r="R1800" s="52"/>
      <c r="S1800" s="52"/>
      <c r="T1800" s="52"/>
      <c r="U1800" s="52"/>
      <c r="V1800" s="52"/>
      <c r="W1800" s="52"/>
      <c r="X1800" s="52"/>
      <c r="Y1800" s="52"/>
      <c r="Z1800" s="52"/>
      <c r="AA1800" s="52"/>
      <c r="AB1800" s="52"/>
      <c r="AC1800" s="52"/>
      <c r="AD1800" s="52"/>
      <c r="AE1800" s="52"/>
      <c r="AF1800" s="52"/>
      <c r="AG1800" s="52"/>
      <c r="AH1800" s="52"/>
      <c r="AI1800" s="52"/>
      <c r="AJ1800" s="52"/>
      <c r="AK1800" s="52"/>
      <c r="AL1800" s="55"/>
      <c r="AM1800" s="52"/>
      <c r="AN1800" s="52"/>
      <c r="AO1800" s="55"/>
      <c r="AP1800" s="55"/>
      <c r="AQ1800" s="52"/>
      <c r="AR1800" s="52"/>
      <c r="AS1800" s="52"/>
      <c r="AT1800" s="52"/>
      <c r="AU1800" s="52"/>
      <c r="AV1800" s="52"/>
      <c r="AW1800" s="52"/>
    </row>
    <row r="1801" spans="1:49">
      <c r="A1801" s="52"/>
      <c r="B1801" s="52"/>
      <c r="C1801" s="52"/>
      <c r="D1801" s="53"/>
      <c r="E1801" s="53"/>
      <c r="F1801" s="53"/>
      <c r="G1801" s="53"/>
      <c r="H1801" s="53"/>
      <c r="I1801" s="52"/>
      <c r="J1801" s="52"/>
      <c r="K1801" s="53"/>
      <c r="L1801" s="52"/>
      <c r="M1801" s="54"/>
      <c r="N1801" s="54"/>
      <c r="O1801" s="52"/>
      <c r="P1801" s="52"/>
      <c r="Q1801" s="52"/>
      <c r="R1801" s="52"/>
      <c r="S1801" s="52"/>
      <c r="T1801" s="52"/>
      <c r="U1801" s="52"/>
      <c r="V1801" s="52"/>
      <c r="W1801" s="52"/>
      <c r="X1801" s="52"/>
      <c r="Y1801" s="52"/>
      <c r="Z1801" s="52"/>
      <c r="AA1801" s="52"/>
      <c r="AB1801" s="52"/>
      <c r="AC1801" s="52"/>
      <c r="AD1801" s="52"/>
      <c r="AE1801" s="52"/>
      <c r="AF1801" s="52"/>
      <c r="AG1801" s="52"/>
      <c r="AH1801" s="52"/>
      <c r="AI1801" s="52"/>
      <c r="AJ1801" s="52"/>
      <c r="AK1801" s="52"/>
      <c r="AL1801" s="52"/>
      <c r="AM1801" s="52"/>
      <c r="AN1801" s="52"/>
      <c r="AO1801" s="52"/>
      <c r="AP1801" s="52"/>
      <c r="AQ1801" s="52"/>
      <c r="AR1801" s="52"/>
      <c r="AS1801" s="52"/>
      <c r="AT1801" s="52"/>
      <c r="AU1801" s="52"/>
      <c r="AV1801" s="52"/>
      <c r="AW1801" s="52"/>
    </row>
    <row r="1802" spans="1:49">
      <c r="A1802" s="52"/>
      <c r="B1802" s="52"/>
      <c r="C1802" s="52"/>
      <c r="D1802" s="53"/>
      <c r="E1802" s="53"/>
      <c r="F1802" s="53"/>
      <c r="G1802" s="53"/>
      <c r="H1802" s="53"/>
      <c r="I1802" s="52"/>
      <c r="J1802" s="52"/>
      <c r="K1802" s="53"/>
      <c r="L1802" s="52"/>
      <c r="M1802" s="54"/>
      <c r="N1802" s="54"/>
      <c r="O1802" s="52"/>
      <c r="P1802" s="52"/>
      <c r="Q1802" s="52"/>
      <c r="R1802" s="52"/>
      <c r="S1802" s="52"/>
      <c r="T1802" s="52"/>
      <c r="U1802" s="52"/>
      <c r="V1802" s="52"/>
      <c r="W1802" s="52"/>
      <c r="X1802" s="52"/>
      <c r="Y1802" s="52"/>
      <c r="Z1802" s="52"/>
      <c r="AA1802" s="52"/>
      <c r="AB1802" s="52"/>
      <c r="AC1802" s="52"/>
      <c r="AD1802" s="52"/>
      <c r="AE1802" s="52"/>
      <c r="AF1802" s="52"/>
      <c r="AG1802" s="52"/>
      <c r="AH1802" s="52"/>
      <c r="AI1802" s="52"/>
      <c r="AJ1802" s="52"/>
      <c r="AK1802" s="52"/>
      <c r="AL1802" s="55"/>
      <c r="AM1802" s="52"/>
      <c r="AN1802" s="52"/>
      <c r="AO1802" s="55"/>
      <c r="AP1802" s="55"/>
      <c r="AQ1802" s="52"/>
      <c r="AR1802" s="52"/>
      <c r="AS1802" s="52"/>
      <c r="AT1802" s="52"/>
      <c r="AU1802" s="52"/>
      <c r="AV1802" s="52"/>
      <c r="AW1802" s="52"/>
    </row>
    <row r="1803" spans="1:49">
      <c r="A1803" s="52"/>
      <c r="B1803" s="52"/>
      <c r="C1803" s="52"/>
      <c r="D1803" s="53"/>
      <c r="E1803" s="53"/>
      <c r="F1803" s="53"/>
      <c r="G1803" s="53"/>
      <c r="H1803" s="53"/>
      <c r="I1803" s="52"/>
      <c r="J1803" s="52"/>
      <c r="K1803" s="53"/>
      <c r="L1803" s="52"/>
      <c r="M1803" s="54"/>
      <c r="N1803" s="54"/>
      <c r="O1803" s="52"/>
      <c r="P1803" s="52"/>
      <c r="Q1803" s="52"/>
      <c r="R1803" s="52"/>
      <c r="S1803" s="52"/>
      <c r="T1803" s="52"/>
      <c r="U1803" s="52"/>
      <c r="V1803" s="52"/>
      <c r="W1803" s="52"/>
      <c r="X1803" s="52"/>
      <c r="Y1803" s="52"/>
      <c r="Z1803" s="52"/>
      <c r="AA1803" s="52"/>
      <c r="AB1803" s="52"/>
      <c r="AC1803" s="52"/>
      <c r="AD1803" s="52"/>
      <c r="AE1803" s="52"/>
      <c r="AF1803" s="52"/>
      <c r="AG1803" s="52"/>
      <c r="AH1803" s="52"/>
      <c r="AI1803" s="52"/>
      <c r="AJ1803" s="52"/>
      <c r="AK1803" s="52"/>
      <c r="AL1803" s="55"/>
      <c r="AM1803" s="52"/>
      <c r="AN1803" s="52"/>
      <c r="AO1803" s="55"/>
      <c r="AP1803" s="55"/>
      <c r="AQ1803" s="52"/>
      <c r="AR1803" s="52"/>
      <c r="AS1803" s="52"/>
      <c r="AT1803" s="52"/>
      <c r="AU1803" s="52"/>
      <c r="AV1803" s="52"/>
      <c r="AW1803" s="52"/>
    </row>
    <row r="1804" spans="1:49">
      <c r="A1804" s="52"/>
      <c r="B1804" s="52"/>
      <c r="C1804" s="52"/>
      <c r="D1804" s="53"/>
      <c r="E1804" s="53"/>
      <c r="F1804" s="52"/>
      <c r="G1804" s="52"/>
      <c r="H1804" s="52"/>
      <c r="I1804" s="52"/>
      <c r="J1804" s="52"/>
      <c r="K1804" s="52"/>
      <c r="L1804" s="52"/>
      <c r="M1804" s="54"/>
      <c r="N1804" s="54"/>
      <c r="O1804" s="52"/>
      <c r="P1804" s="52"/>
      <c r="Q1804" s="52"/>
      <c r="R1804" s="52"/>
      <c r="S1804" s="52"/>
      <c r="T1804" s="52"/>
      <c r="U1804" s="52"/>
      <c r="V1804" s="52"/>
      <c r="W1804" s="52"/>
      <c r="X1804" s="52"/>
      <c r="Y1804" s="52"/>
      <c r="Z1804" s="52"/>
      <c r="AA1804" s="52"/>
      <c r="AB1804" s="52"/>
      <c r="AC1804" s="52"/>
      <c r="AD1804" s="52"/>
      <c r="AE1804" s="52"/>
      <c r="AF1804" s="52"/>
      <c r="AG1804" s="52"/>
      <c r="AH1804" s="52"/>
      <c r="AI1804" s="52"/>
      <c r="AJ1804" s="52"/>
      <c r="AK1804" s="52"/>
      <c r="AL1804" s="52"/>
      <c r="AM1804" s="52"/>
      <c r="AN1804" s="52"/>
      <c r="AO1804" s="52"/>
      <c r="AP1804" s="52"/>
      <c r="AQ1804" s="52"/>
      <c r="AR1804" s="52"/>
      <c r="AS1804" s="52"/>
      <c r="AT1804" s="52"/>
      <c r="AU1804" s="52"/>
      <c r="AV1804" s="52"/>
      <c r="AW1804" s="52"/>
    </row>
    <row r="1805" spans="1:49">
      <c r="A1805" s="52"/>
      <c r="B1805" s="52"/>
      <c r="C1805" s="52"/>
      <c r="D1805" s="53"/>
      <c r="E1805" s="53"/>
      <c r="F1805" s="52"/>
      <c r="G1805" s="52"/>
      <c r="H1805" s="52"/>
      <c r="I1805" s="52"/>
      <c r="J1805" s="52"/>
      <c r="K1805" s="52"/>
      <c r="L1805" s="52"/>
      <c r="M1805" s="52"/>
      <c r="N1805" s="52"/>
      <c r="O1805" s="52"/>
      <c r="P1805" s="52"/>
      <c r="Q1805" s="52"/>
      <c r="R1805" s="52"/>
      <c r="S1805" s="52"/>
      <c r="T1805" s="52"/>
      <c r="U1805" s="52"/>
      <c r="V1805" s="52"/>
      <c r="W1805" s="52"/>
      <c r="X1805" s="52"/>
      <c r="Y1805" s="52"/>
      <c r="Z1805" s="52"/>
      <c r="AA1805" s="52"/>
      <c r="AB1805" s="52"/>
      <c r="AC1805" s="52"/>
      <c r="AD1805" s="52"/>
      <c r="AE1805" s="52"/>
      <c r="AF1805" s="52"/>
      <c r="AG1805" s="52"/>
      <c r="AH1805" s="52"/>
      <c r="AI1805" s="52"/>
      <c r="AJ1805" s="52"/>
      <c r="AK1805" s="52"/>
      <c r="AL1805" s="52"/>
      <c r="AM1805" s="52"/>
      <c r="AN1805" s="52"/>
      <c r="AO1805" s="52"/>
      <c r="AP1805" s="52"/>
      <c r="AQ1805" s="52"/>
      <c r="AR1805" s="52"/>
      <c r="AS1805" s="52"/>
      <c r="AT1805" s="52"/>
      <c r="AU1805" s="52"/>
      <c r="AV1805" s="52"/>
      <c r="AW1805" s="52"/>
    </row>
    <row r="1806" spans="1:49">
      <c r="A1806" s="52"/>
      <c r="B1806" s="52"/>
      <c r="C1806" s="52"/>
      <c r="D1806" s="53"/>
      <c r="E1806" s="53"/>
      <c r="F1806" s="53"/>
      <c r="G1806" s="53"/>
      <c r="H1806" s="53"/>
      <c r="I1806" s="52"/>
      <c r="J1806" s="52"/>
      <c r="K1806" s="53"/>
      <c r="L1806" s="52"/>
      <c r="M1806" s="54"/>
      <c r="N1806" s="54"/>
      <c r="O1806" s="52"/>
      <c r="P1806" s="52"/>
      <c r="Q1806" s="52"/>
      <c r="R1806" s="52"/>
      <c r="S1806" s="52"/>
      <c r="T1806" s="52"/>
      <c r="U1806" s="52"/>
      <c r="V1806" s="52"/>
      <c r="W1806" s="52"/>
      <c r="X1806" s="52"/>
      <c r="Y1806" s="52"/>
      <c r="Z1806" s="52"/>
      <c r="AA1806" s="52"/>
      <c r="AB1806" s="52"/>
      <c r="AC1806" s="52"/>
      <c r="AD1806" s="52"/>
      <c r="AE1806" s="52"/>
      <c r="AF1806" s="52"/>
      <c r="AG1806" s="52"/>
      <c r="AH1806" s="52"/>
      <c r="AI1806" s="52"/>
      <c r="AJ1806" s="52"/>
      <c r="AK1806" s="52"/>
      <c r="AL1806" s="52"/>
      <c r="AM1806" s="52"/>
      <c r="AN1806" s="52"/>
      <c r="AO1806" s="52"/>
      <c r="AP1806" s="52"/>
      <c r="AQ1806" s="52"/>
      <c r="AR1806" s="52"/>
      <c r="AS1806" s="52"/>
      <c r="AT1806" s="52"/>
      <c r="AU1806" s="52"/>
      <c r="AV1806" s="52"/>
      <c r="AW1806" s="52"/>
    </row>
    <row r="1807" spans="1:49">
      <c r="A1807" s="52"/>
      <c r="B1807" s="52"/>
      <c r="C1807" s="52"/>
      <c r="D1807" s="53"/>
      <c r="E1807" s="53"/>
      <c r="F1807" s="53"/>
      <c r="G1807" s="53"/>
      <c r="H1807" s="53"/>
      <c r="I1807" s="52"/>
      <c r="J1807" s="52"/>
      <c r="K1807" s="53"/>
      <c r="L1807" s="52"/>
      <c r="M1807" s="54"/>
      <c r="N1807" s="54"/>
      <c r="O1807" s="52"/>
      <c r="P1807" s="52"/>
      <c r="Q1807" s="52"/>
      <c r="R1807" s="52"/>
      <c r="S1807" s="52"/>
      <c r="T1807" s="52"/>
      <c r="U1807" s="52"/>
      <c r="V1807" s="52"/>
      <c r="W1807" s="52"/>
      <c r="X1807" s="52"/>
      <c r="Y1807" s="52"/>
      <c r="Z1807" s="52"/>
      <c r="AA1807" s="52"/>
      <c r="AB1807" s="52"/>
      <c r="AC1807" s="52"/>
      <c r="AD1807" s="52"/>
      <c r="AE1807" s="52"/>
      <c r="AF1807" s="52"/>
      <c r="AG1807" s="52"/>
      <c r="AH1807" s="52"/>
      <c r="AI1807" s="52"/>
      <c r="AJ1807" s="52"/>
      <c r="AK1807" s="52"/>
      <c r="AL1807" s="52"/>
      <c r="AM1807" s="52"/>
      <c r="AN1807" s="52"/>
      <c r="AO1807" s="52"/>
      <c r="AP1807" s="52"/>
      <c r="AQ1807" s="52"/>
      <c r="AR1807" s="52"/>
      <c r="AS1807" s="52"/>
      <c r="AT1807" s="52"/>
      <c r="AU1807" s="52"/>
      <c r="AV1807" s="52"/>
      <c r="AW1807" s="52"/>
    </row>
    <row r="1808" spans="1:49">
      <c r="A1808" s="52"/>
      <c r="B1808" s="52"/>
      <c r="C1808" s="52"/>
      <c r="D1808" s="53"/>
      <c r="E1808" s="53"/>
      <c r="F1808" s="53"/>
      <c r="G1808" s="53"/>
      <c r="H1808" s="53"/>
      <c r="I1808" s="52"/>
      <c r="J1808" s="52"/>
      <c r="K1808" s="53"/>
      <c r="L1808" s="52"/>
      <c r="M1808" s="54"/>
      <c r="N1808" s="54"/>
      <c r="O1808" s="52"/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2"/>
      <c r="AA1808" s="52"/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5"/>
      <c r="AM1808" s="52"/>
      <c r="AN1808" s="52"/>
      <c r="AO1808" s="55"/>
      <c r="AP1808" s="55"/>
      <c r="AQ1808" s="52"/>
      <c r="AR1808" s="52"/>
      <c r="AS1808" s="52"/>
      <c r="AT1808" s="52"/>
      <c r="AU1808" s="52"/>
      <c r="AV1808" s="52"/>
      <c r="AW1808" s="52"/>
    </row>
    <row r="1809" spans="1:49">
      <c r="A1809" s="52"/>
      <c r="B1809" s="52"/>
      <c r="C1809" s="52"/>
      <c r="D1809" s="53"/>
      <c r="E1809" s="53"/>
      <c r="F1809" s="53"/>
      <c r="G1809" s="53"/>
      <c r="H1809" s="53"/>
      <c r="I1809" s="52"/>
      <c r="J1809" s="52"/>
      <c r="K1809" s="53"/>
      <c r="L1809" s="52"/>
      <c r="M1809" s="54"/>
      <c r="N1809" s="54"/>
      <c r="O1809" s="52"/>
      <c r="P1809" s="52"/>
      <c r="Q1809" s="52"/>
      <c r="R1809" s="52"/>
      <c r="S1809" s="52"/>
      <c r="T1809" s="52"/>
      <c r="U1809" s="52"/>
      <c r="V1809" s="52"/>
      <c r="W1809" s="52"/>
      <c r="X1809" s="52"/>
      <c r="Y1809" s="52"/>
      <c r="Z1809" s="52"/>
      <c r="AA1809" s="52"/>
      <c r="AB1809" s="52"/>
      <c r="AC1809" s="52"/>
      <c r="AD1809" s="52"/>
      <c r="AE1809" s="52"/>
      <c r="AF1809" s="52"/>
      <c r="AG1809" s="52"/>
      <c r="AH1809" s="52"/>
      <c r="AI1809" s="52"/>
      <c r="AJ1809" s="52"/>
      <c r="AK1809" s="52"/>
      <c r="AL1809" s="55"/>
      <c r="AM1809" s="52"/>
      <c r="AN1809" s="52"/>
      <c r="AO1809" s="55"/>
      <c r="AP1809" s="55"/>
      <c r="AQ1809" s="52"/>
      <c r="AR1809" s="52"/>
      <c r="AS1809" s="52"/>
      <c r="AT1809" s="52"/>
      <c r="AU1809" s="52"/>
      <c r="AV1809" s="52"/>
      <c r="AW1809" s="52"/>
    </row>
    <row r="1810" spans="1:49">
      <c r="A1810" s="52"/>
      <c r="B1810" s="52"/>
      <c r="C1810" s="52"/>
      <c r="D1810" s="53"/>
      <c r="E1810" s="53"/>
      <c r="F1810" s="53"/>
      <c r="G1810" s="53"/>
      <c r="H1810" s="53"/>
      <c r="I1810" s="52"/>
      <c r="J1810" s="52"/>
      <c r="K1810" s="53"/>
      <c r="L1810" s="52"/>
      <c r="M1810" s="54"/>
      <c r="N1810" s="55"/>
      <c r="O1810" s="52"/>
      <c r="P1810" s="52"/>
      <c r="Q1810" s="52"/>
      <c r="R1810" s="52"/>
      <c r="S1810" s="52"/>
      <c r="T1810" s="52"/>
      <c r="U1810" s="52"/>
      <c r="V1810" s="52"/>
      <c r="W1810" s="52"/>
      <c r="X1810" s="52"/>
      <c r="Y1810" s="52"/>
      <c r="Z1810" s="52"/>
      <c r="AA1810" s="52"/>
      <c r="AB1810" s="52"/>
      <c r="AC1810" s="52"/>
      <c r="AD1810" s="52"/>
      <c r="AE1810" s="52"/>
      <c r="AF1810" s="52"/>
      <c r="AG1810" s="52"/>
      <c r="AH1810" s="52"/>
      <c r="AI1810" s="52"/>
      <c r="AJ1810" s="52"/>
      <c r="AK1810" s="52"/>
      <c r="AL1810" s="55"/>
      <c r="AM1810" s="52"/>
      <c r="AN1810" s="52"/>
      <c r="AO1810" s="52"/>
      <c r="AP1810" s="52"/>
      <c r="AQ1810" s="52"/>
      <c r="AR1810" s="52"/>
      <c r="AS1810" s="52"/>
      <c r="AT1810" s="52"/>
      <c r="AU1810" s="52"/>
      <c r="AV1810" s="52"/>
      <c r="AW1810" s="52"/>
    </row>
    <row r="1811" spans="1:49">
      <c r="A1811" s="52"/>
      <c r="B1811" s="52"/>
      <c r="C1811" s="52"/>
      <c r="D1811" s="53"/>
      <c r="E1811" s="53"/>
      <c r="F1811" s="53"/>
      <c r="G1811" s="53"/>
      <c r="H1811" s="53"/>
      <c r="I1811" s="52"/>
      <c r="J1811" s="52"/>
      <c r="K1811" s="53"/>
      <c r="L1811" s="52"/>
      <c r="M1811" s="55"/>
      <c r="N1811" s="54"/>
      <c r="O1811" s="52"/>
      <c r="P1811" s="52"/>
      <c r="Q1811" s="52"/>
      <c r="R1811" s="52"/>
      <c r="S1811" s="52"/>
      <c r="T1811" s="52"/>
      <c r="U1811" s="52"/>
      <c r="V1811" s="52"/>
      <c r="W1811" s="52"/>
      <c r="X1811" s="52"/>
      <c r="Y1811" s="52"/>
      <c r="Z1811" s="52"/>
      <c r="AA1811" s="52"/>
      <c r="AB1811" s="52"/>
      <c r="AC1811" s="52"/>
      <c r="AD1811" s="52"/>
      <c r="AE1811" s="52"/>
      <c r="AF1811" s="52"/>
      <c r="AG1811" s="52"/>
      <c r="AH1811" s="52"/>
      <c r="AI1811" s="53"/>
      <c r="AJ1811" s="53"/>
      <c r="AK1811" s="53"/>
      <c r="AL1811" s="55"/>
      <c r="AM1811" s="52"/>
      <c r="AN1811" s="55"/>
      <c r="AO1811" s="55"/>
      <c r="AP1811" s="55"/>
      <c r="AQ1811" s="52"/>
      <c r="AR1811" s="52"/>
      <c r="AS1811" s="52"/>
      <c r="AT1811" s="52"/>
      <c r="AU1811" s="52"/>
      <c r="AV1811" s="52"/>
      <c r="AW1811" s="52"/>
    </row>
    <row r="1812" spans="1:49">
      <c r="A1812" s="52"/>
      <c r="B1812" s="52"/>
      <c r="C1812" s="52"/>
      <c r="D1812" s="53"/>
      <c r="E1812" s="53"/>
      <c r="F1812" s="53"/>
      <c r="G1812" s="53"/>
      <c r="H1812" s="53"/>
      <c r="I1812" s="52"/>
      <c r="J1812" s="52"/>
      <c r="K1812" s="53"/>
      <c r="L1812" s="52"/>
      <c r="M1812" s="55"/>
      <c r="N1812" s="54"/>
      <c r="O1812" s="52"/>
      <c r="P1812" s="52"/>
      <c r="Q1812" s="52"/>
      <c r="R1812" s="52"/>
      <c r="S1812" s="52"/>
      <c r="T1812" s="52"/>
      <c r="U1812" s="52"/>
      <c r="V1812" s="52"/>
      <c r="W1812" s="52"/>
      <c r="X1812" s="52"/>
      <c r="Y1812" s="52"/>
      <c r="Z1812" s="52"/>
      <c r="AA1812" s="52"/>
      <c r="AB1812" s="52"/>
      <c r="AC1812" s="52"/>
      <c r="AD1812" s="52"/>
      <c r="AE1812" s="52"/>
      <c r="AF1812" s="52"/>
      <c r="AG1812" s="52"/>
      <c r="AH1812" s="52"/>
      <c r="AI1812" s="53"/>
      <c r="AJ1812" s="53"/>
      <c r="AK1812" s="53"/>
      <c r="AL1812" s="55"/>
      <c r="AM1812" s="52"/>
      <c r="AN1812" s="55"/>
      <c r="AO1812" s="55"/>
      <c r="AP1812" s="55"/>
      <c r="AQ1812" s="52"/>
      <c r="AR1812" s="52"/>
      <c r="AS1812" s="52"/>
      <c r="AT1812" s="52"/>
      <c r="AU1812" s="52"/>
      <c r="AV1812" s="52"/>
      <c r="AW1812" s="52"/>
    </row>
    <row r="1813" spans="1:49">
      <c r="A1813" s="52"/>
      <c r="B1813" s="52"/>
      <c r="C1813" s="52"/>
      <c r="D1813" s="53"/>
      <c r="E1813" s="53"/>
      <c r="F1813" s="53"/>
      <c r="G1813" s="53"/>
      <c r="H1813" s="53"/>
      <c r="I1813" s="52"/>
      <c r="J1813" s="52"/>
      <c r="K1813" s="53"/>
      <c r="L1813" s="52"/>
      <c r="M1813" s="54"/>
      <c r="N1813" s="54"/>
      <c r="O1813" s="52"/>
      <c r="P1813" s="52"/>
      <c r="Q1813" s="52"/>
      <c r="R1813" s="52"/>
      <c r="S1813" s="52"/>
      <c r="T1813" s="52"/>
      <c r="U1813" s="52"/>
      <c r="V1813" s="52"/>
      <c r="W1813" s="52"/>
      <c r="X1813" s="52"/>
      <c r="Y1813" s="52"/>
      <c r="Z1813" s="52"/>
      <c r="AA1813" s="52"/>
      <c r="AB1813" s="52"/>
      <c r="AC1813" s="52"/>
      <c r="AD1813" s="52"/>
      <c r="AE1813" s="52"/>
      <c r="AF1813" s="52"/>
      <c r="AG1813" s="52"/>
      <c r="AH1813" s="52"/>
      <c r="AI1813" s="52"/>
      <c r="AJ1813" s="52"/>
      <c r="AK1813" s="52"/>
      <c r="AL1813" s="55"/>
      <c r="AM1813" s="52"/>
      <c r="AN1813" s="52"/>
      <c r="AO1813" s="52"/>
      <c r="AP1813" s="52"/>
      <c r="AQ1813" s="52"/>
      <c r="AR1813" s="52"/>
      <c r="AS1813" s="52"/>
      <c r="AT1813" s="52"/>
      <c r="AU1813" s="52"/>
      <c r="AV1813" s="52"/>
      <c r="AW1813" s="52"/>
    </row>
    <row r="1814" spans="1:49">
      <c r="A1814" s="52"/>
      <c r="B1814" s="52"/>
      <c r="C1814" s="52"/>
      <c r="D1814" s="53"/>
      <c r="E1814" s="53"/>
      <c r="F1814" s="53"/>
      <c r="G1814" s="53"/>
      <c r="H1814" s="53"/>
      <c r="I1814" s="52"/>
      <c r="J1814" s="52"/>
      <c r="K1814" s="53"/>
      <c r="L1814" s="52"/>
      <c r="M1814" s="54"/>
      <c r="N1814" s="54"/>
      <c r="O1814" s="52"/>
      <c r="P1814" s="52"/>
      <c r="Q1814" s="52"/>
      <c r="R1814" s="52"/>
      <c r="S1814" s="52"/>
      <c r="T1814" s="52"/>
      <c r="U1814" s="52"/>
      <c r="V1814" s="52"/>
      <c r="W1814" s="52"/>
      <c r="X1814" s="52"/>
      <c r="Y1814" s="52"/>
      <c r="Z1814" s="52"/>
      <c r="AA1814" s="52"/>
      <c r="AB1814" s="52"/>
      <c r="AC1814" s="52"/>
      <c r="AD1814" s="52"/>
      <c r="AE1814" s="52"/>
      <c r="AF1814" s="52"/>
      <c r="AG1814" s="52"/>
      <c r="AH1814" s="52"/>
      <c r="AI1814" s="53"/>
      <c r="AJ1814" s="53"/>
      <c r="AK1814" s="53"/>
      <c r="AL1814" s="55"/>
      <c r="AM1814" s="52"/>
      <c r="AN1814" s="55"/>
      <c r="AO1814" s="55"/>
      <c r="AP1814" s="55"/>
      <c r="AQ1814" s="52"/>
      <c r="AR1814" s="52"/>
      <c r="AS1814" s="52"/>
      <c r="AT1814" s="52"/>
      <c r="AU1814" s="52"/>
      <c r="AV1814" s="52"/>
      <c r="AW1814" s="52"/>
    </row>
    <row r="1815" spans="1:49">
      <c r="A1815" s="52"/>
      <c r="B1815" s="52"/>
      <c r="C1815" s="52"/>
      <c r="D1815" s="53"/>
      <c r="E1815" s="53"/>
      <c r="F1815" s="53"/>
      <c r="G1815" s="53"/>
      <c r="H1815" s="53"/>
      <c r="I1815" s="52"/>
      <c r="J1815" s="52"/>
      <c r="K1815" s="53"/>
      <c r="L1815" s="52"/>
      <c r="M1815" s="54"/>
      <c r="N1815" s="54"/>
      <c r="O1815" s="52"/>
      <c r="P1815" s="52"/>
      <c r="Q1815" s="52"/>
      <c r="R1815" s="52"/>
      <c r="S1815" s="52"/>
      <c r="T1815" s="52"/>
      <c r="U1815" s="52"/>
      <c r="V1815" s="52"/>
      <c r="W1815" s="52"/>
      <c r="X1815" s="52"/>
      <c r="Y1815" s="52"/>
      <c r="Z1815" s="52"/>
      <c r="AA1815" s="52"/>
      <c r="AB1815" s="52"/>
      <c r="AC1815" s="52"/>
      <c r="AD1815" s="52"/>
      <c r="AE1815" s="52"/>
      <c r="AF1815" s="52"/>
      <c r="AG1815" s="52"/>
      <c r="AH1815" s="52"/>
      <c r="AI1815" s="53"/>
      <c r="AJ1815" s="53"/>
      <c r="AK1815" s="53"/>
      <c r="AL1815" s="55"/>
      <c r="AM1815" s="52"/>
      <c r="AN1815" s="55"/>
      <c r="AO1815" s="55"/>
      <c r="AP1815" s="55"/>
      <c r="AQ1815" s="52"/>
      <c r="AR1815" s="52"/>
      <c r="AS1815" s="52"/>
      <c r="AT1815" s="52"/>
      <c r="AU1815" s="52"/>
      <c r="AV1815" s="52"/>
      <c r="AW1815" s="52"/>
    </row>
    <row r="1816" spans="1:49">
      <c r="A1816" s="52"/>
      <c r="B1816" s="52"/>
      <c r="C1816" s="52"/>
      <c r="D1816" s="53"/>
      <c r="E1816" s="53"/>
      <c r="F1816" s="53"/>
      <c r="G1816" s="53"/>
      <c r="H1816" s="53"/>
      <c r="I1816" s="52"/>
      <c r="J1816" s="52"/>
      <c r="K1816" s="53"/>
      <c r="L1816" s="52"/>
      <c r="M1816" s="54"/>
      <c r="N1816" s="54"/>
      <c r="O1816" s="52"/>
      <c r="P1816" s="52"/>
      <c r="Q1816" s="52"/>
      <c r="R1816" s="52"/>
      <c r="S1816" s="52"/>
      <c r="T1816" s="52"/>
      <c r="U1816" s="52"/>
      <c r="V1816" s="52"/>
      <c r="W1816" s="52"/>
      <c r="X1816" s="52"/>
      <c r="Y1816" s="52"/>
      <c r="Z1816" s="52"/>
      <c r="AA1816" s="52"/>
      <c r="AB1816" s="52"/>
      <c r="AC1816" s="52"/>
      <c r="AD1816" s="52"/>
      <c r="AE1816" s="52"/>
      <c r="AF1816" s="52"/>
      <c r="AG1816" s="52"/>
      <c r="AH1816" s="52"/>
      <c r="AI1816" s="52"/>
      <c r="AJ1816" s="52"/>
      <c r="AK1816" s="52"/>
      <c r="AL1816" s="52"/>
      <c r="AM1816" s="52"/>
      <c r="AN1816" s="52"/>
      <c r="AO1816" s="52"/>
      <c r="AP1816" s="52"/>
      <c r="AQ1816" s="52"/>
      <c r="AR1816" s="52"/>
      <c r="AS1816" s="52"/>
      <c r="AT1816" s="52"/>
      <c r="AU1816" s="52"/>
      <c r="AV1816" s="52"/>
      <c r="AW1816" s="52"/>
    </row>
    <row r="1817" spans="1:49">
      <c r="A1817" s="52"/>
      <c r="B1817" s="52"/>
      <c r="C1817" s="52"/>
      <c r="D1817" s="53"/>
      <c r="E1817" s="53"/>
      <c r="F1817" s="53"/>
      <c r="G1817" s="53"/>
      <c r="H1817" s="52"/>
      <c r="I1817" s="52"/>
      <c r="J1817" s="52"/>
      <c r="K1817" s="52"/>
      <c r="L1817" s="52"/>
      <c r="M1817" s="54"/>
      <c r="N1817" s="54"/>
      <c r="O1817" s="52"/>
      <c r="P1817" s="52"/>
      <c r="Q1817" s="52"/>
      <c r="R1817" s="52"/>
      <c r="S1817" s="52"/>
      <c r="T1817" s="52"/>
      <c r="U1817" s="52"/>
      <c r="V1817" s="52"/>
      <c r="W1817" s="52"/>
      <c r="X1817" s="52"/>
      <c r="Y1817" s="52"/>
      <c r="Z1817" s="52"/>
      <c r="AA1817" s="52"/>
      <c r="AB1817" s="52"/>
      <c r="AC1817" s="52"/>
      <c r="AD1817" s="52"/>
      <c r="AE1817" s="52"/>
      <c r="AF1817" s="52"/>
      <c r="AG1817" s="52"/>
      <c r="AH1817" s="52"/>
      <c r="AI1817" s="52"/>
      <c r="AJ1817" s="52"/>
      <c r="AK1817" s="52"/>
      <c r="AL1817" s="52"/>
      <c r="AM1817" s="52"/>
      <c r="AN1817" s="52"/>
      <c r="AO1817" s="52"/>
      <c r="AP1817" s="52"/>
      <c r="AQ1817" s="52"/>
      <c r="AR1817" s="52"/>
      <c r="AS1817" s="52"/>
      <c r="AT1817" s="52"/>
      <c r="AU1817" s="52"/>
      <c r="AV1817" s="52"/>
      <c r="AW1817" s="52"/>
    </row>
    <row r="1818" spans="1:49">
      <c r="A1818" s="52"/>
      <c r="B1818" s="52"/>
      <c r="C1818" s="52"/>
      <c r="D1818" s="53"/>
      <c r="E1818" s="53"/>
      <c r="F1818" s="53"/>
      <c r="G1818" s="53"/>
      <c r="H1818" s="52"/>
      <c r="I1818" s="52"/>
      <c r="J1818" s="52"/>
      <c r="K1818" s="52"/>
      <c r="L1818" s="52"/>
      <c r="M1818" s="54"/>
      <c r="N1818" s="54"/>
      <c r="O1818" s="52"/>
      <c r="P1818" s="52"/>
      <c r="Q1818" s="52"/>
      <c r="R1818" s="52"/>
      <c r="S1818" s="52"/>
      <c r="T1818" s="52"/>
      <c r="U1818" s="52"/>
      <c r="V1818" s="52"/>
      <c r="W1818" s="52"/>
      <c r="X1818" s="52"/>
      <c r="Y1818" s="52"/>
      <c r="Z1818" s="52"/>
      <c r="AA1818" s="52"/>
      <c r="AB1818" s="52"/>
      <c r="AC1818" s="52"/>
      <c r="AD1818" s="52"/>
      <c r="AE1818" s="52"/>
      <c r="AF1818" s="52"/>
      <c r="AG1818" s="52"/>
      <c r="AH1818" s="52"/>
      <c r="AI1818" s="52"/>
      <c r="AJ1818" s="52"/>
      <c r="AK1818" s="52"/>
      <c r="AL1818" s="52"/>
      <c r="AM1818" s="52"/>
      <c r="AN1818" s="52"/>
      <c r="AO1818" s="52"/>
      <c r="AP1818" s="52"/>
      <c r="AQ1818" s="52"/>
      <c r="AR1818" s="52"/>
      <c r="AS1818" s="52"/>
      <c r="AT1818" s="52"/>
      <c r="AU1818" s="52"/>
      <c r="AV1818" s="52"/>
      <c r="AW1818" s="52"/>
    </row>
    <row r="1819" spans="1:49">
      <c r="A1819" s="52"/>
      <c r="B1819" s="52"/>
      <c r="C1819" s="52"/>
      <c r="D1819" s="53"/>
      <c r="E1819" s="53"/>
      <c r="F1819" s="53"/>
      <c r="G1819" s="53"/>
      <c r="H1819" s="53"/>
      <c r="I1819" s="52"/>
      <c r="J1819" s="52"/>
      <c r="K1819" s="52"/>
      <c r="L1819" s="52"/>
      <c r="M1819" s="54"/>
      <c r="N1819" s="54"/>
      <c r="O1819" s="52"/>
      <c r="P1819" s="52"/>
      <c r="Q1819" s="52"/>
      <c r="R1819" s="52"/>
      <c r="S1819" s="52"/>
      <c r="T1819" s="52"/>
      <c r="U1819" s="52"/>
      <c r="V1819" s="52"/>
      <c r="W1819" s="52"/>
      <c r="X1819" s="52"/>
      <c r="Y1819" s="52"/>
      <c r="Z1819" s="52"/>
      <c r="AA1819" s="52"/>
      <c r="AB1819" s="52"/>
      <c r="AC1819" s="52"/>
      <c r="AD1819" s="52"/>
      <c r="AE1819" s="52"/>
      <c r="AF1819" s="52"/>
      <c r="AG1819" s="52"/>
      <c r="AH1819" s="52"/>
      <c r="AI1819" s="52"/>
      <c r="AJ1819" s="52"/>
      <c r="AK1819" s="52"/>
      <c r="AL1819" s="55"/>
      <c r="AM1819" s="52"/>
      <c r="AN1819" s="52"/>
      <c r="AO1819" s="52"/>
      <c r="AP1819" s="55"/>
      <c r="AQ1819" s="52"/>
      <c r="AR1819" s="52"/>
      <c r="AS1819" s="52"/>
      <c r="AT1819" s="52"/>
      <c r="AU1819" s="52"/>
      <c r="AV1819" s="52"/>
      <c r="AW1819" s="52"/>
    </row>
    <row r="1820" spans="1:49">
      <c r="A1820" s="52"/>
      <c r="B1820" s="52"/>
      <c r="C1820" s="52"/>
      <c r="D1820" s="53"/>
      <c r="E1820" s="53"/>
      <c r="F1820" s="53"/>
      <c r="G1820" s="53"/>
      <c r="H1820" s="53"/>
      <c r="I1820" s="52"/>
      <c r="J1820" s="52"/>
      <c r="K1820" s="52"/>
      <c r="L1820" s="52"/>
      <c r="M1820" s="54"/>
      <c r="N1820" s="54"/>
      <c r="O1820" s="52"/>
      <c r="P1820" s="52"/>
      <c r="Q1820" s="52"/>
      <c r="R1820" s="52"/>
      <c r="S1820" s="52"/>
      <c r="T1820" s="52"/>
      <c r="U1820" s="52"/>
      <c r="V1820" s="52"/>
      <c r="W1820" s="52"/>
      <c r="X1820" s="52"/>
      <c r="Y1820" s="52"/>
      <c r="Z1820" s="52"/>
      <c r="AA1820" s="52"/>
      <c r="AB1820" s="52"/>
      <c r="AC1820" s="52"/>
      <c r="AD1820" s="52"/>
      <c r="AE1820" s="52"/>
      <c r="AF1820" s="52"/>
      <c r="AG1820" s="52"/>
      <c r="AH1820" s="52"/>
      <c r="AI1820" s="52"/>
      <c r="AJ1820" s="52"/>
      <c r="AK1820" s="52"/>
      <c r="AL1820" s="55"/>
      <c r="AM1820" s="52"/>
      <c r="AN1820" s="52"/>
      <c r="AO1820" s="52"/>
      <c r="AP1820" s="55"/>
      <c r="AQ1820" s="52"/>
      <c r="AR1820" s="52"/>
      <c r="AS1820" s="52"/>
      <c r="AT1820" s="52"/>
      <c r="AU1820" s="52"/>
      <c r="AV1820" s="52"/>
      <c r="AW1820" s="52"/>
    </row>
    <row r="1821" spans="1:49">
      <c r="A1821" s="52"/>
      <c r="B1821" s="52"/>
      <c r="C1821" s="52"/>
      <c r="D1821" s="53"/>
      <c r="E1821" s="53"/>
      <c r="F1821" s="52"/>
      <c r="G1821" s="52"/>
      <c r="H1821" s="52"/>
      <c r="I1821" s="52"/>
      <c r="J1821" s="52"/>
      <c r="K1821" s="52"/>
      <c r="L1821" s="52"/>
      <c r="M1821" s="54"/>
      <c r="N1821" s="54"/>
      <c r="O1821" s="52"/>
      <c r="P1821" s="52"/>
      <c r="Q1821" s="52"/>
      <c r="R1821" s="52"/>
      <c r="S1821" s="52"/>
      <c r="T1821" s="52"/>
      <c r="U1821" s="52"/>
      <c r="V1821" s="52"/>
      <c r="W1821" s="52"/>
      <c r="X1821" s="52"/>
      <c r="Y1821" s="52"/>
      <c r="Z1821" s="52"/>
      <c r="AA1821" s="52"/>
      <c r="AB1821" s="52"/>
      <c r="AC1821" s="52"/>
      <c r="AD1821" s="52"/>
      <c r="AE1821" s="52"/>
      <c r="AF1821" s="52"/>
      <c r="AG1821" s="52"/>
      <c r="AH1821" s="52"/>
      <c r="AI1821" s="52"/>
      <c r="AJ1821" s="52"/>
      <c r="AK1821" s="52"/>
      <c r="AL1821" s="52"/>
      <c r="AM1821" s="52"/>
      <c r="AN1821" s="52"/>
      <c r="AO1821" s="52"/>
      <c r="AP1821" s="52"/>
      <c r="AQ1821" s="52"/>
      <c r="AR1821" s="52"/>
      <c r="AS1821" s="52"/>
      <c r="AT1821" s="52"/>
      <c r="AU1821" s="52"/>
      <c r="AV1821" s="52"/>
      <c r="AW1821" s="52"/>
    </row>
    <row r="1822" spans="1:49">
      <c r="A1822" s="52"/>
      <c r="B1822" s="52"/>
      <c r="C1822" s="52"/>
      <c r="D1822" s="53"/>
      <c r="E1822" s="53"/>
      <c r="F1822" s="52"/>
      <c r="G1822" s="52"/>
      <c r="H1822" s="52"/>
      <c r="I1822" s="52"/>
      <c r="J1822" s="52"/>
      <c r="K1822" s="52"/>
      <c r="L1822" s="52"/>
      <c r="M1822" s="52"/>
      <c r="N1822" s="52"/>
      <c r="O1822" s="52"/>
      <c r="P1822" s="52"/>
      <c r="Q1822" s="52"/>
      <c r="R1822" s="52"/>
      <c r="S1822" s="52"/>
      <c r="T1822" s="52"/>
      <c r="U1822" s="52"/>
      <c r="V1822" s="52"/>
      <c r="W1822" s="52"/>
      <c r="X1822" s="52"/>
      <c r="Y1822" s="52"/>
      <c r="Z1822" s="52"/>
      <c r="AA1822" s="52"/>
      <c r="AB1822" s="52"/>
      <c r="AC1822" s="52"/>
      <c r="AD1822" s="52"/>
      <c r="AE1822" s="52"/>
      <c r="AF1822" s="52"/>
      <c r="AG1822" s="52"/>
      <c r="AH1822" s="52"/>
      <c r="AI1822" s="52"/>
      <c r="AJ1822" s="52"/>
      <c r="AK1822" s="52"/>
      <c r="AL1822" s="52"/>
      <c r="AM1822" s="52"/>
      <c r="AN1822" s="52"/>
      <c r="AO1822" s="52"/>
      <c r="AP1822" s="52"/>
      <c r="AQ1822" s="52"/>
      <c r="AR1822" s="52"/>
      <c r="AS1822" s="52"/>
      <c r="AT1822" s="52"/>
      <c r="AU1822" s="52"/>
      <c r="AV1822" s="52"/>
      <c r="AW1822" s="52"/>
    </row>
    <row r="1823" spans="1:49">
      <c r="A1823" s="52"/>
      <c r="B1823" s="52"/>
      <c r="C1823" s="52"/>
      <c r="D1823" s="53"/>
      <c r="E1823" s="53"/>
      <c r="F1823" s="53"/>
      <c r="G1823" s="53"/>
      <c r="H1823" s="53"/>
      <c r="I1823" s="52"/>
      <c r="J1823" s="52"/>
      <c r="K1823" s="52"/>
      <c r="L1823" s="52"/>
      <c r="M1823" s="54"/>
      <c r="N1823" s="54"/>
      <c r="O1823" s="52"/>
      <c r="P1823" s="52"/>
      <c r="Q1823" s="52"/>
      <c r="R1823" s="52"/>
      <c r="S1823" s="52"/>
      <c r="T1823" s="52"/>
      <c r="U1823" s="52"/>
      <c r="V1823" s="52"/>
      <c r="W1823" s="52"/>
      <c r="X1823" s="52"/>
      <c r="Y1823" s="52"/>
      <c r="Z1823" s="52"/>
      <c r="AA1823" s="52"/>
      <c r="AB1823" s="52"/>
      <c r="AC1823" s="52"/>
      <c r="AD1823" s="52"/>
      <c r="AE1823" s="52"/>
      <c r="AF1823" s="52"/>
      <c r="AG1823" s="52"/>
      <c r="AH1823" s="52"/>
      <c r="AI1823" s="52"/>
      <c r="AJ1823" s="52"/>
      <c r="AK1823" s="52"/>
      <c r="AL1823" s="55"/>
      <c r="AM1823" s="52"/>
      <c r="AN1823" s="52"/>
      <c r="AO1823" s="52"/>
      <c r="AP1823" s="52"/>
      <c r="AQ1823" s="52"/>
      <c r="AR1823" s="52"/>
      <c r="AS1823" s="52"/>
      <c r="AT1823" s="52"/>
      <c r="AU1823" s="52"/>
      <c r="AV1823" s="52"/>
      <c r="AW1823" s="52"/>
    </row>
    <row r="1824" spans="1:49">
      <c r="A1824" s="52"/>
      <c r="B1824" s="52"/>
      <c r="C1824" s="52"/>
      <c r="D1824" s="53"/>
      <c r="E1824" s="53"/>
      <c r="F1824" s="52"/>
      <c r="G1824" s="53"/>
      <c r="H1824" s="53"/>
      <c r="I1824" s="52"/>
      <c r="J1824" s="52"/>
      <c r="K1824" s="53"/>
      <c r="L1824" s="52"/>
      <c r="M1824" s="52"/>
      <c r="N1824" s="52"/>
      <c r="O1824" s="52"/>
      <c r="P1824" s="52"/>
      <c r="Q1824" s="52"/>
      <c r="R1824" s="52"/>
      <c r="S1824" s="52"/>
      <c r="T1824" s="52"/>
      <c r="U1824" s="52"/>
      <c r="V1824" s="52"/>
      <c r="W1824" s="52"/>
      <c r="X1824" s="52"/>
      <c r="Y1824" s="52"/>
      <c r="Z1824" s="52"/>
      <c r="AA1824" s="52"/>
      <c r="AB1824" s="52"/>
      <c r="AC1824" s="52"/>
      <c r="AD1824" s="52"/>
      <c r="AE1824" s="52"/>
      <c r="AF1824" s="52"/>
      <c r="AG1824" s="52"/>
      <c r="AH1824" s="52"/>
      <c r="AI1824" s="53"/>
      <c r="AJ1824" s="53"/>
      <c r="AK1824" s="53"/>
      <c r="AL1824" s="55"/>
      <c r="AM1824" s="52"/>
      <c r="AN1824" s="55"/>
      <c r="AO1824" s="52"/>
      <c r="AP1824" s="55"/>
      <c r="AQ1824" s="52"/>
      <c r="AR1824" s="52"/>
      <c r="AS1824" s="52"/>
      <c r="AT1824" s="52"/>
      <c r="AU1824" s="52"/>
      <c r="AV1824" s="52"/>
      <c r="AW1824" s="52"/>
    </row>
    <row r="1825" spans="1:49">
      <c r="A1825" s="52"/>
      <c r="B1825" s="52"/>
      <c r="C1825" s="52"/>
      <c r="D1825" s="53"/>
      <c r="E1825" s="53"/>
      <c r="F1825" s="52"/>
      <c r="G1825" s="53"/>
      <c r="H1825" s="53"/>
      <c r="I1825" s="52"/>
      <c r="J1825" s="52"/>
      <c r="K1825" s="53"/>
      <c r="L1825" s="52"/>
      <c r="M1825" s="52"/>
      <c r="N1825" s="52"/>
      <c r="O1825" s="52"/>
      <c r="P1825" s="52"/>
      <c r="Q1825" s="52"/>
      <c r="R1825" s="52"/>
      <c r="S1825" s="52"/>
      <c r="T1825" s="52"/>
      <c r="U1825" s="52"/>
      <c r="V1825" s="52"/>
      <c r="W1825" s="52"/>
      <c r="X1825" s="52"/>
      <c r="Y1825" s="52"/>
      <c r="Z1825" s="52"/>
      <c r="AA1825" s="52"/>
      <c r="AB1825" s="52"/>
      <c r="AC1825" s="52"/>
      <c r="AD1825" s="52"/>
      <c r="AE1825" s="52"/>
      <c r="AF1825" s="52"/>
      <c r="AG1825" s="52"/>
      <c r="AH1825" s="52"/>
      <c r="AI1825" s="53"/>
      <c r="AJ1825" s="53"/>
      <c r="AK1825" s="53"/>
      <c r="AL1825" s="55"/>
      <c r="AM1825" s="52"/>
      <c r="AN1825" s="55"/>
      <c r="AO1825" s="52"/>
      <c r="AP1825" s="55"/>
      <c r="AQ1825" s="52"/>
      <c r="AR1825" s="52"/>
      <c r="AS1825" s="52"/>
      <c r="AT1825" s="52"/>
      <c r="AU1825" s="52"/>
      <c r="AV1825" s="52"/>
      <c r="AW1825" s="52"/>
    </row>
    <row r="1826" spans="1:49">
      <c r="A1826" s="52"/>
      <c r="B1826" s="52"/>
      <c r="C1826" s="52"/>
      <c r="D1826" s="53"/>
      <c r="E1826" s="53"/>
      <c r="F1826" s="53"/>
      <c r="G1826" s="53"/>
      <c r="H1826" s="52"/>
      <c r="I1826" s="52"/>
      <c r="J1826" s="52"/>
      <c r="K1826" s="53"/>
      <c r="L1826" s="52"/>
      <c r="M1826" s="54"/>
      <c r="N1826" s="54"/>
      <c r="O1826" s="52"/>
      <c r="P1826" s="52"/>
      <c r="Q1826" s="52"/>
      <c r="R1826" s="52"/>
      <c r="S1826" s="52"/>
      <c r="T1826" s="52"/>
      <c r="U1826" s="52"/>
      <c r="V1826" s="52"/>
      <c r="W1826" s="52"/>
      <c r="X1826" s="52"/>
      <c r="Y1826" s="52"/>
      <c r="Z1826" s="52"/>
      <c r="AA1826" s="52"/>
      <c r="AB1826" s="52"/>
      <c r="AC1826" s="52"/>
      <c r="AD1826" s="52"/>
      <c r="AE1826" s="52"/>
      <c r="AF1826" s="52"/>
      <c r="AG1826" s="52"/>
      <c r="AH1826" s="52"/>
      <c r="AI1826" s="52"/>
      <c r="AJ1826" s="52"/>
      <c r="AK1826" s="52"/>
      <c r="AL1826" s="55"/>
      <c r="AM1826" s="52"/>
      <c r="AN1826" s="52"/>
      <c r="AO1826" s="52"/>
      <c r="AP1826" s="52"/>
      <c r="AQ1826" s="52"/>
      <c r="AR1826" s="52"/>
      <c r="AS1826" s="52"/>
      <c r="AT1826" s="52"/>
      <c r="AU1826" s="52"/>
      <c r="AV1826" s="52"/>
      <c r="AW1826" s="52"/>
    </row>
    <row r="1827" spans="1:49">
      <c r="A1827" s="52"/>
      <c r="B1827" s="52"/>
      <c r="C1827" s="52"/>
      <c r="D1827" s="53"/>
      <c r="E1827" s="53"/>
      <c r="F1827" s="53"/>
      <c r="G1827" s="53"/>
      <c r="H1827" s="52"/>
      <c r="I1827" s="52"/>
      <c r="J1827" s="52"/>
      <c r="K1827" s="53"/>
      <c r="L1827" s="52"/>
      <c r="M1827" s="55"/>
      <c r="N1827" s="55"/>
      <c r="O1827" s="52"/>
      <c r="P1827" s="52"/>
      <c r="Q1827" s="52"/>
      <c r="R1827" s="52"/>
      <c r="S1827" s="52"/>
      <c r="T1827" s="52"/>
      <c r="U1827" s="52"/>
      <c r="V1827" s="52"/>
      <c r="W1827" s="52"/>
      <c r="X1827" s="52"/>
      <c r="Y1827" s="52"/>
      <c r="Z1827" s="52"/>
      <c r="AA1827" s="52"/>
      <c r="AB1827" s="52"/>
      <c r="AC1827" s="52"/>
      <c r="AD1827" s="52"/>
      <c r="AE1827" s="52"/>
      <c r="AF1827" s="52"/>
      <c r="AG1827" s="52"/>
      <c r="AH1827" s="52"/>
      <c r="AI1827" s="53"/>
      <c r="AJ1827" s="53"/>
      <c r="AK1827" s="53"/>
      <c r="AL1827" s="55"/>
      <c r="AM1827" s="52"/>
      <c r="AN1827" s="55"/>
      <c r="AO1827" s="52"/>
      <c r="AP1827" s="55"/>
      <c r="AQ1827" s="52"/>
      <c r="AR1827" s="52"/>
      <c r="AS1827" s="52"/>
      <c r="AT1827" s="52"/>
      <c r="AU1827" s="52"/>
      <c r="AV1827" s="52"/>
      <c r="AW1827" s="52"/>
    </row>
    <row r="1828" spans="1:49">
      <c r="A1828" s="52"/>
      <c r="B1828" s="52"/>
      <c r="C1828" s="52"/>
      <c r="D1828" s="53"/>
      <c r="E1828" s="53"/>
      <c r="F1828" s="53"/>
      <c r="G1828" s="53"/>
      <c r="H1828" s="52"/>
      <c r="I1828" s="52"/>
      <c r="J1828" s="52"/>
      <c r="K1828" s="53"/>
      <c r="L1828" s="52"/>
      <c r="M1828" s="55"/>
      <c r="N1828" s="55"/>
      <c r="O1828" s="52"/>
      <c r="P1828" s="52"/>
      <c r="Q1828" s="52"/>
      <c r="R1828" s="52"/>
      <c r="S1828" s="52"/>
      <c r="T1828" s="52"/>
      <c r="U1828" s="52"/>
      <c r="V1828" s="52"/>
      <c r="W1828" s="52"/>
      <c r="X1828" s="52"/>
      <c r="Y1828" s="52"/>
      <c r="Z1828" s="52"/>
      <c r="AA1828" s="52"/>
      <c r="AB1828" s="52"/>
      <c r="AC1828" s="52"/>
      <c r="AD1828" s="52"/>
      <c r="AE1828" s="52"/>
      <c r="AF1828" s="52"/>
      <c r="AG1828" s="52"/>
      <c r="AH1828" s="52"/>
      <c r="AI1828" s="53"/>
      <c r="AJ1828" s="53"/>
      <c r="AK1828" s="53"/>
      <c r="AL1828" s="55"/>
      <c r="AM1828" s="52"/>
      <c r="AN1828" s="55"/>
      <c r="AO1828" s="52"/>
      <c r="AP1828" s="55"/>
      <c r="AQ1828" s="52"/>
      <c r="AR1828" s="52"/>
      <c r="AS1828" s="52"/>
      <c r="AT1828" s="52"/>
      <c r="AU1828" s="52"/>
      <c r="AV1828" s="52"/>
      <c r="AW1828" s="52"/>
    </row>
    <row r="1829" spans="1:49">
      <c r="A1829" s="52"/>
      <c r="B1829" s="52"/>
      <c r="C1829" s="52"/>
      <c r="D1829" s="53"/>
      <c r="E1829" s="53"/>
      <c r="F1829" s="53"/>
      <c r="G1829" s="53"/>
      <c r="H1829" s="53"/>
      <c r="I1829" s="52"/>
      <c r="J1829" s="52"/>
      <c r="K1829" s="53"/>
      <c r="L1829" s="52"/>
      <c r="M1829" s="54"/>
      <c r="N1829" s="54"/>
      <c r="O1829" s="52"/>
      <c r="P1829" s="52"/>
      <c r="Q1829" s="52"/>
      <c r="R1829" s="52"/>
      <c r="S1829" s="52"/>
      <c r="T1829" s="52"/>
      <c r="U1829" s="52"/>
      <c r="V1829" s="52"/>
      <c r="W1829" s="52"/>
      <c r="X1829" s="52"/>
      <c r="Y1829" s="52"/>
      <c r="Z1829" s="52"/>
      <c r="AA1829" s="52"/>
      <c r="AB1829" s="52"/>
      <c r="AC1829" s="52"/>
      <c r="AD1829" s="52"/>
      <c r="AE1829" s="52"/>
      <c r="AF1829" s="52"/>
      <c r="AG1829" s="52"/>
      <c r="AH1829" s="52"/>
      <c r="AI1829" s="52"/>
      <c r="AJ1829" s="52"/>
      <c r="AK1829" s="52"/>
      <c r="AL1829" s="52"/>
      <c r="AM1829" s="52"/>
      <c r="AN1829" s="52"/>
      <c r="AO1829" s="52"/>
      <c r="AP1829" s="52"/>
      <c r="AQ1829" s="52"/>
      <c r="AR1829" s="52"/>
      <c r="AS1829" s="52"/>
      <c r="AT1829" s="52"/>
      <c r="AU1829" s="52"/>
      <c r="AV1829" s="52"/>
      <c r="AW1829" s="52"/>
    </row>
    <row r="1830" spans="1:49">
      <c r="A1830" s="52"/>
      <c r="B1830" s="52"/>
      <c r="C1830" s="52"/>
      <c r="D1830" s="53"/>
      <c r="E1830" s="53"/>
      <c r="F1830" s="53"/>
      <c r="G1830" s="53"/>
      <c r="H1830" s="53"/>
      <c r="I1830" s="52"/>
      <c r="J1830" s="52"/>
      <c r="K1830" s="53"/>
      <c r="L1830" s="52"/>
      <c r="M1830" s="54"/>
      <c r="N1830" s="54"/>
      <c r="O1830" s="52"/>
      <c r="P1830" s="52"/>
      <c r="Q1830" s="52"/>
      <c r="R1830" s="52"/>
      <c r="S1830" s="52"/>
      <c r="T1830" s="52"/>
      <c r="U1830" s="52"/>
      <c r="V1830" s="52"/>
      <c r="W1830" s="52"/>
      <c r="X1830" s="52"/>
      <c r="Y1830" s="52"/>
      <c r="Z1830" s="52"/>
      <c r="AA1830" s="52"/>
      <c r="AB1830" s="52"/>
      <c r="AC1830" s="52"/>
      <c r="AD1830" s="52"/>
      <c r="AE1830" s="52"/>
      <c r="AF1830" s="52"/>
      <c r="AG1830" s="52"/>
      <c r="AH1830" s="52"/>
      <c r="AI1830" s="52"/>
      <c r="AJ1830" s="52"/>
      <c r="AK1830" s="52"/>
      <c r="AL1830" s="52"/>
      <c r="AM1830" s="52"/>
      <c r="AN1830" s="52"/>
      <c r="AO1830" s="52"/>
      <c r="AP1830" s="52"/>
      <c r="AQ1830" s="52"/>
      <c r="AR1830" s="52"/>
      <c r="AS1830" s="52"/>
      <c r="AT1830" s="52"/>
      <c r="AU1830" s="52"/>
      <c r="AV1830" s="52"/>
      <c r="AW1830" s="52"/>
    </row>
    <row r="1831" spans="1:49">
      <c r="A1831" s="52"/>
      <c r="B1831" s="52"/>
      <c r="C1831" s="52"/>
      <c r="D1831" s="53"/>
      <c r="E1831" s="53"/>
      <c r="F1831" s="53"/>
      <c r="G1831" s="53"/>
      <c r="H1831" s="53"/>
      <c r="I1831" s="52"/>
      <c r="J1831" s="52"/>
      <c r="K1831" s="53"/>
      <c r="L1831" s="52"/>
      <c r="M1831" s="54"/>
      <c r="N1831" s="54"/>
      <c r="O1831" s="52"/>
      <c r="P1831" s="52"/>
      <c r="Q1831" s="52"/>
      <c r="R1831" s="52"/>
      <c r="S1831" s="52"/>
      <c r="T1831" s="52"/>
      <c r="U1831" s="52"/>
      <c r="V1831" s="52"/>
      <c r="W1831" s="52"/>
      <c r="X1831" s="52"/>
      <c r="Y1831" s="52"/>
      <c r="Z1831" s="52"/>
      <c r="AA1831" s="52"/>
      <c r="AB1831" s="52"/>
      <c r="AC1831" s="52"/>
      <c r="AD1831" s="52"/>
      <c r="AE1831" s="52"/>
      <c r="AF1831" s="52"/>
      <c r="AG1831" s="52"/>
      <c r="AH1831" s="52"/>
      <c r="AI1831" s="52"/>
      <c r="AJ1831" s="52"/>
      <c r="AK1831" s="52"/>
      <c r="AL1831" s="55"/>
      <c r="AM1831" s="52"/>
      <c r="AN1831" s="52"/>
      <c r="AO1831" s="55"/>
      <c r="AP1831" s="55"/>
      <c r="AQ1831" s="52"/>
      <c r="AR1831" s="52"/>
      <c r="AS1831" s="52"/>
      <c r="AT1831" s="52"/>
      <c r="AU1831" s="52"/>
      <c r="AV1831" s="52"/>
      <c r="AW1831" s="52"/>
    </row>
    <row r="1832" spans="1:49">
      <c r="A1832" s="52"/>
      <c r="B1832" s="52"/>
      <c r="C1832" s="52"/>
      <c r="D1832" s="53"/>
      <c r="E1832" s="53"/>
      <c r="F1832" s="53"/>
      <c r="G1832" s="53"/>
      <c r="H1832" s="53"/>
      <c r="I1832" s="52"/>
      <c r="J1832" s="52"/>
      <c r="K1832" s="53"/>
      <c r="L1832" s="52"/>
      <c r="M1832" s="54"/>
      <c r="N1832" s="54"/>
      <c r="O1832" s="52"/>
      <c r="P1832" s="52"/>
      <c r="Q1832" s="52"/>
      <c r="R1832" s="52"/>
      <c r="S1832" s="52"/>
      <c r="T1832" s="52"/>
      <c r="U1832" s="52"/>
      <c r="V1832" s="52"/>
      <c r="W1832" s="52"/>
      <c r="X1832" s="52"/>
      <c r="Y1832" s="52"/>
      <c r="Z1832" s="52"/>
      <c r="AA1832" s="52"/>
      <c r="AB1832" s="52"/>
      <c r="AC1832" s="52"/>
      <c r="AD1832" s="52"/>
      <c r="AE1832" s="52"/>
      <c r="AF1832" s="52"/>
      <c r="AG1832" s="52"/>
      <c r="AH1832" s="52"/>
      <c r="AI1832" s="52"/>
      <c r="AJ1832" s="52"/>
      <c r="AK1832" s="52"/>
      <c r="AL1832" s="55"/>
      <c r="AM1832" s="52"/>
      <c r="AN1832" s="52"/>
      <c r="AO1832" s="55"/>
      <c r="AP1832" s="55"/>
      <c r="AQ1832" s="52"/>
      <c r="AR1832" s="52"/>
      <c r="AS1832" s="52"/>
      <c r="AT1832" s="52"/>
      <c r="AU1832" s="52"/>
      <c r="AV1832" s="52"/>
      <c r="AW1832" s="52"/>
    </row>
    <row r="1833" spans="1:49">
      <c r="A1833" s="52"/>
      <c r="B1833" s="52"/>
      <c r="C1833" s="52"/>
      <c r="D1833" s="53"/>
      <c r="E1833" s="53"/>
      <c r="F1833" s="52"/>
      <c r="G1833" s="52"/>
      <c r="H1833" s="52"/>
      <c r="I1833" s="52"/>
      <c r="J1833" s="52"/>
      <c r="K1833" s="52"/>
      <c r="L1833" s="52"/>
      <c r="M1833" s="54"/>
      <c r="N1833" s="54"/>
      <c r="O1833" s="52"/>
      <c r="P1833" s="52"/>
      <c r="Q1833" s="52"/>
      <c r="R1833" s="52"/>
      <c r="S1833" s="52"/>
      <c r="T1833" s="52"/>
      <c r="U1833" s="52"/>
      <c r="V1833" s="52"/>
      <c r="W1833" s="52"/>
      <c r="X1833" s="52"/>
      <c r="Y1833" s="52"/>
      <c r="Z1833" s="52"/>
      <c r="AA1833" s="52"/>
      <c r="AB1833" s="52"/>
      <c r="AC1833" s="52"/>
      <c r="AD1833" s="52"/>
      <c r="AE1833" s="52"/>
      <c r="AF1833" s="52"/>
      <c r="AG1833" s="52"/>
      <c r="AH1833" s="52"/>
      <c r="AI1833" s="52"/>
      <c r="AJ1833" s="52"/>
      <c r="AK1833" s="52"/>
      <c r="AL1833" s="52"/>
      <c r="AM1833" s="52"/>
      <c r="AN1833" s="52"/>
      <c r="AO1833" s="52"/>
      <c r="AP1833" s="52"/>
      <c r="AQ1833" s="52"/>
      <c r="AR1833" s="52"/>
      <c r="AS1833" s="52"/>
      <c r="AT1833" s="52"/>
      <c r="AU1833" s="52"/>
      <c r="AV1833" s="52"/>
      <c r="AW1833" s="52"/>
    </row>
    <row r="1834" spans="1:49">
      <c r="A1834" s="52"/>
      <c r="B1834" s="52"/>
      <c r="C1834" s="52"/>
      <c r="D1834" s="53"/>
      <c r="E1834" s="53"/>
      <c r="F1834" s="52"/>
      <c r="G1834" s="52"/>
      <c r="H1834" s="52"/>
      <c r="I1834" s="52"/>
      <c r="J1834" s="52"/>
      <c r="K1834" s="52"/>
      <c r="L1834" s="52"/>
      <c r="M1834" s="52"/>
      <c r="N1834" s="52"/>
      <c r="O1834" s="52"/>
      <c r="P1834" s="52"/>
      <c r="Q1834" s="52"/>
      <c r="R1834" s="52"/>
      <c r="S1834" s="52"/>
      <c r="T1834" s="52"/>
      <c r="U1834" s="52"/>
      <c r="V1834" s="52"/>
      <c r="W1834" s="52"/>
      <c r="X1834" s="52"/>
      <c r="Y1834" s="52"/>
      <c r="Z1834" s="52"/>
      <c r="AA1834" s="52"/>
      <c r="AB1834" s="52"/>
      <c r="AC1834" s="52"/>
      <c r="AD1834" s="52"/>
      <c r="AE1834" s="52"/>
      <c r="AF1834" s="52"/>
      <c r="AG1834" s="52"/>
      <c r="AH1834" s="52"/>
      <c r="AI1834" s="52"/>
      <c r="AJ1834" s="52"/>
      <c r="AK1834" s="52"/>
      <c r="AL1834" s="52"/>
      <c r="AM1834" s="52"/>
      <c r="AN1834" s="52"/>
      <c r="AO1834" s="52"/>
      <c r="AP1834" s="52"/>
      <c r="AQ1834" s="52"/>
      <c r="AR1834" s="52"/>
      <c r="AS1834" s="52"/>
      <c r="AT1834" s="52"/>
      <c r="AU1834" s="52"/>
      <c r="AV1834" s="52"/>
      <c r="AW1834" s="52"/>
    </row>
    <row r="1835" spans="1:49">
      <c r="A1835" s="52"/>
      <c r="B1835" s="52"/>
      <c r="C1835" s="52"/>
      <c r="D1835" s="53"/>
      <c r="E1835" s="53"/>
      <c r="F1835" s="52"/>
      <c r="G1835" s="52"/>
      <c r="H1835" s="52"/>
      <c r="I1835" s="52"/>
      <c r="J1835" s="52"/>
      <c r="K1835" s="52"/>
      <c r="L1835" s="52"/>
      <c r="M1835" s="54"/>
      <c r="N1835" s="54"/>
      <c r="O1835" s="52"/>
      <c r="P1835" s="52"/>
      <c r="Q1835" s="52"/>
      <c r="R1835" s="52"/>
      <c r="S1835" s="52"/>
      <c r="T1835" s="52"/>
      <c r="U1835" s="52"/>
      <c r="V1835" s="52"/>
      <c r="W1835" s="52"/>
      <c r="X1835" s="52"/>
      <c r="Y1835" s="52"/>
      <c r="Z1835" s="52"/>
      <c r="AA1835" s="52"/>
      <c r="AB1835" s="52"/>
      <c r="AC1835" s="52"/>
      <c r="AD1835" s="52"/>
      <c r="AE1835" s="52"/>
      <c r="AF1835" s="52"/>
      <c r="AG1835" s="52"/>
      <c r="AH1835" s="52"/>
      <c r="AI1835" s="52"/>
      <c r="AJ1835" s="52"/>
      <c r="AK1835" s="52"/>
      <c r="AL1835" s="52"/>
      <c r="AM1835" s="52"/>
      <c r="AN1835" s="52"/>
      <c r="AO1835" s="52"/>
      <c r="AP1835" s="52"/>
      <c r="AQ1835" s="52"/>
      <c r="AR1835" s="52"/>
      <c r="AS1835" s="52"/>
      <c r="AT1835" s="52"/>
      <c r="AU1835" s="52"/>
      <c r="AV1835" s="52"/>
      <c r="AW1835" s="52"/>
    </row>
    <row r="1836" spans="1:49">
      <c r="A1836" s="52"/>
      <c r="B1836" s="52"/>
      <c r="C1836" s="52"/>
      <c r="D1836" s="53"/>
      <c r="E1836" s="53"/>
      <c r="F1836" s="52"/>
      <c r="G1836" s="52"/>
      <c r="H1836" s="52"/>
      <c r="I1836" s="52"/>
      <c r="J1836" s="52"/>
      <c r="K1836" s="52"/>
      <c r="L1836" s="52"/>
      <c r="M1836" s="52"/>
      <c r="N1836" s="52"/>
      <c r="O1836" s="52"/>
      <c r="P1836" s="52"/>
      <c r="Q1836" s="52"/>
      <c r="R1836" s="52"/>
      <c r="S1836" s="52"/>
      <c r="T1836" s="52"/>
      <c r="U1836" s="52"/>
      <c r="V1836" s="52"/>
      <c r="W1836" s="52"/>
      <c r="X1836" s="52"/>
      <c r="Y1836" s="52"/>
      <c r="Z1836" s="52"/>
      <c r="AA1836" s="52"/>
      <c r="AB1836" s="52"/>
      <c r="AC1836" s="52"/>
      <c r="AD1836" s="52"/>
      <c r="AE1836" s="52"/>
      <c r="AF1836" s="52"/>
      <c r="AG1836" s="52"/>
      <c r="AH1836" s="52"/>
      <c r="AI1836" s="52"/>
      <c r="AJ1836" s="52"/>
      <c r="AK1836" s="52"/>
      <c r="AL1836" s="52"/>
      <c r="AM1836" s="52"/>
      <c r="AN1836" s="52"/>
      <c r="AO1836" s="52"/>
      <c r="AP1836" s="52"/>
      <c r="AQ1836" s="52"/>
      <c r="AR1836" s="52"/>
      <c r="AS1836" s="52"/>
      <c r="AT1836" s="52"/>
      <c r="AU1836" s="52"/>
      <c r="AV1836" s="52"/>
      <c r="AW1836" s="52"/>
    </row>
    <row r="1837" spans="1:49">
      <c r="A1837" s="52"/>
      <c r="B1837" s="52"/>
      <c r="C1837" s="52"/>
      <c r="D1837" s="53"/>
      <c r="E1837" s="53"/>
      <c r="F1837" s="53"/>
      <c r="G1837" s="53"/>
      <c r="H1837" s="53"/>
      <c r="I1837" s="52"/>
      <c r="J1837" s="52"/>
      <c r="K1837" s="53"/>
      <c r="L1837" s="52"/>
      <c r="M1837" s="54"/>
      <c r="N1837" s="54"/>
      <c r="O1837" s="52"/>
      <c r="P1837" s="52"/>
      <c r="Q1837" s="52"/>
      <c r="R1837" s="52"/>
      <c r="S1837" s="52"/>
      <c r="T1837" s="52"/>
      <c r="U1837" s="52"/>
      <c r="V1837" s="52"/>
      <c r="W1837" s="52"/>
      <c r="X1837" s="52"/>
      <c r="Y1837" s="52"/>
      <c r="Z1837" s="52"/>
      <c r="AA1837" s="52"/>
      <c r="AB1837" s="52"/>
      <c r="AC1837" s="52"/>
      <c r="AD1837" s="52"/>
      <c r="AE1837" s="52"/>
      <c r="AF1837" s="52"/>
      <c r="AG1837" s="52"/>
      <c r="AH1837" s="52"/>
      <c r="AI1837" s="52"/>
      <c r="AJ1837" s="52"/>
      <c r="AK1837" s="52"/>
      <c r="AL1837" s="52"/>
      <c r="AM1837" s="52"/>
      <c r="AN1837" s="52"/>
      <c r="AO1837" s="52"/>
      <c r="AP1837" s="52"/>
      <c r="AQ1837" s="52"/>
      <c r="AR1837" s="52"/>
      <c r="AS1837" s="52"/>
      <c r="AT1837" s="52"/>
      <c r="AU1837" s="52"/>
      <c r="AV1837" s="52"/>
      <c r="AW1837" s="52"/>
    </row>
    <row r="1838" spans="1:49">
      <c r="A1838" s="52"/>
      <c r="B1838" s="52"/>
      <c r="C1838" s="52"/>
      <c r="D1838" s="53"/>
      <c r="E1838" s="53"/>
      <c r="F1838" s="53"/>
      <c r="G1838" s="53"/>
      <c r="H1838" s="53"/>
      <c r="I1838" s="52"/>
      <c r="J1838" s="52"/>
      <c r="K1838" s="53"/>
      <c r="L1838" s="52"/>
      <c r="M1838" s="54"/>
      <c r="N1838" s="54"/>
      <c r="O1838" s="52"/>
      <c r="P1838" s="52"/>
      <c r="Q1838" s="52"/>
      <c r="R1838" s="52"/>
      <c r="S1838" s="52"/>
      <c r="T1838" s="52"/>
      <c r="U1838" s="52"/>
      <c r="V1838" s="52"/>
      <c r="W1838" s="52"/>
      <c r="X1838" s="52"/>
      <c r="Y1838" s="52"/>
      <c r="Z1838" s="52"/>
      <c r="AA1838" s="52"/>
      <c r="AB1838" s="52"/>
      <c r="AC1838" s="52"/>
      <c r="AD1838" s="52"/>
      <c r="AE1838" s="52"/>
      <c r="AF1838" s="52"/>
      <c r="AG1838" s="52"/>
      <c r="AH1838" s="52"/>
      <c r="AI1838" s="52"/>
      <c r="AJ1838" s="52"/>
      <c r="AK1838" s="52"/>
      <c r="AL1838" s="55"/>
      <c r="AM1838" s="52"/>
      <c r="AN1838" s="52"/>
      <c r="AO1838" s="55"/>
      <c r="AP1838" s="55"/>
      <c r="AQ1838" s="52"/>
      <c r="AR1838" s="52"/>
      <c r="AS1838" s="52"/>
      <c r="AT1838" s="52"/>
      <c r="AU1838" s="52"/>
      <c r="AV1838" s="52"/>
      <c r="AW1838" s="52"/>
    </row>
    <row r="1839" spans="1:49">
      <c r="A1839" s="52"/>
      <c r="B1839" s="52"/>
      <c r="C1839" s="52"/>
      <c r="D1839" s="53"/>
      <c r="E1839" s="53"/>
      <c r="F1839" s="53"/>
      <c r="G1839" s="53"/>
      <c r="H1839" s="53"/>
      <c r="I1839" s="52"/>
      <c r="J1839" s="52"/>
      <c r="K1839" s="53"/>
      <c r="L1839" s="52"/>
      <c r="M1839" s="54"/>
      <c r="N1839" s="54"/>
      <c r="O1839" s="52"/>
      <c r="P1839" s="52"/>
      <c r="Q1839" s="52"/>
      <c r="R1839" s="52"/>
      <c r="S1839" s="52"/>
      <c r="T1839" s="52"/>
      <c r="U1839" s="52"/>
      <c r="V1839" s="52"/>
      <c r="W1839" s="52"/>
      <c r="X1839" s="52"/>
      <c r="Y1839" s="52"/>
      <c r="Z1839" s="52"/>
      <c r="AA1839" s="52"/>
      <c r="AB1839" s="52"/>
      <c r="AC1839" s="52"/>
      <c r="AD1839" s="52"/>
      <c r="AE1839" s="52"/>
      <c r="AF1839" s="52"/>
      <c r="AG1839" s="52"/>
      <c r="AH1839" s="52"/>
      <c r="AI1839" s="52"/>
      <c r="AJ1839" s="52"/>
      <c r="AK1839" s="52"/>
      <c r="AL1839" s="55"/>
      <c r="AM1839" s="52"/>
      <c r="AN1839" s="52"/>
      <c r="AO1839" s="55"/>
      <c r="AP1839" s="55"/>
      <c r="AQ1839" s="52"/>
      <c r="AR1839" s="52"/>
      <c r="AS1839" s="52"/>
      <c r="AT1839" s="52"/>
      <c r="AU1839" s="52"/>
      <c r="AV1839" s="52"/>
      <c r="AW1839" s="52"/>
    </row>
    <row r="1840" spans="1:49">
      <c r="A1840" s="52"/>
      <c r="B1840" s="52"/>
      <c r="C1840" s="52"/>
      <c r="D1840" s="53"/>
      <c r="E1840" s="53"/>
      <c r="F1840" s="52"/>
      <c r="G1840" s="52"/>
      <c r="H1840" s="52"/>
      <c r="I1840" s="52"/>
      <c r="J1840" s="52"/>
      <c r="K1840" s="52"/>
      <c r="L1840" s="52"/>
      <c r="M1840" s="54"/>
      <c r="N1840" s="55"/>
      <c r="O1840" s="52"/>
      <c r="P1840" s="52"/>
      <c r="Q1840" s="52"/>
      <c r="R1840" s="52"/>
      <c r="S1840" s="52"/>
      <c r="T1840" s="52"/>
      <c r="U1840" s="52"/>
      <c r="V1840" s="52"/>
      <c r="W1840" s="52"/>
      <c r="X1840" s="52"/>
      <c r="Y1840" s="52"/>
      <c r="Z1840" s="52"/>
      <c r="AA1840" s="52"/>
      <c r="AB1840" s="52"/>
      <c r="AC1840" s="52"/>
      <c r="AD1840" s="52"/>
      <c r="AE1840" s="52"/>
      <c r="AF1840" s="52"/>
      <c r="AG1840" s="52"/>
      <c r="AH1840" s="52"/>
      <c r="AI1840" s="52"/>
      <c r="AJ1840" s="52"/>
      <c r="AK1840" s="52"/>
      <c r="AL1840" s="52"/>
      <c r="AM1840" s="52"/>
      <c r="AN1840" s="52"/>
      <c r="AO1840" s="52"/>
      <c r="AP1840" s="52"/>
      <c r="AQ1840" s="52"/>
      <c r="AR1840" s="52"/>
      <c r="AS1840" s="52"/>
      <c r="AT1840" s="52"/>
      <c r="AU1840" s="52"/>
      <c r="AV1840" s="52"/>
      <c r="AW1840" s="52"/>
    </row>
    <row r="1841" spans="1:49">
      <c r="A1841" s="52"/>
      <c r="B1841" s="52"/>
      <c r="C1841" s="52"/>
      <c r="D1841" s="53"/>
      <c r="E1841" s="53"/>
      <c r="F1841" s="52"/>
      <c r="G1841" s="52"/>
      <c r="H1841" s="52"/>
      <c r="I1841" s="52"/>
      <c r="J1841" s="52"/>
      <c r="K1841" s="52"/>
      <c r="L1841" s="52"/>
      <c r="M1841" s="52"/>
      <c r="N1841" s="52"/>
      <c r="O1841" s="52"/>
      <c r="P1841" s="52"/>
      <c r="Q1841" s="52"/>
      <c r="R1841" s="52"/>
      <c r="S1841" s="52"/>
      <c r="T1841" s="52"/>
      <c r="U1841" s="52"/>
      <c r="V1841" s="52"/>
      <c r="W1841" s="52"/>
      <c r="X1841" s="52"/>
      <c r="Y1841" s="52"/>
      <c r="Z1841" s="52"/>
      <c r="AA1841" s="52"/>
      <c r="AB1841" s="52"/>
      <c r="AC1841" s="52"/>
      <c r="AD1841" s="52"/>
      <c r="AE1841" s="52"/>
      <c r="AF1841" s="52"/>
      <c r="AG1841" s="52"/>
      <c r="AH1841" s="52"/>
      <c r="AI1841" s="52"/>
      <c r="AJ1841" s="52"/>
      <c r="AK1841" s="52"/>
      <c r="AL1841" s="52"/>
      <c r="AM1841" s="52"/>
      <c r="AN1841" s="52"/>
      <c r="AO1841" s="52"/>
      <c r="AP1841" s="52"/>
      <c r="AQ1841" s="52"/>
      <c r="AR1841" s="52"/>
      <c r="AS1841" s="52"/>
      <c r="AT1841" s="52"/>
      <c r="AU1841" s="52"/>
      <c r="AV1841" s="52"/>
      <c r="AW1841" s="52"/>
    </row>
    <row r="1842" spans="1:49">
      <c r="A1842" s="52"/>
      <c r="B1842" s="52"/>
      <c r="C1842" s="52"/>
      <c r="D1842" s="53"/>
      <c r="E1842" s="53"/>
      <c r="F1842" s="53"/>
      <c r="G1842" s="53"/>
      <c r="H1842" s="53"/>
      <c r="I1842" s="52"/>
      <c r="J1842" s="52"/>
      <c r="K1842" s="53"/>
      <c r="L1842" s="52"/>
      <c r="M1842" s="54"/>
      <c r="N1842" s="54"/>
      <c r="O1842" s="52"/>
      <c r="P1842" s="52"/>
      <c r="Q1842" s="52"/>
      <c r="R1842" s="52"/>
      <c r="S1842" s="52"/>
      <c r="T1842" s="52"/>
      <c r="U1842" s="52"/>
      <c r="V1842" s="52"/>
      <c r="W1842" s="52"/>
      <c r="X1842" s="52"/>
      <c r="Y1842" s="52"/>
      <c r="Z1842" s="52"/>
      <c r="AA1842" s="52"/>
      <c r="AB1842" s="52"/>
      <c r="AC1842" s="52"/>
      <c r="AD1842" s="52"/>
      <c r="AE1842" s="52"/>
      <c r="AF1842" s="52"/>
      <c r="AG1842" s="52"/>
      <c r="AH1842" s="52"/>
      <c r="AI1842" s="52"/>
      <c r="AJ1842" s="52"/>
      <c r="AK1842" s="52"/>
      <c r="AL1842" s="52"/>
      <c r="AM1842" s="52"/>
      <c r="AN1842" s="52"/>
      <c r="AO1842" s="52"/>
      <c r="AP1842" s="52"/>
      <c r="AQ1842" s="52"/>
      <c r="AR1842" s="52"/>
      <c r="AS1842" s="52"/>
      <c r="AT1842" s="52"/>
      <c r="AU1842" s="52"/>
      <c r="AV1842" s="52"/>
      <c r="AW1842" s="52"/>
    </row>
    <row r="1843" spans="1:49">
      <c r="A1843" s="52"/>
      <c r="B1843" s="52"/>
      <c r="C1843" s="52"/>
      <c r="D1843" s="53"/>
      <c r="E1843" s="53"/>
      <c r="F1843" s="53"/>
      <c r="G1843" s="53"/>
      <c r="H1843" s="53"/>
      <c r="I1843" s="52"/>
      <c r="J1843" s="52"/>
      <c r="K1843" s="53"/>
      <c r="L1843" s="52"/>
      <c r="M1843" s="54"/>
      <c r="N1843" s="54"/>
      <c r="O1843" s="52"/>
      <c r="P1843" s="52"/>
      <c r="Q1843" s="52"/>
      <c r="R1843" s="52"/>
      <c r="S1843" s="52"/>
      <c r="T1843" s="52"/>
      <c r="U1843" s="52"/>
      <c r="V1843" s="52"/>
      <c r="W1843" s="52"/>
      <c r="X1843" s="52"/>
      <c r="Y1843" s="52"/>
      <c r="Z1843" s="52"/>
      <c r="AA1843" s="52"/>
      <c r="AB1843" s="52"/>
      <c r="AC1843" s="52"/>
      <c r="AD1843" s="52"/>
      <c r="AE1843" s="52"/>
      <c r="AF1843" s="52"/>
      <c r="AG1843" s="52"/>
      <c r="AH1843" s="52"/>
      <c r="AI1843" s="52"/>
      <c r="AJ1843" s="52"/>
      <c r="AK1843" s="52"/>
      <c r="AL1843" s="55"/>
      <c r="AM1843" s="52"/>
      <c r="AN1843" s="52"/>
      <c r="AO1843" s="55"/>
      <c r="AP1843" s="55"/>
      <c r="AQ1843" s="52"/>
      <c r="AR1843" s="52"/>
      <c r="AS1843" s="52"/>
      <c r="AT1843" s="52"/>
      <c r="AU1843" s="52"/>
      <c r="AV1843" s="52"/>
      <c r="AW1843" s="52"/>
    </row>
    <row r="1844" spans="1:49">
      <c r="A1844" s="52"/>
      <c r="B1844" s="52"/>
      <c r="C1844" s="52"/>
      <c r="D1844" s="53"/>
      <c r="E1844" s="53"/>
      <c r="F1844" s="53"/>
      <c r="G1844" s="53"/>
      <c r="H1844" s="53"/>
      <c r="I1844" s="52"/>
      <c r="J1844" s="52"/>
      <c r="K1844" s="53"/>
      <c r="L1844" s="52"/>
      <c r="M1844" s="54"/>
      <c r="N1844" s="54"/>
      <c r="O1844" s="52"/>
      <c r="P1844" s="52"/>
      <c r="Q1844" s="52"/>
      <c r="R1844" s="52"/>
      <c r="S1844" s="52"/>
      <c r="T1844" s="52"/>
      <c r="U1844" s="52"/>
      <c r="V1844" s="52"/>
      <c r="W1844" s="52"/>
      <c r="X1844" s="52"/>
      <c r="Y1844" s="52"/>
      <c r="Z1844" s="52"/>
      <c r="AA1844" s="52"/>
      <c r="AB1844" s="52"/>
      <c r="AC1844" s="52"/>
      <c r="AD1844" s="52"/>
      <c r="AE1844" s="52"/>
      <c r="AF1844" s="52"/>
      <c r="AG1844" s="52"/>
      <c r="AH1844" s="52"/>
      <c r="AI1844" s="52"/>
      <c r="AJ1844" s="52"/>
      <c r="AK1844" s="52"/>
      <c r="AL1844" s="55"/>
      <c r="AM1844" s="52"/>
      <c r="AN1844" s="52"/>
      <c r="AO1844" s="55"/>
      <c r="AP1844" s="55"/>
      <c r="AQ1844" s="52"/>
      <c r="AR1844" s="52"/>
      <c r="AS1844" s="52"/>
      <c r="AT1844" s="52"/>
      <c r="AU1844" s="52"/>
      <c r="AV1844" s="52"/>
      <c r="AW1844" s="52"/>
    </row>
    <row r="1845" spans="1:49">
      <c r="A1845" s="52"/>
      <c r="B1845" s="52"/>
      <c r="C1845" s="52"/>
      <c r="D1845" s="53"/>
      <c r="E1845" s="53"/>
      <c r="F1845" s="53"/>
      <c r="G1845" s="53"/>
      <c r="H1845" s="53"/>
      <c r="I1845" s="52"/>
      <c r="J1845" s="52"/>
      <c r="K1845" s="53"/>
      <c r="L1845" s="52"/>
      <c r="M1845" s="54"/>
      <c r="N1845" s="54"/>
      <c r="O1845" s="52"/>
      <c r="P1845" s="52"/>
      <c r="Q1845" s="52"/>
      <c r="R1845" s="52"/>
      <c r="S1845" s="52"/>
      <c r="T1845" s="52"/>
      <c r="U1845" s="52"/>
      <c r="V1845" s="52"/>
      <c r="W1845" s="52"/>
      <c r="X1845" s="52"/>
      <c r="Y1845" s="52"/>
      <c r="Z1845" s="52"/>
      <c r="AA1845" s="52"/>
      <c r="AB1845" s="52"/>
      <c r="AC1845" s="52"/>
      <c r="AD1845" s="52"/>
      <c r="AE1845" s="52"/>
      <c r="AF1845" s="52"/>
      <c r="AG1845" s="52"/>
      <c r="AH1845" s="52"/>
      <c r="AI1845" s="52"/>
      <c r="AJ1845" s="52"/>
      <c r="AK1845" s="52"/>
      <c r="AL1845" s="55"/>
      <c r="AM1845" s="52"/>
      <c r="AN1845" s="52"/>
      <c r="AO1845" s="52"/>
      <c r="AP1845" s="52"/>
      <c r="AQ1845" s="52"/>
      <c r="AR1845" s="52"/>
      <c r="AS1845" s="52"/>
      <c r="AT1845" s="52"/>
      <c r="AU1845" s="52"/>
      <c r="AV1845" s="52"/>
      <c r="AW1845" s="52"/>
    </row>
    <row r="1846" spans="1:49">
      <c r="A1846" s="52"/>
      <c r="B1846" s="52"/>
      <c r="C1846" s="52"/>
      <c r="D1846" s="53"/>
      <c r="E1846" s="53"/>
      <c r="F1846" s="53"/>
      <c r="G1846" s="53"/>
      <c r="H1846" s="53"/>
      <c r="I1846" s="52"/>
      <c r="J1846" s="52"/>
      <c r="K1846" s="53"/>
      <c r="L1846" s="52"/>
      <c r="M1846" s="54"/>
      <c r="N1846" s="54"/>
      <c r="O1846" s="52"/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2"/>
      <c r="AA1846" s="52"/>
      <c r="AB1846" s="52"/>
      <c r="AC1846" s="52"/>
      <c r="AD1846" s="52"/>
      <c r="AE1846" s="52"/>
      <c r="AF1846" s="52"/>
      <c r="AG1846" s="52"/>
      <c r="AH1846" s="52"/>
      <c r="AI1846" s="53"/>
      <c r="AJ1846" s="53"/>
      <c r="AK1846" s="53"/>
      <c r="AL1846" s="55"/>
      <c r="AM1846" s="52"/>
      <c r="AN1846" s="55"/>
      <c r="AO1846" s="55"/>
      <c r="AP1846" s="55"/>
      <c r="AQ1846" s="52"/>
      <c r="AR1846" s="52"/>
      <c r="AS1846" s="52"/>
      <c r="AT1846" s="52"/>
      <c r="AU1846" s="52"/>
      <c r="AV1846" s="52"/>
      <c r="AW1846" s="52"/>
    </row>
    <row r="1847" spans="1:49">
      <c r="A1847" s="52"/>
      <c r="B1847" s="52"/>
      <c r="C1847" s="52"/>
      <c r="D1847" s="53"/>
      <c r="E1847" s="53"/>
      <c r="F1847" s="53"/>
      <c r="G1847" s="53"/>
      <c r="H1847" s="53"/>
      <c r="I1847" s="52"/>
      <c r="J1847" s="52"/>
      <c r="K1847" s="53"/>
      <c r="L1847" s="52"/>
      <c r="M1847" s="54"/>
      <c r="N1847" s="54"/>
      <c r="O1847" s="52"/>
      <c r="P1847" s="52"/>
      <c r="Q1847" s="52"/>
      <c r="R1847" s="52"/>
      <c r="S1847" s="52"/>
      <c r="T1847" s="52"/>
      <c r="U1847" s="52"/>
      <c r="V1847" s="52"/>
      <c r="W1847" s="52"/>
      <c r="X1847" s="52"/>
      <c r="Y1847" s="52"/>
      <c r="Z1847" s="52"/>
      <c r="AA1847" s="52"/>
      <c r="AB1847" s="52"/>
      <c r="AC1847" s="52"/>
      <c r="AD1847" s="52"/>
      <c r="AE1847" s="52"/>
      <c r="AF1847" s="52"/>
      <c r="AG1847" s="52"/>
      <c r="AH1847" s="52"/>
      <c r="AI1847" s="53"/>
      <c r="AJ1847" s="53"/>
      <c r="AK1847" s="53"/>
      <c r="AL1847" s="55"/>
      <c r="AM1847" s="52"/>
      <c r="AN1847" s="55"/>
      <c r="AO1847" s="55"/>
      <c r="AP1847" s="55"/>
      <c r="AQ1847" s="52"/>
      <c r="AR1847" s="52"/>
      <c r="AS1847" s="52"/>
      <c r="AT1847" s="52"/>
      <c r="AU1847" s="52"/>
      <c r="AV1847" s="52"/>
      <c r="AW1847" s="52"/>
    </row>
    <row r="1848" spans="1:49">
      <c r="A1848" s="52"/>
      <c r="B1848" s="52"/>
      <c r="C1848" s="52"/>
      <c r="D1848" s="53"/>
      <c r="E1848" s="53"/>
      <c r="F1848" s="53"/>
      <c r="G1848" s="53"/>
      <c r="H1848" s="53"/>
      <c r="I1848" s="52"/>
      <c r="J1848" s="52"/>
      <c r="K1848" s="53"/>
      <c r="L1848" s="52"/>
      <c r="M1848" s="52"/>
      <c r="N1848" s="54"/>
      <c r="O1848" s="52"/>
      <c r="P1848" s="52"/>
      <c r="Q1848" s="52"/>
      <c r="R1848" s="52"/>
      <c r="S1848" s="52"/>
      <c r="T1848" s="52"/>
      <c r="U1848" s="52"/>
      <c r="V1848" s="52"/>
      <c r="W1848" s="52"/>
      <c r="X1848" s="52"/>
      <c r="Y1848" s="52"/>
      <c r="Z1848" s="52"/>
      <c r="AA1848" s="52"/>
      <c r="AB1848" s="52"/>
      <c r="AC1848" s="52"/>
      <c r="AD1848" s="52"/>
      <c r="AE1848" s="52"/>
      <c r="AF1848" s="52"/>
      <c r="AG1848" s="52"/>
      <c r="AH1848" s="52"/>
      <c r="AI1848" s="52"/>
      <c r="AJ1848" s="52"/>
      <c r="AK1848" s="52"/>
      <c r="AL1848" s="52"/>
      <c r="AM1848" s="52"/>
      <c r="AN1848" s="52"/>
      <c r="AO1848" s="52"/>
      <c r="AP1848" s="52"/>
      <c r="AQ1848" s="52"/>
      <c r="AR1848" s="52"/>
      <c r="AS1848" s="52"/>
      <c r="AT1848" s="52"/>
      <c r="AU1848" s="52"/>
      <c r="AV1848" s="52"/>
      <c r="AW1848" s="52"/>
    </row>
    <row r="1849" spans="1:49">
      <c r="A1849" s="52"/>
      <c r="B1849" s="52"/>
      <c r="C1849" s="52"/>
      <c r="D1849" s="53"/>
      <c r="E1849" s="53"/>
      <c r="F1849" s="53"/>
      <c r="G1849" s="53"/>
      <c r="H1849" s="53"/>
      <c r="I1849" s="52"/>
      <c r="J1849" s="52"/>
      <c r="K1849" s="53"/>
      <c r="L1849" s="52"/>
      <c r="M1849" s="54"/>
      <c r="N1849" s="54"/>
      <c r="O1849" s="52"/>
      <c r="P1849" s="52"/>
      <c r="Q1849" s="52"/>
      <c r="R1849" s="52"/>
      <c r="S1849" s="52"/>
      <c r="T1849" s="52"/>
      <c r="U1849" s="52"/>
      <c r="V1849" s="52"/>
      <c r="W1849" s="52"/>
      <c r="X1849" s="52"/>
      <c r="Y1849" s="52"/>
      <c r="Z1849" s="52"/>
      <c r="AA1849" s="52"/>
      <c r="AB1849" s="52"/>
      <c r="AC1849" s="52"/>
      <c r="AD1849" s="52"/>
      <c r="AE1849" s="52"/>
      <c r="AF1849" s="52"/>
      <c r="AG1849" s="52"/>
      <c r="AH1849" s="52"/>
      <c r="AI1849" s="52"/>
      <c r="AJ1849" s="52"/>
      <c r="AK1849" s="52"/>
      <c r="AL1849" s="52"/>
      <c r="AM1849" s="52"/>
      <c r="AN1849" s="52"/>
      <c r="AO1849" s="52"/>
      <c r="AP1849" s="52"/>
      <c r="AQ1849" s="52"/>
      <c r="AR1849" s="52"/>
      <c r="AS1849" s="52"/>
      <c r="AT1849" s="52"/>
      <c r="AU1849" s="52"/>
      <c r="AV1849" s="52"/>
      <c r="AW1849" s="52"/>
    </row>
    <row r="1850" spans="1:49">
      <c r="A1850" s="52"/>
      <c r="B1850" s="52"/>
      <c r="C1850" s="52"/>
      <c r="D1850" s="53"/>
      <c r="E1850" s="53"/>
      <c r="F1850" s="53"/>
      <c r="G1850" s="53"/>
      <c r="H1850" s="53"/>
      <c r="I1850" s="52"/>
      <c r="J1850" s="52"/>
      <c r="K1850" s="53"/>
      <c r="L1850" s="52"/>
      <c r="M1850" s="54"/>
      <c r="N1850" s="54"/>
      <c r="O1850" s="52"/>
      <c r="P1850" s="52"/>
      <c r="Q1850" s="52"/>
      <c r="R1850" s="52"/>
      <c r="S1850" s="52"/>
      <c r="T1850" s="52"/>
      <c r="U1850" s="52"/>
      <c r="V1850" s="52"/>
      <c r="W1850" s="52"/>
      <c r="X1850" s="52"/>
      <c r="Y1850" s="52"/>
      <c r="Z1850" s="52"/>
      <c r="AA1850" s="52"/>
      <c r="AB1850" s="52"/>
      <c r="AC1850" s="52"/>
      <c r="AD1850" s="52"/>
      <c r="AE1850" s="52"/>
      <c r="AF1850" s="52"/>
      <c r="AG1850" s="52"/>
      <c r="AH1850" s="52"/>
      <c r="AI1850" s="52"/>
      <c r="AJ1850" s="52"/>
      <c r="AK1850" s="52"/>
      <c r="AL1850" s="52"/>
      <c r="AM1850" s="52"/>
      <c r="AN1850" s="52"/>
      <c r="AO1850" s="52"/>
      <c r="AP1850" s="52"/>
      <c r="AQ1850" s="52"/>
      <c r="AR1850" s="52"/>
      <c r="AS1850" s="52"/>
      <c r="AT1850" s="52"/>
      <c r="AU1850" s="52"/>
      <c r="AV1850" s="52"/>
      <c r="AW1850" s="52"/>
    </row>
    <row r="1851" spans="1:49">
      <c r="A1851" s="52"/>
      <c r="B1851" s="52"/>
      <c r="C1851" s="52"/>
      <c r="D1851" s="53"/>
      <c r="E1851" s="53"/>
      <c r="F1851" s="53"/>
      <c r="G1851" s="53"/>
      <c r="H1851" s="53"/>
      <c r="I1851" s="52"/>
      <c r="J1851" s="52"/>
      <c r="K1851" s="53"/>
      <c r="L1851" s="52"/>
      <c r="M1851" s="54"/>
      <c r="N1851" s="54"/>
      <c r="O1851" s="52"/>
      <c r="P1851" s="52"/>
      <c r="Q1851" s="52"/>
      <c r="R1851" s="52"/>
      <c r="S1851" s="52"/>
      <c r="T1851" s="52"/>
      <c r="U1851" s="52"/>
      <c r="V1851" s="52"/>
      <c r="W1851" s="52"/>
      <c r="X1851" s="52"/>
      <c r="Y1851" s="52"/>
      <c r="Z1851" s="52"/>
      <c r="AA1851" s="52"/>
      <c r="AB1851" s="52"/>
      <c r="AC1851" s="52"/>
      <c r="AD1851" s="52"/>
      <c r="AE1851" s="52"/>
      <c r="AF1851" s="52"/>
      <c r="AG1851" s="52"/>
      <c r="AH1851" s="52"/>
      <c r="AI1851" s="52"/>
      <c r="AJ1851" s="52"/>
      <c r="AK1851" s="52"/>
      <c r="AL1851" s="52"/>
      <c r="AM1851" s="52"/>
      <c r="AN1851" s="52"/>
      <c r="AO1851" s="52"/>
      <c r="AP1851" s="52"/>
      <c r="AQ1851" s="52"/>
      <c r="AR1851" s="52"/>
      <c r="AS1851" s="52"/>
      <c r="AT1851" s="52"/>
      <c r="AU1851" s="52"/>
      <c r="AV1851" s="52"/>
      <c r="AW1851" s="52"/>
    </row>
    <row r="1852" spans="1:49">
      <c r="A1852" s="52"/>
      <c r="B1852" s="52"/>
      <c r="C1852" s="52"/>
      <c r="D1852" s="53"/>
      <c r="E1852" s="53"/>
      <c r="F1852" s="53"/>
      <c r="G1852" s="53"/>
      <c r="H1852" s="53"/>
      <c r="I1852" s="52"/>
      <c r="J1852" s="52"/>
      <c r="K1852" s="53"/>
      <c r="L1852" s="52"/>
      <c r="M1852" s="54"/>
      <c r="N1852" s="54"/>
      <c r="O1852" s="52"/>
      <c r="P1852" s="52"/>
      <c r="Q1852" s="52"/>
      <c r="R1852" s="52"/>
      <c r="S1852" s="52"/>
      <c r="T1852" s="52"/>
      <c r="U1852" s="52"/>
      <c r="V1852" s="52"/>
      <c r="W1852" s="52"/>
      <c r="X1852" s="52"/>
      <c r="Y1852" s="52"/>
      <c r="Z1852" s="52"/>
      <c r="AA1852" s="52"/>
      <c r="AB1852" s="52"/>
      <c r="AC1852" s="52"/>
      <c r="AD1852" s="52"/>
      <c r="AE1852" s="52"/>
      <c r="AF1852" s="52"/>
      <c r="AG1852" s="52"/>
      <c r="AH1852" s="52"/>
      <c r="AI1852" s="52"/>
      <c r="AJ1852" s="52"/>
      <c r="AK1852" s="52"/>
      <c r="AL1852" s="55"/>
      <c r="AM1852" s="52"/>
      <c r="AN1852" s="52"/>
      <c r="AO1852" s="55"/>
      <c r="AP1852" s="55"/>
      <c r="AQ1852" s="52"/>
      <c r="AR1852" s="52"/>
      <c r="AS1852" s="52"/>
      <c r="AT1852" s="52"/>
      <c r="AU1852" s="52"/>
      <c r="AV1852" s="52"/>
      <c r="AW1852" s="52"/>
    </row>
    <row r="1853" spans="1:49">
      <c r="A1853" s="52"/>
      <c r="B1853" s="52"/>
      <c r="C1853" s="52"/>
      <c r="D1853" s="53"/>
      <c r="E1853" s="53"/>
      <c r="F1853" s="53"/>
      <c r="G1853" s="53"/>
      <c r="H1853" s="53"/>
      <c r="I1853" s="52"/>
      <c r="J1853" s="52"/>
      <c r="K1853" s="53"/>
      <c r="L1853" s="52"/>
      <c r="M1853" s="54"/>
      <c r="N1853" s="54"/>
      <c r="O1853" s="52"/>
      <c r="P1853" s="52"/>
      <c r="Q1853" s="52"/>
      <c r="R1853" s="52"/>
      <c r="S1853" s="52"/>
      <c r="T1853" s="52"/>
      <c r="U1853" s="52"/>
      <c r="V1853" s="52"/>
      <c r="W1853" s="52"/>
      <c r="X1853" s="52"/>
      <c r="Y1853" s="52"/>
      <c r="Z1853" s="52"/>
      <c r="AA1853" s="52"/>
      <c r="AB1853" s="52"/>
      <c r="AC1853" s="52"/>
      <c r="AD1853" s="52"/>
      <c r="AE1853" s="52"/>
      <c r="AF1853" s="52"/>
      <c r="AG1853" s="52"/>
      <c r="AH1853" s="52"/>
      <c r="AI1853" s="52"/>
      <c r="AJ1853" s="52"/>
      <c r="AK1853" s="52"/>
      <c r="AL1853" s="55"/>
      <c r="AM1853" s="52"/>
      <c r="AN1853" s="52"/>
      <c r="AO1853" s="55"/>
      <c r="AP1853" s="55"/>
      <c r="AQ1853" s="52"/>
      <c r="AR1853" s="52"/>
      <c r="AS1853" s="52"/>
      <c r="AT1853" s="52"/>
      <c r="AU1853" s="52"/>
      <c r="AV1853" s="52"/>
      <c r="AW1853" s="52"/>
    </row>
    <row r="1854" spans="1:49">
      <c r="A1854" s="52"/>
      <c r="B1854" s="52"/>
      <c r="C1854" s="52"/>
      <c r="D1854" s="53"/>
      <c r="E1854" s="53"/>
      <c r="F1854" s="53"/>
      <c r="G1854" s="53"/>
      <c r="H1854" s="53"/>
      <c r="I1854" s="52"/>
      <c r="J1854" s="52"/>
      <c r="K1854" s="53"/>
      <c r="L1854" s="52"/>
      <c r="M1854" s="52"/>
      <c r="N1854" s="54"/>
      <c r="O1854" s="52"/>
      <c r="P1854" s="52"/>
      <c r="Q1854" s="52"/>
      <c r="R1854" s="52"/>
      <c r="S1854" s="52"/>
      <c r="T1854" s="52"/>
      <c r="U1854" s="52"/>
      <c r="V1854" s="52"/>
      <c r="W1854" s="52"/>
      <c r="X1854" s="52"/>
      <c r="Y1854" s="52"/>
      <c r="Z1854" s="52"/>
      <c r="AA1854" s="52"/>
      <c r="AB1854" s="52"/>
      <c r="AC1854" s="52"/>
      <c r="AD1854" s="52"/>
      <c r="AE1854" s="52"/>
      <c r="AF1854" s="52"/>
      <c r="AG1854" s="52"/>
      <c r="AH1854" s="52"/>
      <c r="AI1854" s="52"/>
      <c r="AJ1854" s="52"/>
      <c r="AK1854" s="52"/>
      <c r="AL1854" s="52"/>
      <c r="AM1854" s="52"/>
      <c r="AN1854" s="52"/>
      <c r="AO1854" s="52"/>
      <c r="AP1854" s="52"/>
      <c r="AQ1854" s="52"/>
      <c r="AR1854" s="52"/>
      <c r="AS1854" s="52"/>
      <c r="AT1854" s="52"/>
      <c r="AU1854" s="52"/>
      <c r="AV1854" s="52"/>
      <c r="AW1854" s="52"/>
    </row>
    <row r="1855" spans="1:49">
      <c r="A1855" s="52"/>
      <c r="B1855" s="52"/>
      <c r="C1855" s="52"/>
      <c r="D1855" s="53"/>
      <c r="E1855" s="53"/>
      <c r="F1855" s="53"/>
      <c r="G1855" s="53"/>
      <c r="H1855" s="53"/>
      <c r="I1855" s="52"/>
      <c r="J1855" s="52"/>
      <c r="K1855" s="53"/>
      <c r="L1855" s="52"/>
      <c r="M1855" s="55"/>
      <c r="N1855" s="54"/>
      <c r="O1855" s="52"/>
      <c r="P1855" s="52"/>
      <c r="Q1855" s="52"/>
      <c r="R1855" s="52"/>
      <c r="S1855" s="52"/>
      <c r="T1855" s="52"/>
      <c r="U1855" s="52"/>
      <c r="V1855" s="52"/>
      <c r="W1855" s="52"/>
      <c r="X1855" s="52"/>
      <c r="Y1855" s="52"/>
      <c r="Z1855" s="52"/>
      <c r="AA1855" s="52"/>
      <c r="AB1855" s="52"/>
      <c r="AC1855" s="52"/>
      <c r="AD1855" s="52"/>
      <c r="AE1855" s="52"/>
      <c r="AF1855" s="52"/>
      <c r="AG1855" s="52"/>
      <c r="AH1855" s="52"/>
      <c r="AI1855" s="52"/>
      <c r="AJ1855" s="52"/>
      <c r="AK1855" s="52"/>
      <c r="AL1855" s="55"/>
      <c r="AM1855" s="52"/>
      <c r="AN1855" s="52"/>
      <c r="AO1855" s="55"/>
      <c r="AP1855" s="55"/>
      <c r="AQ1855" s="52"/>
      <c r="AR1855" s="52"/>
      <c r="AS1855" s="52"/>
      <c r="AT1855" s="52"/>
      <c r="AU1855" s="52"/>
      <c r="AV1855" s="52"/>
      <c r="AW1855" s="52"/>
    </row>
    <row r="1856" spans="1:49">
      <c r="A1856" s="52"/>
      <c r="B1856" s="52"/>
      <c r="C1856" s="52"/>
      <c r="D1856" s="53"/>
      <c r="E1856" s="53"/>
      <c r="F1856" s="53"/>
      <c r="G1856" s="53"/>
      <c r="H1856" s="53"/>
      <c r="I1856" s="52"/>
      <c r="J1856" s="52"/>
      <c r="K1856" s="53"/>
      <c r="L1856" s="52"/>
      <c r="M1856" s="55"/>
      <c r="N1856" s="54"/>
      <c r="O1856" s="52"/>
      <c r="P1856" s="52"/>
      <c r="Q1856" s="52"/>
      <c r="R1856" s="52"/>
      <c r="S1856" s="52"/>
      <c r="T1856" s="52"/>
      <c r="U1856" s="52"/>
      <c r="V1856" s="52"/>
      <c r="W1856" s="52"/>
      <c r="X1856" s="52"/>
      <c r="Y1856" s="52"/>
      <c r="Z1856" s="52"/>
      <c r="AA1856" s="52"/>
      <c r="AB1856" s="52"/>
      <c r="AC1856" s="52"/>
      <c r="AD1856" s="52"/>
      <c r="AE1856" s="52"/>
      <c r="AF1856" s="52"/>
      <c r="AG1856" s="52"/>
      <c r="AH1856" s="52"/>
      <c r="AI1856" s="52"/>
      <c r="AJ1856" s="52"/>
      <c r="AK1856" s="52"/>
      <c r="AL1856" s="55"/>
      <c r="AM1856" s="52"/>
      <c r="AN1856" s="52"/>
      <c r="AO1856" s="55"/>
      <c r="AP1856" s="55"/>
      <c r="AQ1856" s="52"/>
      <c r="AR1856" s="52"/>
      <c r="AS1856" s="52"/>
      <c r="AT1856" s="52"/>
      <c r="AU1856" s="52"/>
      <c r="AV1856" s="52"/>
      <c r="AW1856" s="52"/>
    </row>
    <row r="1857" spans="1:49">
      <c r="A1857" s="52"/>
      <c r="B1857" s="52"/>
      <c r="C1857" s="52"/>
      <c r="D1857" s="53"/>
      <c r="E1857" s="53"/>
      <c r="F1857" s="53"/>
      <c r="G1857" s="53"/>
      <c r="H1857" s="53"/>
      <c r="I1857" s="52"/>
      <c r="J1857" s="52"/>
      <c r="K1857" s="53"/>
      <c r="L1857" s="52"/>
      <c r="M1857" s="54"/>
      <c r="N1857" s="54"/>
      <c r="O1857" s="52"/>
      <c r="P1857" s="52"/>
      <c r="Q1857" s="52"/>
      <c r="R1857" s="52"/>
      <c r="S1857" s="52"/>
      <c r="T1857" s="52"/>
      <c r="U1857" s="52"/>
      <c r="V1857" s="52"/>
      <c r="W1857" s="52"/>
      <c r="X1857" s="52"/>
      <c r="Y1857" s="52"/>
      <c r="Z1857" s="52"/>
      <c r="AA1857" s="52"/>
      <c r="AB1857" s="52"/>
      <c r="AC1857" s="52"/>
      <c r="AD1857" s="52"/>
      <c r="AE1857" s="52"/>
      <c r="AF1857" s="52"/>
      <c r="AG1857" s="52"/>
      <c r="AH1857" s="52"/>
      <c r="AI1857" s="52"/>
      <c r="AJ1857" s="52"/>
      <c r="AK1857" s="52"/>
      <c r="AL1857" s="52"/>
      <c r="AM1857" s="52"/>
      <c r="AN1857" s="52"/>
      <c r="AO1857" s="52"/>
      <c r="AP1857" s="52"/>
      <c r="AQ1857" s="52"/>
      <c r="AR1857" s="52"/>
      <c r="AS1857" s="52"/>
      <c r="AT1857" s="52"/>
      <c r="AU1857" s="52"/>
      <c r="AV1857" s="52"/>
      <c r="AW1857" s="52"/>
    </row>
    <row r="1858" spans="1:49">
      <c r="A1858" s="52"/>
      <c r="B1858" s="52"/>
      <c r="C1858" s="52"/>
      <c r="D1858" s="53"/>
      <c r="E1858" s="53"/>
      <c r="F1858" s="53"/>
      <c r="G1858" s="53"/>
      <c r="H1858" s="53"/>
      <c r="I1858" s="52"/>
      <c r="J1858" s="52"/>
      <c r="K1858" s="53"/>
      <c r="L1858" s="52"/>
      <c r="M1858" s="54"/>
      <c r="N1858" s="54"/>
      <c r="O1858" s="52"/>
      <c r="P1858" s="52"/>
      <c r="Q1858" s="52"/>
      <c r="R1858" s="52"/>
      <c r="S1858" s="52"/>
      <c r="T1858" s="52"/>
      <c r="U1858" s="52"/>
      <c r="V1858" s="52"/>
      <c r="W1858" s="52"/>
      <c r="X1858" s="52"/>
      <c r="Y1858" s="52"/>
      <c r="Z1858" s="52"/>
      <c r="AA1858" s="52"/>
      <c r="AB1858" s="52"/>
      <c r="AC1858" s="52"/>
      <c r="AD1858" s="52"/>
      <c r="AE1858" s="52"/>
      <c r="AF1858" s="52"/>
      <c r="AG1858" s="52"/>
      <c r="AH1858" s="52"/>
      <c r="AI1858" s="52"/>
      <c r="AJ1858" s="52"/>
      <c r="AK1858" s="52"/>
      <c r="AL1858" s="55"/>
      <c r="AM1858" s="52"/>
      <c r="AN1858" s="52"/>
      <c r="AO1858" s="55"/>
      <c r="AP1858" s="55"/>
      <c r="AQ1858" s="52"/>
      <c r="AR1858" s="52"/>
      <c r="AS1858" s="52"/>
      <c r="AT1858" s="52"/>
      <c r="AU1858" s="52"/>
      <c r="AV1858" s="52"/>
      <c r="AW1858" s="52"/>
    </row>
    <row r="1859" spans="1:49">
      <c r="A1859" s="52"/>
      <c r="B1859" s="52"/>
      <c r="C1859" s="52"/>
      <c r="D1859" s="53"/>
      <c r="E1859" s="53"/>
      <c r="F1859" s="53"/>
      <c r="G1859" s="53"/>
      <c r="H1859" s="53"/>
      <c r="I1859" s="52"/>
      <c r="J1859" s="52"/>
      <c r="K1859" s="53"/>
      <c r="L1859" s="52"/>
      <c r="M1859" s="54"/>
      <c r="N1859" s="54"/>
      <c r="O1859" s="52"/>
      <c r="P1859" s="52"/>
      <c r="Q1859" s="52"/>
      <c r="R1859" s="52"/>
      <c r="S1859" s="52"/>
      <c r="T1859" s="52"/>
      <c r="U1859" s="52"/>
      <c r="V1859" s="52"/>
      <c r="W1859" s="52"/>
      <c r="X1859" s="52"/>
      <c r="Y1859" s="52"/>
      <c r="Z1859" s="52"/>
      <c r="AA1859" s="52"/>
      <c r="AB1859" s="52"/>
      <c r="AC1859" s="52"/>
      <c r="AD1859" s="52"/>
      <c r="AE1859" s="52"/>
      <c r="AF1859" s="52"/>
      <c r="AG1859" s="52"/>
      <c r="AH1859" s="52"/>
      <c r="AI1859" s="52"/>
      <c r="AJ1859" s="52"/>
      <c r="AK1859" s="52"/>
      <c r="AL1859" s="55"/>
      <c r="AM1859" s="52"/>
      <c r="AN1859" s="52"/>
      <c r="AO1859" s="55"/>
      <c r="AP1859" s="55"/>
      <c r="AQ1859" s="52"/>
      <c r="AR1859" s="52"/>
      <c r="AS1859" s="52"/>
      <c r="AT1859" s="52"/>
      <c r="AU1859" s="52"/>
      <c r="AV1859" s="52"/>
      <c r="AW1859" s="52"/>
    </row>
    <row r="1860" spans="1:49">
      <c r="A1860" s="52"/>
      <c r="B1860" s="52"/>
      <c r="C1860" s="52"/>
      <c r="D1860" s="53"/>
      <c r="E1860" s="53"/>
      <c r="F1860" s="52"/>
      <c r="G1860" s="52"/>
      <c r="H1860" s="52"/>
      <c r="I1860" s="52"/>
      <c r="J1860" s="52"/>
      <c r="K1860" s="52"/>
      <c r="L1860" s="52"/>
      <c r="M1860" s="54"/>
      <c r="N1860" s="54"/>
      <c r="O1860" s="52"/>
      <c r="P1860" s="52"/>
      <c r="Q1860" s="52"/>
      <c r="R1860" s="52"/>
      <c r="S1860" s="52"/>
      <c r="T1860" s="52"/>
      <c r="U1860" s="52"/>
      <c r="V1860" s="52"/>
      <c r="W1860" s="52"/>
      <c r="X1860" s="52"/>
      <c r="Y1860" s="52"/>
      <c r="Z1860" s="52"/>
      <c r="AA1860" s="52"/>
      <c r="AB1860" s="52"/>
      <c r="AC1860" s="52"/>
      <c r="AD1860" s="52"/>
      <c r="AE1860" s="52"/>
      <c r="AF1860" s="52"/>
      <c r="AG1860" s="52"/>
      <c r="AH1860" s="52"/>
      <c r="AI1860" s="52"/>
      <c r="AJ1860" s="52"/>
      <c r="AK1860" s="52"/>
      <c r="AL1860" s="52"/>
      <c r="AM1860" s="52"/>
      <c r="AN1860" s="52"/>
      <c r="AO1860" s="52"/>
      <c r="AP1860" s="52"/>
      <c r="AQ1860" s="52"/>
      <c r="AR1860" s="52"/>
      <c r="AS1860" s="52"/>
      <c r="AT1860" s="52"/>
      <c r="AU1860" s="52"/>
      <c r="AV1860" s="52"/>
      <c r="AW1860" s="52"/>
    </row>
    <row r="1861" spans="1:49">
      <c r="A1861" s="52"/>
      <c r="B1861" s="52"/>
      <c r="C1861" s="52"/>
      <c r="D1861" s="53"/>
      <c r="E1861" s="53"/>
      <c r="F1861" s="52"/>
      <c r="G1861" s="52"/>
      <c r="H1861" s="52"/>
      <c r="I1861" s="52"/>
      <c r="J1861" s="52"/>
      <c r="K1861" s="52"/>
      <c r="L1861" s="52"/>
      <c r="M1861" s="52"/>
      <c r="N1861" s="52"/>
      <c r="O1861" s="52"/>
      <c r="P1861" s="52"/>
      <c r="Q1861" s="52"/>
      <c r="R1861" s="52"/>
      <c r="S1861" s="52"/>
      <c r="T1861" s="52"/>
      <c r="U1861" s="52"/>
      <c r="V1861" s="52"/>
      <c r="W1861" s="52"/>
      <c r="X1861" s="52"/>
      <c r="Y1861" s="52"/>
      <c r="Z1861" s="52"/>
      <c r="AA1861" s="52"/>
      <c r="AB1861" s="52"/>
      <c r="AC1861" s="52"/>
      <c r="AD1861" s="52"/>
      <c r="AE1861" s="52"/>
      <c r="AF1861" s="52"/>
      <c r="AG1861" s="52"/>
      <c r="AH1861" s="52"/>
      <c r="AI1861" s="52"/>
      <c r="AJ1861" s="52"/>
      <c r="AK1861" s="52"/>
      <c r="AL1861" s="52"/>
      <c r="AM1861" s="52"/>
      <c r="AN1861" s="52"/>
      <c r="AO1861" s="52"/>
      <c r="AP1861" s="52"/>
      <c r="AQ1861" s="52"/>
      <c r="AR1861" s="52"/>
      <c r="AS1861" s="52"/>
      <c r="AT1861" s="52"/>
      <c r="AU1861" s="52"/>
      <c r="AV1861" s="52"/>
      <c r="AW1861" s="52"/>
    </row>
    <row r="1862" spans="1:49">
      <c r="A1862" s="52"/>
      <c r="B1862" s="52"/>
      <c r="C1862" s="52"/>
      <c r="D1862" s="53"/>
      <c r="E1862" s="53"/>
      <c r="F1862" s="53"/>
      <c r="G1862" s="53"/>
      <c r="H1862" s="53"/>
      <c r="I1862" s="52"/>
      <c r="J1862" s="52"/>
      <c r="K1862" s="53"/>
      <c r="L1862" s="52"/>
      <c r="M1862" s="54"/>
      <c r="N1862" s="54"/>
      <c r="O1862" s="52"/>
      <c r="P1862" s="52"/>
      <c r="Q1862" s="52"/>
      <c r="R1862" s="52"/>
      <c r="S1862" s="52"/>
      <c r="T1862" s="52"/>
      <c r="U1862" s="52"/>
      <c r="V1862" s="52"/>
      <c r="W1862" s="52"/>
      <c r="X1862" s="52"/>
      <c r="Y1862" s="52"/>
      <c r="Z1862" s="52"/>
      <c r="AA1862" s="52"/>
      <c r="AB1862" s="52"/>
      <c r="AC1862" s="52"/>
      <c r="AD1862" s="52"/>
      <c r="AE1862" s="52"/>
      <c r="AF1862" s="52"/>
      <c r="AG1862" s="52"/>
      <c r="AH1862" s="52"/>
      <c r="AI1862" s="52"/>
      <c r="AJ1862" s="52"/>
      <c r="AK1862" s="52"/>
      <c r="AL1862" s="55"/>
      <c r="AM1862" s="52"/>
      <c r="AN1862" s="52"/>
      <c r="AO1862" s="52"/>
      <c r="AP1862" s="52"/>
      <c r="AQ1862" s="52"/>
      <c r="AR1862" s="52"/>
      <c r="AS1862" s="52"/>
      <c r="AT1862" s="52"/>
      <c r="AU1862" s="52"/>
      <c r="AV1862" s="52"/>
      <c r="AW1862" s="52"/>
    </row>
    <row r="1863" spans="1:49">
      <c r="A1863" s="52"/>
      <c r="B1863" s="52"/>
      <c r="C1863" s="52"/>
      <c r="D1863" s="53"/>
      <c r="E1863" s="53"/>
      <c r="F1863" s="53"/>
      <c r="G1863" s="53"/>
      <c r="H1863" s="53"/>
      <c r="I1863" s="52"/>
      <c r="J1863" s="52"/>
      <c r="K1863" s="53"/>
      <c r="L1863" s="52"/>
      <c r="M1863" s="54"/>
      <c r="N1863" s="54"/>
      <c r="O1863" s="52"/>
      <c r="P1863" s="52"/>
      <c r="Q1863" s="52"/>
      <c r="R1863" s="52"/>
      <c r="S1863" s="52"/>
      <c r="T1863" s="52"/>
      <c r="U1863" s="52"/>
      <c r="V1863" s="52"/>
      <c r="W1863" s="52"/>
      <c r="X1863" s="52"/>
      <c r="Y1863" s="52"/>
      <c r="Z1863" s="52"/>
      <c r="AA1863" s="52"/>
      <c r="AB1863" s="52"/>
      <c r="AC1863" s="52"/>
      <c r="AD1863" s="52"/>
      <c r="AE1863" s="52"/>
      <c r="AF1863" s="52"/>
      <c r="AG1863" s="52"/>
      <c r="AH1863" s="52"/>
      <c r="AI1863" s="53"/>
      <c r="AJ1863" s="53"/>
      <c r="AK1863" s="53"/>
      <c r="AL1863" s="55"/>
      <c r="AM1863" s="52"/>
      <c r="AN1863" s="55"/>
      <c r="AO1863" s="55"/>
      <c r="AP1863" s="55"/>
      <c r="AQ1863" s="52"/>
      <c r="AR1863" s="52"/>
      <c r="AS1863" s="52"/>
      <c r="AT1863" s="52"/>
      <c r="AU1863" s="52"/>
      <c r="AV1863" s="52"/>
      <c r="AW1863" s="52"/>
    </row>
    <row r="1864" spans="1:49">
      <c r="A1864" s="52"/>
      <c r="B1864" s="52"/>
      <c r="C1864" s="52"/>
      <c r="D1864" s="53"/>
      <c r="E1864" s="53"/>
      <c r="F1864" s="53"/>
      <c r="G1864" s="53"/>
      <c r="H1864" s="53"/>
      <c r="I1864" s="52"/>
      <c r="J1864" s="52"/>
      <c r="K1864" s="53"/>
      <c r="L1864" s="52"/>
      <c r="M1864" s="54"/>
      <c r="N1864" s="54"/>
      <c r="O1864" s="52"/>
      <c r="P1864" s="52"/>
      <c r="Q1864" s="52"/>
      <c r="R1864" s="52"/>
      <c r="S1864" s="52"/>
      <c r="T1864" s="52"/>
      <c r="U1864" s="52"/>
      <c r="V1864" s="52"/>
      <c r="W1864" s="52"/>
      <c r="X1864" s="52"/>
      <c r="Y1864" s="52"/>
      <c r="Z1864" s="52"/>
      <c r="AA1864" s="52"/>
      <c r="AB1864" s="52"/>
      <c r="AC1864" s="52"/>
      <c r="AD1864" s="52"/>
      <c r="AE1864" s="52"/>
      <c r="AF1864" s="52"/>
      <c r="AG1864" s="52"/>
      <c r="AH1864" s="52"/>
      <c r="AI1864" s="53"/>
      <c r="AJ1864" s="53"/>
      <c r="AK1864" s="53"/>
      <c r="AL1864" s="55"/>
      <c r="AM1864" s="52"/>
      <c r="AN1864" s="55"/>
      <c r="AO1864" s="55"/>
      <c r="AP1864" s="55"/>
      <c r="AQ1864" s="52"/>
      <c r="AR1864" s="52"/>
      <c r="AS1864" s="52"/>
      <c r="AT1864" s="52"/>
      <c r="AU1864" s="52"/>
      <c r="AV1864" s="52"/>
      <c r="AW1864" s="52"/>
    </row>
    <row r="1865" spans="1:49">
      <c r="A1865" s="52"/>
      <c r="B1865" s="52"/>
      <c r="C1865" s="52"/>
      <c r="D1865" s="53"/>
      <c r="E1865" s="53"/>
      <c r="F1865" s="53"/>
      <c r="G1865" s="53"/>
      <c r="H1865" s="53"/>
      <c r="I1865" s="52"/>
      <c r="J1865" s="52"/>
      <c r="K1865" s="53"/>
      <c r="L1865" s="52"/>
      <c r="M1865" s="54"/>
      <c r="N1865" s="54"/>
      <c r="O1865" s="52"/>
      <c r="P1865" s="52"/>
      <c r="Q1865" s="52"/>
      <c r="R1865" s="52"/>
      <c r="S1865" s="52"/>
      <c r="T1865" s="52"/>
      <c r="U1865" s="52"/>
      <c r="V1865" s="52"/>
      <c r="W1865" s="52"/>
      <c r="X1865" s="52"/>
      <c r="Y1865" s="52"/>
      <c r="Z1865" s="52"/>
      <c r="AA1865" s="52"/>
      <c r="AB1865" s="52"/>
      <c r="AC1865" s="52"/>
      <c r="AD1865" s="52"/>
      <c r="AE1865" s="52"/>
      <c r="AF1865" s="52"/>
      <c r="AG1865" s="52"/>
      <c r="AH1865" s="52"/>
      <c r="AI1865" s="52"/>
      <c r="AJ1865" s="52"/>
      <c r="AK1865" s="52"/>
      <c r="AL1865" s="52"/>
      <c r="AM1865" s="52"/>
      <c r="AN1865" s="52"/>
      <c r="AO1865" s="52"/>
      <c r="AP1865" s="52"/>
      <c r="AQ1865" s="52"/>
      <c r="AR1865" s="52"/>
      <c r="AS1865" s="52"/>
      <c r="AT1865" s="52"/>
      <c r="AU1865" s="52"/>
      <c r="AV1865" s="52"/>
      <c r="AW1865" s="52"/>
    </row>
    <row r="1866" spans="1:49">
      <c r="A1866" s="52"/>
      <c r="B1866" s="52"/>
      <c r="C1866" s="52"/>
      <c r="D1866" s="53"/>
      <c r="E1866" s="53"/>
      <c r="F1866" s="53"/>
      <c r="G1866" s="53"/>
      <c r="H1866" s="53"/>
      <c r="I1866" s="52"/>
      <c r="J1866" s="52"/>
      <c r="K1866" s="53"/>
      <c r="L1866" s="52"/>
      <c r="M1866" s="54"/>
      <c r="N1866" s="54"/>
      <c r="O1866" s="52"/>
      <c r="P1866" s="52"/>
      <c r="Q1866" s="52"/>
      <c r="R1866" s="52"/>
      <c r="S1866" s="52"/>
      <c r="T1866" s="52"/>
      <c r="U1866" s="52"/>
      <c r="V1866" s="52"/>
      <c r="W1866" s="52"/>
      <c r="X1866" s="52"/>
      <c r="Y1866" s="52"/>
      <c r="Z1866" s="52"/>
      <c r="AA1866" s="52"/>
      <c r="AB1866" s="52"/>
      <c r="AC1866" s="52"/>
      <c r="AD1866" s="52"/>
      <c r="AE1866" s="52"/>
      <c r="AF1866" s="52"/>
      <c r="AG1866" s="52"/>
      <c r="AH1866" s="52"/>
      <c r="AI1866" s="52"/>
      <c r="AJ1866" s="52"/>
      <c r="AK1866" s="52"/>
      <c r="AL1866" s="55"/>
      <c r="AM1866" s="52"/>
      <c r="AN1866" s="52"/>
      <c r="AO1866" s="55"/>
      <c r="AP1866" s="55"/>
      <c r="AQ1866" s="52"/>
      <c r="AR1866" s="52"/>
      <c r="AS1866" s="52"/>
      <c r="AT1866" s="52"/>
      <c r="AU1866" s="52"/>
      <c r="AV1866" s="52"/>
      <c r="AW1866" s="52"/>
    </row>
    <row r="1867" spans="1:49">
      <c r="A1867" s="52"/>
      <c r="B1867" s="52"/>
      <c r="C1867" s="52"/>
      <c r="D1867" s="53"/>
      <c r="E1867" s="53"/>
      <c r="F1867" s="53"/>
      <c r="G1867" s="53"/>
      <c r="H1867" s="53"/>
      <c r="I1867" s="52"/>
      <c r="J1867" s="52"/>
      <c r="K1867" s="53"/>
      <c r="L1867" s="52"/>
      <c r="M1867" s="54"/>
      <c r="N1867" s="54"/>
      <c r="O1867" s="52"/>
      <c r="P1867" s="52"/>
      <c r="Q1867" s="52"/>
      <c r="R1867" s="52"/>
      <c r="S1867" s="52"/>
      <c r="T1867" s="52"/>
      <c r="U1867" s="52"/>
      <c r="V1867" s="52"/>
      <c r="W1867" s="52"/>
      <c r="X1867" s="52"/>
      <c r="Y1867" s="52"/>
      <c r="Z1867" s="52"/>
      <c r="AA1867" s="52"/>
      <c r="AB1867" s="52"/>
      <c r="AC1867" s="52"/>
      <c r="AD1867" s="52"/>
      <c r="AE1867" s="52"/>
      <c r="AF1867" s="52"/>
      <c r="AG1867" s="52"/>
      <c r="AH1867" s="52"/>
      <c r="AI1867" s="52"/>
      <c r="AJ1867" s="52"/>
      <c r="AK1867" s="52"/>
      <c r="AL1867" s="55"/>
      <c r="AM1867" s="52"/>
      <c r="AN1867" s="52"/>
      <c r="AO1867" s="55"/>
      <c r="AP1867" s="55"/>
      <c r="AQ1867" s="52"/>
      <c r="AR1867" s="52"/>
      <c r="AS1867" s="52"/>
      <c r="AT1867" s="52"/>
      <c r="AU1867" s="52"/>
      <c r="AV1867" s="52"/>
      <c r="AW1867" s="52"/>
    </row>
    <row r="1868" spans="1:49">
      <c r="A1868" s="52"/>
      <c r="B1868" s="52"/>
      <c r="C1868" s="52"/>
      <c r="D1868" s="53"/>
      <c r="E1868" s="53"/>
      <c r="F1868" s="53"/>
      <c r="G1868" s="53"/>
      <c r="H1868" s="53"/>
      <c r="I1868" s="52"/>
      <c r="J1868" s="52"/>
      <c r="K1868" s="53"/>
      <c r="L1868" s="52"/>
      <c r="M1868" s="54"/>
      <c r="N1868" s="54"/>
      <c r="O1868" s="52"/>
      <c r="P1868" s="52"/>
      <c r="Q1868" s="52"/>
      <c r="R1868" s="52"/>
      <c r="S1868" s="52"/>
      <c r="T1868" s="52"/>
      <c r="U1868" s="52"/>
      <c r="V1868" s="52"/>
      <c r="W1868" s="52"/>
      <c r="X1868" s="52"/>
      <c r="Y1868" s="52"/>
      <c r="Z1868" s="52"/>
      <c r="AA1868" s="52"/>
      <c r="AB1868" s="52"/>
      <c r="AC1868" s="52"/>
      <c r="AD1868" s="52"/>
      <c r="AE1868" s="52"/>
      <c r="AF1868" s="52"/>
      <c r="AG1868" s="52"/>
      <c r="AH1868" s="52"/>
      <c r="AI1868" s="52"/>
      <c r="AJ1868" s="52"/>
      <c r="AK1868" s="52"/>
      <c r="AL1868" s="52"/>
      <c r="AM1868" s="52"/>
      <c r="AN1868" s="52"/>
      <c r="AO1868" s="52"/>
      <c r="AP1868" s="52"/>
      <c r="AQ1868" s="52"/>
      <c r="AR1868" s="52"/>
      <c r="AS1868" s="52"/>
      <c r="AT1868" s="52"/>
      <c r="AU1868" s="52"/>
      <c r="AV1868" s="52"/>
      <c r="AW1868" s="52"/>
    </row>
    <row r="1869" spans="1:49">
      <c r="A1869" s="52"/>
      <c r="B1869" s="52"/>
      <c r="C1869" s="52"/>
      <c r="D1869" s="53"/>
      <c r="E1869" s="53"/>
      <c r="F1869" s="53"/>
      <c r="G1869" s="53"/>
      <c r="H1869" s="53"/>
      <c r="I1869" s="52"/>
      <c r="J1869" s="52"/>
      <c r="K1869" s="53"/>
      <c r="L1869" s="52"/>
      <c r="M1869" s="54"/>
      <c r="N1869" s="54"/>
      <c r="O1869" s="52"/>
      <c r="P1869" s="52"/>
      <c r="Q1869" s="52"/>
      <c r="R1869" s="52"/>
      <c r="S1869" s="52"/>
      <c r="T1869" s="52"/>
      <c r="U1869" s="52"/>
      <c r="V1869" s="52"/>
      <c r="W1869" s="52"/>
      <c r="X1869" s="52"/>
      <c r="Y1869" s="52"/>
      <c r="Z1869" s="52"/>
      <c r="AA1869" s="52"/>
      <c r="AB1869" s="52"/>
      <c r="AC1869" s="52"/>
      <c r="AD1869" s="52"/>
      <c r="AE1869" s="52"/>
      <c r="AF1869" s="52"/>
      <c r="AG1869" s="52"/>
      <c r="AH1869" s="52"/>
      <c r="AI1869" s="52"/>
      <c r="AJ1869" s="52"/>
      <c r="AK1869" s="52"/>
      <c r="AL1869" s="55"/>
      <c r="AM1869" s="52"/>
      <c r="AN1869" s="52"/>
      <c r="AO1869" s="55"/>
      <c r="AP1869" s="55"/>
      <c r="AQ1869" s="52"/>
      <c r="AR1869" s="52"/>
      <c r="AS1869" s="52"/>
      <c r="AT1869" s="52"/>
      <c r="AU1869" s="52"/>
      <c r="AV1869" s="52"/>
      <c r="AW1869" s="52"/>
    </row>
    <row r="1870" spans="1:49">
      <c r="A1870" s="52"/>
      <c r="B1870" s="52"/>
      <c r="C1870" s="52"/>
      <c r="D1870" s="53"/>
      <c r="E1870" s="53"/>
      <c r="F1870" s="53"/>
      <c r="G1870" s="53"/>
      <c r="H1870" s="53"/>
      <c r="I1870" s="52"/>
      <c r="J1870" s="52"/>
      <c r="K1870" s="53"/>
      <c r="L1870" s="52"/>
      <c r="M1870" s="54"/>
      <c r="N1870" s="54"/>
      <c r="O1870" s="52"/>
      <c r="P1870" s="52"/>
      <c r="Q1870" s="52"/>
      <c r="R1870" s="52"/>
      <c r="S1870" s="52"/>
      <c r="T1870" s="52"/>
      <c r="U1870" s="52"/>
      <c r="V1870" s="52"/>
      <c r="W1870" s="52"/>
      <c r="X1870" s="52"/>
      <c r="Y1870" s="52"/>
      <c r="Z1870" s="52"/>
      <c r="AA1870" s="52"/>
      <c r="AB1870" s="52"/>
      <c r="AC1870" s="52"/>
      <c r="AD1870" s="52"/>
      <c r="AE1870" s="52"/>
      <c r="AF1870" s="52"/>
      <c r="AG1870" s="52"/>
      <c r="AH1870" s="52"/>
      <c r="AI1870" s="52"/>
      <c r="AJ1870" s="52"/>
      <c r="AK1870" s="52"/>
      <c r="AL1870" s="55"/>
      <c r="AM1870" s="52"/>
      <c r="AN1870" s="52"/>
      <c r="AO1870" s="55"/>
      <c r="AP1870" s="55"/>
      <c r="AQ1870" s="52"/>
      <c r="AR1870" s="52"/>
      <c r="AS1870" s="52"/>
      <c r="AT1870" s="52"/>
      <c r="AU1870" s="52"/>
      <c r="AV1870" s="52"/>
      <c r="AW1870" s="52"/>
    </row>
    <row r="1871" spans="1:49">
      <c r="A1871" s="52"/>
      <c r="B1871" s="52"/>
      <c r="C1871" s="52"/>
      <c r="D1871" s="53"/>
      <c r="E1871" s="53"/>
      <c r="F1871" s="53"/>
      <c r="G1871" s="53"/>
      <c r="H1871" s="53"/>
      <c r="I1871" s="52"/>
      <c r="J1871" s="52"/>
      <c r="K1871" s="53"/>
      <c r="L1871" s="52"/>
      <c r="M1871" s="54"/>
      <c r="N1871" s="54"/>
      <c r="O1871" s="52"/>
      <c r="P1871" s="52"/>
      <c r="Q1871" s="52"/>
      <c r="R1871" s="52"/>
      <c r="S1871" s="52"/>
      <c r="T1871" s="52"/>
      <c r="U1871" s="52"/>
      <c r="V1871" s="52"/>
      <c r="W1871" s="52"/>
      <c r="X1871" s="52"/>
      <c r="Y1871" s="52"/>
      <c r="Z1871" s="52"/>
      <c r="AA1871" s="52"/>
      <c r="AB1871" s="52"/>
      <c r="AC1871" s="52"/>
      <c r="AD1871" s="52"/>
      <c r="AE1871" s="52"/>
      <c r="AF1871" s="52"/>
      <c r="AG1871" s="52"/>
      <c r="AH1871" s="52"/>
      <c r="AI1871" s="52"/>
      <c r="AJ1871" s="52"/>
      <c r="AK1871" s="52"/>
      <c r="AL1871" s="55"/>
      <c r="AM1871" s="52"/>
      <c r="AN1871" s="52"/>
      <c r="AO1871" s="52"/>
      <c r="AP1871" s="52"/>
      <c r="AQ1871" s="52"/>
      <c r="AR1871" s="52"/>
      <c r="AS1871" s="52"/>
      <c r="AT1871" s="52"/>
      <c r="AU1871" s="52"/>
      <c r="AV1871" s="52"/>
      <c r="AW1871" s="52"/>
    </row>
    <row r="1872" spans="1:49">
      <c r="A1872" s="52"/>
      <c r="B1872" s="52"/>
      <c r="C1872" s="52"/>
      <c r="D1872" s="53"/>
      <c r="E1872" s="53"/>
      <c r="F1872" s="53"/>
      <c r="G1872" s="53"/>
      <c r="H1872" s="53"/>
      <c r="I1872" s="52"/>
      <c r="J1872" s="52"/>
      <c r="K1872" s="53"/>
      <c r="L1872" s="52"/>
      <c r="M1872" s="55"/>
      <c r="N1872" s="54"/>
      <c r="O1872" s="52"/>
      <c r="P1872" s="52"/>
      <c r="Q1872" s="52"/>
      <c r="R1872" s="52"/>
      <c r="S1872" s="52"/>
      <c r="T1872" s="52"/>
      <c r="U1872" s="52"/>
      <c r="V1872" s="52"/>
      <c r="W1872" s="52"/>
      <c r="X1872" s="52"/>
      <c r="Y1872" s="52"/>
      <c r="Z1872" s="52"/>
      <c r="AA1872" s="52"/>
      <c r="AB1872" s="52"/>
      <c r="AC1872" s="52"/>
      <c r="AD1872" s="52"/>
      <c r="AE1872" s="52"/>
      <c r="AF1872" s="52"/>
      <c r="AG1872" s="52"/>
      <c r="AH1872" s="52"/>
      <c r="AI1872" s="53"/>
      <c r="AJ1872" s="53"/>
      <c r="AK1872" s="53"/>
      <c r="AL1872" s="55"/>
      <c r="AM1872" s="52"/>
      <c r="AN1872" s="55"/>
      <c r="AO1872" s="55"/>
      <c r="AP1872" s="55"/>
      <c r="AQ1872" s="52"/>
      <c r="AR1872" s="52"/>
      <c r="AS1872" s="52"/>
      <c r="AT1872" s="52"/>
      <c r="AU1872" s="52"/>
      <c r="AV1872" s="52"/>
      <c r="AW1872" s="52"/>
    </row>
    <row r="1873" spans="1:49">
      <c r="A1873" s="52"/>
      <c r="B1873" s="52"/>
      <c r="C1873" s="52"/>
      <c r="D1873" s="53"/>
      <c r="E1873" s="53"/>
      <c r="F1873" s="53"/>
      <c r="G1873" s="53"/>
      <c r="H1873" s="53"/>
      <c r="I1873" s="52"/>
      <c r="J1873" s="52"/>
      <c r="K1873" s="53"/>
      <c r="L1873" s="52"/>
      <c r="M1873" s="55"/>
      <c r="N1873" s="54"/>
      <c r="O1873" s="52"/>
      <c r="P1873" s="52"/>
      <c r="Q1873" s="52"/>
      <c r="R1873" s="52"/>
      <c r="S1873" s="52"/>
      <c r="T1873" s="52"/>
      <c r="U1873" s="52"/>
      <c r="V1873" s="52"/>
      <c r="W1873" s="52"/>
      <c r="X1873" s="52"/>
      <c r="Y1873" s="52"/>
      <c r="Z1873" s="52"/>
      <c r="AA1873" s="52"/>
      <c r="AB1873" s="52"/>
      <c r="AC1873" s="52"/>
      <c r="AD1873" s="52"/>
      <c r="AE1873" s="52"/>
      <c r="AF1873" s="52"/>
      <c r="AG1873" s="52"/>
      <c r="AH1873" s="52"/>
      <c r="AI1873" s="53"/>
      <c r="AJ1873" s="53"/>
      <c r="AK1873" s="53"/>
      <c r="AL1873" s="55"/>
      <c r="AM1873" s="52"/>
      <c r="AN1873" s="55"/>
      <c r="AO1873" s="55"/>
      <c r="AP1873" s="55"/>
      <c r="AQ1873" s="52"/>
      <c r="AR1873" s="52"/>
      <c r="AS1873" s="52"/>
      <c r="AT1873" s="52"/>
      <c r="AU1873" s="52"/>
      <c r="AV1873" s="52"/>
      <c r="AW1873" s="52"/>
    </row>
    <row r="1874" spans="1:49">
      <c r="A1874" s="52"/>
      <c r="B1874" s="52"/>
      <c r="C1874" s="52"/>
      <c r="D1874" s="53"/>
      <c r="E1874" s="53"/>
      <c r="F1874" s="53"/>
      <c r="G1874" s="53"/>
      <c r="H1874" s="53"/>
      <c r="I1874" s="52"/>
      <c r="J1874" s="52"/>
      <c r="K1874" s="53"/>
      <c r="L1874" s="52"/>
      <c r="M1874" s="54"/>
      <c r="N1874" s="54"/>
      <c r="O1874" s="52"/>
      <c r="P1874" s="52"/>
      <c r="Q1874" s="52"/>
      <c r="R1874" s="52"/>
      <c r="S1874" s="52"/>
      <c r="T1874" s="52"/>
      <c r="U1874" s="52"/>
      <c r="V1874" s="52"/>
      <c r="W1874" s="52"/>
      <c r="X1874" s="52"/>
      <c r="Y1874" s="52"/>
      <c r="Z1874" s="52"/>
      <c r="AA1874" s="52"/>
      <c r="AB1874" s="52"/>
      <c r="AC1874" s="52"/>
      <c r="AD1874" s="52"/>
      <c r="AE1874" s="52"/>
      <c r="AF1874" s="52"/>
      <c r="AG1874" s="52"/>
      <c r="AH1874" s="52"/>
      <c r="AI1874" s="52"/>
      <c r="AJ1874" s="52"/>
      <c r="AK1874" s="52"/>
      <c r="AL1874" s="52"/>
      <c r="AM1874" s="52"/>
      <c r="AN1874" s="52"/>
      <c r="AO1874" s="52"/>
      <c r="AP1874" s="52"/>
      <c r="AQ1874" s="52"/>
      <c r="AR1874" s="52"/>
      <c r="AS1874" s="52"/>
      <c r="AT1874" s="52"/>
      <c r="AU1874" s="52"/>
      <c r="AV1874" s="52"/>
      <c r="AW1874" s="52"/>
    </row>
    <row r="1875" spans="1:49">
      <c r="A1875" s="52"/>
      <c r="B1875" s="52"/>
      <c r="C1875" s="52"/>
      <c r="D1875" s="53"/>
      <c r="E1875" s="53"/>
      <c r="F1875" s="53"/>
      <c r="G1875" s="53"/>
      <c r="H1875" s="53"/>
      <c r="I1875" s="52"/>
      <c r="J1875" s="52"/>
      <c r="K1875" s="53"/>
      <c r="L1875" s="52"/>
      <c r="M1875" s="54"/>
      <c r="N1875" s="54"/>
      <c r="O1875" s="52"/>
      <c r="P1875" s="52"/>
      <c r="Q1875" s="52"/>
      <c r="R1875" s="52"/>
      <c r="S1875" s="52"/>
      <c r="T1875" s="52"/>
      <c r="U1875" s="52"/>
      <c r="V1875" s="52"/>
      <c r="W1875" s="52"/>
      <c r="X1875" s="52"/>
      <c r="Y1875" s="52"/>
      <c r="Z1875" s="52"/>
      <c r="AA1875" s="52"/>
      <c r="AB1875" s="52"/>
      <c r="AC1875" s="52"/>
      <c r="AD1875" s="52"/>
      <c r="AE1875" s="52"/>
      <c r="AF1875" s="52"/>
      <c r="AG1875" s="52"/>
      <c r="AH1875" s="52"/>
      <c r="AI1875" s="52"/>
      <c r="AJ1875" s="52"/>
      <c r="AK1875" s="52"/>
      <c r="AL1875" s="55"/>
      <c r="AM1875" s="52"/>
      <c r="AN1875" s="52"/>
      <c r="AO1875" s="55"/>
      <c r="AP1875" s="55"/>
      <c r="AQ1875" s="52"/>
      <c r="AR1875" s="52"/>
      <c r="AS1875" s="52"/>
      <c r="AT1875" s="52"/>
      <c r="AU1875" s="52"/>
      <c r="AV1875" s="52"/>
      <c r="AW1875" s="52"/>
    </row>
    <row r="1876" spans="1:49">
      <c r="A1876" s="52"/>
      <c r="B1876" s="52"/>
      <c r="C1876" s="52"/>
      <c r="D1876" s="53"/>
      <c r="E1876" s="53"/>
      <c r="F1876" s="53"/>
      <c r="G1876" s="53"/>
      <c r="H1876" s="53"/>
      <c r="I1876" s="52"/>
      <c r="J1876" s="52"/>
      <c r="K1876" s="53"/>
      <c r="L1876" s="52"/>
      <c r="M1876" s="54"/>
      <c r="N1876" s="54"/>
      <c r="O1876" s="52"/>
      <c r="P1876" s="52"/>
      <c r="Q1876" s="52"/>
      <c r="R1876" s="52"/>
      <c r="S1876" s="52"/>
      <c r="T1876" s="52"/>
      <c r="U1876" s="52"/>
      <c r="V1876" s="52"/>
      <c r="W1876" s="52"/>
      <c r="X1876" s="52"/>
      <c r="Y1876" s="52"/>
      <c r="Z1876" s="52"/>
      <c r="AA1876" s="52"/>
      <c r="AB1876" s="52"/>
      <c r="AC1876" s="52"/>
      <c r="AD1876" s="52"/>
      <c r="AE1876" s="52"/>
      <c r="AF1876" s="52"/>
      <c r="AG1876" s="52"/>
      <c r="AH1876" s="52"/>
      <c r="AI1876" s="52"/>
      <c r="AJ1876" s="52"/>
      <c r="AK1876" s="52"/>
      <c r="AL1876" s="55"/>
      <c r="AM1876" s="52"/>
      <c r="AN1876" s="52"/>
      <c r="AO1876" s="55"/>
      <c r="AP1876" s="55"/>
      <c r="AQ1876" s="52"/>
      <c r="AR1876" s="52"/>
      <c r="AS1876" s="52"/>
      <c r="AT1876" s="52"/>
      <c r="AU1876" s="52"/>
      <c r="AV1876" s="52"/>
      <c r="AW1876" s="52"/>
    </row>
    <row r="1877" spans="1:49">
      <c r="A1877" s="52"/>
      <c r="B1877" s="52"/>
      <c r="C1877" s="52"/>
      <c r="D1877" s="53"/>
      <c r="E1877" s="53"/>
      <c r="F1877" s="52"/>
      <c r="G1877" s="52"/>
      <c r="H1877" s="52"/>
      <c r="I1877" s="52"/>
      <c r="J1877" s="52"/>
      <c r="K1877" s="52"/>
      <c r="L1877" s="52"/>
      <c r="M1877" s="54"/>
      <c r="N1877" s="54"/>
      <c r="O1877" s="52"/>
      <c r="P1877" s="52"/>
      <c r="Q1877" s="52"/>
      <c r="R1877" s="52"/>
      <c r="S1877" s="52"/>
      <c r="T1877" s="52"/>
      <c r="U1877" s="52"/>
      <c r="V1877" s="52"/>
      <c r="W1877" s="52"/>
      <c r="X1877" s="52"/>
      <c r="Y1877" s="52"/>
      <c r="Z1877" s="52"/>
      <c r="AA1877" s="52"/>
      <c r="AB1877" s="52"/>
      <c r="AC1877" s="52"/>
      <c r="AD1877" s="52"/>
      <c r="AE1877" s="52"/>
      <c r="AF1877" s="52"/>
      <c r="AG1877" s="52"/>
      <c r="AH1877" s="52"/>
      <c r="AI1877" s="52"/>
      <c r="AJ1877" s="52"/>
      <c r="AK1877" s="52"/>
      <c r="AL1877" s="52"/>
      <c r="AM1877" s="52"/>
      <c r="AN1877" s="52"/>
      <c r="AO1877" s="52"/>
      <c r="AP1877" s="52"/>
      <c r="AQ1877" s="52"/>
      <c r="AR1877" s="52"/>
      <c r="AS1877" s="52"/>
      <c r="AT1877" s="52"/>
      <c r="AU1877" s="52"/>
      <c r="AV1877" s="52"/>
      <c r="AW1877" s="52"/>
    </row>
    <row r="1878" spans="1:49">
      <c r="A1878" s="52"/>
      <c r="B1878" s="52"/>
      <c r="C1878" s="52"/>
      <c r="D1878" s="53"/>
      <c r="E1878" s="53"/>
      <c r="F1878" s="52"/>
      <c r="G1878" s="52"/>
      <c r="H1878" s="52"/>
      <c r="I1878" s="52"/>
      <c r="J1878" s="52"/>
      <c r="K1878" s="52"/>
      <c r="L1878" s="52"/>
      <c r="M1878" s="52"/>
      <c r="N1878" s="52"/>
      <c r="O1878" s="52"/>
      <c r="P1878" s="52"/>
      <c r="Q1878" s="52"/>
      <c r="R1878" s="52"/>
      <c r="S1878" s="52"/>
      <c r="T1878" s="52"/>
      <c r="U1878" s="52"/>
      <c r="V1878" s="52"/>
      <c r="W1878" s="52"/>
      <c r="X1878" s="52"/>
      <c r="Y1878" s="52"/>
      <c r="Z1878" s="52"/>
      <c r="AA1878" s="52"/>
      <c r="AB1878" s="52"/>
      <c r="AC1878" s="52"/>
      <c r="AD1878" s="52"/>
      <c r="AE1878" s="52"/>
      <c r="AF1878" s="52"/>
      <c r="AG1878" s="52"/>
      <c r="AH1878" s="52"/>
      <c r="AI1878" s="52"/>
      <c r="AJ1878" s="52"/>
      <c r="AK1878" s="52"/>
      <c r="AL1878" s="52"/>
      <c r="AM1878" s="52"/>
      <c r="AN1878" s="52"/>
      <c r="AO1878" s="52"/>
      <c r="AP1878" s="52"/>
      <c r="AQ1878" s="52"/>
      <c r="AR1878" s="52"/>
      <c r="AS1878" s="52"/>
      <c r="AT1878" s="52"/>
      <c r="AU1878" s="52"/>
      <c r="AV1878" s="52"/>
      <c r="AW1878" s="52"/>
    </row>
    <row r="1879" spans="1:49">
      <c r="A1879" s="52"/>
      <c r="B1879" s="52"/>
      <c r="C1879" s="52"/>
      <c r="D1879" s="53"/>
      <c r="E1879" s="53"/>
      <c r="F1879" s="52"/>
      <c r="G1879" s="52"/>
      <c r="H1879" s="52"/>
      <c r="I1879" s="52"/>
      <c r="J1879" s="52"/>
      <c r="K1879" s="52"/>
      <c r="L1879" s="52"/>
      <c r="M1879" s="54"/>
      <c r="N1879" s="54"/>
      <c r="O1879" s="52"/>
      <c r="P1879" s="52"/>
      <c r="Q1879" s="52"/>
      <c r="R1879" s="52"/>
      <c r="S1879" s="52"/>
      <c r="T1879" s="52"/>
      <c r="U1879" s="52"/>
      <c r="V1879" s="52"/>
      <c r="W1879" s="52"/>
      <c r="X1879" s="52"/>
      <c r="Y1879" s="52"/>
      <c r="Z1879" s="52"/>
      <c r="AA1879" s="52"/>
      <c r="AB1879" s="52"/>
      <c r="AC1879" s="52"/>
      <c r="AD1879" s="52"/>
      <c r="AE1879" s="52"/>
      <c r="AF1879" s="52"/>
      <c r="AG1879" s="52"/>
      <c r="AH1879" s="52"/>
      <c r="AI1879" s="52"/>
      <c r="AJ1879" s="52"/>
      <c r="AK1879" s="52"/>
      <c r="AL1879" s="52"/>
      <c r="AM1879" s="52"/>
      <c r="AN1879" s="52"/>
      <c r="AO1879" s="52"/>
      <c r="AP1879" s="52"/>
      <c r="AQ1879" s="52"/>
      <c r="AR1879" s="52"/>
      <c r="AS1879" s="52"/>
      <c r="AT1879" s="52"/>
      <c r="AU1879" s="52"/>
      <c r="AV1879" s="52"/>
      <c r="AW1879" s="52"/>
    </row>
    <row r="1880" spans="1:49">
      <c r="A1880" s="52"/>
      <c r="B1880" s="52"/>
      <c r="C1880" s="52"/>
      <c r="D1880" s="53"/>
      <c r="E1880" s="53"/>
      <c r="F1880" s="52"/>
      <c r="G1880" s="52"/>
      <c r="H1880" s="52"/>
      <c r="I1880" s="52"/>
      <c r="J1880" s="52"/>
      <c r="K1880" s="52"/>
      <c r="L1880" s="52"/>
      <c r="M1880" s="52"/>
      <c r="N1880" s="52"/>
      <c r="O1880" s="52"/>
      <c r="P1880" s="52"/>
      <c r="Q1880" s="52"/>
      <c r="R1880" s="52"/>
      <c r="S1880" s="52"/>
      <c r="T1880" s="52"/>
      <c r="U1880" s="52"/>
      <c r="V1880" s="52"/>
      <c r="W1880" s="52"/>
      <c r="X1880" s="52"/>
      <c r="Y1880" s="52"/>
      <c r="Z1880" s="52"/>
      <c r="AA1880" s="52"/>
      <c r="AB1880" s="52"/>
      <c r="AC1880" s="52"/>
      <c r="AD1880" s="52"/>
      <c r="AE1880" s="52"/>
      <c r="AF1880" s="52"/>
      <c r="AG1880" s="52"/>
      <c r="AH1880" s="52"/>
      <c r="AI1880" s="52"/>
      <c r="AJ1880" s="52"/>
      <c r="AK1880" s="52"/>
      <c r="AL1880" s="52"/>
      <c r="AM1880" s="52"/>
      <c r="AN1880" s="52"/>
      <c r="AO1880" s="52"/>
      <c r="AP1880" s="52"/>
      <c r="AQ1880" s="52"/>
      <c r="AR1880" s="52"/>
      <c r="AS1880" s="52"/>
      <c r="AT1880" s="52"/>
      <c r="AU1880" s="52"/>
      <c r="AV1880" s="52"/>
      <c r="AW1880" s="52"/>
    </row>
    <row r="1881" spans="1:49">
      <c r="A1881" s="52"/>
      <c r="B1881" s="52"/>
      <c r="C1881" s="52"/>
      <c r="D1881" s="53"/>
      <c r="E1881" s="53"/>
      <c r="F1881" s="53"/>
      <c r="G1881" s="53"/>
      <c r="H1881" s="53"/>
      <c r="I1881" s="52"/>
      <c r="J1881" s="52"/>
      <c r="K1881" s="53"/>
      <c r="L1881" s="52"/>
      <c r="M1881" s="54"/>
      <c r="N1881" s="54"/>
      <c r="O1881" s="52"/>
      <c r="P1881" s="52"/>
      <c r="Q1881" s="52"/>
      <c r="R1881" s="52"/>
      <c r="S1881" s="52"/>
      <c r="T1881" s="52"/>
      <c r="U1881" s="52"/>
      <c r="V1881" s="52"/>
      <c r="W1881" s="52"/>
      <c r="X1881" s="52"/>
      <c r="Y1881" s="52"/>
      <c r="Z1881" s="52"/>
      <c r="AA1881" s="52"/>
      <c r="AB1881" s="52"/>
      <c r="AC1881" s="52"/>
      <c r="AD1881" s="52"/>
      <c r="AE1881" s="52"/>
      <c r="AF1881" s="52"/>
      <c r="AG1881" s="52"/>
      <c r="AH1881" s="52"/>
      <c r="AI1881" s="52"/>
      <c r="AJ1881" s="52"/>
      <c r="AK1881" s="52"/>
      <c r="AL1881" s="52"/>
      <c r="AM1881" s="52"/>
      <c r="AN1881" s="52"/>
      <c r="AO1881" s="52"/>
      <c r="AP1881" s="52"/>
      <c r="AQ1881" s="52"/>
      <c r="AR1881" s="52"/>
      <c r="AS1881" s="52"/>
      <c r="AT1881" s="52"/>
      <c r="AU1881" s="52"/>
      <c r="AV1881" s="52"/>
      <c r="AW1881" s="52"/>
    </row>
    <row r="1882" spans="1:49">
      <c r="A1882" s="52"/>
      <c r="B1882" s="52"/>
      <c r="C1882" s="52"/>
      <c r="D1882" s="53"/>
      <c r="E1882" s="53"/>
      <c r="F1882" s="53"/>
      <c r="G1882" s="53"/>
      <c r="H1882" s="53"/>
      <c r="I1882" s="52"/>
      <c r="J1882" s="52"/>
      <c r="K1882" s="53"/>
      <c r="L1882" s="52"/>
      <c r="M1882" s="54"/>
      <c r="N1882" s="54"/>
      <c r="O1882" s="52"/>
      <c r="P1882" s="52"/>
      <c r="Q1882" s="52"/>
      <c r="R1882" s="52"/>
      <c r="S1882" s="52"/>
      <c r="T1882" s="52"/>
      <c r="U1882" s="52"/>
      <c r="V1882" s="52"/>
      <c r="W1882" s="52"/>
      <c r="X1882" s="52"/>
      <c r="Y1882" s="52"/>
      <c r="Z1882" s="52"/>
      <c r="AA1882" s="52"/>
      <c r="AB1882" s="52"/>
      <c r="AC1882" s="52"/>
      <c r="AD1882" s="52"/>
      <c r="AE1882" s="52"/>
      <c r="AF1882" s="52"/>
      <c r="AG1882" s="52"/>
      <c r="AH1882" s="52"/>
      <c r="AI1882" s="52"/>
      <c r="AJ1882" s="52"/>
      <c r="AK1882" s="52"/>
      <c r="AL1882" s="55"/>
      <c r="AM1882" s="52"/>
      <c r="AN1882" s="52"/>
      <c r="AO1882" s="55"/>
      <c r="AP1882" s="55"/>
      <c r="AQ1882" s="52"/>
      <c r="AR1882" s="52"/>
      <c r="AS1882" s="52"/>
      <c r="AT1882" s="52"/>
      <c r="AU1882" s="52"/>
      <c r="AV1882" s="52"/>
      <c r="AW1882" s="52"/>
    </row>
    <row r="1883" spans="1:49">
      <c r="A1883" s="52"/>
      <c r="B1883" s="52"/>
      <c r="C1883" s="52"/>
      <c r="D1883" s="53"/>
      <c r="E1883" s="53"/>
      <c r="F1883" s="53"/>
      <c r="G1883" s="53"/>
      <c r="H1883" s="53"/>
      <c r="I1883" s="52"/>
      <c r="J1883" s="52"/>
      <c r="K1883" s="53"/>
      <c r="L1883" s="52"/>
      <c r="M1883" s="54"/>
      <c r="N1883" s="54"/>
      <c r="O1883" s="52"/>
      <c r="P1883" s="52"/>
      <c r="Q1883" s="52"/>
      <c r="R1883" s="52"/>
      <c r="S1883" s="52"/>
      <c r="T1883" s="52"/>
      <c r="U1883" s="52"/>
      <c r="V1883" s="52"/>
      <c r="W1883" s="52"/>
      <c r="X1883" s="52"/>
      <c r="Y1883" s="52"/>
      <c r="Z1883" s="52"/>
      <c r="AA1883" s="52"/>
      <c r="AB1883" s="52"/>
      <c r="AC1883" s="52"/>
      <c r="AD1883" s="52"/>
      <c r="AE1883" s="52"/>
      <c r="AF1883" s="52"/>
      <c r="AG1883" s="52"/>
      <c r="AH1883" s="52"/>
      <c r="AI1883" s="52"/>
      <c r="AJ1883" s="52"/>
      <c r="AK1883" s="52"/>
      <c r="AL1883" s="55"/>
      <c r="AM1883" s="52"/>
      <c r="AN1883" s="52"/>
      <c r="AO1883" s="55"/>
      <c r="AP1883" s="55"/>
      <c r="AQ1883" s="52"/>
      <c r="AR1883" s="52"/>
      <c r="AS1883" s="52"/>
      <c r="AT1883" s="52"/>
      <c r="AU1883" s="52"/>
      <c r="AV1883" s="52"/>
      <c r="AW1883" s="52"/>
    </row>
    <row r="1884" spans="1:49">
      <c r="A1884" s="52"/>
      <c r="B1884" s="52"/>
      <c r="C1884" s="52"/>
      <c r="D1884" s="53"/>
      <c r="E1884" s="53"/>
      <c r="F1884" s="53"/>
      <c r="G1884" s="53"/>
      <c r="H1884" s="53"/>
      <c r="I1884" s="52"/>
      <c r="J1884" s="52"/>
      <c r="K1884" s="53"/>
      <c r="L1884" s="52"/>
      <c r="M1884" s="54"/>
      <c r="N1884" s="54"/>
      <c r="O1884" s="52"/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2"/>
      <c r="AA1884" s="52"/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2"/>
      <c r="AM1884" s="52"/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</row>
    <row r="1885" spans="1:49">
      <c r="A1885" s="52"/>
      <c r="B1885" s="52"/>
      <c r="C1885" s="52"/>
      <c r="D1885" s="53"/>
      <c r="E1885" s="53"/>
      <c r="F1885" s="53"/>
      <c r="G1885" s="53"/>
      <c r="H1885" s="53"/>
      <c r="I1885" s="52"/>
      <c r="J1885" s="52"/>
      <c r="K1885" s="53"/>
      <c r="L1885" s="52"/>
      <c r="M1885" s="54"/>
      <c r="N1885" s="54"/>
      <c r="O1885" s="52"/>
      <c r="P1885" s="52"/>
      <c r="Q1885" s="52"/>
      <c r="R1885" s="52"/>
      <c r="S1885" s="52"/>
      <c r="T1885" s="52"/>
      <c r="U1885" s="52"/>
      <c r="V1885" s="52"/>
      <c r="W1885" s="52"/>
      <c r="X1885" s="52"/>
      <c r="Y1885" s="52"/>
      <c r="Z1885" s="52"/>
      <c r="AA1885" s="52"/>
      <c r="AB1885" s="52"/>
      <c r="AC1885" s="52"/>
      <c r="AD1885" s="52"/>
      <c r="AE1885" s="52"/>
      <c r="AF1885" s="52"/>
      <c r="AG1885" s="52"/>
      <c r="AH1885" s="52"/>
      <c r="AI1885" s="52"/>
      <c r="AJ1885" s="52"/>
      <c r="AK1885" s="52"/>
      <c r="AL1885" s="55"/>
      <c r="AM1885" s="52"/>
      <c r="AN1885" s="52"/>
      <c r="AO1885" s="55"/>
      <c r="AP1885" s="55"/>
      <c r="AQ1885" s="52"/>
      <c r="AR1885" s="52"/>
      <c r="AS1885" s="52"/>
      <c r="AT1885" s="52"/>
      <c r="AU1885" s="52"/>
      <c r="AV1885" s="52"/>
      <c r="AW1885" s="52"/>
    </row>
    <row r="1886" spans="1:49">
      <c r="A1886" s="52"/>
      <c r="B1886" s="52"/>
      <c r="C1886" s="52"/>
      <c r="D1886" s="53"/>
      <c r="E1886" s="53"/>
      <c r="F1886" s="53"/>
      <c r="G1886" s="53"/>
      <c r="H1886" s="53"/>
      <c r="I1886" s="52"/>
      <c r="J1886" s="52"/>
      <c r="K1886" s="53"/>
      <c r="L1886" s="52"/>
      <c r="M1886" s="54"/>
      <c r="N1886" s="54"/>
      <c r="O1886" s="52"/>
      <c r="P1886" s="52"/>
      <c r="Q1886" s="52"/>
      <c r="R1886" s="52"/>
      <c r="S1886" s="52"/>
      <c r="T1886" s="52"/>
      <c r="U1886" s="52"/>
      <c r="V1886" s="52"/>
      <c r="W1886" s="52"/>
      <c r="X1886" s="52"/>
      <c r="Y1886" s="52"/>
      <c r="Z1886" s="52"/>
      <c r="AA1886" s="52"/>
      <c r="AB1886" s="52"/>
      <c r="AC1886" s="52"/>
      <c r="AD1886" s="52"/>
      <c r="AE1886" s="52"/>
      <c r="AF1886" s="52"/>
      <c r="AG1886" s="52"/>
      <c r="AH1886" s="52"/>
      <c r="AI1886" s="52"/>
      <c r="AJ1886" s="52"/>
      <c r="AK1886" s="52"/>
      <c r="AL1886" s="55"/>
      <c r="AM1886" s="52"/>
      <c r="AN1886" s="52"/>
      <c r="AO1886" s="55"/>
      <c r="AP1886" s="55"/>
      <c r="AQ1886" s="52"/>
      <c r="AR1886" s="52"/>
      <c r="AS1886" s="52"/>
      <c r="AT1886" s="52"/>
      <c r="AU1886" s="52"/>
      <c r="AV1886" s="52"/>
      <c r="AW1886" s="52"/>
    </row>
    <row r="1887" spans="1:49">
      <c r="A1887" s="52"/>
      <c r="B1887" s="52"/>
      <c r="C1887" s="52"/>
      <c r="D1887" s="53"/>
      <c r="E1887" s="53"/>
      <c r="F1887" s="52"/>
      <c r="G1887" s="52"/>
      <c r="H1887" s="52"/>
      <c r="I1887" s="52"/>
      <c r="J1887" s="52"/>
      <c r="K1887" s="52"/>
      <c r="L1887" s="52"/>
      <c r="M1887" s="54"/>
      <c r="N1887" s="54"/>
      <c r="O1887" s="52"/>
      <c r="P1887" s="52"/>
      <c r="Q1887" s="52"/>
      <c r="R1887" s="52"/>
      <c r="S1887" s="52"/>
      <c r="T1887" s="52"/>
      <c r="U1887" s="52"/>
      <c r="V1887" s="52"/>
      <c r="W1887" s="52"/>
      <c r="X1887" s="52"/>
      <c r="Y1887" s="52"/>
      <c r="Z1887" s="52"/>
      <c r="AA1887" s="52"/>
      <c r="AB1887" s="52"/>
      <c r="AC1887" s="52"/>
      <c r="AD1887" s="52"/>
      <c r="AE1887" s="52"/>
      <c r="AF1887" s="52"/>
      <c r="AG1887" s="52"/>
      <c r="AH1887" s="52"/>
      <c r="AI1887" s="52"/>
      <c r="AJ1887" s="52"/>
      <c r="AK1887" s="52"/>
      <c r="AL1887" s="52"/>
      <c r="AM1887" s="52"/>
      <c r="AN1887" s="52"/>
      <c r="AO1887" s="52"/>
      <c r="AP1887" s="52"/>
      <c r="AQ1887" s="52"/>
      <c r="AR1887" s="52"/>
      <c r="AS1887" s="52"/>
      <c r="AT1887" s="52"/>
      <c r="AU1887" s="52"/>
      <c r="AV1887" s="52"/>
      <c r="AW1887" s="52"/>
    </row>
    <row r="1888" spans="1:49">
      <c r="A1888" s="52"/>
      <c r="B1888" s="52"/>
      <c r="C1888" s="52"/>
      <c r="D1888" s="53"/>
      <c r="E1888" s="53"/>
      <c r="F1888" s="52"/>
      <c r="G1888" s="52"/>
      <c r="H1888" s="52"/>
      <c r="I1888" s="52"/>
      <c r="J1888" s="52"/>
      <c r="K1888" s="52"/>
      <c r="L1888" s="52"/>
      <c r="M1888" s="52"/>
      <c r="N1888" s="52"/>
      <c r="O1888" s="52"/>
      <c r="P1888" s="52"/>
      <c r="Q1888" s="52"/>
      <c r="R1888" s="52"/>
      <c r="S1888" s="52"/>
      <c r="T1888" s="52"/>
      <c r="U1888" s="52"/>
      <c r="V1888" s="52"/>
      <c r="W1888" s="52"/>
      <c r="X1888" s="52"/>
      <c r="Y1888" s="52"/>
      <c r="Z1888" s="52"/>
      <c r="AA1888" s="52"/>
      <c r="AB1888" s="52"/>
      <c r="AC1888" s="52"/>
      <c r="AD1888" s="52"/>
      <c r="AE1888" s="52"/>
      <c r="AF1888" s="52"/>
      <c r="AG1888" s="52"/>
      <c r="AH1888" s="52"/>
      <c r="AI1888" s="52"/>
      <c r="AJ1888" s="52"/>
      <c r="AK1888" s="52"/>
      <c r="AL1888" s="52"/>
      <c r="AM1888" s="52"/>
      <c r="AN1888" s="52"/>
      <c r="AO1888" s="52"/>
      <c r="AP1888" s="52"/>
      <c r="AQ1888" s="52"/>
      <c r="AR1888" s="52"/>
      <c r="AS1888" s="52"/>
      <c r="AT1888" s="52"/>
      <c r="AU1888" s="52"/>
      <c r="AV1888" s="52"/>
      <c r="AW1888" s="52"/>
    </row>
    <row r="1889" spans="1:49">
      <c r="A1889" s="52"/>
      <c r="B1889" s="52"/>
      <c r="C1889" s="52"/>
      <c r="D1889" s="53"/>
      <c r="E1889" s="53"/>
      <c r="F1889" s="52"/>
      <c r="G1889" s="52"/>
      <c r="H1889" s="52"/>
      <c r="I1889" s="52"/>
      <c r="J1889" s="52"/>
      <c r="K1889" s="52"/>
      <c r="L1889" s="52"/>
      <c r="M1889" s="54"/>
      <c r="N1889" s="54"/>
      <c r="O1889" s="52"/>
      <c r="P1889" s="52"/>
      <c r="Q1889" s="52"/>
      <c r="R1889" s="52"/>
      <c r="S1889" s="52"/>
      <c r="T1889" s="52"/>
      <c r="U1889" s="52"/>
      <c r="V1889" s="52"/>
      <c r="W1889" s="52"/>
      <c r="X1889" s="52"/>
      <c r="Y1889" s="52"/>
      <c r="Z1889" s="52"/>
      <c r="AA1889" s="52"/>
      <c r="AB1889" s="52"/>
      <c r="AC1889" s="52"/>
      <c r="AD1889" s="52"/>
      <c r="AE1889" s="52"/>
      <c r="AF1889" s="52"/>
      <c r="AG1889" s="52"/>
      <c r="AH1889" s="52"/>
      <c r="AI1889" s="52"/>
      <c r="AJ1889" s="52"/>
      <c r="AK1889" s="52"/>
      <c r="AL1889" s="52"/>
      <c r="AM1889" s="52"/>
      <c r="AN1889" s="52"/>
      <c r="AO1889" s="52"/>
      <c r="AP1889" s="52"/>
      <c r="AQ1889" s="52"/>
      <c r="AR1889" s="52"/>
      <c r="AS1889" s="52"/>
      <c r="AT1889" s="52"/>
      <c r="AU1889" s="52"/>
      <c r="AV1889" s="52"/>
      <c r="AW1889" s="52"/>
    </row>
    <row r="1890" spans="1:49">
      <c r="A1890" s="52"/>
      <c r="B1890" s="52"/>
      <c r="C1890" s="52"/>
      <c r="D1890" s="53"/>
      <c r="E1890" s="53"/>
      <c r="F1890" s="52"/>
      <c r="G1890" s="52"/>
      <c r="H1890" s="52"/>
      <c r="I1890" s="52"/>
      <c r="J1890" s="52"/>
      <c r="K1890" s="52"/>
      <c r="L1890" s="52"/>
      <c r="M1890" s="52"/>
      <c r="N1890" s="52"/>
      <c r="O1890" s="52"/>
      <c r="P1890" s="52"/>
      <c r="Q1890" s="52"/>
      <c r="R1890" s="52"/>
      <c r="S1890" s="52"/>
      <c r="T1890" s="52"/>
      <c r="U1890" s="52"/>
      <c r="V1890" s="52"/>
      <c r="W1890" s="52"/>
      <c r="X1890" s="52"/>
      <c r="Y1890" s="52"/>
      <c r="Z1890" s="52"/>
      <c r="AA1890" s="52"/>
      <c r="AB1890" s="52"/>
      <c r="AC1890" s="52"/>
      <c r="AD1890" s="52"/>
      <c r="AE1890" s="52"/>
      <c r="AF1890" s="52"/>
      <c r="AG1890" s="52"/>
      <c r="AH1890" s="52"/>
      <c r="AI1890" s="52"/>
      <c r="AJ1890" s="52"/>
      <c r="AK1890" s="52"/>
      <c r="AL1890" s="52"/>
      <c r="AM1890" s="52"/>
      <c r="AN1890" s="52"/>
      <c r="AO1890" s="52"/>
      <c r="AP1890" s="52"/>
      <c r="AQ1890" s="52"/>
      <c r="AR1890" s="52"/>
      <c r="AS1890" s="52"/>
      <c r="AT1890" s="52"/>
      <c r="AU1890" s="52"/>
      <c r="AV1890" s="52"/>
      <c r="AW1890" s="52"/>
    </row>
    <row r="1891" spans="1:49">
      <c r="A1891" s="52"/>
      <c r="B1891" s="52"/>
      <c r="C1891" s="52"/>
      <c r="D1891" s="53"/>
      <c r="E1891" s="53"/>
      <c r="F1891" s="53"/>
      <c r="G1891" s="53"/>
      <c r="H1891" s="53"/>
      <c r="I1891" s="52"/>
      <c r="J1891" s="52"/>
      <c r="K1891" s="53"/>
      <c r="L1891" s="52"/>
      <c r="M1891" s="54"/>
      <c r="N1891" s="54"/>
      <c r="O1891" s="52"/>
      <c r="P1891" s="52"/>
      <c r="Q1891" s="52"/>
      <c r="R1891" s="52"/>
      <c r="S1891" s="52"/>
      <c r="T1891" s="52"/>
      <c r="U1891" s="52"/>
      <c r="V1891" s="52"/>
      <c r="W1891" s="52"/>
      <c r="X1891" s="52"/>
      <c r="Y1891" s="52"/>
      <c r="Z1891" s="52"/>
      <c r="AA1891" s="52"/>
      <c r="AB1891" s="52"/>
      <c r="AC1891" s="52"/>
      <c r="AD1891" s="52"/>
      <c r="AE1891" s="52"/>
      <c r="AF1891" s="52"/>
      <c r="AG1891" s="52"/>
      <c r="AH1891" s="52"/>
      <c r="AI1891" s="52"/>
      <c r="AJ1891" s="52"/>
      <c r="AK1891" s="52"/>
      <c r="AL1891" s="52"/>
      <c r="AM1891" s="52"/>
      <c r="AN1891" s="52"/>
      <c r="AO1891" s="52"/>
      <c r="AP1891" s="52"/>
      <c r="AQ1891" s="52"/>
      <c r="AR1891" s="52"/>
      <c r="AS1891" s="52"/>
      <c r="AT1891" s="52"/>
      <c r="AU1891" s="52"/>
      <c r="AV1891" s="52"/>
      <c r="AW1891" s="52"/>
    </row>
    <row r="1892" spans="1:49">
      <c r="A1892" s="52"/>
      <c r="B1892" s="52"/>
      <c r="C1892" s="52"/>
      <c r="D1892" s="53"/>
      <c r="E1892" s="53"/>
      <c r="F1892" s="53"/>
      <c r="G1892" s="53"/>
      <c r="H1892" s="53"/>
      <c r="I1892" s="52"/>
      <c r="J1892" s="52"/>
      <c r="K1892" s="53"/>
      <c r="L1892" s="52"/>
      <c r="M1892" s="54"/>
      <c r="N1892" s="54"/>
      <c r="O1892" s="52"/>
      <c r="P1892" s="52"/>
      <c r="Q1892" s="52"/>
      <c r="R1892" s="52"/>
      <c r="S1892" s="52"/>
      <c r="T1892" s="52"/>
      <c r="U1892" s="52"/>
      <c r="V1892" s="52"/>
      <c r="W1892" s="52"/>
      <c r="X1892" s="52"/>
      <c r="Y1892" s="52"/>
      <c r="Z1892" s="52"/>
      <c r="AA1892" s="52"/>
      <c r="AB1892" s="52"/>
      <c r="AC1892" s="52"/>
      <c r="AD1892" s="52"/>
      <c r="AE1892" s="52"/>
      <c r="AF1892" s="52"/>
      <c r="AG1892" s="52"/>
      <c r="AH1892" s="52"/>
      <c r="AI1892" s="52"/>
      <c r="AJ1892" s="52"/>
      <c r="AK1892" s="52"/>
      <c r="AL1892" s="55"/>
      <c r="AM1892" s="52"/>
      <c r="AN1892" s="52"/>
      <c r="AO1892" s="55"/>
      <c r="AP1892" s="55"/>
      <c r="AQ1892" s="52"/>
      <c r="AR1892" s="52"/>
      <c r="AS1892" s="52"/>
      <c r="AT1892" s="52"/>
      <c r="AU1892" s="52"/>
      <c r="AV1892" s="52"/>
      <c r="AW1892" s="52"/>
    </row>
    <row r="1893" spans="1:49">
      <c r="A1893" s="52"/>
      <c r="B1893" s="52"/>
      <c r="C1893" s="52"/>
      <c r="D1893" s="53"/>
      <c r="E1893" s="53"/>
      <c r="F1893" s="53"/>
      <c r="G1893" s="53"/>
      <c r="H1893" s="53"/>
      <c r="I1893" s="52"/>
      <c r="J1893" s="52"/>
      <c r="K1893" s="53"/>
      <c r="L1893" s="52"/>
      <c r="M1893" s="54"/>
      <c r="N1893" s="54"/>
      <c r="O1893" s="52"/>
      <c r="P1893" s="52"/>
      <c r="Q1893" s="52"/>
      <c r="R1893" s="52"/>
      <c r="S1893" s="52"/>
      <c r="T1893" s="52"/>
      <c r="U1893" s="52"/>
      <c r="V1893" s="52"/>
      <c r="W1893" s="52"/>
      <c r="X1893" s="52"/>
      <c r="Y1893" s="52"/>
      <c r="Z1893" s="52"/>
      <c r="AA1893" s="52"/>
      <c r="AB1893" s="52"/>
      <c r="AC1893" s="52"/>
      <c r="AD1893" s="52"/>
      <c r="AE1893" s="52"/>
      <c r="AF1893" s="52"/>
      <c r="AG1893" s="52"/>
      <c r="AH1893" s="52"/>
      <c r="AI1893" s="52"/>
      <c r="AJ1893" s="52"/>
      <c r="AK1893" s="52"/>
      <c r="AL1893" s="55"/>
      <c r="AM1893" s="52"/>
      <c r="AN1893" s="52"/>
      <c r="AO1893" s="55"/>
      <c r="AP1893" s="55"/>
      <c r="AQ1893" s="52"/>
      <c r="AR1893" s="52"/>
      <c r="AS1893" s="52"/>
      <c r="AT1893" s="52"/>
      <c r="AU1893" s="52"/>
      <c r="AV1893" s="52"/>
      <c r="AW1893" s="52"/>
    </row>
    <row r="1894" spans="1:49">
      <c r="A1894" s="52"/>
      <c r="B1894" s="52"/>
      <c r="C1894" s="52"/>
      <c r="D1894" s="53"/>
      <c r="E1894" s="53"/>
      <c r="F1894" s="53"/>
      <c r="G1894" s="53"/>
      <c r="H1894" s="53"/>
      <c r="I1894" s="52"/>
      <c r="J1894" s="52"/>
      <c r="K1894" s="53"/>
      <c r="L1894" s="52"/>
      <c r="M1894" s="54"/>
      <c r="N1894" s="54"/>
      <c r="O1894" s="52"/>
      <c r="P1894" s="52"/>
      <c r="Q1894" s="52"/>
      <c r="R1894" s="52"/>
      <c r="S1894" s="52"/>
      <c r="T1894" s="52"/>
      <c r="U1894" s="52"/>
      <c r="V1894" s="52"/>
      <c r="W1894" s="52"/>
      <c r="X1894" s="52"/>
      <c r="Y1894" s="52"/>
      <c r="Z1894" s="52"/>
      <c r="AA1894" s="52"/>
      <c r="AB1894" s="52"/>
      <c r="AC1894" s="52"/>
      <c r="AD1894" s="52"/>
      <c r="AE1894" s="52"/>
      <c r="AF1894" s="52"/>
      <c r="AG1894" s="52"/>
      <c r="AH1894" s="52"/>
      <c r="AI1894" s="52"/>
      <c r="AJ1894" s="52"/>
      <c r="AK1894" s="52"/>
      <c r="AL1894" s="52"/>
      <c r="AM1894" s="52"/>
      <c r="AN1894" s="52"/>
      <c r="AO1894" s="52"/>
      <c r="AP1894" s="52"/>
      <c r="AQ1894" s="52"/>
      <c r="AR1894" s="52"/>
      <c r="AS1894" s="52"/>
      <c r="AT1894" s="52"/>
      <c r="AU1894" s="52"/>
      <c r="AV1894" s="52"/>
      <c r="AW1894" s="52"/>
    </row>
    <row r="1895" spans="1:49">
      <c r="A1895" s="52"/>
      <c r="B1895" s="52"/>
      <c r="C1895" s="52"/>
      <c r="D1895" s="53"/>
      <c r="E1895" s="53"/>
      <c r="F1895" s="53"/>
      <c r="G1895" s="53"/>
      <c r="H1895" s="53"/>
      <c r="I1895" s="52"/>
      <c r="J1895" s="52"/>
      <c r="K1895" s="53"/>
      <c r="L1895" s="52"/>
      <c r="M1895" s="54"/>
      <c r="N1895" s="54"/>
      <c r="O1895" s="52"/>
      <c r="P1895" s="52"/>
      <c r="Q1895" s="52"/>
      <c r="R1895" s="52"/>
      <c r="S1895" s="52"/>
      <c r="T1895" s="52"/>
      <c r="U1895" s="52"/>
      <c r="V1895" s="52"/>
      <c r="W1895" s="52"/>
      <c r="X1895" s="52"/>
      <c r="Y1895" s="52"/>
      <c r="Z1895" s="52"/>
      <c r="AA1895" s="52"/>
      <c r="AB1895" s="52"/>
      <c r="AC1895" s="52"/>
      <c r="AD1895" s="52"/>
      <c r="AE1895" s="52"/>
      <c r="AF1895" s="52"/>
      <c r="AG1895" s="52"/>
      <c r="AH1895" s="52"/>
      <c r="AI1895" s="52"/>
      <c r="AJ1895" s="52"/>
      <c r="AK1895" s="52"/>
      <c r="AL1895" s="52"/>
      <c r="AM1895" s="52"/>
      <c r="AN1895" s="52"/>
      <c r="AO1895" s="52"/>
      <c r="AP1895" s="52"/>
      <c r="AQ1895" s="52"/>
      <c r="AR1895" s="52"/>
      <c r="AS1895" s="52"/>
      <c r="AT1895" s="52"/>
      <c r="AU1895" s="52"/>
      <c r="AV1895" s="52"/>
      <c r="AW1895" s="52"/>
    </row>
    <row r="1896" spans="1:49">
      <c r="A1896" s="52"/>
      <c r="B1896" s="52"/>
      <c r="C1896" s="52"/>
      <c r="D1896" s="53"/>
      <c r="E1896" s="53"/>
      <c r="F1896" s="53"/>
      <c r="G1896" s="53"/>
      <c r="H1896" s="52"/>
      <c r="I1896" s="52"/>
      <c r="J1896" s="52"/>
      <c r="K1896" s="52"/>
      <c r="L1896" s="52"/>
      <c r="M1896" s="54"/>
      <c r="N1896" s="54"/>
      <c r="O1896" s="52"/>
      <c r="P1896" s="52"/>
      <c r="Q1896" s="52"/>
      <c r="R1896" s="52"/>
      <c r="S1896" s="52"/>
      <c r="T1896" s="52"/>
      <c r="U1896" s="52"/>
      <c r="V1896" s="52"/>
      <c r="W1896" s="52"/>
      <c r="X1896" s="52"/>
      <c r="Y1896" s="52"/>
      <c r="Z1896" s="52"/>
      <c r="AA1896" s="52"/>
      <c r="AB1896" s="52"/>
      <c r="AC1896" s="52"/>
      <c r="AD1896" s="52"/>
      <c r="AE1896" s="52"/>
      <c r="AF1896" s="52"/>
      <c r="AG1896" s="52"/>
      <c r="AH1896" s="52"/>
      <c r="AI1896" s="52"/>
      <c r="AJ1896" s="52"/>
      <c r="AK1896" s="52"/>
      <c r="AL1896" s="52"/>
      <c r="AM1896" s="52"/>
      <c r="AN1896" s="52"/>
      <c r="AO1896" s="52"/>
      <c r="AP1896" s="52"/>
      <c r="AQ1896" s="52"/>
      <c r="AR1896" s="52"/>
      <c r="AS1896" s="52"/>
      <c r="AT1896" s="52"/>
      <c r="AU1896" s="52"/>
      <c r="AV1896" s="52"/>
      <c r="AW1896" s="52"/>
    </row>
    <row r="1897" spans="1:49">
      <c r="A1897" s="52"/>
      <c r="B1897" s="52"/>
      <c r="C1897" s="52"/>
      <c r="D1897" s="53"/>
      <c r="E1897" s="53"/>
      <c r="F1897" s="53"/>
      <c r="G1897" s="53"/>
      <c r="H1897" s="52"/>
      <c r="I1897" s="52"/>
      <c r="J1897" s="52"/>
      <c r="K1897" s="52"/>
      <c r="L1897" s="52"/>
      <c r="M1897" s="54"/>
      <c r="N1897" s="54"/>
      <c r="O1897" s="52"/>
      <c r="P1897" s="52"/>
      <c r="Q1897" s="52"/>
      <c r="R1897" s="52"/>
      <c r="S1897" s="52"/>
      <c r="T1897" s="52"/>
      <c r="U1897" s="52"/>
      <c r="V1897" s="52"/>
      <c r="W1897" s="52"/>
      <c r="X1897" s="52"/>
      <c r="Y1897" s="52"/>
      <c r="Z1897" s="52"/>
      <c r="AA1897" s="52"/>
      <c r="AB1897" s="52"/>
      <c r="AC1897" s="52"/>
      <c r="AD1897" s="52"/>
      <c r="AE1897" s="52"/>
      <c r="AF1897" s="52"/>
      <c r="AG1897" s="52"/>
      <c r="AH1897" s="52"/>
      <c r="AI1897" s="52"/>
      <c r="AJ1897" s="52"/>
      <c r="AK1897" s="52"/>
      <c r="AL1897" s="52"/>
      <c r="AM1897" s="52"/>
      <c r="AN1897" s="52"/>
      <c r="AO1897" s="52"/>
      <c r="AP1897" s="52"/>
      <c r="AQ1897" s="52"/>
      <c r="AR1897" s="52"/>
      <c r="AS1897" s="52"/>
      <c r="AT1897" s="52"/>
      <c r="AU1897" s="52"/>
      <c r="AV1897" s="52"/>
      <c r="AW1897" s="52"/>
    </row>
    <row r="1898" spans="1:49">
      <c r="A1898" s="52"/>
      <c r="B1898" s="52"/>
      <c r="C1898" s="52"/>
      <c r="D1898" s="53"/>
      <c r="E1898" s="53"/>
      <c r="F1898" s="53"/>
      <c r="G1898" s="53"/>
      <c r="H1898" s="53"/>
      <c r="I1898" s="52"/>
      <c r="J1898" s="52"/>
      <c r="K1898" s="52"/>
      <c r="L1898" s="52"/>
      <c r="M1898" s="54"/>
      <c r="N1898" s="54"/>
      <c r="O1898" s="52"/>
      <c r="P1898" s="52"/>
      <c r="Q1898" s="52"/>
      <c r="R1898" s="52"/>
      <c r="S1898" s="52"/>
      <c r="T1898" s="52"/>
      <c r="U1898" s="52"/>
      <c r="V1898" s="52"/>
      <c r="W1898" s="52"/>
      <c r="X1898" s="52"/>
      <c r="Y1898" s="52"/>
      <c r="Z1898" s="52"/>
      <c r="AA1898" s="52"/>
      <c r="AB1898" s="52"/>
      <c r="AC1898" s="52"/>
      <c r="AD1898" s="52"/>
      <c r="AE1898" s="52"/>
      <c r="AF1898" s="52"/>
      <c r="AG1898" s="52"/>
      <c r="AH1898" s="52"/>
      <c r="AI1898" s="52"/>
      <c r="AJ1898" s="52"/>
      <c r="AK1898" s="52"/>
      <c r="AL1898" s="55"/>
      <c r="AM1898" s="52"/>
      <c r="AN1898" s="52"/>
      <c r="AO1898" s="52"/>
      <c r="AP1898" s="55"/>
      <c r="AQ1898" s="52"/>
      <c r="AR1898" s="52"/>
      <c r="AS1898" s="52"/>
      <c r="AT1898" s="52"/>
      <c r="AU1898" s="52"/>
      <c r="AV1898" s="52"/>
      <c r="AW1898" s="52"/>
    </row>
    <row r="1899" spans="1:49">
      <c r="A1899" s="52"/>
      <c r="B1899" s="52"/>
      <c r="C1899" s="52"/>
      <c r="D1899" s="53"/>
      <c r="E1899" s="53"/>
      <c r="F1899" s="53"/>
      <c r="G1899" s="53"/>
      <c r="H1899" s="53"/>
      <c r="I1899" s="52"/>
      <c r="J1899" s="52"/>
      <c r="K1899" s="52"/>
      <c r="L1899" s="52"/>
      <c r="M1899" s="54"/>
      <c r="N1899" s="54"/>
      <c r="O1899" s="52"/>
      <c r="P1899" s="52"/>
      <c r="Q1899" s="52"/>
      <c r="R1899" s="52"/>
      <c r="S1899" s="52"/>
      <c r="T1899" s="52"/>
      <c r="U1899" s="52"/>
      <c r="V1899" s="52"/>
      <c r="W1899" s="52"/>
      <c r="X1899" s="52"/>
      <c r="Y1899" s="52"/>
      <c r="Z1899" s="52"/>
      <c r="AA1899" s="52"/>
      <c r="AB1899" s="52"/>
      <c r="AC1899" s="52"/>
      <c r="AD1899" s="52"/>
      <c r="AE1899" s="52"/>
      <c r="AF1899" s="52"/>
      <c r="AG1899" s="52"/>
      <c r="AH1899" s="52"/>
      <c r="AI1899" s="52"/>
      <c r="AJ1899" s="52"/>
      <c r="AK1899" s="52"/>
      <c r="AL1899" s="55"/>
      <c r="AM1899" s="52"/>
      <c r="AN1899" s="52"/>
      <c r="AO1899" s="52"/>
      <c r="AP1899" s="55"/>
      <c r="AQ1899" s="52"/>
      <c r="AR1899" s="52"/>
      <c r="AS1899" s="52"/>
      <c r="AT1899" s="52"/>
      <c r="AU1899" s="52"/>
      <c r="AV1899" s="52"/>
      <c r="AW1899" s="52"/>
    </row>
    <row r="1900" spans="1:49">
      <c r="A1900" s="52"/>
      <c r="B1900" s="52"/>
      <c r="C1900" s="52"/>
      <c r="D1900" s="53"/>
      <c r="E1900" s="53"/>
      <c r="F1900" s="53"/>
      <c r="G1900" s="53"/>
      <c r="H1900" s="53"/>
      <c r="I1900" s="52"/>
      <c r="J1900" s="52"/>
      <c r="K1900" s="53"/>
      <c r="L1900" s="52"/>
      <c r="M1900" s="54"/>
      <c r="N1900" s="54"/>
      <c r="O1900" s="52"/>
      <c r="P1900" s="52"/>
      <c r="Q1900" s="52"/>
      <c r="R1900" s="52"/>
      <c r="S1900" s="52"/>
      <c r="T1900" s="52"/>
      <c r="U1900" s="52"/>
      <c r="V1900" s="52"/>
      <c r="W1900" s="52"/>
      <c r="X1900" s="52"/>
      <c r="Y1900" s="52"/>
      <c r="Z1900" s="52"/>
      <c r="AA1900" s="52"/>
      <c r="AB1900" s="52"/>
      <c r="AC1900" s="52"/>
      <c r="AD1900" s="52"/>
      <c r="AE1900" s="52"/>
      <c r="AF1900" s="52"/>
      <c r="AG1900" s="52"/>
      <c r="AH1900" s="52"/>
      <c r="AI1900" s="52"/>
      <c r="AJ1900" s="52"/>
      <c r="AK1900" s="52"/>
      <c r="AL1900" s="52"/>
      <c r="AM1900" s="52"/>
      <c r="AN1900" s="52"/>
      <c r="AO1900" s="52"/>
      <c r="AP1900" s="52"/>
      <c r="AQ1900" s="52"/>
      <c r="AR1900" s="52"/>
      <c r="AS1900" s="52"/>
      <c r="AT1900" s="52"/>
      <c r="AU1900" s="52"/>
      <c r="AV1900" s="52"/>
      <c r="AW1900" s="52"/>
    </row>
    <row r="1901" spans="1:49">
      <c r="A1901" s="52"/>
      <c r="B1901" s="52"/>
      <c r="C1901" s="52"/>
      <c r="D1901" s="53"/>
      <c r="E1901" s="53"/>
      <c r="F1901" s="53"/>
      <c r="G1901" s="53"/>
      <c r="H1901" s="53"/>
      <c r="I1901" s="52"/>
      <c r="J1901" s="52"/>
      <c r="K1901" s="53"/>
      <c r="L1901" s="52"/>
      <c r="M1901" s="54"/>
      <c r="N1901" s="54"/>
      <c r="O1901" s="52"/>
      <c r="P1901" s="52"/>
      <c r="Q1901" s="52"/>
      <c r="R1901" s="52"/>
      <c r="S1901" s="52"/>
      <c r="T1901" s="52"/>
      <c r="U1901" s="52"/>
      <c r="V1901" s="52"/>
      <c r="W1901" s="52"/>
      <c r="X1901" s="52"/>
      <c r="Y1901" s="52"/>
      <c r="Z1901" s="52"/>
      <c r="AA1901" s="52"/>
      <c r="AB1901" s="52"/>
      <c r="AC1901" s="52"/>
      <c r="AD1901" s="52"/>
      <c r="AE1901" s="52"/>
      <c r="AF1901" s="52"/>
      <c r="AG1901" s="52"/>
      <c r="AH1901" s="52"/>
      <c r="AI1901" s="52"/>
      <c r="AJ1901" s="52"/>
      <c r="AK1901" s="52"/>
      <c r="AL1901" s="52"/>
      <c r="AM1901" s="52"/>
      <c r="AN1901" s="52"/>
      <c r="AO1901" s="52"/>
      <c r="AP1901" s="52"/>
      <c r="AQ1901" s="52"/>
      <c r="AR1901" s="52"/>
      <c r="AS1901" s="52"/>
      <c r="AT1901" s="52"/>
      <c r="AU1901" s="52"/>
      <c r="AV1901" s="52"/>
      <c r="AW1901" s="52"/>
    </row>
    <row r="1902" spans="1:49">
      <c r="A1902" s="52"/>
      <c r="B1902" s="52"/>
      <c r="C1902" s="52"/>
      <c r="D1902" s="53"/>
      <c r="E1902" s="53"/>
      <c r="F1902" s="53"/>
      <c r="G1902" s="53"/>
      <c r="H1902" s="52"/>
      <c r="I1902" s="52"/>
      <c r="J1902" s="52"/>
      <c r="K1902" s="52"/>
      <c r="L1902" s="52"/>
      <c r="M1902" s="54"/>
      <c r="N1902" s="54"/>
      <c r="O1902" s="52"/>
      <c r="P1902" s="52"/>
      <c r="Q1902" s="52"/>
      <c r="R1902" s="52"/>
      <c r="S1902" s="52"/>
      <c r="T1902" s="52"/>
      <c r="U1902" s="52"/>
      <c r="V1902" s="52"/>
      <c r="W1902" s="52"/>
      <c r="X1902" s="52"/>
      <c r="Y1902" s="52"/>
      <c r="Z1902" s="52"/>
      <c r="AA1902" s="52"/>
      <c r="AB1902" s="52"/>
      <c r="AC1902" s="52"/>
      <c r="AD1902" s="52"/>
      <c r="AE1902" s="52"/>
      <c r="AF1902" s="52"/>
      <c r="AG1902" s="52"/>
      <c r="AH1902" s="52"/>
      <c r="AI1902" s="52"/>
      <c r="AJ1902" s="52"/>
      <c r="AK1902" s="52"/>
      <c r="AL1902" s="52"/>
      <c r="AM1902" s="52"/>
      <c r="AN1902" s="52"/>
      <c r="AO1902" s="52"/>
      <c r="AP1902" s="52"/>
      <c r="AQ1902" s="52"/>
      <c r="AR1902" s="52"/>
      <c r="AS1902" s="52"/>
      <c r="AT1902" s="52"/>
      <c r="AU1902" s="52"/>
      <c r="AV1902" s="52"/>
      <c r="AW1902" s="52"/>
    </row>
    <row r="1903" spans="1:49">
      <c r="A1903" s="52"/>
      <c r="B1903" s="52"/>
      <c r="C1903" s="52"/>
      <c r="D1903" s="53"/>
      <c r="E1903" s="53"/>
      <c r="F1903" s="53"/>
      <c r="G1903" s="53"/>
      <c r="H1903" s="52"/>
      <c r="I1903" s="52"/>
      <c r="J1903" s="52"/>
      <c r="K1903" s="52"/>
      <c r="L1903" s="52"/>
      <c r="M1903" s="54"/>
      <c r="N1903" s="54"/>
      <c r="O1903" s="52"/>
      <c r="P1903" s="52"/>
      <c r="Q1903" s="52"/>
      <c r="R1903" s="52"/>
      <c r="S1903" s="52"/>
      <c r="T1903" s="52"/>
      <c r="U1903" s="52"/>
      <c r="V1903" s="52"/>
      <c r="W1903" s="52"/>
      <c r="X1903" s="52"/>
      <c r="Y1903" s="52"/>
      <c r="Z1903" s="52"/>
      <c r="AA1903" s="52"/>
      <c r="AB1903" s="52"/>
      <c r="AC1903" s="52"/>
      <c r="AD1903" s="52"/>
      <c r="AE1903" s="52"/>
      <c r="AF1903" s="52"/>
      <c r="AG1903" s="52"/>
      <c r="AH1903" s="52"/>
      <c r="AI1903" s="52"/>
      <c r="AJ1903" s="52"/>
      <c r="AK1903" s="52"/>
      <c r="AL1903" s="52"/>
      <c r="AM1903" s="52"/>
      <c r="AN1903" s="52"/>
      <c r="AO1903" s="52"/>
      <c r="AP1903" s="52"/>
      <c r="AQ1903" s="52"/>
      <c r="AR1903" s="52"/>
      <c r="AS1903" s="52"/>
      <c r="AT1903" s="52"/>
      <c r="AU1903" s="52"/>
      <c r="AV1903" s="52"/>
      <c r="AW1903" s="52"/>
    </row>
    <row r="1904" spans="1:49">
      <c r="A1904" s="52"/>
      <c r="B1904" s="52"/>
      <c r="C1904" s="52"/>
      <c r="D1904" s="53"/>
      <c r="E1904" s="53"/>
      <c r="F1904" s="53"/>
      <c r="G1904" s="53"/>
      <c r="H1904" s="53"/>
      <c r="I1904" s="52"/>
      <c r="J1904" s="52"/>
      <c r="K1904" s="52"/>
      <c r="L1904" s="52"/>
      <c r="M1904" s="54"/>
      <c r="N1904" s="54"/>
      <c r="O1904" s="52"/>
      <c r="P1904" s="52"/>
      <c r="Q1904" s="52"/>
      <c r="R1904" s="52"/>
      <c r="S1904" s="52"/>
      <c r="T1904" s="52"/>
      <c r="U1904" s="52"/>
      <c r="V1904" s="52"/>
      <c r="W1904" s="52"/>
      <c r="X1904" s="52"/>
      <c r="Y1904" s="52"/>
      <c r="Z1904" s="52"/>
      <c r="AA1904" s="52"/>
      <c r="AB1904" s="52"/>
      <c r="AC1904" s="52"/>
      <c r="AD1904" s="52"/>
      <c r="AE1904" s="52"/>
      <c r="AF1904" s="52"/>
      <c r="AG1904" s="52"/>
      <c r="AH1904" s="52"/>
      <c r="AI1904" s="52"/>
      <c r="AJ1904" s="52"/>
      <c r="AK1904" s="52"/>
      <c r="AL1904" s="55"/>
      <c r="AM1904" s="52"/>
      <c r="AN1904" s="52"/>
      <c r="AO1904" s="52"/>
      <c r="AP1904" s="55"/>
      <c r="AQ1904" s="52"/>
      <c r="AR1904" s="52"/>
      <c r="AS1904" s="52"/>
      <c r="AT1904" s="52"/>
      <c r="AU1904" s="52"/>
      <c r="AV1904" s="52"/>
      <c r="AW1904" s="52"/>
    </row>
    <row r="1905" spans="1:49">
      <c r="A1905" s="52"/>
      <c r="B1905" s="52"/>
      <c r="C1905" s="52"/>
      <c r="D1905" s="53"/>
      <c r="E1905" s="53"/>
      <c r="F1905" s="53"/>
      <c r="G1905" s="53"/>
      <c r="H1905" s="53"/>
      <c r="I1905" s="52"/>
      <c r="J1905" s="52"/>
      <c r="K1905" s="52"/>
      <c r="L1905" s="52"/>
      <c r="M1905" s="54"/>
      <c r="N1905" s="54"/>
      <c r="O1905" s="52"/>
      <c r="P1905" s="52"/>
      <c r="Q1905" s="52"/>
      <c r="R1905" s="52"/>
      <c r="S1905" s="52"/>
      <c r="T1905" s="52"/>
      <c r="U1905" s="52"/>
      <c r="V1905" s="52"/>
      <c r="W1905" s="52"/>
      <c r="X1905" s="52"/>
      <c r="Y1905" s="52"/>
      <c r="Z1905" s="52"/>
      <c r="AA1905" s="52"/>
      <c r="AB1905" s="52"/>
      <c r="AC1905" s="52"/>
      <c r="AD1905" s="52"/>
      <c r="AE1905" s="52"/>
      <c r="AF1905" s="52"/>
      <c r="AG1905" s="52"/>
      <c r="AH1905" s="52"/>
      <c r="AI1905" s="52"/>
      <c r="AJ1905" s="52"/>
      <c r="AK1905" s="52"/>
      <c r="AL1905" s="55"/>
      <c r="AM1905" s="52"/>
      <c r="AN1905" s="52"/>
      <c r="AO1905" s="52"/>
      <c r="AP1905" s="55"/>
      <c r="AQ1905" s="52"/>
      <c r="AR1905" s="52"/>
      <c r="AS1905" s="52"/>
      <c r="AT1905" s="52"/>
      <c r="AU1905" s="52"/>
      <c r="AV1905" s="52"/>
      <c r="AW1905" s="52"/>
    </row>
    <row r="1906" spans="1:49">
      <c r="A1906" s="52"/>
      <c r="B1906" s="52"/>
      <c r="C1906" s="52"/>
      <c r="D1906" s="53"/>
      <c r="E1906" s="53"/>
      <c r="F1906" s="52"/>
      <c r="G1906" s="52"/>
      <c r="H1906" s="52"/>
      <c r="I1906" s="52"/>
      <c r="J1906" s="52"/>
      <c r="K1906" s="52"/>
      <c r="L1906" s="52"/>
      <c r="M1906" s="54"/>
      <c r="N1906" s="54"/>
      <c r="O1906" s="52"/>
      <c r="P1906" s="52"/>
      <c r="Q1906" s="52"/>
      <c r="R1906" s="52"/>
      <c r="S1906" s="52"/>
      <c r="T1906" s="52"/>
      <c r="U1906" s="52"/>
      <c r="V1906" s="52"/>
      <c r="W1906" s="52"/>
      <c r="X1906" s="52"/>
      <c r="Y1906" s="52"/>
      <c r="Z1906" s="52"/>
      <c r="AA1906" s="52"/>
      <c r="AB1906" s="52"/>
      <c r="AC1906" s="52"/>
      <c r="AD1906" s="52"/>
      <c r="AE1906" s="52"/>
      <c r="AF1906" s="52"/>
      <c r="AG1906" s="52"/>
      <c r="AH1906" s="52"/>
      <c r="AI1906" s="52"/>
      <c r="AJ1906" s="52"/>
      <c r="AK1906" s="52"/>
      <c r="AL1906" s="52"/>
      <c r="AM1906" s="52"/>
      <c r="AN1906" s="52"/>
      <c r="AO1906" s="52"/>
      <c r="AP1906" s="52"/>
      <c r="AQ1906" s="52"/>
      <c r="AR1906" s="52"/>
      <c r="AS1906" s="52"/>
      <c r="AT1906" s="52"/>
      <c r="AU1906" s="52"/>
      <c r="AV1906" s="52"/>
      <c r="AW1906" s="52"/>
    </row>
    <row r="1907" spans="1:49">
      <c r="A1907" s="52"/>
      <c r="B1907" s="52"/>
      <c r="C1907" s="52"/>
      <c r="D1907" s="53"/>
      <c r="E1907" s="53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  <c r="S1907" s="52"/>
      <c r="T1907" s="52"/>
      <c r="U1907" s="52"/>
      <c r="V1907" s="52"/>
      <c r="W1907" s="52"/>
      <c r="X1907" s="52"/>
      <c r="Y1907" s="52"/>
      <c r="Z1907" s="52"/>
      <c r="AA1907" s="52"/>
      <c r="AB1907" s="52"/>
      <c r="AC1907" s="52"/>
      <c r="AD1907" s="52"/>
      <c r="AE1907" s="52"/>
      <c r="AF1907" s="52"/>
      <c r="AG1907" s="52"/>
      <c r="AH1907" s="52"/>
      <c r="AI1907" s="52"/>
      <c r="AJ1907" s="52"/>
      <c r="AK1907" s="52"/>
      <c r="AL1907" s="52"/>
      <c r="AM1907" s="52"/>
      <c r="AN1907" s="52"/>
      <c r="AO1907" s="52"/>
      <c r="AP1907" s="52"/>
      <c r="AQ1907" s="52"/>
      <c r="AR1907" s="52"/>
      <c r="AS1907" s="52"/>
      <c r="AT1907" s="52"/>
      <c r="AU1907" s="52"/>
      <c r="AV1907" s="52"/>
      <c r="AW1907" s="52"/>
    </row>
    <row r="1908" spans="1:49">
      <c r="A1908" s="52"/>
      <c r="B1908" s="52"/>
      <c r="C1908" s="52"/>
      <c r="D1908" s="53"/>
      <c r="E1908" s="53"/>
      <c r="F1908" s="53"/>
      <c r="G1908" s="53"/>
      <c r="H1908" s="53"/>
      <c r="I1908" s="52"/>
      <c r="J1908" s="52"/>
      <c r="K1908" s="53"/>
      <c r="L1908" s="52"/>
      <c r="M1908" s="52"/>
      <c r="N1908" s="54"/>
      <c r="O1908" s="52"/>
      <c r="P1908" s="52"/>
      <c r="Q1908" s="52"/>
      <c r="R1908" s="52"/>
      <c r="S1908" s="52"/>
      <c r="T1908" s="52"/>
      <c r="U1908" s="52"/>
      <c r="V1908" s="52"/>
      <c r="W1908" s="52"/>
      <c r="X1908" s="52"/>
      <c r="Y1908" s="52"/>
      <c r="Z1908" s="52"/>
      <c r="AA1908" s="52"/>
      <c r="AB1908" s="52"/>
      <c r="AC1908" s="52"/>
      <c r="AD1908" s="52"/>
      <c r="AE1908" s="52"/>
      <c r="AF1908" s="52"/>
      <c r="AG1908" s="52"/>
      <c r="AH1908" s="52"/>
      <c r="AI1908" s="52"/>
      <c r="AJ1908" s="52"/>
      <c r="AK1908" s="52"/>
      <c r="AL1908" s="52"/>
      <c r="AM1908" s="52"/>
      <c r="AN1908" s="52"/>
      <c r="AO1908" s="52"/>
      <c r="AP1908" s="52"/>
      <c r="AQ1908" s="52"/>
      <c r="AR1908" s="52"/>
      <c r="AS1908" s="52"/>
      <c r="AT1908" s="52"/>
      <c r="AU1908" s="52"/>
      <c r="AV1908" s="52"/>
      <c r="AW1908" s="52"/>
    </row>
    <row r="1909" spans="1:49">
      <c r="A1909" s="52"/>
      <c r="B1909" s="52"/>
      <c r="C1909" s="52"/>
      <c r="D1909" s="53"/>
      <c r="E1909" s="53"/>
      <c r="F1909" s="53"/>
      <c r="G1909" s="53"/>
      <c r="H1909" s="53"/>
      <c r="I1909" s="52"/>
      <c r="J1909" s="52"/>
      <c r="K1909" s="53"/>
      <c r="L1909" s="52"/>
      <c r="M1909" s="54"/>
      <c r="N1909" s="54"/>
      <c r="O1909" s="52"/>
      <c r="P1909" s="52"/>
      <c r="Q1909" s="52"/>
      <c r="R1909" s="52"/>
      <c r="S1909" s="52"/>
      <c r="T1909" s="52"/>
      <c r="U1909" s="52"/>
      <c r="V1909" s="52"/>
      <c r="W1909" s="52"/>
      <c r="X1909" s="52"/>
      <c r="Y1909" s="52"/>
      <c r="Z1909" s="52"/>
      <c r="AA1909" s="52"/>
      <c r="AB1909" s="52"/>
      <c r="AC1909" s="52"/>
      <c r="AD1909" s="52"/>
      <c r="AE1909" s="52"/>
      <c r="AF1909" s="52"/>
      <c r="AG1909" s="52"/>
      <c r="AH1909" s="52"/>
      <c r="AI1909" s="52"/>
      <c r="AJ1909" s="52"/>
      <c r="AK1909" s="52"/>
      <c r="AL1909" s="52"/>
      <c r="AM1909" s="52"/>
      <c r="AN1909" s="52"/>
      <c r="AO1909" s="52"/>
      <c r="AP1909" s="52"/>
      <c r="AQ1909" s="52"/>
      <c r="AR1909" s="52"/>
      <c r="AS1909" s="52"/>
      <c r="AT1909" s="52"/>
      <c r="AU1909" s="52"/>
      <c r="AV1909" s="52"/>
      <c r="AW1909" s="52"/>
    </row>
    <row r="1910" spans="1:49">
      <c r="A1910" s="52"/>
      <c r="B1910" s="52"/>
      <c r="C1910" s="52"/>
      <c r="D1910" s="53"/>
      <c r="E1910" s="53"/>
      <c r="F1910" s="53"/>
      <c r="G1910" s="53"/>
      <c r="H1910" s="53"/>
      <c r="I1910" s="52"/>
      <c r="J1910" s="52"/>
      <c r="K1910" s="53"/>
      <c r="L1910" s="52"/>
      <c r="M1910" s="54"/>
      <c r="N1910" s="54"/>
      <c r="O1910" s="52"/>
      <c r="P1910" s="52"/>
      <c r="Q1910" s="52"/>
      <c r="R1910" s="52"/>
      <c r="S1910" s="52"/>
      <c r="T1910" s="52"/>
      <c r="U1910" s="52"/>
      <c r="V1910" s="52"/>
      <c r="W1910" s="52"/>
      <c r="X1910" s="52"/>
      <c r="Y1910" s="52"/>
      <c r="Z1910" s="52"/>
      <c r="AA1910" s="52"/>
      <c r="AB1910" s="52"/>
      <c r="AC1910" s="52"/>
      <c r="AD1910" s="52"/>
      <c r="AE1910" s="52"/>
      <c r="AF1910" s="52"/>
      <c r="AG1910" s="52"/>
      <c r="AH1910" s="52"/>
      <c r="AI1910" s="52"/>
      <c r="AJ1910" s="52"/>
      <c r="AK1910" s="52"/>
      <c r="AL1910" s="52"/>
      <c r="AM1910" s="52"/>
      <c r="AN1910" s="52"/>
      <c r="AO1910" s="52"/>
      <c r="AP1910" s="52"/>
      <c r="AQ1910" s="52"/>
      <c r="AR1910" s="52"/>
      <c r="AS1910" s="52"/>
      <c r="AT1910" s="52"/>
      <c r="AU1910" s="52"/>
      <c r="AV1910" s="52"/>
      <c r="AW1910" s="52"/>
    </row>
    <row r="1911" spans="1:49">
      <c r="A1911" s="52"/>
      <c r="B1911" s="52"/>
      <c r="C1911" s="52"/>
      <c r="D1911" s="53"/>
      <c r="E1911" s="53"/>
      <c r="F1911" s="53"/>
      <c r="G1911" s="53"/>
      <c r="H1911" s="53"/>
      <c r="I1911" s="52"/>
      <c r="J1911" s="52"/>
      <c r="K1911" s="53"/>
      <c r="L1911" s="52"/>
      <c r="M1911" s="54"/>
      <c r="N1911" s="54"/>
      <c r="O1911" s="52"/>
      <c r="P1911" s="52"/>
      <c r="Q1911" s="52"/>
      <c r="R1911" s="52"/>
      <c r="S1911" s="52"/>
      <c r="T1911" s="52"/>
      <c r="U1911" s="52"/>
      <c r="V1911" s="52"/>
      <c r="W1911" s="52"/>
      <c r="X1911" s="52"/>
      <c r="Y1911" s="52"/>
      <c r="Z1911" s="52"/>
      <c r="AA1911" s="52"/>
      <c r="AB1911" s="52"/>
      <c r="AC1911" s="52"/>
      <c r="AD1911" s="52"/>
      <c r="AE1911" s="52"/>
      <c r="AF1911" s="52"/>
      <c r="AG1911" s="52"/>
      <c r="AH1911" s="52"/>
      <c r="AI1911" s="52"/>
      <c r="AJ1911" s="52"/>
      <c r="AK1911" s="52"/>
      <c r="AL1911" s="55"/>
      <c r="AM1911" s="52"/>
      <c r="AN1911" s="52"/>
      <c r="AO1911" s="52"/>
      <c r="AP1911" s="52"/>
      <c r="AQ1911" s="52"/>
      <c r="AR1911" s="52"/>
      <c r="AS1911" s="52"/>
      <c r="AT1911" s="52"/>
      <c r="AU1911" s="52"/>
      <c r="AV1911" s="52"/>
      <c r="AW1911" s="52"/>
    </row>
    <row r="1912" spans="1:49">
      <c r="A1912" s="52"/>
      <c r="B1912" s="52"/>
      <c r="C1912" s="52"/>
      <c r="D1912" s="53"/>
      <c r="E1912" s="53"/>
      <c r="F1912" s="53"/>
      <c r="G1912" s="53"/>
      <c r="H1912" s="53"/>
      <c r="I1912" s="52"/>
      <c r="J1912" s="52"/>
      <c r="K1912" s="53"/>
      <c r="L1912" s="52"/>
      <c r="M1912" s="54"/>
      <c r="N1912" s="54"/>
      <c r="O1912" s="52"/>
      <c r="P1912" s="52"/>
      <c r="Q1912" s="52"/>
      <c r="R1912" s="52"/>
      <c r="S1912" s="52"/>
      <c r="T1912" s="52"/>
      <c r="U1912" s="52"/>
      <c r="V1912" s="52"/>
      <c r="W1912" s="52"/>
      <c r="X1912" s="52"/>
      <c r="Y1912" s="52"/>
      <c r="Z1912" s="52"/>
      <c r="AA1912" s="52"/>
      <c r="AB1912" s="52"/>
      <c r="AC1912" s="52"/>
      <c r="AD1912" s="52"/>
      <c r="AE1912" s="52"/>
      <c r="AF1912" s="52"/>
      <c r="AG1912" s="52"/>
      <c r="AH1912" s="52"/>
      <c r="AI1912" s="53"/>
      <c r="AJ1912" s="53"/>
      <c r="AK1912" s="53"/>
      <c r="AL1912" s="55"/>
      <c r="AM1912" s="52"/>
      <c r="AN1912" s="55"/>
      <c r="AO1912" s="55"/>
      <c r="AP1912" s="55"/>
      <c r="AQ1912" s="52"/>
      <c r="AR1912" s="52"/>
      <c r="AS1912" s="52"/>
      <c r="AT1912" s="52"/>
      <c r="AU1912" s="52"/>
      <c r="AV1912" s="52"/>
      <c r="AW1912" s="52"/>
    </row>
    <row r="1913" spans="1:49">
      <c r="A1913" s="52"/>
      <c r="B1913" s="52"/>
      <c r="C1913" s="52"/>
      <c r="D1913" s="53"/>
      <c r="E1913" s="53"/>
      <c r="F1913" s="53"/>
      <c r="G1913" s="53"/>
      <c r="H1913" s="53"/>
      <c r="I1913" s="52"/>
      <c r="J1913" s="52"/>
      <c r="K1913" s="53"/>
      <c r="L1913" s="52"/>
      <c r="M1913" s="54"/>
      <c r="N1913" s="54"/>
      <c r="O1913" s="52"/>
      <c r="P1913" s="52"/>
      <c r="Q1913" s="52"/>
      <c r="R1913" s="52"/>
      <c r="S1913" s="52"/>
      <c r="T1913" s="52"/>
      <c r="U1913" s="52"/>
      <c r="V1913" s="52"/>
      <c r="W1913" s="52"/>
      <c r="X1913" s="52"/>
      <c r="Y1913" s="52"/>
      <c r="Z1913" s="52"/>
      <c r="AA1913" s="52"/>
      <c r="AB1913" s="52"/>
      <c r="AC1913" s="52"/>
      <c r="AD1913" s="52"/>
      <c r="AE1913" s="52"/>
      <c r="AF1913" s="52"/>
      <c r="AG1913" s="52"/>
      <c r="AH1913" s="52"/>
      <c r="AI1913" s="53"/>
      <c r="AJ1913" s="53"/>
      <c r="AK1913" s="53"/>
      <c r="AL1913" s="55"/>
      <c r="AM1913" s="52"/>
      <c r="AN1913" s="55"/>
      <c r="AO1913" s="55"/>
      <c r="AP1913" s="55"/>
      <c r="AQ1913" s="52"/>
      <c r="AR1913" s="52"/>
      <c r="AS1913" s="52"/>
      <c r="AT1913" s="52"/>
      <c r="AU1913" s="52"/>
      <c r="AV1913" s="52"/>
      <c r="AW1913" s="52"/>
    </row>
    <row r="1914" spans="1:49">
      <c r="A1914" s="52"/>
      <c r="B1914" s="52"/>
      <c r="C1914" s="52"/>
      <c r="D1914" s="53"/>
      <c r="E1914" s="53"/>
      <c r="F1914" s="52"/>
      <c r="G1914" s="52"/>
      <c r="H1914" s="52"/>
      <c r="I1914" s="52"/>
      <c r="J1914" s="52"/>
      <c r="K1914" s="52"/>
      <c r="L1914" s="52"/>
      <c r="M1914" s="54"/>
      <c r="N1914" s="55"/>
      <c r="O1914" s="52"/>
      <c r="P1914" s="52"/>
      <c r="Q1914" s="52"/>
      <c r="R1914" s="52"/>
      <c r="S1914" s="52"/>
      <c r="T1914" s="52"/>
      <c r="U1914" s="52"/>
      <c r="V1914" s="52"/>
      <c r="W1914" s="52"/>
      <c r="X1914" s="52"/>
      <c r="Y1914" s="52"/>
      <c r="Z1914" s="52"/>
      <c r="AA1914" s="52"/>
      <c r="AB1914" s="52"/>
      <c r="AC1914" s="52"/>
      <c r="AD1914" s="52"/>
      <c r="AE1914" s="52"/>
      <c r="AF1914" s="52"/>
      <c r="AG1914" s="52"/>
      <c r="AH1914" s="52"/>
      <c r="AI1914" s="52"/>
      <c r="AJ1914" s="52"/>
      <c r="AK1914" s="52"/>
      <c r="AL1914" s="52"/>
      <c r="AM1914" s="52"/>
      <c r="AN1914" s="52"/>
      <c r="AO1914" s="52"/>
      <c r="AP1914" s="52"/>
      <c r="AQ1914" s="52"/>
      <c r="AR1914" s="52"/>
      <c r="AS1914" s="52"/>
      <c r="AT1914" s="52"/>
      <c r="AU1914" s="52"/>
      <c r="AV1914" s="52"/>
      <c r="AW1914" s="52"/>
    </row>
    <row r="1915" spans="1:49">
      <c r="A1915" s="52"/>
      <c r="B1915" s="52"/>
      <c r="C1915" s="52"/>
      <c r="D1915" s="53"/>
      <c r="E1915" s="53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  <c r="S1915" s="52"/>
      <c r="T1915" s="52"/>
      <c r="U1915" s="52"/>
      <c r="V1915" s="52"/>
      <c r="W1915" s="52"/>
      <c r="X1915" s="52"/>
      <c r="Y1915" s="52"/>
      <c r="Z1915" s="52"/>
      <c r="AA1915" s="52"/>
      <c r="AB1915" s="52"/>
      <c r="AC1915" s="52"/>
      <c r="AD1915" s="52"/>
      <c r="AE1915" s="52"/>
      <c r="AF1915" s="52"/>
      <c r="AG1915" s="52"/>
      <c r="AH1915" s="52"/>
      <c r="AI1915" s="52"/>
      <c r="AJ1915" s="52"/>
      <c r="AK1915" s="52"/>
      <c r="AL1915" s="52"/>
      <c r="AM1915" s="52"/>
      <c r="AN1915" s="52"/>
      <c r="AO1915" s="52"/>
      <c r="AP1915" s="52"/>
      <c r="AQ1915" s="52"/>
      <c r="AR1915" s="52"/>
      <c r="AS1915" s="52"/>
      <c r="AT1915" s="52"/>
      <c r="AU1915" s="52"/>
      <c r="AV1915" s="52"/>
      <c r="AW1915" s="52"/>
    </row>
    <row r="1916" spans="1:49">
      <c r="A1916" s="52"/>
      <c r="B1916" s="52"/>
      <c r="C1916" s="52"/>
      <c r="D1916" s="53"/>
      <c r="E1916" s="53"/>
      <c r="F1916" s="53"/>
      <c r="G1916" s="53"/>
      <c r="H1916" s="53"/>
      <c r="I1916" s="52"/>
      <c r="J1916" s="52"/>
      <c r="K1916" s="53"/>
      <c r="L1916" s="52"/>
      <c r="M1916" s="54"/>
      <c r="N1916" s="54"/>
      <c r="O1916" s="52"/>
      <c r="P1916" s="52"/>
      <c r="Q1916" s="52"/>
      <c r="R1916" s="52"/>
      <c r="S1916" s="52"/>
      <c r="T1916" s="52"/>
      <c r="U1916" s="52"/>
      <c r="V1916" s="52"/>
      <c r="W1916" s="52"/>
      <c r="X1916" s="52"/>
      <c r="Y1916" s="52"/>
      <c r="Z1916" s="52"/>
      <c r="AA1916" s="52"/>
      <c r="AB1916" s="52"/>
      <c r="AC1916" s="52"/>
      <c r="AD1916" s="52"/>
      <c r="AE1916" s="52"/>
      <c r="AF1916" s="52"/>
      <c r="AG1916" s="52"/>
      <c r="AH1916" s="52"/>
      <c r="AI1916" s="52"/>
      <c r="AJ1916" s="52"/>
      <c r="AK1916" s="52"/>
      <c r="AL1916" s="52"/>
      <c r="AM1916" s="52"/>
      <c r="AN1916" s="52"/>
      <c r="AO1916" s="52"/>
      <c r="AP1916" s="52"/>
      <c r="AQ1916" s="52"/>
      <c r="AR1916" s="52"/>
      <c r="AS1916" s="52"/>
      <c r="AT1916" s="52"/>
      <c r="AU1916" s="52"/>
      <c r="AV1916" s="52"/>
      <c r="AW1916" s="52"/>
    </row>
    <row r="1917" spans="1:49">
      <c r="A1917" s="52"/>
      <c r="B1917" s="52"/>
      <c r="C1917" s="52"/>
      <c r="D1917" s="53"/>
      <c r="E1917" s="53"/>
      <c r="F1917" s="53"/>
      <c r="G1917" s="53"/>
      <c r="H1917" s="53"/>
      <c r="I1917" s="52"/>
      <c r="J1917" s="52"/>
      <c r="K1917" s="53"/>
      <c r="L1917" s="52"/>
      <c r="M1917" s="54"/>
      <c r="N1917" s="54"/>
      <c r="O1917" s="52"/>
      <c r="P1917" s="52"/>
      <c r="Q1917" s="52"/>
      <c r="R1917" s="52"/>
      <c r="S1917" s="52"/>
      <c r="T1917" s="52"/>
      <c r="U1917" s="52"/>
      <c r="V1917" s="52"/>
      <c r="W1917" s="52"/>
      <c r="X1917" s="52"/>
      <c r="Y1917" s="52"/>
      <c r="Z1917" s="52"/>
      <c r="AA1917" s="52"/>
      <c r="AB1917" s="52"/>
      <c r="AC1917" s="52"/>
      <c r="AD1917" s="52"/>
      <c r="AE1917" s="52"/>
      <c r="AF1917" s="52"/>
      <c r="AG1917" s="52"/>
      <c r="AH1917" s="52"/>
      <c r="AI1917" s="52"/>
      <c r="AJ1917" s="52"/>
      <c r="AK1917" s="52"/>
      <c r="AL1917" s="55"/>
      <c r="AM1917" s="52"/>
      <c r="AN1917" s="52"/>
      <c r="AO1917" s="55"/>
      <c r="AP1917" s="55"/>
      <c r="AQ1917" s="52"/>
      <c r="AR1917" s="52"/>
      <c r="AS1917" s="52"/>
      <c r="AT1917" s="52"/>
      <c r="AU1917" s="52"/>
      <c r="AV1917" s="52"/>
      <c r="AW1917" s="52"/>
    </row>
    <row r="1918" spans="1:49">
      <c r="A1918" s="52"/>
      <c r="B1918" s="52"/>
      <c r="C1918" s="52"/>
      <c r="D1918" s="53"/>
      <c r="E1918" s="53"/>
      <c r="F1918" s="53"/>
      <c r="G1918" s="53"/>
      <c r="H1918" s="53"/>
      <c r="I1918" s="52"/>
      <c r="J1918" s="52"/>
      <c r="K1918" s="53"/>
      <c r="L1918" s="52"/>
      <c r="M1918" s="54"/>
      <c r="N1918" s="54"/>
      <c r="O1918" s="52"/>
      <c r="P1918" s="52"/>
      <c r="Q1918" s="52"/>
      <c r="R1918" s="52"/>
      <c r="S1918" s="52"/>
      <c r="T1918" s="52"/>
      <c r="U1918" s="52"/>
      <c r="V1918" s="52"/>
      <c r="W1918" s="52"/>
      <c r="X1918" s="52"/>
      <c r="Y1918" s="52"/>
      <c r="Z1918" s="52"/>
      <c r="AA1918" s="52"/>
      <c r="AB1918" s="52"/>
      <c r="AC1918" s="52"/>
      <c r="AD1918" s="52"/>
      <c r="AE1918" s="52"/>
      <c r="AF1918" s="52"/>
      <c r="AG1918" s="52"/>
      <c r="AH1918" s="52"/>
      <c r="AI1918" s="52"/>
      <c r="AJ1918" s="52"/>
      <c r="AK1918" s="52"/>
      <c r="AL1918" s="55"/>
      <c r="AM1918" s="52"/>
      <c r="AN1918" s="52"/>
      <c r="AO1918" s="55"/>
      <c r="AP1918" s="55"/>
      <c r="AQ1918" s="52"/>
      <c r="AR1918" s="52"/>
      <c r="AS1918" s="52"/>
      <c r="AT1918" s="52"/>
      <c r="AU1918" s="52"/>
      <c r="AV1918" s="52"/>
      <c r="AW1918" s="52"/>
    </row>
    <row r="1919" spans="1:49">
      <c r="A1919" s="52"/>
      <c r="B1919" s="52"/>
      <c r="C1919" s="52"/>
      <c r="D1919" s="53"/>
      <c r="E1919" s="53"/>
      <c r="F1919" s="52"/>
      <c r="G1919" s="52"/>
      <c r="H1919" s="52"/>
      <c r="I1919" s="52"/>
      <c r="J1919" s="52"/>
      <c r="K1919" s="52"/>
      <c r="L1919" s="52"/>
      <c r="M1919" s="54"/>
      <c r="N1919" s="55"/>
      <c r="O1919" s="52"/>
      <c r="P1919" s="52"/>
      <c r="Q1919" s="52"/>
      <c r="R1919" s="52"/>
      <c r="S1919" s="52"/>
      <c r="T1919" s="52"/>
      <c r="U1919" s="52"/>
      <c r="V1919" s="52"/>
      <c r="W1919" s="52"/>
      <c r="X1919" s="52"/>
      <c r="Y1919" s="52"/>
      <c r="Z1919" s="52"/>
      <c r="AA1919" s="52"/>
      <c r="AB1919" s="52"/>
      <c r="AC1919" s="52"/>
      <c r="AD1919" s="52"/>
      <c r="AE1919" s="52"/>
      <c r="AF1919" s="52"/>
      <c r="AG1919" s="52"/>
      <c r="AH1919" s="52"/>
      <c r="AI1919" s="52"/>
      <c r="AJ1919" s="52"/>
      <c r="AK1919" s="52"/>
      <c r="AL1919" s="52"/>
      <c r="AM1919" s="52"/>
      <c r="AN1919" s="52"/>
      <c r="AO1919" s="52"/>
      <c r="AP1919" s="52"/>
      <c r="AQ1919" s="52"/>
      <c r="AR1919" s="52"/>
      <c r="AS1919" s="52"/>
      <c r="AT1919" s="52"/>
      <c r="AU1919" s="52"/>
      <c r="AV1919" s="52"/>
      <c r="AW1919" s="52"/>
    </row>
    <row r="1920" spans="1:49">
      <c r="A1920" s="52"/>
      <c r="B1920" s="52"/>
      <c r="C1920" s="52"/>
      <c r="D1920" s="53"/>
      <c r="E1920" s="53"/>
      <c r="F1920" s="52"/>
      <c r="G1920" s="52"/>
      <c r="H1920" s="52"/>
      <c r="I1920" s="52"/>
      <c r="J1920" s="52"/>
      <c r="K1920" s="52"/>
      <c r="L1920" s="52"/>
      <c r="M1920" s="52"/>
      <c r="N1920" s="52"/>
      <c r="O1920" s="52"/>
      <c r="P1920" s="52"/>
      <c r="Q1920" s="52"/>
      <c r="R1920" s="52"/>
      <c r="S1920" s="52"/>
      <c r="T1920" s="52"/>
      <c r="U1920" s="52"/>
      <c r="V1920" s="52"/>
      <c r="W1920" s="52"/>
      <c r="X1920" s="52"/>
      <c r="Y1920" s="52"/>
      <c r="Z1920" s="52"/>
      <c r="AA1920" s="52"/>
      <c r="AB1920" s="52"/>
      <c r="AC1920" s="52"/>
      <c r="AD1920" s="52"/>
      <c r="AE1920" s="52"/>
      <c r="AF1920" s="52"/>
      <c r="AG1920" s="52"/>
      <c r="AH1920" s="52"/>
      <c r="AI1920" s="52"/>
      <c r="AJ1920" s="52"/>
      <c r="AK1920" s="52"/>
      <c r="AL1920" s="52"/>
      <c r="AM1920" s="52"/>
      <c r="AN1920" s="52"/>
      <c r="AO1920" s="52"/>
      <c r="AP1920" s="52"/>
      <c r="AQ1920" s="52"/>
      <c r="AR1920" s="52"/>
      <c r="AS1920" s="52"/>
      <c r="AT1920" s="52"/>
      <c r="AU1920" s="52"/>
      <c r="AV1920" s="52"/>
      <c r="AW1920" s="52"/>
    </row>
    <row r="1921" spans="1:49">
      <c r="A1921" s="52"/>
      <c r="B1921" s="52"/>
      <c r="C1921" s="52"/>
      <c r="D1921" s="53"/>
      <c r="E1921" s="53"/>
      <c r="F1921" s="53"/>
      <c r="G1921" s="53"/>
      <c r="H1921" s="52"/>
      <c r="I1921" s="52"/>
      <c r="J1921" s="52"/>
      <c r="K1921" s="52"/>
      <c r="L1921" s="52"/>
      <c r="M1921" s="52"/>
      <c r="N1921" s="54"/>
      <c r="O1921" s="52"/>
      <c r="P1921" s="52"/>
      <c r="Q1921" s="52"/>
      <c r="R1921" s="52"/>
      <c r="S1921" s="52"/>
      <c r="T1921" s="52"/>
      <c r="U1921" s="52"/>
      <c r="V1921" s="52"/>
      <c r="W1921" s="52"/>
      <c r="X1921" s="52"/>
      <c r="Y1921" s="52"/>
      <c r="Z1921" s="52"/>
      <c r="AA1921" s="52"/>
      <c r="AB1921" s="52"/>
      <c r="AC1921" s="52"/>
      <c r="AD1921" s="52"/>
      <c r="AE1921" s="52"/>
      <c r="AF1921" s="52"/>
      <c r="AG1921" s="52"/>
      <c r="AH1921" s="52"/>
      <c r="AI1921" s="52"/>
      <c r="AJ1921" s="52"/>
      <c r="AK1921" s="52"/>
      <c r="AL1921" s="52"/>
      <c r="AM1921" s="52"/>
      <c r="AN1921" s="52"/>
      <c r="AO1921" s="52"/>
      <c r="AP1921" s="52"/>
      <c r="AQ1921" s="52"/>
      <c r="AR1921" s="52"/>
      <c r="AS1921" s="52"/>
      <c r="AT1921" s="52"/>
      <c r="AU1921" s="52"/>
      <c r="AV1921" s="52"/>
      <c r="AW1921" s="52"/>
    </row>
    <row r="1922" spans="1:49">
      <c r="A1922" s="52"/>
      <c r="B1922" s="52"/>
      <c r="C1922" s="52"/>
      <c r="D1922" s="53"/>
      <c r="E1922" s="53"/>
      <c r="F1922" s="52"/>
      <c r="G1922" s="53"/>
      <c r="H1922" s="52"/>
      <c r="I1922" s="52"/>
      <c r="J1922" s="52"/>
      <c r="K1922" s="52"/>
      <c r="L1922" s="52"/>
      <c r="M1922" s="52"/>
      <c r="N1922" s="52"/>
      <c r="O1922" s="52"/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2"/>
      <c r="AA1922" s="52"/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2"/>
      <c r="AM1922" s="52"/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</row>
    <row r="1923" spans="1:49">
      <c r="A1923" s="52"/>
      <c r="B1923" s="52"/>
      <c r="C1923" s="52"/>
      <c r="D1923" s="53"/>
      <c r="E1923" s="53"/>
      <c r="F1923" s="52"/>
      <c r="G1923" s="53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  <c r="S1923" s="52"/>
      <c r="T1923" s="52"/>
      <c r="U1923" s="52"/>
      <c r="V1923" s="52"/>
      <c r="W1923" s="52"/>
      <c r="X1923" s="52"/>
      <c r="Y1923" s="52"/>
      <c r="Z1923" s="52"/>
      <c r="AA1923" s="52"/>
      <c r="AB1923" s="52"/>
      <c r="AC1923" s="52"/>
      <c r="AD1923" s="52"/>
      <c r="AE1923" s="52"/>
      <c r="AF1923" s="52"/>
      <c r="AG1923" s="52"/>
      <c r="AH1923" s="52"/>
      <c r="AI1923" s="52"/>
      <c r="AJ1923" s="52"/>
      <c r="AK1923" s="52"/>
      <c r="AL1923" s="52"/>
      <c r="AM1923" s="52"/>
      <c r="AN1923" s="52"/>
      <c r="AO1923" s="52"/>
      <c r="AP1923" s="52"/>
      <c r="AQ1923" s="52"/>
      <c r="AR1923" s="52"/>
      <c r="AS1923" s="52"/>
      <c r="AT1923" s="52"/>
      <c r="AU1923" s="52"/>
      <c r="AV1923" s="52"/>
      <c r="AW1923" s="52"/>
    </row>
    <row r="1924" spans="1:49">
      <c r="A1924" s="52"/>
      <c r="B1924" s="52"/>
      <c r="C1924" s="52"/>
      <c r="D1924" s="53"/>
      <c r="E1924" s="53"/>
      <c r="F1924" s="53"/>
      <c r="G1924" s="53"/>
      <c r="H1924" s="53"/>
      <c r="I1924" s="52"/>
      <c r="J1924" s="52"/>
      <c r="K1924" s="53"/>
      <c r="L1924" s="52"/>
      <c r="M1924" s="52"/>
      <c r="N1924" s="54"/>
      <c r="O1924" s="52"/>
      <c r="P1924" s="52"/>
      <c r="Q1924" s="52"/>
      <c r="R1924" s="52"/>
      <c r="S1924" s="52"/>
      <c r="T1924" s="52"/>
      <c r="U1924" s="52"/>
      <c r="V1924" s="52"/>
      <c r="W1924" s="52"/>
      <c r="X1924" s="52"/>
      <c r="Y1924" s="52"/>
      <c r="Z1924" s="52"/>
      <c r="AA1924" s="52"/>
      <c r="AB1924" s="52"/>
      <c r="AC1924" s="52"/>
      <c r="AD1924" s="52"/>
      <c r="AE1924" s="52"/>
      <c r="AF1924" s="52"/>
      <c r="AG1924" s="52"/>
      <c r="AH1924" s="52"/>
      <c r="AI1924" s="52"/>
      <c r="AJ1924" s="52"/>
      <c r="AK1924" s="52"/>
      <c r="AL1924" s="52"/>
      <c r="AM1924" s="52"/>
      <c r="AN1924" s="52"/>
      <c r="AO1924" s="52"/>
      <c r="AP1924" s="52"/>
      <c r="AQ1924" s="52"/>
      <c r="AR1924" s="52"/>
      <c r="AS1924" s="52"/>
      <c r="AT1924" s="52"/>
      <c r="AU1924" s="52"/>
      <c r="AV1924" s="52"/>
      <c r="AW1924" s="52"/>
    </row>
    <row r="1925" spans="1:49">
      <c r="A1925" s="52"/>
      <c r="B1925" s="52"/>
      <c r="C1925" s="52"/>
      <c r="D1925" s="53"/>
      <c r="E1925" s="53"/>
      <c r="F1925" s="53"/>
      <c r="G1925" s="53"/>
      <c r="H1925" s="53"/>
      <c r="I1925" s="52"/>
      <c r="J1925" s="52"/>
      <c r="K1925" s="53"/>
      <c r="L1925" s="52"/>
      <c r="M1925" s="54"/>
      <c r="N1925" s="54"/>
      <c r="O1925" s="52"/>
      <c r="P1925" s="52"/>
      <c r="Q1925" s="52"/>
      <c r="R1925" s="52"/>
      <c r="S1925" s="52"/>
      <c r="T1925" s="52"/>
      <c r="U1925" s="52"/>
      <c r="V1925" s="52"/>
      <c r="W1925" s="52"/>
      <c r="X1925" s="52"/>
      <c r="Y1925" s="52"/>
      <c r="Z1925" s="52"/>
      <c r="AA1925" s="52"/>
      <c r="AB1925" s="52"/>
      <c r="AC1925" s="52"/>
      <c r="AD1925" s="52"/>
      <c r="AE1925" s="52"/>
      <c r="AF1925" s="52"/>
      <c r="AG1925" s="52"/>
      <c r="AH1925" s="52"/>
      <c r="AI1925" s="52"/>
      <c r="AJ1925" s="52"/>
      <c r="AK1925" s="52"/>
      <c r="AL1925" s="55"/>
      <c r="AM1925" s="52"/>
      <c r="AN1925" s="52"/>
      <c r="AO1925" s="55"/>
      <c r="AP1925" s="55"/>
      <c r="AQ1925" s="52"/>
      <c r="AR1925" s="52"/>
      <c r="AS1925" s="52"/>
      <c r="AT1925" s="52"/>
      <c r="AU1925" s="52"/>
      <c r="AV1925" s="52"/>
      <c r="AW1925" s="52"/>
    </row>
    <row r="1926" spans="1:49">
      <c r="A1926" s="52"/>
      <c r="B1926" s="52"/>
      <c r="C1926" s="52"/>
      <c r="D1926" s="53"/>
      <c r="E1926" s="53"/>
      <c r="F1926" s="53"/>
      <c r="G1926" s="53"/>
      <c r="H1926" s="53"/>
      <c r="I1926" s="52"/>
      <c r="J1926" s="52"/>
      <c r="K1926" s="53"/>
      <c r="L1926" s="52"/>
      <c r="M1926" s="54"/>
      <c r="N1926" s="54"/>
      <c r="O1926" s="52"/>
      <c r="P1926" s="52"/>
      <c r="Q1926" s="52"/>
      <c r="R1926" s="52"/>
      <c r="S1926" s="52"/>
      <c r="T1926" s="52"/>
      <c r="U1926" s="52"/>
      <c r="V1926" s="52"/>
      <c r="W1926" s="52"/>
      <c r="X1926" s="52"/>
      <c r="Y1926" s="52"/>
      <c r="Z1926" s="52"/>
      <c r="AA1926" s="52"/>
      <c r="AB1926" s="52"/>
      <c r="AC1926" s="52"/>
      <c r="AD1926" s="52"/>
      <c r="AE1926" s="52"/>
      <c r="AF1926" s="52"/>
      <c r="AG1926" s="52"/>
      <c r="AH1926" s="52"/>
      <c r="AI1926" s="52"/>
      <c r="AJ1926" s="52"/>
      <c r="AK1926" s="52"/>
      <c r="AL1926" s="55"/>
      <c r="AM1926" s="52"/>
      <c r="AN1926" s="52"/>
      <c r="AO1926" s="55"/>
      <c r="AP1926" s="55"/>
      <c r="AQ1926" s="52"/>
      <c r="AR1926" s="52"/>
      <c r="AS1926" s="52"/>
      <c r="AT1926" s="52"/>
      <c r="AU1926" s="52"/>
      <c r="AV1926" s="52"/>
      <c r="AW1926" s="52"/>
    </row>
    <row r="1927" spans="1:49">
      <c r="A1927" s="52"/>
      <c r="B1927" s="52"/>
      <c r="C1927" s="52"/>
      <c r="D1927" s="53"/>
      <c r="E1927" s="53"/>
      <c r="F1927" s="53"/>
      <c r="G1927" s="53"/>
      <c r="H1927" s="52"/>
      <c r="I1927" s="52"/>
      <c r="J1927" s="52"/>
      <c r="K1927" s="53"/>
      <c r="L1927" s="52"/>
      <c r="M1927" s="54"/>
      <c r="N1927" s="54"/>
      <c r="O1927" s="52"/>
      <c r="P1927" s="52"/>
      <c r="Q1927" s="52"/>
      <c r="R1927" s="52"/>
      <c r="S1927" s="52"/>
      <c r="T1927" s="52"/>
      <c r="U1927" s="52"/>
      <c r="V1927" s="52"/>
      <c r="W1927" s="52"/>
      <c r="X1927" s="52"/>
      <c r="Y1927" s="52"/>
      <c r="Z1927" s="52"/>
      <c r="AA1927" s="52"/>
      <c r="AB1927" s="52"/>
      <c r="AC1927" s="52"/>
      <c r="AD1927" s="52"/>
      <c r="AE1927" s="52"/>
      <c r="AF1927" s="52"/>
      <c r="AG1927" s="52"/>
      <c r="AH1927" s="52"/>
      <c r="AI1927" s="52"/>
      <c r="AJ1927" s="52"/>
      <c r="AK1927" s="52"/>
      <c r="AL1927" s="52"/>
      <c r="AM1927" s="52"/>
      <c r="AN1927" s="52"/>
      <c r="AO1927" s="52"/>
      <c r="AP1927" s="52"/>
      <c r="AQ1927" s="52"/>
      <c r="AR1927" s="52"/>
      <c r="AS1927" s="52"/>
      <c r="AT1927" s="52"/>
      <c r="AU1927" s="52"/>
      <c r="AV1927" s="52"/>
      <c r="AW1927" s="52"/>
    </row>
    <row r="1928" spans="1:49">
      <c r="A1928" s="52"/>
      <c r="B1928" s="52"/>
      <c r="C1928" s="52"/>
      <c r="D1928" s="53"/>
      <c r="E1928" s="53"/>
      <c r="F1928" s="53"/>
      <c r="G1928" s="53"/>
      <c r="H1928" s="52"/>
      <c r="I1928" s="52"/>
      <c r="J1928" s="52"/>
      <c r="K1928" s="53"/>
      <c r="L1928" s="52"/>
      <c r="M1928" s="54"/>
      <c r="N1928" s="55"/>
      <c r="O1928" s="52"/>
      <c r="P1928" s="52"/>
      <c r="Q1928" s="52"/>
      <c r="R1928" s="52"/>
      <c r="S1928" s="52"/>
      <c r="T1928" s="52"/>
      <c r="U1928" s="52"/>
      <c r="V1928" s="52"/>
      <c r="W1928" s="52"/>
      <c r="X1928" s="52"/>
      <c r="Y1928" s="52"/>
      <c r="Z1928" s="52"/>
      <c r="AA1928" s="52"/>
      <c r="AB1928" s="52"/>
      <c r="AC1928" s="52"/>
      <c r="AD1928" s="52"/>
      <c r="AE1928" s="52"/>
      <c r="AF1928" s="52"/>
      <c r="AG1928" s="52"/>
      <c r="AH1928" s="52"/>
      <c r="AI1928" s="52"/>
      <c r="AJ1928" s="52"/>
      <c r="AK1928" s="52"/>
      <c r="AL1928" s="52"/>
      <c r="AM1928" s="52"/>
      <c r="AN1928" s="52"/>
      <c r="AO1928" s="52"/>
      <c r="AP1928" s="52"/>
      <c r="AQ1928" s="52"/>
      <c r="AR1928" s="52"/>
      <c r="AS1928" s="52"/>
      <c r="AT1928" s="52"/>
      <c r="AU1928" s="52"/>
      <c r="AV1928" s="52"/>
      <c r="AW1928" s="52"/>
    </row>
    <row r="1929" spans="1:49">
      <c r="A1929" s="52"/>
      <c r="B1929" s="52"/>
      <c r="C1929" s="52"/>
      <c r="D1929" s="53"/>
      <c r="E1929" s="53"/>
      <c r="F1929" s="53"/>
      <c r="G1929" s="53"/>
      <c r="H1929" s="52"/>
      <c r="I1929" s="52"/>
      <c r="J1929" s="52"/>
      <c r="K1929" s="53"/>
      <c r="L1929" s="52"/>
      <c r="M1929" s="54"/>
      <c r="N1929" s="55"/>
      <c r="O1929" s="52"/>
      <c r="P1929" s="52"/>
      <c r="Q1929" s="52"/>
      <c r="R1929" s="52"/>
      <c r="S1929" s="52"/>
      <c r="T1929" s="52"/>
      <c r="U1929" s="52"/>
      <c r="V1929" s="52"/>
      <c r="W1929" s="52"/>
      <c r="X1929" s="52"/>
      <c r="Y1929" s="52"/>
      <c r="Z1929" s="52"/>
      <c r="AA1929" s="52"/>
      <c r="AB1929" s="52"/>
      <c r="AC1929" s="52"/>
      <c r="AD1929" s="52"/>
      <c r="AE1929" s="52"/>
      <c r="AF1929" s="52"/>
      <c r="AG1929" s="52"/>
      <c r="AH1929" s="52"/>
      <c r="AI1929" s="52"/>
      <c r="AJ1929" s="52"/>
      <c r="AK1929" s="52"/>
      <c r="AL1929" s="52"/>
      <c r="AM1929" s="52"/>
      <c r="AN1929" s="52"/>
      <c r="AO1929" s="52"/>
      <c r="AP1929" s="52"/>
      <c r="AQ1929" s="52"/>
      <c r="AR1929" s="52"/>
      <c r="AS1929" s="52"/>
      <c r="AT1929" s="52"/>
      <c r="AU1929" s="52"/>
      <c r="AV1929" s="52"/>
      <c r="AW1929" s="52"/>
    </row>
    <row r="1930" spans="1:49">
      <c r="A1930" s="52"/>
      <c r="B1930" s="52"/>
      <c r="C1930" s="52"/>
      <c r="D1930" s="53"/>
      <c r="E1930" s="53"/>
      <c r="F1930" s="53"/>
      <c r="G1930" s="53"/>
      <c r="H1930" s="53"/>
      <c r="I1930" s="52"/>
      <c r="J1930" s="52"/>
      <c r="K1930" s="53"/>
      <c r="L1930" s="52"/>
      <c r="M1930" s="52"/>
      <c r="N1930" s="54"/>
      <c r="O1930" s="52"/>
      <c r="P1930" s="52"/>
      <c r="Q1930" s="52"/>
      <c r="R1930" s="52"/>
      <c r="S1930" s="52"/>
      <c r="T1930" s="52"/>
      <c r="U1930" s="52"/>
      <c r="V1930" s="52"/>
      <c r="W1930" s="52"/>
      <c r="X1930" s="52"/>
      <c r="Y1930" s="52"/>
      <c r="Z1930" s="52"/>
      <c r="AA1930" s="52"/>
      <c r="AB1930" s="52"/>
      <c r="AC1930" s="52"/>
      <c r="AD1930" s="52"/>
      <c r="AE1930" s="52"/>
      <c r="AF1930" s="52"/>
      <c r="AG1930" s="52"/>
      <c r="AH1930" s="52"/>
      <c r="AI1930" s="52"/>
      <c r="AJ1930" s="52"/>
      <c r="AK1930" s="52"/>
      <c r="AL1930" s="52"/>
      <c r="AM1930" s="52"/>
      <c r="AN1930" s="52"/>
      <c r="AO1930" s="52"/>
      <c r="AP1930" s="52"/>
      <c r="AQ1930" s="52"/>
      <c r="AR1930" s="52"/>
      <c r="AS1930" s="52"/>
      <c r="AT1930" s="52"/>
      <c r="AU1930" s="52"/>
      <c r="AV1930" s="52"/>
      <c r="AW1930" s="52"/>
    </row>
    <row r="1931" spans="1:49">
      <c r="A1931" s="52"/>
      <c r="B1931" s="52"/>
      <c r="C1931" s="52"/>
      <c r="D1931" s="53"/>
      <c r="E1931" s="53"/>
      <c r="F1931" s="53"/>
      <c r="G1931" s="53"/>
      <c r="H1931" s="53"/>
      <c r="I1931" s="52"/>
      <c r="J1931" s="52"/>
      <c r="K1931" s="53"/>
      <c r="L1931" s="52"/>
      <c r="M1931" s="54"/>
      <c r="N1931" s="54"/>
      <c r="O1931" s="52"/>
      <c r="P1931" s="52"/>
      <c r="Q1931" s="52"/>
      <c r="R1931" s="52"/>
      <c r="S1931" s="52"/>
      <c r="T1931" s="52"/>
      <c r="U1931" s="52"/>
      <c r="V1931" s="52"/>
      <c r="W1931" s="52"/>
      <c r="X1931" s="52"/>
      <c r="Y1931" s="52"/>
      <c r="Z1931" s="52"/>
      <c r="AA1931" s="52"/>
      <c r="AB1931" s="52"/>
      <c r="AC1931" s="52"/>
      <c r="AD1931" s="52"/>
      <c r="AE1931" s="52"/>
      <c r="AF1931" s="52"/>
      <c r="AG1931" s="52"/>
      <c r="AH1931" s="52"/>
      <c r="AI1931" s="52"/>
      <c r="AJ1931" s="52"/>
      <c r="AK1931" s="52"/>
      <c r="AL1931" s="55"/>
      <c r="AM1931" s="52"/>
      <c r="AN1931" s="52"/>
      <c r="AO1931" s="55"/>
      <c r="AP1931" s="55"/>
      <c r="AQ1931" s="52"/>
      <c r="AR1931" s="52"/>
      <c r="AS1931" s="52"/>
      <c r="AT1931" s="52"/>
      <c r="AU1931" s="52"/>
      <c r="AV1931" s="52"/>
      <c r="AW1931" s="52"/>
    </row>
    <row r="1932" spans="1:49">
      <c r="A1932" s="52"/>
      <c r="B1932" s="52"/>
      <c r="C1932" s="52"/>
      <c r="D1932" s="53"/>
      <c r="E1932" s="53"/>
      <c r="F1932" s="53"/>
      <c r="G1932" s="53"/>
      <c r="H1932" s="53"/>
      <c r="I1932" s="52"/>
      <c r="J1932" s="52"/>
      <c r="K1932" s="53"/>
      <c r="L1932" s="52"/>
      <c r="M1932" s="54"/>
      <c r="N1932" s="54"/>
      <c r="O1932" s="52"/>
      <c r="P1932" s="52"/>
      <c r="Q1932" s="52"/>
      <c r="R1932" s="52"/>
      <c r="S1932" s="52"/>
      <c r="T1932" s="52"/>
      <c r="U1932" s="52"/>
      <c r="V1932" s="52"/>
      <c r="W1932" s="52"/>
      <c r="X1932" s="52"/>
      <c r="Y1932" s="52"/>
      <c r="Z1932" s="52"/>
      <c r="AA1932" s="52"/>
      <c r="AB1932" s="52"/>
      <c r="AC1932" s="52"/>
      <c r="AD1932" s="52"/>
      <c r="AE1932" s="52"/>
      <c r="AF1932" s="52"/>
      <c r="AG1932" s="52"/>
      <c r="AH1932" s="52"/>
      <c r="AI1932" s="52"/>
      <c r="AJ1932" s="52"/>
      <c r="AK1932" s="52"/>
      <c r="AL1932" s="55"/>
      <c r="AM1932" s="52"/>
      <c r="AN1932" s="52"/>
      <c r="AO1932" s="55"/>
      <c r="AP1932" s="55"/>
      <c r="AQ1932" s="52"/>
      <c r="AR1932" s="52"/>
      <c r="AS1932" s="52"/>
      <c r="AT1932" s="52"/>
      <c r="AU1932" s="52"/>
      <c r="AV1932" s="52"/>
      <c r="AW1932" s="52"/>
    </row>
    <row r="1933" spans="1:49">
      <c r="A1933" s="52"/>
      <c r="B1933" s="52"/>
      <c r="C1933" s="52"/>
      <c r="D1933" s="53"/>
      <c r="E1933" s="53"/>
      <c r="F1933" s="53"/>
      <c r="G1933" s="53"/>
      <c r="H1933" s="53"/>
      <c r="I1933" s="52"/>
      <c r="J1933" s="52"/>
      <c r="K1933" s="53"/>
      <c r="L1933" s="52"/>
      <c r="M1933" s="54"/>
      <c r="N1933" s="54"/>
      <c r="O1933" s="52"/>
      <c r="P1933" s="52"/>
      <c r="Q1933" s="52"/>
      <c r="R1933" s="52"/>
      <c r="S1933" s="52"/>
      <c r="T1933" s="52"/>
      <c r="U1933" s="52"/>
      <c r="V1933" s="52"/>
      <c r="W1933" s="52"/>
      <c r="X1933" s="52"/>
      <c r="Y1933" s="52"/>
      <c r="Z1933" s="52"/>
      <c r="AA1933" s="52"/>
      <c r="AB1933" s="52"/>
      <c r="AC1933" s="52"/>
      <c r="AD1933" s="52"/>
      <c r="AE1933" s="52"/>
      <c r="AF1933" s="52"/>
      <c r="AG1933" s="52"/>
      <c r="AH1933" s="52"/>
      <c r="AI1933" s="52"/>
      <c r="AJ1933" s="52"/>
      <c r="AK1933" s="52"/>
      <c r="AL1933" s="55"/>
      <c r="AM1933" s="52"/>
      <c r="AN1933" s="52"/>
      <c r="AO1933" s="52"/>
      <c r="AP1933" s="52"/>
      <c r="AQ1933" s="52"/>
      <c r="AR1933" s="52"/>
      <c r="AS1933" s="52"/>
      <c r="AT1933" s="52"/>
      <c r="AU1933" s="52"/>
      <c r="AV1933" s="52"/>
      <c r="AW1933" s="52"/>
    </row>
    <row r="1934" spans="1:49">
      <c r="A1934" s="52"/>
      <c r="B1934" s="52"/>
      <c r="C1934" s="52"/>
      <c r="D1934" s="53"/>
      <c r="E1934" s="53"/>
      <c r="F1934" s="53"/>
      <c r="G1934" s="53"/>
      <c r="H1934" s="53"/>
      <c r="I1934" s="52"/>
      <c r="J1934" s="52"/>
      <c r="K1934" s="53"/>
      <c r="L1934" s="52"/>
      <c r="M1934" s="54"/>
      <c r="N1934" s="54"/>
      <c r="O1934" s="52"/>
      <c r="P1934" s="52"/>
      <c r="Q1934" s="52"/>
      <c r="R1934" s="52"/>
      <c r="S1934" s="52"/>
      <c r="T1934" s="52"/>
      <c r="U1934" s="52"/>
      <c r="V1934" s="52"/>
      <c r="W1934" s="52"/>
      <c r="X1934" s="52"/>
      <c r="Y1934" s="52"/>
      <c r="Z1934" s="52"/>
      <c r="AA1934" s="52"/>
      <c r="AB1934" s="52"/>
      <c r="AC1934" s="52"/>
      <c r="AD1934" s="52"/>
      <c r="AE1934" s="52"/>
      <c r="AF1934" s="52"/>
      <c r="AG1934" s="52"/>
      <c r="AH1934" s="52"/>
      <c r="AI1934" s="52"/>
      <c r="AJ1934" s="52"/>
      <c r="AK1934" s="52"/>
      <c r="AL1934" s="55"/>
      <c r="AM1934" s="52"/>
      <c r="AN1934" s="52"/>
      <c r="AO1934" s="52"/>
      <c r="AP1934" s="52"/>
      <c r="AQ1934" s="52"/>
      <c r="AR1934" s="52"/>
      <c r="AS1934" s="52"/>
      <c r="AT1934" s="52"/>
      <c r="AU1934" s="52"/>
      <c r="AV1934" s="52"/>
      <c r="AW1934" s="52"/>
    </row>
    <row r="1935" spans="1:49">
      <c r="A1935" s="52"/>
      <c r="B1935" s="52"/>
      <c r="C1935" s="52"/>
      <c r="D1935" s="53"/>
      <c r="E1935" s="53"/>
      <c r="F1935" s="53"/>
      <c r="G1935" s="53"/>
      <c r="H1935" s="53"/>
      <c r="I1935" s="52"/>
      <c r="J1935" s="52"/>
      <c r="K1935" s="53"/>
      <c r="L1935" s="52"/>
      <c r="M1935" s="54"/>
      <c r="N1935" s="54"/>
      <c r="O1935" s="52"/>
      <c r="P1935" s="52"/>
      <c r="Q1935" s="52"/>
      <c r="R1935" s="52"/>
      <c r="S1935" s="52"/>
      <c r="T1935" s="52"/>
      <c r="U1935" s="52"/>
      <c r="V1935" s="52"/>
      <c r="W1935" s="52"/>
      <c r="X1935" s="52"/>
      <c r="Y1935" s="52"/>
      <c r="Z1935" s="52"/>
      <c r="AA1935" s="52"/>
      <c r="AB1935" s="52"/>
      <c r="AC1935" s="52"/>
      <c r="AD1935" s="52"/>
      <c r="AE1935" s="52"/>
      <c r="AF1935" s="52"/>
      <c r="AG1935" s="52"/>
      <c r="AH1935" s="52"/>
      <c r="AI1935" s="53"/>
      <c r="AJ1935" s="53"/>
      <c r="AK1935" s="53"/>
      <c r="AL1935" s="55"/>
      <c r="AM1935" s="52"/>
      <c r="AN1935" s="55"/>
      <c r="AO1935" s="55"/>
      <c r="AP1935" s="55"/>
      <c r="AQ1935" s="52"/>
      <c r="AR1935" s="52"/>
      <c r="AS1935" s="52"/>
      <c r="AT1935" s="52"/>
      <c r="AU1935" s="52"/>
      <c r="AV1935" s="52"/>
      <c r="AW1935" s="52"/>
    </row>
    <row r="1936" spans="1:49">
      <c r="A1936" s="52"/>
      <c r="B1936" s="52"/>
      <c r="C1936" s="52"/>
      <c r="D1936" s="53"/>
      <c r="E1936" s="53"/>
      <c r="F1936" s="53"/>
      <c r="G1936" s="53"/>
      <c r="H1936" s="53"/>
      <c r="I1936" s="52"/>
      <c r="J1936" s="52"/>
      <c r="K1936" s="53"/>
      <c r="L1936" s="52"/>
      <c r="M1936" s="54"/>
      <c r="N1936" s="54"/>
      <c r="O1936" s="52"/>
      <c r="P1936" s="52"/>
      <c r="Q1936" s="52"/>
      <c r="R1936" s="52"/>
      <c r="S1936" s="52"/>
      <c r="T1936" s="52"/>
      <c r="U1936" s="52"/>
      <c r="V1936" s="52"/>
      <c r="W1936" s="52"/>
      <c r="X1936" s="52"/>
      <c r="Y1936" s="52"/>
      <c r="Z1936" s="52"/>
      <c r="AA1936" s="52"/>
      <c r="AB1936" s="52"/>
      <c r="AC1936" s="52"/>
      <c r="AD1936" s="52"/>
      <c r="AE1936" s="52"/>
      <c r="AF1936" s="52"/>
      <c r="AG1936" s="52"/>
      <c r="AH1936" s="52"/>
      <c r="AI1936" s="53"/>
      <c r="AJ1936" s="53"/>
      <c r="AK1936" s="53"/>
      <c r="AL1936" s="55"/>
      <c r="AM1936" s="52"/>
      <c r="AN1936" s="55"/>
      <c r="AO1936" s="55"/>
      <c r="AP1936" s="55"/>
      <c r="AQ1936" s="52"/>
      <c r="AR1936" s="52"/>
      <c r="AS1936" s="52"/>
      <c r="AT1936" s="52"/>
      <c r="AU1936" s="52"/>
      <c r="AV1936" s="52"/>
      <c r="AW1936" s="52"/>
    </row>
    <row r="1937" spans="1:49">
      <c r="A1937" s="52"/>
      <c r="B1937" s="52"/>
      <c r="C1937" s="52"/>
      <c r="D1937" s="53"/>
      <c r="E1937" s="53"/>
      <c r="F1937" s="53"/>
      <c r="G1937" s="53"/>
      <c r="H1937" s="53"/>
      <c r="I1937" s="52"/>
      <c r="J1937" s="52"/>
      <c r="K1937" s="53"/>
      <c r="L1937" s="52"/>
      <c r="M1937" s="54"/>
      <c r="N1937" s="54"/>
      <c r="O1937" s="52"/>
      <c r="P1937" s="52"/>
      <c r="Q1937" s="52"/>
      <c r="R1937" s="52"/>
      <c r="S1937" s="52"/>
      <c r="T1937" s="52"/>
      <c r="U1937" s="52"/>
      <c r="V1937" s="52"/>
      <c r="W1937" s="52"/>
      <c r="X1937" s="52"/>
      <c r="Y1937" s="52"/>
      <c r="Z1937" s="52"/>
      <c r="AA1937" s="52"/>
      <c r="AB1937" s="52"/>
      <c r="AC1937" s="52"/>
      <c r="AD1937" s="52"/>
      <c r="AE1937" s="52"/>
      <c r="AF1937" s="52"/>
      <c r="AG1937" s="52"/>
      <c r="AH1937" s="52"/>
      <c r="AI1937" s="52"/>
      <c r="AJ1937" s="52"/>
      <c r="AK1937" s="52"/>
      <c r="AL1937" s="52"/>
      <c r="AM1937" s="52"/>
      <c r="AN1937" s="52"/>
      <c r="AO1937" s="52"/>
      <c r="AP1937" s="52"/>
      <c r="AQ1937" s="52"/>
      <c r="AR1937" s="52"/>
      <c r="AS1937" s="52"/>
      <c r="AT1937" s="52"/>
      <c r="AU1937" s="52"/>
      <c r="AV1937" s="52"/>
      <c r="AW1937" s="52"/>
    </row>
    <row r="1938" spans="1:49">
      <c r="A1938" s="52"/>
      <c r="B1938" s="52"/>
      <c r="C1938" s="52"/>
      <c r="D1938" s="53"/>
      <c r="E1938" s="53"/>
      <c r="F1938" s="53"/>
      <c r="G1938" s="53"/>
      <c r="H1938" s="53"/>
      <c r="I1938" s="52"/>
      <c r="J1938" s="52"/>
      <c r="K1938" s="53"/>
      <c r="L1938" s="52"/>
      <c r="M1938" s="54"/>
      <c r="N1938" s="54"/>
      <c r="O1938" s="52"/>
      <c r="P1938" s="52"/>
      <c r="Q1938" s="52"/>
      <c r="R1938" s="52"/>
      <c r="S1938" s="52"/>
      <c r="T1938" s="52"/>
      <c r="U1938" s="52"/>
      <c r="V1938" s="52"/>
      <c r="W1938" s="52"/>
      <c r="X1938" s="52"/>
      <c r="Y1938" s="52"/>
      <c r="Z1938" s="52"/>
      <c r="AA1938" s="52"/>
      <c r="AB1938" s="52"/>
      <c r="AC1938" s="52"/>
      <c r="AD1938" s="52"/>
      <c r="AE1938" s="52"/>
      <c r="AF1938" s="52"/>
      <c r="AG1938" s="52"/>
      <c r="AH1938" s="52"/>
      <c r="AI1938" s="52"/>
      <c r="AJ1938" s="52"/>
      <c r="AK1938" s="52"/>
      <c r="AL1938" s="55"/>
      <c r="AM1938" s="52"/>
      <c r="AN1938" s="52"/>
      <c r="AO1938" s="55"/>
      <c r="AP1938" s="55"/>
      <c r="AQ1938" s="52"/>
      <c r="AR1938" s="52"/>
      <c r="AS1938" s="52"/>
      <c r="AT1938" s="52"/>
      <c r="AU1938" s="52"/>
      <c r="AV1938" s="52"/>
      <c r="AW1938" s="52"/>
    </row>
    <row r="1939" spans="1:49">
      <c r="A1939" s="52"/>
      <c r="B1939" s="52"/>
      <c r="C1939" s="52"/>
      <c r="D1939" s="53"/>
      <c r="E1939" s="53"/>
      <c r="F1939" s="53"/>
      <c r="G1939" s="53"/>
      <c r="H1939" s="53"/>
      <c r="I1939" s="52"/>
      <c r="J1939" s="52"/>
      <c r="K1939" s="53"/>
      <c r="L1939" s="52"/>
      <c r="M1939" s="54"/>
      <c r="N1939" s="54"/>
      <c r="O1939" s="52"/>
      <c r="P1939" s="52"/>
      <c r="Q1939" s="52"/>
      <c r="R1939" s="52"/>
      <c r="S1939" s="52"/>
      <c r="T1939" s="52"/>
      <c r="U1939" s="52"/>
      <c r="V1939" s="52"/>
      <c r="W1939" s="52"/>
      <c r="X1939" s="52"/>
      <c r="Y1939" s="52"/>
      <c r="Z1939" s="52"/>
      <c r="AA1939" s="52"/>
      <c r="AB1939" s="52"/>
      <c r="AC1939" s="52"/>
      <c r="AD1939" s="52"/>
      <c r="AE1939" s="52"/>
      <c r="AF1939" s="52"/>
      <c r="AG1939" s="52"/>
      <c r="AH1939" s="52"/>
      <c r="AI1939" s="52"/>
      <c r="AJ1939" s="52"/>
      <c r="AK1939" s="52"/>
      <c r="AL1939" s="55"/>
      <c r="AM1939" s="52"/>
      <c r="AN1939" s="52"/>
      <c r="AO1939" s="55"/>
      <c r="AP1939" s="55"/>
      <c r="AQ1939" s="52"/>
      <c r="AR1939" s="52"/>
      <c r="AS1939" s="52"/>
      <c r="AT1939" s="52"/>
      <c r="AU1939" s="52"/>
      <c r="AV1939" s="52"/>
      <c r="AW1939" s="52"/>
    </row>
    <row r="1940" spans="1:49">
      <c r="A1940" s="52"/>
      <c r="B1940" s="56"/>
      <c r="C1940" s="52"/>
      <c r="D1940" s="52"/>
      <c r="E1940" s="52"/>
      <c r="F1940" s="52"/>
      <c r="G1940" s="52"/>
      <c r="H1940" s="52"/>
      <c r="I1940" s="52"/>
      <c r="J1940" s="52"/>
      <c r="K1940" s="52"/>
      <c r="L1940" s="52"/>
      <c r="M1940" s="52"/>
      <c r="N1940" s="52"/>
      <c r="O1940" s="52"/>
      <c r="P1940" s="52"/>
      <c r="Q1940" s="52"/>
      <c r="R1940" s="52"/>
      <c r="S1940" s="52"/>
      <c r="T1940" s="52"/>
      <c r="U1940" s="52"/>
      <c r="V1940" s="52"/>
      <c r="W1940" s="52"/>
      <c r="X1940" s="52"/>
      <c r="Y1940" s="52"/>
      <c r="Z1940" s="52"/>
      <c r="AA1940" s="52"/>
      <c r="AB1940" s="52"/>
      <c r="AC1940" s="52"/>
      <c r="AD1940" s="52"/>
      <c r="AE1940" s="52"/>
      <c r="AF1940" s="52"/>
      <c r="AG1940" s="52"/>
      <c r="AH1940" s="52"/>
      <c r="AI1940" s="52"/>
      <c r="AJ1940" s="52"/>
      <c r="AK1940" s="52"/>
      <c r="AL1940" s="52"/>
      <c r="AM1940" s="52"/>
      <c r="AN1940" s="52"/>
      <c r="AO1940" s="52"/>
      <c r="AP1940" s="52"/>
      <c r="AQ1940" s="52"/>
      <c r="AR1940" s="52"/>
      <c r="AS1940" s="52"/>
      <c r="AT1940" s="52"/>
      <c r="AU1940" s="52"/>
      <c r="AV1940" s="52"/>
      <c r="AW1940" s="52"/>
    </row>
    <row r="1941" spans="1:49">
      <c r="A1941" s="52"/>
      <c r="B1941" s="52"/>
      <c r="C1941" s="52"/>
      <c r="D1941" s="52"/>
      <c r="E1941" s="52"/>
      <c r="F1941" s="52"/>
      <c r="G1941" s="52"/>
      <c r="H1941" s="52"/>
      <c r="I1941" s="52"/>
      <c r="J1941" s="52"/>
      <c r="K1941" s="52"/>
      <c r="L1941" s="52"/>
      <c r="M1941" s="52"/>
      <c r="N1941" s="52"/>
      <c r="O1941" s="52"/>
      <c r="P1941" s="52"/>
      <c r="Q1941" s="52"/>
      <c r="R1941" s="52"/>
      <c r="S1941" s="52"/>
      <c r="T1941" s="52"/>
      <c r="U1941" s="52"/>
      <c r="V1941" s="52"/>
      <c r="W1941" s="52"/>
      <c r="X1941" s="52"/>
      <c r="Y1941" s="52"/>
      <c r="Z1941" s="52"/>
      <c r="AA1941" s="52"/>
      <c r="AB1941" s="52"/>
      <c r="AC1941" s="52"/>
      <c r="AD1941" s="52"/>
      <c r="AE1941" s="52"/>
      <c r="AF1941" s="52"/>
      <c r="AG1941" s="52"/>
      <c r="AH1941" s="52"/>
      <c r="AI1941" s="52"/>
      <c r="AJ1941" s="52"/>
      <c r="AK1941" s="52"/>
      <c r="AL1941" s="52"/>
      <c r="AM1941" s="52"/>
      <c r="AN1941" s="52"/>
      <c r="AO1941" s="52"/>
      <c r="AP1941" s="52"/>
      <c r="AQ1941" s="52"/>
      <c r="AR1941" s="52"/>
      <c r="AS1941" s="52"/>
      <c r="AT1941" s="52"/>
      <c r="AU1941" s="52"/>
      <c r="AV1941" s="52"/>
      <c r="AW1941" s="52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AG869"/>
  <sheetViews>
    <sheetView zoomScaleNormal="100" workbookViewId="0">
      <selection sqref="A1:Y185"/>
    </sheetView>
  </sheetViews>
  <sheetFormatPr defaultColWidth="8.7109375" defaultRowHeight="15"/>
  <cols>
    <col min="1" max="1" width="14" customWidth="1"/>
    <col min="2" max="2" width="40.28515625" customWidth="1"/>
    <col min="3" max="3" width="14.28515625" customWidth="1"/>
    <col min="4" max="4" width="19.140625" customWidth="1"/>
    <col min="5" max="5" width="15" customWidth="1"/>
    <col min="6" max="6" width="22.7109375" customWidth="1"/>
    <col min="7" max="7" width="22.5703125" customWidth="1"/>
    <col min="8" max="8" width="38.85546875" customWidth="1"/>
    <col min="9" max="9" width="34.28515625" customWidth="1"/>
    <col min="10" max="10" width="18.140625" bestFit="1" customWidth="1"/>
    <col min="11" max="11" width="20.28515625" customWidth="1"/>
    <col min="12" max="12" width="15.7109375" customWidth="1"/>
    <col min="13" max="13" width="40.140625" customWidth="1"/>
    <col min="14" max="14" width="41" customWidth="1"/>
    <col min="15" max="15" width="19.28515625" customWidth="1"/>
    <col min="16" max="16" width="29.5703125" customWidth="1"/>
    <col min="17" max="17" width="22" customWidth="1"/>
    <col min="18" max="18" width="23.140625" customWidth="1"/>
    <col min="19" max="19" width="30.7109375" customWidth="1"/>
    <col min="20" max="20" width="26.7109375" customWidth="1"/>
    <col min="21" max="21" width="33.28515625" customWidth="1"/>
    <col min="22" max="22" width="25.28515625" customWidth="1"/>
    <col min="23" max="23" width="22.7109375" customWidth="1"/>
    <col min="24" max="24" width="21.5703125" customWidth="1"/>
    <col min="25" max="25" width="17" customWidth="1"/>
    <col min="26" max="26" width="14.5703125" customWidth="1"/>
    <col min="27" max="28" width="9.140625" bestFit="1" customWidth="1"/>
    <col min="32" max="32" width="9.140625" bestFit="1" customWidth="1"/>
  </cols>
  <sheetData>
    <row r="1" spans="1:33" ht="15" customHeight="1">
      <c r="A1" s="33" t="s">
        <v>4168</v>
      </c>
      <c r="B1" s="33" t="s">
        <v>34</v>
      </c>
      <c r="C1" s="33" t="s">
        <v>4169</v>
      </c>
      <c r="D1" s="33" t="s">
        <v>4170</v>
      </c>
      <c r="E1" s="33" t="s">
        <v>66</v>
      </c>
      <c r="F1" s="33" t="s">
        <v>9</v>
      </c>
      <c r="G1" s="33" t="s">
        <v>4171</v>
      </c>
      <c r="H1" s="33" t="s">
        <v>7</v>
      </c>
      <c r="I1" s="33" t="s">
        <v>8</v>
      </c>
      <c r="J1" s="33" t="s">
        <v>3656</v>
      </c>
      <c r="K1" s="33" t="s">
        <v>18</v>
      </c>
      <c r="L1" s="33" t="s">
        <v>4172</v>
      </c>
      <c r="M1" s="33" t="s">
        <v>4173</v>
      </c>
      <c r="N1" s="33" t="s">
        <v>4174</v>
      </c>
      <c r="O1" s="33" t="s">
        <v>4175</v>
      </c>
      <c r="P1" s="33" t="s">
        <v>3654</v>
      </c>
      <c r="Q1" s="33" t="s">
        <v>4176</v>
      </c>
      <c r="R1" s="33" t="s">
        <v>4177</v>
      </c>
      <c r="S1" s="33" t="s">
        <v>4178</v>
      </c>
      <c r="T1" s="33" t="s">
        <v>4179</v>
      </c>
      <c r="U1" s="33" t="s">
        <v>4180</v>
      </c>
      <c r="V1" s="33" t="s">
        <v>4181</v>
      </c>
      <c r="W1" s="33" t="s">
        <v>4182</v>
      </c>
      <c r="X1" s="33" t="s">
        <v>4183</v>
      </c>
      <c r="Y1" s="33" t="s">
        <v>3688</v>
      </c>
      <c r="Z1" s="33"/>
      <c r="AA1" s="33"/>
      <c r="AB1" s="33"/>
      <c r="AC1" s="33"/>
      <c r="AD1" s="33"/>
      <c r="AE1" s="33"/>
      <c r="AF1" s="33"/>
      <c r="AG1" s="33"/>
    </row>
    <row r="2" spans="1:33">
      <c r="A2" s="33">
        <v>6022063</v>
      </c>
      <c r="B2" s="33" t="s">
        <v>641</v>
      </c>
      <c r="C2" s="33" t="s">
        <v>4184</v>
      </c>
      <c r="D2" s="33" t="s">
        <v>4185</v>
      </c>
      <c r="E2" s="42">
        <v>1341079.3</v>
      </c>
      <c r="F2" s="33" t="s">
        <v>3716</v>
      </c>
      <c r="G2" s="43">
        <v>46157.333333333336</v>
      </c>
      <c r="H2" s="33" t="s">
        <v>171</v>
      </c>
      <c r="I2" s="33" t="s">
        <v>140</v>
      </c>
      <c r="J2" s="33"/>
      <c r="K2" s="33" t="s">
        <v>253</v>
      </c>
      <c r="L2" s="44">
        <v>3.9583333333333335</v>
      </c>
      <c r="M2" s="57">
        <v>0.58001157407407411</v>
      </c>
      <c r="N2" s="43">
        <v>46158.452777777777</v>
      </c>
      <c r="O2" s="42">
        <v>2682158.6</v>
      </c>
      <c r="P2" s="43">
        <v>46157.887499999997</v>
      </c>
      <c r="Q2" s="33" t="s">
        <v>4186</v>
      </c>
      <c r="R2" s="33" t="s">
        <v>4187</v>
      </c>
      <c r="S2" s="43">
        <v>46161.291666666664</v>
      </c>
      <c r="T2" s="43">
        <v>46158.892361111109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</row>
    <row r="3" spans="1:33">
      <c r="A3" s="33">
        <v>6022062</v>
      </c>
      <c r="B3" s="33" t="s">
        <v>641</v>
      </c>
      <c r="C3" s="33" t="s">
        <v>4184</v>
      </c>
      <c r="D3" s="33" t="s">
        <v>4185</v>
      </c>
      <c r="E3" s="42">
        <v>1341079.3</v>
      </c>
      <c r="F3" s="33" t="s">
        <v>3716</v>
      </c>
      <c r="G3" s="43">
        <v>46157.333333333336</v>
      </c>
      <c r="H3" s="33" t="s">
        <v>171</v>
      </c>
      <c r="I3" s="33" t="s">
        <v>140</v>
      </c>
      <c r="J3" s="33"/>
      <c r="K3" s="33" t="s">
        <v>253</v>
      </c>
      <c r="L3" s="44">
        <v>3.9583333333333335</v>
      </c>
      <c r="M3" s="57">
        <v>0.57873842592592595</v>
      </c>
      <c r="N3" s="43">
        <v>46158.452777777777</v>
      </c>
      <c r="O3" s="42">
        <v>2682158.6</v>
      </c>
      <c r="P3" s="43">
        <v>46157.887499999997</v>
      </c>
      <c r="Q3" s="33" t="s">
        <v>4186</v>
      </c>
      <c r="R3" s="33" t="s">
        <v>4187</v>
      </c>
      <c r="S3" s="43">
        <v>46161.291666666664</v>
      </c>
      <c r="T3" s="43">
        <v>46158.892361111109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spans="1:33">
      <c r="A4" s="33">
        <v>6022065</v>
      </c>
      <c r="B4" s="33">
        <v>6022065</v>
      </c>
      <c r="C4" s="33" t="s">
        <v>4184</v>
      </c>
      <c r="D4" s="33" t="s">
        <v>4185</v>
      </c>
      <c r="E4" s="42">
        <v>1335205.96</v>
      </c>
      <c r="F4" s="33" t="s">
        <v>3716</v>
      </c>
      <c r="G4" s="43">
        <v>46160.174305555556</v>
      </c>
      <c r="H4" s="33" t="s">
        <v>89</v>
      </c>
      <c r="I4" s="33" t="s">
        <v>140</v>
      </c>
      <c r="J4" s="33"/>
      <c r="K4" s="33" t="s">
        <v>253</v>
      </c>
      <c r="L4" s="44">
        <v>1.117361111111111</v>
      </c>
      <c r="M4" s="44">
        <v>1.7692824074074074</v>
      </c>
      <c r="N4" s="43">
        <v>46158.450694444444</v>
      </c>
      <c r="O4" s="42">
        <v>1335205.96</v>
      </c>
      <c r="P4" s="43">
        <v>46157.655555555553</v>
      </c>
      <c r="Q4" s="33" t="s">
        <v>4186</v>
      </c>
      <c r="R4" s="33" t="s">
        <v>4187</v>
      </c>
      <c r="S4" s="43">
        <v>46161.291666666664</v>
      </c>
      <c r="T4" s="43">
        <v>46158.843055555553</v>
      </c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</row>
    <row r="5" spans="1:33">
      <c r="A5" s="33">
        <v>6022064</v>
      </c>
      <c r="B5" s="33">
        <v>6022064</v>
      </c>
      <c r="C5" s="33" t="s">
        <v>4184</v>
      </c>
      <c r="D5" s="33" t="s">
        <v>3717</v>
      </c>
      <c r="E5" s="42">
        <v>1307797.04</v>
      </c>
      <c r="F5" s="33" t="s">
        <v>3716</v>
      </c>
      <c r="G5" s="43">
        <v>46160.174305555556</v>
      </c>
      <c r="H5" s="33" t="s">
        <v>184</v>
      </c>
      <c r="I5" s="33" t="s">
        <v>140</v>
      </c>
      <c r="J5" s="33"/>
      <c r="K5" s="33" t="s">
        <v>253</v>
      </c>
      <c r="L5" s="44">
        <v>1.117361111111111</v>
      </c>
      <c r="M5" s="44">
        <v>1.7692708333333333</v>
      </c>
      <c r="N5" s="43">
        <v>46158.451388888891</v>
      </c>
      <c r="O5" s="42">
        <v>1307797.04</v>
      </c>
      <c r="P5" s="43">
        <v>46157.309027777781</v>
      </c>
      <c r="Q5" s="33" t="s">
        <v>4186</v>
      </c>
      <c r="R5" s="33" t="s">
        <v>4187</v>
      </c>
      <c r="S5" s="43">
        <v>46161.291666666664</v>
      </c>
      <c r="T5" s="43">
        <v>46158.697916666664</v>
      </c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 spans="1:33">
      <c r="A6" s="33">
        <v>6021677</v>
      </c>
      <c r="B6" s="33">
        <v>6021677</v>
      </c>
      <c r="C6" s="33" t="s">
        <v>4188</v>
      </c>
      <c r="D6" s="33"/>
      <c r="E6" s="42">
        <v>1296572.3700000001</v>
      </c>
      <c r="F6" s="33" t="s">
        <v>3691</v>
      </c>
      <c r="G6" s="43">
        <v>46160.783333333333</v>
      </c>
      <c r="H6" s="33" t="s">
        <v>1635</v>
      </c>
      <c r="I6" s="33" t="s">
        <v>140</v>
      </c>
      <c r="J6" s="33"/>
      <c r="K6" s="33" t="s">
        <v>383</v>
      </c>
      <c r="L6" s="57">
        <v>0.46666666666666667</v>
      </c>
      <c r="M6" s="57">
        <v>0.86905092592592592</v>
      </c>
      <c r="N6" s="33"/>
      <c r="O6" s="42">
        <v>0</v>
      </c>
      <c r="P6" s="33"/>
      <c r="Q6" s="33" t="s">
        <v>4186</v>
      </c>
      <c r="R6" s="33" t="s">
        <v>4189</v>
      </c>
      <c r="S6" s="43">
        <v>46161.25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</row>
    <row r="7" spans="1:33">
      <c r="A7" s="33">
        <v>6021733</v>
      </c>
      <c r="B7" s="33">
        <v>6021733</v>
      </c>
      <c r="C7" s="33" t="s">
        <v>4188</v>
      </c>
      <c r="D7" s="33"/>
      <c r="E7" s="42">
        <v>1257605</v>
      </c>
      <c r="F7" s="33" t="s">
        <v>3691</v>
      </c>
      <c r="G7" s="43">
        <v>46160.854166666664</v>
      </c>
      <c r="H7" s="33" t="s">
        <v>3992</v>
      </c>
      <c r="I7" s="33" t="s">
        <v>1918</v>
      </c>
      <c r="J7" s="33"/>
      <c r="K7" s="33" t="s">
        <v>594</v>
      </c>
      <c r="L7" s="44">
        <v>1.3958333333333333</v>
      </c>
      <c r="M7" s="57">
        <v>0.86902777777777773</v>
      </c>
      <c r="N7" s="33"/>
      <c r="O7" s="42">
        <v>0</v>
      </c>
      <c r="P7" s="33"/>
      <c r="Q7" s="33" t="s">
        <v>4190</v>
      </c>
      <c r="R7" s="33" t="s">
        <v>4191</v>
      </c>
      <c r="S7" s="43">
        <v>46162.25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</row>
    <row r="8" spans="1:33">
      <c r="A8" s="33">
        <v>6021734</v>
      </c>
      <c r="B8" s="33">
        <v>6021734</v>
      </c>
      <c r="C8" s="33" t="s">
        <v>4188</v>
      </c>
      <c r="D8" s="33"/>
      <c r="E8" s="42">
        <v>1197980.5</v>
      </c>
      <c r="F8" s="33" t="s">
        <v>3691</v>
      </c>
      <c r="G8" s="43">
        <v>46160.854166666664</v>
      </c>
      <c r="H8" s="33" t="s">
        <v>1912</v>
      </c>
      <c r="I8" s="33" t="s">
        <v>1918</v>
      </c>
      <c r="J8" s="33"/>
      <c r="K8" s="33" t="s">
        <v>594</v>
      </c>
      <c r="L8" s="44">
        <v>1.3958333333333333</v>
      </c>
      <c r="M8" s="57">
        <v>0.86902777777777773</v>
      </c>
      <c r="N8" s="33"/>
      <c r="O8" s="42">
        <v>0</v>
      </c>
      <c r="P8" s="33"/>
      <c r="Q8" s="33" t="s">
        <v>4190</v>
      </c>
      <c r="R8" s="33" t="s">
        <v>4191</v>
      </c>
      <c r="S8" s="43">
        <v>46162.25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</row>
    <row r="9" spans="1:33">
      <c r="A9" s="33">
        <v>6022337</v>
      </c>
      <c r="B9" s="33">
        <v>6022337</v>
      </c>
      <c r="C9" s="33" t="s">
        <v>4184</v>
      </c>
      <c r="D9" s="33" t="s">
        <v>4185</v>
      </c>
      <c r="E9" s="42">
        <v>1140398</v>
      </c>
      <c r="F9" s="33" t="s">
        <v>3716</v>
      </c>
      <c r="G9" s="43">
        <v>46159.990277777775</v>
      </c>
      <c r="H9" s="33" t="s">
        <v>227</v>
      </c>
      <c r="I9" s="33" t="s">
        <v>140</v>
      </c>
      <c r="J9" s="33"/>
      <c r="K9" s="33" t="s">
        <v>765</v>
      </c>
      <c r="L9" s="44">
        <v>1.2597222222222222</v>
      </c>
      <c r="M9" s="44">
        <v>1.7692824074074074</v>
      </c>
      <c r="N9" s="43">
        <v>46158.453472222223</v>
      </c>
      <c r="O9" s="42">
        <v>1140398</v>
      </c>
      <c r="P9" s="43">
        <v>46158.388194444444</v>
      </c>
      <c r="Q9" s="33" t="s">
        <v>4186</v>
      </c>
      <c r="R9" s="33" t="s">
        <v>4192</v>
      </c>
      <c r="S9" s="43">
        <v>46161.25</v>
      </c>
      <c r="T9" s="43">
        <v>46159.027083333334</v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</row>
    <row r="10" spans="1:33">
      <c r="A10" s="33" t="s">
        <v>4163</v>
      </c>
      <c r="B10" s="33" t="s">
        <v>4163</v>
      </c>
      <c r="C10" s="33" t="s">
        <v>4188</v>
      </c>
      <c r="D10" s="33"/>
      <c r="E10" s="42">
        <v>1000000</v>
      </c>
      <c r="F10" s="33" t="s">
        <v>3691</v>
      </c>
      <c r="G10" s="43">
        <v>46157</v>
      </c>
      <c r="H10" s="33" t="s">
        <v>171</v>
      </c>
      <c r="I10" s="33" t="s">
        <v>861</v>
      </c>
      <c r="J10" s="33"/>
      <c r="K10" s="33" t="s">
        <v>308</v>
      </c>
      <c r="L10" s="44">
        <v>12</v>
      </c>
      <c r="M10" s="44">
        <v>1.9201273148148148</v>
      </c>
      <c r="N10" s="33"/>
      <c r="O10" s="42">
        <v>0</v>
      </c>
      <c r="P10" s="33"/>
      <c r="Q10" s="33" t="s">
        <v>4193</v>
      </c>
      <c r="R10" s="33" t="s">
        <v>4186</v>
      </c>
      <c r="S10" s="43">
        <v>46169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</row>
    <row r="11" spans="1:33">
      <c r="A11" s="33" t="s">
        <v>4139</v>
      </c>
      <c r="B11" s="33" t="s">
        <v>4139</v>
      </c>
      <c r="C11" s="33" t="s">
        <v>4188</v>
      </c>
      <c r="D11" s="33"/>
      <c r="E11" s="42">
        <v>1000000</v>
      </c>
      <c r="F11" s="33" t="s">
        <v>3691</v>
      </c>
      <c r="G11" s="43">
        <v>46157</v>
      </c>
      <c r="H11" s="33" t="s">
        <v>171</v>
      </c>
      <c r="I11" s="33" t="s">
        <v>861</v>
      </c>
      <c r="J11" s="33"/>
      <c r="K11" s="33" t="s">
        <v>308</v>
      </c>
      <c r="L11" s="44">
        <v>12</v>
      </c>
      <c r="M11" s="44">
        <v>1.9201273148148148</v>
      </c>
      <c r="N11" s="33"/>
      <c r="O11" s="42">
        <v>0</v>
      </c>
      <c r="P11" s="33"/>
      <c r="Q11" s="33" t="s">
        <v>4193</v>
      </c>
      <c r="R11" s="33" t="s">
        <v>4186</v>
      </c>
      <c r="S11" s="43">
        <v>46169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</row>
    <row r="12" spans="1:33">
      <c r="A12" s="33" t="s">
        <v>4161</v>
      </c>
      <c r="B12" s="33" t="s">
        <v>4161</v>
      </c>
      <c r="C12" s="33" t="s">
        <v>4188</v>
      </c>
      <c r="D12" s="33"/>
      <c r="E12" s="42">
        <v>1000000</v>
      </c>
      <c r="F12" s="33" t="s">
        <v>3691</v>
      </c>
      <c r="G12" s="43">
        <v>46157</v>
      </c>
      <c r="H12" s="33" t="s">
        <v>171</v>
      </c>
      <c r="I12" s="33" t="s">
        <v>861</v>
      </c>
      <c r="J12" s="33"/>
      <c r="K12" s="33" t="s">
        <v>308</v>
      </c>
      <c r="L12" s="44">
        <v>12</v>
      </c>
      <c r="M12" s="44">
        <v>1.9201273148148148</v>
      </c>
      <c r="N12" s="33"/>
      <c r="O12" s="42">
        <v>0</v>
      </c>
      <c r="P12" s="33"/>
      <c r="Q12" s="33" t="s">
        <v>4193</v>
      </c>
      <c r="R12" s="33" t="s">
        <v>4186</v>
      </c>
      <c r="S12" s="43">
        <v>46169</v>
      </c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</row>
    <row r="13" spans="1:33">
      <c r="A13" s="33" t="s">
        <v>4152</v>
      </c>
      <c r="B13" s="33" t="s">
        <v>4152</v>
      </c>
      <c r="C13" s="33" t="s">
        <v>4188</v>
      </c>
      <c r="D13" s="33"/>
      <c r="E13" s="42">
        <v>1000000</v>
      </c>
      <c r="F13" s="33" t="s">
        <v>3691</v>
      </c>
      <c r="G13" s="43">
        <v>46157</v>
      </c>
      <c r="H13" s="33" t="s">
        <v>171</v>
      </c>
      <c r="I13" s="33" t="s">
        <v>861</v>
      </c>
      <c r="J13" s="33"/>
      <c r="K13" s="33" t="s">
        <v>308</v>
      </c>
      <c r="L13" s="44">
        <v>12</v>
      </c>
      <c r="M13" s="44">
        <v>1.9201273148148148</v>
      </c>
      <c r="N13" s="33"/>
      <c r="O13" s="42">
        <v>0</v>
      </c>
      <c r="P13" s="33"/>
      <c r="Q13" s="33" t="s">
        <v>4193</v>
      </c>
      <c r="R13" s="33" t="s">
        <v>4186</v>
      </c>
      <c r="S13" s="43">
        <v>46169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</row>
    <row r="14" spans="1:33">
      <c r="A14" s="33" t="s">
        <v>4137</v>
      </c>
      <c r="B14" s="33" t="s">
        <v>4137</v>
      </c>
      <c r="C14" s="33" t="s">
        <v>4188</v>
      </c>
      <c r="D14" s="33"/>
      <c r="E14" s="42">
        <v>1000000</v>
      </c>
      <c r="F14" s="33" t="s">
        <v>3691</v>
      </c>
      <c r="G14" s="43">
        <v>46160</v>
      </c>
      <c r="H14" s="33" t="s">
        <v>171</v>
      </c>
      <c r="I14" s="33" t="s">
        <v>861</v>
      </c>
      <c r="J14" s="33"/>
      <c r="K14" s="33" t="s">
        <v>308</v>
      </c>
      <c r="L14" s="44">
        <v>9</v>
      </c>
      <c r="M14" s="44">
        <v>1.9201273148148148</v>
      </c>
      <c r="N14" s="33"/>
      <c r="O14" s="42">
        <v>0</v>
      </c>
      <c r="P14" s="33"/>
      <c r="Q14" s="33" t="s">
        <v>4193</v>
      </c>
      <c r="R14" s="33" t="s">
        <v>4186</v>
      </c>
      <c r="S14" s="43">
        <v>46169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</row>
    <row r="15" spans="1:33">
      <c r="A15" s="33" t="s">
        <v>4158</v>
      </c>
      <c r="B15" s="33" t="s">
        <v>4158</v>
      </c>
      <c r="C15" s="33" t="s">
        <v>4188</v>
      </c>
      <c r="D15" s="33"/>
      <c r="E15" s="42">
        <v>1000000</v>
      </c>
      <c r="F15" s="33" t="s">
        <v>3691</v>
      </c>
      <c r="G15" s="43">
        <v>46160</v>
      </c>
      <c r="H15" s="33" t="s">
        <v>171</v>
      </c>
      <c r="I15" s="33" t="s">
        <v>861</v>
      </c>
      <c r="J15" s="33"/>
      <c r="K15" s="33" t="s">
        <v>308</v>
      </c>
      <c r="L15" s="44">
        <v>9</v>
      </c>
      <c r="M15" s="44">
        <v>1.9201273148148148</v>
      </c>
      <c r="N15" s="33"/>
      <c r="O15" s="42">
        <v>0</v>
      </c>
      <c r="P15" s="33"/>
      <c r="Q15" s="33" t="s">
        <v>4193</v>
      </c>
      <c r="R15" s="33" t="s">
        <v>4186</v>
      </c>
      <c r="S15" s="43">
        <v>46169</v>
      </c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 spans="1:33">
      <c r="A16" s="33" t="s">
        <v>4138</v>
      </c>
      <c r="B16" s="33" t="s">
        <v>4138</v>
      </c>
      <c r="C16" s="33" t="s">
        <v>4188</v>
      </c>
      <c r="D16" s="33"/>
      <c r="E16" s="42">
        <v>1000000</v>
      </c>
      <c r="F16" s="33" t="s">
        <v>3691</v>
      </c>
      <c r="G16" s="43">
        <v>46160</v>
      </c>
      <c r="H16" s="33" t="s">
        <v>171</v>
      </c>
      <c r="I16" s="33" t="s">
        <v>861</v>
      </c>
      <c r="J16" s="33"/>
      <c r="K16" s="33" t="s">
        <v>308</v>
      </c>
      <c r="L16" s="44">
        <v>9</v>
      </c>
      <c r="M16" s="44">
        <v>1.9201273148148148</v>
      </c>
      <c r="N16" s="33"/>
      <c r="O16" s="42">
        <v>0</v>
      </c>
      <c r="P16" s="33"/>
      <c r="Q16" s="33" t="s">
        <v>4193</v>
      </c>
      <c r="R16" s="33" t="s">
        <v>4186</v>
      </c>
      <c r="S16" s="43">
        <v>46169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</row>
    <row r="17" spans="1:33">
      <c r="A17" s="33" t="s">
        <v>4140</v>
      </c>
      <c r="B17" s="33" t="s">
        <v>4140</v>
      </c>
      <c r="C17" s="33" t="s">
        <v>4188</v>
      </c>
      <c r="D17" s="33"/>
      <c r="E17" s="42">
        <v>1000000</v>
      </c>
      <c r="F17" s="33" t="s">
        <v>3691</v>
      </c>
      <c r="G17" s="43">
        <v>46160</v>
      </c>
      <c r="H17" s="33" t="s">
        <v>171</v>
      </c>
      <c r="I17" s="33" t="s">
        <v>861</v>
      </c>
      <c r="J17" s="33"/>
      <c r="K17" s="33" t="s">
        <v>308</v>
      </c>
      <c r="L17" s="44">
        <v>9</v>
      </c>
      <c r="M17" s="44">
        <v>1.9201273148148148</v>
      </c>
      <c r="N17" s="33"/>
      <c r="O17" s="42">
        <v>0</v>
      </c>
      <c r="P17" s="33"/>
      <c r="Q17" s="33" t="s">
        <v>4193</v>
      </c>
      <c r="R17" s="33" t="s">
        <v>4186</v>
      </c>
      <c r="S17" s="43">
        <v>46169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 spans="1:33">
      <c r="A18" s="33" t="s">
        <v>4159</v>
      </c>
      <c r="B18" s="33" t="s">
        <v>4159</v>
      </c>
      <c r="C18" s="33" t="s">
        <v>4188</v>
      </c>
      <c r="D18" s="33"/>
      <c r="E18" s="42">
        <v>1000000</v>
      </c>
      <c r="F18" s="33" t="s">
        <v>3691</v>
      </c>
      <c r="G18" s="43">
        <v>46160</v>
      </c>
      <c r="H18" s="33" t="s">
        <v>171</v>
      </c>
      <c r="I18" s="33" t="s">
        <v>861</v>
      </c>
      <c r="J18" s="33"/>
      <c r="K18" s="33" t="s">
        <v>308</v>
      </c>
      <c r="L18" s="44">
        <v>9</v>
      </c>
      <c r="M18" s="44">
        <v>1.9201273148148148</v>
      </c>
      <c r="N18" s="33"/>
      <c r="O18" s="42">
        <v>0</v>
      </c>
      <c r="P18" s="33"/>
      <c r="Q18" s="33" t="s">
        <v>4193</v>
      </c>
      <c r="R18" s="33" t="s">
        <v>4186</v>
      </c>
      <c r="S18" s="43">
        <v>46169</v>
      </c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</row>
    <row r="19" spans="1:33">
      <c r="A19" s="33" t="s">
        <v>4156</v>
      </c>
      <c r="B19" s="33" t="s">
        <v>4156</v>
      </c>
      <c r="C19" s="33" t="s">
        <v>4188</v>
      </c>
      <c r="D19" s="33"/>
      <c r="E19" s="42">
        <v>1000000</v>
      </c>
      <c r="F19" s="33" t="s">
        <v>3691</v>
      </c>
      <c r="G19" s="43">
        <v>46161</v>
      </c>
      <c r="H19" s="33" t="s">
        <v>171</v>
      </c>
      <c r="I19" s="33" t="s">
        <v>798</v>
      </c>
      <c r="J19" s="33"/>
      <c r="K19" s="33" t="s">
        <v>308</v>
      </c>
      <c r="L19" s="44">
        <v>8</v>
      </c>
      <c r="M19" s="44">
        <v>1.9201273148148148</v>
      </c>
      <c r="N19" s="33"/>
      <c r="O19" s="42">
        <v>0</v>
      </c>
      <c r="P19" s="33"/>
      <c r="Q19" s="33" t="s">
        <v>4194</v>
      </c>
      <c r="R19" s="33" t="s">
        <v>4186</v>
      </c>
      <c r="S19" s="43">
        <v>46169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</row>
    <row r="20" spans="1:33">
      <c r="A20" s="33" t="s">
        <v>4146</v>
      </c>
      <c r="B20" s="33" t="s">
        <v>4146</v>
      </c>
      <c r="C20" s="33" t="s">
        <v>4188</v>
      </c>
      <c r="D20" s="33"/>
      <c r="E20" s="42">
        <v>1000000</v>
      </c>
      <c r="F20" s="33" t="s">
        <v>3691</v>
      </c>
      <c r="G20" s="43">
        <v>46161</v>
      </c>
      <c r="H20" s="33" t="s">
        <v>171</v>
      </c>
      <c r="I20" s="33" t="s">
        <v>798</v>
      </c>
      <c r="J20" s="33"/>
      <c r="K20" s="33" t="s">
        <v>308</v>
      </c>
      <c r="L20" s="44">
        <v>8</v>
      </c>
      <c r="M20" s="44">
        <v>1.9201157407407408</v>
      </c>
      <c r="N20" s="33"/>
      <c r="O20" s="42">
        <v>0</v>
      </c>
      <c r="P20" s="33"/>
      <c r="Q20" s="33" t="s">
        <v>4194</v>
      </c>
      <c r="R20" s="33" t="s">
        <v>4186</v>
      </c>
      <c r="S20" s="43">
        <v>46169</v>
      </c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 spans="1:33">
      <c r="A21" s="33" t="s">
        <v>4157</v>
      </c>
      <c r="B21" s="33" t="s">
        <v>4157</v>
      </c>
      <c r="C21" s="33" t="s">
        <v>4188</v>
      </c>
      <c r="D21" s="33"/>
      <c r="E21" s="42">
        <v>1000000</v>
      </c>
      <c r="F21" s="33" t="s">
        <v>3691</v>
      </c>
      <c r="G21" s="43">
        <v>46161</v>
      </c>
      <c r="H21" s="33" t="s">
        <v>171</v>
      </c>
      <c r="I21" s="33" t="s">
        <v>798</v>
      </c>
      <c r="J21" s="33"/>
      <c r="K21" s="33" t="s">
        <v>308</v>
      </c>
      <c r="L21" s="44">
        <v>8</v>
      </c>
      <c r="M21" s="44">
        <v>1.9201157407407408</v>
      </c>
      <c r="N21" s="33"/>
      <c r="O21" s="42">
        <v>0</v>
      </c>
      <c r="P21" s="33"/>
      <c r="Q21" s="33" t="s">
        <v>4194</v>
      </c>
      <c r="R21" s="33" t="s">
        <v>4186</v>
      </c>
      <c r="S21" s="43">
        <v>46169</v>
      </c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</row>
    <row r="22" spans="1:33">
      <c r="A22" s="33" t="s">
        <v>4149</v>
      </c>
      <c r="B22" s="33" t="s">
        <v>4149</v>
      </c>
      <c r="C22" s="33" t="s">
        <v>4188</v>
      </c>
      <c r="D22" s="33"/>
      <c r="E22" s="42">
        <v>1000000</v>
      </c>
      <c r="F22" s="33" t="s">
        <v>3691</v>
      </c>
      <c r="G22" s="43">
        <v>46161</v>
      </c>
      <c r="H22" s="33" t="s">
        <v>171</v>
      </c>
      <c r="I22" s="33" t="s">
        <v>861</v>
      </c>
      <c r="J22" s="33"/>
      <c r="K22" s="33" t="s">
        <v>308</v>
      </c>
      <c r="L22" s="44">
        <v>8</v>
      </c>
      <c r="M22" s="44">
        <v>1.9201157407407408</v>
      </c>
      <c r="N22" s="33"/>
      <c r="O22" s="42">
        <v>0</v>
      </c>
      <c r="P22" s="33"/>
      <c r="Q22" s="33" t="s">
        <v>4193</v>
      </c>
      <c r="R22" s="33" t="s">
        <v>4186</v>
      </c>
      <c r="S22" s="43">
        <v>46169</v>
      </c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</row>
    <row r="23" spans="1:33">
      <c r="A23" s="33" t="s">
        <v>4148</v>
      </c>
      <c r="B23" s="33" t="s">
        <v>4148</v>
      </c>
      <c r="C23" s="33" t="s">
        <v>4188</v>
      </c>
      <c r="D23" s="33"/>
      <c r="E23" s="42">
        <v>1000000</v>
      </c>
      <c r="F23" s="33" t="s">
        <v>3691</v>
      </c>
      <c r="G23" s="43">
        <v>46161</v>
      </c>
      <c r="H23" s="33" t="s">
        <v>171</v>
      </c>
      <c r="I23" s="33" t="s">
        <v>861</v>
      </c>
      <c r="J23" s="33"/>
      <c r="K23" s="33" t="s">
        <v>308</v>
      </c>
      <c r="L23" s="44">
        <v>8</v>
      </c>
      <c r="M23" s="44">
        <v>1.9201157407407408</v>
      </c>
      <c r="N23" s="33"/>
      <c r="O23" s="42">
        <v>0</v>
      </c>
      <c r="P23" s="33"/>
      <c r="Q23" s="33" t="s">
        <v>4193</v>
      </c>
      <c r="R23" s="33" t="s">
        <v>4186</v>
      </c>
      <c r="S23" s="43">
        <v>46169</v>
      </c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 spans="1:33">
      <c r="A24" s="33" t="s">
        <v>4160</v>
      </c>
      <c r="B24" s="33" t="s">
        <v>4160</v>
      </c>
      <c r="C24" s="33" t="s">
        <v>4188</v>
      </c>
      <c r="D24" s="33"/>
      <c r="E24" s="42">
        <v>1000000</v>
      </c>
      <c r="F24" s="33" t="s">
        <v>3691</v>
      </c>
      <c r="G24" s="43">
        <v>46162</v>
      </c>
      <c r="H24" s="33" t="s">
        <v>171</v>
      </c>
      <c r="I24" s="33" t="s">
        <v>861</v>
      </c>
      <c r="J24" s="33"/>
      <c r="K24" s="33" t="s">
        <v>308</v>
      </c>
      <c r="L24" s="44">
        <v>7</v>
      </c>
      <c r="M24" s="44">
        <v>1.9201157407407408</v>
      </c>
      <c r="N24" s="33"/>
      <c r="O24" s="42">
        <v>0</v>
      </c>
      <c r="P24" s="33"/>
      <c r="Q24" s="33" t="s">
        <v>4193</v>
      </c>
      <c r="R24" s="33" t="s">
        <v>4186</v>
      </c>
      <c r="S24" s="43">
        <v>46169</v>
      </c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spans="1:33">
      <c r="A25" s="33" t="s">
        <v>3461</v>
      </c>
      <c r="B25" s="33" t="s">
        <v>3461</v>
      </c>
      <c r="C25" s="33" t="s">
        <v>4195</v>
      </c>
      <c r="D25" s="33"/>
      <c r="E25" s="42">
        <v>1000000</v>
      </c>
      <c r="F25" s="33" t="s">
        <v>3723</v>
      </c>
      <c r="G25" s="43">
        <v>46162</v>
      </c>
      <c r="H25" s="33" t="s">
        <v>171</v>
      </c>
      <c r="I25" s="33" t="s">
        <v>861</v>
      </c>
      <c r="J25" s="33"/>
      <c r="K25" s="33" t="s">
        <v>308</v>
      </c>
      <c r="L25" s="44">
        <v>7</v>
      </c>
      <c r="M25" s="44">
        <v>1.9201157407407408</v>
      </c>
      <c r="N25" s="43">
        <v>46157.329861111109</v>
      </c>
      <c r="O25" s="42">
        <v>906159.5</v>
      </c>
      <c r="P25" s="43">
        <v>46156.70208333333</v>
      </c>
      <c r="Q25" s="33" t="s">
        <v>4193</v>
      </c>
      <c r="R25" s="33" t="s">
        <v>4186</v>
      </c>
      <c r="S25" s="43">
        <v>46169</v>
      </c>
      <c r="T25" s="43">
        <v>46157.322222222225</v>
      </c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 spans="1:33">
      <c r="A26" s="33" t="s">
        <v>3586</v>
      </c>
      <c r="B26" s="33" t="s">
        <v>3586</v>
      </c>
      <c r="C26" s="33" t="s">
        <v>3700</v>
      </c>
      <c r="D26" s="33"/>
      <c r="E26" s="42">
        <v>1000000</v>
      </c>
      <c r="F26" s="33" t="s">
        <v>3723</v>
      </c>
      <c r="G26" s="43">
        <v>46162</v>
      </c>
      <c r="H26" s="33" t="s">
        <v>171</v>
      </c>
      <c r="I26" s="33" t="s">
        <v>861</v>
      </c>
      <c r="J26" s="33"/>
      <c r="K26" s="33" t="s">
        <v>308</v>
      </c>
      <c r="L26" s="44">
        <v>7</v>
      </c>
      <c r="M26" s="44">
        <v>1.9201157407407408</v>
      </c>
      <c r="N26" s="43">
        <v>46157.98333333333</v>
      </c>
      <c r="O26" s="42">
        <v>858983.52</v>
      </c>
      <c r="P26" s="43">
        <v>46157.645138888889</v>
      </c>
      <c r="Q26" s="33" t="s">
        <v>4193</v>
      </c>
      <c r="R26" s="33" t="s">
        <v>4186</v>
      </c>
      <c r="S26" s="43">
        <v>46169</v>
      </c>
      <c r="T26" s="43">
        <v>46157.763888888891</v>
      </c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 spans="1:33">
      <c r="A27" s="33" t="s">
        <v>4141</v>
      </c>
      <c r="B27" s="33" t="s">
        <v>3470</v>
      </c>
      <c r="C27" s="33" t="s">
        <v>3700</v>
      </c>
      <c r="D27" s="33"/>
      <c r="E27" s="42">
        <v>1000000</v>
      </c>
      <c r="F27" s="33" t="s">
        <v>3699</v>
      </c>
      <c r="G27" s="43">
        <v>46157</v>
      </c>
      <c r="H27" s="33" t="s">
        <v>171</v>
      </c>
      <c r="I27" s="33" t="s">
        <v>861</v>
      </c>
      <c r="J27" s="43">
        <v>46156.884027777778</v>
      </c>
      <c r="K27" s="33" t="s">
        <v>308</v>
      </c>
      <c r="L27" s="44">
        <v>12</v>
      </c>
      <c r="M27" s="57">
        <v>0.35005787037037039</v>
      </c>
      <c r="N27" s="43">
        <v>46156.883333333331</v>
      </c>
      <c r="O27" s="42">
        <v>2153679.5099999998</v>
      </c>
      <c r="P27" s="43">
        <v>46156.731944444444</v>
      </c>
      <c r="Q27" s="33" t="s">
        <v>4193</v>
      </c>
      <c r="R27" s="33" t="s">
        <v>4186</v>
      </c>
      <c r="S27" s="43">
        <v>46169</v>
      </c>
      <c r="T27" s="43">
        <v>46156.774305555555</v>
      </c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1:33">
      <c r="A28" s="33" t="s">
        <v>3590</v>
      </c>
      <c r="B28" s="33" t="s">
        <v>3590</v>
      </c>
      <c r="C28" s="33" t="s">
        <v>3700</v>
      </c>
      <c r="D28" s="33"/>
      <c r="E28" s="42">
        <v>1000000</v>
      </c>
      <c r="F28" s="33" t="s">
        <v>3699</v>
      </c>
      <c r="G28" s="43">
        <v>46162</v>
      </c>
      <c r="H28" s="33" t="s">
        <v>171</v>
      </c>
      <c r="I28" s="33" t="s">
        <v>861</v>
      </c>
      <c r="J28" s="43">
        <v>46157.908333333333</v>
      </c>
      <c r="K28" s="33" t="s">
        <v>308</v>
      </c>
      <c r="L28" s="44">
        <v>7</v>
      </c>
      <c r="M28" s="44">
        <v>1.3741782407407408</v>
      </c>
      <c r="N28" s="43">
        <v>46157.906944444447</v>
      </c>
      <c r="O28" s="42">
        <v>336058.71</v>
      </c>
      <c r="P28" s="43">
        <v>46157.647222222222</v>
      </c>
      <c r="Q28" s="33" t="s">
        <v>4193</v>
      </c>
      <c r="R28" s="33" t="s">
        <v>4186</v>
      </c>
      <c r="S28" s="43">
        <v>46169</v>
      </c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  <row r="29" spans="1:33">
      <c r="A29" s="33">
        <v>6022057</v>
      </c>
      <c r="B29" s="33" t="s">
        <v>658</v>
      </c>
      <c r="C29" s="33" t="s">
        <v>4184</v>
      </c>
      <c r="D29" s="33" t="s">
        <v>4185</v>
      </c>
      <c r="E29" s="42">
        <v>983763.28</v>
      </c>
      <c r="F29" s="33" t="s">
        <v>3716</v>
      </c>
      <c r="G29" s="43">
        <v>46157.291666666664</v>
      </c>
      <c r="H29" s="33" t="s">
        <v>171</v>
      </c>
      <c r="I29" s="33" t="s">
        <v>140</v>
      </c>
      <c r="J29" s="33"/>
      <c r="K29" s="33" t="s">
        <v>253</v>
      </c>
      <c r="L29" s="44">
        <v>3</v>
      </c>
      <c r="M29" s="57">
        <v>0.57528935185185182</v>
      </c>
      <c r="N29" s="43">
        <v>46158.448611111111</v>
      </c>
      <c r="O29" s="42">
        <v>1945266.83</v>
      </c>
      <c r="P29" s="43">
        <v>46157.897222222222</v>
      </c>
      <c r="Q29" s="33" t="s">
        <v>4186</v>
      </c>
      <c r="R29" s="33" t="s">
        <v>4187</v>
      </c>
      <c r="S29" s="43">
        <v>46160.291666666664</v>
      </c>
      <c r="T29" s="43">
        <v>46158.875</v>
      </c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</row>
    <row r="30" spans="1:33">
      <c r="A30" s="33">
        <v>6021910</v>
      </c>
      <c r="B30" s="33">
        <v>6021910</v>
      </c>
      <c r="C30" s="33" t="s">
        <v>4184</v>
      </c>
      <c r="D30" s="33"/>
      <c r="E30" s="42">
        <v>962790.79</v>
      </c>
      <c r="F30" s="33" t="s">
        <v>3716</v>
      </c>
      <c r="G30" s="43">
        <v>46159.783333333333</v>
      </c>
      <c r="H30" s="33" t="s">
        <v>216</v>
      </c>
      <c r="I30" s="33" t="s">
        <v>140</v>
      </c>
      <c r="J30" s="33"/>
      <c r="K30" s="33" t="s">
        <v>383</v>
      </c>
      <c r="L30" s="57">
        <v>0.46666666666666667</v>
      </c>
      <c r="M30" s="44">
        <v>1.0400231481481481</v>
      </c>
      <c r="N30" s="43">
        <v>46158.45</v>
      </c>
      <c r="O30" s="42">
        <v>962790.79</v>
      </c>
      <c r="P30" s="43">
        <v>46157.67083333333</v>
      </c>
      <c r="Q30" s="33" t="s">
        <v>4186</v>
      </c>
      <c r="R30" s="33" t="s">
        <v>4189</v>
      </c>
      <c r="S30" s="43">
        <v>46160.25</v>
      </c>
      <c r="T30" s="43">
        <v>46158.62222222222</v>
      </c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</row>
    <row r="31" spans="1:33">
      <c r="A31" s="33">
        <v>6022058</v>
      </c>
      <c r="B31" s="33" t="s">
        <v>658</v>
      </c>
      <c r="C31" s="33" t="s">
        <v>4184</v>
      </c>
      <c r="D31" s="33" t="s">
        <v>4185</v>
      </c>
      <c r="E31" s="42">
        <v>961503.55</v>
      </c>
      <c r="F31" s="33" t="s">
        <v>3716</v>
      </c>
      <c r="G31" s="43">
        <v>46157.291666666664</v>
      </c>
      <c r="H31" s="33" t="s">
        <v>171</v>
      </c>
      <c r="I31" s="33" t="s">
        <v>140</v>
      </c>
      <c r="J31" s="33"/>
      <c r="K31" s="33" t="s">
        <v>253</v>
      </c>
      <c r="L31" s="44">
        <v>3</v>
      </c>
      <c r="M31" s="57">
        <v>0.57625000000000004</v>
      </c>
      <c r="N31" s="43">
        <v>46158.448611111111</v>
      </c>
      <c r="O31" s="42">
        <v>1945266.83</v>
      </c>
      <c r="P31" s="43">
        <v>46157.897222222222</v>
      </c>
      <c r="Q31" s="33" t="s">
        <v>4186</v>
      </c>
      <c r="R31" s="33" t="s">
        <v>4187</v>
      </c>
      <c r="S31" s="43">
        <v>46160.291666666664</v>
      </c>
      <c r="T31" s="43">
        <v>46158.875</v>
      </c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</row>
    <row r="32" spans="1:33">
      <c r="A32" s="33">
        <v>6022059</v>
      </c>
      <c r="B32" s="33">
        <v>6022059</v>
      </c>
      <c r="C32" s="33" t="s">
        <v>4195</v>
      </c>
      <c r="D32" s="33" t="s">
        <v>3699</v>
      </c>
      <c r="E32" s="42">
        <v>912092.35</v>
      </c>
      <c r="F32" s="33" t="s">
        <v>3716</v>
      </c>
      <c r="G32" s="43">
        <v>46159.174305555556</v>
      </c>
      <c r="H32" s="33" t="s">
        <v>114</v>
      </c>
      <c r="I32" s="33" t="s">
        <v>140</v>
      </c>
      <c r="J32" s="33"/>
      <c r="K32" s="33" t="s">
        <v>253</v>
      </c>
      <c r="L32" s="44">
        <v>1.117361111111111</v>
      </c>
      <c r="M32" s="44">
        <v>1.7692824074074074</v>
      </c>
      <c r="N32" s="43">
        <v>46158.452777777777</v>
      </c>
      <c r="O32" s="42">
        <v>912092.35</v>
      </c>
      <c r="P32" s="43">
        <v>46157.745138888888</v>
      </c>
      <c r="Q32" s="33" t="s">
        <v>4186</v>
      </c>
      <c r="R32" s="33" t="s">
        <v>4187</v>
      </c>
      <c r="S32" s="43">
        <v>46160.291666666664</v>
      </c>
      <c r="T32" s="43">
        <v>46157.793749999997</v>
      </c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</row>
    <row r="33" spans="1:33">
      <c r="A33" s="33">
        <v>6021731</v>
      </c>
      <c r="B33" s="33">
        <v>6021731</v>
      </c>
      <c r="C33" s="33" t="s">
        <v>4188</v>
      </c>
      <c r="D33" s="33"/>
      <c r="E33" s="42">
        <v>898487</v>
      </c>
      <c r="F33" s="33" t="s">
        <v>3691</v>
      </c>
      <c r="G33" s="43">
        <v>46160.895833333336</v>
      </c>
      <c r="H33" s="33" t="s">
        <v>420</v>
      </c>
      <c r="I33" s="33" t="s">
        <v>1918</v>
      </c>
      <c r="J33" s="33"/>
      <c r="K33" s="33" t="s">
        <v>4022</v>
      </c>
      <c r="L33" s="44">
        <v>1.3541666666666667</v>
      </c>
      <c r="M33" s="57">
        <v>0.86901620370370369</v>
      </c>
      <c r="N33" s="33"/>
      <c r="O33" s="42">
        <v>0</v>
      </c>
      <c r="P33" s="33"/>
      <c r="Q33" s="33" t="s">
        <v>4190</v>
      </c>
      <c r="R33" s="33" t="s">
        <v>4196</v>
      </c>
      <c r="S33" s="43">
        <v>46162.25</v>
      </c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</row>
    <row r="34" spans="1:33">
      <c r="A34" s="33">
        <v>6014898</v>
      </c>
      <c r="B34" s="33">
        <v>6014898</v>
      </c>
      <c r="C34" s="33" t="s">
        <v>4195</v>
      </c>
      <c r="D34" s="33" t="s">
        <v>3717</v>
      </c>
      <c r="E34" s="42">
        <v>865084.12</v>
      </c>
      <c r="F34" s="33" t="s">
        <v>3716</v>
      </c>
      <c r="G34" s="43">
        <v>46159.823611111111</v>
      </c>
      <c r="H34" s="33" t="s">
        <v>72</v>
      </c>
      <c r="I34" s="33" t="s">
        <v>140</v>
      </c>
      <c r="J34" s="33"/>
      <c r="K34" s="33" t="s">
        <v>141</v>
      </c>
      <c r="L34" s="44">
        <v>3.4263888888888889</v>
      </c>
      <c r="M34" s="44">
        <v>1.7692824074074074</v>
      </c>
      <c r="N34" s="43">
        <v>46158.452777777777</v>
      </c>
      <c r="O34" s="42">
        <v>865084.12</v>
      </c>
      <c r="P34" s="43">
        <v>46157.931250000001</v>
      </c>
      <c r="Q34" s="33" t="s">
        <v>4186</v>
      </c>
      <c r="R34" s="33" t="s">
        <v>4197</v>
      </c>
      <c r="S34" s="43">
        <v>46163.25</v>
      </c>
      <c r="T34" s="43">
        <v>46158.344444444447</v>
      </c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</row>
    <row r="35" spans="1:33">
      <c r="A35" s="33">
        <v>6011814</v>
      </c>
      <c r="B35" s="33">
        <v>6011814</v>
      </c>
      <c r="C35" s="33" t="s">
        <v>4184</v>
      </c>
      <c r="D35" s="33" t="s">
        <v>4185</v>
      </c>
      <c r="E35" s="42">
        <v>859859.88</v>
      </c>
      <c r="F35" s="33" t="s">
        <v>3716</v>
      </c>
      <c r="G35" s="43">
        <v>46160.654861111114</v>
      </c>
      <c r="H35" s="33" t="s">
        <v>114</v>
      </c>
      <c r="I35" s="33" t="s">
        <v>140</v>
      </c>
      <c r="J35" s="33"/>
      <c r="K35" s="33" t="s">
        <v>163</v>
      </c>
      <c r="L35" s="44">
        <v>3.5951388888888891</v>
      </c>
      <c r="M35" s="44">
        <v>1.7692824074074074</v>
      </c>
      <c r="N35" s="43">
        <v>46158.452777777777</v>
      </c>
      <c r="O35" s="42">
        <v>3439439.52</v>
      </c>
      <c r="P35" s="43">
        <v>46156.806250000001</v>
      </c>
      <c r="Q35" s="33" t="s">
        <v>4186</v>
      </c>
      <c r="R35" s="33" t="s">
        <v>76</v>
      </c>
      <c r="S35" s="43">
        <v>46164.25</v>
      </c>
      <c r="T35" s="43">
        <v>46159.811111111114</v>
      </c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</row>
    <row r="36" spans="1:33">
      <c r="A36" s="33">
        <v>6022060</v>
      </c>
      <c r="B36" s="33">
        <v>6022060</v>
      </c>
      <c r="C36" s="33" t="s">
        <v>4188</v>
      </c>
      <c r="D36" s="33" t="s">
        <v>4185</v>
      </c>
      <c r="E36" s="42">
        <v>853140.41</v>
      </c>
      <c r="F36" s="33" t="s">
        <v>3691</v>
      </c>
      <c r="G36" s="43">
        <v>46159.174305555556</v>
      </c>
      <c r="H36" s="33" t="s">
        <v>102</v>
      </c>
      <c r="I36" s="33" t="s">
        <v>140</v>
      </c>
      <c r="J36" s="33"/>
      <c r="K36" s="33" t="s">
        <v>253</v>
      </c>
      <c r="L36" s="44">
        <v>1.117361111111111</v>
      </c>
      <c r="M36" s="44">
        <v>1.7692708333333333</v>
      </c>
      <c r="N36" s="33"/>
      <c r="O36" s="42">
        <v>0</v>
      </c>
      <c r="P36" s="33"/>
      <c r="Q36" s="33" t="s">
        <v>4186</v>
      </c>
      <c r="R36" s="33" t="s">
        <v>4187</v>
      </c>
      <c r="S36" s="43">
        <v>46160.291666666664</v>
      </c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</row>
    <row r="37" spans="1:33">
      <c r="A37" s="33">
        <v>6021675</v>
      </c>
      <c r="B37" s="33">
        <v>6021675</v>
      </c>
      <c r="C37" s="33" t="s">
        <v>4188</v>
      </c>
      <c r="D37" s="33"/>
      <c r="E37" s="42">
        <v>816463.95</v>
      </c>
      <c r="F37" s="33" t="s">
        <v>3691</v>
      </c>
      <c r="G37" s="43">
        <v>46160.871527777781</v>
      </c>
      <c r="H37" s="33" t="s">
        <v>3387</v>
      </c>
      <c r="I37" s="33" t="s">
        <v>140</v>
      </c>
      <c r="J37" s="33"/>
      <c r="K37" s="33" t="s">
        <v>383</v>
      </c>
      <c r="L37" s="57">
        <v>0.37847222222222221</v>
      </c>
      <c r="M37" s="57">
        <v>0.86905092592592592</v>
      </c>
      <c r="N37" s="33"/>
      <c r="O37" s="42">
        <v>0</v>
      </c>
      <c r="P37" s="33"/>
      <c r="Q37" s="33" t="s">
        <v>4186</v>
      </c>
      <c r="R37" s="33" t="s">
        <v>4189</v>
      </c>
      <c r="S37" s="43">
        <v>46161.25</v>
      </c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</row>
    <row r="38" spans="1:33">
      <c r="A38" s="33">
        <v>6022061</v>
      </c>
      <c r="B38" s="33">
        <v>6022061</v>
      </c>
      <c r="C38" s="33" t="s">
        <v>4188</v>
      </c>
      <c r="D38" s="33" t="s">
        <v>3717</v>
      </c>
      <c r="E38" s="42">
        <v>814058.82</v>
      </c>
      <c r="F38" s="33" t="s">
        <v>3691</v>
      </c>
      <c r="G38" s="43">
        <v>46159.174305555556</v>
      </c>
      <c r="H38" s="33" t="s">
        <v>102</v>
      </c>
      <c r="I38" s="33" t="s">
        <v>140</v>
      </c>
      <c r="J38" s="33"/>
      <c r="K38" s="33" t="s">
        <v>253</v>
      </c>
      <c r="L38" s="44">
        <v>1.117361111111111</v>
      </c>
      <c r="M38" s="44">
        <v>1.7692708333333333</v>
      </c>
      <c r="N38" s="33"/>
      <c r="O38" s="42">
        <v>0</v>
      </c>
      <c r="P38" s="33"/>
      <c r="Q38" s="33" t="s">
        <v>4186</v>
      </c>
      <c r="R38" s="33" t="s">
        <v>4187</v>
      </c>
      <c r="S38" s="43">
        <v>46160.291666666664</v>
      </c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</row>
    <row r="39" spans="1:33">
      <c r="A39" s="33">
        <v>6014892</v>
      </c>
      <c r="B39" s="33">
        <v>6014892</v>
      </c>
      <c r="C39" s="33" t="s">
        <v>4195</v>
      </c>
      <c r="D39" s="33" t="s">
        <v>3717</v>
      </c>
      <c r="E39" s="42">
        <v>753403.2</v>
      </c>
      <c r="F39" s="33" t="s">
        <v>3716</v>
      </c>
      <c r="G39" s="43">
        <v>46160.316666666666</v>
      </c>
      <c r="H39" s="33" t="s">
        <v>72</v>
      </c>
      <c r="I39" s="33" t="s">
        <v>140</v>
      </c>
      <c r="J39" s="33"/>
      <c r="K39" s="33" t="s">
        <v>3632</v>
      </c>
      <c r="L39" s="44">
        <v>2.9333333333333331</v>
      </c>
      <c r="M39" s="44">
        <v>1.7692824074074074</v>
      </c>
      <c r="N39" s="43">
        <v>46158.452777777777</v>
      </c>
      <c r="O39" s="42">
        <v>753403.2</v>
      </c>
      <c r="P39" s="43">
        <v>46157.703472222223</v>
      </c>
      <c r="Q39" s="33" t="s">
        <v>4186</v>
      </c>
      <c r="R39" s="33" t="s">
        <v>4198</v>
      </c>
      <c r="S39" s="43">
        <v>46163.25</v>
      </c>
      <c r="T39" s="43">
        <v>46158.433333333334</v>
      </c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</row>
    <row r="40" spans="1:33">
      <c r="A40" s="33">
        <v>6023170</v>
      </c>
      <c r="B40" s="33">
        <v>6023170</v>
      </c>
      <c r="C40" s="33" t="s">
        <v>4188</v>
      </c>
      <c r="D40" s="33"/>
      <c r="E40" s="42">
        <v>736734.87</v>
      </c>
      <c r="F40" s="33" t="s">
        <v>3691</v>
      </c>
      <c r="G40" s="43">
        <v>46161.2</v>
      </c>
      <c r="H40" s="33" t="s">
        <v>184</v>
      </c>
      <c r="I40" s="33" t="s">
        <v>140</v>
      </c>
      <c r="J40" s="33"/>
      <c r="K40" s="33" t="s">
        <v>4125</v>
      </c>
      <c r="L40" s="57">
        <v>0.13333333333333333</v>
      </c>
      <c r="M40" s="57">
        <v>0.86903935185185188</v>
      </c>
      <c r="N40" s="33"/>
      <c r="O40" s="42">
        <v>0</v>
      </c>
      <c r="P40" s="33"/>
      <c r="Q40" s="33" t="s">
        <v>4186</v>
      </c>
      <c r="R40" s="33" t="s">
        <v>3536</v>
      </c>
      <c r="S40" s="43">
        <v>46161.333333333336</v>
      </c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</row>
    <row r="41" spans="1:33">
      <c r="A41" s="33">
        <v>6011820</v>
      </c>
      <c r="B41" s="33">
        <v>6011820</v>
      </c>
      <c r="C41" s="33" t="s">
        <v>4188</v>
      </c>
      <c r="D41" s="33" t="s">
        <v>3717</v>
      </c>
      <c r="E41" s="42">
        <v>734149.28</v>
      </c>
      <c r="F41" s="33" t="s">
        <v>3691</v>
      </c>
      <c r="G41" s="43">
        <v>46160.654861111114</v>
      </c>
      <c r="H41" s="33" t="s">
        <v>102</v>
      </c>
      <c r="I41" s="33" t="s">
        <v>140</v>
      </c>
      <c r="J41" s="33"/>
      <c r="K41" s="33" t="s">
        <v>163</v>
      </c>
      <c r="L41" s="44">
        <v>3.5951388888888891</v>
      </c>
      <c r="M41" s="44">
        <v>1.7692824074074074</v>
      </c>
      <c r="N41" s="33"/>
      <c r="O41" s="42">
        <v>0</v>
      </c>
      <c r="P41" s="33"/>
      <c r="Q41" s="33" t="s">
        <v>4186</v>
      </c>
      <c r="R41" s="33" t="s">
        <v>76</v>
      </c>
      <c r="S41" s="43">
        <v>46164.25</v>
      </c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</row>
    <row r="42" spans="1:33">
      <c r="A42" s="33">
        <v>6012861</v>
      </c>
      <c r="B42" s="33">
        <v>6012861</v>
      </c>
      <c r="C42" s="33" t="s">
        <v>4184</v>
      </c>
      <c r="D42" s="33" t="s">
        <v>4185</v>
      </c>
      <c r="E42" s="42">
        <v>732864.32</v>
      </c>
      <c r="F42" s="33" t="s">
        <v>3716</v>
      </c>
      <c r="G42" s="43">
        <v>46159.031944444447</v>
      </c>
      <c r="H42" s="33" t="s">
        <v>260</v>
      </c>
      <c r="I42" s="33" t="s">
        <v>140</v>
      </c>
      <c r="J42" s="33"/>
      <c r="K42" s="33" t="s">
        <v>265</v>
      </c>
      <c r="L42" s="44">
        <v>1.2597222222222222</v>
      </c>
      <c r="M42" s="44">
        <v>1.7692824074074074</v>
      </c>
      <c r="N42" s="43">
        <v>46158.450694444444</v>
      </c>
      <c r="O42" s="42">
        <v>732864.32</v>
      </c>
      <c r="P42" s="43">
        <v>46157.396527777775</v>
      </c>
      <c r="Q42" s="33" t="s">
        <v>4186</v>
      </c>
      <c r="R42" s="33" t="s">
        <v>4192</v>
      </c>
      <c r="S42" s="43">
        <v>46160.291666666664</v>
      </c>
      <c r="T42" s="43">
        <v>46158.51458333333</v>
      </c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</row>
    <row r="43" spans="1:33">
      <c r="A43" s="33">
        <v>6013093</v>
      </c>
      <c r="B43" s="33">
        <v>6013093</v>
      </c>
      <c r="C43" s="33" t="s">
        <v>4188</v>
      </c>
      <c r="D43" s="33"/>
      <c r="E43" s="42">
        <v>716346.65</v>
      </c>
      <c r="F43" s="33" t="s">
        <v>3691</v>
      </c>
      <c r="G43" s="43">
        <v>46161.0625</v>
      </c>
      <c r="H43" s="33" t="s">
        <v>1912</v>
      </c>
      <c r="I43" s="33" t="s">
        <v>1918</v>
      </c>
      <c r="J43" s="33"/>
      <c r="K43" s="33" t="s">
        <v>2509</v>
      </c>
      <c r="L43" s="57">
        <v>0.1875</v>
      </c>
      <c r="M43" s="57">
        <v>0.86902777777777773</v>
      </c>
      <c r="N43" s="33"/>
      <c r="O43" s="42">
        <v>0</v>
      </c>
      <c r="P43" s="33"/>
      <c r="Q43" s="33" t="s">
        <v>4190</v>
      </c>
      <c r="R43" s="33" t="s">
        <v>4199</v>
      </c>
      <c r="S43" s="43">
        <v>46161.25</v>
      </c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</row>
    <row r="44" spans="1:33">
      <c r="A44" s="33">
        <v>6014907</v>
      </c>
      <c r="B44" s="33">
        <v>6014907</v>
      </c>
      <c r="C44" s="33" t="s">
        <v>4184</v>
      </c>
      <c r="D44" s="33" t="s">
        <v>3717</v>
      </c>
      <c r="E44" s="42">
        <v>711872.6</v>
      </c>
      <c r="F44" s="33" t="s">
        <v>3716</v>
      </c>
      <c r="G44" s="43">
        <v>46160.184027777781</v>
      </c>
      <c r="H44" s="33" t="s">
        <v>72</v>
      </c>
      <c r="I44" s="33" t="s">
        <v>140</v>
      </c>
      <c r="J44" s="33"/>
      <c r="K44" s="33" t="s">
        <v>690</v>
      </c>
      <c r="L44" s="44">
        <v>1.0659722222222223</v>
      </c>
      <c r="M44" s="44">
        <v>1.7692824074074074</v>
      </c>
      <c r="N44" s="43">
        <v>46158.450694444444</v>
      </c>
      <c r="O44" s="42">
        <v>711872.6</v>
      </c>
      <c r="P44" s="43">
        <v>46157.925000000003</v>
      </c>
      <c r="Q44" s="33" t="s">
        <v>4186</v>
      </c>
      <c r="R44" s="33" t="s">
        <v>4200</v>
      </c>
      <c r="S44" s="43">
        <v>46161.25</v>
      </c>
      <c r="T44" s="43">
        <v>46158.955555555556</v>
      </c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</row>
    <row r="45" spans="1:33">
      <c r="A45" s="33">
        <v>6015025</v>
      </c>
      <c r="B45" s="33">
        <v>6015025</v>
      </c>
      <c r="C45" s="33" t="s">
        <v>4195</v>
      </c>
      <c r="D45" s="33"/>
      <c r="E45" s="42">
        <v>710797.54</v>
      </c>
      <c r="F45" s="33" t="s">
        <v>3723</v>
      </c>
      <c r="G45" s="43">
        <v>46165.020833333336</v>
      </c>
      <c r="H45" s="33" t="s">
        <v>227</v>
      </c>
      <c r="I45" s="33" t="s">
        <v>140</v>
      </c>
      <c r="J45" s="33"/>
      <c r="K45" s="33" t="s">
        <v>3231</v>
      </c>
      <c r="L45" s="44">
        <v>2.2708333333333335</v>
      </c>
      <c r="M45" s="44">
        <v>1.0400347222222222</v>
      </c>
      <c r="N45" s="33"/>
      <c r="O45" s="42">
        <v>710797.54</v>
      </c>
      <c r="P45" s="43">
        <v>46157.65</v>
      </c>
      <c r="Q45" s="33" t="s">
        <v>4186</v>
      </c>
      <c r="R45" s="33" t="s">
        <v>4201</v>
      </c>
      <c r="S45" s="43">
        <v>46167.291666666664</v>
      </c>
      <c r="T45" s="43">
        <v>46157.740277777775</v>
      </c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</row>
    <row r="46" spans="1:33">
      <c r="A46" s="33">
        <v>6013221</v>
      </c>
      <c r="B46" s="33">
        <v>6013221</v>
      </c>
      <c r="C46" s="33" t="s">
        <v>4184</v>
      </c>
      <c r="D46" s="33" t="s">
        <v>4185</v>
      </c>
      <c r="E46" s="42">
        <v>704253</v>
      </c>
      <c r="F46" s="33" t="s">
        <v>3716</v>
      </c>
      <c r="G46" s="43">
        <v>46160.897222222222</v>
      </c>
      <c r="H46" s="33" t="s">
        <v>282</v>
      </c>
      <c r="I46" s="33" t="s">
        <v>140</v>
      </c>
      <c r="J46" s="33"/>
      <c r="K46" s="33" t="s">
        <v>286</v>
      </c>
      <c r="L46" s="57">
        <v>0.3527777777777778</v>
      </c>
      <c r="M46" s="44">
        <v>1.7692939814814814</v>
      </c>
      <c r="N46" s="43">
        <v>46158.451388888891</v>
      </c>
      <c r="O46" s="42">
        <v>704253</v>
      </c>
      <c r="P46" s="43">
        <v>46157.431944444441</v>
      </c>
      <c r="Q46" s="33" t="s">
        <v>4186</v>
      </c>
      <c r="R46" s="33" t="s">
        <v>4202</v>
      </c>
      <c r="S46" s="43">
        <v>46161.25</v>
      </c>
      <c r="T46" s="43">
        <v>46158.584027777775</v>
      </c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</row>
    <row r="47" spans="1:33">
      <c r="A47" s="33">
        <v>6021676</v>
      </c>
      <c r="B47" s="33">
        <v>6021676</v>
      </c>
      <c r="C47" s="33" t="s">
        <v>4188</v>
      </c>
      <c r="D47" s="33"/>
      <c r="E47" s="42">
        <v>681458.1</v>
      </c>
      <c r="F47" s="33" t="s">
        <v>3691</v>
      </c>
      <c r="G47" s="43">
        <v>46160.783333333333</v>
      </c>
      <c r="H47" s="33" t="s">
        <v>3387</v>
      </c>
      <c r="I47" s="33" t="s">
        <v>140</v>
      </c>
      <c r="J47" s="33"/>
      <c r="K47" s="33" t="s">
        <v>383</v>
      </c>
      <c r="L47" s="57">
        <v>0.46666666666666667</v>
      </c>
      <c r="M47" s="57">
        <v>0.86905092592592592</v>
      </c>
      <c r="N47" s="33"/>
      <c r="O47" s="42">
        <v>0</v>
      </c>
      <c r="P47" s="33"/>
      <c r="Q47" s="33" t="s">
        <v>4186</v>
      </c>
      <c r="R47" s="33" t="s">
        <v>4189</v>
      </c>
      <c r="S47" s="43">
        <v>46161.25</v>
      </c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</row>
    <row r="48" spans="1:33">
      <c r="A48" s="33">
        <v>6023024</v>
      </c>
      <c r="B48" s="33">
        <v>6023024</v>
      </c>
      <c r="C48" s="33" t="s">
        <v>4188</v>
      </c>
      <c r="D48" s="33"/>
      <c r="E48" s="42">
        <v>638710.6</v>
      </c>
      <c r="F48" s="33" t="s">
        <v>3691</v>
      </c>
      <c r="G48" s="43">
        <v>46161.826388888891</v>
      </c>
      <c r="H48" s="33" t="s">
        <v>227</v>
      </c>
      <c r="I48" s="33" t="s">
        <v>79</v>
      </c>
      <c r="J48" s="33"/>
      <c r="K48" s="33" t="s">
        <v>297</v>
      </c>
      <c r="L48" s="57">
        <v>0.4236111111111111</v>
      </c>
      <c r="M48" s="57">
        <v>0.74513888888888891</v>
      </c>
      <c r="N48" s="33"/>
      <c r="O48" s="42">
        <v>0</v>
      </c>
      <c r="P48" s="33"/>
      <c r="Q48" s="33" t="s">
        <v>295</v>
      </c>
      <c r="R48" s="33" t="s">
        <v>4203</v>
      </c>
      <c r="S48" s="43">
        <v>46162.25</v>
      </c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</row>
    <row r="49" spans="1:33">
      <c r="A49" s="33">
        <v>6022338</v>
      </c>
      <c r="B49" s="33">
        <v>6022338</v>
      </c>
      <c r="C49" s="33" t="s">
        <v>4188</v>
      </c>
      <c r="D49" s="33"/>
      <c r="E49" s="42">
        <v>632785</v>
      </c>
      <c r="F49" s="33" t="s">
        <v>3691</v>
      </c>
      <c r="G49" s="43">
        <v>46161.118055555555</v>
      </c>
      <c r="H49" s="33" t="s">
        <v>184</v>
      </c>
      <c r="I49" s="33" t="s">
        <v>140</v>
      </c>
      <c r="J49" s="33"/>
      <c r="K49" s="33" t="s">
        <v>2190</v>
      </c>
      <c r="L49" s="44">
        <v>1.2152777777777777</v>
      </c>
      <c r="M49" s="57">
        <v>0.86903935185185188</v>
      </c>
      <c r="N49" s="33"/>
      <c r="O49" s="42">
        <v>0</v>
      </c>
      <c r="P49" s="33"/>
      <c r="Q49" s="33" t="s">
        <v>4186</v>
      </c>
      <c r="R49" s="33" t="s">
        <v>4204</v>
      </c>
      <c r="S49" s="43">
        <v>46162.333333333336</v>
      </c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</row>
    <row r="50" spans="1:33">
      <c r="A50" s="33">
        <v>6011813</v>
      </c>
      <c r="B50" s="33">
        <v>6011813</v>
      </c>
      <c r="C50" s="33" t="s">
        <v>4188</v>
      </c>
      <c r="D50" s="33" t="s">
        <v>3717</v>
      </c>
      <c r="E50" s="42">
        <v>574919.31999999995</v>
      </c>
      <c r="F50" s="33" t="s">
        <v>3691</v>
      </c>
      <c r="G50" s="43">
        <v>46159.654861111114</v>
      </c>
      <c r="H50" s="33" t="s">
        <v>102</v>
      </c>
      <c r="I50" s="33" t="s">
        <v>140</v>
      </c>
      <c r="J50" s="33"/>
      <c r="K50" s="33" t="s">
        <v>163</v>
      </c>
      <c r="L50" s="44">
        <v>3.5951388888888891</v>
      </c>
      <c r="M50" s="44">
        <v>1.7692824074074074</v>
      </c>
      <c r="N50" s="33"/>
      <c r="O50" s="42">
        <v>0</v>
      </c>
      <c r="P50" s="33"/>
      <c r="Q50" s="33" t="s">
        <v>4186</v>
      </c>
      <c r="R50" s="33" t="s">
        <v>76</v>
      </c>
      <c r="S50" s="43">
        <v>46163.25</v>
      </c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</row>
    <row r="51" spans="1:33">
      <c r="A51" s="33">
        <v>6023445</v>
      </c>
      <c r="B51" s="33">
        <v>6023445</v>
      </c>
      <c r="C51" s="33" t="s">
        <v>4184</v>
      </c>
      <c r="D51" s="33"/>
      <c r="E51" s="42">
        <v>573679.12</v>
      </c>
      <c r="F51" s="33" t="s">
        <v>3716</v>
      </c>
      <c r="G51" s="43">
        <v>46162.515972222223</v>
      </c>
      <c r="H51" s="33" t="s">
        <v>227</v>
      </c>
      <c r="I51" s="33" t="s">
        <v>79</v>
      </c>
      <c r="J51" s="33"/>
      <c r="K51" s="33" t="s">
        <v>308</v>
      </c>
      <c r="L51" s="57">
        <v>0.44236111111111109</v>
      </c>
      <c r="M51" s="44">
        <v>1.7692592592592593</v>
      </c>
      <c r="N51" s="43">
        <v>46158.452777777777</v>
      </c>
      <c r="O51" s="42">
        <v>573679.12</v>
      </c>
      <c r="P51" s="43">
        <v>46157.470833333333</v>
      </c>
      <c r="Q51" s="33" t="s">
        <v>295</v>
      </c>
      <c r="R51" s="33" t="s">
        <v>4186</v>
      </c>
      <c r="S51" s="43">
        <v>46162.958333333336</v>
      </c>
      <c r="T51" s="43">
        <v>46158.489583333336</v>
      </c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</row>
    <row r="52" spans="1:33">
      <c r="A52" s="33">
        <v>6023023</v>
      </c>
      <c r="B52" s="33">
        <v>6023023</v>
      </c>
      <c r="C52" s="33" t="s">
        <v>4188</v>
      </c>
      <c r="D52" s="33"/>
      <c r="E52" s="42">
        <v>566371.80000000005</v>
      </c>
      <c r="F52" s="33" t="s">
        <v>3691</v>
      </c>
      <c r="G52" s="43">
        <v>46161.826388888891</v>
      </c>
      <c r="H52" s="33" t="s">
        <v>227</v>
      </c>
      <c r="I52" s="33" t="s">
        <v>79</v>
      </c>
      <c r="J52" s="33"/>
      <c r="K52" s="33" t="s">
        <v>297</v>
      </c>
      <c r="L52" s="57">
        <v>0.4236111111111111</v>
      </c>
      <c r="M52" s="57">
        <v>0.74513888888888891</v>
      </c>
      <c r="N52" s="33"/>
      <c r="O52" s="42">
        <v>0</v>
      </c>
      <c r="P52" s="33"/>
      <c r="Q52" s="33" t="s">
        <v>295</v>
      </c>
      <c r="R52" s="33" t="s">
        <v>4203</v>
      </c>
      <c r="S52" s="43">
        <v>46162.25</v>
      </c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</row>
    <row r="53" spans="1:33">
      <c r="A53" s="33">
        <v>6021539</v>
      </c>
      <c r="B53" s="33" t="s">
        <v>343</v>
      </c>
      <c r="C53" s="33" t="s">
        <v>4184</v>
      </c>
      <c r="D53" s="33" t="s">
        <v>4185</v>
      </c>
      <c r="E53" s="42">
        <v>554640.56999999995</v>
      </c>
      <c r="F53" s="33" t="s">
        <v>3716</v>
      </c>
      <c r="G53" s="43">
        <v>46159.238194444442</v>
      </c>
      <c r="H53" s="33" t="s">
        <v>216</v>
      </c>
      <c r="I53" s="33" t="s">
        <v>140</v>
      </c>
      <c r="J53" s="33"/>
      <c r="K53" s="33" t="s">
        <v>350</v>
      </c>
      <c r="L53" s="44">
        <v>1.0534722222222221</v>
      </c>
      <c r="M53" s="44">
        <v>1.7692476851851853</v>
      </c>
      <c r="N53" s="43">
        <v>46158.452777777777</v>
      </c>
      <c r="O53" s="42">
        <v>964909.1</v>
      </c>
      <c r="P53" s="43">
        <v>46157.607638888891</v>
      </c>
      <c r="Q53" s="33" t="s">
        <v>4186</v>
      </c>
      <c r="R53" s="33" t="s">
        <v>4205</v>
      </c>
      <c r="S53" s="43">
        <v>46160.291666666664</v>
      </c>
      <c r="T53" s="43">
        <v>46158.584027777775</v>
      </c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</row>
    <row r="54" spans="1:33">
      <c r="A54" s="33">
        <v>6023015</v>
      </c>
      <c r="B54" s="33">
        <v>6023015</v>
      </c>
      <c r="C54" s="33" t="s">
        <v>4184</v>
      </c>
      <c r="D54" s="33"/>
      <c r="E54" s="42">
        <v>553601.42000000004</v>
      </c>
      <c r="F54" s="33" t="s">
        <v>3716</v>
      </c>
      <c r="G54" s="43">
        <v>46157.625</v>
      </c>
      <c r="H54" s="33" t="s">
        <v>227</v>
      </c>
      <c r="I54" s="33" t="s">
        <v>79</v>
      </c>
      <c r="J54" s="33"/>
      <c r="K54" s="33" t="s">
        <v>372</v>
      </c>
      <c r="L54" s="44">
        <v>4.333333333333333</v>
      </c>
      <c r="M54" s="44">
        <v>1.7158680555555557</v>
      </c>
      <c r="N54" s="43">
        <v>46158.450694444444</v>
      </c>
      <c r="O54" s="42">
        <v>553601.42000000004</v>
      </c>
      <c r="P54" s="43">
        <v>46157.786111111112</v>
      </c>
      <c r="Q54" s="33" t="s">
        <v>295</v>
      </c>
      <c r="R54" s="33" t="s">
        <v>4206</v>
      </c>
      <c r="S54" s="43">
        <v>46161.958333333336</v>
      </c>
      <c r="T54" s="43">
        <v>46158.888194444444</v>
      </c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</row>
    <row r="55" spans="1:33">
      <c r="A55" s="33">
        <v>6023020</v>
      </c>
      <c r="B55" s="33">
        <v>6023020</v>
      </c>
      <c r="C55" s="33" t="s">
        <v>4184</v>
      </c>
      <c r="D55" s="33"/>
      <c r="E55" s="42">
        <v>553601.31999999995</v>
      </c>
      <c r="F55" s="33" t="s">
        <v>3716</v>
      </c>
      <c r="G55" s="43">
        <v>46157</v>
      </c>
      <c r="H55" s="33" t="s">
        <v>227</v>
      </c>
      <c r="I55" s="33" t="s">
        <v>79</v>
      </c>
      <c r="J55" s="33"/>
      <c r="K55" s="33" t="s">
        <v>297</v>
      </c>
      <c r="L55" s="44">
        <v>5.25</v>
      </c>
      <c r="M55" s="44">
        <v>1.716736111111111</v>
      </c>
      <c r="N55" s="43">
        <v>46158.45208333333</v>
      </c>
      <c r="O55" s="42">
        <v>553601.31999999995</v>
      </c>
      <c r="P55" s="43">
        <v>46157.774305555555</v>
      </c>
      <c r="Q55" s="33" t="s">
        <v>295</v>
      </c>
      <c r="R55" s="33" t="s">
        <v>4203</v>
      </c>
      <c r="S55" s="43">
        <v>46162.25</v>
      </c>
      <c r="T55" s="43">
        <v>46158.784722222219</v>
      </c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</row>
    <row r="56" spans="1:33">
      <c r="A56" s="33">
        <v>6023168</v>
      </c>
      <c r="B56" s="33">
        <v>6023168</v>
      </c>
      <c r="C56" s="33" t="s">
        <v>4188</v>
      </c>
      <c r="D56" s="33"/>
      <c r="E56" s="42">
        <v>550728.43999999994</v>
      </c>
      <c r="F56" s="33" t="s">
        <v>3691</v>
      </c>
      <c r="G56" s="43">
        <v>46161.179166666669</v>
      </c>
      <c r="H56" s="33" t="s">
        <v>4126</v>
      </c>
      <c r="I56" s="33" t="s">
        <v>140</v>
      </c>
      <c r="J56" s="33"/>
      <c r="K56" s="33" t="s">
        <v>4125</v>
      </c>
      <c r="L56" s="57">
        <v>0.15416666666666667</v>
      </c>
      <c r="M56" s="57">
        <v>0.86905092592592592</v>
      </c>
      <c r="N56" s="33"/>
      <c r="O56" s="42">
        <v>0</v>
      </c>
      <c r="P56" s="33"/>
      <c r="Q56" s="33" t="s">
        <v>4186</v>
      </c>
      <c r="R56" s="33" t="s">
        <v>3536</v>
      </c>
      <c r="S56" s="43">
        <v>46161.333333333336</v>
      </c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</row>
    <row r="57" spans="1:33">
      <c r="A57" s="33">
        <v>6014055</v>
      </c>
      <c r="B57" s="33">
        <v>6014055</v>
      </c>
      <c r="C57" s="33" t="s">
        <v>4188</v>
      </c>
      <c r="D57" s="33"/>
      <c r="E57" s="42">
        <v>522953.5</v>
      </c>
      <c r="F57" s="33" t="s">
        <v>3691</v>
      </c>
      <c r="G57" s="43">
        <v>46161.520833333336</v>
      </c>
      <c r="H57" s="33" t="s">
        <v>72</v>
      </c>
      <c r="I57" s="33" t="s">
        <v>140</v>
      </c>
      <c r="J57" s="33"/>
      <c r="K57" s="33" t="s">
        <v>726</v>
      </c>
      <c r="L57" s="44">
        <v>1.8125</v>
      </c>
      <c r="M57" s="57">
        <v>0.86903935185185188</v>
      </c>
      <c r="N57" s="33"/>
      <c r="O57" s="42">
        <v>0</v>
      </c>
      <c r="P57" s="33"/>
      <c r="Q57" s="33" t="s">
        <v>4186</v>
      </c>
      <c r="R57" s="33" t="s">
        <v>3273</v>
      </c>
      <c r="S57" s="43">
        <v>46163.333333333336</v>
      </c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</row>
    <row r="58" spans="1:33">
      <c r="A58" s="33">
        <v>6022158</v>
      </c>
      <c r="B58" s="33">
        <v>6022158</v>
      </c>
      <c r="C58" s="33" t="s">
        <v>4184</v>
      </c>
      <c r="D58" s="33"/>
      <c r="E58" s="42">
        <v>503455.26</v>
      </c>
      <c r="F58" s="33" t="s">
        <v>3716</v>
      </c>
      <c r="G58" s="43">
        <v>46159.138888888891</v>
      </c>
      <c r="H58" s="33" t="s">
        <v>216</v>
      </c>
      <c r="I58" s="33" t="s">
        <v>79</v>
      </c>
      <c r="J58" s="33"/>
      <c r="K58" s="33" t="s">
        <v>383</v>
      </c>
      <c r="L58" s="44">
        <v>1.1111111111111112</v>
      </c>
      <c r="M58" s="44">
        <v>1.1211689814814816</v>
      </c>
      <c r="N58" s="43">
        <v>46158.451388888891</v>
      </c>
      <c r="O58" s="42">
        <v>503455.26</v>
      </c>
      <c r="P58" s="43">
        <v>46157.887499999997</v>
      </c>
      <c r="Q58" s="33" t="s">
        <v>295</v>
      </c>
      <c r="R58" s="33" t="s">
        <v>4189</v>
      </c>
      <c r="S58" s="43">
        <v>46160.25</v>
      </c>
      <c r="T58" s="43">
        <v>46159.081250000003</v>
      </c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</row>
    <row r="59" spans="1:33">
      <c r="A59" s="33">
        <v>6023009</v>
      </c>
      <c r="B59" s="33">
        <v>6023009</v>
      </c>
      <c r="C59" s="33" t="s">
        <v>4188</v>
      </c>
      <c r="D59" s="33"/>
      <c r="E59" s="42">
        <v>493797.84</v>
      </c>
      <c r="F59" s="33" t="s">
        <v>3691</v>
      </c>
      <c r="G59" s="43">
        <v>46161.365277777775</v>
      </c>
      <c r="H59" s="33" t="s">
        <v>3050</v>
      </c>
      <c r="I59" s="33" t="s">
        <v>140</v>
      </c>
      <c r="J59" s="33"/>
      <c r="K59" s="33" t="s">
        <v>494</v>
      </c>
      <c r="L59" s="57">
        <v>0.88472222222222219</v>
      </c>
      <c r="M59" s="57">
        <v>0.86903935185185188</v>
      </c>
      <c r="N59" s="33"/>
      <c r="O59" s="42">
        <v>0</v>
      </c>
      <c r="P59" s="33"/>
      <c r="Q59" s="33" t="s">
        <v>4186</v>
      </c>
      <c r="R59" s="33" t="s">
        <v>4207</v>
      </c>
      <c r="S59" s="43">
        <v>46162.25</v>
      </c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</row>
    <row r="60" spans="1:33">
      <c r="A60" s="33">
        <v>6023297</v>
      </c>
      <c r="B60" s="33">
        <v>6023297</v>
      </c>
      <c r="C60" s="33" t="s">
        <v>4188</v>
      </c>
      <c r="D60" s="33"/>
      <c r="E60" s="42">
        <v>492315.42</v>
      </c>
      <c r="F60" s="33" t="s">
        <v>3691</v>
      </c>
      <c r="G60" s="43">
        <v>46160.833333333336</v>
      </c>
      <c r="H60" s="33" t="s">
        <v>724</v>
      </c>
      <c r="I60" s="33" t="s">
        <v>79</v>
      </c>
      <c r="J60" s="33"/>
      <c r="K60" s="33" t="s">
        <v>3293</v>
      </c>
      <c r="L60" s="57">
        <v>0.41666666666666669</v>
      </c>
      <c r="M60" s="57">
        <v>0.86901620370370369</v>
      </c>
      <c r="N60" s="33"/>
      <c r="O60" s="42">
        <v>0</v>
      </c>
      <c r="P60" s="33"/>
      <c r="Q60" s="33" t="s">
        <v>295</v>
      </c>
      <c r="R60" s="33" t="s">
        <v>2440</v>
      </c>
      <c r="S60" s="43">
        <v>46161.25</v>
      </c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</row>
    <row r="61" spans="1:33">
      <c r="A61" s="33">
        <v>6021313</v>
      </c>
      <c r="B61" s="33" t="s">
        <v>550</v>
      </c>
      <c r="C61" s="33" t="s">
        <v>4184</v>
      </c>
      <c r="D61" s="33"/>
      <c r="E61" s="42">
        <v>481955.9</v>
      </c>
      <c r="F61" s="33" t="s">
        <v>3716</v>
      </c>
      <c r="G61" s="43">
        <v>46159.704861111109</v>
      </c>
      <c r="H61" s="33" t="s">
        <v>553</v>
      </c>
      <c r="I61" s="33" t="s">
        <v>140</v>
      </c>
      <c r="J61" s="33"/>
      <c r="K61" s="33" t="s">
        <v>557</v>
      </c>
      <c r="L61" s="44">
        <v>1.5729166666666667</v>
      </c>
      <c r="M61" s="57">
        <v>0.96788194444444442</v>
      </c>
      <c r="N61" s="43">
        <v>46158.45</v>
      </c>
      <c r="O61" s="42">
        <v>784029.11</v>
      </c>
      <c r="P61" s="43">
        <v>46157.788194444445</v>
      </c>
      <c r="Q61" s="33" t="s">
        <v>4186</v>
      </c>
      <c r="R61" s="33" t="s">
        <v>4208</v>
      </c>
      <c r="S61" s="43">
        <v>46161.277777777781</v>
      </c>
      <c r="T61" s="43">
        <v>46158.953472222223</v>
      </c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</row>
    <row r="62" spans="1:33">
      <c r="A62" s="33">
        <v>6014900</v>
      </c>
      <c r="B62" s="33">
        <v>6014900</v>
      </c>
      <c r="C62" s="33" t="s">
        <v>4184</v>
      </c>
      <c r="D62" s="33" t="s">
        <v>4185</v>
      </c>
      <c r="E62" s="42">
        <v>476350.7</v>
      </c>
      <c r="F62" s="33" t="s">
        <v>3716</v>
      </c>
      <c r="G62" s="43">
        <v>46159.823611111111</v>
      </c>
      <c r="H62" s="33" t="s">
        <v>72</v>
      </c>
      <c r="I62" s="33" t="s">
        <v>140</v>
      </c>
      <c r="J62" s="33"/>
      <c r="K62" s="33" t="s">
        <v>141</v>
      </c>
      <c r="L62" s="44">
        <v>3.4263888888888889</v>
      </c>
      <c r="M62" s="44">
        <v>1.7692824074074074</v>
      </c>
      <c r="N62" s="43">
        <v>46158.4375</v>
      </c>
      <c r="O62" s="42">
        <v>476350.7</v>
      </c>
      <c r="P62" s="43">
        <v>46157.835416666669</v>
      </c>
      <c r="Q62" s="33" t="s">
        <v>4186</v>
      </c>
      <c r="R62" s="33" t="s">
        <v>4197</v>
      </c>
      <c r="S62" s="43">
        <v>46163.25</v>
      </c>
      <c r="T62" s="43">
        <v>46159.588194444441</v>
      </c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</row>
    <row r="63" spans="1:33">
      <c r="A63" s="33">
        <v>6023296</v>
      </c>
      <c r="B63" s="33">
        <v>6023296</v>
      </c>
      <c r="C63" s="33" t="s">
        <v>4184</v>
      </c>
      <c r="D63" s="33"/>
      <c r="E63" s="42">
        <v>471173.04</v>
      </c>
      <c r="F63" s="33" t="s">
        <v>3716</v>
      </c>
      <c r="G63" s="43">
        <v>46160.11041666667</v>
      </c>
      <c r="H63" s="33" t="s">
        <v>724</v>
      </c>
      <c r="I63" s="33" t="s">
        <v>79</v>
      </c>
      <c r="J63" s="33"/>
      <c r="K63" s="33" t="s">
        <v>286</v>
      </c>
      <c r="L63" s="57">
        <v>0.13958333333333334</v>
      </c>
      <c r="M63" s="57">
        <v>0.86901620370370369</v>
      </c>
      <c r="N63" s="33"/>
      <c r="O63" s="42">
        <v>471173.04</v>
      </c>
      <c r="P63" s="43">
        <v>46158.425694444442</v>
      </c>
      <c r="Q63" s="33" t="s">
        <v>295</v>
      </c>
      <c r="R63" s="33" t="s">
        <v>4202</v>
      </c>
      <c r="S63" s="43">
        <v>46160.25</v>
      </c>
      <c r="T63" s="43">
        <v>46158.69027777778</v>
      </c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</row>
    <row r="64" spans="1:33">
      <c r="A64" s="33">
        <v>6022339</v>
      </c>
      <c r="B64" s="33">
        <v>6022339</v>
      </c>
      <c r="C64" s="33" t="s">
        <v>4184</v>
      </c>
      <c r="D64" s="33"/>
      <c r="E64" s="42">
        <v>466803</v>
      </c>
      <c r="F64" s="33" t="s">
        <v>3716</v>
      </c>
      <c r="G64" s="43">
        <v>46159.245138888888</v>
      </c>
      <c r="H64" s="33" t="s">
        <v>724</v>
      </c>
      <c r="I64" s="33" t="s">
        <v>79</v>
      </c>
      <c r="J64" s="33"/>
      <c r="K64" s="33" t="s">
        <v>726</v>
      </c>
      <c r="L64" s="44">
        <v>1.0465277777777777</v>
      </c>
      <c r="M64" s="44">
        <v>1.7692592592592593</v>
      </c>
      <c r="N64" s="43">
        <v>46158.419444444444</v>
      </c>
      <c r="O64" s="42">
        <v>933606</v>
      </c>
      <c r="P64" s="43">
        <v>46157.856944444444</v>
      </c>
      <c r="Q64" s="33" t="s">
        <v>295</v>
      </c>
      <c r="R64" s="33" t="s">
        <v>3273</v>
      </c>
      <c r="S64" s="43">
        <v>46160.291666666664</v>
      </c>
      <c r="T64" s="43">
        <v>46159.045138888891</v>
      </c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</row>
    <row r="65" spans="1:33">
      <c r="A65" s="33">
        <v>6021735</v>
      </c>
      <c r="B65" s="33">
        <v>6021735</v>
      </c>
      <c r="C65" s="33" t="s">
        <v>4188</v>
      </c>
      <c r="D65" s="33"/>
      <c r="E65" s="42">
        <v>461311.14</v>
      </c>
      <c r="F65" s="33" t="s">
        <v>3691</v>
      </c>
      <c r="G65" s="43">
        <v>46160.854166666664</v>
      </c>
      <c r="H65" s="33" t="s">
        <v>1912</v>
      </c>
      <c r="I65" s="33" t="s">
        <v>1918</v>
      </c>
      <c r="J65" s="33"/>
      <c r="K65" s="33" t="s">
        <v>594</v>
      </c>
      <c r="L65" s="44">
        <v>1.3958333333333333</v>
      </c>
      <c r="M65" s="57">
        <v>0.86902777777777773</v>
      </c>
      <c r="N65" s="33"/>
      <c r="O65" s="42">
        <v>0</v>
      </c>
      <c r="P65" s="33"/>
      <c r="Q65" s="33" t="s">
        <v>4190</v>
      </c>
      <c r="R65" s="33" t="s">
        <v>4191</v>
      </c>
      <c r="S65" s="43">
        <v>46162.25</v>
      </c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</row>
    <row r="66" spans="1:33">
      <c r="A66" s="33">
        <v>6013943</v>
      </c>
      <c r="B66" s="33">
        <v>6013943</v>
      </c>
      <c r="C66" s="33" t="s">
        <v>4195</v>
      </c>
      <c r="D66" s="33"/>
      <c r="E66" s="42">
        <v>447123.6</v>
      </c>
      <c r="F66" s="33" t="s">
        <v>3723</v>
      </c>
      <c r="G66" s="43">
        <v>46161.849305555559</v>
      </c>
      <c r="H66" s="33" t="s">
        <v>227</v>
      </c>
      <c r="I66" s="33" t="s">
        <v>79</v>
      </c>
      <c r="J66" s="33"/>
      <c r="K66" s="33" t="s">
        <v>2300</v>
      </c>
      <c r="L66" s="57">
        <v>0.44236111111111109</v>
      </c>
      <c r="M66" s="44">
        <v>1.7692592592592593</v>
      </c>
      <c r="N66" s="43">
        <v>46158.145833333336</v>
      </c>
      <c r="O66" s="42">
        <v>447123.6</v>
      </c>
      <c r="P66" s="43">
        <v>46157.513888888891</v>
      </c>
      <c r="Q66" s="33" t="s">
        <v>295</v>
      </c>
      <c r="R66" s="33" t="s">
        <v>4186</v>
      </c>
      <c r="S66" s="43">
        <v>46162.291666666664</v>
      </c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</row>
    <row r="67" spans="1:33">
      <c r="A67" s="33">
        <v>6022203</v>
      </c>
      <c r="B67" s="33">
        <v>6022203</v>
      </c>
      <c r="C67" s="33" t="s">
        <v>4184</v>
      </c>
      <c r="D67" s="33"/>
      <c r="E67" s="42">
        <v>446027.76</v>
      </c>
      <c r="F67" s="33" t="s">
        <v>3716</v>
      </c>
      <c r="G67" s="43">
        <v>46157.25</v>
      </c>
      <c r="H67" s="33" t="s">
        <v>114</v>
      </c>
      <c r="I67" s="33" t="s">
        <v>79</v>
      </c>
      <c r="J67" s="33"/>
      <c r="K67" s="33" t="s">
        <v>297</v>
      </c>
      <c r="L67" s="44">
        <v>3.7083333333333335</v>
      </c>
      <c r="M67" s="44">
        <v>1.6335416666666667</v>
      </c>
      <c r="N67" s="43">
        <v>46158.450694444444</v>
      </c>
      <c r="O67" s="42">
        <v>446027.76</v>
      </c>
      <c r="P67" s="43">
        <v>46157.463888888888</v>
      </c>
      <c r="Q67" s="33" t="s">
        <v>295</v>
      </c>
      <c r="R67" s="33" t="s">
        <v>4203</v>
      </c>
      <c r="S67" s="43">
        <v>46160.958333333336</v>
      </c>
      <c r="T67" s="43">
        <v>46158.82916666667</v>
      </c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</row>
    <row r="68" spans="1:33">
      <c r="A68" s="33">
        <v>6022219</v>
      </c>
      <c r="B68" s="33">
        <v>6022219</v>
      </c>
      <c r="C68" s="33" t="s">
        <v>4184</v>
      </c>
      <c r="D68" s="33"/>
      <c r="E68" s="42">
        <v>440059.46</v>
      </c>
      <c r="F68" s="33" t="s">
        <v>3716</v>
      </c>
      <c r="G68" s="43">
        <v>46157.25</v>
      </c>
      <c r="H68" s="33" t="s">
        <v>260</v>
      </c>
      <c r="I68" s="33" t="s">
        <v>79</v>
      </c>
      <c r="J68" s="33"/>
      <c r="K68" s="33" t="s">
        <v>474</v>
      </c>
      <c r="L68" s="44">
        <v>3.7083333333333335</v>
      </c>
      <c r="M68" s="44">
        <v>1.6372106481481481</v>
      </c>
      <c r="N68" s="43">
        <v>46158.443749999999</v>
      </c>
      <c r="O68" s="42">
        <v>880118.92</v>
      </c>
      <c r="P68" s="43">
        <v>46157.556250000001</v>
      </c>
      <c r="Q68" s="33" t="s">
        <v>295</v>
      </c>
      <c r="R68" s="33" t="s">
        <v>4209</v>
      </c>
      <c r="S68" s="43">
        <v>46160.958333333336</v>
      </c>
      <c r="T68" s="43">
        <v>46158.911111111112</v>
      </c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</row>
    <row r="69" spans="1:33">
      <c r="A69" s="33">
        <v>6014918</v>
      </c>
      <c r="B69" s="33">
        <v>6014918</v>
      </c>
      <c r="C69" s="33" t="s">
        <v>4188</v>
      </c>
      <c r="D69" s="33"/>
      <c r="E69" s="42">
        <v>436262.86</v>
      </c>
      <c r="F69" s="33" t="s">
        <v>3691</v>
      </c>
      <c r="G69" s="43">
        <v>46158.958333333336</v>
      </c>
      <c r="H69" s="33" t="s">
        <v>216</v>
      </c>
      <c r="I69" s="33" t="s">
        <v>79</v>
      </c>
      <c r="J69" s="33"/>
      <c r="K69" s="33" t="s">
        <v>198</v>
      </c>
      <c r="L69" s="44">
        <v>4.333333333333333</v>
      </c>
      <c r="M69" s="44">
        <v>1.7692476851851853</v>
      </c>
      <c r="N69" s="33"/>
      <c r="O69" s="42">
        <v>0</v>
      </c>
      <c r="P69" s="33"/>
      <c r="Q69" s="33" t="s">
        <v>295</v>
      </c>
      <c r="R69" s="33" t="s">
        <v>4190</v>
      </c>
      <c r="S69" s="43">
        <v>46163.291666666664</v>
      </c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</row>
    <row r="70" spans="1:33">
      <c r="A70" s="33">
        <v>6022206</v>
      </c>
      <c r="B70" s="33">
        <v>6022206</v>
      </c>
      <c r="C70" s="33" t="s">
        <v>4184</v>
      </c>
      <c r="D70" s="33"/>
      <c r="E70" s="42">
        <v>434652.79</v>
      </c>
      <c r="F70" s="33" t="s">
        <v>3716</v>
      </c>
      <c r="G70" s="43">
        <v>46159.654861111114</v>
      </c>
      <c r="H70" s="33" t="s">
        <v>216</v>
      </c>
      <c r="I70" s="33" t="s">
        <v>79</v>
      </c>
      <c r="J70" s="33"/>
      <c r="K70" s="33" t="s">
        <v>594</v>
      </c>
      <c r="L70" s="44">
        <v>3.5951388888888891</v>
      </c>
      <c r="M70" s="44">
        <v>1.1211805555555556</v>
      </c>
      <c r="N70" s="43">
        <v>46158.451388888891</v>
      </c>
      <c r="O70" s="42">
        <v>434652.79</v>
      </c>
      <c r="P70" s="43">
        <v>46157.881249999999</v>
      </c>
      <c r="Q70" s="33" t="s">
        <v>295</v>
      </c>
      <c r="R70" s="33" t="s">
        <v>4191</v>
      </c>
      <c r="S70" s="43">
        <v>46163.25</v>
      </c>
      <c r="T70" s="43">
        <v>46160.177777777775</v>
      </c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</row>
    <row r="71" spans="1:33">
      <c r="A71" s="33">
        <v>6022190</v>
      </c>
      <c r="B71" s="33">
        <v>6022190</v>
      </c>
      <c r="C71" s="33" t="s">
        <v>4184</v>
      </c>
      <c r="D71" s="33"/>
      <c r="E71" s="42">
        <v>433205.35</v>
      </c>
      <c r="F71" s="33" t="s">
        <v>3716</v>
      </c>
      <c r="G71" s="43">
        <v>46157.25</v>
      </c>
      <c r="H71" s="33" t="s">
        <v>114</v>
      </c>
      <c r="I71" s="33" t="s">
        <v>79</v>
      </c>
      <c r="J71" s="33"/>
      <c r="K71" s="33" t="s">
        <v>297</v>
      </c>
      <c r="L71" s="44">
        <v>3.7083333333333335</v>
      </c>
      <c r="M71" s="44">
        <v>1.6324305555555556</v>
      </c>
      <c r="N71" s="43">
        <v>46158.451388888891</v>
      </c>
      <c r="O71" s="42">
        <v>1299616.05</v>
      </c>
      <c r="P71" s="43">
        <v>46157.527777777781</v>
      </c>
      <c r="Q71" s="33" t="s">
        <v>295</v>
      </c>
      <c r="R71" s="33" t="s">
        <v>4203</v>
      </c>
      <c r="S71" s="43">
        <v>46160.958333333336</v>
      </c>
      <c r="T71" s="43">
        <v>46158.958333333336</v>
      </c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</row>
    <row r="72" spans="1:33">
      <c r="A72" s="33">
        <v>6021732</v>
      </c>
      <c r="B72" s="33">
        <v>6021732</v>
      </c>
      <c r="C72" s="33" t="s">
        <v>4188</v>
      </c>
      <c r="D72" s="33"/>
      <c r="E72" s="42">
        <v>433156</v>
      </c>
      <c r="F72" s="33" t="s">
        <v>3691</v>
      </c>
      <c r="G72" s="43">
        <v>46160.895833333336</v>
      </c>
      <c r="H72" s="33" t="s">
        <v>1912</v>
      </c>
      <c r="I72" s="33" t="s">
        <v>1918</v>
      </c>
      <c r="J72" s="33"/>
      <c r="K72" s="33" t="s">
        <v>4022</v>
      </c>
      <c r="L72" s="44">
        <v>1.3541666666666667</v>
      </c>
      <c r="M72" s="57">
        <v>0.86902777777777773</v>
      </c>
      <c r="N72" s="33"/>
      <c r="O72" s="42">
        <v>0</v>
      </c>
      <c r="P72" s="33"/>
      <c r="Q72" s="33" t="s">
        <v>4190</v>
      </c>
      <c r="R72" s="33" t="s">
        <v>4196</v>
      </c>
      <c r="S72" s="43">
        <v>46162.25</v>
      </c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</row>
    <row r="73" spans="1:33">
      <c r="A73" s="33">
        <v>6022204</v>
      </c>
      <c r="B73" s="33" t="s">
        <v>572</v>
      </c>
      <c r="C73" s="33" t="s">
        <v>4210</v>
      </c>
      <c r="D73" s="33"/>
      <c r="E73" s="42">
        <v>432627</v>
      </c>
      <c r="F73" s="33" t="s">
        <v>3716</v>
      </c>
      <c r="G73" s="43">
        <v>46159.826388888891</v>
      </c>
      <c r="H73" s="33" t="s">
        <v>216</v>
      </c>
      <c r="I73" s="33" t="s">
        <v>79</v>
      </c>
      <c r="J73" s="33"/>
      <c r="K73" s="33" t="s">
        <v>297</v>
      </c>
      <c r="L73" s="57">
        <v>0.4236111111111111</v>
      </c>
      <c r="M73" s="44">
        <v>1.1211689814814816</v>
      </c>
      <c r="N73" s="43">
        <v>46158.452777777777</v>
      </c>
      <c r="O73" s="42">
        <v>819909.63</v>
      </c>
      <c r="P73" s="43">
        <v>46157.814583333333</v>
      </c>
      <c r="Q73" s="33" t="s">
        <v>295</v>
      </c>
      <c r="R73" s="33" t="s">
        <v>4203</v>
      </c>
      <c r="S73" s="43">
        <v>46160.25</v>
      </c>
      <c r="T73" s="43">
        <v>46158.897222222222</v>
      </c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</row>
    <row r="74" spans="1:33">
      <c r="A74" s="33">
        <v>6014913</v>
      </c>
      <c r="B74" s="33" t="s">
        <v>743</v>
      </c>
      <c r="C74" s="33" t="s">
        <v>4210</v>
      </c>
      <c r="D74" s="33"/>
      <c r="E74" s="42">
        <v>419888.46</v>
      </c>
      <c r="F74" s="33" t="s">
        <v>3716</v>
      </c>
      <c r="G74" s="43">
        <v>46160.890972222223</v>
      </c>
      <c r="H74" s="33" t="s">
        <v>171</v>
      </c>
      <c r="I74" s="33" t="s">
        <v>79</v>
      </c>
      <c r="J74" s="33"/>
      <c r="K74" s="33" t="s">
        <v>327</v>
      </c>
      <c r="L74" s="57">
        <v>0.44236111111111109</v>
      </c>
      <c r="M74" s="44">
        <v>1.7692708333333333</v>
      </c>
      <c r="N74" s="43">
        <v>46158.45208333333</v>
      </c>
      <c r="O74" s="42">
        <v>419888.46</v>
      </c>
      <c r="P74" s="43">
        <v>46158.370138888888</v>
      </c>
      <c r="Q74" s="33" t="s">
        <v>295</v>
      </c>
      <c r="R74" s="33" t="s">
        <v>4186</v>
      </c>
      <c r="S74" s="43">
        <v>46161.333333333336</v>
      </c>
      <c r="T74" s="43">
        <v>46158.847222222219</v>
      </c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</row>
    <row r="75" spans="1:33">
      <c r="A75" s="33">
        <v>6022045</v>
      </c>
      <c r="B75" s="33">
        <v>6022045</v>
      </c>
      <c r="C75" s="33" t="s">
        <v>4188</v>
      </c>
      <c r="D75" s="33"/>
      <c r="E75" s="42">
        <v>418714.72</v>
      </c>
      <c r="F75" s="33" t="s">
        <v>3691</v>
      </c>
      <c r="G75" s="43">
        <v>46161.154166666667</v>
      </c>
      <c r="H75" s="33" t="s">
        <v>1635</v>
      </c>
      <c r="I75" s="33" t="s">
        <v>140</v>
      </c>
      <c r="J75" s="33"/>
      <c r="K75" s="33" t="s">
        <v>297</v>
      </c>
      <c r="L75" s="57">
        <v>9.583333333333334E-2</v>
      </c>
      <c r="M75" s="57">
        <v>0.86905092592592592</v>
      </c>
      <c r="N75" s="33"/>
      <c r="O75" s="42">
        <v>0</v>
      </c>
      <c r="P75" s="33"/>
      <c r="Q75" s="33" t="s">
        <v>4186</v>
      </c>
      <c r="R75" s="33" t="s">
        <v>4203</v>
      </c>
      <c r="S75" s="43">
        <v>46161.25</v>
      </c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</row>
    <row r="76" spans="1:33">
      <c r="A76" s="33">
        <v>6022260</v>
      </c>
      <c r="B76" s="33">
        <v>6022260</v>
      </c>
      <c r="C76" s="33" t="s">
        <v>4188</v>
      </c>
      <c r="D76" s="33"/>
      <c r="E76" s="42">
        <v>412808.61</v>
      </c>
      <c r="F76" s="33" t="s">
        <v>3691</v>
      </c>
      <c r="G76" s="43">
        <v>46159.747916666667</v>
      </c>
      <c r="H76" s="33" t="s">
        <v>216</v>
      </c>
      <c r="I76" s="33" t="s">
        <v>79</v>
      </c>
      <c r="J76" s="33"/>
      <c r="K76" s="33" t="s">
        <v>80</v>
      </c>
      <c r="L76" s="44">
        <v>4.5020833333333332</v>
      </c>
      <c r="M76" s="44">
        <v>1.1211805555555556</v>
      </c>
      <c r="N76" s="33"/>
      <c r="O76" s="42">
        <v>0</v>
      </c>
      <c r="P76" s="33"/>
      <c r="Q76" s="33" t="s">
        <v>295</v>
      </c>
      <c r="R76" s="33" t="s">
        <v>76</v>
      </c>
      <c r="S76" s="43">
        <v>46164.25</v>
      </c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</row>
    <row r="77" spans="1:33">
      <c r="A77" s="33">
        <v>6015357</v>
      </c>
      <c r="B77" s="33">
        <v>6015357</v>
      </c>
      <c r="C77" s="33" t="s">
        <v>4188</v>
      </c>
      <c r="D77" s="33"/>
      <c r="E77" s="42">
        <v>411341.04</v>
      </c>
      <c r="F77" s="33" t="s">
        <v>3691</v>
      </c>
      <c r="G77" s="43">
        <v>46159.52847222222</v>
      </c>
      <c r="H77" s="33" t="s">
        <v>184</v>
      </c>
      <c r="I77" s="33" t="s">
        <v>79</v>
      </c>
      <c r="J77" s="33"/>
      <c r="K77" s="33" t="s">
        <v>750</v>
      </c>
      <c r="L77" s="57">
        <v>0.42986111111111114</v>
      </c>
      <c r="M77" s="57">
        <v>0.86901620370370369</v>
      </c>
      <c r="N77" s="33"/>
      <c r="O77" s="42">
        <v>0</v>
      </c>
      <c r="P77" s="33"/>
      <c r="Q77" s="33" t="s">
        <v>295</v>
      </c>
      <c r="R77" s="33" t="s">
        <v>4211</v>
      </c>
      <c r="S77" s="43">
        <v>46159.958333333336</v>
      </c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</row>
    <row r="78" spans="1:33">
      <c r="A78" s="33">
        <v>6021540</v>
      </c>
      <c r="B78" s="33" t="s">
        <v>343</v>
      </c>
      <c r="C78" s="33" t="s">
        <v>4184</v>
      </c>
      <c r="D78" s="33" t="s">
        <v>4185</v>
      </c>
      <c r="E78" s="42">
        <v>410268.53</v>
      </c>
      <c r="F78" s="33" t="s">
        <v>3716</v>
      </c>
      <c r="G78" s="43">
        <v>46159.238194444442</v>
      </c>
      <c r="H78" s="33" t="s">
        <v>216</v>
      </c>
      <c r="I78" s="33" t="s">
        <v>140</v>
      </c>
      <c r="J78" s="33"/>
      <c r="K78" s="33" t="s">
        <v>350</v>
      </c>
      <c r="L78" s="44">
        <v>1.0534722222222221</v>
      </c>
      <c r="M78" s="44">
        <v>1.7692476851851853</v>
      </c>
      <c r="N78" s="43">
        <v>46158.452777777777</v>
      </c>
      <c r="O78" s="42">
        <v>964909.1</v>
      </c>
      <c r="P78" s="43">
        <v>46157.607638888891</v>
      </c>
      <c r="Q78" s="33" t="s">
        <v>4186</v>
      </c>
      <c r="R78" s="33" t="s">
        <v>4205</v>
      </c>
      <c r="S78" s="43">
        <v>46160.291666666664</v>
      </c>
      <c r="T78" s="43">
        <v>46158.584027777775</v>
      </c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</row>
    <row r="79" spans="1:33">
      <c r="A79" s="33">
        <v>6023167</v>
      </c>
      <c r="B79" s="33">
        <v>6023167</v>
      </c>
      <c r="C79" s="33" t="s">
        <v>4188</v>
      </c>
      <c r="D79" s="33"/>
      <c r="E79" s="42">
        <v>406281.72</v>
      </c>
      <c r="F79" s="33" t="s">
        <v>3691</v>
      </c>
      <c r="G79" s="43">
        <v>46161.2</v>
      </c>
      <c r="H79" s="33" t="s">
        <v>184</v>
      </c>
      <c r="I79" s="33" t="s">
        <v>140</v>
      </c>
      <c r="J79" s="33"/>
      <c r="K79" s="33" t="s">
        <v>4125</v>
      </c>
      <c r="L79" s="57">
        <v>0.13333333333333333</v>
      </c>
      <c r="M79" s="57">
        <v>0.86903935185185188</v>
      </c>
      <c r="N79" s="33"/>
      <c r="O79" s="42">
        <v>0</v>
      </c>
      <c r="P79" s="33"/>
      <c r="Q79" s="33" t="s">
        <v>4186</v>
      </c>
      <c r="R79" s="33" t="s">
        <v>3536</v>
      </c>
      <c r="S79" s="43">
        <v>46161.333333333336</v>
      </c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</row>
    <row r="80" spans="1:33">
      <c r="A80" s="33">
        <v>6023031</v>
      </c>
      <c r="B80" s="33">
        <v>6023031</v>
      </c>
      <c r="C80" s="33" t="s">
        <v>4188</v>
      </c>
      <c r="D80" s="33"/>
      <c r="E80" s="42">
        <v>404561.35</v>
      </c>
      <c r="F80" s="33" t="s">
        <v>3691</v>
      </c>
      <c r="G80" s="43">
        <v>46164.073611111111</v>
      </c>
      <c r="H80" s="33" t="s">
        <v>102</v>
      </c>
      <c r="I80" s="33" t="s">
        <v>79</v>
      </c>
      <c r="J80" s="33"/>
      <c r="K80" s="33" t="s">
        <v>4124</v>
      </c>
      <c r="L80" s="44">
        <v>5.1763888888888889</v>
      </c>
      <c r="M80" s="57">
        <v>0.74512731481481487</v>
      </c>
      <c r="N80" s="33"/>
      <c r="O80" s="42">
        <v>0</v>
      </c>
      <c r="P80" s="33"/>
      <c r="Q80" s="33" t="s">
        <v>295</v>
      </c>
      <c r="R80" s="33" t="s">
        <v>4212</v>
      </c>
      <c r="S80" s="43">
        <v>46169.25</v>
      </c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</row>
    <row r="81" spans="1:33">
      <c r="A81" s="33">
        <v>6021353</v>
      </c>
      <c r="B81" s="33">
        <v>6021353</v>
      </c>
      <c r="C81" s="33" t="s">
        <v>4184</v>
      </c>
      <c r="D81" s="33"/>
      <c r="E81" s="42">
        <v>395916.08</v>
      </c>
      <c r="F81" s="33" t="s">
        <v>3716</v>
      </c>
      <c r="G81" s="43">
        <v>46161.890972222223</v>
      </c>
      <c r="H81" s="33" t="s">
        <v>227</v>
      </c>
      <c r="I81" s="33" t="s">
        <v>79</v>
      </c>
      <c r="J81" s="33"/>
      <c r="K81" s="33" t="s">
        <v>327</v>
      </c>
      <c r="L81" s="57">
        <v>0.44236111111111109</v>
      </c>
      <c r="M81" s="44">
        <v>1.7692592592592593</v>
      </c>
      <c r="N81" s="43">
        <v>46158.453472222223</v>
      </c>
      <c r="O81" s="42">
        <v>395916.08</v>
      </c>
      <c r="P81" s="43">
        <v>46157.507638888892</v>
      </c>
      <c r="Q81" s="33" t="s">
        <v>295</v>
      </c>
      <c r="R81" s="33" t="s">
        <v>4186</v>
      </c>
      <c r="S81" s="43">
        <v>46162.333333333336</v>
      </c>
      <c r="T81" s="43">
        <v>46158.819444444445</v>
      </c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</row>
    <row r="82" spans="1:33">
      <c r="A82" s="33">
        <v>6015351</v>
      </c>
      <c r="B82" s="33">
        <v>6015351</v>
      </c>
      <c r="C82" s="33" t="s">
        <v>4188</v>
      </c>
      <c r="D82" s="33"/>
      <c r="E82" s="42">
        <v>393056.34</v>
      </c>
      <c r="F82" s="33" t="s">
        <v>3691</v>
      </c>
      <c r="G82" s="43">
        <v>46161.890972222223</v>
      </c>
      <c r="H82" s="33" t="s">
        <v>227</v>
      </c>
      <c r="I82" s="33" t="s">
        <v>79</v>
      </c>
      <c r="J82" s="33"/>
      <c r="K82" s="33" t="s">
        <v>2300</v>
      </c>
      <c r="L82" s="57">
        <v>0.44236111111111109</v>
      </c>
      <c r="M82" s="57">
        <v>0.74513888888888891</v>
      </c>
      <c r="N82" s="33"/>
      <c r="O82" s="42">
        <v>0</v>
      </c>
      <c r="P82" s="33"/>
      <c r="Q82" s="33" t="s">
        <v>295</v>
      </c>
      <c r="R82" s="33" t="s">
        <v>4186</v>
      </c>
      <c r="S82" s="43">
        <v>46162.333333333336</v>
      </c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</row>
    <row r="83" spans="1:33">
      <c r="A83" s="33">
        <v>6021357</v>
      </c>
      <c r="B83" s="33">
        <v>6021357</v>
      </c>
      <c r="C83" s="33" t="s">
        <v>4184</v>
      </c>
      <c r="D83" s="33"/>
      <c r="E83" s="42">
        <v>387836.15999999997</v>
      </c>
      <c r="F83" s="33" t="s">
        <v>3716</v>
      </c>
      <c r="G83" s="43">
        <v>46159.958333333336</v>
      </c>
      <c r="H83" s="33" t="s">
        <v>89</v>
      </c>
      <c r="I83" s="33" t="s">
        <v>79</v>
      </c>
      <c r="J83" s="33"/>
      <c r="K83" s="33" t="s">
        <v>198</v>
      </c>
      <c r="L83" s="44">
        <v>4.333333333333333</v>
      </c>
      <c r="M83" s="44">
        <v>1.7692708333333333</v>
      </c>
      <c r="N83" s="43">
        <v>46158.453472222223</v>
      </c>
      <c r="O83" s="42">
        <v>387836.15999999997</v>
      </c>
      <c r="P83" s="43">
        <v>46157.413194444445</v>
      </c>
      <c r="Q83" s="33" t="s">
        <v>295</v>
      </c>
      <c r="R83" s="33" t="s">
        <v>4190</v>
      </c>
      <c r="S83" s="43">
        <v>46164.291666666664</v>
      </c>
      <c r="T83" s="43">
        <v>46160.022222222222</v>
      </c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</row>
    <row r="84" spans="1:33">
      <c r="A84" s="33">
        <v>6022201</v>
      </c>
      <c r="B84" s="33" t="s">
        <v>572</v>
      </c>
      <c r="C84" s="33" t="s">
        <v>4210</v>
      </c>
      <c r="D84" s="33"/>
      <c r="E84" s="42">
        <v>387282.63</v>
      </c>
      <c r="F84" s="33" t="s">
        <v>3716</v>
      </c>
      <c r="G84" s="43">
        <v>46159.826388888891</v>
      </c>
      <c r="H84" s="33" t="s">
        <v>216</v>
      </c>
      <c r="I84" s="33" t="s">
        <v>79</v>
      </c>
      <c r="J84" s="33"/>
      <c r="K84" s="33" t="s">
        <v>297</v>
      </c>
      <c r="L84" s="57">
        <v>0.4236111111111111</v>
      </c>
      <c r="M84" s="44">
        <v>1.1211689814814816</v>
      </c>
      <c r="N84" s="43">
        <v>46158.452777777777</v>
      </c>
      <c r="O84" s="42">
        <v>819909.63</v>
      </c>
      <c r="P84" s="43">
        <v>46157.814583333333</v>
      </c>
      <c r="Q84" s="33" t="s">
        <v>295</v>
      </c>
      <c r="R84" s="33" t="s">
        <v>4203</v>
      </c>
      <c r="S84" s="43">
        <v>46160.25</v>
      </c>
      <c r="T84" s="43">
        <v>46158.897222222222</v>
      </c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</row>
    <row r="85" spans="1:33">
      <c r="A85" s="33">
        <v>6022251</v>
      </c>
      <c r="B85" s="33">
        <v>6022251</v>
      </c>
      <c r="C85" s="33" t="s">
        <v>4188</v>
      </c>
      <c r="D85" s="33"/>
      <c r="E85" s="42">
        <v>375906</v>
      </c>
      <c r="F85" s="33" t="s">
        <v>3691</v>
      </c>
      <c r="G85" s="43">
        <v>46164.060416666667</v>
      </c>
      <c r="H85" s="33" t="s">
        <v>102</v>
      </c>
      <c r="I85" s="33" t="s">
        <v>79</v>
      </c>
      <c r="J85" s="33"/>
      <c r="K85" s="33" t="s">
        <v>4110</v>
      </c>
      <c r="L85" s="44">
        <v>5.1895833333333332</v>
      </c>
      <c r="M85" s="44">
        <v>1.7692476851851853</v>
      </c>
      <c r="N85" s="33"/>
      <c r="O85" s="42">
        <v>0</v>
      </c>
      <c r="P85" s="33"/>
      <c r="Q85" s="33" t="s">
        <v>295</v>
      </c>
      <c r="R85" s="33" t="s">
        <v>4213</v>
      </c>
      <c r="S85" s="43">
        <v>46169.25</v>
      </c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</row>
    <row r="86" spans="1:33">
      <c r="A86" s="33">
        <v>6020708</v>
      </c>
      <c r="B86" s="33">
        <v>6020708</v>
      </c>
      <c r="C86" s="33" t="s">
        <v>4184</v>
      </c>
      <c r="D86" s="33" t="s">
        <v>4214</v>
      </c>
      <c r="E86" s="42">
        <v>371975.17</v>
      </c>
      <c r="F86" s="33" t="s">
        <v>3716</v>
      </c>
      <c r="G86" s="43">
        <v>46161.137499999997</v>
      </c>
      <c r="H86" s="33" t="s">
        <v>72</v>
      </c>
      <c r="I86" s="33" t="s">
        <v>140</v>
      </c>
      <c r="J86" s="33"/>
      <c r="K86" s="33" t="s">
        <v>708</v>
      </c>
      <c r="L86" s="44">
        <v>1.2791666666666666</v>
      </c>
      <c r="M86" s="44">
        <v>1.7692824074074074</v>
      </c>
      <c r="N86" s="43">
        <v>46158.451388888891</v>
      </c>
      <c r="O86" s="42">
        <v>371975.17</v>
      </c>
      <c r="P86" s="43">
        <v>46157.927777777775</v>
      </c>
      <c r="Q86" s="33" t="s">
        <v>4186</v>
      </c>
      <c r="R86" s="33" t="s">
        <v>4215</v>
      </c>
      <c r="S86" s="43">
        <v>46162.416666666664</v>
      </c>
      <c r="T86" s="43">
        <v>46159.07708333333</v>
      </c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</row>
    <row r="87" spans="1:33">
      <c r="A87" s="33">
        <v>6011009</v>
      </c>
      <c r="B87" s="33">
        <v>6011009</v>
      </c>
      <c r="C87" s="33" t="s">
        <v>4195</v>
      </c>
      <c r="D87" s="33"/>
      <c r="E87" s="42">
        <v>361687.95</v>
      </c>
      <c r="F87" s="33" t="s">
        <v>3723</v>
      </c>
      <c r="G87" s="43">
        <v>46161.826388888891</v>
      </c>
      <c r="H87" s="33" t="s">
        <v>724</v>
      </c>
      <c r="I87" s="33" t="s">
        <v>79</v>
      </c>
      <c r="J87" s="33"/>
      <c r="K87" s="33" t="s">
        <v>412</v>
      </c>
      <c r="L87" s="57">
        <v>0.4236111111111111</v>
      </c>
      <c r="M87" s="44">
        <v>1.7692592592592593</v>
      </c>
      <c r="N87" s="43">
        <v>46157.593055555553</v>
      </c>
      <c r="O87" s="42">
        <v>361687.95</v>
      </c>
      <c r="P87" s="43">
        <v>46157.375</v>
      </c>
      <c r="Q87" s="33" t="s">
        <v>295</v>
      </c>
      <c r="R87" s="33" t="s">
        <v>4216</v>
      </c>
      <c r="S87" s="43">
        <v>46162.25</v>
      </c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</row>
    <row r="88" spans="1:33">
      <c r="A88" s="33">
        <v>6014921</v>
      </c>
      <c r="B88" s="33">
        <v>6014921</v>
      </c>
      <c r="C88" s="33" t="s">
        <v>4188</v>
      </c>
      <c r="D88" s="33"/>
      <c r="E88" s="42">
        <v>357691.2</v>
      </c>
      <c r="F88" s="33" t="s">
        <v>3691</v>
      </c>
      <c r="G88" s="43">
        <v>46160.328472222223</v>
      </c>
      <c r="H88" s="33" t="s">
        <v>102</v>
      </c>
      <c r="I88" s="33" t="s">
        <v>79</v>
      </c>
      <c r="J88" s="33"/>
      <c r="K88" s="33" t="s">
        <v>2874</v>
      </c>
      <c r="L88" s="44">
        <v>2.004861111111111</v>
      </c>
      <c r="M88" s="44">
        <v>1.7692476851851853</v>
      </c>
      <c r="N88" s="33"/>
      <c r="O88" s="42">
        <v>0</v>
      </c>
      <c r="P88" s="33"/>
      <c r="Q88" s="33" t="s">
        <v>295</v>
      </c>
      <c r="R88" s="33" t="s">
        <v>4204</v>
      </c>
      <c r="S88" s="43">
        <v>46162.333333333336</v>
      </c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</row>
    <row r="89" spans="1:33">
      <c r="A89" s="33">
        <v>6023017</v>
      </c>
      <c r="B89" s="33">
        <v>6023017</v>
      </c>
      <c r="C89" s="33" t="s">
        <v>4188</v>
      </c>
      <c r="D89" s="33"/>
      <c r="E89" s="42">
        <v>336891.17</v>
      </c>
      <c r="F89" s="33" t="s">
        <v>3691</v>
      </c>
      <c r="G89" s="43">
        <v>46161.522222222222</v>
      </c>
      <c r="H89" s="33" t="s">
        <v>184</v>
      </c>
      <c r="I89" s="33" t="s">
        <v>79</v>
      </c>
      <c r="J89" s="33"/>
      <c r="K89" s="33" t="s">
        <v>372</v>
      </c>
      <c r="L89" s="57">
        <v>0.43611111111111112</v>
      </c>
      <c r="M89" s="57">
        <v>0.74513888888888891</v>
      </c>
      <c r="N89" s="33"/>
      <c r="O89" s="42">
        <v>0</v>
      </c>
      <c r="P89" s="33"/>
      <c r="Q89" s="33" t="s">
        <v>295</v>
      </c>
      <c r="R89" s="33" t="s">
        <v>4206</v>
      </c>
      <c r="S89" s="43">
        <v>46161.958333333336</v>
      </c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</row>
    <row r="90" spans="1:33">
      <c r="A90" s="33">
        <v>6023021</v>
      </c>
      <c r="B90" s="33">
        <v>6023021</v>
      </c>
      <c r="C90" s="33" t="s">
        <v>4184</v>
      </c>
      <c r="D90" s="33"/>
      <c r="E90" s="42">
        <v>313196.61</v>
      </c>
      <c r="F90" s="33" t="s">
        <v>3716</v>
      </c>
      <c r="G90" s="43">
        <v>46157.541666666664</v>
      </c>
      <c r="H90" s="33" t="s">
        <v>227</v>
      </c>
      <c r="I90" s="33" t="s">
        <v>79</v>
      </c>
      <c r="J90" s="33"/>
      <c r="K90" s="33" t="s">
        <v>297</v>
      </c>
      <c r="L90" s="44">
        <v>4.708333333333333</v>
      </c>
      <c r="M90" s="44">
        <v>1.7177777777777778</v>
      </c>
      <c r="N90" s="43">
        <v>46158.427777777775</v>
      </c>
      <c r="O90" s="42">
        <v>313196.61</v>
      </c>
      <c r="P90" s="43">
        <v>46158.384722222225</v>
      </c>
      <c r="Q90" s="33" t="s">
        <v>295</v>
      </c>
      <c r="R90" s="33" t="s">
        <v>4203</v>
      </c>
      <c r="S90" s="43">
        <v>46162.25</v>
      </c>
      <c r="T90" s="43">
        <v>46159.095833333333</v>
      </c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</row>
    <row r="91" spans="1:33">
      <c r="A91" s="33">
        <v>6022213</v>
      </c>
      <c r="B91" s="33">
        <v>6022213</v>
      </c>
      <c r="C91" s="33" t="s">
        <v>4210</v>
      </c>
      <c r="D91" s="33"/>
      <c r="E91" s="42">
        <v>309399.84999999998</v>
      </c>
      <c r="F91" s="33" t="s">
        <v>3716</v>
      </c>
      <c r="G91" s="43">
        <v>46160.321527777778</v>
      </c>
      <c r="H91" s="33" t="s">
        <v>72</v>
      </c>
      <c r="I91" s="33" t="s">
        <v>79</v>
      </c>
      <c r="J91" s="33"/>
      <c r="K91" s="33" t="s">
        <v>717</v>
      </c>
      <c r="L91" s="44">
        <v>1.9284722222222221</v>
      </c>
      <c r="M91" s="57">
        <v>0.86901620370370369</v>
      </c>
      <c r="N91" s="43">
        <v>46158.448611111111</v>
      </c>
      <c r="O91" s="42">
        <v>309399.84999999998</v>
      </c>
      <c r="P91" s="43">
        <v>46157.940972222219</v>
      </c>
      <c r="Q91" s="33" t="s">
        <v>295</v>
      </c>
      <c r="R91" s="33" t="s">
        <v>1361</v>
      </c>
      <c r="S91" s="43">
        <v>46162.25</v>
      </c>
      <c r="T91" s="43">
        <v>46159.493055555555</v>
      </c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</row>
    <row r="92" spans="1:33">
      <c r="A92" s="33">
        <v>6021908</v>
      </c>
      <c r="B92" s="33">
        <v>6021908</v>
      </c>
      <c r="C92" s="33" t="s">
        <v>4184</v>
      </c>
      <c r="D92" s="33" t="s">
        <v>4185</v>
      </c>
      <c r="E92" s="42">
        <v>306531.7</v>
      </c>
      <c r="F92" s="33" t="s">
        <v>3716</v>
      </c>
      <c r="G92" s="43">
        <v>46160.238194444442</v>
      </c>
      <c r="H92" s="33" t="s">
        <v>216</v>
      </c>
      <c r="I92" s="33" t="s">
        <v>140</v>
      </c>
      <c r="J92" s="33"/>
      <c r="K92" s="33" t="s">
        <v>403</v>
      </c>
      <c r="L92" s="44">
        <v>1.0534722222222221</v>
      </c>
      <c r="M92" s="44">
        <v>1.7692476851851853</v>
      </c>
      <c r="N92" s="43">
        <v>46158.45</v>
      </c>
      <c r="O92" s="42">
        <v>306531.7</v>
      </c>
      <c r="P92" s="43">
        <v>46157.677777777775</v>
      </c>
      <c r="Q92" s="33" t="s">
        <v>4186</v>
      </c>
      <c r="R92" s="33" t="s">
        <v>4205</v>
      </c>
      <c r="S92" s="43">
        <v>46161.291666666664</v>
      </c>
      <c r="T92" s="43">
        <v>46158.631249999999</v>
      </c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</row>
    <row r="93" spans="1:33">
      <c r="A93" s="33">
        <v>6022174</v>
      </c>
      <c r="B93" s="33" t="s">
        <v>365</v>
      </c>
      <c r="C93" s="33" t="s">
        <v>4184</v>
      </c>
      <c r="D93" s="33"/>
      <c r="E93" s="42">
        <v>304010.18</v>
      </c>
      <c r="F93" s="33" t="s">
        <v>3716</v>
      </c>
      <c r="G93" s="43">
        <v>46159.395833333336</v>
      </c>
      <c r="H93" s="33" t="s">
        <v>171</v>
      </c>
      <c r="I93" s="33" t="s">
        <v>79</v>
      </c>
      <c r="J93" s="33"/>
      <c r="K93" s="33" t="s">
        <v>372</v>
      </c>
      <c r="L93" s="57">
        <v>0.5625</v>
      </c>
      <c r="M93" s="44">
        <v>1.1212037037037037</v>
      </c>
      <c r="N93" s="43">
        <v>46158.45208333333</v>
      </c>
      <c r="O93" s="42">
        <v>443476.98</v>
      </c>
      <c r="P93" s="43">
        <v>46157.661111111112</v>
      </c>
      <c r="Q93" s="33" t="s">
        <v>295</v>
      </c>
      <c r="R93" s="33" t="s">
        <v>4206</v>
      </c>
      <c r="S93" s="43">
        <v>46159.958333333336</v>
      </c>
      <c r="T93" s="43">
        <v>46158.692361111112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</row>
    <row r="94" spans="1:33">
      <c r="A94" s="33">
        <v>6013220</v>
      </c>
      <c r="B94" s="33" t="s">
        <v>550</v>
      </c>
      <c r="C94" s="33" t="s">
        <v>4184</v>
      </c>
      <c r="D94" s="33" t="s">
        <v>4185</v>
      </c>
      <c r="E94" s="42">
        <v>302073.21000000002</v>
      </c>
      <c r="F94" s="33" t="s">
        <v>3716</v>
      </c>
      <c r="G94" s="43">
        <v>46159.134722222225</v>
      </c>
      <c r="H94" s="33" t="s">
        <v>553</v>
      </c>
      <c r="I94" s="33" t="s">
        <v>140</v>
      </c>
      <c r="J94" s="33"/>
      <c r="K94" s="33" t="s">
        <v>557</v>
      </c>
      <c r="L94" s="44">
        <v>1.1430555555555555</v>
      </c>
      <c r="M94" s="44">
        <v>1.7692824074074074</v>
      </c>
      <c r="N94" s="43">
        <v>46158.45</v>
      </c>
      <c r="O94" s="42">
        <v>784029.11</v>
      </c>
      <c r="P94" s="43">
        <v>46157.788194444445</v>
      </c>
      <c r="Q94" s="33" t="s">
        <v>4186</v>
      </c>
      <c r="R94" s="33" t="s">
        <v>4208</v>
      </c>
      <c r="S94" s="43">
        <v>46160.277777777781</v>
      </c>
      <c r="T94" s="43">
        <v>46158.953472222223</v>
      </c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</row>
    <row r="95" spans="1:33">
      <c r="A95" s="33">
        <v>6022236</v>
      </c>
      <c r="B95" s="33">
        <v>6022236</v>
      </c>
      <c r="C95" s="33" t="s">
        <v>4188</v>
      </c>
      <c r="D95" s="33"/>
      <c r="E95" s="42">
        <v>295053</v>
      </c>
      <c r="F95" s="33" t="s">
        <v>3691</v>
      </c>
      <c r="G95" s="43">
        <v>46167.916666666664</v>
      </c>
      <c r="H95" s="33" t="s">
        <v>1246</v>
      </c>
      <c r="I95" s="33" t="s">
        <v>140</v>
      </c>
      <c r="J95" s="33"/>
      <c r="K95" s="33" t="s">
        <v>726</v>
      </c>
      <c r="L95" s="44">
        <v>2.375</v>
      </c>
      <c r="M95" s="57">
        <v>0.86906249999999996</v>
      </c>
      <c r="N95" s="33"/>
      <c r="O95" s="42">
        <v>0</v>
      </c>
      <c r="P95" s="33"/>
      <c r="Q95" s="33" t="s">
        <v>4186</v>
      </c>
      <c r="R95" s="33" t="s">
        <v>3273</v>
      </c>
      <c r="S95" s="43">
        <v>46170.291666666664</v>
      </c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</row>
    <row r="96" spans="1:33">
      <c r="A96" s="33">
        <v>6022041</v>
      </c>
      <c r="B96" s="33">
        <v>6022041</v>
      </c>
      <c r="C96" s="33" t="s">
        <v>4184</v>
      </c>
      <c r="D96" s="33" t="s">
        <v>4185</v>
      </c>
      <c r="E96" s="42">
        <v>293383.8</v>
      </c>
      <c r="F96" s="33" t="s">
        <v>3716</v>
      </c>
      <c r="G96" s="43">
        <v>46159.871527777781</v>
      </c>
      <c r="H96" s="33" t="s">
        <v>72</v>
      </c>
      <c r="I96" s="33" t="s">
        <v>140</v>
      </c>
      <c r="J96" s="33"/>
      <c r="K96" s="33" t="s">
        <v>383</v>
      </c>
      <c r="L96" s="57">
        <v>0.37847222222222221</v>
      </c>
      <c r="M96" s="44">
        <v>1.7692476851851853</v>
      </c>
      <c r="N96" s="43">
        <v>46158.445833333331</v>
      </c>
      <c r="O96" s="42">
        <v>293383.8</v>
      </c>
      <c r="P96" s="43">
        <v>46157.704861111109</v>
      </c>
      <c r="Q96" s="33" t="s">
        <v>4186</v>
      </c>
      <c r="R96" s="33" t="s">
        <v>4189</v>
      </c>
      <c r="S96" s="43">
        <v>46160.25</v>
      </c>
      <c r="T96" s="43">
        <v>46158.577777777777</v>
      </c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</row>
    <row r="97" spans="1:33">
      <c r="A97" s="33">
        <v>6010993</v>
      </c>
      <c r="B97" s="33">
        <v>6010993</v>
      </c>
      <c r="C97" s="33" t="s">
        <v>4188</v>
      </c>
      <c r="D97" s="33"/>
      <c r="E97" s="42">
        <v>291303</v>
      </c>
      <c r="F97" s="33" t="s">
        <v>3691</v>
      </c>
      <c r="G97" s="43">
        <v>46160.286805555559</v>
      </c>
      <c r="H97" s="33" t="s">
        <v>72</v>
      </c>
      <c r="I97" s="33" t="s">
        <v>79</v>
      </c>
      <c r="J97" s="33"/>
      <c r="K97" s="33" t="s">
        <v>2190</v>
      </c>
      <c r="L97" s="44">
        <v>2.004861111111111</v>
      </c>
      <c r="M97" s="44">
        <v>1.7692592592592593</v>
      </c>
      <c r="N97" s="33"/>
      <c r="O97" s="42">
        <v>0</v>
      </c>
      <c r="P97" s="33"/>
      <c r="Q97" s="33" t="s">
        <v>295</v>
      </c>
      <c r="R97" s="33" t="s">
        <v>4204</v>
      </c>
      <c r="S97" s="43">
        <v>46162.291666666664</v>
      </c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</row>
    <row r="98" spans="1:33">
      <c r="A98" s="33">
        <v>6022205</v>
      </c>
      <c r="B98" s="33">
        <v>6022205</v>
      </c>
      <c r="C98" s="33" t="s">
        <v>4188</v>
      </c>
      <c r="D98" s="33"/>
      <c r="E98" s="42">
        <v>287986.8</v>
      </c>
      <c r="F98" s="33" t="s">
        <v>3691</v>
      </c>
      <c r="G98" s="43">
        <v>46157.25</v>
      </c>
      <c r="H98" s="33" t="s">
        <v>282</v>
      </c>
      <c r="I98" s="33" t="s">
        <v>79</v>
      </c>
      <c r="J98" s="33"/>
      <c r="K98" s="33" t="s">
        <v>4082</v>
      </c>
      <c r="L98" s="44">
        <v>3.7083333333333335</v>
      </c>
      <c r="M98" s="44">
        <v>1.630787037037037</v>
      </c>
      <c r="N98" s="33"/>
      <c r="O98" s="42">
        <v>0</v>
      </c>
      <c r="P98" s="33"/>
      <c r="Q98" s="33" t="s">
        <v>295</v>
      </c>
      <c r="R98" s="33" t="s">
        <v>4217</v>
      </c>
      <c r="S98" s="43">
        <v>46160.958333333336</v>
      </c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</row>
    <row r="99" spans="1:33">
      <c r="A99" s="33">
        <v>6022209</v>
      </c>
      <c r="B99" s="33">
        <v>6022209</v>
      </c>
      <c r="C99" s="33" t="s">
        <v>4184</v>
      </c>
      <c r="D99" s="33"/>
      <c r="E99" s="42">
        <v>279621</v>
      </c>
      <c r="F99" s="33" t="s">
        <v>3716</v>
      </c>
      <c r="G99" s="43">
        <v>46158.916666666664</v>
      </c>
      <c r="H99" s="33" t="s">
        <v>216</v>
      </c>
      <c r="I99" s="33" t="s">
        <v>79</v>
      </c>
      <c r="J99" s="33"/>
      <c r="K99" s="33" t="s">
        <v>613</v>
      </c>
      <c r="L99" s="44">
        <v>4.333333333333333</v>
      </c>
      <c r="M99" s="44">
        <v>1.1211805555555556</v>
      </c>
      <c r="N99" s="43">
        <v>46158.45208333333</v>
      </c>
      <c r="O99" s="42">
        <v>279621</v>
      </c>
      <c r="P99" s="43">
        <v>46157.873611111114</v>
      </c>
      <c r="Q99" s="33" t="s">
        <v>295</v>
      </c>
      <c r="R99" s="33" t="s">
        <v>4197</v>
      </c>
      <c r="S99" s="43">
        <v>46163.25</v>
      </c>
      <c r="T99" s="43">
        <v>46160.643055555556</v>
      </c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</row>
    <row r="100" spans="1:33">
      <c r="A100" s="33">
        <v>6025141</v>
      </c>
      <c r="B100" s="33">
        <v>6025141</v>
      </c>
      <c r="C100" s="33" t="s">
        <v>4188</v>
      </c>
      <c r="D100" s="33" t="s">
        <v>4218</v>
      </c>
      <c r="E100" s="42">
        <v>277416.5</v>
      </c>
      <c r="F100" s="33" t="s">
        <v>3691</v>
      </c>
      <c r="G100" s="43">
        <v>46160.595833333333</v>
      </c>
      <c r="H100" s="33" t="s">
        <v>102</v>
      </c>
      <c r="I100" s="33" t="s">
        <v>140</v>
      </c>
      <c r="J100" s="33"/>
      <c r="K100" s="33" t="s">
        <v>605</v>
      </c>
      <c r="L100" s="57">
        <v>9.166666666666666E-2</v>
      </c>
      <c r="M100" s="57">
        <v>0.74512731481481487</v>
      </c>
      <c r="N100" s="33"/>
      <c r="O100" s="42">
        <v>0</v>
      </c>
      <c r="P100" s="33"/>
      <c r="Q100" s="33" t="s">
        <v>4186</v>
      </c>
      <c r="R100" s="33" t="s">
        <v>4219</v>
      </c>
      <c r="S100" s="43">
        <v>46160.6875</v>
      </c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</row>
    <row r="101" spans="1:33">
      <c r="A101" s="33">
        <v>6023025</v>
      </c>
      <c r="B101" s="33">
        <v>6023025</v>
      </c>
      <c r="C101" s="33" t="s">
        <v>4188</v>
      </c>
      <c r="D101" s="33"/>
      <c r="E101" s="42">
        <v>266119.94</v>
      </c>
      <c r="F101" s="33" t="s">
        <v>3691</v>
      </c>
      <c r="G101" s="43">
        <v>46161.826388888891</v>
      </c>
      <c r="H101" s="33" t="s">
        <v>114</v>
      </c>
      <c r="I101" s="33" t="s">
        <v>79</v>
      </c>
      <c r="J101" s="33"/>
      <c r="K101" s="33" t="s">
        <v>297</v>
      </c>
      <c r="L101" s="57">
        <v>0.4236111111111111</v>
      </c>
      <c r="M101" s="57">
        <v>0.74512731481481487</v>
      </c>
      <c r="N101" s="33"/>
      <c r="O101" s="42">
        <v>0</v>
      </c>
      <c r="P101" s="33"/>
      <c r="Q101" s="33" t="s">
        <v>295</v>
      </c>
      <c r="R101" s="33" t="s">
        <v>4203</v>
      </c>
      <c r="S101" s="43">
        <v>46162.25</v>
      </c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</row>
    <row r="102" spans="1:33">
      <c r="A102" s="33">
        <v>6022217</v>
      </c>
      <c r="B102" s="33">
        <v>6022217</v>
      </c>
      <c r="C102" s="33" t="s">
        <v>4210</v>
      </c>
      <c r="D102" s="33"/>
      <c r="E102" s="42">
        <v>263612.28000000003</v>
      </c>
      <c r="F102" s="33" t="s">
        <v>3716</v>
      </c>
      <c r="G102" s="43">
        <v>46160.097222222219</v>
      </c>
      <c r="H102" s="33" t="s">
        <v>260</v>
      </c>
      <c r="I102" s="33" t="s">
        <v>79</v>
      </c>
      <c r="J102" s="33"/>
      <c r="K102" s="33" t="s">
        <v>466</v>
      </c>
      <c r="L102" s="57">
        <v>0.15277777777777779</v>
      </c>
      <c r="M102" s="57">
        <v>0.86901620370370369</v>
      </c>
      <c r="N102" s="43">
        <v>46158.45208333333</v>
      </c>
      <c r="O102" s="42">
        <v>263612.28000000003</v>
      </c>
      <c r="P102" s="43">
        <v>46157.717361111114</v>
      </c>
      <c r="Q102" s="33" t="s">
        <v>295</v>
      </c>
      <c r="R102" s="33" t="s">
        <v>4220</v>
      </c>
      <c r="S102" s="43">
        <v>46160.25</v>
      </c>
      <c r="T102" s="43">
        <v>46158.452777777777</v>
      </c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</row>
    <row r="103" spans="1:33">
      <c r="A103" s="33">
        <v>6023005</v>
      </c>
      <c r="B103" s="33">
        <v>6023005</v>
      </c>
      <c r="C103" s="33" t="s">
        <v>4188</v>
      </c>
      <c r="D103" s="33"/>
      <c r="E103" s="42">
        <v>259893.6</v>
      </c>
      <c r="F103" s="33" t="s">
        <v>3691</v>
      </c>
      <c r="G103" s="43">
        <v>46165.520833333336</v>
      </c>
      <c r="H103" s="33" t="s">
        <v>1246</v>
      </c>
      <c r="I103" s="33" t="s">
        <v>140</v>
      </c>
      <c r="J103" s="33"/>
      <c r="K103" s="33" t="s">
        <v>474</v>
      </c>
      <c r="L103" s="44">
        <v>1.7291666666666667</v>
      </c>
      <c r="M103" s="57">
        <v>0.86906249999999996</v>
      </c>
      <c r="N103" s="33"/>
      <c r="O103" s="42">
        <v>0</v>
      </c>
      <c r="P103" s="33"/>
      <c r="Q103" s="33" t="s">
        <v>4186</v>
      </c>
      <c r="R103" s="33" t="s">
        <v>4209</v>
      </c>
      <c r="S103" s="43">
        <v>46167.25</v>
      </c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</row>
    <row r="104" spans="1:33">
      <c r="A104" s="33">
        <v>6011002</v>
      </c>
      <c r="B104" s="33" t="s">
        <v>743</v>
      </c>
      <c r="C104" s="33" t="s">
        <v>4210</v>
      </c>
      <c r="D104" s="33"/>
      <c r="E104" s="42">
        <v>257020.76</v>
      </c>
      <c r="F104" s="33" t="s">
        <v>3716</v>
      </c>
      <c r="G104" s="43">
        <v>46161.52847222222</v>
      </c>
      <c r="H104" s="33" t="s">
        <v>171</v>
      </c>
      <c r="I104" s="33" t="s">
        <v>79</v>
      </c>
      <c r="J104" s="33"/>
      <c r="K104" s="33" t="s">
        <v>750</v>
      </c>
      <c r="L104" s="57">
        <v>0.42986111111111114</v>
      </c>
      <c r="M104" s="44">
        <v>1.7692708333333333</v>
      </c>
      <c r="N104" s="43">
        <v>46158.45208333333</v>
      </c>
      <c r="O104" s="42">
        <v>257020.76</v>
      </c>
      <c r="P104" s="43">
        <v>46158.370138888888</v>
      </c>
      <c r="Q104" s="33" t="s">
        <v>295</v>
      </c>
      <c r="R104" s="33" t="s">
        <v>4211</v>
      </c>
      <c r="S104" s="43">
        <v>46161.958333333336</v>
      </c>
      <c r="T104" s="43">
        <v>46159.01666666667</v>
      </c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</row>
    <row r="105" spans="1:33">
      <c r="A105" s="33">
        <v>6022066</v>
      </c>
      <c r="B105" s="33">
        <v>6022066</v>
      </c>
      <c r="C105" s="33" t="s">
        <v>4188</v>
      </c>
      <c r="D105" s="33" t="s">
        <v>3717</v>
      </c>
      <c r="E105" s="42">
        <v>255800.84</v>
      </c>
      <c r="F105" s="33" t="s">
        <v>3691</v>
      </c>
      <c r="G105" s="43">
        <v>46160.25</v>
      </c>
      <c r="H105" s="33" t="s">
        <v>3050</v>
      </c>
      <c r="I105" s="33" t="s">
        <v>140</v>
      </c>
      <c r="J105" s="33"/>
      <c r="K105" s="33" t="s">
        <v>253</v>
      </c>
      <c r="L105" s="44">
        <v>1.0416666666666667</v>
      </c>
      <c r="M105" s="44">
        <v>1.7692824074074074</v>
      </c>
      <c r="N105" s="33"/>
      <c r="O105" s="42">
        <v>0</v>
      </c>
      <c r="P105" s="33"/>
      <c r="Q105" s="33" t="s">
        <v>4186</v>
      </c>
      <c r="R105" s="33" t="s">
        <v>4187</v>
      </c>
      <c r="S105" s="43">
        <v>46161.291666666664</v>
      </c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</row>
    <row r="106" spans="1:33">
      <c r="A106" s="33">
        <v>6023010</v>
      </c>
      <c r="B106" s="33">
        <v>6023010</v>
      </c>
      <c r="C106" s="33" t="s">
        <v>4188</v>
      </c>
      <c r="D106" s="33"/>
      <c r="E106" s="42">
        <v>251019</v>
      </c>
      <c r="F106" s="33" t="s">
        <v>3691</v>
      </c>
      <c r="G106" s="43">
        <v>46161.154166666667</v>
      </c>
      <c r="H106" s="33" t="s">
        <v>114</v>
      </c>
      <c r="I106" s="33" t="s">
        <v>140</v>
      </c>
      <c r="J106" s="33"/>
      <c r="K106" s="33" t="s">
        <v>297</v>
      </c>
      <c r="L106" s="57">
        <v>9.583333333333334E-2</v>
      </c>
      <c r="M106" s="57">
        <v>0.86905092592592592</v>
      </c>
      <c r="N106" s="33"/>
      <c r="O106" s="42">
        <v>0</v>
      </c>
      <c r="P106" s="33"/>
      <c r="Q106" s="33" t="s">
        <v>4186</v>
      </c>
      <c r="R106" s="33" t="s">
        <v>4203</v>
      </c>
      <c r="S106" s="43">
        <v>46161.25</v>
      </c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</row>
    <row r="107" spans="1:33">
      <c r="A107" s="33">
        <v>6021659</v>
      </c>
      <c r="B107" s="33" t="s">
        <v>4221</v>
      </c>
      <c r="C107" s="33" t="s">
        <v>4188</v>
      </c>
      <c r="D107" s="33"/>
      <c r="E107" s="42">
        <v>244912.57</v>
      </c>
      <c r="F107" s="33" t="s">
        <v>3723</v>
      </c>
      <c r="G107" s="43">
        <v>46161.555555555555</v>
      </c>
      <c r="H107" s="33" t="s">
        <v>227</v>
      </c>
      <c r="I107" s="33" t="s">
        <v>79</v>
      </c>
      <c r="J107" s="33"/>
      <c r="K107" s="33" t="s">
        <v>1493</v>
      </c>
      <c r="L107" s="57">
        <v>0.2361111111111111</v>
      </c>
      <c r="M107" s="44">
        <v>1.7692592592592593</v>
      </c>
      <c r="N107" s="33"/>
      <c r="O107" s="42">
        <v>244912.57</v>
      </c>
      <c r="P107" s="43">
        <v>46158.377083333333</v>
      </c>
      <c r="Q107" s="33" t="s">
        <v>295</v>
      </c>
      <c r="R107" s="33" t="s">
        <v>4222</v>
      </c>
      <c r="S107" s="43">
        <v>46161.791666666664</v>
      </c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</row>
    <row r="108" spans="1:33">
      <c r="A108" s="33">
        <v>6011010</v>
      </c>
      <c r="B108" s="33">
        <v>6011010</v>
      </c>
      <c r="C108" s="33" t="s">
        <v>4210</v>
      </c>
      <c r="D108" s="33"/>
      <c r="E108" s="42">
        <v>239776.68</v>
      </c>
      <c r="F108" s="33" t="s">
        <v>3716</v>
      </c>
      <c r="G108" s="43">
        <v>46160.826388888891</v>
      </c>
      <c r="H108" s="33" t="s">
        <v>408</v>
      </c>
      <c r="I108" s="33" t="s">
        <v>79</v>
      </c>
      <c r="J108" s="33"/>
      <c r="K108" s="33" t="s">
        <v>412</v>
      </c>
      <c r="L108" s="57">
        <v>0.4236111111111111</v>
      </c>
      <c r="M108" s="44">
        <v>1.7692592592592593</v>
      </c>
      <c r="N108" s="43">
        <v>46158.451388888891</v>
      </c>
      <c r="O108" s="42">
        <v>479553.36</v>
      </c>
      <c r="P108" s="43">
        <v>46156.824999999997</v>
      </c>
      <c r="Q108" s="33" t="s">
        <v>295</v>
      </c>
      <c r="R108" s="33" t="s">
        <v>4216</v>
      </c>
      <c r="S108" s="43">
        <v>46161.25</v>
      </c>
      <c r="T108" s="43">
        <v>46158.663888888892</v>
      </c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</row>
    <row r="109" spans="1:33">
      <c r="A109" s="33">
        <v>6022222</v>
      </c>
      <c r="B109" s="33">
        <v>6022222</v>
      </c>
      <c r="C109" s="33" t="s">
        <v>4184</v>
      </c>
      <c r="D109" s="33"/>
      <c r="E109" s="42">
        <v>234409.64</v>
      </c>
      <c r="F109" s="33" t="s">
        <v>3716</v>
      </c>
      <c r="G109" s="43">
        <v>46157.25</v>
      </c>
      <c r="H109" s="33" t="s">
        <v>114</v>
      </c>
      <c r="I109" s="33" t="s">
        <v>79</v>
      </c>
      <c r="J109" s="33"/>
      <c r="K109" s="33" t="s">
        <v>567</v>
      </c>
      <c r="L109" s="44">
        <v>4.708333333333333</v>
      </c>
      <c r="M109" s="44">
        <v>1.6350347222222221</v>
      </c>
      <c r="N109" s="43">
        <v>46158.45</v>
      </c>
      <c r="O109" s="42">
        <v>234409.64</v>
      </c>
      <c r="P109" s="43">
        <v>46157.890972222223</v>
      </c>
      <c r="Q109" s="33" t="s">
        <v>295</v>
      </c>
      <c r="R109" s="33" t="s">
        <v>4207</v>
      </c>
      <c r="S109" s="43">
        <v>46161.958333333336</v>
      </c>
      <c r="T109" s="43">
        <v>46159.146527777775</v>
      </c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</row>
    <row r="110" spans="1:33">
      <c r="A110" s="33">
        <v>6020923</v>
      </c>
      <c r="B110" s="33">
        <v>6020923</v>
      </c>
      <c r="C110" s="33" t="s">
        <v>4184</v>
      </c>
      <c r="D110" s="33"/>
      <c r="E110" s="42">
        <v>229598.6</v>
      </c>
      <c r="F110" s="33" t="s">
        <v>3716</v>
      </c>
      <c r="G110" s="43">
        <v>46159.765972222223</v>
      </c>
      <c r="H110" s="33" t="s">
        <v>72</v>
      </c>
      <c r="I110" s="33" t="s">
        <v>79</v>
      </c>
      <c r="J110" s="33"/>
      <c r="K110" s="33" t="s">
        <v>698</v>
      </c>
      <c r="L110" s="57">
        <v>0.44236111111111109</v>
      </c>
      <c r="M110" s="44">
        <v>3.1299884259259261</v>
      </c>
      <c r="N110" s="43">
        <v>46158.45</v>
      </c>
      <c r="O110" s="42">
        <v>229598.6</v>
      </c>
      <c r="P110" s="43">
        <v>46157.926388888889</v>
      </c>
      <c r="Q110" s="33" t="s">
        <v>295</v>
      </c>
      <c r="R110" s="33" t="s">
        <v>4186</v>
      </c>
      <c r="S110" s="43">
        <v>46160.208333333336</v>
      </c>
      <c r="T110" s="43">
        <v>46158.844444444447</v>
      </c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</row>
    <row r="111" spans="1:33">
      <c r="A111" s="33">
        <v>6023016</v>
      </c>
      <c r="B111" s="33">
        <v>6023016</v>
      </c>
      <c r="C111" s="33" t="s">
        <v>4188</v>
      </c>
      <c r="D111" s="33"/>
      <c r="E111" s="42">
        <v>223957.19</v>
      </c>
      <c r="F111" s="33" t="s">
        <v>3691</v>
      </c>
      <c r="G111" s="43">
        <v>46161.522222222222</v>
      </c>
      <c r="H111" s="33" t="s">
        <v>724</v>
      </c>
      <c r="I111" s="33" t="s">
        <v>79</v>
      </c>
      <c r="J111" s="33"/>
      <c r="K111" s="33" t="s">
        <v>372</v>
      </c>
      <c r="L111" s="57">
        <v>0.43611111111111112</v>
      </c>
      <c r="M111" s="57">
        <v>0.74513888888888891</v>
      </c>
      <c r="N111" s="33"/>
      <c r="O111" s="42">
        <v>0</v>
      </c>
      <c r="P111" s="33"/>
      <c r="Q111" s="33" t="s">
        <v>295</v>
      </c>
      <c r="R111" s="33" t="s">
        <v>4206</v>
      </c>
      <c r="S111" s="43">
        <v>46161.958333333336</v>
      </c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</row>
    <row r="112" spans="1:33">
      <c r="A112" s="33">
        <v>6022184</v>
      </c>
      <c r="B112" s="33">
        <v>6022184</v>
      </c>
      <c r="C112" s="33" t="s">
        <v>4184</v>
      </c>
      <c r="D112" s="33"/>
      <c r="E112" s="42">
        <v>223096.56</v>
      </c>
      <c r="F112" s="33" t="s">
        <v>3716</v>
      </c>
      <c r="G112" s="43">
        <v>46159.826388888891</v>
      </c>
      <c r="H112" s="33" t="s">
        <v>216</v>
      </c>
      <c r="I112" s="33" t="s">
        <v>79</v>
      </c>
      <c r="J112" s="33"/>
      <c r="K112" s="33" t="s">
        <v>297</v>
      </c>
      <c r="L112" s="57">
        <v>0.4236111111111111</v>
      </c>
      <c r="M112" s="44">
        <v>1.1211921296296297</v>
      </c>
      <c r="N112" s="43">
        <v>46158.450694444444</v>
      </c>
      <c r="O112" s="42">
        <v>223096.56</v>
      </c>
      <c r="P112" s="43">
        <v>46158.345138888886</v>
      </c>
      <c r="Q112" s="33" t="s">
        <v>295</v>
      </c>
      <c r="R112" s="33" t="s">
        <v>4203</v>
      </c>
      <c r="S112" s="43">
        <v>46160.25</v>
      </c>
      <c r="T112" s="43">
        <v>46158.54791666667</v>
      </c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</row>
    <row r="113" spans="1:33">
      <c r="A113" s="33">
        <v>6022253</v>
      </c>
      <c r="B113" s="33">
        <v>6022253</v>
      </c>
      <c r="C113" s="33" t="s">
        <v>4188</v>
      </c>
      <c r="D113" s="33"/>
      <c r="E113" s="42">
        <v>220131.09</v>
      </c>
      <c r="F113" s="33" t="s">
        <v>3691</v>
      </c>
      <c r="G113" s="43">
        <v>46166.060416666667</v>
      </c>
      <c r="H113" s="33" t="s">
        <v>102</v>
      </c>
      <c r="I113" s="33" t="s">
        <v>79</v>
      </c>
      <c r="J113" s="33"/>
      <c r="K113" s="33" t="s">
        <v>4110</v>
      </c>
      <c r="L113" s="44">
        <v>5.1895833333333332</v>
      </c>
      <c r="M113" s="44">
        <v>1.7692476851851853</v>
      </c>
      <c r="N113" s="33"/>
      <c r="O113" s="42">
        <v>0</v>
      </c>
      <c r="P113" s="33"/>
      <c r="Q113" s="33" t="s">
        <v>295</v>
      </c>
      <c r="R113" s="33" t="s">
        <v>4213</v>
      </c>
      <c r="S113" s="43">
        <v>46171.25</v>
      </c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</row>
    <row r="114" spans="1:33">
      <c r="A114" s="33">
        <v>6022221</v>
      </c>
      <c r="B114" s="33">
        <v>6022221</v>
      </c>
      <c r="C114" s="33" t="s">
        <v>4210</v>
      </c>
      <c r="D114" s="33"/>
      <c r="E114" s="42">
        <v>219918.16</v>
      </c>
      <c r="F114" s="33" t="s">
        <v>3716</v>
      </c>
      <c r="G114" s="43">
        <v>46157.25</v>
      </c>
      <c r="H114" s="33" t="s">
        <v>114</v>
      </c>
      <c r="I114" s="33" t="s">
        <v>79</v>
      </c>
      <c r="J114" s="33"/>
      <c r="K114" s="33" t="s">
        <v>318</v>
      </c>
      <c r="L114" s="44">
        <v>5.708333333333333</v>
      </c>
      <c r="M114" s="44">
        <v>1.6343171296296297</v>
      </c>
      <c r="N114" s="43">
        <v>46158.45</v>
      </c>
      <c r="O114" s="42">
        <v>439836.32</v>
      </c>
      <c r="P114" s="43">
        <v>46157.479166666664</v>
      </c>
      <c r="Q114" s="33" t="s">
        <v>295</v>
      </c>
      <c r="R114" s="33" t="s">
        <v>4223</v>
      </c>
      <c r="S114" s="43">
        <v>46162.958333333336</v>
      </c>
      <c r="T114" s="43">
        <v>46159.681944444441</v>
      </c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</row>
    <row r="115" spans="1:33">
      <c r="A115" s="33">
        <v>6010999</v>
      </c>
      <c r="B115" s="33">
        <v>6010999</v>
      </c>
      <c r="C115" s="33" t="s">
        <v>4184</v>
      </c>
      <c r="D115" s="33"/>
      <c r="E115" s="42">
        <v>215556.87</v>
      </c>
      <c r="F115" s="33" t="s">
        <v>3716</v>
      </c>
      <c r="G115" s="43">
        <v>46159.138888888891</v>
      </c>
      <c r="H115" s="33" t="s">
        <v>420</v>
      </c>
      <c r="I115" s="33" t="s">
        <v>79</v>
      </c>
      <c r="J115" s="33"/>
      <c r="K115" s="33" t="s">
        <v>503</v>
      </c>
      <c r="L115" s="44">
        <v>1.1111111111111112</v>
      </c>
      <c r="M115" s="44">
        <v>1.7692476851851853</v>
      </c>
      <c r="N115" s="43">
        <v>46158.453472222223</v>
      </c>
      <c r="O115" s="42">
        <v>215556.87</v>
      </c>
      <c r="P115" s="43">
        <v>46157.750694444447</v>
      </c>
      <c r="Q115" s="33" t="s">
        <v>295</v>
      </c>
      <c r="R115" s="33" t="s">
        <v>4189</v>
      </c>
      <c r="S115" s="43">
        <v>46160.25</v>
      </c>
      <c r="T115" s="43">
        <v>46159.085416666669</v>
      </c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</row>
    <row r="116" spans="1:33">
      <c r="A116" s="33">
        <v>6025088</v>
      </c>
      <c r="B116" s="33">
        <v>6025088</v>
      </c>
      <c r="C116" s="33" t="s">
        <v>4184</v>
      </c>
      <c r="D116" s="33"/>
      <c r="E116" s="42">
        <v>212067</v>
      </c>
      <c r="F116" s="33" t="s">
        <v>3716</v>
      </c>
      <c r="G116" s="43">
        <v>46160.429166666669</v>
      </c>
      <c r="H116" s="33" t="s">
        <v>227</v>
      </c>
      <c r="I116" s="33" t="s">
        <v>79</v>
      </c>
      <c r="J116" s="33"/>
      <c r="K116" s="33" t="s">
        <v>308</v>
      </c>
      <c r="L116" s="57">
        <v>0.5708333333333333</v>
      </c>
      <c r="M116" s="57">
        <v>0.80915509259259255</v>
      </c>
      <c r="N116" s="43">
        <v>46158.446527777778</v>
      </c>
      <c r="O116" s="42">
        <v>212067</v>
      </c>
      <c r="P116" s="43">
        <v>46158.412499999999</v>
      </c>
      <c r="Q116" s="33" t="s">
        <v>295</v>
      </c>
      <c r="R116" s="33" t="s">
        <v>4186</v>
      </c>
      <c r="S116" s="43">
        <v>46161</v>
      </c>
      <c r="T116" s="43">
        <v>46159.080555555556</v>
      </c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</row>
    <row r="117" spans="1:33">
      <c r="A117" s="33">
        <v>6025087</v>
      </c>
      <c r="B117" s="33">
        <v>6025087</v>
      </c>
      <c r="C117" s="33" t="s">
        <v>4184</v>
      </c>
      <c r="D117" s="33"/>
      <c r="E117" s="42">
        <v>212067</v>
      </c>
      <c r="F117" s="33" t="s">
        <v>3716</v>
      </c>
      <c r="G117" s="43">
        <v>46160.429166666669</v>
      </c>
      <c r="H117" s="33" t="s">
        <v>227</v>
      </c>
      <c r="I117" s="33" t="s">
        <v>79</v>
      </c>
      <c r="J117" s="33"/>
      <c r="K117" s="33" t="s">
        <v>308</v>
      </c>
      <c r="L117" s="57">
        <v>0.5708333333333333</v>
      </c>
      <c r="M117" s="57">
        <v>0.80915509259259255</v>
      </c>
      <c r="N117" s="33"/>
      <c r="O117" s="42">
        <v>212067</v>
      </c>
      <c r="P117" s="43">
        <v>46158.426388888889</v>
      </c>
      <c r="Q117" s="33" t="s">
        <v>295</v>
      </c>
      <c r="R117" s="33" t="s">
        <v>4186</v>
      </c>
      <c r="S117" s="43">
        <v>46161</v>
      </c>
      <c r="T117" s="43">
        <v>46158.990277777775</v>
      </c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</row>
    <row r="118" spans="1:33">
      <c r="A118" s="33">
        <v>6022235</v>
      </c>
      <c r="B118" s="33" t="s">
        <v>3606</v>
      </c>
      <c r="C118" s="33" t="s">
        <v>4195</v>
      </c>
      <c r="D118" s="33"/>
      <c r="E118" s="42">
        <v>201172.5</v>
      </c>
      <c r="F118" s="33" t="s">
        <v>3723</v>
      </c>
      <c r="G118" s="43">
        <v>46157.375</v>
      </c>
      <c r="H118" s="33" t="s">
        <v>1246</v>
      </c>
      <c r="I118" s="33" t="s">
        <v>140</v>
      </c>
      <c r="J118" s="33"/>
      <c r="K118" s="33" t="s">
        <v>2791</v>
      </c>
      <c r="L118" s="44">
        <v>9.9583333333333339</v>
      </c>
      <c r="M118" s="57">
        <v>0.62326388888888884</v>
      </c>
      <c r="N118" s="43">
        <v>46157.911805555559</v>
      </c>
      <c r="O118" s="42">
        <v>201172.5</v>
      </c>
      <c r="P118" s="43">
        <v>46157.835416666669</v>
      </c>
      <c r="Q118" s="33" t="s">
        <v>4186</v>
      </c>
      <c r="R118" s="33" t="s">
        <v>2790</v>
      </c>
      <c r="S118" s="43">
        <v>46167.333333333336</v>
      </c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</row>
    <row r="119" spans="1:33">
      <c r="A119" s="33">
        <v>6022523</v>
      </c>
      <c r="B119" s="33">
        <v>6022523</v>
      </c>
      <c r="C119" s="33" t="s">
        <v>4188</v>
      </c>
      <c r="D119" s="33"/>
      <c r="E119" s="42">
        <v>200117.51</v>
      </c>
      <c r="F119" s="33" t="s">
        <v>3691</v>
      </c>
      <c r="G119" s="43">
        <v>46161.174305555556</v>
      </c>
      <c r="H119" s="33" t="s">
        <v>3050</v>
      </c>
      <c r="I119" s="33" t="s">
        <v>140</v>
      </c>
      <c r="J119" s="33"/>
      <c r="K119" s="33" t="s">
        <v>253</v>
      </c>
      <c r="L119" s="44">
        <v>1.117361111111111</v>
      </c>
      <c r="M119" s="57">
        <v>0.86903935185185188</v>
      </c>
      <c r="N119" s="33"/>
      <c r="O119" s="42">
        <v>0</v>
      </c>
      <c r="P119" s="33"/>
      <c r="Q119" s="33" t="s">
        <v>4186</v>
      </c>
      <c r="R119" s="33" t="s">
        <v>4187</v>
      </c>
      <c r="S119" s="43">
        <v>46162.291666666664</v>
      </c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</row>
    <row r="120" spans="1:33">
      <c r="A120" s="33">
        <v>6011000</v>
      </c>
      <c r="B120" s="33">
        <v>6011000</v>
      </c>
      <c r="C120" s="33" t="s">
        <v>4195</v>
      </c>
      <c r="D120" s="33"/>
      <c r="E120" s="42">
        <v>197500.5</v>
      </c>
      <c r="F120" s="33" t="s">
        <v>3723</v>
      </c>
      <c r="G120" s="43">
        <v>46162.52847222222</v>
      </c>
      <c r="H120" s="33" t="s">
        <v>227</v>
      </c>
      <c r="I120" s="33" t="s">
        <v>79</v>
      </c>
      <c r="J120" s="33"/>
      <c r="K120" s="33" t="s">
        <v>750</v>
      </c>
      <c r="L120" s="57">
        <v>0.42986111111111114</v>
      </c>
      <c r="M120" s="44">
        <v>1.7692592592592593</v>
      </c>
      <c r="N120" s="43">
        <v>46158.140972222223</v>
      </c>
      <c r="O120" s="42">
        <v>197500.5</v>
      </c>
      <c r="P120" s="43">
        <v>46157.525694444441</v>
      </c>
      <c r="Q120" s="33" t="s">
        <v>295</v>
      </c>
      <c r="R120" s="33" t="s">
        <v>4211</v>
      </c>
      <c r="S120" s="43">
        <v>46162.958333333336</v>
      </c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</row>
    <row r="121" spans="1:33">
      <c r="A121" s="33">
        <v>6011001</v>
      </c>
      <c r="B121" s="33">
        <v>6011001</v>
      </c>
      <c r="C121" s="33" t="s">
        <v>4195</v>
      </c>
      <c r="D121" s="33"/>
      <c r="E121" s="42">
        <v>197500.5</v>
      </c>
      <c r="F121" s="33" t="s">
        <v>3723</v>
      </c>
      <c r="G121" s="43">
        <v>46162.52847222222</v>
      </c>
      <c r="H121" s="33" t="s">
        <v>227</v>
      </c>
      <c r="I121" s="33" t="s">
        <v>79</v>
      </c>
      <c r="J121" s="33"/>
      <c r="K121" s="33" t="s">
        <v>750</v>
      </c>
      <c r="L121" s="57">
        <v>0.42986111111111114</v>
      </c>
      <c r="M121" s="44">
        <v>1.7692592592592593</v>
      </c>
      <c r="N121" s="43">
        <v>46157.783333333333</v>
      </c>
      <c r="O121" s="42">
        <v>197500.5</v>
      </c>
      <c r="P121" s="43">
        <v>46157.511111111111</v>
      </c>
      <c r="Q121" s="33" t="s">
        <v>295</v>
      </c>
      <c r="R121" s="33" t="s">
        <v>4211</v>
      </c>
      <c r="S121" s="43">
        <v>46162.958333333336</v>
      </c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</row>
    <row r="122" spans="1:33">
      <c r="A122" s="33">
        <v>6014812</v>
      </c>
      <c r="B122" s="33">
        <v>6014812</v>
      </c>
      <c r="C122" s="33" t="s">
        <v>4195</v>
      </c>
      <c r="D122" s="33"/>
      <c r="E122" s="42">
        <v>197500.5</v>
      </c>
      <c r="F122" s="33" t="s">
        <v>3723</v>
      </c>
      <c r="G122" s="43">
        <v>46166.52847222222</v>
      </c>
      <c r="H122" s="33" t="s">
        <v>724</v>
      </c>
      <c r="I122" s="33" t="s">
        <v>79</v>
      </c>
      <c r="J122" s="33"/>
      <c r="K122" s="33" t="s">
        <v>750</v>
      </c>
      <c r="L122" s="57">
        <v>0.42986111111111114</v>
      </c>
      <c r="M122" s="44">
        <v>1.7692592592592593</v>
      </c>
      <c r="N122" s="43">
        <v>46157.831250000003</v>
      </c>
      <c r="O122" s="42">
        <v>197500.5</v>
      </c>
      <c r="P122" s="43">
        <v>46157.378472222219</v>
      </c>
      <c r="Q122" s="33" t="s">
        <v>295</v>
      </c>
      <c r="R122" s="33" t="s">
        <v>4211</v>
      </c>
      <c r="S122" s="43">
        <v>46166.958333333336</v>
      </c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</row>
    <row r="123" spans="1:33">
      <c r="A123" s="33">
        <v>6014813</v>
      </c>
      <c r="B123" s="33">
        <v>6014813</v>
      </c>
      <c r="C123" s="33" t="s">
        <v>4195</v>
      </c>
      <c r="D123" s="33"/>
      <c r="E123" s="42">
        <v>197500.5</v>
      </c>
      <c r="F123" s="33" t="s">
        <v>3723</v>
      </c>
      <c r="G123" s="43">
        <v>46167.52847222222</v>
      </c>
      <c r="H123" s="33" t="s">
        <v>724</v>
      </c>
      <c r="I123" s="33" t="s">
        <v>79</v>
      </c>
      <c r="J123" s="33"/>
      <c r="K123" s="33" t="s">
        <v>750</v>
      </c>
      <c r="L123" s="57">
        <v>0.42986111111111114</v>
      </c>
      <c r="M123" s="44">
        <v>1.7692592592592593</v>
      </c>
      <c r="N123" s="43">
        <v>46157.661805555559</v>
      </c>
      <c r="O123" s="42">
        <v>197500.5</v>
      </c>
      <c r="P123" s="43">
        <v>46157.379861111112</v>
      </c>
      <c r="Q123" s="33" t="s">
        <v>295</v>
      </c>
      <c r="R123" s="33" t="s">
        <v>4211</v>
      </c>
      <c r="S123" s="43">
        <v>46167.958333333336</v>
      </c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</row>
    <row r="124" spans="1:33">
      <c r="A124" s="33">
        <v>6023026</v>
      </c>
      <c r="B124" s="33" t="s">
        <v>4221</v>
      </c>
      <c r="C124" s="33" t="s">
        <v>4188</v>
      </c>
      <c r="D124" s="33"/>
      <c r="E124" s="42">
        <v>190967.23</v>
      </c>
      <c r="F124" s="33" t="s">
        <v>3723</v>
      </c>
      <c r="G124" s="43">
        <v>46157.416666666664</v>
      </c>
      <c r="H124" s="33" t="s">
        <v>227</v>
      </c>
      <c r="I124" s="33" t="s">
        <v>79</v>
      </c>
      <c r="J124" s="33"/>
      <c r="K124" s="33" t="s">
        <v>4082</v>
      </c>
      <c r="L124" s="44">
        <v>4.833333333333333</v>
      </c>
      <c r="M124" s="44">
        <v>1.7194560185185186</v>
      </c>
      <c r="N124" s="33"/>
      <c r="O124" s="42">
        <v>190967.23</v>
      </c>
      <c r="P124" s="43">
        <v>46158.377083333333</v>
      </c>
      <c r="Q124" s="33" t="s">
        <v>295</v>
      </c>
      <c r="R124" s="33" t="s">
        <v>4217</v>
      </c>
      <c r="S124" s="43">
        <v>46162.25</v>
      </c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</row>
    <row r="125" spans="1:33">
      <c r="A125" s="33">
        <v>6022176</v>
      </c>
      <c r="B125" s="33">
        <v>6022176</v>
      </c>
      <c r="C125" s="33" t="s">
        <v>4184</v>
      </c>
      <c r="D125" s="33"/>
      <c r="E125" s="42">
        <v>182749.6</v>
      </c>
      <c r="F125" s="33" t="s">
        <v>3716</v>
      </c>
      <c r="G125" s="43">
        <v>46160.34097222222</v>
      </c>
      <c r="H125" s="33" t="s">
        <v>72</v>
      </c>
      <c r="I125" s="33" t="s">
        <v>79</v>
      </c>
      <c r="J125" s="33"/>
      <c r="K125" s="33" t="s">
        <v>484</v>
      </c>
      <c r="L125" s="44">
        <v>1.9090277777777778</v>
      </c>
      <c r="M125" s="57">
        <v>0.86901620370370369</v>
      </c>
      <c r="N125" s="43">
        <v>46158.45208333333</v>
      </c>
      <c r="O125" s="42">
        <v>365499.2</v>
      </c>
      <c r="P125" s="43">
        <v>46157.700694444444</v>
      </c>
      <c r="Q125" s="33" t="s">
        <v>295</v>
      </c>
      <c r="R125" s="33" t="s">
        <v>4224</v>
      </c>
      <c r="S125" s="43">
        <v>46162.25</v>
      </c>
      <c r="T125" s="43">
        <v>46159.205555555556</v>
      </c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</row>
    <row r="126" spans="1:33">
      <c r="A126" s="33">
        <v>6022218</v>
      </c>
      <c r="B126" s="33">
        <v>6022218</v>
      </c>
      <c r="C126" s="33" t="s">
        <v>4188</v>
      </c>
      <c r="D126" s="33"/>
      <c r="E126" s="42">
        <v>180345</v>
      </c>
      <c r="F126" s="33" t="s">
        <v>3691</v>
      </c>
      <c r="G126" s="43">
        <v>46157.25</v>
      </c>
      <c r="H126" s="33" t="s">
        <v>282</v>
      </c>
      <c r="I126" s="33" t="s">
        <v>79</v>
      </c>
      <c r="J126" s="33"/>
      <c r="K126" s="33" t="s">
        <v>466</v>
      </c>
      <c r="L126" s="44">
        <v>3.7083333333333335</v>
      </c>
      <c r="M126" s="44">
        <v>1.6316319444444445</v>
      </c>
      <c r="N126" s="33"/>
      <c r="O126" s="42">
        <v>0</v>
      </c>
      <c r="P126" s="33"/>
      <c r="Q126" s="33" t="s">
        <v>295</v>
      </c>
      <c r="R126" s="33" t="s">
        <v>4220</v>
      </c>
      <c r="S126" s="43">
        <v>46160.958333333336</v>
      </c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</row>
    <row r="127" spans="1:33">
      <c r="A127" s="33">
        <v>6022160</v>
      </c>
      <c r="B127" s="33">
        <v>6022160</v>
      </c>
      <c r="C127" s="33" t="s">
        <v>4184</v>
      </c>
      <c r="D127" s="33"/>
      <c r="E127" s="42">
        <v>177940.4</v>
      </c>
      <c r="F127" s="33" t="s">
        <v>3716</v>
      </c>
      <c r="G127" s="43">
        <v>46159.138888888891</v>
      </c>
      <c r="H127" s="33" t="s">
        <v>420</v>
      </c>
      <c r="I127" s="33" t="s">
        <v>79</v>
      </c>
      <c r="J127" s="33"/>
      <c r="K127" s="33" t="s">
        <v>383</v>
      </c>
      <c r="L127" s="44">
        <v>1.1111111111111112</v>
      </c>
      <c r="M127" s="44">
        <v>1.1211921296296297</v>
      </c>
      <c r="N127" s="43">
        <v>46158.452777777777</v>
      </c>
      <c r="O127" s="42">
        <v>177940.4</v>
      </c>
      <c r="P127" s="43">
        <v>46157.696527777778</v>
      </c>
      <c r="Q127" s="33" t="s">
        <v>295</v>
      </c>
      <c r="R127" s="33" t="s">
        <v>4189</v>
      </c>
      <c r="S127" s="43">
        <v>46160.25</v>
      </c>
      <c r="T127" s="43">
        <v>46159.042361111111</v>
      </c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</row>
    <row r="128" spans="1:33">
      <c r="A128" s="33">
        <v>6022223</v>
      </c>
      <c r="B128" s="33">
        <v>6022223</v>
      </c>
      <c r="C128" s="33" t="s">
        <v>4210</v>
      </c>
      <c r="D128" s="33"/>
      <c r="E128" s="42">
        <v>173131.2</v>
      </c>
      <c r="F128" s="33" t="s">
        <v>3716</v>
      </c>
      <c r="G128" s="43">
        <v>46157.25</v>
      </c>
      <c r="H128" s="33" t="s">
        <v>114</v>
      </c>
      <c r="I128" s="33" t="s">
        <v>79</v>
      </c>
      <c r="J128" s="33"/>
      <c r="K128" s="33" t="s">
        <v>567</v>
      </c>
      <c r="L128" s="44">
        <v>4.708333333333333</v>
      </c>
      <c r="M128" s="44">
        <v>1.6359490740740741</v>
      </c>
      <c r="N128" s="43">
        <v>46158.451388888891</v>
      </c>
      <c r="O128" s="42">
        <v>173131.2</v>
      </c>
      <c r="P128" s="43">
        <v>46157.807638888888</v>
      </c>
      <c r="Q128" s="33" t="s">
        <v>295</v>
      </c>
      <c r="R128" s="33" t="s">
        <v>4207</v>
      </c>
      <c r="S128" s="43">
        <v>46161.958333333336</v>
      </c>
      <c r="T128" s="43">
        <v>46159.298611111109</v>
      </c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</row>
    <row r="129" spans="1:33">
      <c r="A129" s="33">
        <v>6022175</v>
      </c>
      <c r="B129" s="33">
        <v>6022175</v>
      </c>
      <c r="C129" s="33" t="s">
        <v>4184</v>
      </c>
      <c r="D129" s="33"/>
      <c r="E129" s="42">
        <v>173131.2</v>
      </c>
      <c r="F129" s="33" t="s">
        <v>3716</v>
      </c>
      <c r="G129" s="43">
        <v>46159.522222222222</v>
      </c>
      <c r="H129" s="33" t="s">
        <v>216</v>
      </c>
      <c r="I129" s="33" t="s">
        <v>79</v>
      </c>
      <c r="J129" s="33"/>
      <c r="K129" s="33" t="s">
        <v>372</v>
      </c>
      <c r="L129" s="57">
        <v>0.43611111111111112</v>
      </c>
      <c r="M129" s="44">
        <v>1.1211921296296297</v>
      </c>
      <c r="N129" s="43">
        <v>46158.45208333333</v>
      </c>
      <c r="O129" s="42">
        <v>173131.2</v>
      </c>
      <c r="P129" s="43">
        <v>46157.899305555555</v>
      </c>
      <c r="Q129" s="33" t="s">
        <v>295</v>
      </c>
      <c r="R129" s="33" t="s">
        <v>4206</v>
      </c>
      <c r="S129" s="43">
        <v>46159.958333333336</v>
      </c>
      <c r="T129" s="43">
        <v>46158.806944444441</v>
      </c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</row>
    <row r="130" spans="1:33">
      <c r="A130" s="33">
        <v>6022207</v>
      </c>
      <c r="B130" s="33">
        <v>6022207</v>
      </c>
      <c r="C130" s="33" t="s">
        <v>4184</v>
      </c>
      <c r="D130" s="33"/>
      <c r="E130" s="42">
        <v>168977.48</v>
      </c>
      <c r="F130" s="33" t="s">
        <v>3716</v>
      </c>
      <c r="G130" s="43">
        <v>46159.654861111114</v>
      </c>
      <c r="H130" s="33" t="s">
        <v>216</v>
      </c>
      <c r="I130" s="33" t="s">
        <v>79</v>
      </c>
      <c r="J130" s="33"/>
      <c r="K130" s="33" t="s">
        <v>594</v>
      </c>
      <c r="L130" s="44">
        <v>3.5951388888888891</v>
      </c>
      <c r="M130" s="44">
        <v>1.1211805555555556</v>
      </c>
      <c r="N130" s="43">
        <v>46158.453472222223</v>
      </c>
      <c r="O130" s="42">
        <v>168977.48</v>
      </c>
      <c r="P130" s="43">
        <v>46157.87777777778</v>
      </c>
      <c r="Q130" s="33" t="s">
        <v>295</v>
      </c>
      <c r="R130" s="33" t="s">
        <v>4191</v>
      </c>
      <c r="S130" s="43">
        <v>46163.25</v>
      </c>
      <c r="T130" s="43">
        <v>46160.205555555556</v>
      </c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</row>
    <row r="131" spans="1:33">
      <c r="A131" s="33">
        <v>6022183</v>
      </c>
      <c r="B131" s="33">
        <v>6022183</v>
      </c>
      <c r="C131" s="33" t="s">
        <v>4184</v>
      </c>
      <c r="D131" s="33"/>
      <c r="E131" s="42">
        <v>168322</v>
      </c>
      <c r="F131" s="33" t="s">
        <v>3716</v>
      </c>
      <c r="G131" s="43">
        <v>46157.25</v>
      </c>
      <c r="H131" s="33" t="s">
        <v>184</v>
      </c>
      <c r="I131" s="33" t="s">
        <v>79</v>
      </c>
      <c r="J131" s="33"/>
      <c r="K131" s="33" t="s">
        <v>297</v>
      </c>
      <c r="L131" s="44">
        <v>3.7083333333333335</v>
      </c>
      <c r="M131" s="44">
        <v>1.6393055555555556</v>
      </c>
      <c r="N131" s="43">
        <v>46158.452777777777</v>
      </c>
      <c r="O131" s="42">
        <v>168322</v>
      </c>
      <c r="P131" s="43">
        <v>46157.57916666667</v>
      </c>
      <c r="Q131" s="33" t="s">
        <v>295</v>
      </c>
      <c r="R131" s="33" t="s">
        <v>4203</v>
      </c>
      <c r="S131" s="43">
        <v>46160.958333333336</v>
      </c>
      <c r="T131" s="43">
        <v>46158.773611111108</v>
      </c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</row>
    <row r="132" spans="1:33">
      <c r="A132" s="33">
        <v>6011546</v>
      </c>
      <c r="B132" s="33">
        <v>6011546</v>
      </c>
      <c r="C132" s="33" t="s">
        <v>4210</v>
      </c>
      <c r="D132" s="33"/>
      <c r="E132" s="42">
        <v>167759.56</v>
      </c>
      <c r="F132" s="33" t="s">
        <v>3716</v>
      </c>
      <c r="G132" s="43">
        <v>46159.321527777778</v>
      </c>
      <c r="H132" s="33" t="s">
        <v>72</v>
      </c>
      <c r="I132" s="33" t="s">
        <v>79</v>
      </c>
      <c r="J132" s="33"/>
      <c r="K132" s="33" t="s">
        <v>513</v>
      </c>
      <c r="L132" s="44">
        <v>1.9284722222222221</v>
      </c>
      <c r="M132" s="44">
        <v>1.7692592592592593</v>
      </c>
      <c r="N132" s="43">
        <v>46158.45208333333</v>
      </c>
      <c r="O132" s="42">
        <v>167759.56</v>
      </c>
      <c r="P132" s="43">
        <v>46157.753472222219</v>
      </c>
      <c r="Q132" s="33" t="s">
        <v>295</v>
      </c>
      <c r="R132" s="33" t="s">
        <v>1361</v>
      </c>
      <c r="S132" s="43">
        <v>46161.25</v>
      </c>
      <c r="T132" s="43">
        <v>46159.484027777777</v>
      </c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</row>
    <row r="133" spans="1:33">
      <c r="A133" s="33">
        <v>6023033</v>
      </c>
      <c r="B133" s="33">
        <v>6023033</v>
      </c>
      <c r="C133" s="33" t="s">
        <v>4188</v>
      </c>
      <c r="D133" s="33"/>
      <c r="E133" s="42">
        <v>166377.21</v>
      </c>
      <c r="F133" s="33" t="s">
        <v>3691</v>
      </c>
      <c r="G133" s="43">
        <v>46162.097222222219</v>
      </c>
      <c r="H133" s="33" t="s">
        <v>227</v>
      </c>
      <c r="I133" s="33" t="s">
        <v>79</v>
      </c>
      <c r="J133" s="33"/>
      <c r="K133" s="33" t="s">
        <v>466</v>
      </c>
      <c r="L133" s="57">
        <v>0.15277777777777779</v>
      </c>
      <c r="M133" s="57">
        <v>0.74513888888888891</v>
      </c>
      <c r="N133" s="33"/>
      <c r="O133" s="42">
        <v>0</v>
      </c>
      <c r="P133" s="33"/>
      <c r="Q133" s="33" t="s">
        <v>295</v>
      </c>
      <c r="R133" s="33" t="s">
        <v>4220</v>
      </c>
      <c r="S133" s="43">
        <v>46162.25</v>
      </c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</row>
    <row r="134" spans="1:33">
      <c r="A134" s="33">
        <v>6022595</v>
      </c>
      <c r="B134" s="33">
        <v>6022595</v>
      </c>
      <c r="C134" s="33" t="s">
        <v>4184</v>
      </c>
      <c r="D134" s="33"/>
      <c r="E134" s="42">
        <v>164688.75</v>
      </c>
      <c r="F134" s="33" t="s">
        <v>3716</v>
      </c>
      <c r="G134" s="43">
        <v>46162.833333333336</v>
      </c>
      <c r="H134" s="33" t="s">
        <v>440</v>
      </c>
      <c r="I134" s="33" t="s">
        <v>79</v>
      </c>
      <c r="J134" s="33"/>
      <c r="K134" s="33" t="s">
        <v>444</v>
      </c>
      <c r="L134" s="57">
        <v>0.41666666666666669</v>
      </c>
      <c r="M134" s="44">
        <v>1.7692476851851853</v>
      </c>
      <c r="N134" s="43">
        <v>46158.451388888891</v>
      </c>
      <c r="O134" s="42">
        <v>164688.75</v>
      </c>
      <c r="P134" s="43">
        <v>46157.698611111111</v>
      </c>
      <c r="Q134" s="33" t="s">
        <v>295</v>
      </c>
      <c r="R134" s="33" t="s">
        <v>4225</v>
      </c>
      <c r="S134" s="43">
        <v>46163.25</v>
      </c>
      <c r="T134" s="43">
        <v>46158.630555555559</v>
      </c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</row>
    <row r="135" spans="1:33">
      <c r="A135" s="33">
        <v>6023431</v>
      </c>
      <c r="B135" s="33">
        <v>6023431</v>
      </c>
      <c r="C135" s="33" t="s">
        <v>4195</v>
      </c>
      <c r="D135" s="33" t="s">
        <v>4185</v>
      </c>
      <c r="E135" s="42">
        <v>162983</v>
      </c>
      <c r="F135" s="33" t="s">
        <v>3716</v>
      </c>
      <c r="G135" s="43">
        <v>46158.241666666669</v>
      </c>
      <c r="H135" s="33" t="s">
        <v>114</v>
      </c>
      <c r="I135" s="33" t="s">
        <v>140</v>
      </c>
      <c r="J135" s="33"/>
      <c r="K135" s="33" t="s">
        <v>3584</v>
      </c>
      <c r="L135" s="57">
        <v>9.166666666666666E-2</v>
      </c>
      <c r="M135" s="44">
        <v>1.7692476851851853</v>
      </c>
      <c r="N135" s="43">
        <v>46158.45208333333</v>
      </c>
      <c r="O135" s="42">
        <v>325966</v>
      </c>
      <c r="P135" s="43">
        <v>46157.475694444445</v>
      </c>
      <c r="Q135" s="33" t="s">
        <v>4186</v>
      </c>
      <c r="R135" s="33" t="s">
        <v>4226</v>
      </c>
      <c r="S135" s="43">
        <v>46158.333333333336</v>
      </c>
      <c r="T135" s="43">
        <v>46158.439583333333</v>
      </c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</row>
    <row r="136" spans="1:33">
      <c r="A136" s="33">
        <v>6022052</v>
      </c>
      <c r="B136" s="33">
        <v>6022052</v>
      </c>
      <c r="C136" s="33" t="s">
        <v>4184</v>
      </c>
      <c r="D136" s="33"/>
      <c r="E136" s="42">
        <v>161336.29999999999</v>
      </c>
      <c r="F136" s="33" t="s">
        <v>3716</v>
      </c>
      <c r="G136" s="43">
        <v>46159.229166666664</v>
      </c>
      <c r="H136" s="33" t="s">
        <v>114</v>
      </c>
      <c r="I136" s="33" t="s">
        <v>140</v>
      </c>
      <c r="J136" s="33"/>
      <c r="K136" s="33" t="s">
        <v>494</v>
      </c>
      <c r="L136" s="44">
        <v>1.0208333333333333</v>
      </c>
      <c r="M136" s="44">
        <v>1.0400231481481481</v>
      </c>
      <c r="N136" s="43">
        <v>46158.452777777777</v>
      </c>
      <c r="O136" s="42">
        <v>161336.29999999999</v>
      </c>
      <c r="P136" s="43">
        <v>46157.740972222222</v>
      </c>
      <c r="Q136" s="33" t="s">
        <v>4186</v>
      </c>
      <c r="R136" s="33" t="s">
        <v>4207</v>
      </c>
      <c r="S136" s="43">
        <v>46160.25</v>
      </c>
      <c r="T136" s="43">
        <v>46158.714583333334</v>
      </c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</row>
    <row r="137" spans="1:33">
      <c r="A137" s="33">
        <v>6022159</v>
      </c>
      <c r="B137" s="33">
        <v>6022159</v>
      </c>
      <c r="C137" s="33" t="s">
        <v>4188</v>
      </c>
      <c r="D137" s="33"/>
      <c r="E137" s="42">
        <v>160889.56</v>
      </c>
      <c r="F137" s="33" t="s">
        <v>3716</v>
      </c>
      <c r="G137" s="43">
        <v>46159.138888888891</v>
      </c>
      <c r="H137" s="33" t="s">
        <v>216</v>
      </c>
      <c r="I137" s="33" t="s">
        <v>79</v>
      </c>
      <c r="J137" s="33"/>
      <c r="K137" s="33" t="s">
        <v>383</v>
      </c>
      <c r="L137" s="44">
        <v>1.1111111111111112</v>
      </c>
      <c r="M137" s="44">
        <v>1.1211921296296297</v>
      </c>
      <c r="N137" s="43">
        <v>46158.451388888891</v>
      </c>
      <c r="O137" s="42">
        <v>160889.56</v>
      </c>
      <c r="P137" s="43">
        <v>46157.884722222225</v>
      </c>
      <c r="Q137" s="33" t="s">
        <v>295</v>
      </c>
      <c r="R137" s="33" t="s">
        <v>4189</v>
      </c>
      <c r="S137" s="43">
        <v>46160.25</v>
      </c>
      <c r="T137" s="43">
        <v>46158.444444444445</v>
      </c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</row>
    <row r="138" spans="1:33">
      <c r="A138" s="33">
        <v>6022208</v>
      </c>
      <c r="B138" s="33">
        <v>6022208</v>
      </c>
      <c r="C138" s="33" t="s">
        <v>4184</v>
      </c>
      <c r="D138" s="33"/>
      <c r="E138" s="42">
        <v>158703.6</v>
      </c>
      <c r="F138" s="33" t="s">
        <v>3716</v>
      </c>
      <c r="G138" s="43">
        <v>46159.654861111114</v>
      </c>
      <c r="H138" s="33" t="s">
        <v>89</v>
      </c>
      <c r="I138" s="33" t="s">
        <v>79</v>
      </c>
      <c r="J138" s="33"/>
      <c r="K138" s="33" t="s">
        <v>594</v>
      </c>
      <c r="L138" s="44">
        <v>3.5951388888888891</v>
      </c>
      <c r="M138" s="44">
        <v>1.1211921296296297</v>
      </c>
      <c r="N138" s="43">
        <v>46158.451388888891</v>
      </c>
      <c r="O138" s="42">
        <v>158703.5</v>
      </c>
      <c r="P138" s="43">
        <v>46157.850694444445</v>
      </c>
      <c r="Q138" s="33" t="s">
        <v>295</v>
      </c>
      <c r="R138" s="33" t="s">
        <v>4191</v>
      </c>
      <c r="S138" s="43">
        <v>46163.25</v>
      </c>
      <c r="T138" s="43">
        <v>46160.171527777777</v>
      </c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</row>
    <row r="139" spans="1:33">
      <c r="A139" s="33">
        <v>6012709</v>
      </c>
      <c r="B139" s="33">
        <v>6012709</v>
      </c>
      <c r="C139" s="33" t="s">
        <v>4195</v>
      </c>
      <c r="D139" s="33"/>
      <c r="E139" s="42">
        <v>142990.20000000001</v>
      </c>
      <c r="F139" s="33" t="s">
        <v>3723</v>
      </c>
      <c r="G139" s="43">
        <v>46168.85833333333</v>
      </c>
      <c r="H139" s="33" t="s">
        <v>724</v>
      </c>
      <c r="I139" s="33" t="s">
        <v>79</v>
      </c>
      <c r="J139" s="33"/>
      <c r="K139" s="33" t="s">
        <v>3602</v>
      </c>
      <c r="L139" s="57">
        <v>0.39166666666666666</v>
      </c>
      <c r="M139" s="44">
        <v>1.7692592592592593</v>
      </c>
      <c r="N139" s="43">
        <v>46158.410416666666</v>
      </c>
      <c r="O139" s="42">
        <v>142990.20000000001</v>
      </c>
      <c r="P139" s="43">
        <v>46157.834027777775</v>
      </c>
      <c r="Q139" s="33" t="s">
        <v>295</v>
      </c>
      <c r="R139" s="33" t="s">
        <v>4227</v>
      </c>
      <c r="S139" s="43">
        <v>46169.25</v>
      </c>
      <c r="T139" s="43">
        <v>46157.90347222222</v>
      </c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</row>
    <row r="140" spans="1:33">
      <c r="A140" s="33">
        <v>6022173</v>
      </c>
      <c r="B140" s="33" t="s">
        <v>365</v>
      </c>
      <c r="C140" s="33" t="s">
        <v>4184</v>
      </c>
      <c r="D140" s="33"/>
      <c r="E140" s="42">
        <v>139466.79999999999</v>
      </c>
      <c r="F140" s="33" t="s">
        <v>3716</v>
      </c>
      <c r="G140" s="43">
        <v>46159.395833333336</v>
      </c>
      <c r="H140" s="33" t="s">
        <v>171</v>
      </c>
      <c r="I140" s="33" t="s">
        <v>79</v>
      </c>
      <c r="J140" s="33"/>
      <c r="K140" s="33" t="s">
        <v>372</v>
      </c>
      <c r="L140" s="57">
        <v>0.5625</v>
      </c>
      <c r="M140" s="44">
        <v>1.1211921296296297</v>
      </c>
      <c r="N140" s="43">
        <v>46158.45208333333</v>
      </c>
      <c r="O140" s="42">
        <v>443476.98</v>
      </c>
      <c r="P140" s="43">
        <v>46157.661111111112</v>
      </c>
      <c r="Q140" s="33" t="s">
        <v>295</v>
      </c>
      <c r="R140" s="33" t="s">
        <v>4206</v>
      </c>
      <c r="S140" s="43">
        <v>46159.958333333336</v>
      </c>
      <c r="T140" s="43">
        <v>46158.692361111112</v>
      </c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</row>
    <row r="141" spans="1:33">
      <c r="A141" s="33">
        <v>6013979</v>
      </c>
      <c r="B141" s="33">
        <v>6013979</v>
      </c>
      <c r="C141" s="33" t="s">
        <v>4188</v>
      </c>
      <c r="D141" s="33"/>
      <c r="E141" s="42">
        <v>134628.48000000001</v>
      </c>
      <c r="F141" s="33" t="s">
        <v>3691</v>
      </c>
      <c r="G141" s="43">
        <v>46161.104166666664</v>
      </c>
      <c r="H141" s="33" t="s">
        <v>440</v>
      </c>
      <c r="I141" s="33" t="s">
        <v>79</v>
      </c>
      <c r="J141" s="33"/>
      <c r="K141" s="33" t="s">
        <v>984</v>
      </c>
      <c r="L141" s="57">
        <v>0.14583333333333334</v>
      </c>
      <c r="M141" s="57">
        <v>0.74512731481481487</v>
      </c>
      <c r="N141" s="33"/>
      <c r="O141" s="42">
        <v>0</v>
      </c>
      <c r="P141" s="33"/>
      <c r="Q141" s="33" t="s">
        <v>295</v>
      </c>
      <c r="R141" s="33" t="s">
        <v>880</v>
      </c>
      <c r="S141" s="43">
        <v>46161.25</v>
      </c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</row>
    <row r="142" spans="1:33">
      <c r="A142" s="33">
        <v>6022227</v>
      </c>
      <c r="B142" s="33" t="s">
        <v>4228</v>
      </c>
      <c r="C142" s="33" t="s">
        <v>4188</v>
      </c>
      <c r="D142" s="33"/>
      <c r="E142" s="42">
        <v>125330.1</v>
      </c>
      <c r="F142" s="33" t="s">
        <v>3691</v>
      </c>
      <c r="G142" s="43">
        <v>46163.138888888891</v>
      </c>
      <c r="H142" s="33" t="s">
        <v>216</v>
      </c>
      <c r="I142" s="33" t="s">
        <v>79</v>
      </c>
      <c r="J142" s="33"/>
      <c r="K142" s="33" t="s">
        <v>503</v>
      </c>
      <c r="L142" s="44">
        <v>1.1111111111111112</v>
      </c>
      <c r="M142" s="57">
        <v>0.86900462962962965</v>
      </c>
      <c r="N142" s="33"/>
      <c r="O142" s="42">
        <v>0</v>
      </c>
      <c r="P142" s="33"/>
      <c r="Q142" s="33" t="s">
        <v>295</v>
      </c>
      <c r="R142" s="33" t="s">
        <v>4189</v>
      </c>
      <c r="S142" s="43">
        <v>46164.25</v>
      </c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</row>
    <row r="143" spans="1:33">
      <c r="A143" s="33">
        <v>6022210</v>
      </c>
      <c r="B143" s="33" t="s">
        <v>4229</v>
      </c>
      <c r="C143" s="33" t="s">
        <v>4188</v>
      </c>
      <c r="D143" s="33"/>
      <c r="E143" s="42">
        <v>124391.13</v>
      </c>
      <c r="F143" s="33" t="s">
        <v>3716</v>
      </c>
      <c r="G143" s="43">
        <v>46161.541666666664</v>
      </c>
      <c r="H143" s="33" t="s">
        <v>836</v>
      </c>
      <c r="I143" s="33" t="s">
        <v>79</v>
      </c>
      <c r="J143" s="33"/>
      <c r="K143" s="33" t="s">
        <v>613</v>
      </c>
      <c r="L143" s="44">
        <v>5.708333333333333</v>
      </c>
      <c r="M143" s="44">
        <v>1.1211921296296297</v>
      </c>
      <c r="N143" s="43">
        <v>46158.17083333333</v>
      </c>
      <c r="O143" s="42">
        <v>124391.13</v>
      </c>
      <c r="P143" s="43">
        <v>46157.813888888886</v>
      </c>
      <c r="Q143" s="33" t="s">
        <v>295</v>
      </c>
      <c r="R143" s="33" t="s">
        <v>4197</v>
      </c>
      <c r="S143" s="43">
        <v>46167.25</v>
      </c>
      <c r="T143" s="43">
        <v>46158.21597222222</v>
      </c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</row>
    <row r="144" spans="1:33">
      <c r="A144" s="33">
        <v>6012700</v>
      </c>
      <c r="B144" s="33">
        <v>6012700</v>
      </c>
      <c r="C144" s="33" t="s">
        <v>4188</v>
      </c>
      <c r="D144" s="33"/>
      <c r="E144" s="42">
        <v>120822.3</v>
      </c>
      <c r="F144" s="33" t="s">
        <v>3691</v>
      </c>
      <c r="G144" s="43">
        <v>46161.097222222219</v>
      </c>
      <c r="H144" s="33" t="s">
        <v>440</v>
      </c>
      <c r="I144" s="33" t="s">
        <v>79</v>
      </c>
      <c r="J144" s="33"/>
      <c r="K144" s="33" t="s">
        <v>3794</v>
      </c>
      <c r="L144" s="57">
        <v>0.15277777777777779</v>
      </c>
      <c r="M144" s="57">
        <v>0.74512731481481487</v>
      </c>
      <c r="N144" s="33"/>
      <c r="O144" s="42">
        <v>0</v>
      </c>
      <c r="P144" s="33"/>
      <c r="Q144" s="33" t="s">
        <v>295</v>
      </c>
      <c r="R144" s="33" t="s">
        <v>4230</v>
      </c>
      <c r="S144" s="43">
        <v>46161.25</v>
      </c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</row>
    <row r="145" spans="1:33">
      <c r="A145" s="33">
        <v>6022053</v>
      </c>
      <c r="B145" s="33">
        <v>6022053</v>
      </c>
      <c r="C145" s="33" t="s">
        <v>4188</v>
      </c>
      <c r="D145" s="33"/>
      <c r="E145" s="42">
        <v>115977.4</v>
      </c>
      <c r="F145" s="33" t="s">
        <v>3691</v>
      </c>
      <c r="G145" s="43">
        <v>46160.154166666667</v>
      </c>
      <c r="H145" s="33" t="s">
        <v>171</v>
      </c>
      <c r="I145" s="33" t="s">
        <v>140</v>
      </c>
      <c r="J145" s="33"/>
      <c r="K145" s="33" t="s">
        <v>297</v>
      </c>
      <c r="L145" s="57">
        <v>9.583333333333334E-2</v>
      </c>
      <c r="M145" s="44">
        <v>1.0400231481481481</v>
      </c>
      <c r="N145" s="33"/>
      <c r="O145" s="42">
        <v>0</v>
      </c>
      <c r="P145" s="33"/>
      <c r="Q145" s="33" t="s">
        <v>4186</v>
      </c>
      <c r="R145" s="33" t="s">
        <v>4203</v>
      </c>
      <c r="S145" s="43">
        <v>46160.25</v>
      </c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</row>
    <row r="146" spans="1:33">
      <c r="A146" s="33">
        <v>6023036</v>
      </c>
      <c r="B146" s="33" t="s">
        <v>4229</v>
      </c>
      <c r="C146" s="33" t="s">
        <v>4188</v>
      </c>
      <c r="D146" s="33"/>
      <c r="E146" s="42">
        <v>112357.74</v>
      </c>
      <c r="F146" s="33" t="s">
        <v>3716</v>
      </c>
      <c r="G146" s="43">
        <v>46157.75</v>
      </c>
      <c r="H146" s="33" t="s">
        <v>836</v>
      </c>
      <c r="I146" s="33" t="s">
        <v>79</v>
      </c>
      <c r="J146" s="33"/>
      <c r="K146" s="33" t="s">
        <v>318</v>
      </c>
      <c r="L146" s="44">
        <v>11.5</v>
      </c>
      <c r="M146" s="44">
        <v>1.7213425925925927</v>
      </c>
      <c r="N146" s="43">
        <v>46158.17083333333</v>
      </c>
      <c r="O146" s="42">
        <v>112357.74</v>
      </c>
      <c r="P146" s="43">
        <v>46157.813888888886</v>
      </c>
      <c r="Q146" s="33" t="s">
        <v>295</v>
      </c>
      <c r="R146" s="33" t="s">
        <v>4223</v>
      </c>
      <c r="S146" s="43">
        <v>46169.25</v>
      </c>
      <c r="T146" s="43">
        <v>46158.21597222222</v>
      </c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</row>
    <row r="147" spans="1:33">
      <c r="A147" s="33">
        <v>6021584</v>
      </c>
      <c r="B147" s="33">
        <v>6021584</v>
      </c>
      <c r="C147" s="33" t="s">
        <v>3711</v>
      </c>
      <c r="D147" s="33" t="s">
        <v>4185</v>
      </c>
      <c r="E147" s="42">
        <v>112057.04</v>
      </c>
      <c r="F147" s="33" t="s">
        <v>3699</v>
      </c>
      <c r="G147" s="43">
        <v>46157.491666666669</v>
      </c>
      <c r="H147" s="33" t="s">
        <v>114</v>
      </c>
      <c r="I147" s="33" t="s">
        <v>140</v>
      </c>
      <c r="J147" s="43">
        <v>46157.620138888888</v>
      </c>
      <c r="K147" s="33" t="s">
        <v>3565</v>
      </c>
      <c r="L147" s="57">
        <v>9.166666666666666E-2</v>
      </c>
      <c r="M147" s="57">
        <v>0.93563657407407408</v>
      </c>
      <c r="N147" s="43">
        <v>46157.620138888888</v>
      </c>
      <c r="O147" s="42">
        <v>112057.04</v>
      </c>
      <c r="P147" s="43">
        <v>46157.460416666669</v>
      </c>
      <c r="Q147" s="33" t="s">
        <v>4186</v>
      </c>
      <c r="R147" s="33" t="s">
        <v>4226</v>
      </c>
      <c r="S147" s="43">
        <v>46157.583333333336</v>
      </c>
      <c r="T147" s="43">
        <v>46157.529861111114</v>
      </c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</row>
    <row r="148" spans="1:33">
      <c r="A148" s="33">
        <v>6023014</v>
      </c>
      <c r="B148" s="33" t="s">
        <v>4228</v>
      </c>
      <c r="C148" s="33" t="s">
        <v>4188</v>
      </c>
      <c r="D148" s="33"/>
      <c r="E148" s="42">
        <v>106005.94</v>
      </c>
      <c r="F148" s="33" t="s">
        <v>3691</v>
      </c>
      <c r="G148" s="43">
        <v>46163.138888888891</v>
      </c>
      <c r="H148" s="33" t="s">
        <v>216</v>
      </c>
      <c r="I148" s="33" t="s">
        <v>79</v>
      </c>
      <c r="J148" s="33"/>
      <c r="K148" s="33" t="s">
        <v>383</v>
      </c>
      <c r="L148" s="44">
        <v>1.1111111111111112</v>
      </c>
      <c r="M148" s="57">
        <v>0.86900462962962965</v>
      </c>
      <c r="N148" s="33"/>
      <c r="O148" s="42">
        <v>0</v>
      </c>
      <c r="P148" s="33"/>
      <c r="Q148" s="33" t="s">
        <v>295</v>
      </c>
      <c r="R148" s="33" t="s">
        <v>4189</v>
      </c>
      <c r="S148" s="43">
        <v>46164.25</v>
      </c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</row>
    <row r="149" spans="1:33">
      <c r="A149" s="33">
        <v>6022177</v>
      </c>
      <c r="B149" s="33" t="s">
        <v>4229</v>
      </c>
      <c r="C149" s="33" t="s">
        <v>4188</v>
      </c>
      <c r="D149" s="33"/>
      <c r="E149" s="42">
        <v>105126.69</v>
      </c>
      <c r="F149" s="33" t="s">
        <v>3716</v>
      </c>
      <c r="G149" s="43">
        <v>46165.34097222222</v>
      </c>
      <c r="H149" s="33" t="s">
        <v>836</v>
      </c>
      <c r="I149" s="33" t="s">
        <v>79</v>
      </c>
      <c r="J149" s="33"/>
      <c r="K149" s="33" t="s">
        <v>484</v>
      </c>
      <c r="L149" s="44">
        <v>1.9090277777777778</v>
      </c>
      <c r="M149" s="44">
        <v>1.1211921296296297</v>
      </c>
      <c r="N149" s="43">
        <v>46158.17083333333</v>
      </c>
      <c r="O149" s="42">
        <v>105126.69</v>
      </c>
      <c r="P149" s="43">
        <v>46157.813888888886</v>
      </c>
      <c r="Q149" s="33" t="s">
        <v>295</v>
      </c>
      <c r="R149" s="33" t="s">
        <v>4224</v>
      </c>
      <c r="S149" s="43">
        <v>46167.25</v>
      </c>
      <c r="T149" s="43">
        <v>46158.21597222222</v>
      </c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</row>
    <row r="150" spans="1:33">
      <c r="A150" s="33">
        <v>6023348</v>
      </c>
      <c r="B150" s="33">
        <v>6023348</v>
      </c>
      <c r="C150" s="33" t="s">
        <v>4188</v>
      </c>
      <c r="D150" s="33"/>
      <c r="E150" s="42">
        <v>102875.4</v>
      </c>
      <c r="F150" s="33" t="s">
        <v>3691</v>
      </c>
      <c r="G150" s="43">
        <v>46161.316666666666</v>
      </c>
      <c r="H150" s="33" t="s">
        <v>114</v>
      </c>
      <c r="I150" s="33" t="s">
        <v>140</v>
      </c>
      <c r="J150" s="33"/>
      <c r="K150" s="33" t="s">
        <v>3979</v>
      </c>
      <c r="L150" s="57">
        <v>0.1</v>
      </c>
      <c r="M150" s="57">
        <v>0.86905092592592592</v>
      </c>
      <c r="N150" s="33"/>
      <c r="O150" s="42">
        <v>0</v>
      </c>
      <c r="P150" s="33"/>
      <c r="Q150" s="33" t="s">
        <v>4186</v>
      </c>
      <c r="R150" s="33" t="s">
        <v>4226</v>
      </c>
      <c r="S150" s="43">
        <v>46161.416666666664</v>
      </c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</row>
    <row r="151" spans="1:33">
      <c r="A151" s="33">
        <v>6023504</v>
      </c>
      <c r="B151" s="33">
        <v>6023504</v>
      </c>
      <c r="C151" s="33" t="s">
        <v>4188</v>
      </c>
      <c r="D151" s="33" t="s">
        <v>4185</v>
      </c>
      <c r="E151" s="42">
        <v>98764.06</v>
      </c>
      <c r="F151" s="33" t="s">
        <v>3866</v>
      </c>
      <c r="G151" s="43">
        <v>46157.48333333333</v>
      </c>
      <c r="H151" s="33" t="s">
        <v>114</v>
      </c>
      <c r="I151" s="33" t="s">
        <v>140</v>
      </c>
      <c r="J151" s="43">
        <v>46157.458333333336</v>
      </c>
      <c r="K151" s="33" t="s">
        <v>4132</v>
      </c>
      <c r="L151" s="57">
        <v>0.1</v>
      </c>
      <c r="M151" s="57">
        <v>0.76726851851851852</v>
      </c>
      <c r="N151" s="33"/>
      <c r="O151" s="42">
        <v>0</v>
      </c>
      <c r="P151" s="33"/>
      <c r="Q151" s="33" t="s">
        <v>4186</v>
      </c>
      <c r="R151" s="33" t="s">
        <v>4226</v>
      </c>
      <c r="S151" s="43">
        <v>46157.583333333336</v>
      </c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</row>
    <row r="152" spans="1:33">
      <c r="A152" s="33">
        <v>6024848</v>
      </c>
      <c r="B152" s="33">
        <v>6024848</v>
      </c>
      <c r="C152" s="33" t="s">
        <v>4188</v>
      </c>
      <c r="D152" s="33"/>
      <c r="E152" s="42">
        <v>89286</v>
      </c>
      <c r="F152" s="33" t="s">
        <v>3691</v>
      </c>
      <c r="G152" s="43">
        <v>46158.23333333333</v>
      </c>
      <c r="H152" s="33" t="s">
        <v>114</v>
      </c>
      <c r="I152" s="33" t="s">
        <v>140</v>
      </c>
      <c r="J152" s="33"/>
      <c r="K152" s="33" t="s">
        <v>3584</v>
      </c>
      <c r="L152" s="57">
        <v>0.1</v>
      </c>
      <c r="M152" s="57">
        <v>0.96788194444444442</v>
      </c>
      <c r="N152" s="33"/>
      <c r="O152" s="42">
        <v>0</v>
      </c>
      <c r="P152" s="33"/>
      <c r="Q152" s="33" t="s">
        <v>4186</v>
      </c>
      <c r="R152" s="33" t="s">
        <v>4226</v>
      </c>
      <c r="S152" s="43">
        <v>46158.333333333336</v>
      </c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</row>
    <row r="153" spans="1:33">
      <c r="A153" s="33">
        <v>6023432</v>
      </c>
      <c r="B153" s="33">
        <v>6023432</v>
      </c>
      <c r="C153" s="33" t="s">
        <v>4188</v>
      </c>
      <c r="D153" s="33"/>
      <c r="E153" s="42">
        <v>87236.28</v>
      </c>
      <c r="F153" s="33" t="s">
        <v>3691</v>
      </c>
      <c r="G153" s="43">
        <v>46161.854166666664</v>
      </c>
      <c r="H153" s="33" t="s">
        <v>1912</v>
      </c>
      <c r="I153" s="33" t="s">
        <v>1918</v>
      </c>
      <c r="J153" s="33"/>
      <c r="K153" s="33" t="s">
        <v>594</v>
      </c>
      <c r="L153" s="44">
        <v>1.3958333333333333</v>
      </c>
      <c r="M153" s="57">
        <v>0.86902777777777773</v>
      </c>
      <c r="N153" s="33"/>
      <c r="O153" s="42">
        <v>0</v>
      </c>
      <c r="P153" s="33"/>
      <c r="Q153" s="33" t="s">
        <v>4190</v>
      </c>
      <c r="R153" s="33" t="s">
        <v>4191</v>
      </c>
      <c r="S153" s="43">
        <v>46163.25</v>
      </c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</row>
    <row r="154" spans="1:33">
      <c r="A154" s="33">
        <v>6013514</v>
      </c>
      <c r="B154" s="33">
        <v>6013514</v>
      </c>
      <c r="C154" s="33" t="s">
        <v>4188</v>
      </c>
      <c r="D154" s="33" t="s">
        <v>3717</v>
      </c>
      <c r="E154" s="42">
        <v>86939.57</v>
      </c>
      <c r="F154" s="33" t="s">
        <v>3691</v>
      </c>
      <c r="G154" s="43">
        <v>46167.354166666664</v>
      </c>
      <c r="H154" s="33" t="s">
        <v>836</v>
      </c>
      <c r="I154" s="33" t="s">
        <v>140</v>
      </c>
      <c r="J154" s="33"/>
      <c r="K154" s="33" t="s">
        <v>840</v>
      </c>
      <c r="L154" s="57">
        <v>6.25E-2</v>
      </c>
      <c r="M154" s="44">
        <v>1.7692939814814814</v>
      </c>
      <c r="N154" s="33"/>
      <c r="O154" s="42">
        <v>0</v>
      </c>
      <c r="P154" s="33"/>
      <c r="Q154" s="33" t="s">
        <v>4186</v>
      </c>
      <c r="R154" s="33" t="s">
        <v>4186</v>
      </c>
      <c r="S154" s="43">
        <v>46167.416666666664</v>
      </c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</row>
    <row r="155" spans="1:33">
      <c r="A155" s="33">
        <v>6022171</v>
      </c>
      <c r="B155" s="33" t="s">
        <v>4228</v>
      </c>
      <c r="C155" s="33" t="s">
        <v>4188</v>
      </c>
      <c r="D155" s="33"/>
      <c r="E155" s="42">
        <v>83513.009999999995</v>
      </c>
      <c r="F155" s="33" t="s">
        <v>3691</v>
      </c>
      <c r="G155" s="43">
        <v>46159.138888888891</v>
      </c>
      <c r="H155" s="33" t="s">
        <v>216</v>
      </c>
      <c r="I155" s="33" t="s">
        <v>79</v>
      </c>
      <c r="J155" s="33"/>
      <c r="K155" s="33" t="s">
        <v>383</v>
      </c>
      <c r="L155" s="44">
        <v>1.1111111111111112</v>
      </c>
      <c r="M155" s="57">
        <v>0.86900462962962965</v>
      </c>
      <c r="N155" s="33"/>
      <c r="O155" s="42">
        <v>0</v>
      </c>
      <c r="P155" s="33"/>
      <c r="Q155" s="33" t="s">
        <v>295</v>
      </c>
      <c r="R155" s="33" t="s">
        <v>4189</v>
      </c>
      <c r="S155" s="43">
        <v>46160.25</v>
      </c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</row>
    <row r="156" spans="1:33">
      <c r="A156" s="33">
        <v>6015017</v>
      </c>
      <c r="B156" s="33">
        <v>6015017</v>
      </c>
      <c r="C156" s="33" t="s">
        <v>4188</v>
      </c>
      <c r="D156" s="33"/>
      <c r="E156" s="42">
        <v>68459.17</v>
      </c>
      <c r="F156" s="33" t="s">
        <v>3723</v>
      </c>
      <c r="G156" s="43">
        <v>46162.11041666667</v>
      </c>
      <c r="H156" s="33" t="s">
        <v>227</v>
      </c>
      <c r="I156" s="33" t="s">
        <v>79</v>
      </c>
      <c r="J156" s="33"/>
      <c r="K156" s="33" t="s">
        <v>286</v>
      </c>
      <c r="L156" s="57">
        <v>0.13958333333333334</v>
      </c>
      <c r="M156" s="44">
        <v>7.8538888888888891</v>
      </c>
      <c r="N156" s="33"/>
      <c r="O156" s="42">
        <v>136918.34</v>
      </c>
      <c r="P156" s="43">
        <v>46153.46597222222</v>
      </c>
      <c r="Q156" s="33" t="s">
        <v>295</v>
      </c>
      <c r="R156" s="33" t="s">
        <v>4202</v>
      </c>
      <c r="S156" s="43">
        <v>46162.25</v>
      </c>
      <c r="T156" s="43">
        <v>46153.587500000001</v>
      </c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</row>
    <row r="157" spans="1:33">
      <c r="A157" s="33">
        <v>6023347</v>
      </c>
      <c r="B157" s="33">
        <v>6023347</v>
      </c>
      <c r="C157" s="33" t="s">
        <v>4188</v>
      </c>
      <c r="D157" s="33"/>
      <c r="E157" s="42">
        <v>57435</v>
      </c>
      <c r="F157" s="33" t="s">
        <v>3691</v>
      </c>
      <c r="G157" s="43">
        <v>46161.316666666666</v>
      </c>
      <c r="H157" s="33" t="s">
        <v>114</v>
      </c>
      <c r="I157" s="33" t="s">
        <v>140</v>
      </c>
      <c r="J157" s="33"/>
      <c r="K157" s="33" t="s">
        <v>4127</v>
      </c>
      <c r="L157" s="57">
        <v>0.1</v>
      </c>
      <c r="M157" s="57">
        <v>0.86905092592592592</v>
      </c>
      <c r="N157" s="33"/>
      <c r="O157" s="42">
        <v>0</v>
      </c>
      <c r="P157" s="33"/>
      <c r="Q157" s="33" t="s">
        <v>4186</v>
      </c>
      <c r="R157" s="33" t="s">
        <v>4226</v>
      </c>
      <c r="S157" s="43">
        <v>46161.416666666664</v>
      </c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</row>
    <row r="158" spans="1:33">
      <c r="A158" s="33">
        <v>6022596</v>
      </c>
      <c r="B158" s="33">
        <v>6022596</v>
      </c>
      <c r="C158" s="33" t="s">
        <v>4188</v>
      </c>
      <c r="D158" s="33"/>
      <c r="E158" s="42">
        <v>54896.25</v>
      </c>
      <c r="F158" s="33" t="s">
        <v>3723</v>
      </c>
      <c r="G158" s="43">
        <v>46163.833333333336</v>
      </c>
      <c r="H158" s="33" t="s">
        <v>227</v>
      </c>
      <c r="I158" s="33" t="s">
        <v>79</v>
      </c>
      <c r="J158" s="33"/>
      <c r="K158" s="33" t="s">
        <v>444</v>
      </c>
      <c r="L158" s="57">
        <v>0.41666666666666669</v>
      </c>
      <c r="M158" s="44">
        <v>1.7692592592592593</v>
      </c>
      <c r="N158" s="43">
        <v>46158.229861111111</v>
      </c>
      <c r="O158" s="42">
        <v>54896.25</v>
      </c>
      <c r="P158" s="43">
        <v>46157.75277777778</v>
      </c>
      <c r="Q158" s="33" t="s">
        <v>295</v>
      </c>
      <c r="R158" s="33" t="s">
        <v>4225</v>
      </c>
      <c r="S158" s="43">
        <v>46164.25</v>
      </c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</row>
    <row r="159" spans="1:33">
      <c r="A159" s="33">
        <v>6010935</v>
      </c>
      <c r="B159" s="33">
        <v>6010935</v>
      </c>
      <c r="C159" s="33" t="s">
        <v>4188</v>
      </c>
      <c r="D159" s="33" t="s">
        <v>3717</v>
      </c>
      <c r="E159" s="42">
        <v>50113.599999999999</v>
      </c>
      <c r="F159" s="33" t="s">
        <v>3691</v>
      </c>
      <c r="G159" s="43">
        <v>46158.17083333333</v>
      </c>
      <c r="H159" s="33" t="s">
        <v>102</v>
      </c>
      <c r="I159" s="33" t="s">
        <v>140</v>
      </c>
      <c r="J159" s="33"/>
      <c r="K159" s="33" t="s">
        <v>750</v>
      </c>
      <c r="L159" s="57">
        <v>7.9166666666666663E-2</v>
      </c>
      <c r="M159" s="44">
        <v>1.7692708333333333</v>
      </c>
      <c r="N159" s="33"/>
      <c r="O159" s="42">
        <v>0</v>
      </c>
      <c r="P159" s="33"/>
      <c r="Q159" s="33" t="s">
        <v>4186</v>
      </c>
      <c r="R159" s="33" t="s">
        <v>4211</v>
      </c>
      <c r="S159" s="43">
        <v>46158.25</v>
      </c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</row>
    <row r="160" spans="1:33">
      <c r="A160" s="33">
        <v>6009604</v>
      </c>
      <c r="B160" s="33">
        <v>6009604</v>
      </c>
      <c r="C160" s="33" t="s">
        <v>4184</v>
      </c>
      <c r="D160" s="33"/>
      <c r="E160" s="42">
        <v>48530.23</v>
      </c>
      <c r="F160" s="33" t="s">
        <v>3716</v>
      </c>
      <c r="G160" s="43">
        <v>46159.025000000001</v>
      </c>
      <c r="H160" s="33" t="s">
        <v>72</v>
      </c>
      <c r="I160" s="33" t="s">
        <v>79</v>
      </c>
      <c r="J160" s="33"/>
      <c r="K160" s="33" t="s">
        <v>434</v>
      </c>
      <c r="L160" s="44">
        <v>1.1833333333333333</v>
      </c>
      <c r="M160" s="44">
        <v>1.7692592592592593</v>
      </c>
      <c r="N160" s="43">
        <v>46158.452777777777</v>
      </c>
      <c r="O160" s="42">
        <v>48530.23</v>
      </c>
      <c r="P160" s="43">
        <v>46157.697222222225</v>
      </c>
      <c r="Q160" s="33" t="s">
        <v>295</v>
      </c>
      <c r="R160" s="33" t="s">
        <v>4231</v>
      </c>
      <c r="S160" s="43">
        <v>46160.208333333336</v>
      </c>
      <c r="T160" s="43">
        <v>46159.140277777777</v>
      </c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</row>
    <row r="161" spans="1:33">
      <c r="A161" s="33">
        <v>6023438</v>
      </c>
      <c r="B161" s="33">
        <v>6023438</v>
      </c>
      <c r="C161" s="33" t="s">
        <v>4188</v>
      </c>
      <c r="D161" s="33"/>
      <c r="E161" s="42">
        <v>46641.75</v>
      </c>
      <c r="F161" s="33" t="s">
        <v>3691</v>
      </c>
      <c r="G161" s="43">
        <v>46166.932638888888</v>
      </c>
      <c r="H161" s="33" t="s">
        <v>836</v>
      </c>
      <c r="I161" s="33" t="s">
        <v>79</v>
      </c>
      <c r="J161" s="33"/>
      <c r="K161" s="33" t="s">
        <v>840</v>
      </c>
      <c r="L161" s="57">
        <v>0.44236111111111109</v>
      </c>
      <c r="M161" s="57">
        <v>0.74513888888888891</v>
      </c>
      <c r="N161" s="33"/>
      <c r="O161" s="42">
        <v>0</v>
      </c>
      <c r="P161" s="33"/>
      <c r="Q161" s="33" t="s">
        <v>295</v>
      </c>
      <c r="R161" s="33" t="s">
        <v>4186</v>
      </c>
      <c r="S161" s="43">
        <v>46167.375</v>
      </c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</row>
    <row r="162" spans="1:33">
      <c r="A162" s="33">
        <v>6020569</v>
      </c>
      <c r="B162" s="33">
        <v>6020569</v>
      </c>
      <c r="C162" s="33" t="s">
        <v>4188</v>
      </c>
      <c r="D162" s="33"/>
      <c r="E162" s="42">
        <v>44611.29</v>
      </c>
      <c r="F162" s="33" t="s">
        <v>3691</v>
      </c>
      <c r="G162" s="43">
        <v>46164.229166666664</v>
      </c>
      <c r="H162" s="33" t="s">
        <v>836</v>
      </c>
      <c r="I162" s="33" t="s">
        <v>140</v>
      </c>
      <c r="J162" s="33"/>
      <c r="K162" s="33" t="s">
        <v>840</v>
      </c>
      <c r="L162" s="57">
        <v>6.25E-2</v>
      </c>
      <c r="M162" s="57">
        <v>0.86905092592592592</v>
      </c>
      <c r="N162" s="33"/>
      <c r="O162" s="42">
        <v>0</v>
      </c>
      <c r="P162" s="33"/>
      <c r="Q162" s="33" t="s">
        <v>4186</v>
      </c>
      <c r="R162" s="33" t="s">
        <v>4186</v>
      </c>
      <c r="S162" s="43">
        <v>46164.291666666664</v>
      </c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</row>
    <row r="163" spans="1:33">
      <c r="A163" s="33">
        <v>6022202</v>
      </c>
      <c r="B163" s="33">
        <v>6022202</v>
      </c>
      <c r="C163" s="33" t="s">
        <v>4184</v>
      </c>
      <c r="D163" s="33"/>
      <c r="E163" s="42">
        <v>42319.39</v>
      </c>
      <c r="F163" s="33" t="s">
        <v>3716</v>
      </c>
      <c r="G163" s="43">
        <v>46157.25</v>
      </c>
      <c r="H163" s="33" t="s">
        <v>184</v>
      </c>
      <c r="I163" s="33" t="s">
        <v>79</v>
      </c>
      <c r="J163" s="33"/>
      <c r="K163" s="33" t="s">
        <v>297</v>
      </c>
      <c r="L163" s="44">
        <v>3.7083333333333335</v>
      </c>
      <c r="M163" s="44">
        <v>1.6384722222222223</v>
      </c>
      <c r="N163" s="43">
        <v>46158.453472222223</v>
      </c>
      <c r="O163" s="42">
        <v>423192.26</v>
      </c>
      <c r="P163" s="43">
        <v>46157.672222222223</v>
      </c>
      <c r="Q163" s="33" t="s">
        <v>295</v>
      </c>
      <c r="R163" s="33" t="s">
        <v>4203</v>
      </c>
      <c r="S163" s="43">
        <v>46160.958333333336</v>
      </c>
      <c r="T163" s="43">
        <v>46158.752083333333</v>
      </c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</row>
    <row r="164" spans="1:33">
      <c r="A164" s="33">
        <v>6022172</v>
      </c>
      <c r="B164" s="33">
        <v>6022172</v>
      </c>
      <c r="C164" s="33" t="s">
        <v>4188</v>
      </c>
      <c r="D164" s="33"/>
      <c r="E164" s="42">
        <v>40878.199999999997</v>
      </c>
      <c r="F164" s="33" t="s">
        <v>3691</v>
      </c>
      <c r="G164" s="43">
        <v>46173.807638888888</v>
      </c>
      <c r="H164" s="33" t="s">
        <v>836</v>
      </c>
      <c r="I164" s="33" t="s">
        <v>79</v>
      </c>
      <c r="J164" s="33"/>
      <c r="K164" s="33" t="s">
        <v>840</v>
      </c>
      <c r="L164" s="57">
        <v>0.44236111111111109</v>
      </c>
      <c r="M164" s="57">
        <v>0.74513888888888891</v>
      </c>
      <c r="N164" s="33"/>
      <c r="O164" s="42">
        <v>0</v>
      </c>
      <c r="P164" s="33"/>
      <c r="Q164" s="33" t="s">
        <v>295</v>
      </c>
      <c r="R164" s="33" t="s">
        <v>4186</v>
      </c>
      <c r="S164" s="43">
        <v>46174.25</v>
      </c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</row>
    <row r="165" spans="1:33">
      <c r="A165" s="33">
        <v>6022181</v>
      </c>
      <c r="B165" s="33" t="s">
        <v>4229</v>
      </c>
      <c r="C165" s="33" t="s">
        <v>4188</v>
      </c>
      <c r="D165" s="33"/>
      <c r="E165" s="42">
        <v>40661.9</v>
      </c>
      <c r="F165" s="33" t="s">
        <v>3716</v>
      </c>
      <c r="G165" s="43">
        <v>46167.679166666669</v>
      </c>
      <c r="H165" s="33" t="s">
        <v>836</v>
      </c>
      <c r="I165" s="33" t="s">
        <v>79</v>
      </c>
      <c r="J165" s="33"/>
      <c r="K165" s="33" t="s">
        <v>840</v>
      </c>
      <c r="L165" s="57">
        <v>0.5708333333333333</v>
      </c>
      <c r="M165" s="44">
        <v>1.1211921296296297</v>
      </c>
      <c r="N165" s="43">
        <v>46158.17083333333</v>
      </c>
      <c r="O165" s="42">
        <v>92688.34</v>
      </c>
      <c r="P165" s="43">
        <v>46157.813888888886</v>
      </c>
      <c r="Q165" s="33" t="s">
        <v>295</v>
      </c>
      <c r="R165" s="33" t="s">
        <v>4186</v>
      </c>
      <c r="S165" s="43">
        <v>46168.25</v>
      </c>
      <c r="T165" s="43">
        <v>46158.21597222222</v>
      </c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</row>
    <row r="166" spans="1:33">
      <c r="A166" s="33">
        <v>6024750</v>
      </c>
      <c r="B166" s="33">
        <v>6024750</v>
      </c>
      <c r="C166" s="33" t="s">
        <v>4188</v>
      </c>
      <c r="D166" s="33"/>
      <c r="E166" s="42">
        <v>37533.599999999999</v>
      </c>
      <c r="F166" s="33" t="s">
        <v>3691</v>
      </c>
      <c r="G166" s="43">
        <v>46168.807638888888</v>
      </c>
      <c r="H166" s="33" t="s">
        <v>836</v>
      </c>
      <c r="I166" s="33" t="s">
        <v>79</v>
      </c>
      <c r="J166" s="33"/>
      <c r="K166" s="33" t="s">
        <v>840</v>
      </c>
      <c r="L166" s="57">
        <v>0.44236111111111109</v>
      </c>
      <c r="M166" s="57">
        <v>0.74513888888888891</v>
      </c>
      <c r="N166" s="33"/>
      <c r="O166" s="42">
        <v>0</v>
      </c>
      <c r="P166" s="33"/>
      <c r="Q166" s="33" t="s">
        <v>295</v>
      </c>
      <c r="R166" s="33" t="s">
        <v>4186</v>
      </c>
      <c r="S166" s="43">
        <v>46169.25</v>
      </c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</row>
    <row r="167" spans="1:33">
      <c r="A167" s="33">
        <v>6022048</v>
      </c>
      <c r="B167" s="33" t="s">
        <v>3606</v>
      </c>
      <c r="C167" s="33" t="s">
        <v>4195</v>
      </c>
      <c r="D167" s="33"/>
      <c r="E167" s="42">
        <v>24258.400000000001</v>
      </c>
      <c r="F167" s="33" t="s">
        <v>3723</v>
      </c>
      <c r="G167" s="43">
        <v>46157.375</v>
      </c>
      <c r="H167" s="33" t="s">
        <v>1246</v>
      </c>
      <c r="I167" s="33" t="s">
        <v>140</v>
      </c>
      <c r="J167" s="33"/>
      <c r="K167" s="33" t="s">
        <v>474</v>
      </c>
      <c r="L167" s="44">
        <v>9.875</v>
      </c>
      <c r="M167" s="57">
        <v>0.62438657407407405</v>
      </c>
      <c r="N167" s="43">
        <v>46157.911805555559</v>
      </c>
      <c r="O167" s="42">
        <v>24258.400000000001</v>
      </c>
      <c r="P167" s="43">
        <v>46157.835416666669</v>
      </c>
      <c r="Q167" s="33" t="s">
        <v>4186</v>
      </c>
      <c r="R167" s="33" t="s">
        <v>4209</v>
      </c>
      <c r="S167" s="43">
        <v>46167.25</v>
      </c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</row>
    <row r="168" spans="1:33">
      <c r="A168" s="33">
        <v>6020567</v>
      </c>
      <c r="B168" s="33" t="s">
        <v>3606</v>
      </c>
      <c r="C168" s="33" t="s">
        <v>4195</v>
      </c>
      <c r="D168" s="33"/>
      <c r="E168" s="42">
        <v>18700</v>
      </c>
      <c r="F168" s="33" t="s">
        <v>3723</v>
      </c>
      <c r="G168" s="43">
        <v>46157.375</v>
      </c>
      <c r="H168" s="33" t="s">
        <v>1246</v>
      </c>
      <c r="I168" s="33" t="s">
        <v>140</v>
      </c>
      <c r="J168" s="33"/>
      <c r="K168" s="33" t="s">
        <v>3953</v>
      </c>
      <c r="L168" s="44">
        <v>3.9583333333333335</v>
      </c>
      <c r="M168" s="57">
        <v>0.63560185185185181</v>
      </c>
      <c r="N168" s="43">
        <v>46157.911805555559</v>
      </c>
      <c r="O168" s="42">
        <v>18700</v>
      </c>
      <c r="P168" s="43">
        <v>46157.835416666669</v>
      </c>
      <c r="Q168" s="33" t="s">
        <v>4186</v>
      </c>
      <c r="R168" s="33" t="s">
        <v>4232</v>
      </c>
      <c r="S168" s="43">
        <v>46161.333333333336</v>
      </c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</row>
    <row r="169" spans="1:33">
      <c r="A169" s="33">
        <v>6023446</v>
      </c>
      <c r="B169" s="33" t="s">
        <v>4229</v>
      </c>
      <c r="C169" s="33" t="s">
        <v>4188</v>
      </c>
      <c r="D169" s="33"/>
      <c r="E169" s="42">
        <v>18290</v>
      </c>
      <c r="F169" s="33" t="s">
        <v>3716</v>
      </c>
      <c r="G169" s="43">
        <v>46165.479166666664</v>
      </c>
      <c r="H169" s="33" t="s">
        <v>836</v>
      </c>
      <c r="I169" s="33" t="s">
        <v>79</v>
      </c>
      <c r="J169" s="33"/>
      <c r="K169" s="33" t="s">
        <v>840</v>
      </c>
      <c r="L169" s="44">
        <v>1.8125</v>
      </c>
      <c r="M169" s="44">
        <v>1.7692708333333333</v>
      </c>
      <c r="N169" s="43">
        <v>46158.17083333333</v>
      </c>
      <c r="O169" s="42">
        <v>92688.34</v>
      </c>
      <c r="P169" s="43">
        <v>46157.813888888886</v>
      </c>
      <c r="Q169" s="33" t="s">
        <v>295</v>
      </c>
      <c r="R169" s="33" t="s">
        <v>4186</v>
      </c>
      <c r="S169" s="43">
        <v>46167.291666666664</v>
      </c>
      <c r="T169" s="43">
        <v>46158.21597222222</v>
      </c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</row>
    <row r="170" spans="1:33">
      <c r="A170" s="33">
        <v>6024849</v>
      </c>
      <c r="B170" s="33">
        <v>6024849</v>
      </c>
      <c r="C170" s="33" t="s">
        <v>4188</v>
      </c>
      <c r="D170" s="33"/>
      <c r="E170" s="42">
        <v>17753.7</v>
      </c>
      <c r="F170" s="33" t="s">
        <v>3691</v>
      </c>
      <c r="G170" s="43">
        <v>46170.804166666669</v>
      </c>
      <c r="H170" s="33" t="s">
        <v>836</v>
      </c>
      <c r="I170" s="33" t="s">
        <v>79</v>
      </c>
      <c r="J170" s="33"/>
      <c r="K170" s="33" t="s">
        <v>840</v>
      </c>
      <c r="L170" s="57">
        <v>0.5708333333333333</v>
      </c>
      <c r="M170" s="57">
        <v>0.74513888888888891</v>
      </c>
      <c r="N170" s="33"/>
      <c r="O170" s="42">
        <v>0</v>
      </c>
      <c r="P170" s="33"/>
      <c r="Q170" s="33" t="s">
        <v>295</v>
      </c>
      <c r="R170" s="33" t="s">
        <v>4186</v>
      </c>
      <c r="S170" s="43">
        <v>46171.375</v>
      </c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</row>
    <row r="171" spans="1:33">
      <c r="A171" s="33">
        <v>6020772</v>
      </c>
      <c r="B171" s="33" t="s">
        <v>3606</v>
      </c>
      <c r="C171" s="33" t="s">
        <v>4195</v>
      </c>
      <c r="D171" s="33"/>
      <c r="E171" s="42">
        <v>17625.5</v>
      </c>
      <c r="F171" s="33" t="s">
        <v>3723</v>
      </c>
      <c r="G171" s="43">
        <v>46157.375</v>
      </c>
      <c r="H171" s="33" t="s">
        <v>1246</v>
      </c>
      <c r="I171" s="33" t="s">
        <v>140</v>
      </c>
      <c r="J171" s="33"/>
      <c r="K171" s="33" t="s">
        <v>3978</v>
      </c>
      <c r="L171" s="44">
        <v>6.041666666666667</v>
      </c>
      <c r="M171" s="57">
        <v>0.62607638888888884</v>
      </c>
      <c r="N171" s="43">
        <v>46157.911805555559</v>
      </c>
      <c r="O171" s="42">
        <v>17625.5</v>
      </c>
      <c r="P171" s="43">
        <v>46157.835416666669</v>
      </c>
      <c r="Q171" s="33" t="s">
        <v>4186</v>
      </c>
      <c r="R171" s="33" t="s">
        <v>4233</v>
      </c>
      <c r="S171" s="43">
        <v>46163.416666666664</v>
      </c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</row>
    <row r="172" spans="1:33">
      <c r="A172" s="33">
        <v>6022220</v>
      </c>
      <c r="B172" s="33">
        <v>6022220</v>
      </c>
      <c r="C172" s="33" t="s">
        <v>4188</v>
      </c>
      <c r="D172" s="33"/>
      <c r="E172" s="42">
        <v>16832.2</v>
      </c>
      <c r="F172" s="33" t="s">
        <v>3691</v>
      </c>
      <c r="G172" s="43">
        <v>46167.041666666664</v>
      </c>
      <c r="H172" s="33" t="s">
        <v>1246</v>
      </c>
      <c r="I172" s="33" t="s">
        <v>79</v>
      </c>
      <c r="J172" s="33"/>
      <c r="K172" s="33" t="s">
        <v>1250</v>
      </c>
      <c r="L172" s="57">
        <v>0.20833333333333334</v>
      </c>
      <c r="M172" s="57">
        <v>0.74515046296296295</v>
      </c>
      <c r="N172" s="33"/>
      <c r="O172" s="42">
        <v>0</v>
      </c>
      <c r="P172" s="33"/>
      <c r="Q172" s="33" t="s">
        <v>295</v>
      </c>
      <c r="R172" s="33" t="s">
        <v>4220</v>
      </c>
      <c r="S172" s="43">
        <v>46167.25</v>
      </c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</row>
    <row r="173" spans="1:33">
      <c r="A173" s="33">
        <v>6022618</v>
      </c>
      <c r="B173" s="33" t="s">
        <v>4229</v>
      </c>
      <c r="C173" s="33" t="s">
        <v>4188</v>
      </c>
      <c r="D173" s="33"/>
      <c r="E173" s="42">
        <v>15640.25</v>
      </c>
      <c r="F173" s="33" t="s">
        <v>3716</v>
      </c>
      <c r="G173" s="43">
        <v>46162.328472222223</v>
      </c>
      <c r="H173" s="33" t="s">
        <v>836</v>
      </c>
      <c r="I173" s="33" t="s">
        <v>79</v>
      </c>
      <c r="J173" s="33"/>
      <c r="K173" s="33" t="s">
        <v>840</v>
      </c>
      <c r="L173" s="44">
        <v>2.004861111111111</v>
      </c>
      <c r="M173" s="44">
        <v>1.7692708333333333</v>
      </c>
      <c r="N173" s="43">
        <v>46158.17083333333</v>
      </c>
      <c r="O173" s="42">
        <v>92688.34</v>
      </c>
      <c r="P173" s="43">
        <v>46157.813888888886</v>
      </c>
      <c r="Q173" s="33" t="s">
        <v>295</v>
      </c>
      <c r="R173" s="33" t="s">
        <v>4186</v>
      </c>
      <c r="S173" s="43">
        <v>46164.333333333336</v>
      </c>
      <c r="T173" s="43">
        <v>46158.21597222222</v>
      </c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</row>
    <row r="174" spans="1:33">
      <c r="A174" s="33">
        <v>6021328</v>
      </c>
      <c r="B174" s="33" t="s">
        <v>4229</v>
      </c>
      <c r="C174" s="33" t="s">
        <v>4188</v>
      </c>
      <c r="D174" s="33"/>
      <c r="E174" s="42">
        <v>13717.15</v>
      </c>
      <c r="F174" s="33" t="s">
        <v>3716</v>
      </c>
      <c r="G174" s="43">
        <v>46157.75</v>
      </c>
      <c r="H174" s="33" t="s">
        <v>836</v>
      </c>
      <c r="I174" s="33" t="s">
        <v>79</v>
      </c>
      <c r="J174" s="33"/>
      <c r="K174" s="33" t="s">
        <v>840</v>
      </c>
      <c r="L174" s="44">
        <v>9.5416666666666661</v>
      </c>
      <c r="M174" s="44">
        <v>1.7204398148148148</v>
      </c>
      <c r="N174" s="43">
        <v>46158.17083333333</v>
      </c>
      <c r="O174" s="42">
        <v>92688.34</v>
      </c>
      <c r="P174" s="43">
        <v>46157.813888888886</v>
      </c>
      <c r="Q174" s="33" t="s">
        <v>295</v>
      </c>
      <c r="R174" s="33" t="s">
        <v>4186</v>
      </c>
      <c r="S174" s="43">
        <v>46167.291666666664</v>
      </c>
      <c r="T174" s="43">
        <v>46158.21597222222</v>
      </c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</row>
    <row r="175" spans="1:33">
      <c r="A175" s="33">
        <v>6015537</v>
      </c>
      <c r="B175" s="33" t="s">
        <v>2744</v>
      </c>
      <c r="C175" s="33" t="s">
        <v>3700</v>
      </c>
      <c r="D175" s="33"/>
      <c r="E175" s="42">
        <v>11344.36</v>
      </c>
      <c r="F175" s="33" t="s">
        <v>3699</v>
      </c>
      <c r="G175" s="43">
        <v>46157.208333333336</v>
      </c>
      <c r="H175" s="33" t="s">
        <v>1246</v>
      </c>
      <c r="I175" s="33" t="s">
        <v>79</v>
      </c>
      <c r="J175" s="43">
        <v>46153.940972222219</v>
      </c>
      <c r="K175" s="33" t="s">
        <v>1250</v>
      </c>
      <c r="L175" s="57">
        <v>0.20833333333333334</v>
      </c>
      <c r="M175" s="44">
        <v>3.3854745370370369</v>
      </c>
      <c r="N175" s="43">
        <v>46153.938888888886</v>
      </c>
      <c r="O175" s="42">
        <v>94341.2</v>
      </c>
      <c r="P175" s="43">
        <v>46153.40902777778</v>
      </c>
      <c r="Q175" s="33" t="s">
        <v>295</v>
      </c>
      <c r="R175" s="33" t="s">
        <v>4220</v>
      </c>
      <c r="S175" s="43">
        <v>46157.416666666664</v>
      </c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</row>
    <row r="176" spans="1:33">
      <c r="A176" s="33">
        <v>6025217</v>
      </c>
      <c r="B176" s="33">
        <v>6025217</v>
      </c>
      <c r="C176" s="33" t="s">
        <v>4188</v>
      </c>
      <c r="D176" s="33"/>
      <c r="E176" s="42">
        <v>6908.36</v>
      </c>
      <c r="F176" s="33" t="s">
        <v>3691</v>
      </c>
      <c r="G176" s="43">
        <v>46166.679166666669</v>
      </c>
      <c r="H176" s="33" t="s">
        <v>836</v>
      </c>
      <c r="I176" s="33" t="s">
        <v>79</v>
      </c>
      <c r="J176" s="33"/>
      <c r="K176" s="33" t="s">
        <v>840</v>
      </c>
      <c r="L176" s="57">
        <v>0.5708333333333333</v>
      </c>
      <c r="M176" s="57">
        <v>0.74515046296296295</v>
      </c>
      <c r="N176" s="33"/>
      <c r="O176" s="42">
        <v>0</v>
      </c>
      <c r="P176" s="33"/>
      <c r="Q176" s="33" t="s">
        <v>295</v>
      </c>
      <c r="R176" s="33" t="s">
        <v>4186</v>
      </c>
      <c r="S176" s="43">
        <v>46167.25</v>
      </c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</row>
    <row r="177" spans="1:33">
      <c r="A177" s="33">
        <v>6022619</v>
      </c>
      <c r="B177" s="33" t="s">
        <v>4229</v>
      </c>
      <c r="C177" s="33" t="s">
        <v>4188</v>
      </c>
      <c r="D177" s="33"/>
      <c r="E177" s="42">
        <v>4379.04</v>
      </c>
      <c r="F177" s="33" t="s">
        <v>3716</v>
      </c>
      <c r="G177" s="43">
        <v>46166.424305555556</v>
      </c>
      <c r="H177" s="33" t="s">
        <v>836</v>
      </c>
      <c r="I177" s="33" t="s">
        <v>79</v>
      </c>
      <c r="J177" s="33"/>
      <c r="K177" s="33" t="s">
        <v>840</v>
      </c>
      <c r="L177" s="44">
        <v>1.9090277777777778</v>
      </c>
      <c r="M177" s="44">
        <v>1.7692708333333333</v>
      </c>
      <c r="N177" s="43">
        <v>46158.17083333333</v>
      </c>
      <c r="O177" s="42">
        <v>92688.34</v>
      </c>
      <c r="P177" s="43">
        <v>46157.813888888886</v>
      </c>
      <c r="Q177" s="33" t="s">
        <v>295</v>
      </c>
      <c r="R177" s="33" t="s">
        <v>4186</v>
      </c>
      <c r="S177" s="43">
        <v>46168.333333333336</v>
      </c>
      <c r="T177" s="43">
        <v>46158.21597222222</v>
      </c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</row>
    <row r="178" spans="1:33">
      <c r="A178" s="33">
        <v>6025221</v>
      </c>
      <c r="B178" s="33">
        <v>6025221</v>
      </c>
      <c r="C178" s="33" t="s">
        <v>4188</v>
      </c>
      <c r="D178" s="33"/>
      <c r="E178" s="42">
        <v>4077.27</v>
      </c>
      <c r="F178" s="33" t="s">
        <v>3691</v>
      </c>
      <c r="G178" s="43">
        <v>46166.679166666669</v>
      </c>
      <c r="H178" s="33" t="s">
        <v>836</v>
      </c>
      <c r="I178" s="33" t="s">
        <v>79</v>
      </c>
      <c r="J178" s="33"/>
      <c r="K178" s="33" t="s">
        <v>840</v>
      </c>
      <c r="L178" s="57">
        <v>0.5708333333333333</v>
      </c>
      <c r="M178" s="57">
        <v>0.74515046296296295</v>
      </c>
      <c r="N178" s="33"/>
      <c r="O178" s="42">
        <v>0</v>
      </c>
      <c r="P178" s="33"/>
      <c r="Q178" s="33" t="s">
        <v>295</v>
      </c>
      <c r="R178" s="33" t="s">
        <v>4186</v>
      </c>
      <c r="S178" s="43">
        <v>46167.25</v>
      </c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</row>
    <row r="179" spans="1:33">
      <c r="A179" s="33">
        <v>6025214</v>
      </c>
      <c r="B179" s="33">
        <v>6025214</v>
      </c>
      <c r="C179" s="33" t="s">
        <v>4188</v>
      </c>
      <c r="D179" s="33"/>
      <c r="E179" s="42">
        <v>4077.27</v>
      </c>
      <c r="F179" s="33" t="s">
        <v>3691</v>
      </c>
      <c r="G179" s="43">
        <v>46166.679166666669</v>
      </c>
      <c r="H179" s="33" t="s">
        <v>836</v>
      </c>
      <c r="I179" s="33" t="s">
        <v>79</v>
      </c>
      <c r="J179" s="33"/>
      <c r="K179" s="33" t="s">
        <v>840</v>
      </c>
      <c r="L179" s="57">
        <v>0.5708333333333333</v>
      </c>
      <c r="M179" s="57">
        <v>0.74515046296296295</v>
      </c>
      <c r="N179" s="33"/>
      <c r="O179" s="42">
        <v>0</v>
      </c>
      <c r="P179" s="33"/>
      <c r="Q179" s="33" t="s">
        <v>295</v>
      </c>
      <c r="R179" s="33" t="s">
        <v>4186</v>
      </c>
      <c r="S179" s="43">
        <v>46167.25</v>
      </c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</row>
    <row r="180" spans="1:33">
      <c r="A180" s="33">
        <v>6025213</v>
      </c>
      <c r="B180" s="33">
        <v>6025213</v>
      </c>
      <c r="C180" s="33" t="s">
        <v>4188</v>
      </c>
      <c r="D180" s="33"/>
      <c r="E180" s="42">
        <v>4031.07</v>
      </c>
      <c r="F180" s="33" t="s">
        <v>3691</v>
      </c>
      <c r="G180" s="43">
        <v>46166.679166666669</v>
      </c>
      <c r="H180" s="33" t="s">
        <v>836</v>
      </c>
      <c r="I180" s="33" t="s">
        <v>79</v>
      </c>
      <c r="J180" s="33"/>
      <c r="K180" s="33" t="s">
        <v>840</v>
      </c>
      <c r="L180" s="57">
        <v>0.5708333333333333</v>
      </c>
      <c r="M180" s="57">
        <v>0.74515046296296295</v>
      </c>
      <c r="N180" s="33"/>
      <c r="O180" s="42">
        <v>0</v>
      </c>
      <c r="P180" s="33"/>
      <c r="Q180" s="33" t="s">
        <v>295</v>
      </c>
      <c r="R180" s="33" t="s">
        <v>4186</v>
      </c>
      <c r="S180" s="43">
        <v>46167.25</v>
      </c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</row>
    <row r="181" spans="1:33">
      <c r="A181" s="33">
        <v>6025212</v>
      </c>
      <c r="B181" s="33">
        <v>6025212</v>
      </c>
      <c r="C181" s="33" t="s">
        <v>4188</v>
      </c>
      <c r="D181" s="33"/>
      <c r="E181" s="42">
        <v>4031.07</v>
      </c>
      <c r="F181" s="33" t="s">
        <v>3691</v>
      </c>
      <c r="G181" s="43">
        <v>46166.679166666669</v>
      </c>
      <c r="H181" s="33" t="s">
        <v>836</v>
      </c>
      <c r="I181" s="33" t="s">
        <v>79</v>
      </c>
      <c r="J181" s="33"/>
      <c r="K181" s="33" t="s">
        <v>840</v>
      </c>
      <c r="L181" s="57">
        <v>0.5708333333333333</v>
      </c>
      <c r="M181" s="57">
        <v>0.74515046296296295</v>
      </c>
      <c r="N181" s="33"/>
      <c r="O181" s="42">
        <v>0</v>
      </c>
      <c r="P181" s="33"/>
      <c r="Q181" s="33" t="s">
        <v>295</v>
      </c>
      <c r="R181" s="33" t="s">
        <v>4186</v>
      </c>
      <c r="S181" s="43">
        <v>46167.25</v>
      </c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</row>
    <row r="182" spans="1:33">
      <c r="A182" s="33">
        <v>6025211</v>
      </c>
      <c r="B182" s="33">
        <v>6025211</v>
      </c>
      <c r="C182" s="33" t="s">
        <v>4188</v>
      </c>
      <c r="D182" s="33"/>
      <c r="E182" s="42">
        <v>4031.07</v>
      </c>
      <c r="F182" s="33" t="s">
        <v>3691</v>
      </c>
      <c r="G182" s="43">
        <v>46166.679166666669</v>
      </c>
      <c r="H182" s="33" t="s">
        <v>836</v>
      </c>
      <c r="I182" s="33" t="s">
        <v>79</v>
      </c>
      <c r="J182" s="33"/>
      <c r="K182" s="33" t="s">
        <v>840</v>
      </c>
      <c r="L182" s="57">
        <v>0.5708333333333333</v>
      </c>
      <c r="M182" s="57">
        <v>0.74515046296296295</v>
      </c>
      <c r="N182" s="33"/>
      <c r="O182" s="42">
        <v>0</v>
      </c>
      <c r="P182" s="33"/>
      <c r="Q182" s="33" t="s">
        <v>295</v>
      </c>
      <c r="R182" s="33" t="s">
        <v>4186</v>
      </c>
      <c r="S182" s="43">
        <v>46167.25</v>
      </c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</row>
    <row r="183" spans="1:33">
      <c r="A183" s="33">
        <v>6025220</v>
      </c>
      <c r="B183" s="33">
        <v>6025220</v>
      </c>
      <c r="C183" s="33" t="s">
        <v>4188</v>
      </c>
      <c r="D183" s="33"/>
      <c r="E183" s="42">
        <v>1960.72</v>
      </c>
      <c r="F183" s="33" t="s">
        <v>3691</v>
      </c>
      <c r="G183" s="43">
        <v>46166.679166666669</v>
      </c>
      <c r="H183" s="33" t="s">
        <v>836</v>
      </c>
      <c r="I183" s="33" t="s">
        <v>79</v>
      </c>
      <c r="J183" s="33"/>
      <c r="K183" s="33" t="s">
        <v>840</v>
      </c>
      <c r="L183" s="57">
        <v>0.5708333333333333</v>
      </c>
      <c r="M183" s="57">
        <v>0.74515046296296295</v>
      </c>
      <c r="N183" s="33"/>
      <c r="O183" s="42">
        <v>0</v>
      </c>
      <c r="P183" s="33"/>
      <c r="Q183" s="33" t="s">
        <v>295</v>
      </c>
      <c r="R183" s="33" t="s">
        <v>4186</v>
      </c>
      <c r="S183" s="43">
        <v>46167.25</v>
      </c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</row>
    <row r="184" spans="1:33">
      <c r="A184" s="33">
        <v>6025219</v>
      </c>
      <c r="B184" s="33">
        <v>6025219</v>
      </c>
      <c r="C184" s="33" t="s">
        <v>4188</v>
      </c>
      <c r="D184" s="33"/>
      <c r="E184" s="42">
        <v>1960.72</v>
      </c>
      <c r="F184" s="33" t="s">
        <v>3691</v>
      </c>
      <c r="G184" s="43">
        <v>46166.679166666669</v>
      </c>
      <c r="H184" s="33" t="s">
        <v>836</v>
      </c>
      <c r="I184" s="33" t="s">
        <v>79</v>
      </c>
      <c r="J184" s="33"/>
      <c r="K184" s="33" t="s">
        <v>840</v>
      </c>
      <c r="L184" s="57">
        <v>0.5708333333333333</v>
      </c>
      <c r="M184" s="57">
        <v>0.74515046296296295</v>
      </c>
      <c r="N184" s="33"/>
      <c r="O184" s="42">
        <v>0</v>
      </c>
      <c r="P184" s="33"/>
      <c r="Q184" s="33" t="s">
        <v>295</v>
      </c>
      <c r="R184" s="33" t="s">
        <v>4186</v>
      </c>
      <c r="S184" s="43">
        <v>46167.25</v>
      </c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</row>
    <row r="185" spans="1:33">
      <c r="A185" s="33">
        <v>6014660</v>
      </c>
      <c r="B185" s="33">
        <v>6014660</v>
      </c>
      <c r="C185" s="33" t="s">
        <v>4188</v>
      </c>
      <c r="D185" s="33" t="s">
        <v>3717</v>
      </c>
      <c r="E185" s="42">
        <v>1707.24</v>
      </c>
      <c r="F185" s="33" t="s">
        <v>3691</v>
      </c>
      <c r="G185" s="43">
        <v>46163.661805555559</v>
      </c>
      <c r="H185" s="33" t="s">
        <v>836</v>
      </c>
      <c r="I185" s="33" t="s">
        <v>140</v>
      </c>
      <c r="J185" s="33"/>
      <c r="K185" s="33" t="s">
        <v>840</v>
      </c>
      <c r="L185" s="44">
        <v>3.754861111111111</v>
      </c>
      <c r="M185" s="44">
        <v>1.7692939814814814</v>
      </c>
      <c r="N185" s="33"/>
      <c r="O185" s="42">
        <v>0</v>
      </c>
      <c r="P185" s="33"/>
      <c r="Q185" s="33" t="s">
        <v>4186</v>
      </c>
      <c r="R185" s="33" t="s">
        <v>4186</v>
      </c>
      <c r="S185" s="43">
        <v>46167.416666666664</v>
      </c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</row>
    <row r="186" spans="1:33">
      <c r="A186" s="33"/>
      <c r="B186" s="33"/>
      <c r="C186" s="33"/>
      <c r="D186" s="33"/>
      <c r="E186" s="42"/>
      <c r="F186" s="33"/>
      <c r="G186" s="43"/>
      <c r="H186" s="33"/>
      <c r="I186" s="33"/>
      <c r="J186" s="33"/>
      <c r="K186" s="33"/>
      <c r="L186" s="57"/>
      <c r="M186" s="57"/>
      <c r="N186" s="33"/>
      <c r="O186" s="42"/>
      <c r="P186" s="33"/>
      <c r="Q186" s="33"/>
      <c r="R186" s="33"/>
      <c r="S186" s="4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</row>
    <row r="187" spans="1:33">
      <c r="A187" s="33"/>
      <c r="B187" s="33"/>
      <c r="C187" s="33"/>
      <c r="D187" s="33"/>
      <c r="E187" s="42"/>
      <c r="F187" s="33"/>
      <c r="G187" s="43"/>
      <c r="H187" s="33"/>
      <c r="I187" s="33"/>
      <c r="J187" s="33"/>
      <c r="K187" s="33"/>
      <c r="L187" s="57"/>
      <c r="M187" s="57"/>
      <c r="N187" s="33"/>
      <c r="O187" s="42"/>
      <c r="P187" s="33"/>
      <c r="Q187" s="33"/>
      <c r="R187" s="33"/>
      <c r="S187" s="4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</row>
    <row r="188" spans="1:33">
      <c r="A188" s="33"/>
      <c r="B188" s="33"/>
      <c r="C188" s="33"/>
      <c r="D188" s="33"/>
      <c r="E188" s="42"/>
      <c r="F188" s="33"/>
      <c r="G188" s="43"/>
      <c r="H188" s="33"/>
      <c r="I188" s="33"/>
      <c r="J188" s="33"/>
      <c r="K188" s="33"/>
      <c r="L188" s="57"/>
      <c r="M188" s="57"/>
      <c r="N188" s="33"/>
      <c r="O188" s="42"/>
      <c r="P188" s="33"/>
      <c r="Q188" s="33"/>
      <c r="R188" s="33"/>
      <c r="S188" s="4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</row>
    <row r="189" spans="1:33">
      <c r="A189" s="33"/>
      <c r="B189" s="33"/>
      <c r="C189" s="33"/>
      <c r="D189" s="33"/>
      <c r="E189" s="42"/>
      <c r="F189" s="33"/>
      <c r="G189" s="43"/>
      <c r="H189" s="33"/>
      <c r="I189" s="33"/>
      <c r="J189" s="33"/>
      <c r="K189" s="33"/>
      <c r="L189" s="57"/>
      <c r="M189" s="57"/>
      <c r="N189" s="33"/>
      <c r="O189" s="42"/>
      <c r="P189" s="33"/>
      <c r="Q189" s="33"/>
      <c r="R189" s="33"/>
      <c r="S189" s="4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</row>
    <row r="190" spans="1:33">
      <c r="A190" s="33"/>
      <c r="B190" s="33"/>
      <c r="C190" s="33"/>
      <c r="D190" s="33"/>
      <c r="E190" s="42"/>
      <c r="F190" s="33"/>
      <c r="G190" s="43"/>
      <c r="H190" s="33"/>
      <c r="I190" s="33"/>
      <c r="J190" s="33"/>
      <c r="K190" s="33"/>
      <c r="L190" s="57"/>
      <c r="M190" s="57"/>
      <c r="N190" s="33"/>
      <c r="O190" s="42"/>
      <c r="P190" s="33"/>
      <c r="Q190" s="33"/>
      <c r="R190" s="33"/>
      <c r="S190" s="4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</row>
    <row r="191" spans="1:33">
      <c r="A191" s="33"/>
      <c r="B191" s="33"/>
      <c r="C191" s="33"/>
      <c r="D191" s="33"/>
      <c r="E191" s="42"/>
      <c r="F191" s="33"/>
      <c r="G191" s="43"/>
      <c r="H191" s="33"/>
      <c r="I191" s="33"/>
      <c r="J191" s="33"/>
      <c r="K191" s="33"/>
      <c r="L191" s="57"/>
      <c r="M191" s="57"/>
      <c r="N191" s="33"/>
      <c r="O191" s="42"/>
      <c r="P191" s="33"/>
      <c r="Q191" s="33"/>
      <c r="R191" s="33"/>
      <c r="S191" s="4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</row>
    <row r="192" spans="1:33">
      <c r="A192" s="33"/>
      <c r="B192" s="33"/>
      <c r="C192" s="33"/>
      <c r="D192" s="33"/>
      <c r="E192" s="42"/>
      <c r="F192" s="33"/>
      <c r="G192" s="43"/>
      <c r="H192" s="33"/>
      <c r="I192" s="33"/>
      <c r="J192" s="33"/>
      <c r="K192" s="33"/>
      <c r="L192" s="44"/>
      <c r="M192" s="44"/>
      <c r="N192" s="43"/>
      <c r="O192" s="42"/>
      <c r="P192" s="43"/>
      <c r="Q192" s="33"/>
      <c r="R192" s="33"/>
      <c r="S192" s="43"/>
      <c r="T192" s="4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</row>
    <row r="193" spans="1:33">
      <c r="A193" s="33"/>
      <c r="B193" s="33"/>
      <c r="C193" s="33"/>
      <c r="D193" s="33"/>
      <c r="E193" s="42"/>
      <c r="F193" s="33"/>
      <c r="G193" s="43"/>
      <c r="H193" s="33"/>
      <c r="I193" s="33"/>
      <c r="J193" s="33"/>
      <c r="K193" s="33"/>
      <c r="L193" s="44"/>
      <c r="M193" s="44"/>
      <c r="N193" s="43"/>
      <c r="O193" s="42"/>
      <c r="P193" s="43"/>
      <c r="Q193" s="33"/>
      <c r="R193" s="33"/>
      <c r="S193" s="43"/>
      <c r="T193" s="4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</row>
    <row r="194" spans="1:33">
      <c r="A194" s="33"/>
      <c r="B194" s="33"/>
      <c r="C194" s="33"/>
      <c r="D194" s="33"/>
      <c r="E194" s="42"/>
      <c r="F194" s="33"/>
      <c r="G194" s="43"/>
      <c r="H194" s="33"/>
      <c r="I194" s="33"/>
      <c r="J194" s="33"/>
      <c r="K194" s="33"/>
      <c r="L194" s="44"/>
      <c r="M194" s="44"/>
      <c r="N194" s="43"/>
      <c r="O194" s="42"/>
      <c r="P194" s="43"/>
      <c r="Q194" s="33"/>
      <c r="R194" s="33"/>
      <c r="S194" s="43"/>
      <c r="T194" s="4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</row>
    <row r="195" spans="1:33">
      <c r="A195" s="33"/>
      <c r="B195" s="33"/>
      <c r="C195" s="33"/>
      <c r="D195" s="33"/>
      <c r="E195" s="42"/>
      <c r="F195" s="33"/>
      <c r="G195" s="43"/>
      <c r="H195" s="33"/>
      <c r="I195" s="33"/>
      <c r="J195" s="33"/>
      <c r="K195" s="33"/>
      <c r="L195" s="44"/>
      <c r="M195" s="44"/>
      <c r="N195" s="43"/>
      <c r="O195" s="42"/>
      <c r="P195" s="43"/>
      <c r="Q195" s="33"/>
      <c r="R195" s="33"/>
      <c r="S195" s="43"/>
      <c r="T195" s="4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</row>
    <row r="196" spans="1:33">
      <c r="A196" s="33"/>
      <c r="B196" s="33"/>
      <c r="C196" s="33"/>
      <c r="D196" s="33"/>
      <c r="E196" s="42"/>
      <c r="F196" s="33"/>
      <c r="G196" s="43"/>
      <c r="H196" s="33"/>
      <c r="I196" s="33"/>
      <c r="J196" s="33"/>
      <c r="K196" s="33"/>
      <c r="L196" s="44"/>
      <c r="M196" s="44"/>
      <c r="N196" s="43"/>
      <c r="O196" s="42"/>
      <c r="P196" s="43"/>
      <c r="Q196" s="33"/>
      <c r="R196" s="33"/>
      <c r="S196" s="43"/>
      <c r="T196" s="4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</row>
    <row r="197" spans="1:33">
      <c r="A197" s="33"/>
      <c r="B197" s="33"/>
      <c r="C197" s="33"/>
      <c r="D197" s="33"/>
      <c r="E197" s="42"/>
      <c r="F197" s="33"/>
      <c r="G197" s="43"/>
      <c r="H197" s="33"/>
      <c r="I197" s="33"/>
      <c r="J197" s="33"/>
      <c r="K197" s="33"/>
      <c r="L197" s="57"/>
      <c r="M197" s="57"/>
      <c r="N197" s="43"/>
      <c r="O197" s="42"/>
      <c r="P197" s="43"/>
      <c r="Q197" s="33"/>
      <c r="R197" s="33"/>
      <c r="S197" s="4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</row>
    <row r="198" spans="1:33">
      <c r="A198" s="33"/>
      <c r="B198" s="33"/>
      <c r="C198" s="33"/>
      <c r="D198" s="33"/>
      <c r="E198" s="42"/>
      <c r="F198" s="33"/>
      <c r="G198" s="43"/>
      <c r="H198" s="33"/>
      <c r="I198" s="33"/>
      <c r="J198" s="33"/>
      <c r="K198" s="33"/>
      <c r="L198" s="57"/>
      <c r="M198" s="57"/>
      <c r="N198" s="43"/>
      <c r="O198" s="42"/>
      <c r="P198" s="43"/>
      <c r="Q198" s="33"/>
      <c r="R198" s="33"/>
      <c r="S198" s="4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</row>
    <row r="199" spans="1:33">
      <c r="A199" s="33"/>
      <c r="B199" s="33"/>
      <c r="C199" s="33"/>
      <c r="D199" s="33"/>
      <c r="E199" s="42"/>
      <c r="F199" s="33"/>
      <c r="G199" s="43"/>
      <c r="H199" s="33"/>
      <c r="I199" s="33"/>
      <c r="J199" s="33"/>
      <c r="K199" s="33"/>
      <c r="L199" s="44"/>
      <c r="M199" s="57"/>
      <c r="N199" s="43"/>
      <c r="O199" s="42"/>
      <c r="P199" s="43"/>
      <c r="Q199" s="33"/>
      <c r="R199" s="33"/>
      <c r="S199" s="43"/>
      <c r="T199" s="4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</row>
    <row r="200" spans="1:33">
      <c r="A200" s="33"/>
      <c r="B200" s="33"/>
      <c r="C200" s="33"/>
      <c r="D200" s="33"/>
      <c r="E200" s="42"/>
      <c r="F200" s="33"/>
      <c r="G200" s="43"/>
      <c r="H200" s="33"/>
      <c r="I200" s="33"/>
      <c r="J200" s="33"/>
      <c r="K200" s="33"/>
      <c r="L200" s="57"/>
      <c r="M200" s="44"/>
      <c r="N200" s="43"/>
      <c r="O200" s="42"/>
      <c r="P200" s="43"/>
      <c r="Q200" s="33"/>
      <c r="R200" s="33"/>
      <c r="S200" s="4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</row>
    <row r="201" spans="1:33">
      <c r="A201" s="33"/>
      <c r="B201" s="33"/>
      <c r="C201" s="33"/>
      <c r="D201" s="33"/>
      <c r="E201" s="42"/>
      <c r="F201" s="33"/>
      <c r="G201" s="43"/>
      <c r="H201" s="33"/>
      <c r="I201" s="33"/>
      <c r="J201" s="33"/>
      <c r="K201" s="33"/>
      <c r="L201" s="57"/>
      <c r="M201" s="44"/>
      <c r="N201" s="43"/>
      <c r="O201" s="42"/>
      <c r="P201" s="43"/>
      <c r="Q201" s="33"/>
      <c r="R201" s="33"/>
      <c r="S201" s="4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</row>
    <row r="202" spans="1:33">
      <c r="A202" s="33"/>
      <c r="B202" s="33"/>
      <c r="C202" s="33"/>
      <c r="D202" s="33"/>
      <c r="E202" s="42"/>
      <c r="F202" s="33"/>
      <c r="G202" s="43"/>
      <c r="H202" s="33"/>
      <c r="I202" s="33"/>
      <c r="J202" s="33"/>
      <c r="K202" s="33"/>
      <c r="L202" s="57"/>
      <c r="M202" s="44"/>
      <c r="N202" s="43"/>
      <c r="O202" s="42"/>
      <c r="P202" s="43"/>
      <c r="Q202" s="33"/>
      <c r="R202" s="33"/>
      <c r="S202" s="4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</row>
    <row r="203" spans="1:33">
      <c r="A203" s="33"/>
      <c r="B203" s="33"/>
      <c r="C203" s="33"/>
      <c r="D203" s="33"/>
      <c r="E203" s="42"/>
      <c r="F203" s="33"/>
      <c r="G203" s="43"/>
      <c r="H203" s="33"/>
      <c r="I203" s="33"/>
      <c r="J203" s="33"/>
      <c r="K203" s="33"/>
      <c r="L203" s="57"/>
      <c r="M203" s="44"/>
      <c r="N203" s="33"/>
      <c r="O203" s="42"/>
      <c r="P203" s="33"/>
      <c r="Q203" s="33"/>
      <c r="R203" s="33"/>
      <c r="S203" s="4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</row>
    <row r="204" spans="1:33">
      <c r="A204" s="33"/>
      <c r="B204" s="33"/>
      <c r="C204" s="33"/>
      <c r="D204" s="33"/>
      <c r="E204" s="42"/>
      <c r="F204" s="33"/>
      <c r="G204" s="43"/>
      <c r="H204" s="33"/>
      <c r="I204" s="33"/>
      <c r="J204" s="33"/>
      <c r="K204" s="33"/>
      <c r="L204" s="44"/>
      <c r="M204" s="44"/>
      <c r="N204" s="33"/>
      <c r="O204" s="42"/>
      <c r="P204" s="33"/>
      <c r="Q204" s="33"/>
      <c r="R204" s="33"/>
      <c r="S204" s="4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</row>
    <row r="205" spans="1:33">
      <c r="A205" s="33"/>
      <c r="B205" s="33"/>
      <c r="C205" s="33"/>
      <c r="D205" s="33"/>
      <c r="E205" s="42"/>
      <c r="F205" s="33"/>
      <c r="G205" s="43"/>
      <c r="H205" s="33"/>
      <c r="I205" s="33"/>
      <c r="J205" s="33"/>
      <c r="K205" s="33"/>
      <c r="L205" s="44"/>
      <c r="M205" s="57"/>
      <c r="N205" s="43"/>
      <c r="O205" s="42"/>
      <c r="P205" s="43"/>
      <c r="Q205" s="33"/>
      <c r="R205" s="33"/>
      <c r="S205" s="4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</row>
    <row r="206" spans="1:33">
      <c r="A206" s="33"/>
      <c r="B206" s="33"/>
      <c r="C206" s="33"/>
      <c r="D206" s="33"/>
      <c r="E206" s="42"/>
      <c r="F206" s="33"/>
      <c r="G206" s="43"/>
      <c r="H206" s="33"/>
      <c r="I206" s="33"/>
      <c r="J206" s="33"/>
      <c r="K206" s="33"/>
      <c r="L206" s="44"/>
      <c r="M206" s="44"/>
      <c r="N206" s="33"/>
      <c r="O206" s="42"/>
      <c r="P206" s="33"/>
      <c r="Q206" s="33"/>
      <c r="R206" s="33"/>
      <c r="S206" s="4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</row>
    <row r="207" spans="1:33">
      <c r="A207" s="33"/>
      <c r="B207" s="33"/>
      <c r="C207" s="33"/>
      <c r="D207" s="33"/>
      <c r="E207" s="42"/>
      <c r="F207" s="33"/>
      <c r="G207" s="43"/>
      <c r="H207" s="33"/>
      <c r="I207" s="33"/>
      <c r="J207" s="33"/>
      <c r="K207" s="33"/>
      <c r="L207" s="44"/>
      <c r="M207" s="57"/>
      <c r="N207" s="33"/>
      <c r="O207" s="42"/>
      <c r="P207" s="33"/>
      <c r="Q207" s="33"/>
      <c r="R207" s="33"/>
      <c r="S207" s="4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</row>
    <row r="208" spans="1:33">
      <c r="A208" s="33"/>
      <c r="B208" s="33"/>
      <c r="C208" s="33"/>
      <c r="D208" s="33"/>
      <c r="E208" s="42"/>
      <c r="F208" s="33"/>
      <c r="G208" s="43"/>
      <c r="H208" s="33"/>
      <c r="I208" s="33"/>
      <c r="J208" s="33"/>
      <c r="K208" s="33"/>
      <c r="L208" s="44"/>
      <c r="M208" s="57"/>
      <c r="N208" s="33"/>
      <c r="O208" s="42"/>
      <c r="P208" s="33"/>
      <c r="Q208" s="33"/>
      <c r="R208" s="33"/>
      <c r="S208" s="4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</row>
    <row r="209" spans="1:33">
      <c r="A209" s="33"/>
      <c r="B209" s="33"/>
      <c r="C209" s="33"/>
      <c r="D209" s="33"/>
      <c r="E209" s="42"/>
      <c r="F209" s="33"/>
      <c r="G209" s="43"/>
      <c r="H209" s="33"/>
      <c r="I209" s="33"/>
      <c r="J209" s="33"/>
      <c r="K209" s="33"/>
      <c r="L209" s="44"/>
      <c r="M209" s="57"/>
      <c r="N209" s="33"/>
      <c r="O209" s="42"/>
      <c r="P209" s="33"/>
      <c r="Q209" s="33"/>
      <c r="R209" s="33"/>
      <c r="S209" s="4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</row>
    <row r="210" spans="1:33">
      <c r="A210" s="33"/>
      <c r="B210" s="33"/>
      <c r="C210" s="33"/>
      <c r="D210" s="33"/>
      <c r="E210" s="42"/>
      <c r="F210" s="33"/>
      <c r="G210" s="43"/>
      <c r="H210" s="33"/>
      <c r="I210" s="33"/>
      <c r="J210" s="33"/>
      <c r="K210" s="33"/>
      <c r="L210" s="57"/>
      <c r="M210" s="57"/>
      <c r="N210" s="33"/>
      <c r="O210" s="42"/>
      <c r="P210" s="33"/>
      <c r="Q210" s="33"/>
      <c r="R210" s="33"/>
      <c r="S210" s="4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</row>
    <row r="211" spans="1:33">
      <c r="A211" s="33"/>
      <c r="B211" s="33"/>
      <c r="C211" s="33"/>
      <c r="D211" s="33"/>
      <c r="E211" s="42"/>
      <c r="F211" s="33"/>
      <c r="G211" s="43"/>
      <c r="H211" s="33"/>
      <c r="I211" s="33"/>
      <c r="J211" s="33"/>
      <c r="K211" s="33"/>
      <c r="L211" s="44"/>
      <c r="M211" s="44"/>
      <c r="N211" s="43"/>
      <c r="O211" s="42"/>
      <c r="P211" s="43"/>
      <c r="Q211" s="33"/>
      <c r="R211" s="33"/>
      <c r="S211" s="4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</row>
    <row r="212" spans="1:33">
      <c r="A212" s="33"/>
      <c r="B212" s="33"/>
      <c r="C212" s="33"/>
      <c r="D212" s="33"/>
      <c r="E212" s="42"/>
      <c r="F212" s="33"/>
      <c r="G212" s="43"/>
      <c r="H212" s="33"/>
      <c r="I212" s="33"/>
      <c r="J212" s="33"/>
      <c r="K212" s="33"/>
      <c r="L212" s="44"/>
      <c r="M212" s="44"/>
      <c r="N212" s="33"/>
      <c r="O212" s="42"/>
      <c r="P212" s="43"/>
      <c r="Q212" s="33"/>
      <c r="R212" s="33"/>
      <c r="S212" s="4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</row>
    <row r="213" spans="1:33">
      <c r="A213" s="33"/>
      <c r="B213" s="33"/>
      <c r="C213" s="33"/>
      <c r="D213" s="33"/>
      <c r="E213" s="42"/>
      <c r="F213" s="33"/>
      <c r="G213" s="43"/>
      <c r="H213" s="33"/>
      <c r="I213" s="33"/>
      <c r="J213" s="33"/>
      <c r="K213" s="33"/>
      <c r="L213" s="57"/>
      <c r="M213" s="44"/>
      <c r="N213" s="33"/>
      <c r="O213" s="42"/>
      <c r="P213" s="33"/>
      <c r="Q213" s="33"/>
      <c r="R213" s="33"/>
      <c r="S213" s="4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</row>
    <row r="214" spans="1:33">
      <c r="A214" s="33"/>
      <c r="B214" s="33"/>
      <c r="C214" s="33"/>
      <c r="D214" s="33"/>
      <c r="E214" s="42"/>
      <c r="F214" s="33"/>
      <c r="G214" s="43"/>
      <c r="H214" s="33"/>
      <c r="I214" s="33"/>
      <c r="J214" s="33"/>
      <c r="K214" s="33"/>
      <c r="L214" s="57"/>
      <c r="M214" s="44"/>
      <c r="N214" s="33"/>
      <c r="O214" s="42"/>
      <c r="P214" s="33"/>
      <c r="Q214" s="33"/>
      <c r="R214" s="33"/>
      <c r="S214" s="4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</row>
    <row r="215" spans="1:33">
      <c r="A215" s="33"/>
      <c r="B215" s="33"/>
      <c r="C215" s="33"/>
      <c r="D215" s="33"/>
      <c r="E215" s="42"/>
      <c r="F215" s="33"/>
      <c r="G215" s="43"/>
      <c r="H215" s="33"/>
      <c r="I215" s="33"/>
      <c r="J215" s="33"/>
      <c r="K215" s="33"/>
      <c r="L215" s="57"/>
      <c r="M215" s="57"/>
      <c r="N215" s="33"/>
      <c r="O215" s="42"/>
      <c r="P215" s="33"/>
      <c r="Q215" s="33"/>
      <c r="R215" s="33"/>
      <c r="S215" s="4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</row>
    <row r="216" spans="1:33">
      <c r="A216" s="33"/>
      <c r="B216" s="33"/>
      <c r="C216" s="33"/>
      <c r="D216" s="33"/>
      <c r="E216" s="42"/>
      <c r="F216" s="33"/>
      <c r="G216" s="43"/>
      <c r="H216" s="33"/>
      <c r="I216" s="33"/>
      <c r="J216" s="33"/>
      <c r="K216" s="33"/>
      <c r="L216" s="57"/>
      <c r="M216" s="44"/>
      <c r="N216" s="43"/>
      <c r="O216" s="42"/>
      <c r="P216" s="43"/>
      <c r="Q216" s="33"/>
      <c r="R216" s="33"/>
      <c r="S216" s="43"/>
      <c r="T216" s="4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</row>
    <row r="217" spans="1:33">
      <c r="A217" s="33"/>
      <c r="B217" s="33"/>
      <c r="C217" s="33"/>
      <c r="D217" s="33"/>
      <c r="E217" s="42"/>
      <c r="F217" s="33"/>
      <c r="G217" s="43"/>
      <c r="H217" s="33"/>
      <c r="I217" s="33"/>
      <c r="J217" s="33"/>
      <c r="K217" s="33"/>
      <c r="L217" s="57"/>
      <c r="M217" s="44"/>
      <c r="N217" s="43"/>
      <c r="O217" s="42"/>
      <c r="P217" s="43"/>
      <c r="Q217" s="33"/>
      <c r="R217" s="33"/>
      <c r="S217" s="43"/>
      <c r="T217" s="4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</row>
    <row r="218" spans="1:33">
      <c r="A218" s="33"/>
      <c r="B218" s="33"/>
      <c r="C218" s="33"/>
      <c r="D218" s="33"/>
      <c r="E218" s="42"/>
      <c r="F218" s="33"/>
      <c r="G218" s="43"/>
      <c r="H218" s="33"/>
      <c r="I218" s="33"/>
      <c r="J218" s="33"/>
      <c r="K218" s="33"/>
      <c r="L218" s="57"/>
      <c r="M218" s="44"/>
      <c r="N218" s="43"/>
      <c r="O218" s="42"/>
      <c r="P218" s="43"/>
      <c r="Q218" s="33"/>
      <c r="R218" s="33"/>
      <c r="S218" s="43"/>
      <c r="T218" s="4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</row>
    <row r="219" spans="1:33">
      <c r="A219" s="33"/>
      <c r="B219" s="33"/>
      <c r="C219" s="33"/>
      <c r="D219" s="33"/>
      <c r="E219" s="42"/>
      <c r="F219" s="33"/>
      <c r="G219" s="43"/>
      <c r="H219" s="33"/>
      <c r="I219" s="33"/>
      <c r="J219" s="33"/>
      <c r="K219" s="33"/>
      <c r="L219" s="57"/>
      <c r="M219" s="44"/>
      <c r="N219" s="43"/>
      <c r="O219" s="42"/>
      <c r="P219" s="43"/>
      <c r="Q219" s="33"/>
      <c r="R219" s="33"/>
      <c r="S219" s="43"/>
      <c r="T219" s="4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</row>
    <row r="220" spans="1:33">
      <c r="A220" s="33"/>
      <c r="B220" s="33"/>
      <c r="C220" s="33"/>
      <c r="D220" s="33"/>
      <c r="E220" s="42"/>
      <c r="F220" s="33"/>
      <c r="G220" s="43"/>
      <c r="H220" s="33"/>
      <c r="I220" s="33"/>
      <c r="J220" s="33"/>
      <c r="K220" s="33"/>
      <c r="L220" s="57"/>
      <c r="M220" s="44"/>
      <c r="N220" s="43"/>
      <c r="O220" s="42"/>
      <c r="P220" s="43"/>
      <c r="Q220" s="33"/>
      <c r="R220" s="33"/>
      <c r="S220" s="43"/>
      <c r="T220" s="4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</row>
    <row r="221" spans="1:33">
      <c r="A221" s="33"/>
      <c r="B221" s="33"/>
      <c r="C221" s="33"/>
      <c r="D221" s="33"/>
      <c r="E221" s="42"/>
      <c r="F221" s="33"/>
      <c r="G221" s="43"/>
      <c r="H221" s="33"/>
      <c r="I221" s="33"/>
      <c r="J221" s="33"/>
      <c r="K221" s="33"/>
      <c r="L221" s="57"/>
      <c r="M221" s="44"/>
      <c r="N221" s="43"/>
      <c r="O221" s="42"/>
      <c r="P221" s="43"/>
      <c r="Q221" s="33"/>
      <c r="R221" s="33"/>
      <c r="S221" s="43"/>
      <c r="T221" s="4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</row>
    <row r="222" spans="1:33">
      <c r="A222" s="33"/>
      <c r="B222" s="33"/>
      <c r="C222" s="33"/>
      <c r="D222" s="33"/>
      <c r="E222" s="42"/>
      <c r="F222" s="33"/>
      <c r="G222" s="43"/>
      <c r="H222" s="33"/>
      <c r="I222" s="33"/>
      <c r="J222" s="33"/>
      <c r="K222" s="33"/>
      <c r="L222" s="57"/>
      <c r="M222" s="44"/>
      <c r="N222" s="43"/>
      <c r="O222" s="42"/>
      <c r="P222" s="43"/>
      <c r="Q222" s="33"/>
      <c r="R222" s="33"/>
      <c r="S222" s="4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</row>
    <row r="223" spans="1:33">
      <c r="A223" s="33"/>
      <c r="B223" s="33"/>
      <c r="C223" s="33"/>
      <c r="D223" s="33"/>
      <c r="E223" s="42"/>
      <c r="F223" s="33"/>
      <c r="G223" s="43"/>
      <c r="H223" s="33"/>
      <c r="I223" s="33"/>
      <c r="J223" s="33"/>
      <c r="K223" s="33"/>
      <c r="L223" s="57"/>
      <c r="M223" s="44"/>
      <c r="N223" s="43"/>
      <c r="O223" s="42"/>
      <c r="P223" s="43"/>
      <c r="Q223" s="33"/>
      <c r="R223" s="33"/>
      <c r="S223" s="4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</row>
    <row r="224" spans="1:33">
      <c r="A224" s="33"/>
      <c r="B224" s="33"/>
      <c r="C224" s="33"/>
      <c r="D224" s="33"/>
      <c r="E224" s="42"/>
      <c r="F224" s="33"/>
      <c r="G224" s="43"/>
      <c r="H224" s="33"/>
      <c r="I224" s="33"/>
      <c r="J224" s="33"/>
      <c r="K224" s="33"/>
      <c r="L224" s="57"/>
      <c r="M224" s="44"/>
      <c r="N224" s="43"/>
      <c r="O224" s="42"/>
      <c r="P224" s="43"/>
      <c r="Q224" s="33"/>
      <c r="R224" s="33"/>
      <c r="S224" s="4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</row>
    <row r="225" spans="1:33">
      <c r="A225" s="33"/>
      <c r="B225" s="33"/>
      <c r="C225" s="33"/>
      <c r="D225" s="33"/>
      <c r="E225" s="42"/>
      <c r="F225" s="33"/>
      <c r="G225" s="43"/>
      <c r="H225" s="33"/>
      <c r="I225" s="33"/>
      <c r="J225" s="43"/>
      <c r="K225" s="33"/>
      <c r="L225" s="44"/>
      <c r="M225" s="44"/>
      <c r="N225" s="43"/>
      <c r="O225" s="42"/>
      <c r="P225" s="43"/>
      <c r="Q225" s="33"/>
      <c r="R225" s="33"/>
      <c r="S225" s="4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</row>
    <row r="226" spans="1:33">
      <c r="A226" s="33"/>
      <c r="B226" s="33"/>
      <c r="C226" s="33"/>
      <c r="D226" s="33"/>
      <c r="E226" s="42"/>
      <c r="F226" s="33"/>
      <c r="G226" s="43"/>
      <c r="H226" s="33"/>
      <c r="I226" s="33"/>
      <c r="J226" s="43"/>
      <c r="K226" s="33"/>
      <c r="L226" s="44"/>
      <c r="M226" s="44"/>
      <c r="N226" s="43"/>
      <c r="O226" s="42"/>
      <c r="P226" s="43"/>
      <c r="Q226" s="33"/>
      <c r="R226" s="33"/>
      <c r="S226" s="4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</row>
    <row r="227" spans="1:33">
      <c r="A227" s="33"/>
      <c r="B227" s="33"/>
      <c r="C227" s="33"/>
      <c r="D227" s="33"/>
      <c r="E227" s="42"/>
      <c r="F227" s="33"/>
      <c r="G227" s="43"/>
      <c r="H227" s="33"/>
      <c r="I227" s="33"/>
      <c r="J227" s="43"/>
      <c r="K227" s="33"/>
      <c r="L227" s="57"/>
      <c r="M227" s="57"/>
      <c r="N227" s="43"/>
      <c r="O227" s="42"/>
      <c r="P227" s="43"/>
      <c r="Q227" s="33"/>
      <c r="R227" s="33"/>
      <c r="S227" s="4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</row>
    <row r="228" spans="1:33">
      <c r="A228" s="33"/>
      <c r="B228" s="33"/>
      <c r="C228" s="33"/>
      <c r="D228" s="33"/>
      <c r="E228" s="42"/>
      <c r="F228" s="33"/>
      <c r="G228" s="43"/>
      <c r="H228" s="33"/>
      <c r="I228" s="33"/>
      <c r="J228" s="33"/>
      <c r="K228" s="33"/>
      <c r="L228" s="44"/>
      <c r="M228" s="57"/>
      <c r="N228" s="43"/>
      <c r="O228" s="42"/>
      <c r="P228" s="43"/>
      <c r="Q228" s="33"/>
      <c r="R228" s="33"/>
      <c r="S228" s="4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</row>
    <row r="229" spans="1:33">
      <c r="A229" s="33"/>
      <c r="B229" s="33"/>
      <c r="C229" s="33"/>
      <c r="D229" s="33"/>
      <c r="E229" s="42"/>
      <c r="F229" s="33"/>
      <c r="G229" s="43"/>
      <c r="H229" s="33"/>
      <c r="I229" s="33"/>
      <c r="J229" s="33"/>
      <c r="K229" s="33"/>
      <c r="L229" s="44"/>
      <c r="M229" s="44"/>
      <c r="N229" s="33"/>
      <c r="O229" s="42"/>
      <c r="P229" s="33"/>
      <c r="Q229" s="33"/>
      <c r="R229" s="33"/>
      <c r="S229" s="4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</row>
    <row r="230" spans="1:33">
      <c r="A230" s="33"/>
      <c r="B230" s="33"/>
      <c r="C230" s="33"/>
      <c r="D230" s="33"/>
      <c r="E230" s="42"/>
      <c r="F230" s="33"/>
      <c r="G230" s="43"/>
      <c r="H230" s="33"/>
      <c r="I230" s="33"/>
      <c r="J230" s="33"/>
      <c r="K230" s="33"/>
      <c r="L230" s="44"/>
      <c r="M230" s="44"/>
      <c r="N230" s="43"/>
      <c r="O230" s="42"/>
      <c r="P230" s="43"/>
      <c r="Q230" s="33"/>
      <c r="R230" s="33"/>
      <c r="S230" s="43"/>
      <c r="T230" s="4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</row>
    <row r="231" spans="1:33">
      <c r="A231" s="33"/>
      <c r="B231" s="33"/>
      <c r="C231" s="33"/>
      <c r="D231" s="33"/>
      <c r="E231" s="42"/>
      <c r="F231" s="33"/>
      <c r="G231" s="43"/>
      <c r="H231" s="33"/>
      <c r="I231" s="33"/>
      <c r="J231" s="33"/>
      <c r="K231" s="33"/>
      <c r="L231" s="44"/>
      <c r="M231" s="44"/>
      <c r="N231" s="43"/>
      <c r="O231" s="42"/>
      <c r="P231" s="43"/>
      <c r="Q231" s="33"/>
      <c r="R231" s="33"/>
      <c r="S231" s="4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</row>
    <row r="232" spans="1:33">
      <c r="A232" s="33"/>
      <c r="B232" s="33"/>
      <c r="C232" s="33"/>
      <c r="D232" s="33"/>
      <c r="E232" s="42"/>
      <c r="F232" s="33"/>
      <c r="G232" s="43"/>
      <c r="H232" s="33"/>
      <c r="I232" s="33"/>
      <c r="J232" s="33"/>
      <c r="K232" s="33"/>
      <c r="L232" s="57"/>
      <c r="M232" s="44"/>
      <c r="N232" s="43"/>
      <c r="O232" s="42"/>
      <c r="P232" s="43"/>
      <c r="Q232" s="33"/>
      <c r="R232" s="33"/>
      <c r="S232" s="4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</row>
    <row r="233" spans="1:33">
      <c r="A233" s="33"/>
      <c r="B233" s="33"/>
      <c r="C233" s="33"/>
      <c r="D233" s="33"/>
      <c r="E233" s="42"/>
      <c r="F233" s="33"/>
      <c r="G233" s="43"/>
      <c r="H233" s="33"/>
      <c r="I233" s="33"/>
      <c r="J233" s="33"/>
      <c r="K233" s="33"/>
      <c r="L233" s="44"/>
      <c r="M233" s="44"/>
      <c r="N233" s="43"/>
      <c r="O233" s="42"/>
      <c r="P233" s="43"/>
      <c r="Q233" s="33"/>
      <c r="R233" s="33"/>
      <c r="S233" s="4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</row>
    <row r="234" spans="1:33">
      <c r="A234" s="33"/>
      <c r="B234" s="33"/>
      <c r="C234" s="33"/>
      <c r="D234" s="33"/>
      <c r="E234" s="42"/>
      <c r="F234" s="33"/>
      <c r="G234" s="43"/>
      <c r="H234" s="33"/>
      <c r="I234" s="33"/>
      <c r="J234" s="33"/>
      <c r="K234" s="33"/>
      <c r="L234" s="57"/>
      <c r="M234" s="44"/>
      <c r="N234" s="33"/>
      <c r="O234" s="42"/>
      <c r="P234" s="33"/>
      <c r="Q234" s="33"/>
      <c r="R234" s="33"/>
      <c r="S234" s="4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</row>
    <row r="235" spans="1:33">
      <c r="A235" s="33"/>
      <c r="B235" s="33"/>
      <c r="C235" s="33"/>
      <c r="D235" s="33"/>
      <c r="E235" s="42"/>
      <c r="F235" s="33"/>
      <c r="G235" s="43"/>
      <c r="H235" s="33"/>
      <c r="I235" s="33"/>
      <c r="J235" s="33"/>
      <c r="K235" s="33"/>
      <c r="L235" s="44"/>
      <c r="M235" s="44"/>
      <c r="N235" s="33"/>
      <c r="O235" s="42"/>
      <c r="P235" s="33"/>
      <c r="Q235" s="33"/>
      <c r="R235" s="33"/>
      <c r="S235" s="4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</row>
    <row r="236" spans="1:33">
      <c r="A236" s="33"/>
      <c r="B236" s="33"/>
      <c r="C236" s="33"/>
      <c r="D236" s="33"/>
      <c r="E236" s="42"/>
      <c r="F236" s="33"/>
      <c r="G236" s="43"/>
      <c r="H236" s="33"/>
      <c r="I236" s="33"/>
      <c r="J236" s="33"/>
      <c r="K236" s="33"/>
      <c r="L236" s="57"/>
      <c r="M236" s="44"/>
      <c r="N236" s="43"/>
      <c r="O236" s="42"/>
      <c r="P236" s="43"/>
      <c r="Q236" s="33"/>
      <c r="R236" s="33"/>
      <c r="S236" s="43"/>
      <c r="T236" s="4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</row>
    <row r="237" spans="1:33">
      <c r="A237" s="33"/>
      <c r="B237" s="33"/>
      <c r="C237" s="33"/>
      <c r="D237" s="33"/>
      <c r="E237" s="42"/>
      <c r="F237" s="33"/>
      <c r="G237" s="43"/>
      <c r="H237" s="33"/>
      <c r="I237" s="33"/>
      <c r="J237" s="33"/>
      <c r="K237" s="33"/>
      <c r="L237" s="57"/>
      <c r="M237" s="44"/>
      <c r="N237" s="43"/>
      <c r="O237" s="42"/>
      <c r="P237" s="43"/>
      <c r="Q237" s="33"/>
      <c r="R237" s="33"/>
      <c r="S237" s="43"/>
      <c r="T237" s="4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</row>
    <row r="238" spans="1:33">
      <c r="A238" s="33"/>
      <c r="B238" s="33"/>
      <c r="C238" s="33"/>
      <c r="D238" s="33"/>
      <c r="E238" s="42"/>
      <c r="F238" s="33"/>
      <c r="G238" s="43"/>
      <c r="H238" s="33"/>
      <c r="I238" s="33"/>
      <c r="J238" s="33"/>
      <c r="K238" s="33"/>
      <c r="L238" s="57"/>
      <c r="M238" s="44"/>
      <c r="N238" s="43"/>
      <c r="O238" s="42"/>
      <c r="P238" s="43"/>
      <c r="Q238" s="33"/>
      <c r="R238" s="33"/>
      <c r="S238" s="43"/>
      <c r="T238" s="4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</row>
    <row r="239" spans="1:33">
      <c r="A239" s="33"/>
      <c r="B239" s="33"/>
      <c r="C239" s="33"/>
      <c r="D239" s="33"/>
      <c r="E239" s="42"/>
      <c r="F239" s="33"/>
      <c r="G239" s="43"/>
      <c r="H239" s="33"/>
      <c r="I239" s="33"/>
      <c r="J239" s="33"/>
      <c r="K239" s="33"/>
      <c r="L239" s="57"/>
      <c r="M239" s="44"/>
      <c r="N239" s="43"/>
      <c r="O239" s="42"/>
      <c r="P239" s="43"/>
      <c r="Q239" s="33"/>
      <c r="R239" s="33"/>
      <c r="S239" s="43"/>
      <c r="T239" s="4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</row>
    <row r="240" spans="1:33">
      <c r="A240" s="33"/>
      <c r="B240" s="33"/>
      <c r="C240" s="33"/>
      <c r="D240" s="33"/>
      <c r="E240" s="42"/>
      <c r="F240" s="33"/>
      <c r="G240" s="43"/>
      <c r="H240" s="33"/>
      <c r="I240" s="33"/>
      <c r="J240" s="33"/>
      <c r="K240" s="33"/>
      <c r="L240" s="57"/>
      <c r="M240" s="44"/>
      <c r="N240" s="43"/>
      <c r="O240" s="42"/>
      <c r="P240" s="43"/>
      <c r="Q240" s="33"/>
      <c r="R240" s="33"/>
      <c r="S240" s="4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</row>
    <row r="241" spans="1:33">
      <c r="A241" s="33"/>
      <c r="B241" s="33"/>
      <c r="C241" s="33"/>
      <c r="D241" s="33"/>
      <c r="E241" s="42"/>
      <c r="F241" s="33"/>
      <c r="G241" s="43"/>
      <c r="H241" s="33"/>
      <c r="I241" s="33"/>
      <c r="J241" s="33"/>
      <c r="K241" s="33"/>
      <c r="L241" s="57"/>
      <c r="M241" s="44"/>
      <c r="N241" s="43"/>
      <c r="O241" s="42"/>
      <c r="P241" s="43"/>
      <c r="Q241" s="33"/>
      <c r="R241" s="33"/>
      <c r="S241" s="4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</row>
    <row r="242" spans="1:33">
      <c r="A242" s="33"/>
      <c r="B242" s="33"/>
      <c r="C242" s="33"/>
      <c r="D242" s="33"/>
      <c r="E242" s="42"/>
      <c r="F242" s="33"/>
      <c r="G242" s="43"/>
      <c r="H242" s="33"/>
      <c r="I242" s="33"/>
      <c r="J242" s="33"/>
      <c r="K242" s="33"/>
      <c r="L242" s="57"/>
      <c r="M242" s="44"/>
      <c r="N242" s="33"/>
      <c r="O242" s="42"/>
      <c r="P242" s="43"/>
      <c r="Q242" s="33"/>
      <c r="R242" s="33"/>
      <c r="S242" s="43"/>
      <c r="T242" s="4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</row>
    <row r="243" spans="1:33">
      <c r="A243" s="33"/>
      <c r="B243" s="33"/>
      <c r="C243" s="33"/>
      <c r="D243" s="33"/>
      <c r="E243" s="42"/>
      <c r="F243" s="33"/>
      <c r="G243" s="43"/>
      <c r="H243" s="33"/>
      <c r="I243" s="33"/>
      <c r="J243" s="33"/>
      <c r="K243" s="33"/>
      <c r="L243" s="57"/>
      <c r="M243" s="44"/>
      <c r="N243" s="43"/>
      <c r="O243" s="42"/>
      <c r="P243" s="43"/>
      <c r="Q243" s="33"/>
      <c r="R243" s="33"/>
      <c r="S243" s="4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</row>
    <row r="244" spans="1:33">
      <c r="A244" s="33"/>
      <c r="B244" s="33"/>
      <c r="C244" s="33"/>
      <c r="D244" s="33"/>
      <c r="E244" s="42"/>
      <c r="F244" s="33"/>
      <c r="G244" s="43"/>
      <c r="H244" s="33"/>
      <c r="I244" s="33"/>
      <c r="J244" s="33"/>
      <c r="K244" s="33"/>
      <c r="L244" s="57"/>
      <c r="M244" s="44"/>
      <c r="N244" s="33"/>
      <c r="O244" s="42"/>
      <c r="P244" s="43"/>
      <c r="Q244" s="33"/>
      <c r="R244" s="33"/>
      <c r="S244" s="4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</row>
    <row r="245" spans="1:33">
      <c r="A245" s="33"/>
      <c r="B245" s="33"/>
      <c r="C245" s="33"/>
      <c r="D245" s="33"/>
      <c r="E245" s="42"/>
      <c r="F245" s="33"/>
      <c r="G245" s="43"/>
      <c r="H245" s="33"/>
      <c r="I245" s="33"/>
      <c r="J245" s="33"/>
      <c r="K245" s="33"/>
      <c r="L245" s="57"/>
      <c r="M245" s="44"/>
      <c r="N245" s="43"/>
      <c r="O245" s="42"/>
      <c r="P245" s="43"/>
      <c r="Q245" s="33"/>
      <c r="R245" s="33"/>
      <c r="S245" s="4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</row>
    <row r="246" spans="1:33">
      <c r="A246" s="33"/>
      <c r="B246" s="33"/>
      <c r="C246" s="33"/>
      <c r="D246" s="33"/>
      <c r="E246" s="42"/>
      <c r="F246" s="33"/>
      <c r="G246" s="43"/>
      <c r="H246" s="33"/>
      <c r="I246" s="33"/>
      <c r="J246" s="33"/>
      <c r="K246" s="33"/>
      <c r="L246" s="57"/>
      <c r="M246" s="44"/>
      <c r="N246" s="33"/>
      <c r="O246" s="42"/>
      <c r="P246" s="43"/>
      <c r="Q246" s="33"/>
      <c r="R246" s="33"/>
      <c r="S246" s="4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</row>
    <row r="247" spans="1:33">
      <c r="A247" s="33"/>
      <c r="B247" s="33"/>
      <c r="C247" s="33"/>
      <c r="D247" s="33"/>
      <c r="E247" s="42"/>
      <c r="F247" s="33"/>
      <c r="G247" s="43"/>
      <c r="H247" s="33"/>
      <c r="I247" s="33"/>
      <c r="J247" s="33"/>
      <c r="K247" s="33"/>
      <c r="L247" s="57"/>
      <c r="M247" s="44"/>
      <c r="N247" s="43"/>
      <c r="O247" s="42"/>
      <c r="P247" s="43"/>
      <c r="Q247" s="33"/>
      <c r="R247" s="33"/>
      <c r="S247" s="4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</row>
    <row r="248" spans="1:33">
      <c r="A248" s="33"/>
      <c r="B248" s="33"/>
      <c r="C248" s="33"/>
      <c r="D248" s="33"/>
      <c r="E248" s="42"/>
      <c r="F248" s="33"/>
      <c r="G248" s="43"/>
      <c r="H248" s="33"/>
      <c r="I248" s="33"/>
      <c r="J248" s="33"/>
      <c r="K248" s="33"/>
      <c r="L248" s="57"/>
      <c r="M248" s="44"/>
      <c r="N248" s="43"/>
      <c r="O248" s="42"/>
      <c r="P248" s="43"/>
      <c r="Q248" s="33"/>
      <c r="R248" s="33"/>
      <c r="S248" s="4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</row>
    <row r="249" spans="1:33">
      <c r="A249" s="33"/>
      <c r="B249" s="33"/>
      <c r="C249" s="33"/>
      <c r="D249" s="33"/>
      <c r="E249" s="42"/>
      <c r="F249" s="33"/>
      <c r="G249" s="43"/>
      <c r="H249" s="33"/>
      <c r="I249" s="33"/>
      <c r="J249" s="33"/>
      <c r="K249" s="33"/>
      <c r="L249" s="57"/>
      <c r="M249" s="44"/>
      <c r="N249" s="43"/>
      <c r="O249" s="42"/>
      <c r="P249" s="43"/>
      <c r="Q249" s="33"/>
      <c r="R249" s="33"/>
      <c r="S249" s="4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</row>
    <row r="250" spans="1:33">
      <c r="A250" s="33"/>
      <c r="B250" s="33"/>
      <c r="C250" s="33"/>
      <c r="D250" s="33"/>
      <c r="E250" s="42"/>
      <c r="F250" s="33"/>
      <c r="G250" s="43"/>
      <c r="H250" s="33"/>
      <c r="I250" s="33"/>
      <c r="J250" s="33"/>
      <c r="K250" s="33"/>
      <c r="L250" s="57"/>
      <c r="M250" s="44"/>
      <c r="N250" s="43"/>
      <c r="O250" s="42"/>
      <c r="P250" s="43"/>
      <c r="Q250" s="33"/>
      <c r="R250" s="33"/>
      <c r="S250" s="4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</row>
    <row r="251" spans="1:33">
      <c r="A251" s="33"/>
      <c r="B251" s="33"/>
      <c r="C251" s="33"/>
      <c r="D251" s="33"/>
      <c r="E251" s="42"/>
      <c r="F251" s="33"/>
      <c r="G251" s="43"/>
      <c r="H251" s="33"/>
      <c r="I251" s="33"/>
      <c r="J251" s="33"/>
      <c r="K251" s="33"/>
      <c r="L251" s="57"/>
      <c r="M251" s="44"/>
      <c r="N251" s="43"/>
      <c r="O251" s="42"/>
      <c r="P251" s="43"/>
      <c r="Q251" s="33"/>
      <c r="R251" s="33"/>
      <c r="S251" s="4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</row>
    <row r="252" spans="1:33">
      <c r="A252" s="33"/>
      <c r="B252" s="33"/>
      <c r="C252" s="33"/>
      <c r="D252" s="33"/>
      <c r="E252" s="42"/>
      <c r="F252" s="33"/>
      <c r="G252" s="43"/>
      <c r="H252" s="33"/>
      <c r="I252" s="33"/>
      <c r="J252" s="33"/>
      <c r="K252" s="33"/>
      <c r="L252" s="57"/>
      <c r="M252" s="44"/>
      <c r="N252" s="43"/>
      <c r="O252" s="42"/>
      <c r="P252" s="43"/>
      <c r="Q252" s="33"/>
      <c r="R252" s="33"/>
      <c r="S252" s="4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</row>
    <row r="253" spans="1:33">
      <c r="A253" s="33"/>
      <c r="B253" s="33"/>
      <c r="C253" s="33"/>
      <c r="D253" s="33"/>
      <c r="E253" s="42"/>
      <c r="F253" s="33"/>
      <c r="G253" s="43"/>
      <c r="H253" s="33"/>
      <c r="I253" s="33"/>
      <c r="J253" s="33"/>
      <c r="K253" s="33"/>
      <c r="L253" s="57"/>
      <c r="M253" s="44"/>
      <c r="N253" s="43"/>
      <c r="O253" s="42"/>
      <c r="P253" s="43"/>
      <c r="Q253" s="33"/>
      <c r="R253" s="33"/>
      <c r="S253" s="4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</row>
    <row r="254" spans="1:33">
      <c r="A254" s="33"/>
      <c r="B254" s="33"/>
      <c r="C254" s="33"/>
      <c r="D254" s="33"/>
      <c r="E254" s="42"/>
      <c r="F254" s="33"/>
      <c r="G254" s="43"/>
      <c r="H254" s="33"/>
      <c r="I254" s="33"/>
      <c r="J254" s="33"/>
      <c r="K254" s="33"/>
      <c r="L254" s="57"/>
      <c r="M254" s="44"/>
      <c r="N254" s="43"/>
      <c r="O254" s="42"/>
      <c r="P254" s="43"/>
      <c r="Q254" s="33"/>
      <c r="R254" s="33"/>
      <c r="S254" s="4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</row>
    <row r="255" spans="1:33">
      <c r="A255" s="33"/>
      <c r="B255" s="33"/>
      <c r="C255" s="33"/>
      <c r="D255" s="33"/>
      <c r="E255" s="42"/>
      <c r="F255" s="33"/>
      <c r="G255" s="43"/>
      <c r="H255" s="33"/>
      <c r="I255" s="33"/>
      <c r="J255" s="43"/>
      <c r="K255" s="33"/>
      <c r="L255" s="57"/>
      <c r="M255" s="44"/>
      <c r="N255" s="43"/>
      <c r="O255" s="42"/>
      <c r="P255" s="43"/>
      <c r="Q255" s="33"/>
      <c r="R255" s="33"/>
      <c r="S255" s="4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</row>
    <row r="256" spans="1:33">
      <c r="A256" s="33"/>
      <c r="B256" s="33"/>
      <c r="C256" s="33"/>
      <c r="D256" s="33"/>
      <c r="E256" s="42"/>
      <c r="F256" s="33"/>
      <c r="G256" s="43"/>
      <c r="H256" s="33"/>
      <c r="I256" s="33"/>
      <c r="J256" s="43"/>
      <c r="K256" s="33"/>
      <c r="L256" s="57"/>
      <c r="M256" s="44"/>
      <c r="N256" s="43"/>
      <c r="O256" s="42"/>
      <c r="P256" s="43"/>
      <c r="Q256" s="33"/>
      <c r="R256" s="33"/>
      <c r="S256" s="4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</row>
    <row r="257" spans="1:33">
      <c r="A257" s="33"/>
      <c r="B257" s="33"/>
      <c r="C257" s="33"/>
      <c r="D257" s="33"/>
      <c r="E257" s="42"/>
      <c r="F257" s="33"/>
      <c r="G257" s="43"/>
      <c r="H257" s="33"/>
      <c r="I257" s="33"/>
      <c r="J257" s="43"/>
      <c r="K257" s="33"/>
      <c r="L257" s="57"/>
      <c r="M257" s="44"/>
      <c r="N257" s="43"/>
      <c r="O257" s="42"/>
      <c r="P257" s="43"/>
      <c r="Q257" s="33"/>
      <c r="R257" s="33"/>
      <c r="S257" s="4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</row>
    <row r="258" spans="1:33">
      <c r="A258" s="33"/>
      <c r="B258" s="33"/>
      <c r="C258" s="33"/>
      <c r="D258" s="33"/>
      <c r="E258" s="42"/>
      <c r="F258" s="33"/>
      <c r="G258" s="43"/>
      <c r="H258" s="33"/>
      <c r="I258" s="33"/>
      <c r="J258" s="43"/>
      <c r="K258" s="33"/>
      <c r="L258" s="57"/>
      <c r="M258" s="44"/>
      <c r="N258" s="43"/>
      <c r="O258" s="42"/>
      <c r="P258" s="43"/>
      <c r="Q258" s="33"/>
      <c r="R258" s="33"/>
      <c r="S258" s="4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</row>
    <row r="259" spans="1:33">
      <c r="A259" s="33"/>
      <c r="B259" s="33"/>
      <c r="C259" s="33"/>
      <c r="D259" s="33"/>
      <c r="E259" s="42"/>
      <c r="F259" s="33"/>
      <c r="G259" s="43"/>
      <c r="H259" s="33"/>
      <c r="I259" s="33"/>
      <c r="J259" s="33"/>
      <c r="K259" s="33"/>
      <c r="L259" s="57"/>
      <c r="M259" s="44"/>
      <c r="N259" s="43"/>
      <c r="O259" s="42"/>
      <c r="P259" s="43"/>
      <c r="Q259" s="33"/>
      <c r="R259" s="33"/>
      <c r="S259" s="4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</row>
    <row r="260" spans="1:33">
      <c r="A260" s="33"/>
      <c r="B260" s="33"/>
      <c r="C260" s="33"/>
      <c r="D260" s="33"/>
      <c r="E260" s="42"/>
      <c r="F260" s="33"/>
      <c r="G260" s="43"/>
      <c r="H260" s="33"/>
      <c r="I260" s="33"/>
      <c r="J260" s="33"/>
      <c r="K260" s="33"/>
      <c r="L260" s="57"/>
      <c r="M260" s="57"/>
      <c r="N260" s="33"/>
      <c r="O260" s="42"/>
      <c r="P260" s="33"/>
      <c r="Q260" s="33"/>
      <c r="R260" s="33"/>
      <c r="S260" s="4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</row>
    <row r="261" spans="1:33">
      <c r="A261" s="33"/>
      <c r="B261" s="33"/>
      <c r="C261" s="33"/>
      <c r="D261" s="33"/>
      <c r="E261" s="42"/>
      <c r="F261" s="33"/>
      <c r="G261" s="43"/>
      <c r="H261" s="33"/>
      <c r="I261" s="33"/>
      <c r="J261" s="33"/>
      <c r="K261" s="33"/>
      <c r="L261" s="57"/>
      <c r="M261" s="57"/>
      <c r="N261" s="33"/>
      <c r="O261" s="42"/>
      <c r="P261" s="33"/>
      <c r="Q261" s="33"/>
      <c r="R261" s="33"/>
      <c r="S261" s="4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</row>
    <row r="262" spans="1:33">
      <c r="A262" s="33"/>
      <c r="B262" s="33"/>
      <c r="C262" s="33"/>
      <c r="D262" s="33"/>
      <c r="E262" s="42"/>
      <c r="F262" s="33"/>
      <c r="G262" s="43"/>
      <c r="H262" s="33"/>
      <c r="I262" s="33"/>
      <c r="J262" s="33"/>
      <c r="K262" s="33"/>
      <c r="L262" s="57"/>
      <c r="M262" s="57"/>
      <c r="N262" s="33"/>
      <c r="O262" s="42"/>
      <c r="P262" s="33"/>
      <c r="Q262" s="33"/>
      <c r="R262" s="33"/>
      <c r="S262" s="4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</row>
    <row r="263" spans="1:33">
      <c r="A263" s="33"/>
      <c r="B263" s="33"/>
      <c r="C263" s="33"/>
      <c r="D263" s="33"/>
      <c r="E263" s="42"/>
      <c r="F263" s="33"/>
      <c r="G263" s="43"/>
      <c r="H263" s="33"/>
      <c r="I263" s="33"/>
      <c r="J263" s="33"/>
      <c r="K263" s="33"/>
      <c r="L263" s="44"/>
      <c r="M263" s="44"/>
      <c r="N263" s="43"/>
      <c r="O263" s="42"/>
      <c r="P263" s="43"/>
      <c r="Q263" s="33"/>
      <c r="R263" s="33"/>
      <c r="S263" s="43"/>
      <c r="T263" s="4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</row>
    <row r="264" spans="1:33">
      <c r="A264" s="33"/>
      <c r="B264" s="33"/>
      <c r="C264" s="33"/>
      <c r="D264" s="33"/>
      <c r="E264" s="42"/>
      <c r="F264" s="33"/>
      <c r="G264" s="43"/>
      <c r="H264" s="33"/>
      <c r="I264" s="33"/>
      <c r="J264" s="33"/>
      <c r="K264" s="33"/>
      <c r="L264" s="57"/>
      <c r="M264" s="57"/>
      <c r="N264" s="43"/>
      <c r="O264" s="42"/>
      <c r="P264" s="43"/>
      <c r="Q264" s="33"/>
      <c r="R264" s="33"/>
      <c r="S264" s="43"/>
      <c r="T264" s="4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</row>
    <row r="265" spans="1:33">
      <c r="A265" s="33"/>
      <c r="B265" s="33"/>
      <c r="C265" s="33"/>
      <c r="D265" s="33"/>
      <c r="E265" s="42"/>
      <c r="F265" s="33"/>
      <c r="G265" s="43"/>
      <c r="H265" s="33"/>
      <c r="I265" s="33"/>
      <c r="J265" s="33"/>
      <c r="K265" s="33"/>
      <c r="L265" s="57"/>
      <c r="M265" s="57"/>
      <c r="N265" s="43"/>
      <c r="O265" s="42"/>
      <c r="P265" s="43"/>
      <c r="Q265" s="33"/>
      <c r="R265" s="33"/>
      <c r="S265" s="43"/>
      <c r="T265" s="4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</row>
    <row r="266" spans="1:33">
      <c r="A266" s="33"/>
      <c r="B266" s="33"/>
      <c r="C266" s="33"/>
      <c r="D266" s="33"/>
      <c r="E266" s="42"/>
      <c r="F266" s="33"/>
      <c r="G266" s="43"/>
      <c r="H266" s="33"/>
      <c r="I266" s="33"/>
      <c r="J266" s="33"/>
      <c r="K266" s="33"/>
      <c r="L266" s="44"/>
      <c r="M266" s="44"/>
      <c r="N266" s="33"/>
      <c r="O266" s="42"/>
      <c r="P266" s="33"/>
      <c r="Q266" s="33"/>
      <c r="R266" s="33"/>
      <c r="S266" s="4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</row>
    <row r="267" spans="1:33">
      <c r="A267" s="33"/>
      <c r="B267" s="33"/>
      <c r="C267" s="33"/>
      <c r="D267" s="33"/>
      <c r="E267" s="42"/>
      <c r="F267" s="33"/>
      <c r="G267" s="43"/>
      <c r="H267" s="33"/>
      <c r="I267" s="33"/>
      <c r="J267" s="33"/>
      <c r="K267" s="33"/>
      <c r="L267" s="57"/>
      <c r="M267" s="57"/>
      <c r="N267" s="33"/>
      <c r="O267" s="42"/>
      <c r="P267" s="33"/>
      <c r="Q267" s="33"/>
      <c r="R267" s="33"/>
      <c r="S267" s="4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</row>
    <row r="268" spans="1:33">
      <c r="A268" s="33"/>
      <c r="B268" s="33"/>
      <c r="C268" s="33"/>
      <c r="D268" s="33"/>
      <c r="E268" s="42"/>
      <c r="F268" s="33"/>
      <c r="G268" s="43"/>
      <c r="H268" s="33"/>
      <c r="I268" s="33"/>
      <c r="J268" s="33"/>
      <c r="K268" s="33"/>
      <c r="L268" s="57"/>
      <c r="M268" s="57"/>
      <c r="N268" s="33"/>
      <c r="O268" s="42"/>
      <c r="P268" s="33"/>
      <c r="Q268" s="33"/>
      <c r="R268" s="33"/>
      <c r="S268" s="4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</row>
    <row r="269" spans="1:33">
      <c r="A269" s="33"/>
      <c r="B269" s="33"/>
      <c r="C269" s="33"/>
      <c r="D269" s="33"/>
      <c r="E269" s="42"/>
      <c r="F269" s="33"/>
      <c r="G269" s="43"/>
      <c r="H269" s="33"/>
      <c r="I269" s="33"/>
      <c r="J269" s="33"/>
      <c r="K269" s="33"/>
      <c r="L269" s="57"/>
      <c r="M269" s="57"/>
      <c r="N269" s="43"/>
      <c r="O269" s="42"/>
      <c r="P269" s="43"/>
      <c r="Q269" s="33"/>
      <c r="R269" s="33"/>
      <c r="S269" s="43"/>
      <c r="T269" s="4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</row>
    <row r="270" spans="1:33">
      <c r="A270" s="33"/>
      <c r="B270" s="33"/>
      <c r="C270" s="33"/>
      <c r="D270" s="33"/>
      <c r="E270" s="42"/>
      <c r="F270" s="33"/>
      <c r="G270" s="43"/>
      <c r="H270" s="33"/>
      <c r="I270" s="33"/>
      <c r="J270" s="33"/>
      <c r="K270" s="33"/>
      <c r="L270" s="57"/>
      <c r="M270" s="44"/>
      <c r="N270" s="43"/>
      <c r="O270" s="42"/>
      <c r="P270" s="43"/>
      <c r="Q270" s="33"/>
      <c r="R270" s="33"/>
      <c r="S270" s="4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</row>
    <row r="271" spans="1:33">
      <c r="A271" s="33"/>
      <c r="B271" s="33"/>
      <c r="C271" s="33"/>
      <c r="D271" s="33"/>
      <c r="E271" s="42"/>
      <c r="F271" s="33"/>
      <c r="G271" s="43"/>
      <c r="H271" s="33"/>
      <c r="I271" s="33"/>
      <c r="J271" s="33"/>
      <c r="K271" s="33"/>
      <c r="L271" s="57"/>
      <c r="M271" s="44"/>
      <c r="N271" s="43"/>
      <c r="O271" s="42"/>
      <c r="P271" s="43"/>
      <c r="Q271" s="33"/>
      <c r="R271" s="33"/>
      <c r="S271" s="4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</row>
    <row r="272" spans="1:33">
      <c r="A272" s="33"/>
      <c r="B272" s="33"/>
      <c r="C272" s="33"/>
      <c r="D272" s="33"/>
      <c r="E272" s="42"/>
      <c r="F272" s="33"/>
      <c r="G272" s="43"/>
      <c r="H272" s="33"/>
      <c r="I272" s="33"/>
      <c r="J272" s="43"/>
      <c r="K272" s="33"/>
      <c r="L272" s="57"/>
      <c r="M272" s="44"/>
      <c r="N272" s="43"/>
      <c r="O272" s="42"/>
      <c r="P272" s="43"/>
      <c r="Q272" s="33"/>
      <c r="R272" s="33"/>
      <c r="S272" s="4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</row>
    <row r="273" spans="1:33">
      <c r="A273" s="33"/>
      <c r="B273" s="33"/>
      <c r="C273" s="33"/>
      <c r="D273" s="33"/>
      <c r="E273" s="42"/>
      <c r="F273" s="33"/>
      <c r="G273" s="43"/>
      <c r="H273" s="33"/>
      <c r="I273" s="33"/>
      <c r="J273" s="43"/>
      <c r="K273" s="33"/>
      <c r="L273" s="44"/>
      <c r="M273" s="57"/>
      <c r="N273" s="33"/>
      <c r="O273" s="42"/>
      <c r="P273" s="33"/>
      <c r="Q273" s="33"/>
      <c r="R273" s="33"/>
      <c r="S273" s="4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</row>
    <row r="274" spans="1:33">
      <c r="A274" s="33"/>
      <c r="B274" s="33"/>
      <c r="C274" s="33"/>
      <c r="D274" s="33"/>
      <c r="E274" s="42"/>
      <c r="F274" s="33"/>
      <c r="G274" s="43"/>
      <c r="H274" s="33"/>
      <c r="I274" s="33"/>
      <c r="J274" s="33"/>
      <c r="K274" s="33"/>
      <c r="L274" s="44"/>
      <c r="M274" s="44"/>
      <c r="N274" s="43"/>
      <c r="O274" s="42"/>
      <c r="P274" s="43"/>
      <c r="Q274" s="33"/>
      <c r="R274" s="33"/>
      <c r="S274" s="43"/>
      <c r="T274" s="4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</row>
    <row r="275" spans="1:33">
      <c r="A275" s="33"/>
      <c r="B275" s="33"/>
      <c r="C275" s="33"/>
      <c r="D275" s="33"/>
      <c r="E275" s="42"/>
      <c r="F275" s="33"/>
      <c r="G275" s="43"/>
      <c r="H275" s="33"/>
      <c r="I275" s="33"/>
      <c r="J275" s="33"/>
      <c r="K275" s="33"/>
      <c r="L275" s="57"/>
      <c r="M275" s="44"/>
      <c r="N275" s="33"/>
      <c r="O275" s="42"/>
      <c r="P275" s="33"/>
      <c r="Q275" s="33"/>
      <c r="R275" s="33"/>
      <c r="S275" s="4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</row>
    <row r="276" spans="1:33">
      <c r="A276" s="33"/>
      <c r="B276" s="33"/>
      <c r="C276" s="33"/>
      <c r="D276" s="33"/>
      <c r="E276" s="42"/>
      <c r="F276" s="33"/>
      <c r="G276" s="43"/>
      <c r="H276" s="33"/>
      <c r="I276" s="33"/>
      <c r="J276" s="33"/>
      <c r="K276" s="33"/>
      <c r="L276" s="57"/>
      <c r="M276" s="44"/>
      <c r="N276" s="33"/>
      <c r="O276" s="42"/>
      <c r="P276" s="33"/>
      <c r="Q276" s="33"/>
      <c r="R276" s="33"/>
      <c r="S276" s="4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</row>
    <row r="277" spans="1:33">
      <c r="A277" s="33"/>
      <c r="B277" s="33"/>
      <c r="C277" s="33"/>
      <c r="D277" s="33"/>
      <c r="E277" s="42"/>
      <c r="F277" s="33"/>
      <c r="G277" s="43"/>
      <c r="H277" s="33"/>
      <c r="I277" s="33"/>
      <c r="J277" s="33"/>
      <c r="K277" s="33"/>
      <c r="L277" s="57"/>
      <c r="M277" s="57"/>
      <c r="N277" s="33"/>
      <c r="O277" s="42"/>
      <c r="P277" s="33"/>
      <c r="Q277" s="33"/>
      <c r="R277" s="33"/>
      <c r="S277" s="4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</row>
    <row r="278" spans="1:33">
      <c r="A278" s="33"/>
      <c r="B278" s="33"/>
      <c r="C278" s="33"/>
      <c r="D278" s="33"/>
      <c r="E278" s="42"/>
      <c r="F278" s="33"/>
      <c r="G278" s="43"/>
      <c r="H278" s="33"/>
      <c r="I278" s="33"/>
      <c r="J278" s="33"/>
      <c r="K278" s="33"/>
      <c r="L278" s="57"/>
      <c r="M278" s="57"/>
      <c r="N278" s="33"/>
      <c r="O278" s="42"/>
      <c r="P278" s="33"/>
      <c r="Q278" s="33"/>
      <c r="R278" s="33"/>
      <c r="S278" s="4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</row>
    <row r="279" spans="1:33">
      <c r="A279" s="33"/>
      <c r="B279" s="33"/>
      <c r="C279" s="33"/>
      <c r="D279" s="33"/>
      <c r="E279" s="42"/>
      <c r="F279" s="33"/>
      <c r="G279" s="43"/>
      <c r="H279" s="33"/>
      <c r="I279" s="33"/>
      <c r="J279" s="33"/>
      <c r="K279" s="33"/>
      <c r="L279" s="57"/>
      <c r="M279" s="57"/>
      <c r="N279" s="33"/>
      <c r="O279" s="42"/>
      <c r="P279" s="33"/>
      <c r="Q279" s="33"/>
      <c r="R279" s="33"/>
      <c r="S279" s="4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</row>
    <row r="280" spans="1:33">
      <c r="A280" s="33"/>
      <c r="B280" s="33"/>
      <c r="C280" s="33"/>
      <c r="D280" s="33"/>
      <c r="E280" s="42"/>
      <c r="F280" s="33"/>
      <c r="G280" s="43"/>
      <c r="H280" s="33"/>
      <c r="I280" s="33"/>
      <c r="J280" s="33"/>
      <c r="K280" s="33"/>
      <c r="L280" s="57"/>
      <c r="M280" s="44"/>
      <c r="N280" s="43"/>
      <c r="O280" s="42"/>
      <c r="P280" s="43"/>
      <c r="Q280" s="33"/>
      <c r="R280" s="33"/>
      <c r="S280" s="43"/>
      <c r="T280" s="4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</row>
    <row r="281" spans="1:33">
      <c r="A281" s="33"/>
      <c r="B281" s="33"/>
      <c r="C281" s="33"/>
      <c r="D281" s="33"/>
      <c r="E281" s="42"/>
      <c r="F281" s="33"/>
      <c r="G281" s="43"/>
      <c r="H281" s="33"/>
      <c r="I281" s="33"/>
      <c r="J281" s="43"/>
      <c r="K281" s="33"/>
      <c r="L281" s="57"/>
      <c r="M281" s="44"/>
      <c r="N281" s="33"/>
      <c r="O281" s="42"/>
      <c r="P281" s="33"/>
      <c r="Q281" s="33"/>
      <c r="R281" s="33"/>
      <c r="S281" s="4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</row>
    <row r="282" spans="1:33">
      <c r="A282" s="33"/>
      <c r="B282" s="33"/>
      <c r="C282" s="33"/>
      <c r="D282" s="33"/>
      <c r="E282" s="42"/>
      <c r="F282" s="33"/>
      <c r="G282" s="43"/>
      <c r="H282" s="33"/>
      <c r="I282" s="33"/>
      <c r="J282" s="43"/>
      <c r="K282" s="33"/>
      <c r="L282" s="57"/>
      <c r="M282" s="44"/>
      <c r="N282" s="33"/>
      <c r="O282" s="42"/>
      <c r="P282" s="33"/>
      <c r="Q282" s="33"/>
      <c r="R282" s="33"/>
      <c r="S282" s="4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</row>
    <row r="283" spans="1:33">
      <c r="A283" s="33"/>
      <c r="B283" s="33"/>
      <c r="C283" s="33"/>
      <c r="D283" s="33"/>
      <c r="E283" s="42"/>
      <c r="F283" s="33"/>
      <c r="G283" s="43"/>
      <c r="H283" s="33"/>
      <c r="I283" s="33"/>
      <c r="J283" s="43"/>
      <c r="K283" s="33"/>
      <c r="L283" s="57"/>
      <c r="M283" s="44"/>
      <c r="N283" s="33"/>
      <c r="O283" s="42"/>
      <c r="P283" s="33"/>
      <c r="Q283" s="33"/>
      <c r="R283" s="33"/>
      <c r="S283" s="4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</row>
    <row r="284" spans="1:33">
      <c r="A284" s="33"/>
      <c r="B284" s="33"/>
      <c r="C284" s="33"/>
      <c r="D284" s="33"/>
      <c r="E284" s="42"/>
      <c r="F284" s="33"/>
      <c r="G284" s="43"/>
      <c r="H284" s="33"/>
      <c r="I284" s="33"/>
      <c r="J284" s="43"/>
      <c r="K284" s="33"/>
      <c r="L284" s="57"/>
      <c r="M284" s="44"/>
      <c r="N284" s="33"/>
      <c r="O284" s="42"/>
      <c r="P284" s="33"/>
      <c r="Q284" s="33"/>
      <c r="R284" s="33"/>
      <c r="S284" s="4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</row>
    <row r="285" spans="1:33">
      <c r="A285" s="33"/>
      <c r="B285" s="33"/>
      <c r="C285" s="33"/>
      <c r="D285" s="33"/>
      <c r="E285" s="42"/>
      <c r="F285" s="33"/>
      <c r="G285" s="43"/>
      <c r="H285" s="33"/>
      <c r="I285" s="33"/>
      <c r="J285" s="43"/>
      <c r="K285" s="33"/>
      <c r="L285" s="57"/>
      <c r="M285" s="44"/>
      <c r="N285" s="33"/>
      <c r="O285" s="42"/>
      <c r="P285" s="33"/>
      <c r="Q285" s="33"/>
      <c r="R285" s="33"/>
      <c r="S285" s="4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</row>
    <row r="286" spans="1:33">
      <c r="A286" s="33"/>
      <c r="B286" s="33"/>
      <c r="C286" s="33"/>
      <c r="D286" s="33"/>
      <c r="E286" s="42"/>
      <c r="F286" s="33"/>
      <c r="G286" s="43"/>
      <c r="H286" s="33"/>
      <c r="I286" s="33"/>
      <c r="J286" s="43"/>
      <c r="K286" s="33"/>
      <c r="L286" s="57"/>
      <c r="M286" s="44"/>
      <c r="N286" s="33"/>
      <c r="O286" s="42"/>
      <c r="P286" s="33"/>
      <c r="Q286" s="33"/>
      <c r="R286" s="33"/>
      <c r="S286" s="4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</row>
    <row r="287" spans="1:33">
      <c r="A287" s="33"/>
      <c r="B287" s="33"/>
      <c r="C287" s="33"/>
      <c r="D287" s="33"/>
      <c r="E287" s="42"/>
      <c r="F287" s="33"/>
      <c r="G287" s="43"/>
      <c r="H287" s="33"/>
      <c r="I287" s="33"/>
      <c r="J287" s="43"/>
      <c r="K287" s="33"/>
      <c r="L287" s="57"/>
      <c r="M287" s="44"/>
      <c r="N287" s="33"/>
      <c r="O287" s="42"/>
      <c r="P287" s="33"/>
      <c r="Q287" s="33"/>
      <c r="R287" s="33"/>
      <c r="S287" s="4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</row>
    <row r="288" spans="1:33">
      <c r="A288" s="33"/>
      <c r="B288" s="33"/>
      <c r="C288" s="33"/>
      <c r="D288" s="33"/>
      <c r="E288" s="42"/>
      <c r="F288" s="33"/>
      <c r="G288" s="43"/>
      <c r="H288" s="33"/>
      <c r="I288" s="33"/>
      <c r="J288" s="43"/>
      <c r="K288" s="33"/>
      <c r="L288" s="57"/>
      <c r="M288" s="44"/>
      <c r="N288" s="33"/>
      <c r="O288" s="42"/>
      <c r="P288" s="33"/>
      <c r="Q288" s="33"/>
      <c r="R288" s="33"/>
      <c r="S288" s="4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</row>
    <row r="289" spans="1:33">
      <c r="A289" s="33"/>
      <c r="B289" s="33"/>
      <c r="C289" s="33"/>
      <c r="D289" s="33"/>
      <c r="E289" s="42"/>
      <c r="F289" s="33"/>
      <c r="G289" s="43"/>
      <c r="H289" s="33"/>
      <c r="I289" s="33"/>
      <c r="J289" s="43"/>
      <c r="K289" s="33"/>
      <c r="L289" s="57"/>
      <c r="M289" s="57"/>
      <c r="N289" s="33"/>
      <c r="O289" s="42"/>
      <c r="P289" s="33"/>
      <c r="Q289" s="33"/>
      <c r="R289" s="33"/>
      <c r="S289" s="4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</row>
    <row r="290" spans="1:33">
      <c r="A290" s="33"/>
      <c r="B290" s="33"/>
      <c r="C290" s="33"/>
      <c r="D290" s="33"/>
      <c r="E290" s="42"/>
      <c r="F290" s="33"/>
      <c r="G290" s="43"/>
      <c r="H290" s="33"/>
      <c r="I290" s="33"/>
      <c r="J290" s="43"/>
      <c r="K290" s="33"/>
      <c r="L290" s="57"/>
      <c r="M290" s="44"/>
      <c r="N290" s="33"/>
      <c r="O290" s="42"/>
      <c r="P290" s="33"/>
      <c r="Q290" s="33"/>
      <c r="R290" s="33"/>
      <c r="S290" s="4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</row>
    <row r="291" spans="1:33">
      <c r="A291" s="33"/>
      <c r="B291" s="33"/>
      <c r="C291" s="33"/>
      <c r="D291" s="33"/>
      <c r="E291" s="42"/>
      <c r="F291" s="33"/>
      <c r="G291" s="43"/>
      <c r="H291" s="33"/>
      <c r="I291" s="33"/>
      <c r="J291" s="43"/>
      <c r="K291" s="33"/>
      <c r="L291" s="57"/>
      <c r="M291" s="57"/>
      <c r="N291" s="33"/>
      <c r="O291" s="42"/>
      <c r="P291" s="33"/>
      <c r="Q291" s="33"/>
      <c r="R291" s="33"/>
      <c r="S291" s="4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</row>
    <row r="292" spans="1:33">
      <c r="A292" s="33"/>
      <c r="B292" s="33"/>
      <c r="C292" s="33"/>
      <c r="D292" s="33"/>
      <c r="E292" s="42"/>
      <c r="F292" s="33"/>
      <c r="G292" s="43"/>
      <c r="H292" s="33"/>
      <c r="I292" s="33"/>
      <c r="J292" s="43"/>
      <c r="K292" s="33"/>
      <c r="L292" s="57"/>
      <c r="M292" s="57"/>
      <c r="N292" s="43"/>
      <c r="O292" s="42"/>
      <c r="P292" s="43"/>
      <c r="Q292" s="33"/>
      <c r="R292" s="33"/>
      <c r="S292" s="43"/>
      <c r="T292" s="4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</row>
    <row r="293" spans="1:33">
      <c r="A293" s="33"/>
      <c r="B293" s="33"/>
      <c r="C293" s="33"/>
      <c r="D293" s="33"/>
      <c r="E293" s="42"/>
      <c r="F293" s="33"/>
      <c r="G293" s="43"/>
      <c r="H293" s="33"/>
      <c r="I293" s="33"/>
      <c r="J293" s="43"/>
      <c r="K293" s="33"/>
      <c r="L293" s="57"/>
      <c r="M293" s="44"/>
      <c r="N293" s="43"/>
      <c r="O293" s="42"/>
      <c r="P293" s="43"/>
      <c r="Q293" s="33"/>
      <c r="R293" s="33"/>
      <c r="S293" s="43"/>
      <c r="T293" s="4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</row>
    <row r="294" spans="1:33">
      <c r="A294" s="33"/>
      <c r="B294" s="33"/>
      <c r="C294" s="33"/>
      <c r="D294" s="33"/>
      <c r="E294" s="42"/>
      <c r="F294" s="33"/>
      <c r="G294" s="43"/>
      <c r="H294" s="33"/>
      <c r="I294" s="33"/>
      <c r="J294" s="33"/>
      <c r="K294" s="33"/>
      <c r="L294" s="44"/>
      <c r="M294" s="44"/>
      <c r="N294" s="33"/>
      <c r="O294" s="42"/>
      <c r="P294" s="33"/>
      <c r="Q294" s="33"/>
      <c r="R294" s="33"/>
      <c r="S294" s="4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</row>
    <row r="295" spans="1:33">
      <c r="A295" s="33"/>
      <c r="B295" s="33"/>
      <c r="C295" s="33"/>
      <c r="D295" s="33"/>
      <c r="E295" s="42"/>
      <c r="F295" s="33"/>
      <c r="G295" s="43"/>
      <c r="H295" s="33"/>
      <c r="I295" s="33"/>
      <c r="J295" s="33"/>
      <c r="K295" s="33"/>
      <c r="L295" s="44"/>
      <c r="M295" s="44"/>
      <c r="N295" s="43"/>
      <c r="O295" s="42"/>
      <c r="P295" s="43"/>
      <c r="Q295" s="33"/>
      <c r="R295" s="33"/>
      <c r="S295" s="43"/>
      <c r="T295" s="4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</row>
    <row r="296" spans="1:33">
      <c r="A296" s="33"/>
      <c r="B296" s="33"/>
      <c r="C296" s="33"/>
      <c r="D296" s="33"/>
      <c r="E296" s="42"/>
      <c r="F296" s="33"/>
      <c r="G296" s="43"/>
      <c r="H296" s="33"/>
      <c r="I296" s="33"/>
      <c r="J296" s="33"/>
      <c r="K296" s="33"/>
      <c r="L296" s="44"/>
      <c r="M296" s="44"/>
      <c r="N296" s="43"/>
      <c r="O296" s="42"/>
      <c r="P296" s="43"/>
      <c r="Q296" s="33"/>
      <c r="R296" s="33"/>
      <c r="S296" s="43"/>
      <c r="T296" s="4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</row>
    <row r="297" spans="1:33">
      <c r="A297" s="33"/>
      <c r="B297" s="33"/>
      <c r="C297" s="33"/>
      <c r="D297" s="33"/>
      <c r="E297" s="42"/>
      <c r="F297" s="33"/>
      <c r="G297" s="43"/>
      <c r="H297" s="33"/>
      <c r="I297" s="33"/>
      <c r="J297" s="33"/>
      <c r="K297" s="33"/>
      <c r="L297" s="44"/>
      <c r="M297" s="44"/>
      <c r="N297" s="43"/>
      <c r="O297" s="42"/>
      <c r="P297" s="43"/>
      <c r="Q297" s="33"/>
      <c r="R297" s="33"/>
      <c r="S297" s="43"/>
      <c r="T297" s="4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</row>
    <row r="298" spans="1:33">
      <c r="A298" s="33"/>
      <c r="B298" s="33"/>
      <c r="C298" s="33"/>
      <c r="D298" s="33"/>
      <c r="E298" s="42"/>
      <c r="F298" s="33"/>
      <c r="G298" s="43"/>
      <c r="H298" s="33"/>
      <c r="I298" s="33"/>
      <c r="J298" s="33"/>
      <c r="K298" s="33"/>
      <c r="L298" s="44"/>
      <c r="M298" s="44"/>
      <c r="N298" s="43"/>
      <c r="O298" s="42"/>
      <c r="P298" s="43"/>
      <c r="Q298" s="33"/>
      <c r="R298" s="33"/>
      <c r="S298" s="43"/>
      <c r="T298" s="4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</row>
    <row r="299" spans="1:33">
      <c r="A299" s="33"/>
      <c r="B299" s="33"/>
      <c r="C299" s="33"/>
      <c r="D299" s="33"/>
      <c r="E299" s="42"/>
      <c r="F299" s="33"/>
      <c r="G299" s="43"/>
      <c r="H299" s="33"/>
      <c r="I299" s="33"/>
      <c r="J299" s="33"/>
      <c r="K299" s="33"/>
      <c r="L299" s="44"/>
      <c r="M299" s="44"/>
      <c r="N299" s="43"/>
      <c r="O299" s="42"/>
      <c r="P299" s="43"/>
      <c r="Q299" s="33"/>
      <c r="R299" s="33"/>
      <c r="S299" s="43"/>
      <c r="T299" s="4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</row>
    <row r="300" spans="1:33">
      <c r="A300" s="33"/>
      <c r="B300" s="33"/>
      <c r="C300" s="33"/>
      <c r="D300" s="33"/>
      <c r="E300" s="42"/>
      <c r="F300" s="33"/>
      <c r="G300" s="43"/>
      <c r="H300" s="33"/>
      <c r="I300" s="33"/>
      <c r="J300" s="33"/>
      <c r="K300" s="33"/>
      <c r="L300" s="44"/>
      <c r="M300" s="44"/>
      <c r="N300" s="43"/>
      <c r="O300" s="42"/>
      <c r="P300" s="43"/>
      <c r="Q300" s="33"/>
      <c r="R300" s="33"/>
      <c r="S300" s="43"/>
      <c r="T300" s="4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</row>
    <row r="301" spans="1:33">
      <c r="A301" s="33"/>
      <c r="B301" s="33"/>
      <c r="C301" s="33"/>
      <c r="D301" s="33"/>
      <c r="E301" s="42"/>
      <c r="F301" s="33"/>
      <c r="G301" s="43"/>
      <c r="H301" s="33"/>
      <c r="I301" s="33"/>
      <c r="J301" s="33"/>
      <c r="K301" s="33"/>
      <c r="L301" s="44"/>
      <c r="M301" s="44"/>
      <c r="N301" s="43"/>
      <c r="O301" s="42"/>
      <c r="P301" s="43"/>
      <c r="Q301" s="33"/>
      <c r="R301" s="33"/>
      <c r="S301" s="4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</row>
    <row r="302" spans="1:33">
      <c r="A302" s="33"/>
      <c r="B302" s="33"/>
      <c r="C302" s="33"/>
      <c r="D302" s="33"/>
      <c r="E302" s="42"/>
      <c r="F302" s="33"/>
      <c r="G302" s="43"/>
      <c r="H302" s="33"/>
      <c r="I302" s="33"/>
      <c r="J302" s="33"/>
      <c r="K302" s="33"/>
      <c r="L302" s="44"/>
      <c r="M302" s="44"/>
      <c r="N302" s="43"/>
      <c r="O302" s="42"/>
      <c r="P302" s="43"/>
      <c r="Q302" s="33"/>
      <c r="R302" s="33"/>
      <c r="S302" s="4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</row>
    <row r="303" spans="1:33">
      <c r="A303" s="33"/>
      <c r="B303" s="33"/>
      <c r="C303" s="33"/>
      <c r="D303" s="33"/>
      <c r="E303" s="42"/>
      <c r="F303" s="33"/>
      <c r="G303" s="43"/>
      <c r="H303" s="33"/>
      <c r="I303" s="33"/>
      <c r="J303" s="33"/>
      <c r="K303" s="33"/>
      <c r="L303" s="44"/>
      <c r="M303" s="44"/>
      <c r="N303" s="43"/>
      <c r="O303" s="42"/>
      <c r="P303" s="43"/>
      <c r="Q303" s="33"/>
      <c r="R303" s="33"/>
      <c r="S303" s="4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</row>
    <row r="304" spans="1:33">
      <c r="A304" s="33"/>
      <c r="B304" s="33"/>
      <c r="C304" s="33"/>
      <c r="D304" s="33"/>
      <c r="E304" s="42"/>
      <c r="F304" s="33"/>
      <c r="G304" s="43"/>
      <c r="H304" s="33"/>
      <c r="I304" s="33"/>
      <c r="J304" s="43"/>
      <c r="K304" s="33"/>
      <c r="L304" s="44"/>
      <c r="M304" s="44"/>
      <c r="N304" s="43"/>
      <c r="O304" s="42"/>
      <c r="P304" s="43"/>
      <c r="Q304" s="33"/>
      <c r="R304" s="33"/>
      <c r="S304" s="4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</row>
    <row r="305" spans="1:33">
      <c r="A305" s="33"/>
      <c r="B305" s="33"/>
      <c r="C305" s="33"/>
      <c r="D305" s="33"/>
      <c r="E305" s="42"/>
      <c r="F305" s="33"/>
      <c r="G305" s="43"/>
      <c r="H305" s="33"/>
      <c r="I305" s="33"/>
      <c r="J305" s="43"/>
      <c r="K305" s="33"/>
      <c r="L305" s="44"/>
      <c r="M305" s="57"/>
      <c r="N305" s="43"/>
      <c r="O305" s="42"/>
      <c r="P305" s="43"/>
      <c r="Q305" s="33"/>
      <c r="R305" s="33"/>
      <c r="S305" s="4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</row>
    <row r="306" spans="1:33">
      <c r="A306" s="33"/>
      <c r="B306" s="33"/>
      <c r="C306" s="33"/>
      <c r="D306" s="33"/>
      <c r="E306" s="42"/>
      <c r="F306" s="33"/>
      <c r="G306" s="43"/>
      <c r="H306" s="33"/>
      <c r="I306" s="33"/>
      <c r="J306" s="43"/>
      <c r="K306" s="33"/>
      <c r="L306" s="57"/>
      <c r="M306" s="44"/>
      <c r="N306" s="33"/>
      <c r="O306" s="42"/>
      <c r="P306" s="33"/>
      <c r="Q306" s="33"/>
      <c r="R306" s="33"/>
      <c r="S306" s="4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</row>
    <row r="307" spans="1:33">
      <c r="A307" s="33"/>
      <c r="B307" s="33"/>
      <c r="C307" s="33"/>
      <c r="D307" s="33"/>
      <c r="E307" s="42"/>
      <c r="F307" s="33"/>
      <c r="G307" s="43"/>
      <c r="H307" s="33"/>
      <c r="I307" s="33"/>
      <c r="J307" s="33"/>
      <c r="K307" s="33"/>
      <c r="L307" s="57"/>
      <c r="M307" s="44"/>
      <c r="N307" s="43"/>
      <c r="O307" s="42"/>
      <c r="P307" s="43"/>
      <c r="Q307" s="33"/>
      <c r="R307" s="33"/>
      <c r="S307" s="4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</row>
    <row r="308" spans="1:33">
      <c r="A308" s="33"/>
      <c r="B308" s="33"/>
      <c r="C308" s="33"/>
      <c r="D308" s="33"/>
      <c r="E308" s="42"/>
      <c r="F308" s="33"/>
      <c r="G308" s="43"/>
      <c r="H308" s="33"/>
      <c r="I308" s="33"/>
      <c r="J308" s="43"/>
      <c r="K308" s="33"/>
      <c r="L308" s="57"/>
      <c r="M308" s="44"/>
      <c r="N308" s="43"/>
      <c r="O308" s="42"/>
      <c r="P308" s="43"/>
      <c r="Q308" s="33"/>
      <c r="R308" s="33"/>
      <c r="S308" s="4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</row>
    <row r="309" spans="1:33">
      <c r="A309" s="33"/>
      <c r="B309" s="33"/>
      <c r="C309" s="33"/>
      <c r="D309" s="33"/>
      <c r="E309" s="42"/>
      <c r="F309" s="33"/>
      <c r="G309" s="43"/>
      <c r="H309" s="33"/>
      <c r="I309" s="33"/>
      <c r="J309" s="33"/>
      <c r="K309" s="33"/>
      <c r="L309" s="44"/>
      <c r="M309" s="44"/>
      <c r="N309" s="43"/>
      <c r="O309" s="42"/>
      <c r="P309" s="43"/>
      <c r="Q309" s="33"/>
      <c r="R309" s="33"/>
      <c r="S309" s="43"/>
      <c r="T309" s="4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</row>
    <row r="310" spans="1:33">
      <c r="A310" s="33"/>
      <c r="B310" s="33"/>
      <c r="C310" s="33"/>
      <c r="D310" s="33"/>
      <c r="E310" s="42"/>
      <c r="F310" s="33"/>
      <c r="G310" s="43"/>
      <c r="H310" s="33"/>
      <c r="I310" s="33"/>
      <c r="J310" s="33"/>
      <c r="K310" s="33"/>
      <c r="L310" s="44"/>
      <c r="M310" s="44"/>
      <c r="N310" s="43"/>
      <c r="O310" s="42"/>
      <c r="P310" s="43"/>
      <c r="Q310" s="33"/>
      <c r="R310" s="33"/>
      <c r="S310" s="43"/>
      <c r="T310" s="4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</row>
    <row r="311" spans="1:33">
      <c r="A311" s="33"/>
      <c r="B311" s="33"/>
      <c r="C311" s="33"/>
      <c r="D311" s="33"/>
      <c r="E311" s="42"/>
      <c r="F311" s="33"/>
      <c r="G311" s="43"/>
      <c r="H311" s="33"/>
      <c r="I311" s="33"/>
      <c r="J311" s="43"/>
      <c r="K311" s="33"/>
      <c r="L311" s="44"/>
      <c r="M311" s="44"/>
      <c r="N311" s="43"/>
      <c r="O311" s="42"/>
      <c r="P311" s="43"/>
      <c r="Q311" s="33"/>
      <c r="R311" s="33"/>
      <c r="S311" s="4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</row>
    <row r="312" spans="1:33">
      <c r="A312" s="33"/>
      <c r="B312" s="33"/>
      <c r="C312" s="33"/>
      <c r="D312" s="33"/>
      <c r="E312" s="42"/>
      <c r="F312" s="33"/>
      <c r="G312" s="43"/>
      <c r="H312" s="33"/>
      <c r="I312" s="33"/>
      <c r="J312" s="43"/>
      <c r="K312" s="33"/>
      <c r="L312" s="44"/>
      <c r="M312" s="44"/>
      <c r="N312" s="43"/>
      <c r="O312" s="42"/>
      <c r="P312" s="43"/>
      <c r="Q312" s="33"/>
      <c r="R312" s="33"/>
      <c r="S312" s="4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</row>
    <row r="313" spans="1:33">
      <c r="A313" s="33"/>
      <c r="B313" s="33"/>
      <c r="C313" s="33"/>
      <c r="D313" s="33"/>
      <c r="E313" s="42"/>
      <c r="F313" s="33"/>
      <c r="G313" s="43"/>
      <c r="H313" s="33"/>
      <c r="I313" s="33"/>
      <c r="J313" s="43"/>
      <c r="K313" s="33"/>
      <c r="L313" s="44"/>
      <c r="M313" s="44"/>
      <c r="N313" s="43"/>
      <c r="O313" s="42"/>
      <c r="P313" s="43"/>
      <c r="Q313" s="33"/>
      <c r="R313" s="33"/>
      <c r="S313" s="4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</row>
    <row r="314" spans="1:33">
      <c r="A314" s="33"/>
      <c r="B314" s="33"/>
      <c r="C314" s="33"/>
      <c r="D314" s="33"/>
      <c r="E314" s="42"/>
      <c r="F314" s="33"/>
      <c r="G314" s="43"/>
      <c r="H314" s="33"/>
      <c r="I314" s="33"/>
      <c r="J314" s="33"/>
      <c r="K314" s="33"/>
      <c r="L314" s="44"/>
      <c r="M314" s="44"/>
      <c r="N314" s="43"/>
      <c r="O314" s="42"/>
      <c r="P314" s="43"/>
      <c r="Q314" s="33"/>
      <c r="R314" s="33"/>
      <c r="S314" s="43"/>
      <c r="T314" s="4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</row>
    <row r="315" spans="1:33">
      <c r="A315" s="33"/>
      <c r="B315" s="33"/>
      <c r="C315" s="33"/>
      <c r="D315" s="33"/>
      <c r="E315" s="42"/>
      <c r="F315" s="33"/>
      <c r="G315" s="43"/>
      <c r="H315" s="33"/>
      <c r="I315" s="33"/>
      <c r="J315" s="33"/>
      <c r="K315" s="33"/>
      <c r="L315" s="44"/>
      <c r="M315" s="44"/>
      <c r="N315" s="43"/>
      <c r="O315" s="42"/>
      <c r="P315" s="43"/>
      <c r="Q315" s="33"/>
      <c r="R315" s="33"/>
      <c r="S315" s="4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</row>
    <row r="316" spans="1:33">
      <c r="A316" s="33"/>
      <c r="B316" s="33"/>
      <c r="C316" s="33"/>
      <c r="D316" s="33"/>
      <c r="E316" s="42"/>
      <c r="F316" s="33"/>
      <c r="G316" s="43"/>
      <c r="H316" s="33"/>
      <c r="I316" s="33"/>
      <c r="J316" s="33"/>
      <c r="K316" s="33"/>
      <c r="L316" s="44"/>
      <c r="M316" s="57"/>
      <c r="N316" s="43"/>
      <c r="O316" s="42"/>
      <c r="P316" s="43"/>
      <c r="Q316" s="33"/>
      <c r="R316" s="33"/>
      <c r="S316" s="4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</row>
    <row r="317" spans="1:33">
      <c r="A317" s="33"/>
      <c r="B317" s="33"/>
      <c r="C317" s="33"/>
      <c r="D317" s="33"/>
      <c r="E317" s="42"/>
      <c r="F317" s="33"/>
      <c r="G317" s="43"/>
      <c r="H317" s="33"/>
      <c r="I317" s="33"/>
      <c r="J317" s="33"/>
      <c r="K317" s="33"/>
      <c r="L317" s="44"/>
      <c r="M317" s="44"/>
      <c r="N317" s="43"/>
      <c r="O317" s="42"/>
      <c r="P317" s="43"/>
      <c r="Q317" s="33"/>
      <c r="R317" s="33"/>
      <c r="S317" s="4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</row>
    <row r="318" spans="1:33">
      <c r="A318" s="33"/>
      <c r="B318" s="33"/>
      <c r="C318" s="33"/>
      <c r="D318" s="33"/>
      <c r="E318" s="42"/>
      <c r="F318" s="33"/>
      <c r="G318" s="43"/>
      <c r="H318" s="33"/>
      <c r="I318" s="33"/>
      <c r="J318" s="33"/>
      <c r="K318" s="33"/>
      <c r="L318" s="44"/>
      <c r="M318" s="57"/>
      <c r="N318" s="43"/>
      <c r="O318" s="42"/>
      <c r="P318" s="43"/>
      <c r="Q318" s="33"/>
      <c r="R318" s="33"/>
      <c r="S318" s="4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</row>
    <row r="319" spans="1:33">
      <c r="A319" s="22"/>
      <c r="B319" s="22"/>
      <c r="C319" s="22"/>
      <c r="D319" s="22"/>
      <c r="E319" s="23"/>
      <c r="F319" s="22"/>
      <c r="G319" s="24"/>
      <c r="H319" s="22"/>
      <c r="I319" s="22"/>
      <c r="J319" s="24"/>
      <c r="K319" s="22"/>
      <c r="L319" s="26"/>
      <c r="M319" s="25"/>
      <c r="N319" s="24"/>
      <c r="O319" s="23"/>
      <c r="P319" s="24"/>
      <c r="Q319" s="22"/>
      <c r="R319" s="22"/>
      <c r="S319" s="24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</row>
    <row r="320" spans="1:33">
      <c r="A320" s="22"/>
      <c r="B320" s="22"/>
      <c r="C320" s="22"/>
      <c r="D320" s="22"/>
      <c r="E320" s="23"/>
      <c r="F320" s="22"/>
      <c r="G320" s="24"/>
      <c r="H320" s="22"/>
      <c r="I320" s="22"/>
      <c r="J320" s="24"/>
      <c r="K320" s="22"/>
      <c r="L320" s="25"/>
      <c r="M320" s="25"/>
      <c r="N320" s="24"/>
      <c r="O320" s="23"/>
      <c r="P320" s="24"/>
      <c r="Q320" s="22"/>
      <c r="R320" s="22"/>
      <c r="S320" s="24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</row>
    <row r="321" spans="1:33">
      <c r="A321" s="22"/>
      <c r="B321" s="22"/>
      <c r="C321" s="22"/>
      <c r="D321" s="22"/>
      <c r="E321" s="23"/>
      <c r="F321" s="22"/>
      <c r="G321" s="24"/>
      <c r="H321" s="22"/>
      <c r="I321" s="22"/>
      <c r="J321" s="24"/>
      <c r="K321" s="22"/>
      <c r="L321" s="25"/>
      <c r="M321" s="25"/>
      <c r="N321" s="24"/>
      <c r="O321" s="23"/>
      <c r="P321" s="24"/>
      <c r="Q321" s="22"/>
      <c r="R321" s="22"/>
      <c r="S321" s="24"/>
      <c r="T321" s="24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</row>
    <row r="322" spans="1:33">
      <c r="A322" s="22"/>
      <c r="B322" s="22"/>
      <c r="C322" s="22"/>
      <c r="D322" s="22"/>
      <c r="E322" s="23"/>
      <c r="F322" s="22"/>
      <c r="G322" s="24"/>
      <c r="H322" s="22"/>
      <c r="I322" s="22"/>
      <c r="J322" s="24"/>
      <c r="K322" s="22"/>
      <c r="L322" s="25"/>
      <c r="M322" s="25"/>
      <c r="N322" s="24"/>
      <c r="O322" s="23"/>
      <c r="P322" s="24"/>
      <c r="Q322" s="22"/>
      <c r="R322" s="22"/>
      <c r="S322" s="24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</row>
    <row r="323" spans="1:33">
      <c r="A323" s="22"/>
      <c r="B323" s="22"/>
      <c r="C323" s="22"/>
      <c r="D323" s="22"/>
      <c r="E323" s="23"/>
      <c r="F323" s="22"/>
      <c r="G323" s="24"/>
      <c r="H323" s="22"/>
      <c r="I323" s="22"/>
      <c r="J323" s="24"/>
      <c r="K323" s="22"/>
      <c r="L323" s="26"/>
      <c r="M323" s="25"/>
      <c r="N323" s="24"/>
      <c r="O323" s="23"/>
      <c r="P323" s="24"/>
      <c r="Q323" s="22"/>
      <c r="R323" s="22"/>
      <c r="S323" s="24"/>
      <c r="T323" s="24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</row>
    <row r="324" spans="1:33">
      <c r="A324" s="22"/>
      <c r="B324" s="22"/>
      <c r="C324" s="22"/>
      <c r="D324" s="22"/>
      <c r="E324" s="23"/>
      <c r="F324" s="22"/>
      <c r="G324" s="24"/>
      <c r="H324" s="22"/>
      <c r="I324" s="22"/>
      <c r="J324" s="24"/>
      <c r="K324" s="22"/>
      <c r="L324" s="25"/>
      <c r="M324" s="25"/>
      <c r="N324" s="22"/>
      <c r="O324" s="23"/>
      <c r="P324" s="24"/>
      <c r="Q324" s="22"/>
      <c r="R324" s="22"/>
      <c r="S324" s="24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</row>
    <row r="325" spans="1:33">
      <c r="A325" s="22"/>
      <c r="B325" s="22"/>
      <c r="C325" s="22"/>
      <c r="D325" s="22"/>
      <c r="E325" s="23"/>
      <c r="F325" s="22"/>
      <c r="G325" s="24"/>
      <c r="H325" s="22"/>
      <c r="I325" s="22"/>
      <c r="J325" s="24"/>
      <c r="K325" s="22"/>
      <c r="L325" s="25"/>
      <c r="M325" s="25"/>
      <c r="N325" s="24"/>
      <c r="O325" s="23"/>
      <c r="P325" s="24"/>
      <c r="Q325" s="22"/>
      <c r="R325" s="22"/>
      <c r="S325" s="24"/>
      <c r="T325" s="24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</row>
    <row r="326" spans="1:33">
      <c r="A326" s="22"/>
      <c r="B326" s="22"/>
      <c r="C326" s="22"/>
      <c r="D326" s="22"/>
      <c r="E326" s="23"/>
      <c r="F326" s="22"/>
      <c r="G326" s="24"/>
      <c r="H326" s="22"/>
      <c r="I326" s="22"/>
      <c r="J326" s="24"/>
      <c r="K326" s="22"/>
      <c r="L326" s="25"/>
      <c r="M326" s="26"/>
      <c r="N326" s="24"/>
      <c r="O326" s="23"/>
      <c r="P326" s="24"/>
      <c r="Q326" s="22"/>
      <c r="R326" s="22"/>
      <c r="S326" s="24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</row>
    <row r="327" spans="1:33">
      <c r="A327" s="22"/>
      <c r="B327" s="22"/>
      <c r="C327" s="22"/>
      <c r="D327" s="22"/>
      <c r="E327" s="23"/>
      <c r="F327" s="22"/>
      <c r="G327" s="24"/>
      <c r="H327" s="22"/>
      <c r="I327" s="22"/>
      <c r="J327" s="24"/>
      <c r="K327" s="22"/>
      <c r="L327" s="26"/>
      <c r="M327" s="26"/>
      <c r="N327" s="24"/>
      <c r="O327" s="23"/>
      <c r="P327" s="24"/>
      <c r="Q327" s="22"/>
      <c r="R327" s="22"/>
      <c r="S327" s="24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</row>
    <row r="328" spans="1:33">
      <c r="A328" s="22"/>
      <c r="B328" s="22"/>
      <c r="C328" s="22"/>
      <c r="D328" s="22"/>
      <c r="E328" s="23"/>
      <c r="F328" s="22"/>
      <c r="G328" s="24"/>
      <c r="H328" s="22"/>
      <c r="I328" s="22"/>
      <c r="J328" s="24"/>
      <c r="K328" s="22"/>
      <c r="L328" s="25"/>
      <c r="M328" s="25"/>
      <c r="N328" s="24"/>
      <c r="O328" s="23"/>
      <c r="P328" s="24"/>
      <c r="Q328" s="22"/>
      <c r="R328" s="22"/>
      <c r="S328" s="24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</row>
    <row r="329" spans="1:33">
      <c r="A329" s="22"/>
      <c r="B329" s="22"/>
      <c r="C329" s="22"/>
      <c r="D329" s="22"/>
      <c r="E329" s="23"/>
      <c r="F329" s="22"/>
      <c r="G329" s="24"/>
      <c r="H329" s="22"/>
      <c r="I329" s="22"/>
      <c r="J329" s="24"/>
      <c r="K329" s="22"/>
      <c r="L329" s="25"/>
      <c r="M329" s="25"/>
      <c r="N329" s="24"/>
      <c r="O329" s="23"/>
      <c r="P329" s="24"/>
      <c r="Q329" s="22"/>
      <c r="R329" s="22"/>
      <c r="S329" s="24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</row>
    <row r="330" spans="1:33">
      <c r="A330" s="22"/>
      <c r="B330" s="22"/>
      <c r="C330" s="22"/>
      <c r="D330" s="22"/>
      <c r="E330" s="23"/>
      <c r="F330" s="22"/>
      <c r="G330" s="24"/>
      <c r="H330" s="22"/>
      <c r="I330" s="22"/>
      <c r="J330" s="24"/>
      <c r="K330" s="22"/>
      <c r="L330" s="25"/>
      <c r="M330" s="25"/>
      <c r="N330" s="24"/>
      <c r="O330" s="23"/>
      <c r="P330" s="24"/>
      <c r="Q330" s="22"/>
      <c r="R330" s="22"/>
      <c r="S330" s="24"/>
      <c r="T330" s="24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</row>
    <row r="331" spans="1:33">
      <c r="A331" s="22"/>
      <c r="B331" s="22"/>
      <c r="C331" s="22"/>
      <c r="D331" s="22"/>
      <c r="E331" s="23"/>
      <c r="F331" s="22"/>
      <c r="G331" s="24"/>
      <c r="H331" s="22"/>
      <c r="I331" s="22"/>
      <c r="J331" s="24"/>
      <c r="K331" s="22"/>
      <c r="L331" s="25"/>
      <c r="M331" s="25"/>
      <c r="N331" s="24"/>
      <c r="O331" s="23"/>
      <c r="P331" s="24"/>
      <c r="Q331" s="22"/>
      <c r="R331" s="22"/>
      <c r="S331" s="24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</row>
    <row r="332" spans="1:33">
      <c r="A332" s="22"/>
      <c r="B332" s="22"/>
      <c r="C332" s="22"/>
      <c r="D332" s="22"/>
      <c r="E332" s="23"/>
      <c r="F332" s="22"/>
      <c r="G332" s="24"/>
      <c r="H332" s="22"/>
      <c r="I332" s="22"/>
      <c r="J332" s="24"/>
      <c r="K332" s="22"/>
      <c r="L332" s="25"/>
      <c r="M332" s="25"/>
      <c r="N332" s="24"/>
      <c r="O332" s="23"/>
      <c r="P332" s="24"/>
      <c r="Q332" s="22"/>
      <c r="R332" s="22"/>
      <c r="S332" s="24"/>
      <c r="T332" s="24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</row>
    <row r="333" spans="1:33">
      <c r="A333" s="22"/>
      <c r="B333" s="22"/>
      <c r="C333" s="22"/>
      <c r="D333" s="22"/>
      <c r="E333" s="23"/>
      <c r="F333" s="22"/>
      <c r="G333" s="24"/>
      <c r="H333" s="22"/>
      <c r="I333" s="22"/>
      <c r="J333" s="24"/>
      <c r="K333" s="22"/>
      <c r="L333" s="26"/>
      <c r="M333" s="25"/>
      <c r="N333" s="24"/>
      <c r="O333" s="23"/>
      <c r="P333" s="24"/>
      <c r="Q333" s="22"/>
      <c r="R333" s="22"/>
      <c r="S333" s="24"/>
      <c r="T333" s="24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</row>
    <row r="334" spans="1:33">
      <c r="A334" s="22"/>
      <c r="B334" s="22"/>
      <c r="C334" s="22"/>
      <c r="D334" s="22"/>
      <c r="E334" s="23"/>
      <c r="F334" s="22"/>
      <c r="G334" s="24"/>
      <c r="H334" s="22"/>
      <c r="I334" s="22"/>
      <c r="J334" s="24"/>
      <c r="K334" s="22"/>
      <c r="L334" s="26"/>
      <c r="M334" s="25"/>
      <c r="N334" s="24"/>
      <c r="O334" s="23"/>
      <c r="P334" s="24"/>
      <c r="Q334" s="22"/>
      <c r="R334" s="22"/>
      <c r="S334" s="24"/>
      <c r="T334" s="24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</row>
    <row r="335" spans="1:33">
      <c r="A335" s="22"/>
      <c r="B335" s="22"/>
      <c r="C335" s="22"/>
      <c r="D335" s="22"/>
      <c r="E335" s="23"/>
      <c r="F335" s="22"/>
      <c r="G335" s="24"/>
      <c r="H335" s="22"/>
      <c r="I335" s="22"/>
      <c r="J335" s="24"/>
      <c r="K335" s="22"/>
      <c r="L335" s="25"/>
      <c r="M335" s="25"/>
      <c r="N335" s="24"/>
      <c r="O335" s="23"/>
      <c r="P335" s="24"/>
      <c r="Q335" s="22"/>
      <c r="R335" s="22"/>
      <c r="S335" s="24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</row>
    <row r="336" spans="1:33">
      <c r="A336" s="22"/>
      <c r="B336" s="22"/>
      <c r="C336" s="22"/>
      <c r="D336" s="22"/>
      <c r="E336" s="23"/>
      <c r="F336" s="22"/>
      <c r="G336" s="24"/>
      <c r="H336" s="22"/>
      <c r="I336" s="22"/>
      <c r="J336" s="24"/>
      <c r="K336" s="22"/>
      <c r="L336" s="26"/>
      <c r="M336" s="25"/>
      <c r="N336" s="24"/>
      <c r="O336" s="23"/>
      <c r="P336" s="24"/>
      <c r="Q336" s="22"/>
      <c r="R336" s="22"/>
      <c r="S336" s="24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</row>
    <row r="337" spans="1:33">
      <c r="A337" s="22"/>
      <c r="B337" s="22"/>
      <c r="C337" s="22"/>
      <c r="D337" s="22"/>
      <c r="E337" s="23"/>
      <c r="F337" s="22"/>
      <c r="G337" s="24"/>
      <c r="H337" s="22"/>
      <c r="I337" s="22"/>
      <c r="J337" s="24"/>
      <c r="K337" s="22"/>
      <c r="L337" s="26"/>
      <c r="M337" s="25"/>
      <c r="N337" s="24"/>
      <c r="O337" s="23"/>
      <c r="P337" s="24"/>
      <c r="Q337" s="22"/>
      <c r="R337" s="22"/>
      <c r="S337" s="24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</row>
    <row r="338" spans="1:33">
      <c r="A338" s="22"/>
      <c r="B338" s="22"/>
      <c r="C338" s="22"/>
      <c r="D338" s="22"/>
      <c r="E338" s="23"/>
      <c r="F338" s="22"/>
      <c r="G338" s="24"/>
      <c r="H338" s="22"/>
      <c r="I338" s="22"/>
      <c r="J338" s="24"/>
      <c r="K338" s="22"/>
      <c r="L338" s="26"/>
      <c r="M338" s="25"/>
      <c r="N338" s="24"/>
      <c r="O338" s="23"/>
      <c r="P338" s="24"/>
      <c r="Q338" s="22"/>
      <c r="R338" s="22"/>
      <c r="S338" s="24"/>
      <c r="T338" s="24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</row>
    <row r="339" spans="1:33">
      <c r="A339" s="22"/>
      <c r="B339" s="22"/>
      <c r="C339" s="22"/>
      <c r="D339" s="22"/>
      <c r="E339" s="23"/>
      <c r="F339" s="22"/>
      <c r="G339" s="24"/>
      <c r="H339" s="22"/>
      <c r="I339" s="22"/>
      <c r="J339" s="24"/>
      <c r="K339" s="22"/>
      <c r="L339" s="26"/>
      <c r="M339" s="25"/>
      <c r="N339" s="24"/>
      <c r="O339" s="23"/>
      <c r="P339" s="24"/>
      <c r="Q339" s="22"/>
      <c r="R339" s="22"/>
      <c r="S339" s="24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</row>
    <row r="340" spans="1:33">
      <c r="A340" s="22"/>
      <c r="B340" s="22"/>
      <c r="C340" s="22"/>
      <c r="D340" s="22"/>
      <c r="E340" s="23"/>
      <c r="F340" s="22"/>
      <c r="G340" s="24"/>
      <c r="H340" s="22"/>
      <c r="I340" s="22"/>
      <c r="J340" s="24"/>
      <c r="K340" s="22"/>
      <c r="L340" s="25"/>
      <c r="M340" s="25"/>
      <c r="N340" s="24"/>
      <c r="O340" s="23"/>
      <c r="P340" s="24"/>
      <c r="Q340" s="22"/>
      <c r="R340" s="22"/>
      <c r="S340" s="24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</row>
    <row r="341" spans="1:33">
      <c r="A341" s="22"/>
      <c r="B341" s="22"/>
      <c r="C341" s="22"/>
      <c r="D341" s="22"/>
      <c r="E341" s="23"/>
      <c r="F341" s="22"/>
      <c r="G341" s="24"/>
      <c r="H341" s="22"/>
      <c r="I341" s="22"/>
      <c r="J341" s="24"/>
      <c r="K341" s="22"/>
      <c r="L341" s="25"/>
      <c r="M341" s="25"/>
      <c r="N341" s="24"/>
      <c r="O341" s="23"/>
      <c r="P341" s="24"/>
      <c r="Q341" s="22"/>
      <c r="R341" s="22"/>
      <c r="S341" s="24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</row>
    <row r="342" spans="1:33">
      <c r="A342" s="22"/>
      <c r="B342" s="22"/>
      <c r="C342" s="22"/>
      <c r="D342" s="22"/>
      <c r="E342" s="23"/>
      <c r="F342" s="22"/>
      <c r="G342" s="24"/>
      <c r="H342" s="22"/>
      <c r="I342" s="22"/>
      <c r="J342" s="24"/>
      <c r="K342" s="22"/>
      <c r="L342" s="25"/>
      <c r="M342" s="25"/>
      <c r="N342" s="24"/>
      <c r="O342" s="23"/>
      <c r="P342" s="24"/>
      <c r="Q342" s="22"/>
      <c r="R342" s="22"/>
      <c r="S342" s="24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</row>
    <row r="343" spans="1:33">
      <c r="A343" s="22"/>
      <c r="B343" s="22"/>
      <c r="C343" s="22"/>
      <c r="D343" s="22"/>
      <c r="E343" s="23"/>
      <c r="F343" s="22"/>
      <c r="G343" s="24"/>
      <c r="H343" s="22"/>
      <c r="I343" s="22"/>
      <c r="J343" s="24"/>
      <c r="K343" s="22"/>
      <c r="L343" s="25"/>
      <c r="M343" s="25"/>
      <c r="N343" s="24"/>
      <c r="O343" s="23"/>
      <c r="P343" s="24"/>
      <c r="Q343" s="22"/>
      <c r="R343" s="22"/>
      <c r="S343" s="24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</row>
    <row r="344" spans="1:33">
      <c r="A344" s="22"/>
      <c r="B344" s="22"/>
      <c r="C344" s="22"/>
      <c r="D344" s="22"/>
      <c r="E344" s="23"/>
      <c r="F344" s="22"/>
      <c r="G344" s="24"/>
      <c r="H344" s="22"/>
      <c r="I344" s="22"/>
      <c r="J344" s="24"/>
      <c r="K344" s="22"/>
      <c r="L344" s="25"/>
      <c r="M344" s="25"/>
      <c r="N344" s="24"/>
      <c r="O344" s="23"/>
      <c r="P344" s="24"/>
      <c r="Q344" s="22"/>
      <c r="R344" s="22"/>
      <c r="S344" s="24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</row>
    <row r="345" spans="1:33">
      <c r="A345" s="22"/>
      <c r="B345" s="22"/>
      <c r="C345" s="22"/>
      <c r="D345" s="22"/>
      <c r="E345" s="23"/>
      <c r="F345" s="22"/>
      <c r="G345" s="24"/>
      <c r="H345" s="22"/>
      <c r="I345" s="22"/>
      <c r="J345" s="24"/>
      <c r="K345" s="22"/>
      <c r="L345" s="25"/>
      <c r="M345" s="25"/>
      <c r="N345" s="24"/>
      <c r="O345" s="23"/>
      <c r="P345" s="24"/>
      <c r="Q345" s="22"/>
      <c r="R345" s="22"/>
      <c r="S345" s="24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</row>
    <row r="346" spans="1:33">
      <c r="A346" s="22"/>
      <c r="B346" s="22"/>
      <c r="C346" s="22"/>
      <c r="D346" s="22"/>
      <c r="E346" s="23"/>
      <c r="F346" s="22"/>
      <c r="G346" s="24"/>
      <c r="H346" s="22"/>
      <c r="I346" s="22"/>
      <c r="J346" s="24"/>
      <c r="K346" s="22"/>
      <c r="L346" s="25"/>
      <c r="M346" s="25"/>
      <c r="N346" s="24"/>
      <c r="O346" s="23"/>
      <c r="P346" s="24"/>
      <c r="Q346" s="22"/>
      <c r="R346" s="22"/>
      <c r="S346" s="24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</row>
    <row r="347" spans="1:33">
      <c r="A347" s="22"/>
      <c r="B347" s="22"/>
      <c r="C347" s="22"/>
      <c r="D347" s="22"/>
      <c r="E347" s="23"/>
      <c r="F347" s="22"/>
      <c r="G347" s="24"/>
      <c r="H347" s="22"/>
      <c r="I347" s="22"/>
      <c r="J347" s="24"/>
      <c r="K347" s="22"/>
      <c r="L347" s="25"/>
      <c r="M347" s="25"/>
      <c r="N347" s="24"/>
      <c r="O347" s="23"/>
      <c r="P347" s="24"/>
      <c r="Q347" s="22"/>
      <c r="R347" s="22"/>
      <c r="S347" s="24"/>
      <c r="T347" s="24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</row>
    <row r="348" spans="1:33">
      <c r="A348" s="22"/>
      <c r="B348" s="22"/>
      <c r="C348" s="22"/>
      <c r="D348" s="22"/>
      <c r="E348" s="23"/>
      <c r="F348" s="22"/>
      <c r="G348" s="24"/>
      <c r="H348" s="22"/>
      <c r="I348" s="22"/>
      <c r="J348" s="24"/>
      <c r="K348" s="22"/>
      <c r="L348" s="25"/>
      <c r="M348" s="25"/>
      <c r="N348" s="24"/>
      <c r="O348" s="23"/>
      <c r="P348" s="24"/>
      <c r="Q348" s="22"/>
      <c r="R348" s="22"/>
      <c r="S348" s="24"/>
      <c r="T348" s="24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</row>
    <row r="349" spans="1:33">
      <c r="A349" s="22"/>
      <c r="B349" s="22"/>
      <c r="C349" s="22"/>
      <c r="D349" s="22"/>
      <c r="E349" s="23"/>
      <c r="F349" s="22"/>
      <c r="G349" s="24"/>
      <c r="H349" s="22"/>
      <c r="I349" s="22"/>
      <c r="J349" s="24"/>
      <c r="K349" s="22"/>
      <c r="L349" s="25"/>
      <c r="M349" s="25"/>
      <c r="N349" s="24"/>
      <c r="O349" s="23"/>
      <c r="P349" s="24"/>
      <c r="Q349" s="22"/>
      <c r="R349" s="22"/>
      <c r="S349" s="24"/>
      <c r="T349" s="24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</row>
    <row r="350" spans="1:33">
      <c r="A350" s="22"/>
      <c r="B350" s="22"/>
      <c r="C350" s="22"/>
      <c r="D350" s="22"/>
      <c r="E350" s="23"/>
      <c r="F350" s="22"/>
      <c r="G350" s="24"/>
      <c r="H350" s="22"/>
      <c r="I350" s="22"/>
      <c r="J350" s="24"/>
      <c r="K350" s="22"/>
      <c r="L350" s="26"/>
      <c r="M350" s="25"/>
      <c r="N350" s="24"/>
      <c r="O350" s="23"/>
      <c r="P350" s="24"/>
      <c r="Q350" s="22"/>
      <c r="R350" s="22"/>
      <c r="S350" s="24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</row>
    <row r="351" spans="1:33">
      <c r="A351" s="22"/>
      <c r="B351" s="22"/>
      <c r="C351" s="22"/>
      <c r="D351" s="22"/>
      <c r="E351" s="23"/>
      <c r="F351" s="22"/>
      <c r="G351" s="24"/>
      <c r="H351" s="22"/>
      <c r="I351" s="22"/>
      <c r="J351" s="24"/>
      <c r="K351" s="22"/>
      <c r="L351" s="26"/>
      <c r="M351" s="25"/>
      <c r="N351" s="24"/>
      <c r="O351" s="23"/>
      <c r="P351" s="24"/>
      <c r="Q351" s="22"/>
      <c r="R351" s="22"/>
      <c r="S351" s="24"/>
      <c r="T351" s="24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</row>
    <row r="352" spans="1:33">
      <c r="A352" s="22"/>
      <c r="B352" s="22"/>
      <c r="C352" s="22"/>
      <c r="D352" s="22"/>
      <c r="E352" s="23"/>
      <c r="F352" s="22"/>
      <c r="G352" s="24"/>
      <c r="H352" s="22"/>
      <c r="I352" s="22"/>
      <c r="J352" s="24"/>
      <c r="K352" s="22"/>
      <c r="L352" s="26"/>
      <c r="M352" s="25"/>
      <c r="N352" s="24"/>
      <c r="O352" s="23"/>
      <c r="P352" s="24"/>
      <c r="Q352" s="22"/>
      <c r="R352" s="22"/>
      <c r="S352" s="24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</row>
    <row r="353" spans="1:33">
      <c r="A353" s="22"/>
      <c r="B353" s="22"/>
      <c r="C353" s="22"/>
      <c r="D353" s="22"/>
      <c r="E353" s="23"/>
      <c r="F353" s="22"/>
      <c r="G353" s="24"/>
      <c r="H353" s="22"/>
      <c r="I353" s="22"/>
      <c r="J353" s="24"/>
      <c r="K353" s="22"/>
      <c r="L353" s="26"/>
      <c r="M353" s="25"/>
      <c r="N353" s="24"/>
      <c r="O353" s="23"/>
      <c r="P353" s="24"/>
      <c r="Q353" s="22"/>
      <c r="R353" s="22"/>
      <c r="S353" s="24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</row>
    <row r="354" spans="1:33">
      <c r="A354" s="22"/>
      <c r="B354" s="22"/>
      <c r="C354" s="22"/>
      <c r="D354" s="22"/>
      <c r="E354" s="23"/>
      <c r="F354" s="22"/>
      <c r="G354" s="24"/>
      <c r="H354" s="22"/>
      <c r="I354" s="22"/>
      <c r="J354" s="24"/>
      <c r="K354" s="22"/>
      <c r="L354" s="26"/>
      <c r="M354" s="25"/>
      <c r="N354" s="24"/>
      <c r="O354" s="23"/>
      <c r="P354" s="24"/>
      <c r="Q354" s="22"/>
      <c r="R354" s="22"/>
      <c r="S354" s="24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</row>
    <row r="355" spans="1:33">
      <c r="A355" s="22"/>
      <c r="B355" s="22"/>
      <c r="C355" s="22"/>
      <c r="D355" s="22"/>
      <c r="E355" s="23"/>
      <c r="F355" s="22"/>
      <c r="G355" s="24"/>
      <c r="H355" s="22"/>
      <c r="I355" s="22"/>
      <c r="J355" s="24"/>
      <c r="K355" s="22"/>
      <c r="L355" s="26"/>
      <c r="M355" s="25"/>
      <c r="N355" s="24"/>
      <c r="O355" s="23"/>
      <c r="P355" s="24"/>
      <c r="Q355" s="22"/>
      <c r="R355" s="22"/>
      <c r="S355" s="24"/>
      <c r="T355" s="24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</row>
    <row r="356" spans="1:33">
      <c r="A356" s="22"/>
      <c r="B356" s="22"/>
      <c r="C356" s="22"/>
      <c r="D356" s="22"/>
      <c r="E356" s="23"/>
      <c r="F356" s="22"/>
      <c r="G356" s="24"/>
      <c r="H356" s="22"/>
      <c r="I356" s="22"/>
      <c r="J356" s="24"/>
      <c r="K356" s="22"/>
      <c r="L356" s="25"/>
      <c r="M356" s="25"/>
      <c r="N356" s="24"/>
      <c r="O356" s="23"/>
      <c r="P356" s="24"/>
      <c r="Q356" s="22"/>
      <c r="R356" s="22"/>
      <c r="S356" s="24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</row>
    <row r="357" spans="1:33">
      <c r="A357" s="22"/>
      <c r="B357" s="22"/>
      <c r="C357" s="22"/>
      <c r="D357" s="22"/>
      <c r="E357" s="23"/>
      <c r="F357" s="22"/>
      <c r="G357" s="24"/>
      <c r="H357" s="22"/>
      <c r="I357" s="22"/>
      <c r="J357" s="24"/>
      <c r="K357" s="22"/>
      <c r="L357" s="25"/>
      <c r="M357" s="25"/>
      <c r="N357" s="24"/>
      <c r="O357" s="23"/>
      <c r="P357" s="24"/>
      <c r="Q357" s="22"/>
      <c r="R357" s="22"/>
      <c r="S357" s="24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</row>
    <row r="358" spans="1:33">
      <c r="A358" s="22"/>
      <c r="B358" s="22"/>
      <c r="C358" s="22"/>
      <c r="D358" s="22"/>
      <c r="E358" s="23"/>
      <c r="F358" s="22"/>
      <c r="G358" s="24"/>
      <c r="H358" s="22"/>
      <c r="I358" s="22"/>
      <c r="J358" s="24"/>
      <c r="K358" s="22"/>
      <c r="L358" s="25"/>
      <c r="M358" s="25"/>
      <c r="N358" s="24"/>
      <c r="O358" s="23"/>
      <c r="P358" s="24"/>
      <c r="Q358" s="22"/>
      <c r="R358" s="22"/>
      <c r="S358" s="24"/>
      <c r="T358" s="24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</row>
    <row r="359" spans="1:33">
      <c r="A359" s="22"/>
      <c r="B359" s="22"/>
      <c r="C359" s="22"/>
      <c r="D359" s="22"/>
      <c r="E359" s="23"/>
      <c r="F359" s="22"/>
      <c r="G359" s="24"/>
      <c r="H359" s="22"/>
      <c r="I359" s="22"/>
      <c r="J359" s="24"/>
      <c r="K359" s="22"/>
      <c r="L359" s="25"/>
      <c r="M359" s="25"/>
      <c r="N359" s="24"/>
      <c r="O359" s="23"/>
      <c r="P359" s="24"/>
      <c r="Q359" s="22"/>
      <c r="R359" s="22"/>
      <c r="S359" s="24"/>
      <c r="T359" s="24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</row>
    <row r="360" spans="1:33">
      <c r="A360" s="22"/>
      <c r="B360" s="22"/>
      <c r="C360" s="22"/>
      <c r="D360" s="22"/>
      <c r="E360" s="23"/>
      <c r="F360" s="22"/>
      <c r="G360" s="24"/>
      <c r="H360" s="22"/>
      <c r="I360" s="22"/>
      <c r="J360" s="24"/>
      <c r="K360" s="22"/>
      <c r="L360" s="25"/>
      <c r="M360" s="25"/>
      <c r="N360" s="24"/>
      <c r="O360" s="23"/>
      <c r="P360" s="24"/>
      <c r="Q360" s="22"/>
      <c r="R360" s="22"/>
      <c r="S360" s="24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</row>
    <row r="361" spans="1:33">
      <c r="A361" s="22"/>
      <c r="B361" s="22"/>
      <c r="C361" s="22"/>
      <c r="D361" s="22"/>
      <c r="E361" s="23"/>
      <c r="F361" s="22"/>
      <c r="G361" s="24"/>
      <c r="H361" s="22"/>
      <c r="I361" s="22"/>
      <c r="J361" s="24"/>
      <c r="K361" s="22"/>
      <c r="L361" s="25"/>
      <c r="M361" s="25"/>
      <c r="N361" s="24"/>
      <c r="O361" s="23"/>
      <c r="P361" s="24"/>
      <c r="Q361" s="22"/>
      <c r="R361" s="22"/>
      <c r="S361" s="24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</row>
    <row r="362" spans="1:33">
      <c r="A362" s="22"/>
      <c r="B362" s="22"/>
      <c r="C362" s="22"/>
      <c r="D362" s="22"/>
      <c r="E362" s="23"/>
      <c r="F362" s="22"/>
      <c r="G362" s="24"/>
      <c r="H362" s="22"/>
      <c r="I362" s="22"/>
      <c r="J362" s="24"/>
      <c r="K362" s="22"/>
      <c r="L362" s="25"/>
      <c r="M362" s="25"/>
      <c r="N362" s="24"/>
      <c r="O362" s="23"/>
      <c r="P362" s="24"/>
      <c r="Q362" s="22"/>
      <c r="R362" s="22"/>
      <c r="S362" s="24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</row>
    <row r="363" spans="1:33">
      <c r="A363" s="22"/>
      <c r="B363" s="22"/>
      <c r="C363" s="22"/>
      <c r="D363" s="22"/>
      <c r="E363" s="23"/>
      <c r="F363" s="22"/>
      <c r="G363" s="24"/>
      <c r="H363" s="22"/>
      <c r="I363" s="22"/>
      <c r="J363" s="24"/>
      <c r="K363" s="22"/>
      <c r="L363" s="25"/>
      <c r="M363" s="25"/>
      <c r="N363" s="24"/>
      <c r="O363" s="23"/>
      <c r="P363" s="24"/>
      <c r="Q363" s="22"/>
      <c r="R363" s="22"/>
      <c r="S363" s="24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</row>
    <row r="364" spans="1:33">
      <c r="A364" s="22"/>
      <c r="B364" s="22"/>
      <c r="C364" s="22"/>
      <c r="D364" s="22"/>
      <c r="E364" s="23"/>
      <c r="F364" s="22"/>
      <c r="G364" s="24"/>
      <c r="H364" s="22"/>
      <c r="I364" s="22"/>
      <c r="J364" s="24"/>
      <c r="K364" s="22"/>
      <c r="L364" s="25"/>
      <c r="M364" s="25"/>
      <c r="N364" s="24"/>
      <c r="O364" s="23"/>
      <c r="P364" s="24"/>
      <c r="Q364" s="22"/>
      <c r="R364" s="22"/>
      <c r="S364" s="24"/>
      <c r="T364" s="24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</row>
    <row r="365" spans="1:33">
      <c r="A365" s="22"/>
      <c r="B365" s="22"/>
      <c r="C365" s="22"/>
      <c r="D365" s="22"/>
      <c r="E365" s="23"/>
      <c r="F365" s="22"/>
      <c r="G365" s="24"/>
      <c r="H365" s="22"/>
      <c r="I365" s="22"/>
      <c r="J365" s="24"/>
      <c r="K365" s="22"/>
      <c r="L365" s="25"/>
      <c r="M365" s="25"/>
      <c r="N365" s="24"/>
      <c r="O365" s="23"/>
      <c r="P365" s="24"/>
      <c r="Q365" s="22"/>
      <c r="R365" s="22"/>
      <c r="S365" s="24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</row>
    <row r="366" spans="1:33">
      <c r="A366" s="22"/>
      <c r="B366" s="22"/>
      <c r="C366" s="22"/>
      <c r="D366" s="22"/>
      <c r="E366" s="23"/>
      <c r="F366" s="22"/>
      <c r="G366" s="24"/>
      <c r="H366" s="22"/>
      <c r="I366" s="22"/>
      <c r="J366" s="24"/>
      <c r="K366" s="22"/>
      <c r="L366" s="25"/>
      <c r="M366" s="25"/>
      <c r="N366" s="22"/>
      <c r="O366" s="23"/>
      <c r="P366" s="22"/>
      <c r="Q366" s="22"/>
      <c r="R366" s="22"/>
      <c r="S366" s="24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</row>
    <row r="367" spans="1:33">
      <c r="A367" s="22"/>
      <c r="B367" s="22"/>
      <c r="C367" s="22"/>
      <c r="D367" s="22"/>
      <c r="E367" s="23"/>
      <c r="F367" s="22"/>
      <c r="G367" s="24"/>
      <c r="H367" s="22"/>
      <c r="I367" s="22"/>
      <c r="J367" s="24"/>
      <c r="K367" s="22"/>
      <c r="L367" s="25"/>
      <c r="M367" s="25"/>
      <c r="N367" s="22"/>
      <c r="O367" s="23"/>
      <c r="P367" s="22"/>
      <c r="Q367" s="22"/>
      <c r="R367" s="22"/>
      <c r="S367" s="24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</row>
    <row r="368" spans="1:33">
      <c r="A368" s="22"/>
      <c r="B368" s="22"/>
      <c r="C368" s="22"/>
      <c r="D368" s="22"/>
      <c r="E368" s="23"/>
      <c r="F368" s="22"/>
      <c r="G368" s="24"/>
      <c r="H368" s="22"/>
      <c r="I368" s="22"/>
      <c r="J368" s="24"/>
      <c r="K368" s="22"/>
      <c r="L368" s="25"/>
      <c r="M368" s="25"/>
      <c r="N368" s="24"/>
      <c r="O368" s="23"/>
      <c r="P368" s="24"/>
      <c r="Q368" s="22"/>
      <c r="R368" s="22"/>
      <c r="S368" s="24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</row>
    <row r="369" spans="1:33">
      <c r="A369" s="22"/>
      <c r="B369" s="22"/>
      <c r="C369" s="22"/>
      <c r="D369" s="22"/>
      <c r="E369" s="23"/>
      <c r="F369" s="22"/>
      <c r="G369" s="24"/>
      <c r="H369" s="22"/>
      <c r="I369" s="22"/>
      <c r="J369" s="24"/>
      <c r="K369" s="22"/>
      <c r="L369" s="25"/>
      <c r="M369" s="25"/>
      <c r="N369" s="24"/>
      <c r="O369" s="23"/>
      <c r="P369" s="24"/>
      <c r="Q369" s="22"/>
      <c r="R369" s="22"/>
      <c r="S369" s="24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</row>
    <row r="370" spans="1:33">
      <c r="A370" s="22"/>
      <c r="B370" s="22"/>
      <c r="C370" s="22"/>
      <c r="D370" s="22"/>
      <c r="E370" s="23"/>
      <c r="F370" s="22"/>
      <c r="G370" s="24"/>
      <c r="H370" s="22"/>
      <c r="I370" s="22"/>
      <c r="J370" s="24"/>
      <c r="K370" s="22"/>
      <c r="L370" s="25"/>
      <c r="M370" s="25"/>
      <c r="N370" s="22"/>
      <c r="O370" s="23"/>
      <c r="P370" s="22"/>
      <c r="Q370" s="22"/>
      <c r="R370" s="22"/>
      <c r="S370" s="24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</row>
    <row r="371" spans="1:33">
      <c r="A371" s="22"/>
      <c r="B371" s="22"/>
      <c r="C371" s="22"/>
      <c r="D371" s="22"/>
      <c r="E371" s="23"/>
      <c r="F371" s="22"/>
      <c r="G371" s="24"/>
      <c r="H371" s="22"/>
      <c r="I371" s="22"/>
      <c r="J371" s="24"/>
      <c r="K371" s="22"/>
      <c r="L371" s="26"/>
      <c r="M371" s="25"/>
      <c r="N371" s="24"/>
      <c r="O371" s="23"/>
      <c r="P371" s="24"/>
      <c r="Q371" s="22"/>
      <c r="R371" s="22"/>
      <c r="S371" s="24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</row>
    <row r="372" spans="1:33">
      <c r="A372" s="22"/>
      <c r="B372" s="22"/>
      <c r="C372" s="22"/>
      <c r="D372" s="22"/>
      <c r="E372" s="23"/>
      <c r="F372" s="22"/>
      <c r="G372" s="24"/>
      <c r="H372" s="22"/>
      <c r="I372" s="22"/>
      <c r="J372" s="24"/>
      <c r="K372" s="22"/>
      <c r="L372" s="26"/>
      <c r="M372" s="25"/>
      <c r="N372" s="24"/>
      <c r="O372" s="23"/>
      <c r="P372" s="24"/>
      <c r="Q372" s="22"/>
      <c r="R372" s="22"/>
      <c r="S372" s="24"/>
      <c r="T372" s="24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</row>
    <row r="373" spans="1:33">
      <c r="A373" s="22"/>
      <c r="B373" s="22"/>
      <c r="C373" s="22"/>
      <c r="D373" s="22"/>
      <c r="E373" s="23"/>
      <c r="F373" s="22"/>
      <c r="G373" s="24"/>
      <c r="H373" s="22"/>
      <c r="I373" s="22"/>
      <c r="J373" s="24"/>
      <c r="K373" s="22"/>
      <c r="L373" s="26"/>
      <c r="M373" s="25"/>
      <c r="N373" s="24"/>
      <c r="O373" s="23"/>
      <c r="P373" s="24"/>
      <c r="Q373" s="22"/>
      <c r="R373" s="22"/>
      <c r="S373" s="24"/>
      <c r="T373" s="24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</row>
    <row r="374" spans="1:33">
      <c r="A374" s="22"/>
      <c r="B374" s="22"/>
      <c r="C374" s="22"/>
      <c r="D374" s="22"/>
      <c r="E374" s="23"/>
      <c r="F374" s="22"/>
      <c r="G374" s="24"/>
      <c r="H374" s="22"/>
      <c r="I374" s="22"/>
      <c r="J374" s="24"/>
      <c r="K374" s="22"/>
      <c r="L374" s="25"/>
      <c r="M374" s="25"/>
      <c r="N374" s="22"/>
      <c r="O374" s="23"/>
      <c r="P374" s="22"/>
      <c r="Q374" s="22"/>
      <c r="R374" s="22"/>
      <c r="S374" s="24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</row>
    <row r="375" spans="1:33">
      <c r="A375" s="22"/>
      <c r="B375" s="22"/>
      <c r="C375" s="22"/>
      <c r="D375" s="22"/>
      <c r="E375" s="23"/>
      <c r="F375" s="22"/>
      <c r="G375" s="24"/>
      <c r="H375" s="22"/>
      <c r="I375" s="22"/>
      <c r="J375" s="24"/>
      <c r="K375" s="22"/>
      <c r="L375" s="25"/>
      <c r="M375" s="25"/>
      <c r="N375" s="22"/>
      <c r="O375" s="23"/>
      <c r="P375" s="22"/>
      <c r="Q375" s="22"/>
      <c r="R375" s="22"/>
      <c r="S375" s="24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</row>
    <row r="376" spans="1:33">
      <c r="A376" s="22"/>
      <c r="B376" s="22"/>
      <c r="C376" s="22"/>
      <c r="D376" s="22"/>
      <c r="E376" s="23"/>
      <c r="F376" s="22"/>
      <c r="G376" s="24"/>
      <c r="H376" s="22"/>
      <c r="I376" s="22"/>
      <c r="J376" s="24"/>
      <c r="K376" s="22"/>
      <c r="L376" s="26"/>
      <c r="M376" s="25"/>
      <c r="N376" s="22"/>
      <c r="O376" s="23"/>
      <c r="P376" s="22"/>
      <c r="Q376" s="22"/>
      <c r="R376" s="22"/>
      <c r="S376" s="24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</row>
    <row r="377" spans="1:33">
      <c r="A377" s="22"/>
      <c r="B377" s="22"/>
      <c r="C377" s="22"/>
      <c r="D377" s="22"/>
      <c r="E377" s="23"/>
      <c r="F377" s="22"/>
      <c r="G377" s="24"/>
      <c r="H377" s="22"/>
      <c r="I377" s="22"/>
      <c r="J377" s="24"/>
      <c r="K377" s="22"/>
      <c r="L377" s="26"/>
      <c r="M377" s="25"/>
      <c r="N377" s="22"/>
      <c r="O377" s="23"/>
      <c r="P377" s="22"/>
      <c r="Q377" s="22"/>
      <c r="R377" s="22"/>
      <c r="S377" s="24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</row>
    <row r="378" spans="1:33">
      <c r="A378" s="22"/>
      <c r="B378" s="22"/>
      <c r="C378" s="22"/>
      <c r="D378" s="22"/>
      <c r="E378" s="23"/>
      <c r="F378" s="22"/>
      <c r="G378" s="24"/>
      <c r="H378" s="22"/>
      <c r="I378" s="22"/>
      <c r="J378" s="24"/>
      <c r="K378" s="22"/>
      <c r="L378" s="25"/>
      <c r="M378" s="25"/>
      <c r="N378" s="22"/>
      <c r="O378" s="23"/>
      <c r="P378" s="24"/>
      <c r="Q378" s="22"/>
      <c r="R378" s="22"/>
      <c r="S378" s="24"/>
      <c r="T378" s="24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</row>
    <row r="379" spans="1:33">
      <c r="A379" s="22"/>
      <c r="B379" s="22"/>
      <c r="C379" s="22"/>
      <c r="D379" s="22"/>
      <c r="E379" s="23"/>
      <c r="F379" s="22"/>
      <c r="G379" s="24"/>
      <c r="H379" s="22"/>
      <c r="I379" s="22"/>
      <c r="J379" s="24"/>
      <c r="K379" s="22"/>
      <c r="L379" s="26"/>
      <c r="M379" s="25"/>
      <c r="N379" s="24"/>
      <c r="O379" s="23"/>
      <c r="P379" s="24"/>
      <c r="Q379" s="22"/>
      <c r="R379" s="22"/>
      <c r="S379" s="24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</row>
    <row r="380" spans="1:33">
      <c r="A380" s="22"/>
      <c r="B380" s="22"/>
      <c r="C380" s="22"/>
      <c r="D380" s="22"/>
      <c r="E380" s="23"/>
      <c r="F380" s="22"/>
      <c r="G380" s="24"/>
      <c r="H380" s="22"/>
      <c r="I380" s="22"/>
      <c r="J380" s="24"/>
      <c r="K380" s="22"/>
      <c r="L380" s="25"/>
      <c r="M380" s="25"/>
      <c r="N380" s="24"/>
      <c r="O380" s="23"/>
      <c r="P380" s="24"/>
      <c r="Q380" s="22"/>
      <c r="R380" s="22"/>
      <c r="S380" s="24"/>
      <c r="T380" s="24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</row>
    <row r="381" spans="1:33">
      <c r="A381" s="22"/>
      <c r="B381" s="22"/>
      <c r="C381" s="22"/>
      <c r="D381" s="22"/>
      <c r="E381" s="23"/>
      <c r="F381" s="22"/>
      <c r="G381" s="24"/>
      <c r="H381" s="22"/>
      <c r="I381" s="22"/>
      <c r="J381" s="24"/>
      <c r="K381" s="22"/>
      <c r="L381" s="25"/>
      <c r="M381" s="25"/>
      <c r="N381" s="24"/>
      <c r="O381" s="23"/>
      <c r="P381" s="24"/>
      <c r="Q381" s="22"/>
      <c r="R381" s="22"/>
      <c r="S381" s="24"/>
      <c r="T381" s="24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</row>
    <row r="382" spans="1:33">
      <c r="A382" s="22"/>
      <c r="B382" s="22"/>
      <c r="C382" s="22"/>
      <c r="D382" s="22"/>
      <c r="E382" s="23"/>
      <c r="F382" s="22"/>
      <c r="G382" s="24"/>
      <c r="H382" s="22"/>
      <c r="I382" s="22"/>
      <c r="J382" s="24"/>
      <c r="K382" s="22"/>
      <c r="L382" s="25"/>
      <c r="M382" s="25"/>
      <c r="N382" s="24"/>
      <c r="O382" s="23"/>
      <c r="P382" s="24"/>
      <c r="Q382" s="22"/>
      <c r="R382" s="22"/>
      <c r="S382" s="24"/>
      <c r="T382" s="24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</row>
    <row r="383" spans="1:33">
      <c r="A383" s="22"/>
      <c r="B383" s="22"/>
      <c r="C383" s="22"/>
      <c r="D383" s="22"/>
      <c r="E383" s="23"/>
      <c r="F383" s="22"/>
      <c r="G383" s="24"/>
      <c r="H383" s="22"/>
      <c r="I383" s="22"/>
      <c r="J383" s="24"/>
      <c r="K383" s="22"/>
      <c r="L383" s="25"/>
      <c r="M383" s="25"/>
      <c r="N383" s="24"/>
      <c r="O383" s="23"/>
      <c r="P383" s="24"/>
      <c r="Q383" s="22"/>
      <c r="R383" s="22"/>
      <c r="S383" s="24"/>
      <c r="T383" s="24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</row>
    <row r="384" spans="1:33">
      <c r="A384" s="22"/>
      <c r="B384" s="22"/>
      <c r="C384" s="22"/>
      <c r="D384" s="22"/>
      <c r="E384" s="23"/>
      <c r="F384" s="22"/>
      <c r="G384" s="24"/>
      <c r="H384" s="22"/>
      <c r="I384" s="22"/>
      <c r="J384" s="24"/>
      <c r="K384" s="22"/>
      <c r="L384" s="25"/>
      <c r="M384" s="25"/>
      <c r="N384" s="24"/>
      <c r="O384" s="23"/>
      <c r="P384" s="24"/>
      <c r="Q384" s="22"/>
      <c r="R384" s="22"/>
      <c r="S384" s="24"/>
      <c r="T384" s="24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</row>
    <row r="385" spans="1:33">
      <c r="A385" s="22"/>
      <c r="B385" s="22"/>
      <c r="C385" s="22"/>
      <c r="D385" s="22"/>
      <c r="E385" s="23"/>
      <c r="F385" s="22"/>
      <c r="G385" s="24"/>
      <c r="H385" s="22"/>
      <c r="I385" s="22"/>
      <c r="J385" s="24"/>
      <c r="K385" s="22"/>
      <c r="L385" s="25"/>
      <c r="M385" s="25"/>
      <c r="N385" s="24"/>
      <c r="O385" s="23"/>
      <c r="P385" s="24"/>
      <c r="Q385" s="22"/>
      <c r="R385" s="22"/>
      <c r="S385" s="24"/>
      <c r="T385" s="24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</row>
    <row r="386" spans="1:33">
      <c r="A386" s="22"/>
      <c r="B386" s="22"/>
      <c r="C386" s="22"/>
      <c r="D386" s="22"/>
      <c r="E386" s="23"/>
      <c r="F386" s="22"/>
      <c r="G386" s="24"/>
      <c r="H386" s="22"/>
      <c r="I386" s="22"/>
      <c r="J386" s="24"/>
      <c r="K386" s="22"/>
      <c r="L386" s="25"/>
      <c r="M386" s="25"/>
      <c r="N386" s="24"/>
      <c r="O386" s="23"/>
      <c r="P386" s="24"/>
      <c r="Q386" s="22"/>
      <c r="R386" s="22"/>
      <c r="S386" s="24"/>
      <c r="T386" s="24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</row>
    <row r="387" spans="1:33">
      <c r="A387" s="22"/>
      <c r="B387" s="22"/>
      <c r="C387" s="22"/>
      <c r="D387" s="22"/>
      <c r="E387" s="23"/>
      <c r="F387" s="22"/>
      <c r="G387" s="24"/>
      <c r="H387" s="22"/>
      <c r="I387" s="22"/>
      <c r="J387" s="24"/>
      <c r="K387" s="22"/>
      <c r="L387" s="25"/>
      <c r="M387" s="25"/>
      <c r="N387" s="24"/>
      <c r="O387" s="23"/>
      <c r="P387" s="24"/>
      <c r="Q387" s="22"/>
      <c r="R387" s="22"/>
      <c r="S387" s="24"/>
      <c r="T387" s="24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</row>
    <row r="388" spans="1:33">
      <c r="A388" s="22"/>
      <c r="B388" s="22"/>
      <c r="C388" s="22"/>
      <c r="D388" s="22"/>
      <c r="E388" s="23"/>
      <c r="F388" s="22"/>
      <c r="G388" s="24"/>
      <c r="H388" s="22"/>
      <c r="I388" s="22"/>
      <c r="J388" s="24"/>
      <c r="K388" s="22"/>
      <c r="L388" s="25"/>
      <c r="M388" s="25"/>
      <c r="N388" s="24"/>
      <c r="O388" s="23"/>
      <c r="P388" s="24"/>
      <c r="Q388" s="22"/>
      <c r="R388" s="22"/>
      <c r="S388" s="24"/>
      <c r="T388" s="24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</row>
    <row r="389" spans="1:33">
      <c r="A389" s="22"/>
      <c r="B389" s="22"/>
      <c r="C389" s="22"/>
      <c r="D389" s="22"/>
      <c r="E389" s="23"/>
      <c r="F389" s="22"/>
      <c r="G389" s="24"/>
      <c r="H389" s="22"/>
      <c r="I389" s="22"/>
      <c r="J389" s="24"/>
      <c r="K389" s="22"/>
      <c r="L389" s="25"/>
      <c r="M389" s="25"/>
      <c r="N389" s="24"/>
      <c r="O389" s="23"/>
      <c r="P389" s="24"/>
      <c r="Q389" s="22"/>
      <c r="R389" s="22"/>
      <c r="S389" s="24"/>
      <c r="T389" s="24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</row>
    <row r="390" spans="1:33">
      <c r="A390" s="22"/>
      <c r="B390" s="22"/>
      <c r="C390" s="22"/>
      <c r="D390" s="22"/>
      <c r="E390" s="23"/>
      <c r="F390" s="22"/>
      <c r="G390" s="24"/>
      <c r="H390" s="22"/>
      <c r="I390" s="22"/>
      <c r="J390" s="24"/>
      <c r="K390" s="22"/>
      <c r="L390" s="25"/>
      <c r="M390" s="25"/>
      <c r="N390" s="24"/>
      <c r="O390" s="23"/>
      <c r="P390" s="24"/>
      <c r="Q390" s="22"/>
      <c r="R390" s="22"/>
      <c r="S390" s="24"/>
      <c r="T390" s="24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</row>
    <row r="391" spans="1:33">
      <c r="A391" s="22"/>
      <c r="B391" s="22"/>
      <c r="C391" s="22"/>
      <c r="D391" s="22"/>
      <c r="E391" s="23"/>
      <c r="F391" s="22"/>
      <c r="G391" s="24"/>
      <c r="H391" s="22"/>
      <c r="I391" s="22"/>
      <c r="J391" s="24"/>
      <c r="K391" s="22"/>
      <c r="L391" s="25"/>
      <c r="M391" s="25"/>
      <c r="N391" s="24"/>
      <c r="O391" s="23"/>
      <c r="P391" s="24"/>
      <c r="Q391" s="22"/>
      <c r="R391" s="22"/>
      <c r="S391" s="24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</row>
    <row r="392" spans="1:33">
      <c r="A392" s="22"/>
      <c r="B392" s="22"/>
      <c r="C392" s="22"/>
      <c r="D392" s="22"/>
      <c r="E392" s="23"/>
      <c r="F392" s="22"/>
      <c r="G392" s="24"/>
      <c r="H392" s="22"/>
      <c r="I392" s="22"/>
      <c r="J392" s="24"/>
      <c r="K392" s="22"/>
      <c r="L392" s="25"/>
      <c r="M392" s="25"/>
      <c r="N392" s="24"/>
      <c r="O392" s="23"/>
      <c r="P392" s="24"/>
      <c r="Q392" s="22"/>
      <c r="R392" s="22"/>
      <c r="S392" s="24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</row>
    <row r="393" spans="1:33">
      <c r="A393" s="22"/>
      <c r="B393" s="22"/>
      <c r="C393" s="22"/>
      <c r="D393" s="22"/>
      <c r="E393" s="23"/>
      <c r="F393" s="22"/>
      <c r="G393" s="24"/>
      <c r="H393" s="22"/>
      <c r="I393" s="22"/>
      <c r="J393" s="24"/>
      <c r="K393" s="22"/>
      <c r="L393" s="25"/>
      <c r="M393" s="25"/>
      <c r="N393" s="24"/>
      <c r="O393" s="23"/>
      <c r="P393" s="24"/>
      <c r="Q393" s="22"/>
      <c r="R393" s="22"/>
      <c r="S393" s="24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</row>
    <row r="394" spans="1:33">
      <c r="A394" s="22"/>
      <c r="B394" s="22"/>
      <c r="C394" s="22"/>
      <c r="D394" s="22"/>
      <c r="E394" s="23"/>
      <c r="F394" s="22"/>
      <c r="G394" s="24"/>
      <c r="H394" s="22"/>
      <c r="I394" s="22"/>
      <c r="J394" s="24"/>
      <c r="K394" s="22"/>
      <c r="L394" s="25"/>
      <c r="M394" s="25"/>
      <c r="N394" s="24"/>
      <c r="O394" s="23"/>
      <c r="P394" s="24"/>
      <c r="Q394" s="22"/>
      <c r="R394" s="22"/>
      <c r="S394" s="24"/>
      <c r="T394" s="24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</row>
    <row r="395" spans="1:33">
      <c r="A395" s="22"/>
      <c r="B395" s="22"/>
      <c r="C395" s="22"/>
      <c r="D395" s="22"/>
      <c r="E395" s="23"/>
      <c r="F395" s="22"/>
      <c r="G395" s="24"/>
      <c r="H395" s="22"/>
      <c r="I395" s="22"/>
      <c r="J395" s="24"/>
      <c r="K395" s="22"/>
      <c r="L395" s="26"/>
      <c r="M395" s="25"/>
      <c r="N395" s="24"/>
      <c r="O395" s="23"/>
      <c r="P395" s="24"/>
      <c r="Q395" s="22"/>
      <c r="R395" s="22"/>
      <c r="S395" s="24"/>
      <c r="T395" s="24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</row>
    <row r="396" spans="1:33">
      <c r="A396" s="22"/>
      <c r="B396" s="22"/>
      <c r="C396" s="22"/>
      <c r="D396" s="22"/>
      <c r="E396" s="23"/>
      <c r="F396" s="22"/>
      <c r="G396" s="24"/>
      <c r="H396" s="22"/>
      <c r="I396" s="22"/>
      <c r="J396" s="24"/>
      <c r="K396" s="22"/>
      <c r="L396" s="25"/>
      <c r="M396" s="25"/>
      <c r="N396" s="24"/>
      <c r="O396" s="23"/>
      <c r="P396" s="24"/>
      <c r="Q396" s="22"/>
      <c r="R396" s="22"/>
      <c r="S396" s="24"/>
      <c r="T396" s="24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</row>
    <row r="397" spans="1:33">
      <c r="A397" s="22"/>
      <c r="B397" s="22"/>
      <c r="C397" s="22"/>
      <c r="D397" s="22"/>
      <c r="E397" s="23"/>
      <c r="F397" s="22"/>
      <c r="G397" s="24"/>
      <c r="H397" s="22"/>
      <c r="I397" s="22"/>
      <c r="J397" s="24"/>
      <c r="K397" s="22"/>
      <c r="L397" s="25"/>
      <c r="M397" s="25"/>
      <c r="N397" s="24"/>
      <c r="O397" s="23"/>
      <c r="P397" s="24"/>
      <c r="Q397" s="22"/>
      <c r="R397" s="22"/>
      <c r="S397" s="24"/>
      <c r="T397" s="24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</row>
    <row r="398" spans="1:33">
      <c r="A398" s="22"/>
      <c r="B398" s="22"/>
      <c r="C398" s="22"/>
      <c r="D398" s="22"/>
      <c r="E398" s="23"/>
      <c r="F398" s="22"/>
      <c r="G398" s="24"/>
      <c r="H398" s="22"/>
      <c r="I398" s="22"/>
      <c r="J398" s="24"/>
      <c r="K398" s="22"/>
      <c r="L398" s="25"/>
      <c r="M398" s="25"/>
      <c r="N398" s="24"/>
      <c r="O398" s="23"/>
      <c r="P398" s="24"/>
      <c r="Q398" s="22"/>
      <c r="R398" s="22"/>
      <c r="S398" s="24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</row>
    <row r="399" spans="1:33">
      <c r="A399" s="22"/>
      <c r="B399" s="22"/>
      <c r="C399" s="22"/>
      <c r="D399" s="22"/>
      <c r="E399" s="23"/>
      <c r="F399" s="22"/>
      <c r="G399" s="24"/>
      <c r="H399" s="22"/>
      <c r="I399" s="22"/>
      <c r="J399" s="24"/>
      <c r="K399" s="22"/>
      <c r="L399" s="25"/>
      <c r="M399" s="25"/>
      <c r="N399" s="24"/>
      <c r="O399" s="23"/>
      <c r="P399" s="24"/>
      <c r="Q399" s="22"/>
      <c r="R399" s="22"/>
      <c r="S399" s="24"/>
      <c r="T399" s="24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</row>
    <row r="400" spans="1:33">
      <c r="A400" s="22"/>
      <c r="B400" s="22"/>
      <c r="C400" s="22"/>
      <c r="D400" s="22"/>
      <c r="E400" s="23"/>
      <c r="F400" s="22"/>
      <c r="G400" s="24"/>
      <c r="H400" s="22"/>
      <c r="I400" s="22"/>
      <c r="J400" s="24"/>
      <c r="K400" s="22"/>
      <c r="L400" s="25"/>
      <c r="M400" s="25"/>
      <c r="N400" s="24"/>
      <c r="O400" s="23"/>
      <c r="P400" s="24"/>
      <c r="Q400" s="22"/>
      <c r="R400" s="22"/>
      <c r="S400" s="24"/>
      <c r="T400" s="24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</row>
    <row r="401" spans="1:33">
      <c r="A401" s="22"/>
      <c r="B401" s="22"/>
      <c r="C401" s="22"/>
      <c r="D401" s="22"/>
      <c r="E401" s="23"/>
      <c r="F401" s="22"/>
      <c r="G401" s="24"/>
      <c r="H401" s="22"/>
      <c r="I401" s="22"/>
      <c r="J401" s="24"/>
      <c r="K401" s="22"/>
      <c r="L401" s="25"/>
      <c r="M401" s="25"/>
      <c r="N401" s="24"/>
      <c r="O401" s="23"/>
      <c r="P401" s="24"/>
      <c r="Q401" s="22"/>
      <c r="R401" s="22"/>
      <c r="S401" s="24"/>
      <c r="T401" s="24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</row>
    <row r="402" spans="1:33">
      <c r="A402" s="22"/>
      <c r="B402" s="22"/>
      <c r="C402" s="22"/>
      <c r="D402" s="22"/>
      <c r="E402" s="23"/>
      <c r="F402" s="22"/>
      <c r="G402" s="24"/>
      <c r="H402" s="22"/>
      <c r="I402" s="22"/>
      <c r="J402" s="24"/>
      <c r="K402" s="22"/>
      <c r="L402" s="25"/>
      <c r="M402" s="25"/>
      <c r="N402" s="24"/>
      <c r="O402" s="23"/>
      <c r="P402" s="24"/>
      <c r="Q402" s="22"/>
      <c r="R402" s="22"/>
      <c r="S402" s="24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</row>
    <row r="403" spans="1:33">
      <c r="A403" s="22"/>
      <c r="B403" s="22"/>
      <c r="C403" s="22"/>
      <c r="D403" s="22"/>
      <c r="E403" s="23"/>
      <c r="F403" s="22"/>
      <c r="G403" s="24"/>
      <c r="H403" s="22"/>
      <c r="I403" s="22"/>
      <c r="J403" s="24"/>
      <c r="K403" s="22"/>
      <c r="L403" s="25"/>
      <c r="M403" s="25"/>
      <c r="N403" s="24"/>
      <c r="O403" s="23"/>
      <c r="P403" s="24"/>
      <c r="Q403" s="22"/>
      <c r="R403" s="22"/>
      <c r="S403" s="24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</row>
    <row r="404" spans="1:33">
      <c r="A404" s="22"/>
      <c r="B404" s="22"/>
      <c r="C404" s="22"/>
      <c r="D404" s="22"/>
      <c r="E404" s="23"/>
      <c r="F404" s="22"/>
      <c r="G404" s="24"/>
      <c r="H404" s="22"/>
      <c r="I404" s="22"/>
      <c r="J404" s="24"/>
      <c r="K404" s="22"/>
      <c r="L404" s="25"/>
      <c r="M404" s="25"/>
      <c r="N404" s="24"/>
      <c r="O404" s="23"/>
      <c r="P404" s="24"/>
      <c r="Q404" s="22"/>
      <c r="R404" s="22"/>
      <c r="S404" s="24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</row>
    <row r="405" spans="1:33">
      <c r="A405" s="22"/>
      <c r="B405" s="22"/>
      <c r="C405" s="22"/>
      <c r="D405" s="22"/>
      <c r="E405" s="23"/>
      <c r="F405" s="22"/>
      <c r="G405" s="24"/>
      <c r="H405" s="22"/>
      <c r="I405" s="22"/>
      <c r="J405" s="24"/>
      <c r="K405" s="22"/>
      <c r="L405" s="25"/>
      <c r="M405" s="25"/>
      <c r="N405" s="24"/>
      <c r="O405" s="23"/>
      <c r="P405" s="24"/>
      <c r="Q405" s="22"/>
      <c r="R405" s="22"/>
      <c r="S405" s="24"/>
      <c r="T405" s="24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</row>
    <row r="406" spans="1:33">
      <c r="A406" s="22"/>
      <c r="B406" s="22"/>
      <c r="C406" s="22"/>
      <c r="D406" s="22"/>
      <c r="E406" s="23"/>
      <c r="F406" s="22"/>
      <c r="G406" s="24"/>
      <c r="H406" s="22"/>
      <c r="I406" s="22"/>
      <c r="J406" s="24"/>
      <c r="K406" s="22"/>
      <c r="L406" s="25"/>
      <c r="M406" s="25"/>
      <c r="N406" s="24"/>
      <c r="O406" s="23"/>
      <c r="P406" s="24"/>
      <c r="Q406" s="22"/>
      <c r="R406" s="22"/>
      <c r="S406" s="24"/>
      <c r="T406" s="24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</row>
    <row r="407" spans="1:33">
      <c r="A407" s="22"/>
      <c r="B407" s="22"/>
      <c r="C407" s="22"/>
      <c r="D407" s="22"/>
      <c r="E407" s="23"/>
      <c r="F407" s="22"/>
      <c r="G407" s="24"/>
      <c r="H407" s="22"/>
      <c r="I407" s="22"/>
      <c r="J407" s="24"/>
      <c r="K407" s="22"/>
      <c r="L407" s="25"/>
      <c r="M407" s="25"/>
      <c r="N407" s="24"/>
      <c r="O407" s="23"/>
      <c r="P407" s="24"/>
      <c r="Q407" s="22"/>
      <c r="R407" s="22"/>
      <c r="S407" s="24"/>
      <c r="T407" s="24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</row>
    <row r="408" spans="1:33">
      <c r="A408" s="22"/>
      <c r="B408" s="22"/>
      <c r="C408" s="22"/>
      <c r="D408" s="22"/>
      <c r="E408" s="23"/>
      <c r="F408" s="22"/>
      <c r="G408" s="24"/>
      <c r="H408" s="22"/>
      <c r="I408" s="22"/>
      <c r="J408" s="24"/>
      <c r="K408" s="22"/>
      <c r="L408" s="25"/>
      <c r="M408" s="25"/>
      <c r="N408" s="22"/>
      <c r="O408" s="23"/>
      <c r="P408" s="22"/>
      <c r="Q408" s="22"/>
      <c r="R408" s="22"/>
      <c r="S408" s="24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</row>
    <row r="409" spans="1:33">
      <c r="A409" s="22"/>
      <c r="B409" s="22"/>
      <c r="C409" s="22"/>
      <c r="D409" s="22"/>
      <c r="E409" s="23"/>
      <c r="F409" s="22"/>
      <c r="G409" s="24"/>
      <c r="H409" s="22"/>
      <c r="I409" s="22"/>
      <c r="J409" s="24"/>
      <c r="K409" s="22"/>
      <c r="L409" s="25"/>
      <c r="M409" s="25"/>
      <c r="N409" s="22"/>
      <c r="O409" s="23"/>
      <c r="P409" s="22"/>
      <c r="Q409" s="22"/>
      <c r="R409" s="22"/>
      <c r="S409" s="24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</row>
    <row r="410" spans="1:33">
      <c r="A410" s="22"/>
      <c r="B410" s="22"/>
      <c r="C410" s="22"/>
      <c r="D410" s="22"/>
      <c r="E410" s="23"/>
      <c r="F410" s="22"/>
      <c r="G410" s="24"/>
      <c r="H410" s="22"/>
      <c r="I410" s="22"/>
      <c r="J410" s="24"/>
      <c r="K410" s="22"/>
      <c r="L410" s="25"/>
      <c r="M410" s="25"/>
      <c r="N410" s="22"/>
      <c r="O410" s="23"/>
      <c r="P410" s="22"/>
      <c r="Q410" s="22"/>
      <c r="R410" s="22"/>
      <c r="S410" s="24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</row>
    <row r="411" spans="1:33">
      <c r="A411" s="22"/>
      <c r="B411" s="22"/>
      <c r="C411" s="22"/>
      <c r="D411" s="22"/>
      <c r="E411" s="23"/>
      <c r="F411" s="22"/>
      <c r="G411" s="24"/>
      <c r="H411" s="22"/>
      <c r="I411" s="22"/>
      <c r="J411" s="24"/>
      <c r="K411" s="22"/>
      <c r="L411" s="25"/>
      <c r="M411" s="25"/>
      <c r="N411" s="24"/>
      <c r="O411" s="23"/>
      <c r="P411" s="24"/>
      <c r="Q411" s="22"/>
      <c r="R411" s="22"/>
      <c r="S411" s="24"/>
      <c r="T411" s="24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</row>
    <row r="412" spans="1:33">
      <c r="A412" s="22"/>
      <c r="B412" s="22"/>
      <c r="C412" s="22"/>
      <c r="D412" s="22"/>
      <c r="E412" s="23"/>
      <c r="F412" s="22"/>
      <c r="G412" s="24"/>
      <c r="H412" s="22"/>
      <c r="I412" s="22"/>
      <c r="J412" s="24"/>
      <c r="K412" s="22"/>
      <c r="L412" s="25"/>
      <c r="M412" s="25"/>
      <c r="N412" s="24"/>
      <c r="O412" s="23"/>
      <c r="P412" s="24"/>
      <c r="Q412" s="22"/>
      <c r="R412" s="22"/>
      <c r="S412" s="24"/>
      <c r="T412" s="24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</row>
    <row r="413" spans="1:33">
      <c r="A413" s="22"/>
      <c r="B413" s="22"/>
      <c r="C413" s="22"/>
      <c r="D413" s="22"/>
      <c r="E413" s="23"/>
      <c r="F413" s="22"/>
      <c r="G413" s="24"/>
      <c r="H413" s="22"/>
      <c r="I413" s="22"/>
      <c r="J413" s="24"/>
      <c r="K413" s="22"/>
      <c r="L413" s="25"/>
      <c r="M413" s="25"/>
      <c r="N413" s="24"/>
      <c r="O413" s="23"/>
      <c r="P413" s="24"/>
      <c r="Q413" s="22"/>
      <c r="R413" s="22"/>
      <c r="S413" s="24"/>
      <c r="T413" s="24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</row>
    <row r="414" spans="1:33">
      <c r="A414" s="22"/>
      <c r="B414" s="22"/>
      <c r="C414" s="22"/>
      <c r="D414" s="22"/>
      <c r="E414" s="23"/>
      <c r="F414" s="22"/>
      <c r="G414" s="24"/>
      <c r="H414" s="22"/>
      <c r="I414" s="22"/>
      <c r="J414" s="24"/>
      <c r="K414" s="22"/>
      <c r="L414" s="25"/>
      <c r="M414" s="25"/>
      <c r="N414" s="24"/>
      <c r="O414" s="23"/>
      <c r="P414" s="24"/>
      <c r="Q414" s="22"/>
      <c r="R414" s="22"/>
      <c r="S414" s="24"/>
      <c r="T414" s="24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</row>
    <row r="415" spans="1:33">
      <c r="A415" s="22"/>
      <c r="B415" s="22"/>
      <c r="C415" s="22"/>
      <c r="D415" s="22"/>
      <c r="E415" s="23"/>
      <c r="F415" s="22"/>
      <c r="G415" s="24"/>
      <c r="H415" s="22"/>
      <c r="I415" s="22"/>
      <c r="J415" s="24"/>
      <c r="K415" s="22"/>
      <c r="L415" s="25"/>
      <c r="M415" s="25"/>
      <c r="N415" s="24"/>
      <c r="O415" s="23"/>
      <c r="P415" s="24"/>
      <c r="Q415" s="22"/>
      <c r="R415" s="22"/>
      <c r="S415" s="24"/>
      <c r="T415" s="24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</row>
    <row r="416" spans="1:33">
      <c r="A416" s="22"/>
      <c r="B416" s="22"/>
      <c r="C416" s="22"/>
      <c r="D416" s="22"/>
      <c r="E416" s="23"/>
      <c r="F416" s="22"/>
      <c r="G416" s="24"/>
      <c r="H416" s="22"/>
      <c r="I416" s="22"/>
      <c r="J416" s="24"/>
      <c r="K416" s="22"/>
      <c r="L416" s="25"/>
      <c r="M416" s="25"/>
      <c r="N416" s="24"/>
      <c r="O416" s="23"/>
      <c r="P416" s="24"/>
      <c r="Q416" s="22"/>
      <c r="R416" s="22"/>
      <c r="S416" s="24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</row>
    <row r="417" spans="1:33">
      <c r="A417" s="22"/>
      <c r="B417" s="22"/>
      <c r="C417" s="22"/>
      <c r="D417" s="22"/>
      <c r="E417" s="23"/>
      <c r="F417" s="22"/>
      <c r="G417" s="24"/>
      <c r="H417" s="22"/>
      <c r="I417" s="22"/>
      <c r="J417" s="24"/>
      <c r="K417" s="22"/>
      <c r="L417" s="25"/>
      <c r="M417" s="25"/>
      <c r="N417" s="24"/>
      <c r="O417" s="23"/>
      <c r="P417" s="24"/>
      <c r="Q417" s="22"/>
      <c r="R417" s="22"/>
      <c r="S417" s="24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</row>
    <row r="418" spans="1:33">
      <c r="A418" s="22"/>
      <c r="B418" s="22"/>
      <c r="C418" s="22"/>
      <c r="D418" s="22"/>
      <c r="E418" s="23"/>
      <c r="F418" s="22"/>
      <c r="G418" s="24"/>
      <c r="H418" s="22"/>
      <c r="I418" s="22"/>
      <c r="J418" s="24"/>
      <c r="K418" s="22"/>
      <c r="L418" s="25"/>
      <c r="M418" s="25"/>
      <c r="N418" s="24"/>
      <c r="O418" s="23"/>
      <c r="P418" s="24"/>
      <c r="Q418" s="22"/>
      <c r="R418" s="22"/>
      <c r="S418" s="24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</row>
    <row r="419" spans="1:33">
      <c r="A419" s="22"/>
      <c r="B419" s="22"/>
      <c r="C419" s="22"/>
      <c r="D419" s="22"/>
      <c r="E419" s="23"/>
      <c r="F419" s="22"/>
      <c r="G419" s="24"/>
      <c r="H419" s="22"/>
      <c r="I419" s="22"/>
      <c r="J419" s="24"/>
      <c r="K419" s="22"/>
      <c r="L419" s="25"/>
      <c r="M419" s="25"/>
      <c r="N419" s="24"/>
      <c r="O419" s="23"/>
      <c r="P419" s="24"/>
      <c r="Q419" s="22"/>
      <c r="R419" s="22"/>
      <c r="S419" s="24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</row>
    <row r="420" spans="1:33">
      <c r="A420" s="22"/>
      <c r="B420" s="22"/>
      <c r="C420" s="22"/>
      <c r="D420" s="22"/>
      <c r="E420" s="23"/>
      <c r="F420" s="22"/>
      <c r="G420" s="24"/>
      <c r="H420" s="22"/>
      <c r="I420" s="22"/>
      <c r="J420" s="24"/>
      <c r="K420" s="22"/>
      <c r="L420" s="25"/>
      <c r="M420" s="25"/>
      <c r="N420" s="24"/>
      <c r="O420" s="23"/>
      <c r="P420" s="24"/>
      <c r="Q420" s="22"/>
      <c r="R420" s="22"/>
      <c r="S420" s="24"/>
      <c r="T420" s="24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</row>
    <row r="421" spans="1:33">
      <c r="A421" s="22"/>
      <c r="B421" s="22"/>
      <c r="C421" s="22"/>
      <c r="D421" s="22"/>
      <c r="E421" s="23"/>
      <c r="F421" s="22"/>
      <c r="G421" s="24"/>
      <c r="H421" s="22"/>
      <c r="I421" s="22"/>
      <c r="J421" s="24"/>
      <c r="K421" s="22"/>
      <c r="L421" s="25"/>
      <c r="M421" s="25"/>
      <c r="N421" s="24"/>
      <c r="O421" s="23"/>
      <c r="P421" s="24"/>
      <c r="Q421" s="22"/>
      <c r="R421" s="22"/>
      <c r="S421" s="24"/>
      <c r="T421" s="24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</row>
    <row r="422" spans="1:33">
      <c r="A422" s="22"/>
      <c r="B422" s="22"/>
      <c r="C422" s="22"/>
      <c r="D422" s="22"/>
      <c r="E422" s="23"/>
      <c r="F422" s="22"/>
      <c r="G422" s="24"/>
      <c r="H422" s="22"/>
      <c r="I422" s="22"/>
      <c r="J422" s="24"/>
      <c r="K422" s="22"/>
      <c r="L422" s="26"/>
      <c r="M422" s="25"/>
      <c r="N422" s="24"/>
      <c r="O422" s="23"/>
      <c r="P422" s="24"/>
      <c r="Q422" s="22"/>
      <c r="R422" s="22"/>
      <c r="S422" s="24"/>
      <c r="T422" s="24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</row>
    <row r="423" spans="1:33">
      <c r="A423" s="22"/>
      <c r="B423" s="22"/>
      <c r="C423" s="22"/>
      <c r="D423" s="22"/>
      <c r="E423" s="23"/>
      <c r="F423" s="22"/>
      <c r="G423" s="24"/>
      <c r="H423" s="22"/>
      <c r="I423" s="22"/>
      <c r="J423" s="24"/>
      <c r="K423" s="22"/>
      <c r="L423" s="25"/>
      <c r="M423" s="25"/>
      <c r="N423" s="24"/>
      <c r="O423" s="23"/>
      <c r="P423" s="24"/>
      <c r="Q423" s="22"/>
      <c r="R423" s="22"/>
      <c r="S423" s="24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</row>
    <row r="424" spans="1:33">
      <c r="A424" s="22"/>
      <c r="B424" s="22"/>
      <c r="C424" s="22"/>
      <c r="D424" s="22"/>
      <c r="E424" s="23"/>
      <c r="F424" s="22"/>
      <c r="G424" s="24"/>
      <c r="H424" s="22"/>
      <c r="I424" s="22"/>
      <c r="J424" s="24"/>
      <c r="K424" s="22"/>
      <c r="L424" s="25"/>
      <c r="M424" s="25"/>
      <c r="N424" s="24"/>
      <c r="O424" s="23"/>
      <c r="P424" s="24"/>
      <c r="Q424" s="22"/>
      <c r="R424" s="22"/>
      <c r="S424" s="24"/>
      <c r="T424" s="24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</row>
    <row r="425" spans="1:33">
      <c r="A425" s="22"/>
      <c r="B425" s="22"/>
      <c r="C425" s="22"/>
      <c r="D425" s="22"/>
      <c r="E425" s="23"/>
      <c r="F425" s="22"/>
      <c r="G425" s="24"/>
      <c r="H425" s="22"/>
      <c r="I425" s="22"/>
      <c r="J425" s="24"/>
      <c r="K425" s="22"/>
      <c r="L425" s="25"/>
      <c r="M425" s="25"/>
      <c r="N425" s="24"/>
      <c r="O425" s="23"/>
      <c r="P425" s="24"/>
      <c r="Q425" s="22"/>
      <c r="R425" s="22"/>
      <c r="S425" s="24"/>
      <c r="T425" s="24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</row>
    <row r="426" spans="1:33">
      <c r="A426" s="22"/>
      <c r="B426" s="22"/>
      <c r="C426" s="22"/>
      <c r="D426" s="22"/>
      <c r="E426" s="23"/>
      <c r="F426" s="22"/>
      <c r="G426" s="24"/>
      <c r="H426" s="22"/>
      <c r="I426" s="22"/>
      <c r="J426" s="24"/>
      <c r="K426" s="22"/>
      <c r="L426" s="25"/>
      <c r="M426" s="25"/>
      <c r="N426" s="24"/>
      <c r="O426" s="23"/>
      <c r="P426" s="24"/>
      <c r="Q426" s="22"/>
      <c r="R426" s="22"/>
      <c r="S426" s="24"/>
      <c r="T426" s="24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</row>
    <row r="427" spans="1:33">
      <c r="A427" s="22"/>
      <c r="B427" s="22"/>
      <c r="C427" s="22"/>
      <c r="D427" s="22"/>
      <c r="E427" s="23"/>
      <c r="F427" s="22"/>
      <c r="G427" s="24"/>
      <c r="H427" s="22"/>
      <c r="I427" s="22"/>
      <c r="J427" s="24"/>
      <c r="K427" s="22"/>
      <c r="L427" s="25"/>
      <c r="M427" s="25"/>
      <c r="N427" s="24"/>
      <c r="O427" s="23"/>
      <c r="P427" s="24"/>
      <c r="Q427" s="22"/>
      <c r="R427" s="22"/>
      <c r="S427" s="24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</row>
    <row r="428" spans="1:33">
      <c r="A428" s="22"/>
      <c r="B428" s="22"/>
      <c r="C428" s="22"/>
      <c r="D428" s="22"/>
      <c r="E428" s="23"/>
      <c r="F428" s="22"/>
      <c r="G428" s="24"/>
      <c r="H428" s="22"/>
      <c r="I428" s="22"/>
      <c r="J428" s="24"/>
      <c r="K428" s="22"/>
      <c r="L428" s="25"/>
      <c r="M428" s="25"/>
      <c r="N428" s="24"/>
      <c r="O428" s="23"/>
      <c r="P428" s="24"/>
      <c r="Q428" s="22"/>
      <c r="R428" s="22"/>
      <c r="S428" s="24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</row>
    <row r="429" spans="1:33">
      <c r="A429" s="22"/>
      <c r="B429" s="22"/>
      <c r="C429" s="22"/>
      <c r="D429" s="22"/>
      <c r="E429" s="23"/>
      <c r="F429" s="22"/>
      <c r="G429" s="24"/>
      <c r="H429" s="22"/>
      <c r="I429" s="22"/>
      <c r="J429" s="24"/>
      <c r="K429" s="22"/>
      <c r="L429" s="25"/>
      <c r="M429" s="25"/>
      <c r="N429" s="22"/>
      <c r="O429" s="23"/>
      <c r="P429" s="22"/>
      <c r="Q429" s="22"/>
      <c r="R429" s="22"/>
      <c r="S429" s="24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</row>
    <row r="430" spans="1:33">
      <c r="A430" s="22"/>
      <c r="B430" s="22"/>
      <c r="C430" s="22"/>
      <c r="D430" s="22"/>
      <c r="E430" s="23"/>
      <c r="F430" s="22"/>
      <c r="G430" s="24"/>
      <c r="H430" s="22"/>
      <c r="I430" s="22"/>
      <c r="J430" s="24"/>
      <c r="K430" s="22"/>
      <c r="L430" s="25"/>
      <c r="M430" s="25"/>
      <c r="N430" s="22"/>
      <c r="O430" s="23"/>
      <c r="P430" s="22"/>
      <c r="Q430" s="22"/>
      <c r="R430" s="22"/>
      <c r="S430" s="24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</row>
    <row r="431" spans="1:33">
      <c r="A431" s="22"/>
      <c r="B431" s="22"/>
      <c r="C431" s="22"/>
      <c r="D431" s="22"/>
      <c r="E431" s="23"/>
      <c r="F431" s="22"/>
      <c r="G431" s="24"/>
      <c r="H431" s="22"/>
      <c r="I431" s="22"/>
      <c r="J431" s="24"/>
      <c r="K431" s="22"/>
      <c r="L431" s="25"/>
      <c r="M431" s="25"/>
      <c r="N431" s="24"/>
      <c r="O431" s="23"/>
      <c r="P431" s="24"/>
      <c r="Q431" s="22"/>
      <c r="R431" s="22"/>
      <c r="S431" s="24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</row>
    <row r="432" spans="1:33">
      <c r="A432" s="22"/>
      <c r="B432" s="22"/>
      <c r="C432" s="22"/>
      <c r="D432" s="22"/>
      <c r="E432" s="23"/>
      <c r="F432" s="22"/>
      <c r="G432" s="24"/>
      <c r="H432" s="22"/>
      <c r="I432" s="22"/>
      <c r="J432" s="24"/>
      <c r="K432" s="22"/>
      <c r="L432" s="25"/>
      <c r="M432" s="25"/>
      <c r="N432" s="24"/>
      <c r="O432" s="23"/>
      <c r="P432" s="24"/>
      <c r="Q432" s="22"/>
      <c r="R432" s="22"/>
      <c r="S432" s="24"/>
      <c r="T432" s="24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</row>
    <row r="433" spans="1:33">
      <c r="A433" s="22"/>
      <c r="B433" s="22"/>
      <c r="C433" s="22"/>
      <c r="D433" s="22"/>
      <c r="E433" s="23"/>
      <c r="F433" s="22"/>
      <c r="G433" s="24"/>
      <c r="H433" s="22"/>
      <c r="I433" s="22"/>
      <c r="J433" s="24"/>
      <c r="K433" s="22"/>
      <c r="L433" s="25"/>
      <c r="M433" s="25"/>
      <c r="N433" s="24"/>
      <c r="O433" s="23"/>
      <c r="P433" s="24"/>
      <c r="Q433" s="22"/>
      <c r="R433" s="22"/>
      <c r="S433" s="24"/>
      <c r="T433" s="24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</row>
    <row r="434" spans="1:33">
      <c r="A434" s="22"/>
      <c r="B434" s="22"/>
      <c r="C434" s="22"/>
      <c r="D434" s="22"/>
      <c r="E434" s="23"/>
      <c r="F434" s="22"/>
      <c r="G434" s="24"/>
      <c r="H434" s="22"/>
      <c r="I434" s="22"/>
      <c r="J434" s="24"/>
      <c r="K434" s="22"/>
      <c r="L434" s="25"/>
      <c r="M434" s="25"/>
      <c r="N434" s="24"/>
      <c r="O434" s="23"/>
      <c r="P434" s="24"/>
      <c r="Q434" s="22"/>
      <c r="R434" s="22"/>
      <c r="S434" s="24"/>
      <c r="T434" s="24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</row>
    <row r="435" spans="1:33">
      <c r="A435" s="22"/>
      <c r="B435" s="22"/>
      <c r="C435" s="22"/>
      <c r="D435" s="22"/>
      <c r="E435" s="23"/>
      <c r="F435" s="22"/>
      <c r="G435" s="24"/>
      <c r="H435" s="22"/>
      <c r="I435" s="22"/>
      <c r="J435" s="24"/>
      <c r="K435" s="22"/>
      <c r="L435" s="25"/>
      <c r="M435" s="25"/>
      <c r="N435" s="24"/>
      <c r="O435" s="23"/>
      <c r="P435" s="24"/>
      <c r="Q435" s="22"/>
      <c r="R435" s="22"/>
      <c r="S435" s="24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</row>
    <row r="436" spans="1:33">
      <c r="A436" s="22"/>
      <c r="B436" s="22"/>
      <c r="C436" s="22"/>
      <c r="D436" s="22"/>
      <c r="E436" s="23"/>
      <c r="F436" s="22"/>
      <c r="G436" s="24"/>
      <c r="H436" s="22"/>
      <c r="I436" s="22"/>
      <c r="J436" s="24"/>
      <c r="K436" s="22"/>
      <c r="L436" s="25"/>
      <c r="M436" s="25"/>
      <c r="N436" s="24"/>
      <c r="O436" s="23"/>
      <c r="P436" s="24"/>
      <c r="Q436" s="22"/>
      <c r="R436" s="22"/>
      <c r="S436" s="24"/>
      <c r="T436" s="24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</row>
    <row r="437" spans="1:33">
      <c r="A437" s="22"/>
      <c r="B437" s="22"/>
      <c r="C437" s="22"/>
      <c r="D437" s="22"/>
      <c r="E437" s="23"/>
      <c r="F437" s="22"/>
      <c r="G437" s="24"/>
      <c r="H437" s="22"/>
      <c r="I437" s="22"/>
      <c r="J437" s="24"/>
      <c r="K437" s="22"/>
      <c r="L437" s="25"/>
      <c r="M437" s="25"/>
      <c r="N437" s="24"/>
      <c r="O437" s="23"/>
      <c r="P437" s="24"/>
      <c r="Q437" s="22"/>
      <c r="R437" s="22"/>
      <c r="S437" s="24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</row>
    <row r="438" spans="1:33">
      <c r="A438" s="22"/>
      <c r="B438" s="22"/>
      <c r="C438" s="22"/>
      <c r="D438" s="22"/>
      <c r="E438" s="23"/>
      <c r="F438" s="22"/>
      <c r="G438" s="24"/>
      <c r="H438" s="22"/>
      <c r="I438" s="22"/>
      <c r="J438" s="24"/>
      <c r="K438" s="22"/>
      <c r="L438" s="25"/>
      <c r="M438" s="25"/>
      <c r="N438" s="24"/>
      <c r="O438" s="23"/>
      <c r="P438" s="24"/>
      <c r="Q438" s="22"/>
      <c r="R438" s="22"/>
      <c r="S438" s="24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</row>
    <row r="439" spans="1:33">
      <c r="A439" s="22"/>
      <c r="B439" s="22"/>
      <c r="C439" s="22"/>
      <c r="D439" s="22"/>
      <c r="E439" s="23"/>
      <c r="F439" s="22"/>
      <c r="G439" s="24"/>
      <c r="H439" s="22"/>
      <c r="I439" s="22"/>
      <c r="J439" s="24"/>
      <c r="K439" s="22"/>
      <c r="L439" s="25"/>
      <c r="M439" s="25"/>
      <c r="N439" s="24"/>
      <c r="O439" s="23"/>
      <c r="P439" s="24"/>
      <c r="Q439" s="22"/>
      <c r="R439" s="22"/>
      <c r="S439" s="24"/>
      <c r="T439" s="24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</row>
    <row r="440" spans="1:33">
      <c r="A440" s="22"/>
      <c r="B440" s="22"/>
      <c r="C440" s="22"/>
      <c r="D440" s="22"/>
      <c r="E440" s="23"/>
      <c r="F440" s="22"/>
      <c r="G440" s="24"/>
      <c r="H440" s="22"/>
      <c r="I440" s="22"/>
      <c r="J440" s="24"/>
      <c r="K440" s="22"/>
      <c r="L440" s="25"/>
      <c r="M440" s="25"/>
      <c r="N440" s="24"/>
      <c r="O440" s="23"/>
      <c r="P440" s="24"/>
      <c r="Q440" s="22"/>
      <c r="R440" s="22"/>
      <c r="S440" s="24"/>
      <c r="T440" s="24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</row>
    <row r="441" spans="1:33">
      <c r="A441" s="22"/>
      <c r="B441" s="22"/>
      <c r="C441" s="22"/>
      <c r="D441" s="22"/>
      <c r="E441" s="23"/>
      <c r="F441" s="22"/>
      <c r="G441" s="24"/>
      <c r="H441" s="22"/>
      <c r="I441" s="22"/>
      <c r="J441" s="24"/>
      <c r="K441" s="22"/>
      <c r="L441" s="25"/>
      <c r="M441" s="25"/>
      <c r="N441" s="24"/>
      <c r="O441" s="23"/>
      <c r="P441" s="24"/>
      <c r="Q441" s="22"/>
      <c r="R441" s="22"/>
      <c r="S441" s="24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</row>
    <row r="442" spans="1:33">
      <c r="A442" s="22"/>
      <c r="B442" s="22"/>
      <c r="C442" s="22"/>
      <c r="D442" s="22"/>
      <c r="E442" s="23"/>
      <c r="F442" s="22"/>
      <c r="G442" s="24"/>
      <c r="H442" s="22"/>
      <c r="I442" s="22"/>
      <c r="J442" s="24"/>
      <c r="K442" s="22"/>
      <c r="L442" s="25"/>
      <c r="M442" s="25"/>
      <c r="N442" s="24"/>
      <c r="O442" s="23"/>
      <c r="P442" s="24"/>
      <c r="Q442" s="22"/>
      <c r="R442" s="22"/>
      <c r="S442" s="24"/>
      <c r="T442" s="24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</row>
    <row r="443" spans="1:33">
      <c r="A443" s="22"/>
      <c r="B443" s="22"/>
      <c r="C443" s="22"/>
      <c r="D443" s="22"/>
      <c r="E443" s="23"/>
      <c r="F443" s="22"/>
      <c r="G443" s="24"/>
      <c r="H443" s="22"/>
      <c r="I443" s="22"/>
      <c r="J443" s="24"/>
      <c r="K443" s="22"/>
      <c r="L443" s="25"/>
      <c r="M443" s="25"/>
      <c r="N443" s="24"/>
      <c r="O443" s="23"/>
      <c r="P443" s="24"/>
      <c r="Q443" s="22"/>
      <c r="R443" s="22"/>
      <c r="S443" s="24"/>
      <c r="T443" s="24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</row>
    <row r="444" spans="1:33">
      <c r="A444" s="22"/>
      <c r="B444" s="22"/>
      <c r="C444" s="22"/>
      <c r="D444" s="22"/>
      <c r="E444" s="23"/>
      <c r="F444" s="22"/>
      <c r="G444" s="24"/>
      <c r="H444" s="22"/>
      <c r="I444" s="22"/>
      <c r="J444" s="24"/>
      <c r="K444" s="22"/>
      <c r="L444" s="25"/>
      <c r="M444" s="25"/>
      <c r="N444" s="24"/>
      <c r="O444" s="23"/>
      <c r="P444" s="24"/>
      <c r="Q444" s="22"/>
      <c r="R444" s="22"/>
      <c r="S444" s="24"/>
      <c r="T444" s="24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</row>
    <row r="445" spans="1:33">
      <c r="A445" s="22"/>
      <c r="B445" s="22"/>
      <c r="C445" s="22"/>
      <c r="D445" s="22"/>
      <c r="E445" s="23"/>
      <c r="F445" s="22"/>
      <c r="G445" s="24"/>
      <c r="H445" s="22"/>
      <c r="I445" s="22"/>
      <c r="J445" s="24"/>
      <c r="K445" s="22"/>
      <c r="L445" s="25"/>
      <c r="M445" s="25"/>
      <c r="N445" s="24"/>
      <c r="O445" s="23"/>
      <c r="P445" s="24"/>
      <c r="Q445" s="22"/>
      <c r="R445" s="22"/>
      <c r="S445" s="24"/>
      <c r="T445" s="24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</row>
    <row r="446" spans="1:33">
      <c r="A446" s="22"/>
      <c r="B446" s="22"/>
      <c r="C446" s="22"/>
      <c r="D446" s="22"/>
      <c r="E446" s="23"/>
      <c r="F446" s="22"/>
      <c r="G446" s="24"/>
      <c r="H446" s="22"/>
      <c r="I446" s="22"/>
      <c r="J446" s="24"/>
      <c r="K446" s="22"/>
      <c r="L446" s="25"/>
      <c r="M446" s="25"/>
      <c r="N446" s="24"/>
      <c r="O446" s="23"/>
      <c r="P446" s="24"/>
      <c r="Q446" s="22"/>
      <c r="R446" s="22"/>
      <c r="S446" s="24"/>
      <c r="T446" s="24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</row>
    <row r="447" spans="1:33">
      <c r="A447" s="22"/>
      <c r="B447" s="22"/>
      <c r="C447" s="22"/>
      <c r="D447" s="22"/>
      <c r="E447" s="23"/>
      <c r="F447" s="22"/>
      <c r="G447" s="24"/>
      <c r="H447" s="22"/>
      <c r="I447" s="22"/>
      <c r="J447" s="24"/>
      <c r="K447" s="22"/>
      <c r="L447" s="25"/>
      <c r="M447" s="25"/>
      <c r="N447" s="24"/>
      <c r="O447" s="23"/>
      <c r="P447" s="24"/>
      <c r="Q447" s="22"/>
      <c r="R447" s="22"/>
      <c r="S447" s="24"/>
      <c r="T447" s="24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</row>
    <row r="448" spans="1:33">
      <c r="A448" s="22"/>
      <c r="B448" s="22"/>
      <c r="C448" s="22"/>
      <c r="D448" s="22"/>
      <c r="E448" s="23"/>
      <c r="F448" s="22"/>
      <c r="G448" s="24"/>
      <c r="H448" s="22"/>
      <c r="I448" s="22"/>
      <c r="J448" s="24"/>
      <c r="K448" s="22"/>
      <c r="L448" s="25"/>
      <c r="M448" s="25"/>
      <c r="N448" s="22"/>
      <c r="O448" s="23"/>
      <c r="P448" s="22"/>
      <c r="Q448" s="22"/>
      <c r="R448" s="22"/>
      <c r="S448" s="24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</row>
    <row r="449" spans="1:33">
      <c r="A449" s="22"/>
      <c r="B449" s="22"/>
      <c r="C449" s="22"/>
      <c r="D449" s="22"/>
      <c r="E449" s="23"/>
      <c r="F449" s="22"/>
      <c r="G449" s="24"/>
      <c r="H449" s="22"/>
      <c r="I449" s="22"/>
      <c r="J449" s="24"/>
      <c r="K449" s="22"/>
      <c r="L449" s="25"/>
      <c r="M449" s="25"/>
      <c r="N449" s="22"/>
      <c r="O449" s="23"/>
      <c r="P449" s="22"/>
      <c r="Q449" s="22"/>
      <c r="R449" s="22"/>
      <c r="S449" s="24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</row>
    <row r="450" spans="1:33">
      <c r="A450" s="22"/>
      <c r="B450" s="22"/>
      <c r="C450" s="22"/>
      <c r="D450" s="22"/>
      <c r="E450" s="23"/>
      <c r="F450" s="22"/>
      <c r="G450" s="24"/>
      <c r="H450" s="22"/>
      <c r="I450" s="22"/>
      <c r="J450" s="24"/>
      <c r="K450" s="22"/>
      <c r="L450" s="25"/>
      <c r="M450" s="25"/>
      <c r="N450" s="22"/>
      <c r="O450" s="23"/>
      <c r="P450" s="22"/>
      <c r="Q450" s="22"/>
      <c r="R450" s="22"/>
      <c r="S450" s="24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</row>
    <row r="451" spans="1:33">
      <c r="A451" s="22"/>
      <c r="B451" s="22"/>
      <c r="C451" s="22"/>
      <c r="D451" s="22"/>
      <c r="E451" s="23"/>
      <c r="F451" s="22"/>
      <c r="G451" s="24"/>
      <c r="H451" s="22"/>
      <c r="I451" s="22"/>
      <c r="J451" s="24"/>
      <c r="K451" s="22"/>
      <c r="L451" s="25"/>
      <c r="M451" s="25"/>
      <c r="N451" s="24"/>
      <c r="O451" s="23"/>
      <c r="P451" s="24"/>
      <c r="Q451" s="22"/>
      <c r="R451" s="22"/>
      <c r="S451" s="24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</row>
    <row r="452" spans="1:33">
      <c r="A452" s="22"/>
      <c r="B452" s="22"/>
      <c r="C452" s="22"/>
      <c r="D452" s="22"/>
      <c r="E452" s="23"/>
      <c r="F452" s="22"/>
      <c r="G452" s="24"/>
      <c r="H452" s="22"/>
      <c r="I452" s="22"/>
      <c r="J452" s="24"/>
      <c r="K452" s="22"/>
      <c r="L452" s="25"/>
      <c r="M452" s="25"/>
      <c r="N452" s="24"/>
      <c r="O452" s="23"/>
      <c r="P452" s="24"/>
      <c r="Q452" s="22"/>
      <c r="R452" s="22"/>
      <c r="S452" s="24"/>
      <c r="T452" s="24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</row>
    <row r="453" spans="1:33">
      <c r="A453" s="22"/>
      <c r="B453" s="22"/>
      <c r="C453" s="22"/>
      <c r="D453" s="22"/>
      <c r="E453" s="23"/>
      <c r="F453" s="22"/>
      <c r="G453" s="24"/>
      <c r="H453" s="22"/>
      <c r="I453" s="22"/>
      <c r="J453" s="24"/>
      <c r="K453" s="22"/>
      <c r="L453" s="25"/>
      <c r="M453" s="25"/>
      <c r="N453" s="24"/>
      <c r="O453" s="23"/>
      <c r="P453" s="24"/>
      <c r="Q453" s="22"/>
      <c r="R453" s="22"/>
      <c r="S453" s="24"/>
      <c r="T453" s="24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</row>
    <row r="454" spans="1:33">
      <c r="A454" s="22"/>
      <c r="B454" s="22"/>
      <c r="C454" s="22"/>
      <c r="D454" s="22"/>
      <c r="E454" s="23"/>
      <c r="F454" s="22"/>
      <c r="G454" s="24"/>
      <c r="H454" s="22"/>
      <c r="I454" s="22"/>
      <c r="J454" s="24"/>
      <c r="K454" s="22"/>
      <c r="L454" s="26"/>
      <c r="M454" s="25"/>
      <c r="N454" s="22"/>
      <c r="O454" s="23"/>
      <c r="P454" s="22"/>
      <c r="Q454" s="22"/>
      <c r="R454" s="22"/>
      <c r="S454" s="24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</row>
    <row r="455" spans="1:33">
      <c r="A455" s="22"/>
      <c r="B455" s="22"/>
      <c r="C455" s="22"/>
      <c r="D455" s="22"/>
      <c r="E455" s="23"/>
      <c r="F455" s="22"/>
      <c r="G455" s="24"/>
      <c r="H455" s="22"/>
      <c r="I455" s="22"/>
      <c r="J455" s="24"/>
      <c r="K455" s="22"/>
      <c r="L455" s="25"/>
      <c r="M455" s="25"/>
      <c r="N455" s="22"/>
      <c r="O455" s="23"/>
      <c r="P455" s="22"/>
      <c r="Q455" s="22"/>
      <c r="R455" s="22"/>
      <c r="S455" s="24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</row>
    <row r="456" spans="1:33">
      <c r="A456" s="22"/>
      <c r="B456" s="22"/>
      <c r="C456" s="22"/>
      <c r="D456" s="22"/>
      <c r="E456" s="23"/>
      <c r="F456" s="22"/>
      <c r="G456" s="24"/>
      <c r="H456" s="22"/>
      <c r="I456" s="22"/>
      <c r="J456" s="24"/>
      <c r="K456" s="22"/>
      <c r="L456" s="25"/>
      <c r="M456" s="25"/>
      <c r="N456" s="22"/>
      <c r="O456" s="23"/>
      <c r="P456" s="22"/>
      <c r="Q456" s="22"/>
      <c r="R456" s="22"/>
      <c r="S456" s="24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</row>
    <row r="457" spans="1:33">
      <c r="A457" s="22"/>
      <c r="B457" s="22"/>
      <c r="C457" s="22"/>
      <c r="D457" s="22"/>
      <c r="E457" s="23"/>
      <c r="F457" s="22"/>
      <c r="G457" s="24"/>
      <c r="H457" s="22"/>
      <c r="I457" s="22"/>
      <c r="J457" s="24"/>
      <c r="K457" s="22"/>
      <c r="L457" s="25"/>
      <c r="M457" s="25"/>
      <c r="N457" s="24"/>
      <c r="O457" s="23"/>
      <c r="P457" s="24"/>
      <c r="Q457" s="22"/>
      <c r="R457" s="22"/>
      <c r="S457" s="24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</row>
    <row r="458" spans="1:33">
      <c r="A458" s="22"/>
      <c r="B458" s="22"/>
      <c r="C458" s="22"/>
      <c r="D458" s="22"/>
      <c r="E458" s="23"/>
      <c r="F458" s="22"/>
      <c r="G458" s="24"/>
      <c r="H458" s="22"/>
      <c r="I458" s="22"/>
      <c r="J458" s="24"/>
      <c r="K458" s="22"/>
      <c r="L458" s="25"/>
      <c r="M458" s="25"/>
      <c r="N458" s="24"/>
      <c r="O458" s="23"/>
      <c r="P458" s="24"/>
      <c r="Q458" s="22"/>
      <c r="R458" s="22"/>
      <c r="S458" s="24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</row>
    <row r="459" spans="1:33">
      <c r="A459" s="22"/>
      <c r="B459" s="22"/>
      <c r="C459" s="22"/>
      <c r="D459" s="22"/>
      <c r="E459" s="23"/>
      <c r="F459" s="22"/>
      <c r="G459" s="24"/>
      <c r="H459" s="22"/>
      <c r="I459" s="22"/>
      <c r="J459" s="24"/>
      <c r="K459" s="22"/>
      <c r="L459" s="25"/>
      <c r="M459" s="25"/>
      <c r="N459" s="24"/>
      <c r="O459" s="23"/>
      <c r="P459" s="24"/>
      <c r="Q459" s="22"/>
      <c r="R459" s="22"/>
      <c r="S459" s="24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</row>
    <row r="460" spans="1:33">
      <c r="A460" s="22"/>
      <c r="B460" s="22"/>
      <c r="C460" s="22"/>
      <c r="D460" s="22"/>
      <c r="E460" s="23"/>
      <c r="F460" s="22"/>
      <c r="G460" s="24"/>
      <c r="H460" s="22"/>
      <c r="I460" s="22"/>
      <c r="J460" s="24"/>
      <c r="K460" s="22"/>
      <c r="L460" s="25"/>
      <c r="M460" s="25"/>
      <c r="N460" s="24"/>
      <c r="O460" s="23"/>
      <c r="P460" s="24"/>
      <c r="Q460" s="22"/>
      <c r="R460" s="22"/>
      <c r="S460" s="24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</row>
    <row r="461" spans="1:33">
      <c r="A461" s="22"/>
      <c r="B461" s="22"/>
      <c r="C461" s="22"/>
      <c r="D461" s="22"/>
      <c r="E461" s="23"/>
      <c r="F461" s="22"/>
      <c r="G461" s="24"/>
      <c r="H461" s="22"/>
      <c r="I461" s="22"/>
      <c r="J461" s="24"/>
      <c r="K461" s="22"/>
      <c r="L461" s="26"/>
      <c r="M461" s="25"/>
      <c r="N461" s="24"/>
      <c r="O461" s="23"/>
      <c r="P461" s="24"/>
      <c r="Q461" s="22"/>
      <c r="R461" s="22"/>
      <c r="S461" s="24"/>
      <c r="T461" s="24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</row>
    <row r="462" spans="1:33">
      <c r="A462" s="22"/>
      <c r="B462" s="22"/>
      <c r="C462" s="22"/>
      <c r="D462" s="22"/>
      <c r="E462" s="23"/>
      <c r="F462" s="22"/>
      <c r="G462" s="24"/>
      <c r="H462" s="22"/>
      <c r="I462" s="22"/>
      <c r="J462" s="24"/>
      <c r="K462" s="22"/>
      <c r="L462" s="25"/>
      <c r="M462" s="25"/>
      <c r="N462" s="24"/>
      <c r="O462" s="23"/>
      <c r="P462" s="24"/>
      <c r="Q462" s="22"/>
      <c r="R462" s="22"/>
      <c r="S462" s="24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</row>
    <row r="463" spans="1:33">
      <c r="A463" s="22"/>
      <c r="B463" s="22"/>
      <c r="C463" s="22"/>
      <c r="D463" s="22"/>
      <c r="E463" s="23"/>
      <c r="F463" s="22"/>
      <c r="G463" s="24"/>
      <c r="H463" s="22"/>
      <c r="I463" s="22"/>
      <c r="J463" s="24"/>
      <c r="K463" s="22"/>
      <c r="L463" s="25"/>
      <c r="M463" s="25"/>
      <c r="N463" s="24"/>
      <c r="O463" s="23"/>
      <c r="P463" s="24"/>
      <c r="Q463" s="22"/>
      <c r="R463" s="22"/>
      <c r="S463" s="24"/>
      <c r="T463" s="24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</row>
    <row r="464" spans="1:33">
      <c r="A464" s="22"/>
      <c r="B464" s="22"/>
      <c r="C464" s="22"/>
      <c r="D464" s="22"/>
      <c r="E464" s="23"/>
      <c r="F464" s="22"/>
      <c r="G464" s="24"/>
      <c r="H464" s="22"/>
      <c r="I464" s="22"/>
      <c r="J464" s="24"/>
      <c r="K464" s="22"/>
      <c r="L464" s="25"/>
      <c r="M464" s="25"/>
      <c r="N464" s="24"/>
      <c r="O464" s="23"/>
      <c r="P464" s="24"/>
      <c r="Q464" s="22"/>
      <c r="R464" s="22"/>
      <c r="S464" s="24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</row>
    <row r="465" spans="1:33">
      <c r="A465" s="22"/>
      <c r="B465" s="22"/>
      <c r="C465" s="22"/>
      <c r="D465" s="22"/>
      <c r="E465" s="23"/>
      <c r="F465" s="22"/>
      <c r="G465" s="24"/>
      <c r="H465" s="22"/>
      <c r="I465" s="22"/>
      <c r="J465" s="24"/>
      <c r="K465" s="22"/>
      <c r="L465" s="25"/>
      <c r="M465" s="25"/>
      <c r="N465" s="24"/>
      <c r="O465" s="23"/>
      <c r="P465" s="24"/>
      <c r="Q465" s="22"/>
      <c r="R465" s="22"/>
      <c r="S465" s="24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</row>
    <row r="466" spans="1:33">
      <c r="A466" s="22"/>
      <c r="B466" s="22"/>
      <c r="C466" s="22"/>
      <c r="D466" s="22"/>
      <c r="E466" s="23"/>
      <c r="F466" s="22"/>
      <c r="G466" s="24"/>
      <c r="H466" s="22"/>
      <c r="I466" s="22"/>
      <c r="J466" s="24"/>
      <c r="K466" s="22"/>
      <c r="L466" s="25"/>
      <c r="M466" s="25"/>
      <c r="N466" s="24"/>
      <c r="O466" s="23"/>
      <c r="P466" s="24"/>
      <c r="Q466" s="22"/>
      <c r="R466" s="22"/>
      <c r="S466" s="24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</row>
    <row r="467" spans="1:33">
      <c r="A467" s="22"/>
      <c r="B467" s="22"/>
      <c r="C467" s="22"/>
      <c r="D467" s="22"/>
      <c r="E467" s="23"/>
      <c r="F467" s="22"/>
      <c r="G467" s="24"/>
      <c r="H467" s="22"/>
      <c r="I467" s="22"/>
      <c r="J467" s="24"/>
      <c r="K467" s="22"/>
      <c r="L467" s="26"/>
      <c r="M467" s="25"/>
      <c r="N467" s="24"/>
      <c r="O467" s="23"/>
      <c r="P467" s="24"/>
      <c r="Q467" s="22"/>
      <c r="R467" s="22"/>
      <c r="S467" s="24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</row>
    <row r="468" spans="1:33">
      <c r="A468" s="22"/>
      <c r="B468" s="22"/>
      <c r="C468" s="22"/>
      <c r="D468" s="22"/>
      <c r="E468" s="23"/>
      <c r="F468" s="22"/>
      <c r="G468" s="24"/>
      <c r="H468" s="22"/>
      <c r="I468" s="22"/>
      <c r="J468" s="24"/>
      <c r="K468" s="22"/>
      <c r="L468" s="25"/>
      <c r="M468" s="25"/>
      <c r="N468" s="24"/>
      <c r="O468" s="23"/>
      <c r="P468" s="24"/>
      <c r="Q468" s="22"/>
      <c r="R468" s="22"/>
      <c r="S468" s="24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</row>
    <row r="469" spans="1:33">
      <c r="A469" s="22"/>
      <c r="B469" s="22"/>
      <c r="C469" s="22"/>
      <c r="D469" s="22"/>
      <c r="E469" s="23"/>
      <c r="F469" s="22"/>
      <c r="G469" s="24"/>
      <c r="H469" s="22"/>
      <c r="I469" s="22"/>
      <c r="J469" s="24"/>
      <c r="K469" s="22"/>
      <c r="L469" s="25"/>
      <c r="M469" s="25"/>
      <c r="N469" s="24"/>
      <c r="O469" s="23"/>
      <c r="P469" s="24"/>
      <c r="Q469" s="22"/>
      <c r="R469" s="22"/>
      <c r="S469" s="24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</row>
    <row r="470" spans="1:33">
      <c r="A470" s="22"/>
      <c r="B470" s="22"/>
      <c r="C470" s="22"/>
      <c r="D470" s="22"/>
      <c r="E470" s="23"/>
      <c r="F470" s="22"/>
      <c r="G470" s="24"/>
      <c r="H470" s="22"/>
      <c r="I470" s="22"/>
      <c r="J470" s="24"/>
      <c r="K470" s="22"/>
      <c r="L470" s="25"/>
      <c r="M470" s="25"/>
      <c r="N470" s="24"/>
      <c r="O470" s="23"/>
      <c r="P470" s="24"/>
      <c r="Q470" s="22"/>
      <c r="R470" s="22"/>
      <c r="S470" s="24"/>
      <c r="T470" s="24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</row>
    <row r="471" spans="1:33">
      <c r="A471" s="22"/>
      <c r="B471" s="22"/>
      <c r="C471" s="22"/>
      <c r="D471" s="22"/>
      <c r="E471" s="23"/>
      <c r="F471" s="22"/>
      <c r="G471" s="24"/>
      <c r="H471" s="22"/>
      <c r="I471" s="22"/>
      <c r="J471" s="24"/>
      <c r="K471" s="22"/>
      <c r="L471" s="25"/>
      <c r="M471" s="25"/>
      <c r="N471" s="24"/>
      <c r="O471" s="23"/>
      <c r="P471" s="24"/>
      <c r="Q471" s="22"/>
      <c r="R471" s="22"/>
      <c r="S471" s="24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</row>
    <row r="472" spans="1:33">
      <c r="A472" s="22"/>
      <c r="B472" s="22"/>
      <c r="C472" s="22"/>
      <c r="D472" s="22"/>
      <c r="E472" s="23"/>
      <c r="F472" s="22"/>
      <c r="G472" s="24"/>
      <c r="H472" s="22"/>
      <c r="I472" s="22"/>
      <c r="J472" s="24"/>
      <c r="K472" s="22"/>
      <c r="L472" s="26"/>
      <c r="M472" s="25"/>
      <c r="N472" s="24"/>
      <c r="O472" s="23"/>
      <c r="P472" s="24"/>
      <c r="Q472" s="22"/>
      <c r="R472" s="22"/>
      <c r="S472" s="24"/>
      <c r="T472" s="24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</row>
    <row r="473" spans="1:33">
      <c r="A473" s="22"/>
      <c r="B473" s="22"/>
      <c r="C473" s="22"/>
      <c r="D473" s="22"/>
      <c r="E473" s="23"/>
      <c r="F473" s="22"/>
      <c r="G473" s="24"/>
      <c r="H473" s="22"/>
      <c r="I473" s="22"/>
      <c r="J473" s="24"/>
      <c r="K473" s="22"/>
      <c r="L473" s="25"/>
      <c r="M473" s="25"/>
      <c r="N473" s="22"/>
      <c r="O473" s="23"/>
      <c r="P473" s="22"/>
      <c r="Q473" s="22"/>
      <c r="R473" s="22"/>
      <c r="S473" s="24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</row>
    <row r="474" spans="1:33">
      <c r="A474" s="22"/>
      <c r="B474" s="22"/>
      <c r="C474" s="22"/>
      <c r="D474" s="22"/>
      <c r="E474" s="23"/>
      <c r="F474" s="22"/>
      <c r="G474" s="24"/>
      <c r="H474" s="22"/>
      <c r="I474" s="22"/>
      <c r="J474" s="24"/>
      <c r="K474" s="22"/>
      <c r="L474" s="25"/>
      <c r="M474" s="25"/>
      <c r="N474" s="24"/>
      <c r="O474" s="23"/>
      <c r="P474" s="24"/>
      <c r="Q474" s="22"/>
      <c r="R474" s="22"/>
      <c r="S474" s="24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</row>
    <row r="475" spans="1:33">
      <c r="A475" s="22"/>
      <c r="B475" s="22"/>
      <c r="C475" s="22"/>
      <c r="D475" s="22"/>
      <c r="E475" s="23"/>
      <c r="F475" s="22"/>
      <c r="G475" s="24"/>
      <c r="H475" s="22"/>
      <c r="I475" s="22"/>
      <c r="J475" s="24"/>
      <c r="K475" s="22"/>
      <c r="L475" s="25"/>
      <c r="M475" s="25"/>
      <c r="N475" s="22"/>
      <c r="O475" s="23"/>
      <c r="P475" s="22"/>
      <c r="Q475" s="22"/>
      <c r="R475" s="22"/>
      <c r="S475" s="24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</row>
    <row r="476" spans="1:33">
      <c r="A476" s="22"/>
      <c r="B476" s="22"/>
      <c r="C476" s="22"/>
      <c r="D476" s="22"/>
      <c r="E476" s="23"/>
      <c r="F476" s="22"/>
      <c r="G476" s="24"/>
      <c r="H476" s="22"/>
      <c r="I476" s="22"/>
      <c r="J476" s="24"/>
      <c r="K476" s="22"/>
      <c r="L476" s="25"/>
      <c r="M476" s="25"/>
      <c r="N476" s="24"/>
      <c r="O476" s="23"/>
      <c r="P476" s="24"/>
      <c r="Q476" s="22"/>
      <c r="R476" s="22"/>
      <c r="S476" s="24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</row>
    <row r="477" spans="1:33">
      <c r="A477" s="22"/>
      <c r="B477" s="22"/>
      <c r="C477" s="22"/>
      <c r="D477" s="22"/>
      <c r="E477" s="23"/>
      <c r="F477" s="22"/>
      <c r="G477" s="24"/>
      <c r="H477" s="22"/>
      <c r="I477" s="22"/>
      <c r="J477" s="24"/>
      <c r="K477" s="22"/>
      <c r="L477" s="25"/>
      <c r="M477" s="25"/>
      <c r="N477" s="22"/>
      <c r="O477" s="23"/>
      <c r="P477" s="22"/>
      <c r="Q477" s="22"/>
      <c r="R477" s="22"/>
      <c r="S477" s="24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</row>
    <row r="478" spans="1:33">
      <c r="A478" s="22"/>
      <c r="B478" s="22"/>
      <c r="C478" s="22"/>
      <c r="D478" s="22"/>
      <c r="E478" s="23"/>
      <c r="F478" s="22"/>
      <c r="G478" s="24"/>
      <c r="H478" s="22"/>
      <c r="I478" s="22"/>
      <c r="J478" s="24"/>
      <c r="K478" s="22"/>
      <c r="L478" s="25"/>
      <c r="M478" s="25"/>
      <c r="N478" s="24"/>
      <c r="O478" s="23"/>
      <c r="P478" s="24"/>
      <c r="Q478" s="22"/>
      <c r="R478" s="22"/>
      <c r="S478" s="24"/>
      <c r="T478" s="24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</row>
    <row r="479" spans="1:33">
      <c r="A479" s="22"/>
      <c r="B479" s="22"/>
      <c r="C479" s="22"/>
      <c r="D479" s="22"/>
      <c r="E479" s="23"/>
      <c r="F479" s="22"/>
      <c r="G479" s="24"/>
      <c r="H479" s="22"/>
      <c r="I479" s="22"/>
      <c r="J479" s="24"/>
      <c r="K479" s="22"/>
      <c r="L479" s="25"/>
      <c r="M479" s="25"/>
      <c r="N479" s="24"/>
      <c r="O479" s="23"/>
      <c r="P479" s="24"/>
      <c r="Q479" s="22"/>
      <c r="R479" s="22"/>
      <c r="S479" s="24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</row>
    <row r="480" spans="1:33">
      <c r="A480" s="22"/>
      <c r="B480" s="22"/>
      <c r="C480" s="22"/>
      <c r="D480" s="22"/>
      <c r="E480" s="23"/>
      <c r="F480" s="22"/>
      <c r="G480" s="24"/>
      <c r="H480" s="22"/>
      <c r="I480" s="22"/>
      <c r="J480" s="24"/>
      <c r="K480" s="22"/>
      <c r="L480" s="25"/>
      <c r="M480" s="25"/>
      <c r="N480" s="24"/>
      <c r="O480" s="23"/>
      <c r="P480" s="24"/>
      <c r="Q480" s="22"/>
      <c r="R480" s="22"/>
      <c r="S480" s="24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</row>
    <row r="481" spans="1:33">
      <c r="A481" s="22"/>
      <c r="B481" s="22"/>
      <c r="C481" s="22"/>
      <c r="D481" s="22"/>
      <c r="E481" s="23"/>
      <c r="F481" s="22"/>
      <c r="G481" s="24"/>
      <c r="H481" s="22"/>
      <c r="I481" s="22"/>
      <c r="J481" s="24"/>
      <c r="K481" s="22"/>
      <c r="L481" s="26"/>
      <c r="M481" s="25"/>
      <c r="N481" s="24"/>
      <c r="O481" s="23"/>
      <c r="P481" s="24"/>
      <c r="Q481" s="22"/>
      <c r="R481" s="22"/>
      <c r="S481" s="24"/>
      <c r="T481" s="24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</row>
    <row r="482" spans="1:33">
      <c r="A482" s="22"/>
      <c r="B482" s="22"/>
      <c r="C482" s="22"/>
      <c r="D482" s="22"/>
      <c r="E482" s="23"/>
      <c r="F482" s="22"/>
      <c r="G482" s="24"/>
      <c r="H482" s="22"/>
      <c r="I482" s="22"/>
      <c r="J482" s="24"/>
      <c r="K482" s="22"/>
      <c r="L482" s="25"/>
      <c r="M482" s="25"/>
      <c r="N482" s="24"/>
      <c r="O482" s="23"/>
      <c r="P482" s="24"/>
      <c r="Q482" s="22"/>
      <c r="R482" s="22"/>
      <c r="S482" s="24"/>
      <c r="T482" s="24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</row>
    <row r="483" spans="1:33">
      <c r="A483" s="22"/>
      <c r="B483" s="22"/>
      <c r="C483" s="22"/>
      <c r="D483" s="22"/>
      <c r="E483" s="23"/>
      <c r="F483" s="22"/>
      <c r="G483" s="24"/>
      <c r="H483" s="22"/>
      <c r="I483" s="22"/>
      <c r="J483" s="24"/>
      <c r="K483" s="22"/>
      <c r="L483" s="25"/>
      <c r="M483" s="25"/>
      <c r="N483" s="24"/>
      <c r="O483" s="23"/>
      <c r="P483" s="24"/>
      <c r="Q483" s="22"/>
      <c r="R483" s="22"/>
      <c r="S483" s="24"/>
      <c r="T483" s="24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</row>
    <row r="484" spans="1:33">
      <c r="A484" s="22"/>
      <c r="B484" s="22"/>
      <c r="C484" s="22"/>
      <c r="D484" s="22"/>
      <c r="E484" s="23"/>
      <c r="F484" s="22"/>
      <c r="G484" s="24"/>
      <c r="H484" s="22"/>
      <c r="I484" s="22"/>
      <c r="J484" s="24"/>
      <c r="K484" s="22"/>
      <c r="L484" s="25"/>
      <c r="M484" s="25"/>
      <c r="N484" s="24"/>
      <c r="O484" s="23"/>
      <c r="P484" s="24"/>
      <c r="Q484" s="22"/>
      <c r="R484" s="22"/>
      <c r="S484" s="24"/>
      <c r="T484" s="24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</row>
    <row r="485" spans="1:33">
      <c r="A485" s="22"/>
      <c r="B485" s="22"/>
      <c r="C485" s="22"/>
      <c r="D485" s="22"/>
      <c r="E485" s="23"/>
      <c r="F485" s="22"/>
      <c r="G485" s="24"/>
      <c r="H485" s="22"/>
      <c r="I485" s="22"/>
      <c r="J485" s="24"/>
      <c r="K485" s="22"/>
      <c r="L485" s="26"/>
      <c r="M485" s="25"/>
      <c r="N485" s="24"/>
      <c r="O485" s="23"/>
      <c r="P485" s="24"/>
      <c r="Q485" s="22"/>
      <c r="R485" s="22"/>
      <c r="S485" s="24"/>
      <c r="T485" s="24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</row>
    <row r="486" spans="1:33">
      <c r="A486" s="22"/>
      <c r="B486" s="22"/>
      <c r="C486" s="22"/>
      <c r="D486" s="22"/>
      <c r="E486" s="23"/>
      <c r="F486" s="22"/>
      <c r="G486" s="24"/>
      <c r="H486" s="22"/>
      <c r="I486" s="22"/>
      <c r="J486" s="24"/>
      <c r="K486" s="22"/>
      <c r="L486" s="26"/>
      <c r="M486" s="25"/>
      <c r="N486" s="24"/>
      <c r="O486" s="23"/>
      <c r="P486" s="24"/>
      <c r="Q486" s="22"/>
      <c r="R486" s="22"/>
      <c r="S486" s="24"/>
      <c r="T486" s="24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</row>
    <row r="487" spans="1:33">
      <c r="A487" s="22"/>
      <c r="B487" s="22"/>
      <c r="C487" s="22"/>
      <c r="D487" s="22"/>
      <c r="E487" s="23"/>
      <c r="F487" s="22"/>
      <c r="G487" s="24"/>
      <c r="H487" s="22"/>
      <c r="I487" s="22"/>
      <c r="J487" s="24"/>
      <c r="K487" s="22"/>
      <c r="L487" s="26"/>
      <c r="M487" s="25"/>
      <c r="N487" s="24"/>
      <c r="O487" s="23"/>
      <c r="P487" s="24"/>
      <c r="Q487" s="22"/>
      <c r="R487" s="22"/>
      <c r="S487" s="24"/>
      <c r="T487" s="24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</row>
    <row r="488" spans="1:33">
      <c r="A488" s="22"/>
      <c r="B488" s="22"/>
      <c r="C488" s="22"/>
      <c r="D488" s="22"/>
      <c r="E488" s="23"/>
      <c r="F488" s="22"/>
      <c r="G488" s="24"/>
      <c r="H488" s="22"/>
      <c r="I488" s="22"/>
      <c r="J488" s="24"/>
      <c r="K488" s="22"/>
      <c r="L488" s="25"/>
      <c r="M488" s="25"/>
      <c r="N488" s="24"/>
      <c r="O488" s="23"/>
      <c r="P488" s="24"/>
      <c r="Q488" s="22"/>
      <c r="R488" s="22"/>
      <c r="S488" s="24"/>
      <c r="T488" s="24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</row>
    <row r="489" spans="1:33">
      <c r="A489" s="22"/>
      <c r="B489" s="22"/>
      <c r="C489" s="22"/>
      <c r="D489" s="22"/>
      <c r="E489" s="23"/>
      <c r="F489" s="22"/>
      <c r="G489" s="24"/>
      <c r="H489" s="22"/>
      <c r="I489" s="22"/>
      <c r="J489" s="24"/>
      <c r="K489" s="22"/>
      <c r="L489" s="25"/>
      <c r="M489" s="25"/>
      <c r="N489" s="24"/>
      <c r="O489" s="23"/>
      <c r="P489" s="24"/>
      <c r="Q489" s="22"/>
      <c r="R489" s="22"/>
      <c r="S489" s="24"/>
      <c r="T489" s="24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</row>
    <row r="490" spans="1:33">
      <c r="A490" s="22"/>
      <c r="B490" s="22"/>
      <c r="C490" s="22"/>
      <c r="D490" s="22"/>
      <c r="E490" s="23"/>
      <c r="F490" s="22"/>
      <c r="G490" s="24"/>
      <c r="H490" s="22"/>
      <c r="I490" s="22"/>
      <c r="J490" s="24"/>
      <c r="K490" s="22"/>
      <c r="L490" s="25"/>
      <c r="M490" s="25"/>
      <c r="N490" s="24"/>
      <c r="O490" s="23"/>
      <c r="P490" s="24"/>
      <c r="Q490" s="22"/>
      <c r="R490" s="22"/>
      <c r="S490" s="24"/>
      <c r="T490" s="24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</row>
    <row r="491" spans="1:33">
      <c r="A491" s="22"/>
      <c r="B491" s="22"/>
      <c r="C491" s="22"/>
      <c r="D491" s="22"/>
      <c r="E491" s="23"/>
      <c r="F491" s="22"/>
      <c r="G491" s="24"/>
      <c r="H491" s="22"/>
      <c r="I491" s="22"/>
      <c r="J491" s="24"/>
      <c r="K491" s="22"/>
      <c r="L491" s="25"/>
      <c r="M491" s="25"/>
      <c r="N491" s="24"/>
      <c r="O491" s="23"/>
      <c r="P491" s="24"/>
      <c r="Q491" s="22"/>
      <c r="R491" s="22"/>
      <c r="S491" s="24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</row>
    <row r="492" spans="1:33">
      <c r="A492" s="22"/>
      <c r="B492" s="22"/>
      <c r="C492" s="22"/>
      <c r="D492" s="22"/>
      <c r="E492" s="23"/>
      <c r="F492" s="22"/>
      <c r="G492" s="24"/>
      <c r="H492" s="22"/>
      <c r="I492" s="22"/>
      <c r="J492" s="24"/>
      <c r="K492" s="22"/>
      <c r="L492" s="25"/>
      <c r="M492" s="25"/>
      <c r="N492" s="24"/>
      <c r="O492" s="23"/>
      <c r="P492" s="24"/>
      <c r="Q492" s="22"/>
      <c r="R492" s="22"/>
      <c r="S492" s="24"/>
      <c r="T492" s="24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</row>
    <row r="493" spans="1:33">
      <c r="A493" s="22"/>
      <c r="B493" s="22"/>
      <c r="C493" s="22"/>
      <c r="D493" s="22"/>
      <c r="E493" s="23"/>
      <c r="F493" s="22"/>
      <c r="G493" s="24"/>
      <c r="H493" s="22"/>
      <c r="I493" s="22"/>
      <c r="J493" s="24"/>
      <c r="K493" s="22"/>
      <c r="L493" s="25"/>
      <c r="M493" s="25"/>
      <c r="N493" s="24"/>
      <c r="O493" s="23"/>
      <c r="P493" s="24"/>
      <c r="Q493" s="22"/>
      <c r="R493" s="22"/>
      <c r="S493" s="24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</row>
    <row r="494" spans="1:33">
      <c r="A494" s="22"/>
      <c r="B494" s="22"/>
      <c r="C494" s="22"/>
      <c r="D494" s="22"/>
      <c r="E494" s="23"/>
      <c r="F494" s="22"/>
      <c r="G494" s="24"/>
      <c r="H494" s="22"/>
      <c r="I494" s="22"/>
      <c r="J494" s="24"/>
      <c r="K494" s="22"/>
      <c r="L494" s="25"/>
      <c r="M494" s="25"/>
      <c r="N494" s="24"/>
      <c r="O494" s="23"/>
      <c r="P494" s="24"/>
      <c r="Q494" s="22"/>
      <c r="R494" s="22"/>
      <c r="S494" s="24"/>
      <c r="T494" s="24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</row>
    <row r="495" spans="1:33">
      <c r="A495" s="22"/>
      <c r="B495" s="22"/>
      <c r="C495" s="22"/>
      <c r="D495" s="22"/>
      <c r="E495" s="23"/>
      <c r="F495" s="22"/>
      <c r="G495" s="24"/>
      <c r="H495" s="22"/>
      <c r="I495" s="22"/>
      <c r="J495" s="24"/>
      <c r="K495" s="22"/>
      <c r="L495" s="25"/>
      <c r="M495" s="25"/>
      <c r="N495" s="24"/>
      <c r="O495" s="23"/>
      <c r="P495" s="24"/>
      <c r="Q495" s="22"/>
      <c r="R495" s="22"/>
      <c r="S495" s="24"/>
      <c r="T495" s="24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</row>
    <row r="496" spans="1:33">
      <c r="A496" s="22"/>
      <c r="B496" s="22"/>
      <c r="C496" s="22"/>
      <c r="D496" s="22"/>
      <c r="E496" s="23"/>
      <c r="F496" s="22"/>
      <c r="G496" s="24"/>
      <c r="H496" s="22"/>
      <c r="I496" s="22"/>
      <c r="J496" s="24"/>
      <c r="K496" s="22"/>
      <c r="L496" s="26"/>
      <c r="M496" s="25"/>
      <c r="N496" s="24"/>
      <c r="O496" s="23"/>
      <c r="P496" s="24"/>
      <c r="Q496" s="22"/>
      <c r="R496" s="22"/>
      <c r="S496" s="24"/>
      <c r="T496" s="24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</row>
    <row r="497" spans="1:33">
      <c r="A497" s="22"/>
      <c r="B497" s="22"/>
      <c r="C497" s="22"/>
      <c r="D497" s="22"/>
      <c r="E497" s="23"/>
      <c r="F497" s="22"/>
      <c r="G497" s="24"/>
      <c r="H497" s="22"/>
      <c r="I497" s="22"/>
      <c r="J497" s="24"/>
      <c r="K497" s="22"/>
      <c r="L497" s="26"/>
      <c r="M497" s="25"/>
      <c r="N497" s="24"/>
      <c r="O497" s="23"/>
      <c r="P497" s="24"/>
      <c r="Q497" s="22"/>
      <c r="R497" s="22"/>
      <c r="S497" s="24"/>
      <c r="T497" s="24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</row>
    <row r="498" spans="1:33">
      <c r="A498" s="22"/>
      <c r="B498" s="22"/>
      <c r="C498" s="22"/>
      <c r="D498" s="22"/>
      <c r="E498" s="23"/>
      <c r="F498" s="22"/>
      <c r="G498" s="24"/>
      <c r="H498" s="22"/>
      <c r="I498" s="22"/>
      <c r="J498" s="24"/>
      <c r="K498" s="22"/>
      <c r="L498" s="25"/>
      <c r="M498" s="25"/>
      <c r="N498" s="24"/>
      <c r="O498" s="23"/>
      <c r="P498" s="24"/>
      <c r="Q498" s="22"/>
      <c r="R498" s="22"/>
      <c r="S498" s="24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</row>
    <row r="499" spans="1:33">
      <c r="A499" s="22"/>
      <c r="B499" s="22"/>
      <c r="C499" s="22"/>
      <c r="D499" s="22"/>
      <c r="E499" s="23"/>
      <c r="F499" s="22"/>
      <c r="G499" s="24"/>
      <c r="H499" s="22"/>
      <c r="I499" s="22"/>
      <c r="J499" s="24"/>
      <c r="K499" s="22"/>
      <c r="L499" s="25"/>
      <c r="M499" s="25"/>
      <c r="N499" s="24"/>
      <c r="O499" s="23"/>
      <c r="P499" s="24"/>
      <c r="Q499" s="22"/>
      <c r="R499" s="22"/>
      <c r="S499" s="24"/>
      <c r="T499" s="24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</row>
    <row r="500" spans="1:33">
      <c r="A500" s="22"/>
      <c r="B500" s="22"/>
      <c r="C500" s="22"/>
      <c r="D500" s="22"/>
      <c r="E500" s="23"/>
      <c r="F500" s="22"/>
      <c r="G500" s="24"/>
      <c r="H500" s="22"/>
      <c r="I500" s="22"/>
      <c r="J500" s="24"/>
      <c r="K500" s="22"/>
      <c r="L500" s="25"/>
      <c r="M500" s="25"/>
      <c r="N500" s="24"/>
      <c r="O500" s="23"/>
      <c r="P500" s="24"/>
      <c r="Q500" s="22"/>
      <c r="R500" s="22"/>
      <c r="S500" s="24"/>
      <c r="T500" s="24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</row>
    <row r="501" spans="1:33">
      <c r="A501" s="22"/>
      <c r="B501" s="22"/>
      <c r="C501" s="22"/>
      <c r="D501" s="22"/>
      <c r="E501" s="23"/>
      <c r="F501" s="22"/>
      <c r="G501" s="24"/>
      <c r="H501" s="22"/>
      <c r="I501" s="22"/>
      <c r="J501" s="24"/>
      <c r="K501" s="22"/>
      <c r="L501" s="25"/>
      <c r="M501" s="25"/>
      <c r="N501" s="24"/>
      <c r="O501" s="23"/>
      <c r="P501" s="24"/>
      <c r="Q501" s="22"/>
      <c r="R501" s="22"/>
      <c r="S501" s="24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</row>
    <row r="502" spans="1:33">
      <c r="A502" s="22"/>
      <c r="B502" s="22"/>
      <c r="C502" s="22"/>
      <c r="D502" s="22"/>
      <c r="E502" s="23"/>
      <c r="F502" s="22"/>
      <c r="G502" s="24"/>
      <c r="H502" s="22"/>
      <c r="I502" s="22"/>
      <c r="J502" s="24"/>
      <c r="K502" s="22"/>
      <c r="L502" s="26"/>
      <c r="M502" s="25"/>
      <c r="N502" s="22"/>
      <c r="O502" s="23"/>
      <c r="P502" s="22"/>
      <c r="Q502" s="22"/>
      <c r="R502" s="22"/>
      <c r="S502" s="24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</row>
    <row r="503" spans="1:33">
      <c r="A503" s="22"/>
      <c r="B503" s="22"/>
      <c r="C503" s="22"/>
      <c r="D503" s="22"/>
      <c r="E503" s="23"/>
      <c r="F503" s="22"/>
      <c r="G503" s="24"/>
      <c r="H503" s="22"/>
      <c r="I503" s="22"/>
      <c r="J503" s="24"/>
      <c r="K503" s="22"/>
      <c r="L503" s="25"/>
      <c r="M503" s="25"/>
      <c r="N503" s="22"/>
      <c r="O503" s="23"/>
      <c r="P503" s="22"/>
      <c r="Q503" s="22"/>
      <c r="R503" s="22"/>
      <c r="S503" s="24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</row>
    <row r="504" spans="1:33">
      <c r="A504" s="22"/>
      <c r="B504" s="22"/>
      <c r="C504" s="22"/>
      <c r="D504" s="22"/>
      <c r="E504" s="23"/>
      <c r="F504" s="22"/>
      <c r="G504" s="24"/>
      <c r="H504" s="22"/>
      <c r="I504" s="22"/>
      <c r="J504" s="24"/>
      <c r="K504" s="22"/>
      <c r="L504" s="26"/>
      <c r="M504" s="25"/>
      <c r="N504" s="22"/>
      <c r="O504" s="23"/>
      <c r="P504" s="22"/>
      <c r="Q504" s="22"/>
      <c r="R504" s="22"/>
      <c r="S504" s="24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</row>
    <row r="505" spans="1:33">
      <c r="A505" s="22"/>
      <c r="B505" s="22"/>
      <c r="C505" s="22"/>
      <c r="D505" s="22"/>
      <c r="E505" s="23"/>
      <c r="F505" s="22"/>
      <c r="G505" s="24"/>
      <c r="H505" s="22"/>
      <c r="I505" s="22"/>
      <c r="J505" s="24"/>
      <c r="K505" s="22"/>
      <c r="L505" s="26"/>
      <c r="M505" s="25"/>
      <c r="N505" s="22"/>
      <c r="O505" s="23"/>
      <c r="P505" s="22"/>
      <c r="Q505" s="22"/>
      <c r="R505" s="22"/>
      <c r="S505" s="24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</row>
    <row r="506" spans="1:33">
      <c r="A506" s="22"/>
      <c r="B506" s="22"/>
      <c r="C506" s="22"/>
      <c r="D506" s="22"/>
      <c r="E506" s="23"/>
      <c r="F506" s="22"/>
      <c r="G506" s="24"/>
      <c r="H506" s="22"/>
      <c r="I506" s="22"/>
      <c r="J506" s="24"/>
      <c r="K506" s="22"/>
      <c r="L506" s="26"/>
      <c r="M506" s="25"/>
      <c r="N506" s="22"/>
      <c r="O506" s="23"/>
      <c r="P506" s="22"/>
      <c r="Q506" s="22"/>
      <c r="R506" s="22"/>
      <c r="S506" s="24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</row>
    <row r="507" spans="1:33">
      <c r="A507" s="22"/>
      <c r="B507" s="22"/>
      <c r="C507" s="22"/>
      <c r="D507" s="22"/>
      <c r="E507" s="23"/>
      <c r="F507" s="22"/>
      <c r="G507" s="24"/>
      <c r="H507" s="22"/>
      <c r="I507" s="22"/>
      <c r="J507" s="24"/>
      <c r="K507" s="22"/>
      <c r="L507" s="25"/>
      <c r="M507" s="25"/>
      <c r="N507" s="24"/>
      <c r="O507" s="23"/>
      <c r="P507" s="24"/>
      <c r="Q507" s="22"/>
      <c r="R507" s="22"/>
      <c r="S507" s="24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</row>
    <row r="508" spans="1:33">
      <c r="A508" s="22"/>
      <c r="B508" s="22"/>
      <c r="C508" s="22"/>
      <c r="D508" s="22"/>
      <c r="E508" s="23"/>
      <c r="F508" s="22"/>
      <c r="G508" s="24"/>
      <c r="H508" s="22"/>
      <c r="I508" s="22"/>
      <c r="J508" s="24"/>
      <c r="K508" s="22"/>
      <c r="L508" s="25"/>
      <c r="M508" s="25"/>
      <c r="N508" s="24"/>
      <c r="O508" s="23"/>
      <c r="P508" s="24"/>
      <c r="Q508" s="22"/>
      <c r="R508" s="22"/>
      <c r="S508" s="24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</row>
    <row r="509" spans="1:33">
      <c r="A509" s="22"/>
      <c r="B509" s="22"/>
      <c r="C509" s="22"/>
      <c r="D509" s="22"/>
      <c r="E509" s="23"/>
      <c r="F509" s="22"/>
      <c r="G509" s="24"/>
      <c r="H509" s="22"/>
      <c r="I509" s="22"/>
      <c r="J509" s="24"/>
      <c r="K509" s="22"/>
      <c r="L509" s="25"/>
      <c r="M509" s="25"/>
      <c r="N509" s="24"/>
      <c r="O509" s="23"/>
      <c r="P509" s="24"/>
      <c r="Q509" s="22"/>
      <c r="R509" s="22"/>
      <c r="S509" s="24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</row>
    <row r="510" spans="1:33">
      <c r="A510" s="22"/>
      <c r="B510" s="22"/>
      <c r="C510" s="22"/>
      <c r="D510" s="22"/>
      <c r="E510" s="23"/>
      <c r="F510" s="22"/>
      <c r="G510" s="24"/>
      <c r="H510" s="22"/>
      <c r="I510" s="22"/>
      <c r="J510" s="24"/>
      <c r="K510" s="22"/>
      <c r="L510" s="25"/>
      <c r="M510" s="25"/>
      <c r="N510" s="24"/>
      <c r="O510" s="23"/>
      <c r="P510" s="24"/>
      <c r="Q510" s="22"/>
      <c r="R510" s="22"/>
      <c r="S510" s="24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</row>
    <row r="511" spans="1:33">
      <c r="A511" s="22"/>
      <c r="B511" s="22"/>
      <c r="C511" s="22"/>
      <c r="D511" s="22"/>
      <c r="E511" s="23"/>
      <c r="F511" s="22"/>
      <c r="G511" s="24"/>
      <c r="H511" s="22"/>
      <c r="I511" s="22"/>
      <c r="J511" s="24"/>
      <c r="K511" s="22"/>
      <c r="L511" s="25"/>
      <c r="M511" s="25"/>
      <c r="N511" s="24"/>
      <c r="O511" s="23"/>
      <c r="P511" s="24"/>
      <c r="Q511" s="22"/>
      <c r="R511" s="22"/>
      <c r="S511" s="24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</row>
    <row r="512" spans="1:33">
      <c r="A512" s="22"/>
      <c r="B512" s="22"/>
      <c r="C512" s="22"/>
      <c r="D512" s="22"/>
      <c r="E512" s="23"/>
      <c r="F512" s="22"/>
      <c r="G512" s="24"/>
      <c r="H512" s="22"/>
      <c r="I512" s="22"/>
      <c r="J512" s="24"/>
      <c r="K512" s="22"/>
      <c r="L512" s="26"/>
      <c r="M512" s="25"/>
      <c r="N512" s="24"/>
      <c r="O512" s="23"/>
      <c r="P512" s="24"/>
      <c r="Q512" s="22"/>
      <c r="R512" s="22"/>
      <c r="S512" s="24"/>
      <c r="T512" s="24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</row>
    <row r="513" spans="1:33">
      <c r="A513" s="22"/>
      <c r="B513" s="22"/>
      <c r="C513" s="22"/>
      <c r="D513" s="22"/>
      <c r="E513" s="23"/>
      <c r="F513" s="22"/>
      <c r="G513" s="24"/>
      <c r="H513" s="22"/>
      <c r="I513" s="22"/>
      <c r="J513" s="24"/>
      <c r="K513" s="22"/>
      <c r="L513" s="25"/>
      <c r="M513" s="25"/>
      <c r="N513" s="24"/>
      <c r="O513" s="23"/>
      <c r="P513" s="24"/>
      <c r="Q513" s="22"/>
      <c r="R513" s="22"/>
      <c r="S513" s="24"/>
      <c r="T513" s="24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</row>
    <row r="514" spans="1:33">
      <c r="A514" s="22"/>
      <c r="B514" s="22"/>
      <c r="C514" s="22"/>
      <c r="D514" s="22"/>
      <c r="E514" s="23"/>
      <c r="F514" s="22"/>
      <c r="G514" s="24"/>
      <c r="H514" s="22"/>
      <c r="I514" s="22"/>
      <c r="J514" s="24"/>
      <c r="K514" s="22"/>
      <c r="L514" s="25"/>
      <c r="M514" s="25"/>
      <c r="N514" s="24"/>
      <c r="O514" s="23"/>
      <c r="P514" s="24"/>
      <c r="Q514" s="22"/>
      <c r="R514" s="22"/>
      <c r="S514" s="24"/>
      <c r="T514" s="24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</row>
    <row r="515" spans="1:33">
      <c r="A515" s="22"/>
      <c r="B515" s="22"/>
      <c r="C515" s="22"/>
      <c r="D515" s="22"/>
      <c r="E515" s="23"/>
      <c r="F515" s="22"/>
      <c r="G515" s="24"/>
      <c r="H515" s="22"/>
      <c r="I515" s="22"/>
      <c r="J515" s="24"/>
      <c r="K515" s="22"/>
      <c r="L515" s="25"/>
      <c r="M515" s="25"/>
      <c r="N515" s="24"/>
      <c r="O515" s="23"/>
      <c r="P515" s="24"/>
      <c r="Q515" s="22"/>
      <c r="R515" s="22"/>
      <c r="S515" s="24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</row>
    <row r="516" spans="1:33">
      <c r="A516" s="22"/>
      <c r="B516" s="22"/>
      <c r="C516" s="22"/>
      <c r="D516" s="22"/>
      <c r="E516" s="23"/>
      <c r="F516" s="22"/>
      <c r="G516" s="24"/>
      <c r="H516" s="22"/>
      <c r="I516" s="22"/>
      <c r="J516" s="24"/>
      <c r="K516" s="22"/>
      <c r="L516" s="25"/>
      <c r="M516" s="25"/>
      <c r="N516" s="24"/>
      <c r="O516" s="23"/>
      <c r="P516" s="24"/>
      <c r="Q516" s="22"/>
      <c r="R516" s="22"/>
      <c r="S516" s="24"/>
      <c r="T516" s="24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</row>
    <row r="517" spans="1:33">
      <c r="A517" s="22"/>
      <c r="B517" s="22"/>
      <c r="C517" s="22"/>
      <c r="D517" s="22"/>
      <c r="E517" s="23"/>
      <c r="F517" s="22"/>
      <c r="G517" s="24"/>
      <c r="H517" s="22"/>
      <c r="I517" s="22"/>
      <c r="J517" s="24"/>
      <c r="K517" s="22"/>
      <c r="L517" s="25"/>
      <c r="M517" s="25"/>
      <c r="N517" s="24"/>
      <c r="O517" s="23"/>
      <c r="P517" s="24"/>
      <c r="Q517" s="22"/>
      <c r="R517" s="22"/>
      <c r="S517" s="24"/>
      <c r="T517" s="24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</row>
    <row r="518" spans="1:33">
      <c r="A518" s="22"/>
      <c r="B518" s="22"/>
      <c r="C518" s="22"/>
      <c r="D518" s="22"/>
      <c r="E518" s="23"/>
      <c r="F518" s="22"/>
      <c r="G518" s="24"/>
      <c r="H518" s="22"/>
      <c r="I518" s="22"/>
      <c r="J518" s="24"/>
      <c r="K518" s="22"/>
      <c r="L518" s="25"/>
      <c r="M518" s="25"/>
      <c r="N518" s="24"/>
      <c r="O518" s="23"/>
      <c r="P518" s="24"/>
      <c r="Q518" s="22"/>
      <c r="R518" s="22"/>
      <c r="S518" s="24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</row>
    <row r="519" spans="1:33">
      <c r="A519" s="22"/>
      <c r="B519" s="22"/>
      <c r="C519" s="22"/>
      <c r="D519" s="22"/>
      <c r="E519" s="23"/>
      <c r="F519" s="22"/>
      <c r="G519" s="24"/>
      <c r="H519" s="22"/>
      <c r="I519" s="22"/>
      <c r="J519" s="24"/>
      <c r="K519" s="22"/>
      <c r="L519" s="25"/>
      <c r="M519" s="25"/>
      <c r="N519" s="24"/>
      <c r="O519" s="23"/>
      <c r="P519" s="24"/>
      <c r="Q519" s="22"/>
      <c r="R519" s="22"/>
      <c r="S519" s="24"/>
      <c r="T519" s="24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</row>
    <row r="520" spans="1:33">
      <c r="A520" s="22"/>
      <c r="B520" s="22"/>
      <c r="C520" s="22"/>
      <c r="D520" s="22"/>
      <c r="E520" s="23"/>
      <c r="F520" s="22"/>
      <c r="G520" s="24"/>
      <c r="H520" s="22"/>
      <c r="I520" s="22"/>
      <c r="J520" s="24"/>
      <c r="K520" s="22"/>
      <c r="L520" s="25"/>
      <c r="M520" s="25"/>
      <c r="N520" s="24"/>
      <c r="O520" s="23"/>
      <c r="P520" s="24"/>
      <c r="Q520" s="22"/>
      <c r="R520" s="22"/>
      <c r="S520" s="24"/>
      <c r="T520" s="24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</row>
    <row r="521" spans="1:33">
      <c r="A521" s="22"/>
      <c r="B521" s="22"/>
      <c r="C521" s="22"/>
      <c r="D521" s="22"/>
      <c r="E521" s="23"/>
      <c r="F521" s="22"/>
      <c r="G521" s="24"/>
      <c r="H521" s="22"/>
      <c r="I521" s="22"/>
      <c r="J521" s="24"/>
      <c r="K521" s="22"/>
      <c r="L521" s="25"/>
      <c r="M521" s="25"/>
      <c r="N521" s="22"/>
      <c r="O521" s="23"/>
      <c r="P521" s="22"/>
      <c r="Q521" s="22"/>
      <c r="R521" s="22"/>
      <c r="S521" s="24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</row>
    <row r="522" spans="1:33">
      <c r="A522" s="22"/>
      <c r="B522" s="22"/>
      <c r="C522" s="22"/>
      <c r="D522" s="22"/>
      <c r="E522" s="23"/>
      <c r="F522" s="22"/>
      <c r="G522" s="24"/>
      <c r="H522" s="22"/>
      <c r="I522" s="22"/>
      <c r="J522" s="24"/>
      <c r="K522" s="22"/>
      <c r="L522" s="25"/>
      <c r="M522" s="25"/>
      <c r="N522" s="22"/>
      <c r="O522" s="23"/>
      <c r="P522" s="22"/>
      <c r="Q522" s="22"/>
      <c r="R522" s="22"/>
      <c r="S522" s="24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</row>
    <row r="523" spans="1:33">
      <c r="A523" s="22"/>
      <c r="B523" s="22"/>
      <c r="C523" s="22"/>
      <c r="D523" s="22"/>
      <c r="E523" s="23"/>
      <c r="F523" s="22"/>
      <c r="G523" s="24"/>
      <c r="H523" s="22"/>
      <c r="I523" s="22"/>
      <c r="J523" s="24"/>
      <c r="K523" s="22"/>
      <c r="L523" s="25"/>
      <c r="M523" s="25"/>
      <c r="N523" s="24"/>
      <c r="O523" s="23"/>
      <c r="P523" s="24"/>
      <c r="Q523" s="22"/>
      <c r="R523" s="22"/>
      <c r="S523" s="24"/>
      <c r="T523" s="24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</row>
    <row r="524" spans="1:33">
      <c r="A524" s="22"/>
      <c r="B524" s="22"/>
      <c r="C524" s="22"/>
      <c r="D524" s="22"/>
      <c r="E524" s="23"/>
      <c r="F524" s="22"/>
      <c r="G524" s="24"/>
      <c r="H524" s="22"/>
      <c r="I524" s="22"/>
      <c r="J524" s="24"/>
      <c r="K524" s="22"/>
      <c r="L524" s="25"/>
      <c r="M524" s="25"/>
      <c r="N524" s="22"/>
      <c r="O524" s="23"/>
      <c r="P524" s="22"/>
      <c r="Q524" s="22"/>
      <c r="R524" s="22"/>
      <c r="S524" s="24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</row>
    <row r="525" spans="1:33">
      <c r="A525" s="22"/>
      <c r="B525" s="22"/>
      <c r="C525" s="22"/>
      <c r="D525" s="22"/>
      <c r="E525" s="23"/>
      <c r="F525" s="22"/>
      <c r="G525" s="24"/>
      <c r="H525" s="22"/>
      <c r="I525" s="22"/>
      <c r="J525" s="24"/>
      <c r="K525" s="22"/>
      <c r="L525" s="25"/>
      <c r="M525" s="25"/>
      <c r="N525" s="24"/>
      <c r="O525" s="23"/>
      <c r="P525" s="24"/>
      <c r="Q525" s="22"/>
      <c r="R525" s="22"/>
      <c r="S525" s="24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</row>
    <row r="526" spans="1:33">
      <c r="A526" s="22"/>
      <c r="B526" s="22"/>
      <c r="C526" s="22"/>
      <c r="D526" s="22"/>
      <c r="E526" s="23"/>
      <c r="F526" s="22"/>
      <c r="G526" s="24"/>
      <c r="H526" s="22"/>
      <c r="I526" s="22"/>
      <c r="J526" s="24"/>
      <c r="K526" s="22"/>
      <c r="L526" s="25"/>
      <c r="M526" s="25"/>
      <c r="N526" s="24"/>
      <c r="O526" s="23"/>
      <c r="P526" s="24"/>
      <c r="Q526" s="22"/>
      <c r="R526" s="22"/>
      <c r="S526" s="24"/>
      <c r="T526" s="24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</row>
    <row r="527" spans="1:33">
      <c r="A527" s="22"/>
      <c r="B527" s="22"/>
      <c r="C527" s="22"/>
      <c r="D527" s="22"/>
      <c r="E527" s="23"/>
      <c r="F527" s="22"/>
      <c r="G527" s="24"/>
      <c r="H527" s="22"/>
      <c r="I527" s="22"/>
      <c r="J527" s="24"/>
      <c r="K527" s="22"/>
      <c r="L527" s="25"/>
      <c r="M527" s="25"/>
      <c r="N527" s="24"/>
      <c r="O527" s="23"/>
      <c r="P527" s="24"/>
      <c r="Q527" s="22"/>
      <c r="R527" s="22"/>
      <c r="S527" s="24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</row>
    <row r="528" spans="1:33">
      <c r="A528" s="22"/>
      <c r="B528" s="22"/>
      <c r="C528" s="22"/>
      <c r="D528" s="22"/>
      <c r="E528" s="23"/>
      <c r="F528" s="22"/>
      <c r="G528" s="24"/>
      <c r="H528" s="22"/>
      <c r="I528" s="22"/>
      <c r="J528" s="24"/>
      <c r="K528" s="22"/>
      <c r="L528" s="25"/>
      <c r="M528" s="25"/>
      <c r="N528" s="24"/>
      <c r="O528" s="23"/>
      <c r="P528" s="24"/>
      <c r="Q528" s="22"/>
      <c r="R528" s="22"/>
      <c r="S528" s="24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</row>
    <row r="529" spans="1:33">
      <c r="A529" s="22"/>
      <c r="B529" s="22"/>
      <c r="C529" s="22"/>
      <c r="D529" s="22"/>
      <c r="E529" s="23"/>
      <c r="F529" s="22"/>
      <c r="G529" s="24"/>
      <c r="H529" s="22"/>
      <c r="I529" s="22"/>
      <c r="J529" s="24"/>
      <c r="K529" s="22"/>
      <c r="L529" s="25"/>
      <c r="M529" s="25"/>
      <c r="N529" s="24"/>
      <c r="O529" s="23"/>
      <c r="P529" s="24"/>
      <c r="Q529" s="22"/>
      <c r="R529" s="22"/>
      <c r="S529" s="24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</row>
    <row r="530" spans="1:33">
      <c r="A530" s="22"/>
      <c r="B530" s="22"/>
      <c r="C530" s="22"/>
      <c r="D530" s="22"/>
      <c r="E530" s="23"/>
      <c r="F530" s="22"/>
      <c r="G530" s="24"/>
      <c r="H530" s="22"/>
      <c r="I530" s="22"/>
      <c r="J530" s="24"/>
      <c r="K530" s="22"/>
      <c r="L530" s="25"/>
      <c r="M530" s="25"/>
      <c r="N530" s="24"/>
      <c r="O530" s="23"/>
      <c r="P530" s="24"/>
      <c r="Q530" s="22"/>
      <c r="R530" s="22"/>
      <c r="S530" s="24"/>
      <c r="T530" s="24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</row>
    <row r="531" spans="1:33">
      <c r="A531" s="22"/>
      <c r="B531" s="22"/>
      <c r="C531" s="22"/>
      <c r="D531" s="22"/>
      <c r="E531" s="23"/>
      <c r="F531" s="22"/>
      <c r="G531" s="24"/>
      <c r="H531" s="22"/>
      <c r="I531" s="22"/>
      <c r="J531" s="24"/>
      <c r="K531" s="22"/>
      <c r="L531" s="25"/>
      <c r="M531" s="25"/>
      <c r="N531" s="22"/>
      <c r="O531" s="23"/>
      <c r="P531" s="22"/>
      <c r="Q531" s="22"/>
      <c r="R531" s="22"/>
      <c r="S531" s="24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</row>
    <row r="532" spans="1:33">
      <c r="A532" s="22"/>
      <c r="B532" s="22"/>
      <c r="C532" s="22"/>
      <c r="D532" s="22"/>
      <c r="E532" s="23"/>
      <c r="F532" s="22"/>
      <c r="G532" s="24"/>
      <c r="H532" s="22"/>
      <c r="I532" s="22"/>
      <c r="J532" s="24"/>
      <c r="K532" s="22"/>
      <c r="L532" s="25"/>
      <c r="M532" s="25"/>
      <c r="N532" s="22"/>
      <c r="O532" s="23"/>
      <c r="P532" s="22"/>
      <c r="Q532" s="22"/>
      <c r="R532" s="22"/>
      <c r="S532" s="24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</row>
    <row r="533" spans="1:33">
      <c r="A533" s="22"/>
      <c r="B533" s="22"/>
      <c r="C533" s="22"/>
      <c r="D533" s="22"/>
      <c r="E533" s="23"/>
      <c r="F533" s="22"/>
      <c r="G533" s="24"/>
      <c r="H533" s="22"/>
      <c r="I533" s="22"/>
      <c r="J533" s="24"/>
      <c r="K533" s="22"/>
      <c r="L533" s="25"/>
      <c r="M533" s="25"/>
      <c r="N533" s="22"/>
      <c r="O533" s="23"/>
      <c r="P533" s="22"/>
      <c r="Q533" s="22"/>
      <c r="R533" s="22"/>
      <c r="S533" s="24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</row>
    <row r="534" spans="1:33">
      <c r="A534" s="22"/>
      <c r="B534" s="22"/>
      <c r="C534" s="22"/>
      <c r="D534" s="22"/>
      <c r="E534" s="23"/>
      <c r="F534" s="22"/>
      <c r="G534" s="24"/>
      <c r="H534" s="22"/>
      <c r="I534" s="22"/>
      <c r="J534" s="24"/>
      <c r="K534" s="22"/>
      <c r="L534" s="25"/>
      <c r="M534" s="25"/>
      <c r="N534" s="22"/>
      <c r="O534" s="23"/>
      <c r="P534" s="22"/>
      <c r="Q534" s="22"/>
      <c r="R534" s="22"/>
      <c r="S534" s="24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</row>
    <row r="535" spans="1:33">
      <c r="A535" s="22"/>
      <c r="B535" s="22"/>
      <c r="C535" s="22"/>
      <c r="D535" s="22"/>
      <c r="E535" s="23"/>
      <c r="F535" s="22"/>
      <c r="G535" s="24"/>
      <c r="H535" s="22"/>
      <c r="I535" s="22"/>
      <c r="J535" s="24"/>
      <c r="K535" s="22"/>
      <c r="L535" s="25"/>
      <c r="M535" s="25"/>
      <c r="N535" s="22"/>
      <c r="O535" s="23"/>
      <c r="P535" s="22"/>
      <c r="Q535" s="22"/>
      <c r="R535" s="22"/>
      <c r="S535" s="24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</row>
    <row r="536" spans="1:33">
      <c r="A536" s="22"/>
      <c r="B536" s="22"/>
      <c r="C536" s="22"/>
      <c r="D536" s="22"/>
      <c r="E536" s="23"/>
      <c r="F536" s="22"/>
      <c r="G536" s="24"/>
      <c r="H536" s="22"/>
      <c r="I536" s="22"/>
      <c r="J536" s="24"/>
      <c r="K536" s="22"/>
      <c r="L536" s="25"/>
      <c r="M536" s="25"/>
      <c r="N536" s="22"/>
      <c r="O536" s="23"/>
      <c r="P536" s="22"/>
      <c r="Q536" s="22"/>
      <c r="R536" s="22"/>
      <c r="S536" s="24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</row>
    <row r="537" spans="1:33">
      <c r="A537" s="22"/>
      <c r="B537" s="22"/>
      <c r="C537" s="22"/>
      <c r="D537" s="22"/>
      <c r="E537" s="23"/>
      <c r="F537" s="22"/>
      <c r="G537" s="24"/>
      <c r="H537" s="22"/>
      <c r="I537" s="22"/>
      <c r="J537" s="24"/>
      <c r="K537" s="22"/>
      <c r="L537" s="25"/>
      <c r="M537" s="25"/>
      <c r="N537" s="22"/>
      <c r="O537" s="23"/>
      <c r="P537" s="22"/>
      <c r="Q537" s="22"/>
      <c r="R537" s="22"/>
      <c r="S537" s="24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</row>
    <row r="538" spans="1:33">
      <c r="A538" s="22"/>
      <c r="B538" s="22"/>
      <c r="C538" s="22"/>
      <c r="D538" s="22"/>
      <c r="E538" s="23"/>
      <c r="F538" s="22"/>
      <c r="G538" s="24"/>
      <c r="H538" s="22"/>
      <c r="I538" s="22"/>
      <c r="J538" s="24"/>
      <c r="K538" s="22"/>
      <c r="L538" s="25"/>
      <c r="M538" s="25"/>
      <c r="N538" s="24"/>
      <c r="O538" s="23"/>
      <c r="P538" s="24"/>
      <c r="Q538" s="22"/>
      <c r="R538" s="22"/>
      <c r="S538" s="24"/>
      <c r="T538" s="24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</row>
    <row r="539" spans="1:33">
      <c r="A539" s="22"/>
      <c r="B539" s="22"/>
      <c r="C539" s="22"/>
      <c r="D539" s="22"/>
      <c r="E539" s="23"/>
      <c r="F539" s="22"/>
      <c r="G539" s="24"/>
      <c r="H539" s="22"/>
      <c r="I539" s="22"/>
      <c r="J539" s="24"/>
      <c r="K539" s="22"/>
      <c r="L539" s="25"/>
      <c r="M539" s="25"/>
      <c r="N539" s="22"/>
      <c r="O539" s="23"/>
      <c r="P539" s="22"/>
      <c r="Q539" s="22"/>
      <c r="R539" s="22"/>
      <c r="S539" s="24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</row>
    <row r="540" spans="1:33">
      <c r="A540" s="22"/>
      <c r="B540" s="22"/>
      <c r="C540" s="22"/>
      <c r="D540" s="22"/>
      <c r="E540" s="23"/>
      <c r="F540" s="22"/>
      <c r="G540" s="24"/>
      <c r="H540" s="22"/>
      <c r="I540" s="22"/>
      <c r="J540" s="24"/>
      <c r="K540" s="22"/>
      <c r="L540" s="25"/>
      <c r="M540" s="25"/>
      <c r="N540" s="22"/>
      <c r="O540" s="23"/>
      <c r="P540" s="22"/>
      <c r="Q540" s="22"/>
      <c r="R540" s="22"/>
      <c r="S540" s="24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</row>
    <row r="541" spans="1:33">
      <c r="A541" s="22"/>
      <c r="B541" s="22"/>
      <c r="C541" s="22"/>
      <c r="D541" s="22"/>
      <c r="E541" s="23"/>
      <c r="F541" s="22"/>
      <c r="G541" s="24"/>
      <c r="H541" s="22"/>
      <c r="I541" s="22"/>
      <c r="J541" s="24"/>
      <c r="K541" s="22"/>
      <c r="L541" s="25"/>
      <c r="M541" s="25"/>
      <c r="N541" s="24"/>
      <c r="O541" s="23"/>
      <c r="P541" s="24"/>
      <c r="Q541" s="22"/>
      <c r="R541" s="22"/>
      <c r="S541" s="24"/>
      <c r="T541" s="24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</row>
    <row r="542" spans="1:33">
      <c r="A542" s="22"/>
      <c r="B542" s="22"/>
      <c r="C542" s="22"/>
      <c r="D542" s="22"/>
      <c r="E542" s="23"/>
      <c r="F542" s="22"/>
      <c r="G542" s="24"/>
      <c r="H542" s="22"/>
      <c r="I542" s="22"/>
      <c r="J542" s="24"/>
      <c r="K542" s="22"/>
      <c r="L542" s="25"/>
      <c r="M542" s="25"/>
      <c r="N542" s="24"/>
      <c r="O542" s="23"/>
      <c r="P542" s="24"/>
      <c r="Q542" s="22"/>
      <c r="R542" s="22"/>
      <c r="S542" s="24"/>
      <c r="T542" s="24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</row>
    <row r="543" spans="1:33">
      <c r="A543" s="22"/>
      <c r="B543" s="22"/>
      <c r="C543" s="22"/>
      <c r="D543" s="22"/>
      <c r="E543" s="23"/>
      <c r="F543" s="22"/>
      <c r="G543" s="24"/>
      <c r="H543" s="22"/>
      <c r="I543" s="22"/>
      <c r="J543" s="24"/>
      <c r="K543" s="22"/>
      <c r="L543" s="25"/>
      <c r="M543" s="25"/>
      <c r="N543" s="24"/>
      <c r="O543" s="23"/>
      <c r="P543" s="24"/>
      <c r="Q543" s="22"/>
      <c r="R543" s="22"/>
      <c r="S543" s="24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</row>
    <row r="544" spans="1:33">
      <c r="A544" s="22"/>
      <c r="B544" s="22"/>
      <c r="C544" s="22"/>
      <c r="D544" s="22"/>
      <c r="E544" s="23"/>
      <c r="F544" s="22"/>
      <c r="G544" s="24"/>
      <c r="H544" s="22"/>
      <c r="I544" s="22"/>
      <c r="J544" s="24"/>
      <c r="K544" s="22"/>
      <c r="L544" s="25"/>
      <c r="M544" s="25"/>
      <c r="N544" s="24"/>
      <c r="O544" s="23"/>
      <c r="P544" s="24"/>
      <c r="Q544" s="22"/>
      <c r="R544" s="22"/>
      <c r="S544" s="24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</row>
    <row r="545" spans="1:33">
      <c r="A545" s="22"/>
      <c r="B545" s="22"/>
      <c r="C545" s="22"/>
      <c r="D545" s="22"/>
      <c r="E545" s="23"/>
      <c r="F545" s="22"/>
      <c r="G545" s="24"/>
      <c r="H545" s="22"/>
      <c r="I545" s="22"/>
      <c r="J545" s="24"/>
      <c r="K545" s="22"/>
      <c r="L545" s="25"/>
      <c r="M545" s="25"/>
      <c r="N545" s="24"/>
      <c r="O545" s="23"/>
      <c r="P545" s="24"/>
      <c r="Q545" s="22"/>
      <c r="R545" s="22"/>
      <c r="S545" s="24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</row>
    <row r="546" spans="1:33">
      <c r="A546" s="22"/>
      <c r="B546" s="22"/>
      <c r="C546" s="22"/>
      <c r="D546" s="22"/>
      <c r="E546" s="23"/>
      <c r="F546" s="22"/>
      <c r="G546" s="24"/>
      <c r="H546" s="22"/>
      <c r="I546" s="22"/>
      <c r="J546" s="24"/>
      <c r="K546" s="22"/>
      <c r="L546" s="25"/>
      <c r="M546" s="25"/>
      <c r="N546" s="24"/>
      <c r="O546" s="23"/>
      <c r="P546" s="24"/>
      <c r="Q546" s="22"/>
      <c r="R546" s="22"/>
      <c r="S546" s="24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</row>
    <row r="547" spans="1:33">
      <c r="A547" s="22"/>
      <c r="B547" s="22"/>
      <c r="C547" s="22"/>
      <c r="D547" s="22"/>
      <c r="E547" s="23"/>
      <c r="F547" s="22"/>
      <c r="G547" s="24"/>
      <c r="H547" s="22"/>
      <c r="I547" s="22"/>
      <c r="J547" s="24"/>
      <c r="K547" s="22"/>
      <c r="L547" s="25"/>
      <c r="M547" s="25"/>
      <c r="N547" s="24"/>
      <c r="O547" s="23"/>
      <c r="P547" s="24"/>
      <c r="Q547" s="22"/>
      <c r="R547" s="22"/>
      <c r="S547" s="24"/>
      <c r="T547" s="24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</row>
    <row r="548" spans="1:33">
      <c r="A548" s="22"/>
      <c r="B548" s="22"/>
      <c r="C548" s="22"/>
      <c r="D548" s="22"/>
      <c r="E548" s="23"/>
      <c r="F548" s="22"/>
      <c r="G548" s="24"/>
      <c r="H548" s="22"/>
      <c r="I548" s="22"/>
      <c r="J548" s="24"/>
      <c r="K548" s="22"/>
      <c r="L548" s="25"/>
      <c r="M548" s="25"/>
      <c r="N548" s="24"/>
      <c r="O548" s="23"/>
      <c r="P548" s="24"/>
      <c r="Q548" s="22"/>
      <c r="R548" s="22"/>
      <c r="S548" s="24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</row>
    <row r="549" spans="1:33">
      <c r="A549" s="22"/>
      <c r="B549" s="22"/>
      <c r="C549" s="22"/>
      <c r="D549" s="22"/>
      <c r="E549" s="23"/>
      <c r="F549" s="22"/>
      <c r="G549" s="24"/>
      <c r="H549" s="22"/>
      <c r="I549" s="22"/>
      <c r="J549" s="24"/>
      <c r="K549" s="22"/>
      <c r="L549" s="25"/>
      <c r="M549" s="25"/>
      <c r="N549" s="24"/>
      <c r="O549" s="23"/>
      <c r="P549" s="24"/>
      <c r="Q549" s="22"/>
      <c r="R549" s="22"/>
      <c r="S549" s="24"/>
      <c r="T549" s="24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</row>
    <row r="550" spans="1:33">
      <c r="A550" s="22"/>
      <c r="B550" s="22"/>
      <c r="C550" s="22"/>
      <c r="D550" s="22"/>
      <c r="E550" s="23"/>
      <c r="F550" s="22"/>
      <c r="G550" s="24"/>
      <c r="H550" s="22"/>
      <c r="I550" s="22"/>
      <c r="J550" s="24"/>
      <c r="K550" s="22"/>
      <c r="L550" s="25"/>
      <c r="M550" s="25"/>
      <c r="N550" s="24"/>
      <c r="O550" s="23"/>
      <c r="P550" s="24"/>
      <c r="Q550" s="22"/>
      <c r="R550" s="22"/>
      <c r="S550" s="24"/>
      <c r="T550" s="24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</row>
    <row r="551" spans="1:33">
      <c r="A551" s="22"/>
      <c r="B551" s="22"/>
      <c r="C551" s="22"/>
      <c r="D551" s="22"/>
      <c r="E551" s="23"/>
      <c r="F551" s="22"/>
      <c r="G551" s="24"/>
      <c r="H551" s="22"/>
      <c r="I551" s="22"/>
      <c r="J551" s="24"/>
      <c r="K551" s="22"/>
      <c r="L551" s="25"/>
      <c r="M551" s="25"/>
      <c r="N551" s="24"/>
      <c r="O551" s="23"/>
      <c r="P551" s="24"/>
      <c r="Q551" s="22"/>
      <c r="R551" s="22"/>
      <c r="S551" s="24"/>
      <c r="T551" s="24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</row>
    <row r="552" spans="1:33">
      <c r="A552" s="22"/>
      <c r="B552" s="22"/>
      <c r="C552" s="22"/>
      <c r="D552" s="22"/>
      <c r="E552" s="23"/>
      <c r="F552" s="22"/>
      <c r="G552" s="24"/>
      <c r="H552" s="22"/>
      <c r="I552" s="22"/>
      <c r="J552" s="24"/>
      <c r="K552" s="22"/>
      <c r="L552" s="25"/>
      <c r="M552" s="25"/>
      <c r="N552" s="24"/>
      <c r="O552" s="23"/>
      <c r="P552" s="24"/>
      <c r="Q552" s="22"/>
      <c r="R552" s="22"/>
      <c r="S552" s="24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</row>
    <row r="553" spans="1:33">
      <c r="A553" s="22"/>
      <c r="B553" s="22"/>
      <c r="C553" s="22"/>
      <c r="D553" s="22"/>
      <c r="E553" s="23"/>
      <c r="F553" s="22"/>
      <c r="G553" s="24"/>
      <c r="H553" s="22"/>
      <c r="I553" s="22"/>
      <c r="J553" s="24"/>
      <c r="K553" s="22"/>
      <c r="L553" s="25"/>
      <c r="M553" s="25"/>
      <c r="N553" s="24"/>
      <c r="O553" s="23"/>
      <c r="P553" s="24"/>
      <c r="Q553" s="22"/>
      <c r="R553" s="22"/>
      <c r="S553" s="24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</row>
    <row r="554" spans="1:33">
      <c r="A554" s="22"/>
      <c r="B554" s="22"/>
      <c r="C554" s="22"/>
      <c r="D554" s="22"/>
      <c r="E554" s="23"/>
      <c r="F554" s="22"/>
      <c r="G554" s="24"/>
      <c r="H554" s="22"/>
      <c r="I554" s="22"/>
      <c r="J554" s="24"/>
      <c r="K554" s="22"/>
      <c r="L554" s="25"/>
      <c r="M554" s="25"/>
      <c r="N554" s="24"/>
      <c r="O554" s="23"/>
      <c r="P554" s="24"/>
      <c r="Q554" s="22"/>
      <c r="R554" s="22"/>
      <c r="S554" s="24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</row>
    <row r="555" spans="1:33">
      <c r="A555" s="22"/>
      <c r="B555" s="22"/>
      <c r="C555" s="22"/>
      <c r="D555" s="22"/>
      <c r="E555" s="23"/>
      <c r="F555" s="22"/>
      <c r="G555" s="24"/>
      <c r="H555" s="22"/>
      <c r="I555" s="22"/>
      <c r="J555" s="24"/>
      <c r="K555" s="22"/>
      <c r="L555" s="25"/>
      <c r="M555" s="25"/>
      <c r="N555" s="24"/>
      <c r="O555" s="23"/>
      <c r="P555" s="24"/>
      <c r="Q555" s="22"/>
      <c r="R555" s="22"/>
      <c r="S555" s="24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</row>
    <row r="556" spans="1:33">
      <c r="A556" s="22"/>
      <c r="B556" s="22"/>
      <c r="C556" s="22"/>
      <c r="D556" s="22"/>
      <c r="E556" s="23"/>
      <c r="F556" s="22"/>
      <c r="G556" s="24"/>
      <c r="H556" s="22"/>
      <c r="I556" s="22"/>
      <c r="J556" s="24"/>
      <c r="K556" s="22"/>
      <c r="L556" s="25"/>
      <c r="M556" s="25"/>
      <c r="N556" s="24"/>
      <c r="O556" s="23"/>
      <c r="P556" s="24"/>
      <c r="Q556" s="22"/>
      <c r="R556" s="22"/>
      <c r="S556" s="24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</row>
    <row r="557" spans="1:33">
      <c r="A557" s="22"/>
      <c r="B557" s="22"/>
      <c r="C557" s="22"/>
      <c r="D557" s="22"/>
      <c r="E557" s="23"/>
      <c r="F557" s="22"/>
      <c r="G557" s="24"/>
      <c r="H557" s="22"/>
      <c r="I557" s="22"/>
      <c r="J557" s="24"/>
      <c r="K557" s="22"/>
      <c r="L557" s="25"/>
      <c r="M557" s="25"/>
      <c r="N557" s="24"/>
      <c r="O557" s="23"/>
      <c r="P557" s="24"/>
      <c r="Q557" s="22"/>
      <c r="R557" s="22"/>
      <c r="S557" s="24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</row>
    <row r="558" spans="1:33">
      <c r="A558" s="22"/>
      <c r="B558" s="22"/>
      <c r="C558" s="22"/>
      <c r="D558" s="22"/>
      <c r="E558" s="23"/>
      <c r="F558" s="22"/>
      <c r="G558" s="24"/>
      <c r="H558" s="22"/>
      <c r="I558" s="22"/>
      <c r="J558" s="24"/>
      <c r="K558" s="22"/>
      <c r="L558" s="25"/>
      <c r="M558" s="25"/>
      <c r="N558" s="24"/>
      <c r="O558" s="23"/>
      <c r="P558" s="24"/>
      <c r="Q558" s="22"/>
      <c r="R558" s="22"/>
      <c r="S558" s="24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</row>
    <row r="559" spans="1:33">
      <c r="A559" s="22"/>
      <c r="B559" s="22"/>
      <c r="C559" s="22"/>
      <c r="D559" s="22"/>
      <c r="E559" s="23"/>
      <c r="F559" s="22"/>
      <c r="G559" s="24"/>
      <c r="H559" s="22"/>
      <c r="I559" s="22"/>
      <c r="J559" s="24"/>
      <c r="K559" s="22"/>
      <c r="L559" s="25"/>
      <c r="M559" s="25"/>
      <c r="N559" s="24"/>
      <c r="O559" s="23"/>
      <c r="P559" s="24"/>
      <c r="Q559" s="22"/>
      <c r="R559" s="22"/>
      <c r="S559" s="24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</row>
    <row r="560" spans="1:33">
      <c r="A560" s="22"/>
      <c r="B560" s="22"/>
      <c r="C560" s="22"/>
      <c r="D560" s="22"/>
      <c r="E560" s="23"/>
      <c r="F560" s="22"/>
      <c r="G560" s="24"/>
      <c r="H560" s="22"/>
      <c r="I560" s="22"/>
      <c r="J560" s="24"/>
      <c r="K560" s="22"/>
      <c r="L560" s="25"/>
      <c r="M560" s="25"/>
      <c r="N560" s="24"/>
      <c r="O560" s="23"/>
      <c r="P560" s="24"/>
      <c r="Q560" s="22"/>
      <c r="R560" s="22"/>
      <c r="S560" s="24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</row>
    <row r="561" spans="1:33">
      <c r="A561" s="22"/>
      <c r="B561" s="22"/>
      <c r="C561" s="22"/>
      <c r="D561" s="22"/>
      <c r="E561" s="23"/>
      <c r="F561" s="22"/>
      <c r="G561" s="24"/>
      <c r="H561" s="22"/>
      <c r="I561" s="22"/>
      <c r="J561" s="24"/>
      <c r="K561" s="22"/>
      <c r="L561" s="25"/>
      <c r="M561" s="25"/>
      <c r="N561" s="24"/>
      <c r="O561" s="23"/>
      <c r="P561" s="24"/>
      <c r="Q561" s="22"/>
      <c r="R561" s="22"/>
      <c r="S561" s="24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</row>
    <row r="562" spans="1:33">
      <c r="A562" s="22"/>
      <c r="B562" s="22"/>
      <c r="C562" s="22"/>
      <c r="D562" s="22"/>
      <c r="E562" s="23"/>
      <c r="F562" s="22"/>
      <c r="G562" s="24"/>
      <c r="H562" s="22"/>
      <c r="I562" s="22"/>
      <c r="J562" s="24"/>
      <c r="K562" s="22"/>
      <c r="L562" s="25"/>
      <c r="M562" s="25"/>
      <c r="N562" s="24"/>
      <c r="O562" s="23"/>
      <c r="P562" s="24"/>
      <c r="Q562" s="22"/>
      <c r="R562" s="22"/>
      <c r="S562" s="24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</row>
    <row r="563" spans="1:33">
      <c r="A563" s="22"/>
      <c r="B563" s="22"/>
      <c r="C563" s="22"/>
      <c r="D563" s="22"/>
      <c r="E563" s="23"/>
      <c r="F563" s="22"/>
      <c r="G563" s="24"/>
      <c r="H563" s="22"/>
      <c r="I563" s="22"/>
      <c r="J563" s="24"/>
      <c r="K563" s="22"/>
      <c r="L563" s="25"/>
      <c r="M563" s="25"/>
      <c r="N563" s="24"/>
      <c r="O563" s="23"/>
      <c r="P563" s="24"/>
      <c r="Q563" s="22"/>
      <c r="R563" s="22"/>
      <c r="S563" s="24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</row>
    <row r="564" spans="1:33">
      <c r="A564" s="22"/>
      <c r="B564" s="22"/>
      <c r="C564" s="22"/>
      <c r="D564" s="22"/>
      <c r="E564" s="23"/>
      <c r="F564" s="22"/>
      <c r="G564" s="24"/>
      <c r="H564" s="22"/>
      <c r="I564" s="22"/>
      <c r="J564" s="24"/>
      <c r="K564" s="22"/>
      <c r="L564" s="25"/>
      <c r="M564" s="25"/>
      <c r="N564" s="24"/>
      <c r="O564" s="23"/>
      <c r="P564" s="24"/>
      <c r="Q564" s="22"/>
      <c r="R564" s="22"/>
      <c r="S564" s="24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</row>
    <row r="565" spans="1:33">
      <c r="A565" s="22"/>
      <c r="B565" s="22"/>
      <c r="C565" s="22"/>
      <c r="D565" s="22"/>
      <c r="E565" s="23"/>
      <c r="F565" s="22"/>
      <c r="G565" s="24"/>
      <c r="H565" s="22"/>
      <c r="I565" s="22"/>
      <c r="J565" s="24"/>
      <c r="K565" s="22"/>
      <c r="L565" s="25"/>
      <c r="M565" s="25"/>
      <c r="N565" s="24"/>
      <c r="O565" s="23"/>
      <c r="P565" s="24"/>
      <c r="Q565" s="22"/>
      <c r="R565" s="22"/>
      <c r="S565" s="24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</row>
    <row r="566" spans="1:33">
      <c r="A566" s="22"/>
      <c r="B566" s="22"/>
      <c r="C566" s="22"/>
      <c r="D566" s="22"/>
      <c r="E566" s="23"/>
      <c r="F566" s="22"/>
      <c r="G566" s="24"/>
      <c r="H566" s="22"/>
      <c r="I566" s="22"/>
      <c r="J566" s="24"/>
      <c r="K566" s="22"/>
      <c r="L566" s="25"/>
      <c r="M566" s="25"/>
      <c r="N566" s="24"/>
      <c r="O566" s="23"/>
      <c r="P566" s="24"/>
      <c r="Q566" s="22"/>
      <c r="R566" s="22"/>
      <c r="S566" s="24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</row>
    <row r="567" spans="1:33">
      <c r="A567" s="22"/>
      <c r="B567" s="22"/>
      <c r="C567" s="22"/>
      <c r="D567" s="22"/>
      <c r="E567" s="23"/>
      <c r="F567" s="22"/>
      <c r="G567" s="24"/>
      <c r="H567" s="22"/>
      <c r="I567" s="22"/>
      <c r="J567" s="24"/>
      <c r="K567" s="22"/>
      <c r="L567" s="25"/>
      <c r="M567" s="25"/>
      <c r="N567" s="24"/>
      <c r="O567" s="23"/>
      <c r="P567" s="24"/>
      <c r="Q567" s="22"/>
      <c r="R567" s="22"/>
      <c r="S567" s="24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</row>
    <row r="568" spans="1:33">
      <c r="A568" s="22"/>
      <c r="B568" s="22"/>
      <c r="C568" s="22"/>
      <c r="D568" s="22"/>
      <c r="E568" s="23"/>
      <c r="F568" s="22"/>
      <c r="G568" s="24"/>
      <c r="H568" s="22"/>
      <c r="I568" s="22"/>
      <c r="J568" s="24"/>
      <c r="K568" s="22"/>
      <c r="L568" s="25"/>
      <c r="M568" s="25"/>
      <c r="N568" s="24"/>
      <c r="O568" s="23"/>
      <c r="P568" s="24"/>
      <c r="Q568" s="22"/>
      <c r="R568" s="22"/>
      <c r="S568" s="24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</row>
    <row r="569" spans="1:33">
      <c r="A569" s="22"/>
      <c r="B569" s="22"/>
      <c r="C569" s="22"/>
      <c r="D569" s="22"/>
      <c r="E569" s="23"/>
      <c r="F569" s="22"/>
      <c r="G569" s="24"/>
      <c r="H569" s="22"/>
      <c r="I569" s="22"/>
      <c r="J569" s="24"/>
      <c r="K569" s="22"/>
      <c r="L569" s="25"/>
      <c r="M569" s="25"/>
      <c r="N569" s="24"/>
      <c r="O569" s="23"/>
      <c r="P569" s="24"/>
      <c r="Q569" s="22"/>
      <c r="R569" s="22"/>
      <c r="S569" s="24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</row>
    <row r="570" spans="1:33">
      <c r="A570" s="22"/>
      <c r="B570" s="22"/>
      <c r="C570" s="22"/>
      <c r="D570" s="22"/>
      <c r="E570" s="23"/>
      <c r="F570" s="22"/>
      <c r="G570" s="24"/>
      <c r="H570" s="22"/>
      <c r="I570" s="22"/>
      <c r="J570" s="24"/>
      <c r="K570" s="22"/>
      <c r="L570" s="25"/>
      <c r="M570" s="25"/>
      <c r="N570" s="24"/>
      <c r="O570" s="23"/>
      <c r="P570" s="24"/>
      <c r="Q570" s="22"/>
      <c r="R570" s="22"/>
      <c r="S570" s="24"/>
      <c r="T570" s="24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</row>
    <row r="571" spans="1:33">
      <c r="A571" s="22"/>
      <c r="B571" s="22"/>
      <c r="C571" s="22"/>
      <c r="D571" s="22"/>
      <c r="E571" s="23"/>
      <c r="F571" s="22"/>
      <c r="G571" s="24"/>
      <c r="H571" s="22"/>
      <c r="I571" s="22"/>
      <c r="J571" s="24"/>
      <c r="K571" s="22"/>
      <c r="L571" s="25"/>
      <c r="M571" s="25"/>
      <c r="N571" s="24"/>
      <c r="O571" s="23"/>
      <c r="P571" s="24"/>
      <c r="Q571" s="22"/>
      <c r="R571" s="22"/>
      <c r="S571" s="24"/>
      <c r="T571" s="24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</row>
    <row r="572" spans="1:33">
      <c r="A572" s="22"/>
      <c r="B572" s="22"/>
      <c r="C572" s="22"/>
      <c r="D572" s="22"/>
      <c r="E572" s="23"/>
      <c r="F572" s="22"/>
      <c r="G572" s="24"/>
      <c r="H572" s="22"/>
      <c r="I572" s="22"/>
      <c r="J572" s="24"/>
      <c r="K572" s="22"/>
      <c r="L572" s="25"/>
      <c r="M572" s="25"/>
      <c r="N572" s="24"/>
      <c r="O572" s="23"/>
      <c r="P572" s="24"/>
      <c r="Q572" s="22"/>
      <c r="R572" s="22"/>
      <c r="S572" s="24"/>
      <c r="T572" s="24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</row>
    <row r="573" spans="1:33">
      <c r="A573" s="22"/>
      <c r="B573" s="22"/>
      <c r="C573" s="22"/>
      <c r="D573" s="22"/>
      <c r="E573" s="23"/>
      <c r="F573" s="22"/>
      <c r="G573" s="24"/>
      <c r="H573" s="22"/>
      <c r="I573" s="22"/>
      <c r="J573" s="24"/>
      <c r="K573" s="22"/>
      <c r="L573" s="25"/>
      <c r="M573" s="25"/>
      <c r="N573" s="24"/>
      <c r="O573" s="23"/>
      <c r="P573" s="24"/>
      <c r="Q573" s="22"/>
      <c r="R573" s="22"/>
      <c r="S573" s="24"/>
      <c r="T573" s="24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</row>
    <row r="574" spans="1:33">
      <c r="A574" s="22"/>
      <c r="B574" s="22"/>
      <c r="C574" s="22"/>
      <c r="D574" s="22"/>
      <c r="E574" s="23"/>
      <c r="F574" s="22"/>
      <c r="G574" s="24"/>
      <c r="H574" s="22"/>
      <c r="I574" s="22"/>
      <c r="J574" s="24"/>
      <c r="K574" s="22"/>
      <c r="L574" s="25"/>
      <c r="M574" s="25"/>
      <c r="N574" s="24"/>
      <c r="O574" s="23"/>
      <c r="P574" s="24"/>
      <c r="Q574" s="22"/>
      <c r="R574" s="22"/>
      <c r="S574" s="24"/>
      <c r="T574" s="24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</row>
    <row r="575" spans="1:33">
      <c r="A575" s="22"/>
      <c r="B575" s="22"/>
      <c r="C575" s="22"/>
      <c r="D575" s="22"/>
      <c r="E575" s="23"/>
      <c r="F575" s="22"/>
      <c r="G575" s="24"/>
      <c r="H575" s="22"/>
      <c r="I575" s="22"/>
      <c r="J575" s="24"/>
      <c r="K575" s="22"/>
      <c r="L575" s="25"/>
      <c r="M575" s="25"/>
      <c r="N575" s="24"/>
      <c r="O575" s="23"/>
      <c r="P575" s="24"/>
      <c r="Q575" s="22"/>
      <c r="R575" s="22"/>
      <c r="S575" s="24"/>
      <c r="T575" s="24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</row>
    <row r="576" spans="1:33">
      <c r="A576" s="22"/>
      <c r="B576" s="22"/>
      <c r="C576" s="22"/>
      <c r="D576" s="22"/>
      <c r="E576" s="23"/>
      <c r="F576" s="22"/>
      <c r="G576" s="24"/>
      <c r="H576" s="22"/>
      <c r="I576" s="22"/>
      <c r="J576" s="24"/>
      <c r="K576" s="22"/>
      <c r="L576" s="25"/>
      <c r="M576" s="25"/>
      <c r="N576" s="24"/>
      <c r="O576" s="23"/>
      <c r="P576" s="24"/>
      <c r="Q576" s="22"/>
      <c r="R576" s="22"/>
      <c r="S576" s="24"/>
      <c r="T576" s="24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</row>
    <row r="577" spans="1:33">
      <c r="A577" s="22"/>
      <c r="B577" s="22"/>
      <c r="C577" s="22"/>
      <c r="D577" s="22"/>
      <c r="E577" s="23"/>
      <c r="F577" s="22"/>
      <c r="G577" s="24"/>
      <c r="H577" s="22"/>
      <c r="I577" s="22"/>
      <c r="J577" s="24"/>
      <c r="K577" s="22"/>
      <c r="L577" s="26"/>
      <c r="M577" s="25"/>
      <c r="N577" s="24"/>
      <c r="O577" s="23"/>
      <c r="P577" s="24"/>
      <c r="Q577" s="22"/>
      <c r="R577" s="22"/>
      <c r="S577" s="24"/>
      <c r="T577" s="24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</row>
    <row r="578" spans="1:33">
      <c r="A578" s="22"/>
      <c r="B578" s="22"/>
      <c r="C578" s="22"/>
      <c r="D578" s="22"/>
      <c r="E578" s="23"/>
      <c r="F578" s="22"/>
      <c r="G578" s="24"/>
      <c r="H578" s="22"/>
      <c r="I578" s="22"/>
      <c r="J578" s="24"/>
      <c r="K578" s="22"/>
      <c r="L578" s="26"/>
      <c r="M578" s="25"/>
      <c r="N578" s="22"/>
      <c r="O578" s="23"/>
      <c r="P578" s="24"/>
      <c r="Q578" s="22"/>
      <c r="R578" s="22"/>
      <c r="S578" s="24"/>
      <c r="T578" s="24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</row>
    <row r="579" spans="1:33">
      <c r="A579" s="22"/>
      <c r="B579" s="22"/>
      <c r="C579" s="22"/>
      <c r="D579" s="22"/>
      <c r="E579" s="23"/>
      <c r="F579" s="22"/>
      <c r="G579" s="24"/>
      <c r="H579" s="22"/>
      <c r="I579" s="22"/>
      <c r="J579" s="24"/>
      <c r="K579" s="22"/>
      <c r="L579" s="25"/>
      <c r="M579" s="25"/>
      <c r="N579" s="24"/>
      <c r="O579" s="23"/>
      <c r="P579" s="24"/>
      <c r="Q579" s="22"/>
      <c r="R579" s="22"/>
      <c r="S579" s="24"/>
      <c r="T579" s="24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</row>
    <row r="580" spans="1:33">
      <c r="A580" s="22"/>
      <c r="B580" s="22"/>
      <c r="C580" s="22"/>
      <c r="D580" s="22"/>
      <c r="E580" s="23"/>
      <c r="F580" s="22"/>
      <c r="G580" s="24"/>
      <c r="H580" s="22"/>
      <c r="I580" s="22"/>
      <c r="J580" s="24"/>
      <c r="K580" s="22"/>
      <c r="L580" s="25"/>
      <c r="M580" s="25"/>
      <c r="N580" s="24"/>
      <c r="O580" s="23"/>
      <c r="P580" s="24"/>
      <c r="Q580" s="22"/>
      <c r="R580" s="22"/>
      <c r="S580" s="24"/>
      <c r="T580" s="24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</row>
    <row r="581" spans="1:33">
      <c r="A581" s="22"/>
      <c r="B581" s="22"/>
      <c r="C581" s="22"/>
      <c r="D581" s="22"/>
      <c r="E581" s="23"/>
      <c r="F581" s="22"/>
      <c r="G581" s="24"/>
      <c r="H581" s="22"/>
      <c r="I581" s="22"/>
      <c r="J581" s="24"/>
      <c r="K581" s="22"/>
      <c r="L581" s="25"/>
      <c r="M581" s="25"/>
      <c r="N581" s="22"/>
      <c r="O581" s="23"/>
      <c r="P581" s="24"/>
      <c r="Q581" s="22"/>
      <c r="R581" s="22"/>
      <c r="S581" s="24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</row>
    <row r="582" spans="1:33">
      <c r="A582" s="22"/>
      <c r="B582" s="22"/>
      <c r="C582" s="22"/>
      <c r="D582" s="22"/>
      <c r="E582" s="23"/>
      <c r="F582" s="22"/>
      <c r="G582" s="24"/>
      <c r="H582" s="22"/>
      <c r="I582" s="22"/>
      <c r="J582" s="24"/>
      <c r="K582" s="22"/>
      <c r="L582" s="25"/>
      <c r="M582" s="25"/>
      <c r="N582" s="22"/>
      <c r="O582" s="23"/>
      <c r="P582" s="24"/>
      <c r="Q582" s="22"/>
      <c r="R582" s="22"/>
      <c r="S582" s="24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</row>
    <row r="583" spans="1:33">
      <c r="A583" s="22"/>
      <c r="B583" s="22"/>
      <c r="C583" s="22"/>
      <c r="D583" s="22"/>
      <c r="E583" s="23"/>
      <c r="F583" s="22"/>
      <c r="G583" s="24"/>
      <c r="H583" s="22"/>
      <c r="I583" s="22"/>
      <c r="J583" s="24"/>
      <c r="K583" s="22"/>
      <c r="L583" s="25"/>
      <c r="M583" s="25"/>
      <c r="N583" s="22"/>
      <c r="O583" s="23"/>
      <c r="P583" s="24"/>
      <c r="Q583" s="22"/>
      <c r="R583" s="22"/>
      <c r="S583" s="24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</row>
    <row r="584" spans="1:33">
      <c r="A584" s="22"/>
      <c r="B584" s="22"/>
      <c r="C584" s="22"/>
      <c r="D584" s="22"/>
      <c r="E584" s="23"/>
      <c r="F584" s="22"/>
      <c r="G584" s="24"/>
      <c r="H584" s="22"/>
      <c r="I584" s="22"/>
      <c r="J584" s="24"/>
      <c r="K584" s="22"/>
      <c r="L584" s="25"/>
      <c r="M584" s="25"/>
      <c r="N584" s="22"/>
      <c r="O584" s="23"/>
      <c r="P584" s="24"/>
      <c r="Q584" s="22"/>
      <c r="R584" s="22"/>
      <c r="S584" s="24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</row>
    <row r="585" spans="1:33">
      <c r="A585" s="22"/>
      <c r="B585" s="22"/>
      <c r="C585" s="22"/>
      <c r="D585" s="22"/>
      <c r="E585" s="23"/>
      <c r="F585" s="22"/>
      <c r="G585" s="24"/>
      <c r="H585" s="22"/>
      <c r="I585" s="22"/>
      <c r="J585" s="24"/>
      <c r="K585" s="22"/>
      <c r="L585" s="25"/>
      <c r="M585" s="25"/>
      <c r="N585" s="22"/>
      <c r="O585" s="23"/>
      <c r="P585" s="24"/>
      <c r="Q585" s="22"/>
      <c r="R585" s="22"/>
      <c r="S585" s="24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</row>
    <row r="586" spans="1:33">
      <c r="A586" s="22"/>
      <c r="B586" s="22"/>
      <c r="C586" s="22"/>
      <c r="D586" s="22"/>
      <c r="E586" s="23"/>
      <c r="F586" s="22"/>
      <c r="G586" s="24"/>
      <c r="H586" s="22"/>
      <c r="I586" s="22"/>
      <c r="J586" s="24"/>
      <c r="K586" s="22"/>
      <c r="L586" s="25"/>
      <c r="M586" s="25"/>
      <c r="N586" s="24"/>
      <c r="O586" s="23"/>
      <c r="P586" s="24"/>
      <c r="Q586" s="22"/>
      <c r="R586" s="22"/>
      <c r="S586" s="24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</row>
    <row r="587" spans="1:33">
      <c r="A587" s="22"/>
      <c r="B587" s="22"/>
      <c r="C587" s="22"/>
      <c r="D587" s="22"/>
      <c r="E587" s="23"/>
      <c r="F587" s="22"/>
      <c r="G587" s="24"/>
      <c r="H587" s="22"/>
      <c r="I587" s="22"/>
      <c r="J587" s="24"/>
      <c r="K587" s="22"/>
      <c r="L587" s="25"/>
      <c r="M587" s="25"/>
      <c r="N587" s="24"/>
      <c r="O587" s="23"/>
      <c r="P587" s="24"/>
      <c r="Q587" s="22"/>
      <c r="R587" s="22"/>
      <c r="S587" s="24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</row>
    <row r="588" spans="1:33">
      <c r="A588" s="22"/>
      <c r="B588" s="22"/>
      <c r="C588" s="22"/>
      <c r="D588" s="22"/>
      <c r="E588" s="23"/>
      <c r="F588" s="22"/>
      <c r="G588" s="24"/>
      <c r="H588" s="22"/>
      <c r="I588" s="22"/>
      <c r="J588" s="24"/>
      <c r="K588" s="22"/>
      <c r="L588" s="25"/>
      <c r="M588" s="25"/>
      <c r="N588" s="24"/>
      <c r="O588" s="23"/>
      <c r="P588" s="24"/>
      <c r="Q588" s="22"/>
      <c r="R588" s="22"/>
      <c r="S588" s="24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</row>
    <row r="589" spans="1:33">
      <c r="A589" s="22"/>
      <c r="B589" s="22"/>
      <c r="C589" s="22"/>
      <c r="D589" s="22"/>
      <c r="E589" s="23"/>
      <c r="F589" s="22"/>
      <c r="G589" s="24"/>
      <c r="H589" s="22"/>
      <c r="I589" s="22"/>
      <c r="J589" s="24"/>
      <c r="K589" s="22"/>
      <c r="L589" s="25"/>
      <c r="M589" s="25"/>
      <c r="N589" s="24"/>
      <c r="O589" s="23"/>
      <c r="P589" s="24"/>
      <c r="Q589" s="22"/>
      <c r="R589" s="22"/>
      <c r="S589" s="24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</row>
    <row r="590" spans="1:33">
      <c r="A590" s="22"/>
      <c r="B590" s="22"/>
      <c r="C590" s="22"/>
      <c r="D590" s="22"/>
      <c r="E590" s="23"/>
      <c r="F590" s="22"/>
      <c r="G590" s="24"/>
      <c r="H590" s="22"/>
      <c r="I590" s="22"/>
      <c r="J590" s="24"/>
      <c r="K590" s="22"/>
      <c r="L590" s="25"/>
      <c r="M590" s="25"/>
      <c r="N590" s="24"/>
      <c r="O590" s="23"/>
      <c r="P590" s="24"/>
      <c r="Q590" s="22"/>
      <c r="R590" s="22"/>
      <c r="S590" s="24"/>
      <c r="T590" s="24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</row>
    <row r="591" spans="1:33">
      <c r="A591" s="22"/>
      <c r="B591" s="22"/>
      <c r="C591" s="22"/>
      <c r="D591" s="22"/>
      <c r="E591" s="23"/>
      <c r="F591" s="22"/>
      <c r="G591" s="24"/>
      <c r="H591" s="22"/>
      <c r="I591" s="22"/>
      <c r="J591" s="24"/>
      <c r="K591" s="22"/>
      <c r="L591" s="25"/>
      <c r="M591" s="25"/>
      <c r="N591" s="24"/>
      <c r="O591" s="23"/>
      <c r="P591" s="24"/>
      <c r="Q591" s="22"/>
      <c r="R591" s="22"/>
      <c r="S591" s="24"/>
      <c r="T591" s="24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</row>
    <row r="592" spans="1:33">
      <c r="A592" s="22"/>
      <c r="B592" s="22"/>
      <c r="C592" s="22"/>
      <c r="D592" s="22"/>
      <c r="E592" s="23"/>
      <c r="F592" s="22"/>
      <c r="G592" s="24"/>
      <c r="H592" s="22"/>
      <c r="I592" s="22"/>
      <c r="J592" s="24"/>
      <c r="K592" s="22"/>
      <c r="L592" s="25"/>
      <c r="M592" s="25"/>
      <c r="N592" s="24"/>
      <c r="O592" s="23"/>
      <c r="P592" s="24"/>
      <c r="Q592" s="22"/>
      <c r="R592" s="22"/>
      <c r="S592" s="24"/>
      <c r="T592" s="24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</row>
    <row r="593" spans="1:33">
      <c r="A593" s="22"/>
      <c r="B593" s="22"/>
      <c r="C593" s="22"/>
      <c r="D593" s="22"/>
      <c r="E593" s="23"/>
      <c r="F593" s="22"/>
      <c r="G593" s="24"/>
      <c r="H593" s="22"/>
      <c r="I593" s="22"/>
      <c r="J593" s="24"/>
      <c r="K593" s="22"/>
      <c r="L593" s="25"/>
      <c r="M593" s="25"/>
      <c r="N593" s="24"/>
      <c r="O593" s="23"/>
      <c r="P593" s="24"/>
      <c r="Q593" s="22"/>
      <c r="R593" s="22"/>
      <c r="S593" s="24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</row>
    <row r="594" spans="1:33">
      <c r="A594" s="22"/>
      <c r="B594" s="22"/>
      <c r="C594" s="22"/>
      <c r="D594" s="22"/>
      <c r="E594" s="23"/>
      <c r="F594" s="22"/>
      <c r="G594" s="24"/>
      <c r="H594" s="22"/>
      <c r="I594" s="22"/>
      <c r="J594" s="24"/>
      <c r="K594" s="22"/>
      <c r="L594" s="25"/>
      <c r="M594" s="25"/>
      <c r="N594" s="24"/>
      <c r="O594" s="23"/>
      <c r="P594" s="24"/>
      <c r="Q594" s="22"/>
      <c r="R594" s="22"/>
      <c r="S594" s="24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</row>
    <row r="595" spans="1:33">
      <c r="A595" s="22"/>
      <c r="B595" s="22"/>
      <c r="C595" s="22"/>
      <c r="D595" s="22"/>
      <c r="E595" s="23"/>
      <c r="F595" s="22"/>
      <c r="G595" s="24"/>
      <c r="H595" s="22"/>
      <c r="I595" s="22"/>
      <c r="J595" s="24"/>
      <c r="K595" s="22"/>
      <c r="L595" s="25"/>
      <c r="M595" s="25"/>
      <c r="N595" s="24"/>
      <c r="O595" s="23"/>
      <c r="P595" s="24"/>
      <c r="Q595" s="22"/>
      <c r="R595" s="22"/>
      <c r="S595" s="24"/>
      <c r="T595" s="24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</row>
    <row r="596" spans="1:33">
      <c r="A596" s="22"/>
      <c r="B596" s="22"/>
      <c r="C596" s="22"/>
      <c r="D596" s="22"/>
      <c r="E596" s="23"/>
      <c r="F596" s="22"/>
      <c r="G596" s="24"/>
      <c r="H596" s="22"/>
      <c r="I596" s="22"/>
      <c r="J596" s="24"/>
      <c r="K596" s="22"/>
      <c r="L596" s="25"/>
      <c r="M596" s="25"/>
      <c r="N596" s="22"/>
      <c r="O596" s="23"/>
      <c r="P596" s="22"/>
      <c r="Q596" s="22"/>
      <c r="R596" s="22"/>
      <c r="S596" s="24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</row>
    <row r="597" spans="1:33">
      <c r="A597" s="22"/>
      <c r="B597" s="22"/>
      <c r="C597" s="22"/>
      <c r="D597" s="22"/>
      <c r="E597" s="23"/>
      <c r="F597" s="22"/>
      <c r="G597" s="24"/>
      <c r="H597" s="22"/>
      <c r="I597" s="22"/>
      <c r="J597" s="24"/>
      <c r="K597" s="22"/>
      <c r="L597" s="25"/>
      <c r="M597" s="25"/>
      <c r="N597" s="22"/>
      <c r="O597" s="23"/>
      <c r="P597" s="22"/>
      <c r="Q597" s="22"/>
      <c r="R597" s="22"/>
      <c r="S597" s="24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</row>
    <row r="598" spans="1:33">
      <c r="A598" s="22"/>
      <c r="B598" s="22"/>
      <c r="C598" s="22"/>
      <c r="D598" s="22"/>
      <c r="E598" s="23"/>
      <c r="F598" s="22"/>
      <c r="G598" s="24"/>
      <c r="H598" s="22"/>
      <c r="I598" s="22"/>
      <c r="J598" s="24"/>
      <c r="K598" s="22"/>
      <c r="L598" s="25"/>
      <c r="M598" s="25"/>
      <c r="N598" s="22"/>
      <c r="O598" s="23"/>
      <c r="P598" s="22"/>
      <c r="Q598" s="22"/>
      <c r="R598" s="22"/>
      <c r="S598" s="24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</row>
    <row r="599" spans="1:33">
      <c r="A599" s="22"/>
      <c r="B599" s="22"/>
      <c r="C599" s="22"/>
      <c r="D599" s="22"/>
      <c r="E599" s="23"/>
      <c r="F599" s="22"/>
      <c r="G599" s="24"/>
      <c r="H599" s="22"/>
      <c r="I599" s="22"/>
      <c r="J599" s="24"/>
      <c r="K599" s="22"/>
      <c r="L599" s="25"/>
      <c r="M599" s="25"/>
      <c r="N599" s="22"/>
      <c r="O599" s="23"/>
      <c r="P599" s="22"/>
      <c r="Q599" s="22"/>
      <c r="R599" s="22"/>
      <c r="S599" s="24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</row>
    <row r="600" spans="1:33">
      <c r="A600" s="22"/>
      <c r="B600" s="22"/>
      <c r="C600" s="22"/>
      <c r="D600" s="22"/>
      <c r="E600" s="23"/>
      <c r="F600" s="22"/>
      <c r="G600" s="24"/>
      <c r="H600" s="22"/>
      <c r="I600" s="22"/>
      <c r="J600" s="24"/>
      <c r="K600" s="22"/>
      <c r="L600" s="25"/>
      <c r="M600" s="25"/>
      <c r="N600" s="22"/>
      <c r="O600" s="23"/>
      <c r="P600" s="22"/>
      <c r="Q600" s="22"/>
      <c r="R600" s="22"/>
      <c r="S600" s="24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</row>
    <row r="601" spans="1:33">
      <c r="A601" s="22"/>
      <c r="B601" s="22"/>
      <c r="C601" s="22"/>
      <c r="D601" s="22"/>
      <c r="E601" s="23"/>
      <c r="F601" s="22"/>
      <c r="G601" s="24"/>
      <c r="H601" s="22"/>
      <c r="I601" s="22"/>
      <c r="J601" s="24"/>
      <c r="K601" s="22"/>
      <c r="L601" s="25"/>
      <c r="M601" s="25"/>
      <c r="N601" s="22"/>
      <c r="O601" s="23"/>
      <c r="P601" s="22"/>
      <c r="Q601" s="22"/>
      <c r="R601" s="22"/>
      <c r="S601" s="24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</row>
    <row r="602" spans="1:33">
      <c r="A602" s="22"/>
      <c r="B602" s="22"/>
      <c r="C602" s="22"/>
      <c r="D602" s="22"/>
      <c r="E602" s="23"/>
      <c r="F602" s="22"/>
      <c r="G602" s="24"/>
      <c r="H602" s="22"/>
      <c r="I602" s="22"/>
      <c r="J602" s="24"/>
      <c r="K602" s="22"/>
      <c r="L602" s="25"/>
      <c r="M602" s="25"/>
      <c r="N602" s="22"/>
      <c r="O602" s="23"/>
      <c r="P602" s="22"/>
      <c r="Q602" s="22"/>
      <c r="R602" s="22"/>
      <c r="S602" s="24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</row>
    <row r="603" spans="1:33">
      <c r="A603" s="22"/>
      <c r="B603" s="22"/>
      <c r="C603" s="22"/>
      <c r="D603" s="22"/>
      <c r="E603" s="23"/>
      <c r="F603" s="22"/>
      <c r="G603" s="24"/>
      <c r="H603" s="22"/>
      <c r="I603" s="22"/>
      <c r="J603" s="24"/>
      <c r="K603" s="22"/>
      <c r="L603" s="25"/>
      <c r="M603" s="25"/>
      <c r="N603" s="24"/>
      <c r="O603" s="23"/>
      <c r="P603" s="24"/>
      <c r="Q603" s="22"/>
      <c r="R603" s="22"/>
      <c r="S603" s="24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</row>
    <row r="604" spans="1:33">
      <c r="A604" s="22"/>
      <c r="B604" s="22"/>
      <c r="C604" s="22"/>
      <c r="D604" s="22"/>
      <c r="E604" s="23"/>
      <c r="F604" s="22"/>
      <c r="G604" s="24"/>
      <c r="H604" s="22"/>
      <c r="I604" s="22"/>
      <c r="J604" s="24"/>
      <c r="K604" s="22"/>
      <c r="L604" s="25"/>
      <c r="M604" s="25"/>
      <c r="N604" s="24"/>
      <c r="O604" s="23"/>
      <c r="P604" s="24"/>
      <c r="Q604" s="22"/>
      <c r="R604" s="22"/>
      <c r="S604" s="24"/>
      <c r="T604" s="24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</row>
    <row r="605" spans="1:33">
      <c r="A605" s="22"/>
      <c r="B605" s="22"/>
      <c r="C605" s="22"/>
      <c r="D605" s="22"/>
      <c r="E605" s="23"/>
      <c r="F605" s="22"/>
      <c r="G605" s="24"/>
      <c r="H605" s="22"/>
      <c r="I605" s="22"/>
      <c r="J605" s="24"/>
      <c r="K605" s="22"/>
      <c r="L605" s="26"/>
      <c r="M605" s="25"/>
      <c r="N605" s="24"/>
      <c r="O605" s="23"/>
      <c r="P605" s="24"/>
      <c r="Q605" s="22"/>
      <c r="R605" s="22"/>
      <c r="S605" s="24"/>
      <c r="T605" s="24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</row>
    <row r="606" spans="1:33">
      <c r="A606" s="22"/>
      <c r="B606" s="22"/>
      <c r="C606" s="22"/>
      <c r="D606" s="22"/>
      <c r="E606" s="23"/>
      <c r="F606" s="22"/>
      <c r="G606" s="24"/>
      <c r="H606" s="22"/>
      <c r="I606" s="22"/>
      <c r="J606" s="24"/>
      <c r="K606" s="22"/>
      <c r="L606" s="25"/>
      <c r="M606" s="25"/>
      <c r="N606" s="24"/>
      <c r="O606" s="23"/>
      <c r="P606" s="24"/>
      <c r="Q606" s="22"/>
      <c r="R606" s="22"/>
      <c r="S606" s="24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</row>
    <row r="607" spans="1:33">
      <c r="A607" s="22"/>
      <c r="B607" s="22"/>
      <c r="C607" s="22"/>
      <c r="D607" s="22"/>
      <c r="E607" s="23"/>
      <c r="F607" s="22"/>
      <c r="G607" s="24"/>
      <c r="H607" s="22"/>
      <c r="I607" s="22"/>
      <c r="J607" s="24"/>
      <c r="K607" s="22"/>
      <c r="L607" s="25"/>
      <c r="M607" s="25"/>
      <c r="N607" s="22"/>
      <c r="O607" s="23"/>
      <c r="P607" s="22"/>
      <c r="Q607" s="22"/>
      <c r="R607" s="22"/>
      <c r="S607" s="24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</row>
    <row r="608" spans="1:33">
      <c r="A608" s="22"/>
      <c r="B608" s="22"/>
      <c r="C608" s="22"/>
      <c r="D608" s="22"/>
      <c r="E608" s="23"/>
      <c r="F608" s="22"/>
      <c r="G608" s="24"/>
      <c r="H608" s="22"/>
      <c r="I608" s="22"/>
      <c r="J608" s="24"/>
      <c r="K608" s="22"/>
      <c r="L608" s="25"/>
      <c r="M608" s="25"/>
      <c r="N608" s="22"/>
      <c r="O608" s="23"/>
      <c r="P608" s="22"/>
      <c r="Q608" s="22"/>
      <c r="R608" s="22"/>
      <c r="S608" s="24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</row>
    <row r="609" spans="1:33">
      <c r="A609" s="22"/>
      <c r="B609" s="22"/>
      <c r="C609" s="22"/>
      <c r="D609" s="22"/>
      <c r="E609" s="23"/>
      <c r="F609" s="22"/>
      <c r="G609" s="24"/>
      <c r="H609" s="22"/>
      <c r="I609" s="22"/>
      <c r="J609" s="24"/>
      <c r="K609" s="22"/>
      <c r="L609" s="25"/>
      <c r="M609" s="25"/>
      <c r="N609" s="22"/>
      <c r="O609" s="23"/>
      <c r="P609" s="22"/>
      <c r="Q609" s="22"/>
      <c r="R609" s="22"/>
      <c r="S609" s="24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</row>
    <row r="610" spans="1:33">
      <c r="A610" s="22"/>
      <c r="B610" s="22"/>
      <c r="C610" s="22"/>
      <c r="D610" s="22"/>
      <c r="E610" s="23"/>
      <c r="F610" s="22"/>
      <c r="G610" s="24"/>
      <c r="H610" s="22"/>
      <c r="I610" s="22"/>
      <c r="J610" s="24"/>
      <c r="K610" s="22"/>
      <c r="L610" s="25"/>
      <c r="M610" s="25"/>
      <c r="N610" s="22"/>
      <c r="O610" s="23"/>
      <c r="P610" s="22"/>
      <c r="Q610" s="22"/>
      <c r="R610" s="22"/>
      <c r="S610" s="24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</row>
    <row r="611" spans="1:33">
      <c r="A611" s="22"/>
      <c r="B611" s="22"/>
      <c r="C611" s="22"/>
      <c r="D611" s="22"/>
      <c r="E611" s="23"/>
      <c r="F611" s="22"/>
      <c r="G611" s="24"/>
      <c r="H611" s="22"/>
      <c r="I611" s="22"/>
      <c r="J611" s="24"/>
      <c r="K611" s="22"/>
      <c r="L611" s="25"/>
      <c r="M611" s="25"/>
      <c r="N611" s="24"/>
      <c r="O611" s="23"/>
      <c r="P611" s="24"/>
      <c r="Q611" s="22"/>
      <c r="R611" s="22"/>
      <c r="S611" s="24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</row>
    <row r="612" spans="1:33">
      <c r="A612" s="22"/>
      <c r="B612" s="22"/>
      <c r="C612" s="22"/>
      <c r="D612" s="22"/>
      <c r="E612" s="23"/>
      <c r="F612" s="22"/>
      <c r="G612" s="24"/>
      <c r="H612" s="22"/>
      <c r="I612" s="22"/>
      <c r="J612" s="24"/>
      <c r="K612" s="22"/>
      <c r="L612" s="25"/>
      <c r="M612" s="25"/>
      <c r="N612" s="24"/>
      <c r="O612" s="23"/>
      <c r="P612" s="24"/>
      <c r="Q612" s="22"/>
      <c r="R612" s="22"/>
      <c r="S612" s="24"/>
      <c r="T612" s="24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</row>
    <row r="613" spans="1:33">
      <c r="A613" s="22"/>
      <c r="B613" s="22"/>
      <c r="C613" s="22"/>
      <c r="D613" s="22"/>
      <c r="E613" s="23"/>
      <c r="F613" s="22"/>
      <c r="G613" s="24"/>
      <c r="H613" s="22"/>
      <c r="I613" s="22"/>
      <c r="J613" s="24"/>
      <c r="K613" s="22"/>
      <c r="L613" s="25"/>
      <c r="M613" s="25"/>
      <c r="N613" s="24"/>
      <c r="O613" s="23"/>
      <c r="P613" s="24"/>
      <c r="Q613" s="22"/>
      <c r="R613" s="22"/>
      <c r="S613" s="24"/>
      <c r="T613" s="24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</row>
    <row r="614" spans="1:33">
      <c r="A614" s="22"/>
      <c r="B614" s="22"/>
      <c r="C614" s="22"/>
      <c r="D614" s="22"/>
      <c r="E614" s="23"/>
      <c r="F614" s="22"/>
      <c r="G614" s="24"/>
      <c r="H614" s="22"/>
      <c r="I614" s="22"/>
      <c r="J614" s="24"/>
      <c r="K614" s="22"/>
      <c r="L614" s="25"/>
      <c r="M614" s="25"/>
      <c r="N614" s="24"/>
      <c r="O614" s="23"/>
      <c r="P614" s="24"/>
      <c r="Q614" s="22"/>
      <c r="R614" s="22"/>
      <c r="S614" s="24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</row>
    <row r="615" spans="1:33">
      <c r="A615" s="22"/>
      <c r="B615" s="22"/>
      <c r="C615" s="22"/>
      <c r="D615" s="22"/>
      <c r="E615" s="23"/>
      <c r="F615" s="22"/>
      <c r="G615" s="24"/>
      <c r="H615" s="22"/>
      <c r="I615" s="22"/>
      <c r="J615" s="24"/>
      <c r="K615" s="22"/>
      <c r="L615" s="25"/>
      <c r="M615" s="25"/>
      <c r="N615" s="24"/>
      <c r="O615" s="23"/>
      <c r="P615" s="24"/>
      <c r="Q615" s="22"/>
      <c r="R615" s="22"/>
      <c r="S615" s="24"/>
      <c r="T615" s="24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</row>
    <row r="616" spans="1:33">
      <c r="A616" s="22"/>
      <c r="B616" s="22"/>
      <c r="C616" s="22"/>
      <c r="D616" s="22"/>
      <c r="E616" s="23"/>
      <c r="F616" s="22"/>
      <c r="G616" s="24"/>
      <c r="H616" s="22"/>
      <c r="I616" s="22"/>
      <c r="J616" s="24"/>
      <c r="K616" s="22"/>
      <c r="L616" s="25"/>
      <c r="M616" s="25"/>
      <c r="N616" s="24"/>
      <c r="O616" s="23"/>
      <c r="P616" s="24"/>
      <c r="Q616" s="22"/>
      <c r="R616" s="22"/>
      <c r="S616" s="24"/>
      <c r="T616" s="24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</row>
    <row r="617" spans="1:33">
      <c r="A617" s="22"/>
      <c r="B617" s="22"/>
      <c r="C617" s="22"/>
      <c r="D617" s="22"/>
      <c r="E617" s="23"/>
      <c r="F617" s="22"/>
      <c r="G617" s="24"/>
      <c r="H617" s="22"/>
      <c r="I617" s="22"/>
      <c r="J617" s="24"/>
      <c r="K617" s="22"/>
      <c r="L617" s="25"/>
      <c r="M617" s="25"/>
      <c r="N617" s="24"/>
      <c r="O617" s="23"/>
      <c r="P617" s="24"/>
      <c r="Q617" s="22"/>
      <c r="R617" s="22"/>
      <c r="S617" s="24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</row>
    <row r="618" spans="1:33">
      <c r="A618" s="22"/>
      <c r="B618" s="22"/>
      <c r="C618" s="22"/>
      <c r="D618" s="22"/>
      <c r="E618" s="23"/>
      <c r="F618" s="22"/>
      <c r="G618" s="24"/>
      <c r="H618" s="22"/>
      <c r="I618" s="22"/>
      <c r="J618" s="24"/>
      <c r="K618" s="22"/>
      <c r="L618" s="25"/>
      <c r="M618" s="25"/>
      <c r="N618" s="24"/>
      <c r="O618" s="23"/>
      <c r="P618" s="24"/>
      <c r="Q618" s="22"/>
      <c r="R618" s="22"/>
      <c r="S618" s="24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</row>
    <row r="619" spans="1:33">
      <c r="A619" s="22"/>
      <c r="B619" s="22"/>
      <c r="C619" s="22"/>
      <c r="D619" s="22"/>
      <c r="E619" s="23"/>
      <c r="F619" s="22"/>
      <c r="G619" s="24"/>
      <c r="H619" s="22"/>
      <c r="I619" s="22"/>
      <c r="J619" s="24"/>
      <c r="K619" s="22"/>
      <c r="L619" s="25"/>
      <c r="M619" s="25"/>
      <c r="N619" s="24"/>
      <c r="O619" s="23"/>
      <c r="P619" s="24"/>
      <c r="Q619" s="22"/>
      <c r="R619" s="22"/>
      <c r="S619" s="24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</row>
    <row r="620" spans="1:33">
      <c r="A620" s="22"/>
      <c r="B620" s="22"/>
      <c r="C620" s="22"/>
      <c r="D620" s="22"/>
      <c r="E620" s="23"/>
      <c r="F620" s="22"/>
      <c r="G620" s="24"/>
      <c r="H620" s="22"/>
      <c r="I620" s="22"/>
      <c r="J620" s="24"/>
      <c r="K620" s="22"/>
      <c r="L620" s="25"/>
      <c r="M620" s="25"/>
      <c r="N620" s="24"/>
      <c r="O620" s="23"/>
      <c r="P620" s="24"/>
      <c r="Q620" s="22"/>
      <c r="R620" s="22"/>
      <c r="S620" s="24"/>
      <c r="T620" s="24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</row>
    <row r="621" spans="1:33">
      <c r="A621" s="22"/>
      <c r="B621" s="22"/>
      <c r="C621" s="22"/>
      <c r="D621" s="22"/>
      <c r="E621" s="23"/>
      <c r="F621" s="22"/>
      <c r="G621" s="24"/>
      <c r="H621" s="22"/>
      <c r="I621" s="22"/>
      <c r="J621" s="24"/>
      <c r="K621" s="22"/>
      <c r="L621" s="26"/>
      <c r="M621" s="25"/>
      <c r="N621" s="22"/>
      <c r="O621" s="23"/>
      <c r="P621" s="22"/>
      <c r="Q621" s="22"/>
      <c r="R621" s="22"/>
      <c r="S621" s="24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</row>
    <row r="622" spans="1:33">
      <c r="A622" s="22"/>
      <c r="B622" s="22"/>
      <c r="C622" s="22"/>
      <c r="D622" s="22"/>
      <c r="E622" s="23"/>
      <c r="F622" s="22"/>
      <c r="G622" s="24"/>
      <c r="H622" s="22"/>
      <c r="I622" s="22"/>
      <c r="J622" s="24"/>
      <c r="K622" s="22"/>
      <c r="L622" s="26"/>
      <c r="M622" s="25"/>
      <c r="N622" s="24"/>
      <c r="O622" s="23"/>
      <c r="P622" s="24"/>
      <c r="Q622" s="22"/>
      <c r="R622" s="22"/>
      <c r="S622" s="24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</row>
    <row r="623" spans="1:33">
      <c r="A623" s="22"/>
      <c r="B623" s="22"/>
      <c r="C623" s="22"/>
      <c r="D623" s="22"/>
      <c r="E623" s="23"/>
      <c r="F623" s="22"/>
      <c r="G623" s="24"/>
      <c r="H623" s="22"/>
      <c r="I623" s="22"/>
      <c r="J623" s="24"/>
      <c r="K623" s="22"/>
      <c r="L623" s="25"/>
      <c r="M623" s="25"/>
      <c r="N623" s="24"/>
      <c r="O623" s="23"/>
      <c r="P623" s="24"/>
      <c r="Q623" s="22"/>
      <c r="R623" s="22"/>
      <c r="S623" s="24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</row>
    <row r="624" spans="1:33">
      <c r="A624" s="22"/>
      <c r="B624" s="22"/>
      <c r="C624" s="22"/>
      <c r="D624" s="22"/>
      <c r="E624" s="23"/>
      <c r="F624" s="22"/>
      <c r="G624" s="24"/>
      <c r="H624" s="22"/>
      <c r="I624" s="22"/>
      <c r="J624" s="24"/>
      <c r="K624" s="22"/>
      <c r="L624" s="26"/>
      <c r="M624" s="25"/>
      <c r="N624" s="22"/>
      <c r="O624" s="23"/>
      <c r="P624" s="24"/>
      <c r="Q624" s="22"/>
      <c r="R624" s="22"/>
      <c r="S624" s="24"/>
      <c r="T624" s="24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</row>
    <row r="625" spans="1:33">
      <c r="A625" s="22"/>
      <c r="B625" s="22"/>
      <c r="C625" s="22"/>
      <c r="D625" s="22"/>
      <c r="E625" s="23"/>
      <c r="F625" s="22"/>
      <c r="G625" s="24"/>
      <c r="H625" s="22"/>
      <c r="I625" s="22"/>
      <c r="J625" s="24"/>
      <c r="K625" s="22"/>
      <c r="L625" s="25"/>
      <c r="M625" s="25"/>
      <c r="N625" s="22"/>
      <c r="O625" s="23"/>
      <c r="P625" s="22"/>
      <c r="Q625" s="22"/>
      <c r="R625" s="22"/>
      <c r="S625" s="24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</row>
    <row r="626" spans="1:33">
      <c r="A626" s="22"/>
      <c r="B626" s="22"/>
      <c r="C626" s="22"/>
      <c r="D626" s="22"/>
      <c r="E626" s="23"/>
      <c r="F626" s="22"/>
      <c r="G626" s="24"/>
      <c r="H626" s="22"/>
      <c r="I626" s="22"/>
      <c r="J626" s="24"/>
      <c r="K626" s="22"/>
      <c r="L626" s="25"/>
      <c r="M626" s="25"/>
      <c r="N626" s="24"/>
      <c r="O626" s="23"/>
      <c r="P626" s="24"/>
      <c r="Q626" s="22"/>
      <c r="R626" s="22"/>
      <c r="S626" s="24"/>
      <c r="T626" s="24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</row>
    <row r="627" spans="1:33">
      <c r="A627" s="22"/>
      <c r="B627" s="22"/>
      <c r="C627" s="22"/>
      <c r="D627" s="22"/>
      <c r="E627" s="23"/>
      <c r="F627" s="22"/>
      <c r="G627" s="24"/>
      <c r="H627" s="22"/>
      <c r="I627" s="22"/>
      <c r="J627" s="24"/>
      <c r="K627" s="22"/>
      <c r="L627" s="25"/>
      <c r="M627" s="25"/>
      <c r="N627" s="24"/>
      <c r="O627" s="23"/>
      <c r="P627" s="24"/>
      <c r="Q627" s="22"/>
      <c r="R627" s="22"/>
      <c r="S627" s="24"/>
      <c r="T627" s="24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</row>
    <row r="628" spans="1:33">
      <c r="A628" s="22"/>
      <c r="B628" s="22"/>
      <c r="C628" s="22"/>
      <c r="D628" s="22"/>
      <c r="E628" s="23"/>
      <c r="F628" s="22"/>
      <c r="G628" s="24"/>
      <c r="H628" s="22"/>
      <c r="I628" s="22"/>
      <c r="J628" s="24"/>
      <c r="K628" s="22"/>
      <c r="L628" s="25"/>
      <c r="M628" s="25"/>
      <c r="N628" s="24"/>
      <c r="O628" s="23"/>
      <c r="P628" s="24"/>
      <c r="Q628" s="22"/>
      <c r="R628" s="22"/>
      <c r="S628" s="24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</row>
    <row r="629" spans="1:33">
      <c r="A629" s="22"/>
      <c r="B629" s="22"/>
      <c r="C629" s="22"/>
      <c r="D629" s="22"/>
      <c r="E629" s="23"/>
      <c r="F629" s="22"/>
      <c r="G629" s="24"/>
      <c r="H629" s="22"/>
      <c r="I629" s="22"/>
      <c r="J629" s="24"/>
      <c r="K629" s="22"/>
      <c r="L629" s="25"/>
      <c r="M629" s="25"/>
      <c r="N629" s="24"/>
      <c r="O629" s="23"/>
      <c r="P629" s="24"/>
      <c r="Q629" s="22"/>
      <c r="R629" s="22"/>
      <c r="S629" s="24"/>
      <c r="T629" s="24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</row>
    <row r="630" spans="1:33">
      <c r="A630" s="22"/>
      <c r="B630" s="22"/>
      <c r="C630" s="22"/>
      <c r="D630" s="22"/>
      <c r="E630" s="23"/>
      <c r="F630" s="22"/>
      <c r="G630" s="24"/>
      <c r="H630" s="22"/>
      <c r="I630" s="22"/>
      <c r="J630" s="24"/>
      <c r="K630" s="22"/>
      <c r="L630" s="25"/>
      <c r="M630" s="25"/>
      <c r="N630" s="24"/>
      <c r="O630" s="23"/>
      <c r="P630" s="24"/>
      <c r="Q630" s="22"/>
      <c r="R630" s="22"/>
      <c r="S630" s="24"/>
      <c r="T630" s="24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</row>
    <row r="631" spans="1:33">
      <c r="A631" s="22"/>
      <c r="B631" s="22"/>
      <c r="C631" s="22"/>
      <c r="D631" s="22"/>
      <c r="E631" s="23"/>
      <c r="F631" s="22"/>
      <c r="G631" s="24"/>
      <c r="H631" s="22"/>
      <c r="I631" s="22"/>
      <c r="J631" s="24"/>
      <c r="K631" s="22"/>
      <c r="L631" s="25"/>
      <c r="M631" s="25"/>
      <c r="N631" s="24"/>
      <c r="O631" s="23"/>
      <c r="P631" s="24"/>
      <c r="Q631" s="22"/>
      <c r="R631" s="22"/>
      <c r="S631" s="24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</row>
    <row r="632" spans="1:33">
      <c r="A632" s="22"/>
      <c r="B632" s="22"/>
      <c r="C632" s="22"/>
      <c r="D632" s="22"/>
      <c r="E632" s="23"/>
      <c r="F632" s="22"/>
      <c r="G632" s="24"/>
      <c r="H632" s="22"/>
      <c r="I632" s="22"/>
      <c r="J632" s="24"/>
      <c r="K632" s="22"/>
      <c r="L632" s="25"/>
      <c r="M632" s="25"/>
      <c r="N632" s="24"/>
      <c r="O632" s="23"/>
      <c r="P632" s="24"/>
      <c r="Q632" s="22"/>
      <c r="R632" s="22"/>
      <c r="S632" s="24"/>
      <c r="T632" s="24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</row>
    <row r="633" spans="1:33">
      <c r="A633" s="22"/>
      <c r="B633" s="22"/>
      <c r="C633" s="22"/>
      <c r="D633" s="22"/>
      <c r="E633" s="23"/>
      <c r="F633" s="22"/>
      <c r="G633" s="24"/>
      <c r="H633" s="22"/>
      <c r="I633" s="22"/>
      <c r="J633" s="24"/>
      <c r="K633" s="22"/>
      <c r="L633" s="25"/>
      <c r="M633" s="25"/>
      <c r="N633" s="24"/>
      <c r="O633" s="23"/>
      <c r="P633" s="24"/>
      <c r="Q633" s="22"/>
      <c r="R633" s="22"/>
      <c r="S633" s="24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</row>
    <row r="634" spans="1:33">
      <c r="A634" s="22"/>
      <c r="B634" s="22"/>
      <c r="C634" s="22"/>
      <c r="D634" s="22"/>
      <c r="E634" s="23"/>
      <c r="F634" s="22"/>
      <c r="G634" s="24"/>
      <c r="H634" s="22"/>
      <c r="I634" s="22"/>
      <c r="J634" s="24"/>
      <c r="K634" s="22"/>
      <c r="L634" s="25"/>
      <c r="M634" s="25"/>
      <c r="N634" s="24"/>
      <c r="O634" s="23"/>
      <c r="P634" s="24"/>
      <c r="Q634" s="22"/>
      <c r="R634" s="22"/>
      <c r="S634" s="24"/>
      <c r="T634" s="24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</row>
    <row r="635" spans="1:33">
      <c r="A635" s="22"/>
      <c r="B635" s="22"/>
      <c r="C635" s="22"/>
      <c r="D635" s="22"/>
      <c r="E635" s="23"/>
      <c r="F635" s="22"/>
      <c r="G635" s="24"/>
      <c r="H635" s="22"/>
      <c r="I635" s="22"/>
      <c r="J635" s="24"/>
      <c r="K635" s="22"/>
      <c r="L635" s="25"/>
      <c r="M635" s="25"/>
      <c r="N635" s="24"/>
      <c r="O635" s="23"/>
      <c r="P635" s="24"/>
      <c r="Q635" s="22"/>
      <c r="R635" s="22"/>
      <c r="S635" s="24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</row>
    <row r="636" spans="1:33">
      <c r="A636" s="22"/>
      <c r="B636" s="22"/>
      <c r="C636" s="22"/>
      <c r="D636" s="22"/>
      <c r="E636" s="23"/>
      <c r="F636" s="22"/>
      <c r="G636" s="24"/>
      <c r="H636" s="22"/>
      <c r="I636" s="22"/>
      <c r="J636" s="24"/>
      <c r="K636" s="22"/>
      <c r="L636" s="26"/>
      <c r="M636" s="25"/>
      <c r="N636" s="22"/>
      <c r="O636" s="23"/>
      <c r="P636" s="22"/>
      <c r="Q636" s="22"/>
      <c r="R636" s="22"/>
      <c r="S636" s="24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</row>
    <row r="637" spans="1:33">
      <c r="A637" s="22"/>
      <c r="B637" s="22"/>
      <c r="C637" s="22"/>
      <c r="D637" s="22"/>
      <c r="E637" s="23"/>
      <c r="F637" s="22"/>
      <c r="G637" s="24"/>
      <c r="H637" s="22"/>
      <c r="I637" s="22"/>
      <c r="J637" s="24"/>
      <c r="K637" s="22"/>
      <c r="L637" s="26"/>
      <c r="M637" s="25"/>
      <c r="N637" s="22"/>
      <c r="O637" s="23"/>
      <c r="P637" s="22"/>
      <c r="Q637" s="22"/>
      <c r="R637" s="22"/>
      <c r="S637" s="24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</row>
    <row r="638" spans="1:33">
      <c r="A638" s="22"/>
      <c r="B638" s="22"/>
      <c r="C638" s="22"/>
      <c r="D638" s="22"/>
      <c r="E638" s="23"/>
      <c r="F638" s="22"/>
      <c r="G638" s="24"/>
      <c r="H638" s="22"/>
      <c r="I638" s="22"/>
      <c r="J638" s="24"/>
      <c r="K638" s="22"/>
      <c r="L638" s="26"/>
      <c r="M638" s="25"/>
      <c r="N638" s="22"/>
      <c r="O638" s="23"/>
      <c r="P638" s="22"/>
      <c r="Q638" s="22"/>
      <c r="R638" s="22"/>
      <c r="S638" s="24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</row>
    <row r="639" spans="1:33">
      <c r="A639" s="22"/>
      <c r="B639" s="22"/>
      <c r="C639" s="22"/>
      <c r="D639" s="22"/>
      <c r="E639" s="23"/>
      <c r="F639" s="22"/>
      <c r="G639" s="24"/>
      <c r="H639" s="22"/>
      <c r="I639" s="22"/>
      <c r="J639" s="24"/>
      <c r="K639" s="22"/>
      <c r="L639" s="25"/>
      <c r="M639" s="25"/>
      <c r="N639" s="22"/>
      <c r="O639" s="23"/>
      <c r="P639" s="22"/>
      <c r="Q639" s="22"/>
      <c r="R639" s="22"/>
      <c r="S639" s="24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</row>
    <row r="640" spans="1:33">
      <c r="A640" s="22"/>
      <c r="B640" s="22"/>
      <c r="C640" s="22"/>
      <c r="D640" s="22"/>
      <c r="E640" s="23"/>
      <c r="F640" s="22"/>
      <c r="G640" s="24"/>
      <c r="H640" s="22"/>
      <c r="I640" s="22"/>
      <c r="J640" s="24"/>
      <c r="K640" s="22"/>
      <c r="L640" s="25"/>
      <c r="M640" s="25"/>
      <c r="N640" s="24"/>
      <c r="O640" s="23"/>
      <c r="P640" s="24"/>
      <c r="Q640" s="22"/>
      <c r="R640" s="22"/>
      <c r="S640" s="24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</row>
    <row r="641" spans="1:33">
      <c r="A641" s="22"/>
      <c r="B641" s="22"/>
      <c r="C641" s="22"/>
      <c r="D641" s="22"/>
      <c r="E641" s="23"/>
      <c r="F641" s="22"/>
      <c r="G641" s="24"/>
      <c r="H641" s="22"/>
      <c r="I641" s="22"/>
      <c r="J641" s="24"/>
      <c r="K641" s="22"/>
      <c r="L641" s="25"/>
      <c r="M641" s="25"/>
      <c r="N641" s="24"/>
      <c r="O641" s="23"/>
      <c r="P641" s="24"/>
      <c r="Q641" s="22"/>
      <c r="R641" s="22"/>
      <c r="S641" s="24"/>
      <c r="T641" s="24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</row>
    <row r="642" spans="1:33">
      <c r="A642" s="22"/>
      <c r="B642" s="22"/>
      <c r="C642" s="22"/>
      <c r="D642" s="22"/>
      <c r="E642" s="23"/>
      <c r="F642" s="22"/>
      <c r="G642" s="24"/>
      <c r="H642" s="22"/>
      <c r="I642" s="22"/>
      <c r="J642" s="24"/>
      <c r="K642" s="22"/>
      <c r="L642" s="25"/>
      <c r="M642" s="25"/>
      <c r="N642" s="24"/>
      <c r="O642" s="23"/>
      <c r="P642" s="24"/>
      <c r="Q642" s="22"/>
      <c r="R642" s="22"/>
      <c r="S642" s="24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</row>
    <row r="643" spans="1:33">
      <c r="A643" s="22"/>
      <c r="B643" s="22"/>
      <c r="C643" s="22"/>
      <c r="D643" s="22"/>
      <c r="E643" s="23"/>
      <c r="F643" s="22"/>
      <c r="G643" s="24"/>
      <c r="H643" s="22"/>
      <c r="I643" s="22"/>
      <c r="J643" s="24"/>
      <c r="K643" s="22"/>
      <c r="L643" s="25"/>
      <c r="M643" s="25"/>
      <c r="N643" s="24"/>
      <c r="O643" s="23"/>
      <c r="P643" s="24"/>
      <c r="Q643" s="22"/>
      <c r="R643" s="22"/>
      <c r="S643" s="24"/>
      <c r="T643" s="24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</row>
    <row r="644" spans="1:33">
      <c r="A644" s="22"/>
      <c r="B644" s="22"/>
      <c r="C644" s="22"/>
      <c r="D644" s="22"/>
      <c r="E644" s="23"/>
      <c r="F644" s="22"/>
      <c r="G644" s="24"/>
      <c r="H644" s="22"/>
      <c r="I644" s="22"/>
      <c r="J644" s="24"/>
      <c r="K644" s="22"/>
      <c r="L644" s="25"/>
      <c r="M644" s="25"/>
      <c r="N644" s="24"/>
      <c r="O644" s="23"/>
      <c r="P644" s="24"/>
      <c r="Q644" s="22"/>
      <c r="R644" s="22"/>
      <c r="S644" s="24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</row>
    <row r="645" spans="1:33">
      <c r="A645" s="22"/>
      <c r="B645" s="22"/>
      <c r="C645" s="22"/>
      <c r="D645" s="22"/>
      <c r="E645" s="23"/>
      <c r="F645" s="22"/>
      <c r="G645" s="24"/>
      <c r="H645" s="22"/>
      <c r="I645" s="22"/>
      <c r="J645" s="24"/>
      <c r="K645" s="22"/>
      <c r="L645" s="25"/>
      <c r="M645" s="25"/>
      <c r="N645" s="24"/>
      <c r="O645" s="23"/>
      <c r="P645" s="24"/>
      <c r="Q645" s="22"/>
      <c r="R645" s="22"/>
      <c r="S645" s="24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</row>
    <row r="646" spans="1:33">
      <c r="A646" s="22"/>
      <c r="B646" s="22"/>
      <c r="C646" s="22"/>
      <c r="D646" s="22"/>
      <c r="E646" s="23"/>
      <c r="F646" s="22"/>
      <c r="G646" s="24"/>
      <c r="H646" s="22"/>
      <c r="I646" s="22"/>
      <c r="J646" s="24"/>
      <c r="K646" s="22"/>
      <c r="L646" s="25"/>
      <c r="M646" s="25"/>
      <c r="N646" s="24"/>
      <c r="O646" s="23"/>
      <c r="P646" s="24"/>
      <c r="Q646" s="22"/>
      <c r="R646" s="22"/>
      <c r="S646" s="24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</row>
    <row r="647" spans="1:33">
      <c r="A647" s="22"/>
      <c r="B647" s="22"/>
      <c r="C647" s="22"/>
      <c r="D647" s="22"/>
      <c r="E647" s="23"/>
      <c r="F647" s="22"/>
      <c r="G647" s="24"/>
      <c r="H647" s="22"/>
      <c r="I647" s="22"/>
      <c r="J647" s="24"/>
      <c r="K647" s="22"/>
      <c r="L647" s="25"/>
      <c r="M647" s="25"/>
      <c r="N647" s="24"/>
      <c r="O647" s="23"/>
      <c r="P647" s="24"/>
      <c r="Q647" s="22"/>
      <c r="R647" s="22"/>
      <c r="S647" s="24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</row>
    <row r="648" spans="1:33">
      <c r="A648" s="22"/>
      <c r="B648" s="22"/>
      <c r="C648" s="22"/>
      <c r="D648" s="22"/>
      <c r="E648" s="23"/>
      <c r="F648" s="22"/>
      <c r="G648" s="24"/>
      <c r="H648" s="22"/>
      <c r="I648" s="22"/>
      <c r="J648" s="24"/>
      <c r="K648" s="22"/>
      <c r="L648" s="25"/>
      <c r="M648" s="25"/>
      <c r="N648" s="24"/>
      <c r="O648" s="23"/>
      <c r="P648" s="24"/>
      <c r="Q648" s="22"/>
      <c r="R648" s="22"/>
      <c r="S648" s="24"/>
      <c r="T648" s="24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</row>
    <row r="649" spans="1:33">
      <c r="A649" s="22"/>
      <c r="B649" s="22"/>
      <c r="C649" s="22"/>
      <c r="D649" s="22"/>
      <c r="E649" s="23"/>
      <c r="F649" s="22"/>
      <c r="G649" s="24"/>
      <c r="H649" s="22"/>
      <c r="I649" s="22"/>
      <c r="J649" s="24"/>
      <c r="K649" s="22"/>
      <c r="L649" s="25"/>
      <c r="M649" s="25"/>
      <c r="N649" s="22"/>
      <c r="O649" s="23"/>
      <c r="P649" s="22"/>
      <c r="Q649" s="22"/>
      <c r="R649" s="22"/>
      <c r="S649" s="24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</row>
    <row r="650" spans="1:33">
      <c r="A650" s="22"/>
      <c r="B650" s="22"/>
      <c r="C650" s="22"/>
      <c r="D650" s="22"/>
      <c r="E650" s="23"/>
      <c r="F650" s="22"/>
      <c r="G650" s="24"/>
      <c r="H650" s="22"/>
      <c r="I650" s="22"/>
      <c r="J650" s="24"/>
      <c r="K650" s="22"/>
      <c r="L650" s="25"/>
      <c r="M650" s="25"/>
      <c r="N650" s="22"/>
      <c r="O650" s="23"/>
      <c r="P650" s="22"/>
      <c r="Q650" s="22"/>
      <c r="R650" s="22"/>
      <c r="S650" s="24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</row>
    <row r="651" spans="1:33">
      <c r="A651" s="22"/>
      <c r="B651" s="22"/>
      <c r="C651" s="22"/>
      <c r="D651" s="22"/>
      <c r="E651" s="23"/>
      <c r="F651" s="22"/>
      <c r="G651" s="24"/>
      <c r="H651" s="22"/>
      <c r="I651" s="22"/>
      <c r="J651" s="24"/>
      <c r="K651" s="22"/>
      <c r="L651" s="25"/>
      <c r="M651" s="25"/>
      <c r="N651" s="24"/>
      <c r="O651" s="23"/>
      <c r="P651" s="24"/>
      <c r="Q651" s="22"/>
      <c r="R651" s="22"/>
      <c r="S651" s="24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</row>
    <row r="652" spans="1:33">
      <c r="A652" s="22"/>
      <c r="B652" s="22"/>
      <c r="C652" s="22"/>
      <c r="D652" s="22"/>
      <c r="E652" s="23"/>
      <c r="F652" s="22"/>
      <c r="G652" s="24"/>
      <c r="H652" s="22"/>
      <c r="I652" s="22"/>
      <c r="J652" s="24"/>
      <c r="K652" s="22"/>
      <c r="L652" s="25"/>
      <c r="M652" s="25"/>
      <c r="N652" s="24"/>
      <c r="O652" s="23"/>
      <c r="P652" s="24"/>
      <c r="Q652" s="22"/>
      <c r="R652" s="22"/>
      <c r="S652" s="24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</row>
    <row r="653" spans="1:33">
      <c r="A653" s="22"/>
      <c r="B653" s="22"/>
      <c r="C653" s="22"/>
      <c r="D653" s="22"/>
      <c r="E653" s="23"/>
      <c r="F653" s="22"/>
      <c r="G653" s="24"/>
      <c r="H653" s="22"/>
      <c r="I653" s="22"/>
      <c r="J653" s="24"/>
      <c r="K653" s="22"/>
      <c r="L653" s="26"/>
      <c r="M653" s="25"/>
      <c r="N653" s="24"/>
      <c r="O653" s="23"/>
      <c r="P653" s="24"/>
      <c r="Q653" s="22"/>
      <c r="R653" s="22"/>
      <c r="S653" s="24"/>
      <c r="T653" s="24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</row>
    <row r="654" spans="1:33">
      <c r="A654" s="22"/>
      <c r="B654" s="22"/>
      <c r="C654" s="22"/>
      <c r="D654" s="22"/>
      <c r="E654" s="23"/>
      <c r="F654" s="22"/>
      <c r="G654" s="24"/>
      <c r="H654" s="22"/>
      <c r="I654" s="22"/>
      <c r="J654" s="24"/>
      <c r="K654" s="22"/>
      <c r="L654" s="25"/>
      <c r="M654" s="25"/>
      <c r="N654" s="24"/>
      <c r="O654" s="23"/>
      <c r="P654" s="24"/>
      <c r="Q654" s="22"/>
      <c r="R654" s="22"/>
      <c r="S654" s="24"/>
      <c r="T654" s="24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</row>
    <row r="655" spans="1:33">
      <c r="A655" s="22"/>
      <c r="B655" s="22"/>
      <c r="C655" s="22"/>
      <c r="D655" s="22"/>
      <c r="E655" s="23"/>
      <c r="F655" s="22"/>
      <c r="G655" s="24"/>
      <c r="H655" s="22"/>
      <c r="I655" s="22"/>
      <c r="J655" s="24"/>
      <c r="K655" s="22"/>
      <c r="L655" s="26"/>
      <c r="M655" s="25"/>
      <c r="N655" s="24"/>
      <c r="O655" s="23"/>
      <c r="P655" s="24"/>
      <c r="Q655" s="22"/>
      <c r="R655" s="22"/>
      <c r="S655" s="24"/>
      <c r="T655" s="24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</row>
    <row r="656" spans="1:33">
      <c r="A656" s="22"/>
      <c r="B656" s="22"/>
      <c r="C656" s="22"/>
      <c r="D656" s="22"/>
      <c r="E656" s="23"/>
      <c r="F656" s="22"/>
      <c r="G656" s="24"/>
      <c r="H656" s="22"/>
      <c r="I656" s="22"/>
      <c r="J656" s="24"/>
      <c r="K656" s="22"/>
      <c r="L656" s="26"/>
      <c r="M656" s="25"/>
      <c r="N656" s="24"/>
      <c r="O656" s="23"/>
      <c r="P656" s="24"/>
      <c r="Q656" s="22"/>
      <c r="R656" s="22"/>
      <c r="S656" s="24"/>
      <c r="T656" s="24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</row>
    <row r="657" spans="1:33">
      <c r="A657" s="22"/>
      <c r="B657" s="22"/>
      <c r="C657" s="22"/>
      <c r="D657" s="22"/>
      <c r="E657" s="23"/>
      <c r="F657" s="22"/>
      <c r="G657" s="24"/>
      <c r="H657" s="22"/>
      <c r="I657" s="22"/>
      <c r="J657" s="24"/>
      <c r="K657" s="22"/>
      <c r="L657" s="26"/>
      <c r="M657" s="25"/>
      <c r="N657" s="22"/>
      <c r="O657" s="23"/>
      <c r="P657" s="22"/>
      <c r="Q657" s="22"/>
      <c r="R657" s="22"/>
      <c r="S657" s="24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</row>
    <row r="658" spans="1:33">
      <c r="A658" s="22"/>
      <c r="B658" s="22"/>
      <c r="C658" s="22"/>
      <c r="D658" s="22"/>
      <c r="E658" s="23"/>
      <c r="F658" s="22"/>
      <c r="G658" s="24"/>
      <c r="H658" s="22"/>
      <c r="I658" s="22"/>
      <c r="J658" s="24"/>
      <c r="K658" s="22"/>
      <c r="L658" s="25"/>
      <c r="M658" s="25"/>
      <c r="N658" s="24"/>
      <c r="O658" s="23"/>
      <c r="P658" s="24"/>
      <c r="Q658" s="22"/>
      <c r="R658" s="22"/>
      <c r="S658" s="24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</row>
    <row r="659" spans="1:33">
      <c r="A659" s="22"/>
      <c r="B659" s="22"/>
      <c r="C659" s="22"/>
      <c r="D659" s="22"/>
      <c r="E659" s="23"/>
      <c r="F659" s="22"/>
      <c r="G659" s="24"/>
      <c r="H659" s="22"/>
      <c r="I659" s="22"/>
      <c r="J659" s="24"/>
      <c r="K659" s="22"/>
      <c r="L659" s="25"/>
      <c r="M659" s="25"/>
      <c r="N659" s="24"/>
      <c r="O659" s="23"/>
      <c r="P659" s="24"/>
      <c r="Q659" s="22"/>
      <c r="R659" s="22"/>
      <c r="S659" s="24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</row>
    <row r="660" spans="1:33">
      <c r="A660" s="22"/>
      <c r="B660" s="22"/>
      <c r="C660" s="22"/>
      <c r="D660" s="22"/>
      <c r="E660" s="23"/>
      <c r="F660" s="22"/>
      <c r="G660" s="24"/>
      <c r="H660" s="22"/>
      <c r="I660" s="22"/>
      <c r="J660" s="24"/>
      <c r="K660" s="22"/>
      <c r="L660" s="25"/>
      <c r="M660" s="25"/>
      <c r="N660" s="24"/>
      <c r="O660" s="23"/>
      <c r="P660" s="24"/>
      <c r="Q660" s="22"/>
      <c r="R660" s="22"/>
      <c r="S660" s="24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</row>
    <row r="661" spans="1:33">
      <c r="A661" s="22"/>
      <c r="B661" s="22"/>
      <c r="C661" s="22"/>
      <c r="D661" s="22"/>
      <c r="E661" s="23"/>
      <c r="F661" s="22"/>
      <c r="G661" s="24"/>
      <c r="H661" s="22"/>
      <c r="I661" s="22"/>
      <c r="J661" s="24"/>
      <c r="K661" s="22"/>
      <c r="L661" s="25"/>
      <c r="M661" s="25"/>
      <c r="N661" s="24"/>
      <c r="O661" s="23"/>
      <c r="P661" s="24"/>
      <c r="Q661" s="22"/>
      <c r="R661" s="22"/>
      <c r="S661" s="24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</row>
    <row r="662" spans="1:33">
      <c r="A662" s="22"/>
      <c r="B662" s="22"/>
      <c r="C662" s="22"/>
      <c r="D662" s="22"/>
      <c r="E662" s="23"/>
      <c r="F662" s="22"/>
      <c r="G662" s="24"/>
      <c r="H662" s="22"/>
      <c r="I662" s="22"/>
      <c r="J662" s="24"/>
      <c r="K662" s="22"/>
      <c r="L662" s="25"/>
      <c r="M662" s="25"/>
      <c r="N662" s="24"/>
      <c r="O662" s="23"/>
      <c r="P662" s="24"/>
      <c r="Q662" s="22"/>
      <c r="R662" s="22"/>
      <c r="S662" s="24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</row>
    <row r="663" spans="1:33">
      <c r="A663" s="22"/>
      <c r="B663" s="22"/>
      <c r="C663" s="22"/>
      <c r="D663" s="22"/>
      <c r="E663" s="23"/>
      <c r="F663" s="22"/>
      <c r="G663" s="24"/>
      <c r="H663" s="22"/>
      <c r="I663" s="22"/>
      <c r="J663" s="24"/>
      <c r="K663" s="22"/>
      <c r="L663" s="25"/>
      <c r="M663" s="25"/>
      <c r="N663" s="24"/>
      <c r="O663" s="23"/>
      <c r="P663" s="24"/>
      <c r="Q663" s="22"/>
      <c r="R663" s="22"/>
      <c r="S663" s="24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</row>
    <row r="664" spans="1:33">
      <c r="A664" s="22"/>
      <c r="B664" s="22"/>
      <c r="C664" s="22"/>
      <c r="D664" s="22"/>
      <c r="E664" s="23"/>
      <c r="F664" s="22"/>
      <c r="G664" s="24"/>
      <c r="H664" s="22"/>
      <c r="I664" s="22"/>
      <c r="J664" s="24"/>
      <c r="K664" s="22"/>
      <c r="L664" s="25"/>
      <c r="M664" s="25"/>
      <c r="N664" s="24"/>
      <c r="O664" s="23"/>
      <c r="P664" s="24"/>
      <c r="Q664" s="22"/>
      <c r="R664" s="22"/>
      <c r="S664" s="24"/>
      <c r="T664" s="24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</row>
    <row r="665" spans="1:33">
      <c r="A665" s="22"/>
      <c r="B665" s="22"/>
      <c r="C665" s="22"/>
      <c r="D665" s="22"/>
      <c r="E665" s="23"/>
      <c r="F665" s="22"/>
      <c r="G665" s="24"/>
      <c r="H665" s="22"/>
      <c r="I665" s="22"/>
      <c r="J665" s="24"/>
      <c r="K665" s="22"/>
      <c r="L665" s="25"/>
      <c r="M665" s="25"/>
      <c r="N665" s="24"/>
      <c r="O665" s="23"/>
      <c r="P665" s="24"/>
      <c r="Q665" s="22"/>
      <c r="R665" s="22"/>
      <c r="S665" s="24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</row>
    <row r="666" spans="1:33">
      <c r="A666" s="22"/>
      <c r="B666" s="22"/>
      <c r="C666" s="22"/>
      <c r="D666" s="22"/>
      <c r="E666" s="23"/>
      <c r="F666" s="22"/>
      <c r="G666" s="24"/>
      <c r="H666" s="22"/>
      <c r="I666" s="22"/>
      <c r="J666" s="24"/>
      <c r="K666" s="22"/>
      <c r="L666" s="25"/>
      <c r="M666" s="25"/>
      <c r="N666" s="24"/>
      <c r="O666" s="23"/>
      <c r="P666" s="24"/>
      <c r="Q666" s="22"/>
      <c r="R666" s="22"/>
      <c r="S666" s="24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</row>
    <row r="667" spans="1:33">
      <c r="A667" s="22"/>
      <c r="B667" s="22"/>
      <c r="C667" s="22"/>
      <c r="D667" s="22"/>
      <c r="E667" s="23"/>
      <c r="F667" s="22"/>
      <c r="G667" s="24"/>
      <c r="H667" s="22"/>
      <c r="I667" s="22"/>
      <c r="J667" s="24"/>
      <c r="K667" s="22"/>
      <c r="L667" s="25"/>
      <c r="M667" s="25"/>
      <c r="N667" s="24"/>
      <c r="O667" s="23"/>
      <c r="P667" s="24"/>
      <c r="Q667" s="22"/>
      <c r="R667" s="22"/>
      <c r="S667" s="24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</row>
    <row r="668" spans="1:33">
      <c r="A668" s="22"/>
      <c r="B668" s="22"/>
      <c r="C668" s="22"/>
      <c r="D668" s="22"/>
      <c r="E668" s="23"/>
      <c r="F668" s="22"/>
      <c r="G668" s="24"/>
      <c r="H668" s="22"/>
      <c r="I668" s="22"/>
      <c r="J668" s="24"/>
      <c r="K668" s="22"/>
      <c r="L668" s="25"/>
      <c r="M668" s="25"/>
      <c r="N668" s="24"/>
      <c r="O668" s="23"/>
      <c r="P668" s="24"/>
      <c r="Q668" s="22"/>
      <c r="R668" s="22"/>
      <c r="S668" s="24"/>
      <c r="T668" s="24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</row>
    <row r="669" spans="1:33">
      <c r="A669" s="22"/>
      <c r="B669" s="22"/>
      <c r="C669" s="22"/>
      <c r="D669" s="22"/>
      <c r="E669" s="23"/>
      <c r="F669" s="22"/>
      <c r="G669" s="24"/>
      <c r="H669" s="22"/>
      <c r="I669" s="22"/>
      <c r="J669" s="24"/>
      <c r="K669" s="22"/>
      <c r="L669" s="25"/>
      <c r="M669" s="25"/>
      <c r="N669" s="24"/>
      <c r="O669" s="23"/>
      <c r="P669" s="24"/>
      <c r="Q669" s="22"/>
      <c r="R669" s="22"/>
      <c r="S669" s="24"/>
      <c r="T669" s="24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</row>
    <row r="670" spans="1:33">
      <c r="A670" s="22"/>
      <c r="B670" s="22"/>
      <c r="C670" s="22"/>
      <c r="D670" s="22"/>
      <c r="E670" s="23"/>
      <c r="F670" s="22"/>
      <c r="G670" s="24"/>
      <c r="H670" s="22"/>
      <c r="I670" s="22"/>
      <c r="J670" s="24"/>
      <c r="K670" s="22"/>
      <c r="L670" s="25"/>
      <c r="M670" s="25"/>
      <c r="N670" s="24"/>
      <c r="O670" s="23"/>
      <c r="P670" s="24"/>
      <c r="Q670" s="22"/>
      <c r="R670" s="22"/>
      <c r="S670" s="24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</row>
    <row r="671" spans="1:33">
      <c r="A671" s="22"/>
      <c r="B671" s="22"/>
      <c r="C671" s="22"/>
      <c r="D671" s="22"/>
      <c r="E671" s="23"/>
      <c r="F671" s="22"/>
      <c r="G671" s="24"/>
      <c r="H671" s="22"/>
      <c r="I671" s="22"/>
      <c r="J671" s="24"/>
      <c r="K671" s="22"/>
      <c r="L671" s="25"/>
      <c r="M671" s="25"/>
      <c r="N671" s="24"/>
      <c r="O671" s="23"/>
      <c r="P671" s="24"/>
      <c r="Q671" s="22"/>
      <c r="R671" s="22"/>
      <c r="S671" s="24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</row>
    <row r="672" spans="1:33">
      <c r="A672" s="22"/>
      <c r="B672" s="22"/>
      <c r="C672" s="22"/>
      <c r="D672" s="22"/>
      <c r="E672" s="23"/>
      <c r="F672" s="22"/>
      <c r="G672" s="24"/>
      <c r="H672" s="22"/>
      <c r="I672" s="22"/>
      <c r="J672" s="24"/>
      <c r="K672" s="22"/>
      <c r="L672" s="25"/>
      <c r="M672" s="25"/>
      <c r="N672" s="24"/>
      <c r="O672" s="23"/>
      <c r="P672" s="24"/>
      <c r="Q672" s="22"/>
      <c r="R672" s="22"/>
      <c r="S672" s="24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</row>
    <row r="673" spans="1:33">
      <c r="A673" s="22"/>
      <c r="B673" s="22"/>
      <c r="C673" s="22"/>
      <c r="D673" s="22"/>
      <c r="E673" s="23"/>
      <c r="F673" s="22"/>
      <c r="G673" s="24"/>
      <c r="H673" s="22"/>
      <c r="I673" s="22"/>
      <c r="J673" s="24"/>
      <c r="K673" s="22"/>
      <c r="L673" s="25"/>
      <c r="M673" s="25"/>
      <c r="N673" s="24"/>
      <c r="O673" s="23"/>
      <c r="P673" s="24"/>
      <c r="Q673" s="22"/>
      <c r="R673" s="22"/>
      <c r="S673" s="24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</row>
    <row r="674" spans="1:33">
      <c r="A674" s="22"/>
      <c r="B674" s="22"/>
      <c r="C674" s="22"/>
      <c r="D674" s="22"/>
      <c r="E674" s="23"/>
      <c r="F674" s="22"/>
      <c r="G674" s="24"/>
      <c r="H674" s="22"/>
      <c r="I674" s="22"/>
      <c r="J674" s="24"/>
      <c r="K674" s="22"/>
      <c r="L674" s="25"/>
      <c r="M674" s="25"/>
      <c r="N674" s="24"/>
      <c r="O674" s="23"/>
      <c r="P674" s="24"/>
      <c r="Q674" s="22"/>
      <c r="R674" s="22"/>
      <c r="S674" s="24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</row>
    <row r="675" spans="1:33">
      <c r="A675" s="22"/>
      <c r="B675" s="22"/>
      <c r="C675" s="22"/>
      <c r="D675" s="22"/>
      <c r="E675" s="23"/>
      <c r="F675" s="22"/>
      <c r="G675" s="24"/>
      <c r="H675" s="22"/>
      <c r="I675" s="22"/>
      <c r="J675" s="24"/>
      <c r="K675" s="22"/>
      <c r="L675" s="25"/>
      <c r="M675" s="25"/>
      <c r="N675" s="24"/>
      <c r="O675" s="23"/>
      <c r="P675" s="24"/>
      <c r="Q675" s="22"/>
      <c r="R675" s="22"/>
      <c r="S675" s="24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</row>
    <row r="676" spans="1:33">
      <c r="A676" s="22"/>
      <c r="B676" s="22"/>
      <c r="C676" s="22"/>
      <c r="D676" s="22"/>
      <c r="E676" s="23"/>
      <c r="F676" s="22"/>
      <c r="G676" s="24"/>
      <c r="H676" s="22"/>
      <c r="I676" s="22"/>
      <c r="J676" s="24"/>
      <c r="K676" s="22"/>
      <c r="L676" s="25"/>
      <c r="M676" s="25"/>
      <c r="N676" s="24"/>
      <c r="O676" s="23"/>
      <c r="P676" s="24"/>
      <c r="Q676" s="22"/>
      <c r="R676" s="22"/>
      <c r="S676" s="24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</row>
    <row r="677" spans="1:33">
      <c r="A677" s="22"/>
      <c r="B677" s="22"/>
      <c r="C677" s="22"/>
      <c r="D677" s="22"/>
      <c r="E677" s="23"/>
      <c r="F677" s="22"/>
      <c r="G677" s="24"/>
      <c r="H677" s="22"/>
      <c r="I677" s="22"/>
      <c r="J677" s="24"/>
      <c r="K677" s="22"/>
      <c r="L677" s="25"/>
      <c r="M677" s="25"/>
      <c r="N677" s="24"/>
      <c r="O677" s="23"/>
      <c r="P677" s="24"/>
      <c r="Q677" s="22"/>
      <c r="R677" s="22"/>
      <c r="S677" s="24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</row>
    <row r="678" spans="1:33">
      <c r="A678" s="22"/>
      <c r="B678" s="22"/>
      <c r="C678" s="22"/>
      <c r="D678" s="22"/>
      <c r="E678" s="23"/>
      <c r="F678" s="22"/>
      <c r="G678" s="24"/>
      <c r="H678" s="22"/>
      <c r="I678" s="22"/>
      <c r="J678" s="24"/>
      <c r="K678" s="22"/>
      <c r="L678" s="25"/>
      <c r="M678" s="25"/>
      <c r="N678" s="24"/>
      <c r="O678" s="23"/>
      <c r="P678" s="24"/>
      <c r="Q678" s="22"/>
      <c r="R678" s="22"/>
      <c r="S678" s="24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</row>
    <row r="679" spans="1:33">
      <c r="A679" s="22"/>
      <c r="B679" s="22"/>
      <c r="C679" s="22"/>
      <c r="D679" s="22"/>
      <c r="E679" s="23"/>
      <c r="F679" s="22"/>
      <c r="G679" s="24"/>
      <c r="H679" s="22"/>
      <c r="I679" s="22"/>
      <c r="J679" s="24"/>
      <c r="K679" s="22"/>
      <c r="L679" s="25"/>
      <c r="M679" s="25"/>
      <c r="N679" s="24"/>
      <c r="O679" s="23"/>
      <c r="P679" s="24"/>
      <c r="Q679" s="22"/>
      <c r="R679" s="22"/>
      <c r="S679" s="24"/>
      <c r="T679" s="24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</row>
    <row r="680" spans="1:33">
      <c r="A680" s="22"/>
      <c r="B680" s="22"/>
      <c r="C680" s="22"/>
      <c r="D680" s="22"/>
      <c r="E680" s="23"/>
      <c r="F680" s="22"/>
      <c r="G680" s="24"/>
      <c r="H680" s="22"/>
      <c r="I680" s="22"/>
      <c r="J680" s="24"/>
      <c r="K680" s="22"/>
      <c r="L680" s="25"/>
      <c r="M680" s="25"/>
      <c r="N680" s="22"/>
      <c r="O680" s="23"/>
      <c r="P680" s="22"/>
      <c r="Q680" s="22"/>
      <c r="R680" s="22"/>
      <c r="S680" s="24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</row>
    <row r="681" spans="1:33">
      <c r="A681" s="22"/>
      <c r="B681" s="22"/>
      <c r="C681" s="22"/>
      <c r="D681" s="22"/>
      <c r="E681" s="23"/>
      <c r="F681" s="22"/>
      <c r="G681" s="24"/>
      <c r="H681" s="22"/>
      <c r="I681" s="22"/>
      <c r="J681" s="24"/>
      <c r="K681" s="22"/>
      <c r="L681" s="26"/>
      <c r="M681" s="25"/>
      <c r="N681" s="22"/>
      <c r="O681" s="23"/>
      <c r="P681" s="22"/>
      <c r="Q681" s="22"/>
      <c r="R681" s="22"/>
      <c r="S681" s="24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</row>
    <row r="682" spans="1:33">
      <c r="A682" s="22"/>
      <c r="B682" s="22"/>
      <c r="C682" s="22"/>
      <c r="D682" s="22"/>
      <c r="E682" s="23"/>
      <c r="F682" s="22"/>
      <c r="G682" s="24"/>
      <c r="H682" s="22"/>
      <c r="I682" s="22"/>
      <c r="J682" s="24"/>
      <c r="K682" s="22"/>
      <c r="L682" s="25"/>
      <c r="M682" s="25"/>
      <c r="N682" s="24"/>
      <c r="O682" s="23"/>
      <c r="P682" s="24"/>
      <c r="Q682" s="22"/>
      <c r="R682" s="22"/>
      <c r="S682" s="24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</row>
    <row r="683" spans="1:33">
      <c r="A683" s="22"/>
      <c r="B683" s="22"/>
      <c r="C683" s="22"/>
      <c r="D683" s="22"/>
      <c r="E683" s="23"/>
      <c r="F683" s="22"/>
      <c r="G683" s="24"/>
      <c r="H683" s="22"/>
      <c r="I683" s="22"/>
      <c r="J683" s="24"/>
      <c r="K683" s="22"/>
      <c r="L683" s="25"/>
      <c r="M683" s="25"/>
      <c r="N683" s="22"/>
      <c r="O683" s="23"/>
      <c r="P683" s="22"/>
      <c r="Q683" s="22"/>
      <c r="R683" s="22"/>
      <c r="S683" s="24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</row>
    <row r="684" spans="1:33">
      <c r="A684" s="22"/>
      <c r="B684" s="22"/>
      <c r="C684" s="22"/>
      <c r="D684" s="22"/>
      <c r="E684" s="23"/>
      <c r="F684" s="22"/>
      <c r="G684" s="24"/>
      <c r="H684" s="22"/>
      <c r="I684" s="22"/>
      <c r="J684" s="24"/>
      <c r="K684" s="22"/>
      <c r="L684" s="25"/>
      <c r="M684" s="25"/>
      <c r="N684" s="22"/>
      <c r="O684" s="23"/>
      <c r="P684" s="22"/>
      <c r="Q684" s="22"/>
      <c r="R684" s="22"/>
      <c r="S684" s="24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</row>
    <row r="685" spans="1:33">
      <c r="A685" s="22"/>
      <c r="B685" s="22"/>
      <c r="C685" s="22"/>
      <c r="D685" s="22"/>
      <c r="E685" s="23"/>
      <c r="F685" s="22"/>
      <c r="G685" s="24"/>
      <c r="H685" s="22"/>
      <c r="I685" s="22"/>
      <c r="J685" s="24"/>
      <c r="K685" s="22"/>
      <c r="L685" s="26"/>
      <c r="M685" s="25"/>
      <c r="N685" s="24"/>
      <c r="O685" s="23"/>
      <c r="P685" s="24"/>
      <c r="Q685" s="22"/>
      <c r="R685" s="22"/>
      <c r="S685" s="24"/>
      <c r="T685" s="24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</row>
    <row r="686" spans="1:33">
      <c r="A686" s="22"/>
      <c r="B686" s="22"/>
      <c r="C686" s="22"/>
      <c r="D686" s="22"/>
      <c r="E686" s="23"/>
      <c r="F686" s="22"/>
      <c r="G686" s="24"/>
      <c r="H686" s="22"/>
      <c r="I686" s="22"/>
      <c r="J686" s="24"/>
      <c r="K686" s="22"/>
      <c r="L686" s="25"/>
      <c r="M686" s="25"/>
      <c r="N686" s="24"/>
      <c r="O686" s="23"/>
      <c r="P686" s="24"/>
      <c r="Q686" s="22"/>
      <c r="R686" s="22"/>
      <c r="S686" s="24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</row>
    <row r="687" spans="1:33">
      <c r="A687" s="22"/>
      <c r="B687" s="22"/>
      <c r="C687" s="22"/>
      <c r="D687" s="22"/>
      <c r="E687" s="23"/>
      <c r="F687" s="22"/>
      <c r="G687" s="24"/>
      <c r="H687" s="22"/>
      <c r="I687" s="22"/>
      <c r="J687" s="24"/>
      <c r="K687" s="22"/>
      <c r="L687" s="25"/>
      <c r="M687" s="25"/>
      <c r="N687" s="24"/>
      <c r="O687" s="23"/>
      <c r="P687" s="24"/>
      <c r="Q687" s="22"/>
      <c r="R687" s="22"/>
      <c r="S687" s="24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</row>
    <row r="688" spans="1:33">
      <c r="A688" s="22"/>
      <c r="B688" s="22"/>
      <c r="C688" s="22"/>
      <c r="D688" s="22"/>
      <c r="E688" s="23"/>
      <c r="F688" s="22"/>
      <c r="G688" s="24"/>
      <c r="H688" s="22"/>
      <c r="I688" s="22"/>
      <c r="J688" s="24"/>
      <c r="K688" s="22"/>
      <c r="L688" s="26"/>
      <c r="M688" s="25"/>
      <c r="N688" s="24"/>
      <c r="O688" s="23"/>
      <c r="P688" s="24"/>
      <c r="Q688" s="22"/>
      <c r="R688" s="22"/>
      <c r="S688" s="24"/>
      <c r="T688" s="24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</row>
    <row r="689" spans="1:33">
      <c r="A689" s="22"/>
      <c r="B689" s="22"/>
      <c r="C689" s="22"/>
      <c r="D689" s="22"/>
      <c r="E689" s="23"/>
      <c r="F689" s="22"/>
      <c r="G689" s="24"/>
      <c r="H689" s="22"/>
      <c r="I689" s="22"/>
      <c r="J689" s="24"/>
      <c r="K689" s="22"/>
      <c r="L689" s="25"/>
      <c r="M689" s="25"/>
      <c r="N689" s="24"/>
      <c r="O689" s="23"/>
      <c r="P689" s="24"/>
      <c r="Q689" s="22"/>
      <c r="R689" s="22"/>
      <c r="S689" s="24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</row>
    <row r="690" spans="1:33">
      <c r="A690" s="22"/>
      <c r="B690" s="22"/>
      <c r="C690" s="22"/>
      <c r="D690" s="22"/>
      <c r="E690" s="23"/>
      <c r="F690" s="22"/>
      <c r="G690" s="24"/>
      <c r="H690" s="22"/>
      <c r="I690" s="22"/>
      <c r="J690" s="24"/>
      <c r="K690" s="22"/>
      <c r="L690" s="25"/>
      <c r="M690" s="25"/>
      <c r="N690" s="24"/>
      <c r="O690" s="23"/>
      <c r="P690" s="24"/>
      <c r="Q690" s="22"/>
      <c r="R690" s="22"/>
      <c r="S690" s="24"/>
      <c r="T690" s="24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</row>
    <row r="691" spans="1:33">
      <c r="A691" s="22"/>
      <c r="B691" s="22"/>
      <c r="C691" s="22"/>
      <c r="D691" s="22"/>
      <c r="E691" s="23"/>
      <c r="F691" s="22"/>
      <c r="G691" s="24"/>
      <c r="H691" s="22"/>
      <c r="I691" s="22"/>
      <c r="J691" s="24"/>
      <c r="K691" s="22"/>
      <c r="L691" s="25"/>
      <c r="M691" s="25"/>
      <c r="N691" s="24"/>
      <c r="O691" s="23"/>
      <c r="P691" s="24"/>
      <c r="Q691" s="22"/>
      <c r="R691" s="22"/>
      <c r="S691" s="24"/>
      <c r="T691" s="24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</row>
    <row r="692" spans="1:33">
      <c r="A692" s="22"/>
      <c r="B692" s="22"/>
      <c r="C692" s="22"/>
      <c r="D692" s="22"/>
      <c r="E692" s="23"/>
      <c r="F692" s="22"/>
      <c r="G692" s="24"/>
      <c r="H692" s="22"/>
      <c r="I692" s="22"/>
      <c r="J692" s="24"/>
      <c r="K692" s="22"/>
      <c r="L692" s="25"/>
      <c r="M692" s="25"/>
      <c r="N692" s="24"/>
      <c r="O692" s="23"/>
      <c r="P692" s="24"/>
      <c r="Q692" s="22"/>
      <c r="R692" s="22"/>
      <c r="S692" s="24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</row>
    <row r="693" spans="1:33">
      <c r="A693" s="22"/>
      <c r="B693" s="22"/>
      <c r="C693" s="22"/>
      <c r="D693" s="22"/>
      <c r="E693" s="23"/>
      <c r="F693" s="22"/>
      <c r="G693" s="24"/>
      <c r="H693" s="22"/>
      <c r="I693" s="22"/>
      <c r="J693" s="24"/>
      <c r="K693" s="22"/>
      <c r="L693" s="25"/>
      <c r="M693" s="25"/>
      <c r="N693" s="24"/>
      <c r="O693" s="23"/>
      <c r="P693" s="24"/>
      <c r="Q693" s="22"/>
      <c r="R693" s="22"/>
      <c r="S693" s="24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</row>
    <row r="694" spans="1:33">
      <c r="A694" s="22"/>
      <c r="B694" s="22"/>
      <c r="C694" s="22"/>
      <c r="D694" s="22"/>
      <c r="E694" s="23"/>
      <c r="F694" s="22"/>
      <c r="G694" s="24"/>
      <c r="H694" s="22"/>
      <c r="I694" s="22"/>
      <c r="J694" s="24"/>
      <c r="K694" s="22"/>
      <c r="L694" s="25"/>
      <c r="M694" s="25"/>
      <c r="N694" s="22"/>
      <c r="O694" s="23"/>
      <c r="P694" s="22"/>
      <c r="Q694" s="22"/>
      <c r="R694" s="22"/>
      <c r="S694" s="24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</row>
    <row r="695" spans="1:33">
      <c r="A695" s="22"/>
      <c r="B695" s="22"/>
      <c r="C695" s="22"/>
      <c r="D695" s="22"/>
      <c r="E695" s="23"/>
      <c r="F695" s="22"/>
      <c r="G695" s="24"/>
      <c r="H695" s="22"/>
      <c r="I695" s="22"/>
      <c r="J695" s="24"/>
      <c r="K695" s="22"/>
      <c r="L695" s="25"/>
      <c r="M695" s="25"/>
      <c r="N695" s="24"/>
      <c r="O695" s="23"/>
      <c r="P695" s="24"/>
      <c r="Q695" s="22"/>
      <c r="R695" s="22"/>
      <c r="S695" s="24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</row>
    <row r="696" spans="1:33">
      <c r="A696" s="22"/>
      <c r="B696" s="22"/>
      <c r="C696" s="22"/>
      <c r="D696" s="22"/>
      <c r="E696" s="23"/>
      <c r="F696" s="22"/>
      <c r="G696" s="24"/>
      <c r="H696" s="22"/>
      <c r="I696" s="22"/>
      <c r="J696" s="24"/>
      <c r="K696" s="22"/>
      <c r="L696" s="25"/>
      <c r="M696" s="25"/>
      <c r="N696" s="24"/>
      <c r="O696" s="23"/>
      <c r="P696" s="24"/>
      <c r="Q696" s="22"/>
      <c r="R696" s="22"/>
      <c r="S696" s="24"/>
      <c r="T696" s="24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</row>
    <row r="697" spans="1:33">
      <c r="A697" s="22"/>
      <c r="B697" s="22"/>
      <c r="C697" s="22"/>
      <c r="D697" s="22"/>
      <c r="E697" s="23"/>
      <c r="F697" s="22"/>
      <c r="G697" s="24"/>
      <c r="H697" s="22"/>
      <c r="I697" s="22"/>
      <c r="J697" s="24"/>
      <c r="K697" s="22"/>
      <c r="L697" s="25"/>
      <c r="M697" s="25"/>
      <c r="N697" s="24"/>
      <c r="O697" s="23"/>
      <c r="P697" s="24"/>
      <c r="Q697" s="22"/>
      <c r="R697" s="22"/>
      <c r="S697" s="24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</row>
    <row r="698" spans="1:33">
      <c r="A698" s="22"/>
      <c r="B698" s="22"/>
      <c r="C698" s="22"/>
      <c r="D698" s="22"/>
      <c r="E698" s="23"/>
      <c r="F698" s="22"/>
      <c r="G698" s="24"/>
      <c r="H698" s="22"/>
      <c r="I698" s="22"/>
      <c r="J698" s="24"/>
      <c r="K698" s="22"/>
      <c r="L698" s="25"/>
      <c r="M698" s="25"/>
      <c r="N698" s="24"/>
      <c r="O698" s="23"/>
      <c r="P698" s="24"/>
      <c r="Q698" s="22"/>
      <c r="R698" s="22"/>
      <c r="S698" s="24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</row>
    <row r="699" spans="1:33">
      <c r="A699" s="22"/>
      <c r="B699" s="22"/>
      <c r="C699" s="22"/>
      <c r="D699" s="22"/>
      <c r="E699" s="23"/>
      <c r="F699" s="22"/>
      <c r="G699" s="24"/>
      <c r="H699" s="22"/>
      <c r="I699" s="22"/>
      <c r="J699" s="24"/>
      <c r="K699" s="22"/>
      <c r="L699" s="25"/>
      <c r="M699" s="25"/>
      <c r="N699" s="24"/>
      <c r="O699" s="23"/>
      <c r="P699" s="24"/>
      <c r="Q699" s="22"/>
      <c r="R699" s="22"/>
      <c r="S699" s="24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</row>
    <row r="700" spans="1:33">
      <c r="A700" s="22"/>
      <c r="B700" s="22"/>
      <c r="C700" s="22"/>
      <c r="D700" s="22"/>
      <c r="E700" s="23"/>
      <c r="F700" s="22"/>
      <c r="G700" s="24"/>
      <c r="H700" s="22"/>
      <c r="I700" s="22"/>
      <c r="J700" s="24"/>
      <c r="K700" s="22"/>
      <c r="L700" s="25"/>
      <c r="M700" s="25"/>
      <c r="N700" s="24"/>
      <c r="O700" s="23"/>
      <c r="P700" s="24"/>
      <c r="Q700" s="22"/>
      <c r="R700" s="22"/>
      <c r="S700" s="24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</row>
    <row r="701" spans="1:33">
      <c r="A701" s="22"/>
      <c r="B701" s="22"/>
      <c r="C701" s="22"/>
      <c r="D701" s="22"/>
      <c r="E701" s="23"/>
      <c r="F701" s="22"/>
      <c r="G701" s="24"/>
      <c r="H701" s="22"/>
      <c r="I701" s="22"/>
      <c r="J701" s="24"/>
      <c r="K701" s="22"/>
      <c r="L701" s="25"/>
      <c r="M701" s="25"/>
      <c r="N701" s="24"/>
      <c r="O701" s="23"/>
      <c r="P701" s="24"/>
      <c r="Q701" s="22"/>
      <c r="R701" s="22"/>
      <c r="S701" s="24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</row>
    <row r="702" spans="1:33">
      <c r="A702" s="22"/>
      <c r="B702" s="22"/>
      <c r="C702" s="22"/>
      <c r="D702" s="22"/>
      <c r="E702" s="23"/>
      <c r="F702" s="22"/>
      <c r="G702" s="24"/>
      <c r="H702" s="22"/>
      <c r="I702" s="22"/>
      <c r="J702" s="24"/>
      <c r="K702" s="22"/>
      <c r="L702" s="25"/>
      <c r="M702" s="25"/>
      <c r="N702" s="22"/>
      <c r="O702" s="23"/>
      <c r="P702" s="24"/>
      <c r="Q702" s="22"/>
      <c r="R702" s="22"/>
      <c r="S702" s="24"/>
      <c r="T702" s="24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</row>
    <row r="703" spans="1:33">
      <c r="A703" s="22"/>
      <c r="B703" s="22"/>
      <c r="C703" s="22"/>
      <c r="D703" s="22"/>
      <c r="E703" s="23"/>
      <c r="F703" s="22"/>
      <c r="G703" s="24"/>
      <c r="H703" s="22"/>
      <c r="I703" s="22"/>
      <c r="J703" s="24"/>
      <c r="K703" s="22"/>
      <c r="L703" s="25"/>
      <c r="M703" s="25"/>
      <c r="N703" s="22"/>
      <c r="O703" s="23"/>
      <c r="P703" s="22"/>
      <c r="Q703" s="22"/>
      <c r="R703" s="22"/>
      <c r="S703" s="24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</row>
    <row r="704" spans="1:33">
      <c r="A704" s="22"/>
      <c r="B704" s="22"/>
      <c r="C704" s="22"/>
      <c r="D704" s="22"/>
      <c r="E704" s="23"/>
      <c r="F704" s="22"/>
      <c r="G704" s="24"/>
      <c r="H704" s="22"/>
      <c r="I704" s="22"/>
      <c r="J704" s="24"/>
      <c r="K704" s="22"/>
      <c r="L704" s="25"/>
      <c r="M704" s="25"/>
      <c r="N704" s="22"/>
      <c r="O704" s="23"/>
      <c r="P704" s="22"/>
      <c r="Q704" s="22"/>
      <c r="R704" s="22"/>
      <c r="S704" s="24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</row>
    <row r="705" spans="1:33">
      <c r="A705" s="22"/>
      <c r="B705" s="22"/>
      <c r="C705" s="22"/>
      <c r="D705" s="22"/>
      <c r="E705" s="23"/>
      <c r="F705" s="22"/>
      <c r="G705" s="24"/>
      <c r="H705" s="22"/>
      <c r="I705" s="22"/>
      <c r="J705" s="24"/>
      <c r="K705" s="22"/>
      <c r="L705" s="25"/>
      <c r="M705" s="25"/>
      <c r="N705" s="22"/>
      <c r="O705" s="23"/>
      <c r="P705" s="22"/>
      <c r="Q705" s="22"/>
      <c r="R705" s="22"/>
      <c r="S705" s="24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</row>
    <row r="706" spans="1:33">
      <c r="A706" s="22"/>
      <c r="B706" s="22"/>
      <c r="C706" s="22"/>
      <c r="D706" s="22"/>
      <c r="E706" s="23"/>
      <c r="F706" s="22"/>
      <c r="G706" s="24"/>
      <c r="H706" s="22"/>
      <c r="I706" s="22"/>
      <c r="J706" s="24"/>
      <c r="K706" s="22"/>
      <c r="L706" s="25"/>
      <c r="M706" s="25"/>
      <c r="N706" s="22"/>
      <c r="O706" s="23"/>
      <c r="P706" s="22"/>
      <c r="Q706" s="22"/>
      <c r="R706" s="22"/>
      <c r="S706" s="24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</row>
    <row r="707" spans="1:33">
      <c r="A707" s="22"/>
      <c r="B707" s="22"/>
      <c r="C707" s="22"/>
      <c r="D707" s="22"/>
      <c r="E707" s="23"/>
      <c r="F707" s="22"/>
      <c r="G707" s="24"/>
      <c r="H707" s="22"/>
      <c r="I707" s="22"/>
      <c r="J707" s="24"/>
      <c r="K707" s="22"/>
      <c r="L707" s="25"/>
      <c r="M707" s="25"/>
      <c r="N707" s="22"/>
      <c r="O707" s="23"/>
      <c r="P707" s="22"/>
      <c r="Q707" s="22"/>
      <c r="R707" s="22"/>
      <c r="S707" s="24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</row>
    <row r="708" spans="1:33">
      <c r="A708" s="22"/>
      <c r="B708" s="22"/>
      <c r="C708" s="22"/>
      <c r="D708" s="22"/>
      <c r="E708" s="23"/>
      <c r="F708" s="22"/>
      <c r="G708" s="24"/>
      <c r="H708" s="22"/>
      <c r="I708" s="22"/>
      <c r="J708" s="24"/>
      <c r="K708" s="22"/>
      <c r="L708" s="26"/>
      <c r="M708" s="25"/>
      <c r="N708" s="22"/>
      <c r="O708" s="23"/>
      <c r="P708" s="22"/>
      <c r="Q708" s="22"/>
      <c r="R708" s="22"/>
      <c r="S708" s="24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</row>
    <row r="709" spans="1:33">
      <c r="A709" s="22"/>
      <c r="B709" s="22"/>
      <c r="C709" s="22"/>
      <c r="D709" s="22"/>
      <c r="E709" s="23"/>
      <c r="F709" s="22"/>
      <c r="G709" s="24"/>
      <c r="H709" s="22"/>
      <c r="I709" s="22"/>
      <c r="J709" s="24"/>
      <c r="K709" s="22"/>
      <c r="L709" s="26"/>
      <c r="M709" s="25"/>
      <c r="N709" s="22"/>
      <c r="O709" s="23"/>
      <c r="P709" s="22"/>
      <c r="Q709" s="22"/>
      <c r="R709" s="22"/>
      <c r="S709" s="24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</row>
    <row r="710" spans="1:33">
      <c r="A710" s="22"/>
      <c r="B710" s="22"/>
      <c r="C710" s="22"/>
      <c r="D710" s="22"/>
      <c r="E710" s="23"/>
      <c r="F710" s="22"/>
      <c r="G710" s="24"/>
      <c r="H710" s="22"/>
      <c r="I710" s="22"/>
      <c r="J710" s="24"/>
      <c r="K710" s="22"/>
      <c r="L710" s="25"/>
      <c r="M710" s="25"/>
      <c r="N710" s="22"/>
      <c r="O710" s="23"/>
      <c r="P710" s="22"/>
      <c r="Q710" s="22"/>
      <c r="R710" s="22"/>
      <c r="S710" s="24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</row>
    <row r="711" spans="1:33">
      <c r="A711" s="22"/>
      <c r="B711" s="22"/>
      <c r="C711" s="22"/>
      <c r="D711" s="22"/>
      <c r="E711" s="23"/>
      <c r="F711" s="22"/>
      <c r="G711" s="24"/>
      <c r="H711" s="22"/>
      <c r="I711" s="22"/>
      <c r="J711" s="24"/>
      <c r="K711" s="22"/>
      <c r="L711" s="26"/>
      <c r="M711" s="25"/>
      <c r="N711" s="22"/>
      <c r="O711" s="23"/>
      <c r="P711" s="22"/>
      <c r="Q711" s="22"/>
      <c r="R711" s="22"/>
      <c r="S711" s="24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</row>
    <row r="712" spans="1:33">
      <c r="A712" s="22"/>
      <c r="B712" s="22"/>
      <c r="C712" s="22"/>
      <c r="D712" s="22"/>
      <c r="E712" s="23"/>
      <c r="F712" s="22"/>
      <c r="G712" s="24"/>
      <c r="H712" s="22"/>
      <c r="I712" s="22"/>
      <c r="J712" s="24"/>
      <c r="K712" s="22"/>
      <c r="L712" s="25"/>
      <c r="M712" s="25"/>
      <c r="N712" s="22"/>
      <c r="O712" s="23"/>
      <c r="P712" s="22"/>
      <c r="Q712" s="22"/>
      <c r="R712" s="22"/>
      <c r="S712" s="24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</row>
    <row r="713" spans="1:33">
      <c r="A713" s="22"/>
      <c r="B713" s="22"/>
      <c r="C713" s="22"/>
      <c r="D713" s="22"/>
      <c r="E713" s="23"/>
      <c r="F713" s="22"/>
      <c r="G713" s="24"/>
      <c r="H713" s="22"/>
      <c r="I713" s="22"/>
      <c r="J713" s="24"/>
      <c r="K713" s="22"/>
      <c r="L713" s="25"/>
      <c r="M713" s="25"/>
      <c r="N713" s="22"/>
      <c r="O713" s="23"/>
      <c r="P713" s="22"/>
      <c r="Q713" s="22"/>
      <c r="R713" s="22"/>
      <c r="S713" s="24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</row>
    <row r="714" spans="1:33">
      <c r="A714" s="22"/>
      <c r="B714" s="22"/>
      <c r="C714" s="22"/>
      <c r="D714" s="22"/>
      <c r="E714" s="23"/>
      <c r="F714" s="22"/>
      <c r="G714" s="24"/>
      <c r="H714" s="22"/>
      <c r="I714" s="22"/>
      <c r="J714" s="24"/>
      <c r="K714" s="22"/>
      <c r="L714" s="26"/>
      <c r="M714" s="25"/>
      <c r="N714" s="22"/>
      <c r="O714" s="23"/>
      <c r="P714" s="22"/>
      <c r="Q714" s="22"/>
      <c r="R714" s="22"/>
      <c r="S714" s="24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</row>
    <row r="715" spans="1:33">
      <c r="A715" s="22"/>
      <c r="B715" s="22"/>
      <c r="C715" s="22"/>
      <c r="D715" s="22"/>
      <c r="E715" s="23"/>
      <c r="F715" s="22"/>
      <c r="G715" s="24"/>
      <c r="H715" s="22"/>
      <c r="I715" s="22"/>
      <c r="J715" s="24"/>
      <c r="K715" s="22"/>
      <c r="L715" s="25"/>
      <c r="M715" s="25"/>
      <c r="N715" s="22"/>
      <c r="O715" s="23"/>
      <c r="P715" s="22"/>
      <c r="Q715" s="22"/>
      <c r="R715" s="22"/>
      <c r="S715" s="24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</row>
    <row r="716" spans="1:33">
      <c r="A716" s="22"/>
      <c r="B716" s="22"/>
      <c r="C716" s="22"/>
      <c r="D716" s="22"/>
      <c r="E716" s="23"/>
      <c r="F716" s="22"/>
      <c r="G716" s="24"/>
      <c r="H716" s="22"/>
      <c r="I716" s="22"/>
      <c r="J716" s="24"/>
      <c r="K716" s="22"/>
      <c r="L716" s="26"/>
      <c r="M716" s="25"/>
      <c r="N716" s="22"/>
      <c r="O716" s="23"/>
      <c r="P716" s="22"/>
      <c r="Q716" s="22"/>
      <c r="R716" s="22"/>
      <c r="S716" s="24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</row>
    <row r="717" spans="1:33">
      <c r="A717" s="22"/>
      <c r="B717" s="22"/>
      <c r="C717" s="22"/>
      <c r="D717" s="22"/>
      <c r="E717" s="23"/>
      <c r="F717" s="22"/>
      <c r="G717" s="24"/>
      <c r="H717" s="22"/>
      <c r="I717" s="22"/>
      <c r="J717" s="24"/>
      <c r="K717" s="22"/>
      <c r="L717" s="26"/>
      <c r="M717" s="25"/>
      <c r="N717" s="22"/>
      <c r="O717" s="23"/>
      <c r="P717" s="22"/>
      <c r="Q717" s="22"/>
      <c r="R717" s="22"/>
      <c r="S717" s="24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</row>
    <row r="718" spans="1:33">
      <c r="A718" s="22"/>
      <c r="B718" s="22"/>
      <c r="C718" s="22"/>
      <c r="D718" s="22"/>
      <c r="E718" s="23"/>
      <c r="F718" s="22"/>
      <c r="G718" s="24"/>
      <c r="H718" s="22"/>
      <c r="I718" s="22"/>
      <c r="J718" s="24"/>
      <c r="K718" s="22"/>
      <c r="L718" s="26"/>
      <c r="M718" s="25"/>
      <c r="N718" s="22"/>
      <c r="O718" s="23"/>
      <c r="P718" s="22"/>
      <c r="Q718" s="22"/>
      <c r="R718" s="22"/>
      <c r="S718" s="24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</row>
    <row r="719" spans="1:33">
      <c r="A719" s="22"/>
      <c r="B719" s="22"/>
      <c r="C719" s="22"/>
      <c r="D719" s="22"/>
      <c r="E719" s="23"/>
      <c r="F719" s="22"/>
      <c r="G719" s="24"/>
      <c r="H719" s="22"/>
      <c r="I719" s="22"/>
      <c r="J719" s="24"/>
      <c r="K719" s="22"/>
      <c r="L719" s="25"/>
      <c r="M719" s="25"/>
      <c r="N719" s="22"/>
      <c r="O719" s="23"/>
      <c r="P719" s="22"/>
      <c r="Q719" s="22"/>
      <c r="R719" s="22"/>
      <c r="S719" s="24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</row>
    <row r="720" spans="1:33">
      <c r="A720" s="22"/>
      <c r="B720" s="22"/>
      <c r="C720" s="22"/>
      <c r="D720" s="22"/>
      <c r="E720" s="23"/>
      <c r="F720" s="22"/>
      <c r="G720" s="24"/>
      <c r="H720" s="22"/>
      <c r="I720" s="22"/>
      <c r="J720" s="24"/>
      <c r="K720" s="22"/>
      <c r="L720" s="26"/>
      <c r="M720" s="25"/>
      <c r="N720" s="22"/>
      <c r="O720" s="23"/>
      <c r="P720" s="22"/>
      <c r="Q720" s="22"/>
      <c r="R720" s="22"/>
      <c r="S720" s="24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</row>
    <row r="721" spans="1:33">
      <c r="A721" s="22"/>
      <c r="B721" s="22"/>
      <c r="C721" s="22"/>
      <c r="D721" s="22"/>
      <c r="E721" s="23"/>
      <c r="F721" s="22"/>
      <c r="G721" s="24"/>
      <c r="H721" s="22"/>
      <c r="I721" s="22"/>
      <c r="J721" s="24"/>
      <c r="K721" s="22"/>
      <c r="L721" s="25"/>
      <c r="M721" s="25"/>
      <c r="N721" s="22"/>
      <c r="O721" s="23"/>
      <c r="P721" s="22"/>
      <c r="Q721" s="22"/>
      <c r="R721" s="22"/>
      <c r="S721" s="24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</row>
    <row r="722" spans="1:33">
      <c r="A722" s="22"/>
      <c r="B722" s="22"/>
      <c r="C722" s="22"/>
      <c r="D722" s="22"/>
      <c r="E722" s="23"/>
      <c r="F722" s="22"/>
      <c r="G722" s="24"/>
      <c r="H722" s="22"/>
      <c r="I722" s="22"/>
      <c r="J722" s="24"/>
      <c r="K722" s="22"/>
      <c r="L722" s="25"/>
      <c r="M722" s="25"/>
      <c r="N722" s="22"/>
      <c r="O722" s="23"/>
      <c r="P722" s="22"/>
      <c r="Q722" s="22"/>
      <c r="R722" s="22"/>
      <c r="S722" s="24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</row>
    <row r="723" spans="1:33">
      <c r="A723" s="22"/>
      <c r="B723" s="22"/>
      <c r="C723" s="22"/>
      <c r="D723" s="22"/>
      <c r="E723" s="23"/>
      <c r="F723" s="22"/>
      <c r="G723" s="24"/>
      <c r="H723" s="22"/>
      <c r="I723" s="22"/>
      <c r="J723" s="24"/>
      <c r="K723" s="22"/>
      <c r="L723" s="26"/>
      <c r="M723" s="25"/>
      <c r="N723" s="22"/>
      <c r="O723" s="23"/>
      <c r="P723" s="22"/>
      <c r="Q723" s="22"/>
      <c r="R723" s="22"/>
      <c r="S723" s="24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</row>
    <row r="724" spans="1:33">
      <c r="A724" s="22"/>
      <c r="B724" s="22"/>
      <c r="C724" s="22"/>
      <c r="D724" s="22"/>
      <c r="E724" s="23"/>
      <c r="F724" s="22"/>
      <c r="G724" s="24"/>
      <c r="H724" s="22"/>
      <c r="I724" s="22"/>
      <c r="J724" s="24"/>
      <c r="K724" s="22"/>
      <c r="L724" s="25"/>
      <c r="M724" s="25"/>
      <c r="N724" s="22"/>
      <c r="O724" s="23"/>
      <c r="P724" s="22"/>
      <c r="Q724" s="22"/>
      <c r="R724" s="22"/>
      <c r="S724" s="24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</row>
    <row r="725" spans="1:33">
      <c r="A725" s="22"/>
      <c r="B725" s="22"/>
      <c r="C725" s="22"/>
      <c r="D725" s="22"/>
      <c r="E725" s="23"/>
      <c r="F725" s="22"/>
      <c r="G725" s="24"/>
      <c r="H725" s="22"/>
      <c r="I725" s="22"/>
      <c r="J725" s="24"/>
      <c r="K725" s="22"/>
      <c r="L725" s="26"/>
      <c r="M725" s="25"/>
      <c r="N725" s="22"/>
      <c r="O725" s="23"/>
      <c r="P725" s="22"/>
      <c r="Q725" s="22"/>
      <c r="R725" s="22"/>
      <c r="S725" s="24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</row>
    <row r="726" spans="1:33">
      <c r="A726" s="22"/>
      <c r="B726" s="22"/>
      <c r="C726" s="22"/>
      <c r="D726" s="22"/>
      <c r="E726" s="23"/>
      <c r="F726" s="22"/>
      <c r="G726" s="24"/>
      <c r="H726" s="22"/>
      <c r="I726" s="22"/>
      <c r="J726" s="24"/>
      <c r="K726" s="22"/>
      <c r="L726" s="26"/>
      <c r="M726" s="25"/>
      <c r="N726" s="22"/>
      <c r="O726" s="23"/>
      <c r="P726" s="22"/>
      <c r="Q726" s="22"/>
      <c r="R726" s="22"/>
      <c r="S726" s="24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</row>
    <row r="727" spans="1:33">
      <c r="A727" s="22"/>
      <c r="B727" s="22"/>
      <c r="C727" s="22"/>
      <c r="D727" s="22"/>
      <c r="E727" s="23"/>
      <c r="F727" s="22"/>
      <c r="G727" s="24"/>
      <c r="H727" s="22"/>
      <c r="I727" s="22"/>
      <c r="J727" s="24"/>
      <c r="K727" s="22"/>
      <c r="L727" s="26"/>
      <c r="M727" s="25"/>
      <c r="N727" s="24"/>
      <c r="O727" s="23"/>
      <c r="P727" s="24"/>
      <c r="Q727" s="22"/>
      <c r="R727" s="22"/>
      <c r="S727" s="24"/>
      <c r="T727" s="24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</row>
    <row r="728" spans="1:33">
      <c r="A728" s="22"/>
      <c r="B728" s="22"/>
      <c r="C728" s="22"/>
      <c r="D728" s="22"/>
      <c r="E728" s="23"/>
      <c r="F728" s="22"/>
      <c r="G728" s="24"/>
      <c r="H728" s="22"/>
      <c r="I728" s="22"/>
      <c r="J728" s="24"/>
      <c r="K728" s="22"/>
      <c r="L728" s="25"/>
      <c r="M728" s="25"/>
      <c r="N728" s="24"/>
      <c r="O728" s="23"/>
      <c r="P728" s="24"/>
      <c r="Q728" s="22"/>
      <c r="R728" s="22"/>
      <c r="S728" s="24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</row>
    <row r="729" spans="1:33">
      <c r="A729" s="22"/>
      <c r="B729" s="22"/>
      <c r="C729" s="22"/>
      <c r="D729" s="22"/>
      <c r="E729" s="23"/>
      <c r="F729" s="22"/>
      <c r="G729" s="24"/>
      <c r="H729" s="22"/>
      <c r="I729" s="22"/>
      <c r="J729" s="24"/>
      <c r="K729" s="22"/>
      <c r="L729" s="25"/>
      <c r="M729" s="25"/>
      <c r="N729" s="24"/>
      <c r="O729" s="23"/>
      <c r="P729" s="24"/>
      <c r="Q729" s="22"/>
      <c r="R729" s="22"/>
      <c r="S729" s="24"/>
      <c r="T729" s="24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</row>
    <row r="730" spans="1:33">
      <c r="A730" s="22"/>
      <c r="B730" s="22"/>
      <c r="C730" s="22"/>
      <c r="D730" s="22"/>
      <c r="E730" s="23"/>
      <c r="F730" s="22"/>
      <c r="G730" s="24"/>
      <c r="H730" s="22"/>
      <c r="I730" s="22"/>
      <c r="J730" s="24"/>
      <c r="K730" s="22"/>
      <c r="L730" s="25"/>
      <c r="M730" s="25"/>
      <c r="N730" s="24"/>
      <c r="O730" s="23"/>
      <c r="P730" s="24"/>
      <c r="Q730" s="22"/>
      <c r="R730" s="22"/>
      <c r="S730" s="24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</row>
    <row r="731" spans="1:33">
      <c r="A731" s="22"/>
      <c r="B731" s="22"/>
      <c r="C731" s="22"/>
      <c r="D731" s="22"/>
      <c r="E731" s="23"/>
      <c r="F731" s="22"/>
      <c r="G731" s="24"/>
      <c r="H731" s="22"/>
      <c r="I731" s="22"/>
      <c r="J731" s="24"/>
      <c r="K731" s="22"/>
      <c r="L731" s="25"/>
      <c r="M731" s="25"/>
      <c r="N731" s="24"/>
      <c r="O731" s="23"/>
      <c r="P731" s="24"/>
      <c r="Q731" s="22"/>
      <c r="R731" s="22"/>
      <c r="S731" s="24"/>
      <c r="T731" s="24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</row>
    <row r="732" spans="1:33">
      <c r="A732" s="22"/>
      <c r="B732" s="22"/>
      <c r="C732" s="22"/>
      <c r="D732" s="22"/>
      <c r="E732" s="23"/>
      <c r="F732" s="22"/>
      <c r="G732" s="24"/>
      <c r="H732" s="22"/>
      <c r="I732" s="22"/>
      <c r="J732" s="24"/>
      <c r="K732" s="22"/>
      <c r="L732" s="25"/>
      <c r="M732" s="25"/>
      <c r="N732" s="24"/>
      <c r="O732" s="23"/>
      <c r="P732" s="24"/>
      <c r="Q732" s="22"/>
      <c r="R732" s="22"/>
      <c r="S732" s="24"/>
      <c r="T732" s="24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</row>
    <row r="733" spans="1:33">
      <c r="A733" s="22"/>
      <c r="B733" s="22"/>
      <c r="C733" s="22"/>
      <c r="D733" s="22"/>
      <c r="E733" s="23"/>
      <c r="F733" s="22"/>
      <c r="G733" s="24"/>
      <c r="H733" s="22"/>
      <c r="I733" s="22"/>
      <c r="J733" s="24"/>
      <c r="K733" s="22"/>
      <c r="L733" s="25"/>
      <c r="M733" s="25"/>
      <c r="N733" s="24"/>
      <c r="O733" s="23"/>
      <c r="P733" s="24"/>
      <c r="Q733" s="22"/>
      <c r="R733" s="22"/>
      <c r="S733" s="24"/>
      <c r="T733" s="24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</row>
    <row r="734" spans="1:33">
      <c r="A734" s="22"/>
      <c r="B734" s="22"/>
      <c r="C734" s="22"/>
      <c r="D734" s="22"/>
      <c r="E734" s="23"/>
      <c r="F734" s="22"/>
      <c r="G734" s="24"/>
      <c r="H734" s="22"/>
      <c r="I734" s="22"/>
      <c r="J734" s="24"/>
      <c r="K734" s="22"/>
      <c r="L734" s="26"/>
      <c r="M734" s="25"/>
      <c r="N734" s="24"/>
      <c r="O734" s="23"/>
      <c r="P734" s="24"/>
      <c r="Q734" s="22"/>
      <c r="R734" s="22"/>
      <c r="S734" s="24"/>
      <c r="T734" s="24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</row>
    <row r="735" spans="1:33">
      <c r="A735" s="22"/>
      <c r="B735" s="22"/>
      <c r="C735" s="22"/>
      <c r="D735" s="22"/>
      <c r="E735" s="23"/>
      <c r="F735" s="22"/>
      <c r="G735" s="24"/>
      <c r="H735" s="22"/>
      <c r="I735" s="22"/>
      <c r="J735" s="24"/>
      <c r="K735" s="22"/>
      <c r="L735" s="25"/>
      <c r="M735" s="25"/>
      <c r="N735" s="24"/>
      <c r="O735" s="23"/>
      <c r="P735" s="24"/>
      <c r="Q735" s="22"/>
      <c r="R735" s="22"/>
      <c r="S735" s="24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</row>
    <row r="736" spans="1:33">
      <c r="A736" s="22"/>
      <c r="B736" s="22"/>
      <c r="C736" s="22"/>
      <c r="D736" s="22"/>
      <c r="E736" s="23"/>
      <c r="F736" s="22"/>
      <c r="G736" s="24"/>
      <c r="H736" s="22"/>
      <c r="I736" s="22"/>
      <c r="J736" s="24"/>
      <c r="K736" s="22"/>
      <c r="L736" s="25"/>
      <c r="M736" s="25"/>
      <c r="N736" s="24"/>
      <c r="O736" s="23"/>
      <c r="P736" s="24"/>
      <c r="Q736" s="22"/>
      <c r="R736" s="22"/>
      <c r="S736" s="24"/>
      <c r="T736" s="24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</row>
    <row r="737" spans="1:33">
      <c r="A737" s="22"/>
      <c r="B737" s="22"/>
      <c r="C737" s="22"/>
      <c r="D737" s="22"/>
      <c r="E737" s="23"/>
      <c r="F737" s="22"/>
      <c r="G737" s="24"/>
      <c r="H737" s="22"/>
      <c r="I737" s="22"/>
      <c r="J737" s="24"/>
      <c r="K737" s="22"/>
      <c r="L737" s="25"/>
      <c r="M737" s="25"/>
      <c r="N737" s="24"/>
      <c r="O737" s="23"/>
      <c r="P737" s="24"/>
      <c r="Q737" s="22"/>
      <c r="R737" s="22"/>
      <c r="S737" s="24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</row>
    <row r="738" spans="1:33">
      <c r="A738" s="22"/>
      <c r="B738" s="22"/>
      <c r="C738" s="22"/>
      <c r="D738" s="22"/>
      <c r="E738" s="23"/>
      <c r="F738" s="22"/>
      <c r="G738" s="24"/>
      <c r="H738" s="22"/>
      <c r="I738" s="22"/>
      <c r="J738" s="24"/>
      <c r="K738" s="22"/>
      <c r="L738" s="25"/>
      <c r="M738" s="25"/>
      <c r="N738" s="24"/>
      <c r="O738" s="23"/>
      <c r="P738" s="24"/>
      <c r="Q738" s="22"/>
      <c r="R738" s="22"/>
      <c r="S738" s="24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</row>
    <row r="739" spans="1:33">
      <c r="A739" s="22"/>
      <c r="B739" s="22"/>
      <c r="C739" s="22"/>
      <c r="D739" s="22"/>
      <c r="E739" s="23"/>
      <c r="F739" s="22"/>
      <c r="G739" s="24"/>
      <c r="H739" s="22"/>
      <c r="I739" s="22"/>
      <c r="J739" s="24"/>
      <c r="K739" s="22"/>
      <c r="L739" s="25"/>
      <c r="M739" s="25"/>
      <c r="N739" s="24"/>
      <c r="O739" s="23"/>
      <c r="P739" s="24"/>
      <c r="Q739" s="22"/>
      <c r="R739" s="22"/>
      <c r="S739" s="24"/>
      <c r="T739" s="24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</row>
    <row r="740" spans="1:33">
      <c r="A740" s="22"/>
      <c r="B740" s="22"/>
      <c r="C740" s="22"/>
      <c r="D740" s="22"/>
      <c r="E740" s="23"/>
      <c r="F740" s="22"/>
      <c r="G740" s="24"/>
      <c r="H740" s="22"/>
      <c r="I740" s="22"/>
      <c r="J740" s="24"/>
      <c r="K740" s="22"/>
      <c r="L740" s="25"/>
      <c r="M740" s="25"/>
      <c r="N740" s="24"/>
      <c r="O740" s="23"/>
      <c r="P740" s="24"/>
      <c r="Q740" s="22"/>
      <c r="R740" s="22"/>
      <c r="S740" s="24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</row>
    <row r="741" spans="1:33">
      <c r="A741" s="22"/>
      <c r="B741" s="22"/>
      <c r="C741" s="22"/>
      <c r="D741" s="22"/>
      <c r="E741" s="23"/>
      <c r="F741" s="22"/>
      <c r="G741" s="24"/>
      <c r="H741" s="22"/>
      <c r="I741" s="22"/>
      <c r="J741" s="24"/>
      <c r="K741" s="22"/>
      <c r="L741" s="25"/>
      <c r="M741" s="25"/>
      <c r="N741" s="24"/>
      <c r="O741" s="23"/>
      <c r="P741" s="24"/>
      <c r="Q741" s="22"/>
      <c r="R741" s="22"/>
      <c r="S741" s="24"/>
      <c r="T741" s="24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</row>
    <row r="742" spans="1:33">
      <c r="A742" s="22"/>
      <c r="B742" s="22"/>
      <c r="C742" s="22"/>
      <c r="D742" s="22"/>
      <c r="E742" s="23"/>
      <c r="F742" s="22"/>
      <c r="G742" s="24"/>
      <c r="H742" s="22"/>
      <c r="I742" s="22"/>
      <c r="J742" s="24"/>
      <c r="K742" s="22"/>
      <c r="L742" s="25"/>
      <c r="M742" s="25"/>
      <c r="N742" s="24"/>
      <c r="O742" s="23"/>
      <c r="P742" s="24"/>
      <c r="Q742" s="22"/>
      <c r="R742" s="22"/>
      <c r="S742" s="24"/>
      <c r="T742" s="24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</row>
    <row r="743" spans="1:33">
      <c r="A743" s="22"/>
      <c r="B743" s="22"/>
      <c r="C743" s="22"/>
      <c r="D743" s="22"/>
      <c r="E743" s="23"/>
      <c r="F743" s="22"/>
      <c r="G743" s="24"/>
      <c r="H743" s="22"/>
      <c r="I743" s="22"/>
      <c r="J743" s="24"/>
      <c r="K743" s="22"/>
      <c r="L743" s="25"/>
      <c r="M743" s="25"/>
      <c r="N743" s="24"/>
      <c r="O743" s="23"/>
      <c r="P743" s="24"/>
      <c r="Q743" s="22"/>
      <c r="R743" s="22"/>
      <c r="S743" s="24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</row>
    <row r="744" spans="1:33">
      <c r="A744" s="22"/>
      <c r="B744" s="22"/>
      <c r="C744" s="22"/>
      <c r="D744" s="22"/>
      <c r="E744" s="23"/>
      <c r="F744" s="22"/>
      <c r="G744" s="24"/>
      <c r="H744" s="22"/>
      <c r="I744" s="22"/>
      <c r="J744" s="24"/>
      <c r="K744" s="22"/>
      <c r="L744" s="25"/>
      <c r="M744" s="25"/>
      <c r="N744" s="24"/>
      <c r="O744" s="23"/>
      <c r="P744" s="24"/>
      <c r="Q744" s="22"/>
      <c r="R744" s="22"/>
      <c r="S744" s="24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</row>
    <row r="745" spans="1:33">
      <c r="A745" s="22"/>
      <c r="B745" s="22"/>
      <c r="C745" s="22"/>
      <c r="D745" s="22"/>
      <c r="E745" s="23"/>
      <c r="F745" s="22"/>
      <c r="G745" s="24"/>
      <c r="H745" s="22"/>
      <c r="I745" s="22"/>
      <c r="J745" s="24"/>
      <c r="K745" s="22"/>
      <c r="L745" s="25"/>
      <c r="M745" s="25"/>
      <c r="N745" s="24"/>
      <c r="O745" s="23"/>
      <c r="P745" s="24"/>
      <c r="Q745" s="22"/>
      <c r="R745" s="22"/>
      <c r="S745" s="24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</row>
    <row r="746" spans="1:33">
      <c r="A746" s="22"/>
      <c r="B746" s="22"/>
      <c r="C746" s="22"/>
      <c r="D746" s="22"/>
      <c r="E746" s="23"/>
      <c r="F746" s="22"/>
      <c r="G746" s="24"/>
      <c r="H746" s="22"/>
      <c r="I746" s="22"/>
      <c r="J746" s="24"/>
      <c r="K746" s="22"/>
      <c r="L746" s="25"/>
      <c r="M746" s="25"/>
      <c r="N746" s="24"/>
      <c r="O746" s="23"/>
      <c r="P746" s="24"/>
      <c r="Q746" s="22"/>
      <c r="R746" s="22"/>
      <c r="S746" s="24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</row>
    <row r="747" spans="1:33">
      <c r="A747" s="22"/>
      <c r="B747" s="22"/>
      <c r="C747" s="22"/>
      <c r="D747" s="22"/>
      <c r="E747" s="23"/>
      <c r="F747" s="22"/>
      <c r="G747" s="24"/>
      <c r="H747" s="22"/>
      <c r="I747" s="22"/>
      <c r="J747" s="24"/>
      <c r="K747" s="22"/>
      <c r="L747" s="25"/>
      <c r="M747" s="25"/>
      <c r="N747" s="24"/>
      <c r="O747" s="23"/>
      <c r="P747" s="24"/>
      <c r="Q747" s="22"/>
      <c r="R747" s="22"/>
      <c r="S747" s="24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</row>
    <row r="748" spans="1:33">
      <c r="A748" s="22"/>
      <c r="B748" s="22"/>
      <c r="C748" s="22"/>
      <c r="D748" s="22"/>
      <c r="E748" s="23"/>
      <c r="F748" s="22"/>
      <c r="G748" s="24"/>
      <c r="H748" s="22"/>
      <c r="I748" s="22"/>
      <c r="J748" s="24"/>
      <c r="K748" s="22"/>
      <c r="L748" s="25"/>
      <c r="M748" s="25"/>
      <c r="N748" s="24"/>
      <c r="O748" s="23"/>
      <c r="P748" s="24"/>
      <c r="Q748" s="22"/>
      <c r="R748" s="22"/>
      <c r="S748" s="24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</row>
    <row r="749" spans="1:33">
      <c r="A749" s="22"/>
      <c r="B749" s="22"/>
      <c r="C749" s="22"/>
      <c r="D749" s="22"/>
      <c r="E749" s="23"/>
      <c r="F749" s="22"/>
      <c r="G749" s="24"/>
      <c r="H749" s="22"/>
      <c r="I749" s="22"/>
      <c r="J749" s="24"/>
      <c r="K749" s="22"/>
      <c r="L749" s="25"/>
      <c r="M749" s="25"/>
      <c r="N749" s="24"/>
      <c r="O749" s="23"/>
      <c r="P749" s="24"/>
      <c r="Q749" s="22"/>
      <c r="R749" s="22"/>
      <c r="S749" s="24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</row>
    <row r="750" spans="1:33">
      <c r="A750" s="22"/>
      <c r="B750" s="22"/>
      <c r="C750" s="22"/>
      <c r="D750" s="22"/>
      <c r="E750" s="23"/>
      <c r="F750" s="22"/>
      <c r="G750" s="24"/>
      <c r="H750" s="22"/>
      <c r="I750" s="22"/>
      <c r="J750" s="24"/>
      <c r="K750" s="22"/>
      <c r="L750" s="25"/>
      <c r="M750" s="25"/>
      <c r="N750" s="24"/>
      <c r="O750" s="23"/>
      <c r="P750" s="24"/>
      <c r="Q750" s="22"/>
      <c r="R750" s="22"/>
      <c r="S750" s="24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</row>
    <row r="751" spans="1:33">
      <c r="A751" s="22"/>
      <c r="B751" s="22"/>
      <c r="C751" s="22"/>
      <c r="D751" s="22"/>
      <c r="E751" s="23"/>
      <c r="F751" s="22"/>
      <c r="G751" s="24"/>
      <c r="H751" s="22"/>
      <c r="I751" s="22"/>
      <c r="J751" s="24"/>
      <c r="K751" s="22"/>
      <c r="L751" s="25"/>
      <c r="M751" s="25"/>
      <c r="N751" s="24"/>
      <c r="O751" s="23"/>
      <c r="P751" s="24"/>
      <c r="Q751" s="22"/>
      <c r="R751" s="22"/>
      <c r="S751" s="24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</row>
    <row r="752" spans="1:33">
      <c r="A752" s="22"/>
      <c r="B752" s="22"/>
      <c r="C752" s="22"/>
      <c r="D752" s="22"/>
      <c r="E752" s="23"/>
      <c r="F752" s="22"/>
      <c r="G752" s="24"/>
      <c r="H752" s="22"/>
      <c r="I752" s="22"/>
      <c r="J752" s="24"/>
      <c r="K752" s="22"/>
      <c r="L752" s="25"/>
      <c r="M752" s="25"/>
      <c r="N752" s="24"/>
      <c r="O752" s="23"/>
      <c r="P752" s="24"/>
      <c r="Q752" s="22"/>
      <c r="R752" s="22"/>
      <c r="S752" s="24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</row>
    <row r="753" spans="1:33">
      <c r="A753" s="22"/>
      <c r="B753" s="22"/>
      <c r="C753" s="22"/>
      <c r="D753" s="22"/>
      <c r="E753" s="23"/>
      <c r="F753" s="22"/>
      <c r="G753" s="24"/>
      <c r="H753" s="22"/>
      <c r="I753" s="22"/>
      <c r="J753" s="24"/>
      <c r="K753" s="22"/>
      <c r="L753" s="25"/>
      <c r="M753" s="25"/>
      <c r="N753" s="24"/>
      <c r="O753" s="23"/>
      <c r="P753" s="24"/>
      <c r="Q753" s="22"/>
      <c r="R753" s="22"/>
      <c r="S753" s="24"/>
      <c r="T753" s="24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</row>
    <row r="754" spans="1:33">
      <c r="A754" s="22"/>
      <c r="B754" s="22"/>
      <c r="C754" s="22"/>
      <c r="D754" s="22"/>
      <c r="E754" s="23"/>
      <c r="F754" s="22"/>
      <c r="G754" s="24"/>
      <c r="H754" s="22"/>
      <c r="I754" s="22"/>
      <c r="J754" s="24"/>
      <c r="K754" s="22"/>
      <c r="L754" s="25"/>
      <c r="M754" s="25"/>
      <c r="N754" s="24"/>
      <c r="O754" s="23"/>
      <c r="P754" s="24"/>
      <c r="Q754" s="22"/>
      <c r="R754" s="22"/>
      <c r="S754" s="24"/>
      <c r="T754" s="24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</row>
    <row r="755" spans="1:33">
      <c r="A755" s="22"/>
      <c r="B755" s="22"/>
      <c r="C755" s="22"/>
      <c r="D755" s="22"/>
      <c r="E755" s="23"/>
      <c r="F755" s="22"/>
      <c r="G755" s="24"/>
      <c r="H755" s="22"/>
      <c r="I755" s="22"/>
      <c r="J755" s="24"/>
      <c r="K755" s="22"/>
      <c r="L755" s="25"/>
      <c r="M755" s="25"/>
      <c r="N755" s="24"/>
      <c r="O755" s="23"/>
      <c r="P755" s="24"/>
      <c r="Q755" s="22"/>
      <c r="R755" s="22"/>
      <c r="S755" s="24"/>
      <c r="T755" s="24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</row>
    <row r="756" spans="1:33">
      <c r="A756" s="22"/>
      <c r="B756" s="22"/>
      <c r="C756" s="22"/>
      <c r="D756" s="22"/>
      <c r="E756" s="23"/>
      <c r="F756" s="22"/>
      <c r="G756" s="24"/>
      <c r="H756" s="22"/>
      <c r="I756" s="22"/>
      <c r="J756" s="24"/>
      <c r="K756" s="22"/>
      <c r="L756" s="25"/>
      <c r="M756" s="25"/>
      <c r="N756" s="24"/>
      <c r="O756" s="23"/>
      <c r="P756" s="24"/>
      <c r="Q756" s="22"/>
      <c r="R756" s="22"/>
      <c r="S756" s="24"/>
      <c r="T756" s="24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</row>
    <row r="757" spans="1:33">
      <c r="A757" s="22"/>
      <c r="B757" s="22"/>
      <c r="C757" s="22"/>
      <c r="D757" s="22"/>
      <c r="E757" s="23"/>
      <c r="F757" s="22"/>
      <c r="G757" s="24"/>
      <c r="H757" s="22"/>
      <c r="I757" s="22"/>
      <c r="J757" s="24"/>
      <c r="K757" s="22"/>
      <c r="L757" s="25"/>
      <c r="M757" s="25"/>
      <c r="N757" s="24"/>
      <c r="O757" s="23"/>
      <c r="P757" s="24"/>
      <c r="Q757" s="22"/>
      <c r="R757" s="22"/>
      <c r="S757" s="24"/>
      <c r="T757" s="24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</row>
    <row r="758" spans="1:33">
      <c r="A758" s="22"/>
      <c r="B758" s="22"/>
      <c r="C758" s="22"/>
      <c r="D758" s="22"/>
      <c r="E758" s="23"/>
      <c r="F758" s="22"/>
      <c r="G758" s="24"/>
      <c r="H758" s="22"/>
      <c r="I758" s="22"/>
      <c r="J758" s="24"/>
      <c r="K758" s="22"/>
      <c r="L758" s="25"/>
      <c r="M758" s="25"/>
      <c r="N758" s="24"/>
      <c r="O758" s="23"/>
      <c r="P758" s="24"/>
      <c r="Q758" s="22"/>
      <c r="R758" s="22"/>
      <c r="S758" s="24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</row>
    <row r="759" spans="1:33">
      <c r="A759" s="22"/>
      <c r="B759" s="22"/>
      <c r="C759" s="22"/>
      <c r="D759" s="22"/>
      <c r="E759" s="23"/>
      <c r="F759" s="22"/>
      <c r="G759" s="24"/>
      <c r="H759" s="22"/>
      <c r="I759" s="22"/>
      <c r="J759" s="24"/>
      <c r="K759" s="22"/>
      <c r="L759" s="25"/>
      <c r="M759" s="25"/>
      <c r="N759" s="24"/>
      <c r="O759" s="23"/>
      <c r="P759" s="24"/>
      <c r="Q759" s="22"/>
      <c r="R759" s="22"/>
      <c r="S759" s="24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</row>
    <row r="760" spans="1:33">
      <c r="A760" s="22"/>
      <c r="B760" s="22"/>
      <c r="C760" s="22"/>
      <c r="D760" s="22"/>
      <c r="E760" s="23"/>
      <c r="F760" s="22"/>
      <c r="G760" s="24"/>
      <c r="H760" s="22"/>
      <c r="I760" s="22"/>
      <c r="J760" s="24"/>
      <c r="K760" s="22"/>
      <c r="L760" s="25"/>
      <c r="M760" s="25"/>
      <c r="N760" s="24"/>
      <c r="O760" s="23"/>
      <c r="P760" s="24"/>
      <c r="Q760" s="22"/>
      <c r="R760" s="22"/>
      <c r="S760" s="24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</row>
    <row r="761" spans="1:33">
      <c r="A761" s="22"/>
      <c r="B761" s="22"/>
      <c r="C761" s="22"/>
      <c r="D761" s="22"/>
      <c r="E761" s="23"/>
      <c r="F761" s="22"/>
      <c r="G761" s="24"/>
      <c r="H761" s="22"/>
      <c r="I761" s="22"/>
      <c r="J761" s="24"/>
      <c r="K761" s="22"/>
      <c r="L761" s="25"/>
      <c r="M761" s="25"/>
      <c r="N761" s="24"/>
      <c r="O761" s="23"/>
      <c r="P761" s="24"/>
      <c r="Q761" s="22"/>
      <c r="R761" s="22"/>
      <c r="S761" s="24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</row>
    <row r="762" spans="1:33">
      <c r="A762" s="22"/>
      <c r="B762" s="22"/>
      <c r="C762" s="22"/>
      <c r="D762" s="22"/>
      <c r="E762" s="23"/>
      <c r="F762" s="22"/>
      <c r="G762" s="24"/>
      <c r="H762" s="22"/>
      <c r="I762" s="22"/>
      <c r="J762" s="24"/>
      <c r="K762" s="22"/>
      <c r="L762" s="25"/>
      <c r="M762" s="25"/>
      <c r="N762" s="24"/>
      <c r="O762" s="23"/>
      <c r="P762" s="24"/>
      <c r="Q762" s="22"/>
      <c r="R762" s="22"/>
      <c r="S762" s="24"/>
      <c r="T762" s="24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</row>
    <row r="763" spans="1:33">
      <c r="A763" s="22"/>
      <c r="B763" s="22"/>
      <c r="C763" s="22"/>
      <c r="D763" s="22"/>
      <c r="E763" s="23"/>
      <c r="F763" s="22"/>
      <c r="G763" s="24"/>
      <c r="H763" s="22"/>
      <c r="I763" s="22"/>
      <c r="J763" s="24"/>
      <c r="K763" s="22"/>
      <c r="L763" s="25"/>
      <c r="M763" s="25"/>
      <c r="N763" s="24"/>
      <c r="O763" s="23"/>
      <c r="P763" s="24"/>
      <c r="Q763" s="22"/>
      <c r="R763" s="22"/>
      <c r="S763" s="24"/>
      <c r="T763" s="24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</row>
    <row r="764" spans="1:33">
      <c r="A764" s="22"/>
      <c r="B764" s="22"/>
      <c r="C764" s="22"/>
      <c r="D764" s="22"/>
      <c r="E764" s="23"/>
      <c r="F764" s="22"/>
      <c r="G764" s="24"/>
      <c r="H764" s="22"/>
      <c r="I764" s="22"/>
      <c r="J764" s="24"/>
      <c r="K764" s="22"/>
      <c r="L764" s="25"/>
      <c r="M764" s="25"/>
      <c r="N764" s="24"/>
      <c r="O764" s="23"/>
      <c r="P764" s="24"/>
      <c r="Q764" s="22"/>
      <c r="R764" s="22"/>
      <c r="S764" s="24"/>
      <c r="T764" s="24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</row>
    <row r="765" spans="1:33">
      <c r="A765" s="22"/>
      <c r="B765" s="22"/>
      <c r="C765" s="22"/>
      <c r="D765" s="22"/>
      <c r="E765" s="23"/>
      <c r="F765" s="22"/>
      <c r="G765" s="24"/>
      <c r="H765" s="22"/>
      <c r="I765" s="22"/>
      <c r="J765" s="24"/>
      <c r="K765" s="22"/>
      <c r="L765" s="25"/>
      <c r="M765" s="25"/>
      <c r="N765" s="24"/>
      <c r="O765" s="23"/>
      <c r="P765" s="24"/>
      <c r="Q765" s="22"/>
      <c r="R765" s="22"/>
      <c r="S765" s="24"/>
      <c r="T765" s="24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</row>
    <row r="766" spans="1:33">
      <c r="A766" s="22"/>
      <c r="B766" s="22"/>
      <c r="C766" s="22"/>
      <c r="D766" s="22"/>
      <c r="E766" s="23"/>
      <c r="F766" s="22"/>
      <c r="G766" s="24"/>
      <c r="H766" s="22"/>
      <c r="I766" s="22"/>
      <c r="J766" s="24"/>
      <c r="K766" s="22"/>
      <c r="L766" s="25"/>
      <c r="M766" s="25"/>
      <c r="N766" s="24"/>
      <c r="O766" s="23"/>
      <c r="P766" s="24"/>
      <c r="Q766" s="22"/>
      <c r="R766" s="22"/>
      <c r="S766" s="24"/>
      <c r="T766" s="24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</row>
    <row r="767" spans="1:33">
      <c r="A767" s="22"/>
      <c r="B767" s="22"/>
      <c r="C767" s="22"/>
      <c r="D767" s="22"/>
      <c r="E767" s="23"/>
      <c r="F767" s="22"/>
      <c r="G767" s="24"/>
      <c r="H767" s="22"/>
      <c r="I767" s="22"/>
      <c r="J767" s="24"/>
      <c r="K767" s="22"/>
      <c r="L767" s="25"/>
      <c r="M767" s="25"/>
      <c r="N767" s="24"/>
      <c r="O767" s="23"/>
      <c r="P767" s="24"/>
      <c r="Q767" s="22"/>
      <c r="R767" s="22"/>
      <c r="S767" s="24"/>
      <c r="T767" s="24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</row>
    <row r="768" spans="1:33">
      <c r="A768" s="22"/>
      <c r="B768" s="22"/>
      <c r="C768" s="22"/>
      <c r="D768" s="22"/>
      <c r="E768" s="23"/>
      <c r="F768" s="22"/>
      <c r="G768" s="24"/>
      <c r="H768" s="22"/>
      <c r="I768" s="22"/>
      <c r="J768" s="24"/>
      <c r="K768" s="22"/>
      <c r="L768" s="25"/>
      <c r="M768" s="25"/>
      <c r="N768" s="24"/>
      <c r="O768" s="23"/>
      <c r="P768" s="24"/>
      <c r="Q768" s="22"/>
      <c r="R768" s="22"/>
      <c r="S768" s="24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</row>
    <row r="769" spans="1:33">
      <c r="A769" s="22"/>
      <c r="B769" s="22"/>
      <c r="C769" s="22"/>
      <c r="D769" s="22"/>
      <c r="E769" s="23"/>
      <c r="F769" s="22"/>
      <c r="G769" s="24"/>
      <c r="H769" s="22"/>
      <c r="I769" s="22"/>
      <c r="J769" s="24"/>
      <c r="K769" s="22"/>
      <c r="L769" s="25"/>
      <c r="M769" s="25"/>
      <c r="N769" s="24"/>
      <c r="O769" s="23"/>
      <c r="P769" s="24"/>
      <c r="Q769" s="22"/>
      <c r="R769" s="22"/>
      <c r="S769" s="24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</row>
    <row r="770" spans="1:33">
      <c r="A770" s="22"/>
      <c r="B770" s="22"/>
      <c r="C770" s="22"/>
      <c r="D770" s="22"/>
      <c r="E770" s="23"/>
      <c r="F770" s="22"/>
      <c r="G770" s="24"/>
      <c r="H770" s="22"/>
      <c r="I770" s="22"/>
      <c r="J770" s="24"/>
      <c r="K770" s="22"/>
      <c r="L770" s="25"/>
      <c r="M770" s="25"/>
      <c r="N770" s="24"/>
      <c r="O770" s="23"/>
      <c r="P770" s="24"/>
      <c r="Q770" s="22"/>
      <c r="R770" s="22"/>
      <c r="S770" s="24"/>
      <c r="T770" s="24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</row>
    <row r="771" spans="1:33">
      <c r="A771" s="22"/>
      <c r="B771" s="22"/>
      <c r="C771" s="22"/>
      <c r="D771" s="22"/>
      <c r="E771" s="23"/>
      <c r="F771" s="22"/>
      <c r="G771" s="24"/>
      <c r="H771" s="22"/>
      <c r="I771" s="22"/>
      <c r="J771" s="24"/>
      <c r="K771" s="22"/>
      <c r="L771" s="25"/>
      <c r="M771" s="25"/>
      <c r="N771" s="24"/>
      <c r="O771" s="23"/>
      <c r="P771" s="24"/>
      <c r="Q771" s="22"/>
      <c r="R771" s="22"/>
      <c r="S771" s="24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</row>
    <row r="772" spans="1:33">
      <c r="A772" s="22"/>
      <c r="B772" s="22"/>
      <c r="C772" s="22"/>
      <c r="D772" s="22"/>
      <c r="E772" s="23"/>
      <c r="F772" s="22"/>
      <c r="G772" s="24"/>
      <c r="H772" s="22"/>
      <c r="I772" s="22"/>
      <c r="J772" s="24"/>
      <c r="K772" s="22"/>
      <c r="L772" s="25"/>
      <c r="M772" s="25"/>
      <c r="N772" s="24"/>
      <c r="O772" s="23"/>
      <c r="P772" s="24"/>
      <c r="Q772" s="22"/>
      <c r="R772" s="22"/>
      <c r="S772" s="24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</row>
    <row r="773" spans="1:33">
      <c r="A773" s="22"/>
      <c r="B773" s="22"/>
      <c r="C773" s="22"/>
      <c r="D773" s="22"/>
      <c r="E773" s="23"/>
      <c r="F773" s="22"/>
      <c r="G773" s="24"/>
      <c r="H773" s="22"/>
      <c r="I773" s="22"/>
      <c r="J773" s="24"/>
      <c r="K773" s="22"/>
      <c r="L773" s="25"/>
      <c r="M773" s="25"/>
      <c r="N773" s="24"/>
      <c r="O773" s="23"/>
      <c r="P773" s="24"/>
      <c r="Q773" s="22"/>
      <c r="R773" s="22"/>
      <c r="S773" s="24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</row>
    <row r="774" spans="1:33">
      <c r="A774" s="22"/>
      <c r="B774" s="22"/>
      <c r="C774" s="22"/>
      <c r="D774" s="22"/>
      <c r="E774" s="23"/>
      <c r="F774" s="22"/>
      <c r="G774" s="24"/>
      <c r="H774" s="22"/>
      <c r="I774" s="22"/>
      <c r="J774" s="24"/>
      <c r="K774" s="22"/>
      <c r="L774" s="25"/>
      <c r="M774" s="25"/>
      <c r="N774" s="24"/>
      <c r="O774" s="23"/>
      <c r="P774" s="24"/>
      <c r="Q774" s="22"/>
      <c r="R774" s="22"/>
      <c r="S774" s="24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</row>
    <row r="775" spans="1:33">
      <c r="A775" s="22"/>
      <c r="B775" s="22"/>
      <c r="C775" s="22"/>
      <c r="D775" s="22"/>
      <c r="E775" s="23"/>
      <c r="F775" s="22"/>
      <c r="G775" s="24"/>
      <c r="H775" s="22"/>
      <c r="I775" s="22"/>
      <c r="J775" s="24"/>
      <c r="K775" s="22"/>
      <c r="L775" s="25"/>
      <c r="M775" s="25"/>
      <c r="N775" s="24"/>
      <c r="O775" s="23"/>
      <c r="P775" s="24"/>
      <c r="Q775" s="22"/>
      <c r="R775" s="22"/>
      <c r="S775" s="24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</row>
    <row r="776" spans="1:33">
      <c r="A776" s="22"/>
      <c r="B776" s="22"/>
      <c r="C776" s="22"/>
      <c r="D776" s="22"/>
      <c r="E776" s="23"/>
      <c r="F776" s="22"/>
      <c r="G776" s="24"/>
      <c r="H776" s="22"/>
      <c r="I776" s="22"/>
      <c r="J776" s="24"/>
      <c r="K776" s="22"/>
      <c r="L776" s="25"/>
      <c r="M776" s="25"/>
      <c r="N776" s="24"/>
      <c r="O776" s="23"/>
      <c r="P776" s="24"/>
      <c r="Q776" s="22"/>
      <c r="R776" s="22"/>
      <c r="S776" s="24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</row>
    <row r="777" spans="1:33">
      <c r="A777" s="22"/>
      <c r="B777" s="22"/>
      <c r="C777" s="22"/>
      <c r="D777" s="22"/>
      <c r="E777" s="23"/>
      <c r="F777" s="22"/>
      <c r="G777" s="24"/>
      <c r="H777" s="22"/>
      <c r="I777" s="22"/>
      <c r="J777" s="24"/>
      <c r="K777" s="22"/>
      <c r="L777" s="25"/>
      <c r="M777" s="25"/>
      <c r="N777" s="24"/>
      <c r="O777" s="23"/>
      <c r="P777" s="24"/>
      <c r="Q777" s="22"/>
      <c r="R777" s="22"/>
      <c r="S777" s="24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</row>
    <row r="778" spans="1:33">
      <c r="A778" s="22"/>
      <c r="B778" s="22"/>
      <c r="C778" s="22"/>
      <c r="D778" s="22"/>
      <c r="E778" s="23"/>
      <c r="F778" s="22"/>
      <c r="G778" s="24"/>
      <c r="H778" s="22"/>
      <c r="I778" s="22"/>
      <c r="J778" s="24"/>
      <c r="K778" s="22"/>
      <c r="L778" s="25"/>
      <c r="M778" s="25"/>
      <c r="N778" s="24"/>
      <c r="O778" s="23"/>
      <c r="P778" s="24"/>
      <c r="Q778" s="22"/>
      <c r="R778" s="22"/>
      <c r="S778" s="24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</row>
    <row r="779" spans="1:33">
      <c r="A779" s="22"/>
      <c r="B779" s="22"/>
      <c r="C779" s="22"/>
      <c r="D779" s="22"/>
      <c r="E779" s="23"/>
      <c r="F779" s="22"/>
      <c r="G779" s="24"/>
      <c r="H779" s="22"/>
      <c r="I779" s="22"/>
      <c r="J779" s="24"/>
      <c r="K779" s="22"/>
      <c r="L779" s="25"/>
      <c r="M779" s="25"/>
      <c r="N779" s="24"/>
      <c r="O779" s="23"/>
      <c r="P779" s="24"/>
      <c r="Q779" s="22"/>
      <c r="R779" s="22"/>
      <c r="S779" s="24"/>
      <c r="T779" s="24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</row>
    <row r="780" spans="1:33">
      <c r="A780" s="22"/>
      <c r="B780" s="22"/>
      <c r="C780" s="22"/>
      <c r="D780" s="22"/>
      <c r="E780" s="23"/>
      <c r="F780" s="22"/>
      <c r="G780" s="24"/>
      <c r="H780" s="22"/>
      <c r="I780" s="22"/>
      <c r="J780" s="24"/>
      <c r="K780" s="22"/>
      <c r="L780" s="25"/>
      <c r="M780" s="25"/>
      <c r="N780" s="24"/>
      <c r="O780" s="23"/>
      <c r="P780" s="24"/>
      <c r="Q780" s="22"/>
      <c r="R780" s="22"/>
      <c r="S780" s="24"/>
      <c r="T780" s="24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</row>
    <row r="781" spans="1:33">
      <c r="A781" s="22"/>
      <c r="B781" s="22"/>
      <c r="C781" s="22"/>
      <c r="D781" s="22"/>
      <c r="E781" s="23"/>
      <c r="F781" s="22"/>
      <c r="G781" s="24"/>
      <c r="H781" s="22"/>
      <c r="I781" s="22"/>
      <c r="J781" s="24"/>
      <c r="K781" s="22"/>
      <c r="L781" s="25"/>
      <c r="M781" s="25"/>
      <c r="N781" s="24"/>
      <c r="O781" s="23"/>
      <c r="P781" s="24"/>
      <c r="Q781" s="22"/>
      <c r="R781" s="22"/>
      <c r="S781" s="24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</row>
    <row r="782" spans="1:33">
      <c r="A782" s="22"/>
      <c r="B782" s="22"/>
      <c r="C782" s="22"/>
      <c r="D782" s="22"/>
      <c r="E782" s="23"/>
      <c r="F782" s="22"/>
      <c r="G782" s="24"/>
      <c r="H782" s="22"/>
      <c r="I782" s="22"/>
      <c r="J782" s="24"/>
      <c r="K782" s="22"/>
      <c r="L782" s="25"/>
      <c r="M782" s="25"/>
      <c r="N782" s="24"/>
      <c r="O782" s="23"/>
      <c r="P782" s="24"/>
      <c r="Q782" s="22"/>
      <c r="R782" s="22"/>
      <c r="S782" s="24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</row>
    <row r="783" spans="1:33">
      <c r="A783" s="22"/>
      <c r="B783" s="22"/>
      <c r="C783" s="22"/>
      <c r="D783" s="22"/>
      <c r="E783" s="23"/>
      <c r="F783" s="22"/>
      <c r="G783" s="24"/>
      <c r="H783" s="22"/>
      <c r="I783" s="22"/>
      <c r="J783" s="24"/>
      <c r="K783" s="22"/>
      <c r="L783" s="25"/>
      <c r="M783" s="25"/>
      <c r="N783" s="24"/>
      <c r="O783" s="23"/>
      <c r="P783" s="24"/>
      <c r="Q783" s="22"/>
      <c r="R783" s="22"/>
      <c r="S783" s="24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</row>
    <row r="784" spans="1:33">
      <c r="A784" s="22"/>
      <c r="B784" s="22"/>
      <c r="C784" s="22"/>
      <c r="D784" s="22"/>
      <c r="E784" s="23"/>
      <c r="F784" s="22"/>
      <c r="G784" s="24"/>
      <c r="H784" s="22"/>
      <c r="I784" s="22"/>
      <c r="J784" s="24"/>
      <c r="K784" s="22"/>
      <c r="L784" s="25"/>
      <c r="M784" s="25"/>
      <c r="N784" s="24"/>
      <c r="O784" s="23"/>
      <c r="P784" s="24"/>
      <c r="Q784" s="22"/>
      <c r="R784" s="22"/>
      <c r="S784" s="24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</row>
    <row r="785" spans="1:33">
      <c r="A785" s="22"/>
      <c r="B785" s="22"/>
      <c r="C785" s="22"/>
      <c r="D785" s="22"/>
      <c r="E785" s="23"/>
      <c r="F785" s="22"/>
      <c r="G785" s="24"/>
      <c r="H785" s="22"/>
      <c r="I785" s="22"/>
      <c r="J785" s="24"/>
      <c r="K785" s="22"/>
      <c r="L785" s="25"/>
      <c r="M785" s="25"/>
      <c r="N785" s="24"/>
      <c r="O785" s="23"/>
      <c r="P785" s="24"/>
      <c r="Q785" s="22"/>
      <c r="R785" s="22"/>
      <c r="S785" s="24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</row>
    <row r="786" spans="1:33">
      <c r="A786" s="22"/>
      <c r="B786" s="22"/>
      <c r="C786" s="22"/>
      <c r="D786" s="22"/>
      <c r="E786" s="23"/>
      <c r="F786" s="22"/>
      <c r="G786" s="24"/>
      <c r="H786" s="22"/>
      <c r="I786" s="22"/>
      <c r="J786" s="24"/>
      <c r="K786" s="22"/>
      <c r="L786" s="25"/>
      <c r="M786" s="25"/>
      <c r="N786" s="24"/>
      <c r="O786" s="23"/>
      <c r="P786" s="24"/>
      <c r="Q786" s="22"/>
      <c r="R786" s="22"/>
      <c r="S786" s="24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</row>
    <row r="787" spans="1:33">
      <c r="A787" s="22"/>
      <c r="B787" s="22"/>
      <c r="C787" s="22"/>
      <c r="D787" s="22"/>
      <c r="E787" s="23"/>
      <c r="F787" s="22"/>
      <c r="G787" s="24"/>
      <c r="H787" s="22"/>
      <c r="I787" s="22"/>
      <c r="J787" s="24"/>
      <c r="K787" s="22"/>
      <c r="L787" s="25"/>
      <c r="M787" s="25"/>
      <c r="N787" s="24"/>
      <c r="O787" s="23"/>
      <c r="P787" s="24"/>
      <c r="Q787" s="22"/>
      <c r="R787" s="22"/>
      <c r="S787" s="24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</row>
    <row r="788" spans="1:33">
      <c r="A788" s="22"/>
      <c r="B788" s="22"/>
      <c r="C788" s="22"/>
      <c r="D788" s="22"/>
      <c r="E788" s="23"/>
      <c r="F788" s="22"/>
      <c r="G788" s="24"/>
      <c r="H788" s="22"/>
      <c r="I788" s="22"/>
      <c r="J788" s="24"/>
      <c r="K788" s="22"/>
      <c r="L788" s="25"/>
      <c r="M788" s="25"/>
      <c r="N788" s="24"/>
      <c r="O788" s="23"/>
      <c r="P788" s="24"/>
      <c r="Q788" s="22"/>
      <c r="R788" s="22"/>
      <c r="S788" s="24"/>
      <c r="T788" s="24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</row>
    <row r="789" spans="1:33">
      <c r="A789" s="22"/>
      <c r="B789" s="22"/>
      <c r="C789" s="22"/>
      <c r="D789" s="22"/>
      <c r="E789" s="23"/>
      <c r="F789" s="22"/>
      <c r="G789" s="24"/>
      <c r="H789" s="22"/>
      <c r="I789" s="22"/>
      <c r="J789" s="24"/>
      <c r="K789" s="22"/>
      <c r="L789" s="25"/>
      <c r="M789" s="25"/>
      <c r="N789" s="24"/>
      <c r="O789" s="23"/>
      <c r="P789" s="24"/>
      <c r="Q789" s="22"/>
      <c r="R789" s="22"/>
      <c r="S789" s="24"/>
      <c r="T789" s="24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</row>
    <row r="790" spans="1:33">
      <c r="A790" s="22"/>
      <c r="B790" s="22"/>
      <c r="C790" s="22"/>
      <c r="D790" s="22"/>
      <c r="E790" s="23"/>
      <c r="F790" s="22"/>
      <c r="G790" s="24"/>
      <c r="H790" s="22"/>
      <c r="I790" s="22"/>
      <c r="J790" s="24"/>
      <c r="K790" s="22"/>
      <c r="L790" s="25"/>
      <c r="M790" s="25"/>
      <c r="N790" s="24"/>
      <c r="O790" s="23"/>
      <c r="P790" s="24"/>
      <c r="Q790" s="22"/>
      <c r="R790" s="22"/>
      <c r="S790" s="24"/>
      <c r="T790" s="24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</row>
    <row r="791" spans="1:33">
      <c r="A791" s="22"/>
      <c r="B791" s="22"/>
      <c r="C791" s="22"/>
      <c r="D791" s="22"/>
      <c r="E791" s="23"/>
      <c r="F791" s="22"/>
      <c r="G791" s="24"/>
      <c r="H791" s="22"/>
      <c r="I791" s="22"/>
      <c r="J791" s="24"/>
      <c r="K791" s="22"/>
      <c r="L791" s="25"/>
      <c r="M791" s="25"/>
      <c r="N791" s="24"/>
      <c r="O791" s="23"/>
      <c r="P791" s="24"/>
      <c r="Q791" s="22"/>
      <c r="R791" s="22"/>
      <c r="S791" s="24"/>
      <c r="T791" s="24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</row>
    <row r="792" spans="1:33">
      <c r="A792" s="22"/>
      <c r="B792" s="22"/>
      <c r="C792" s="22"/>
      <c r="D792" s="22"/>
      <c r="E792" s="23"/>
      <c r="F792" s="22"/>
      <c r="G792" s="24"/>
      <c r="H792" s="22"/>
      <c r="I792" s="22"/>
      <c r="J792" s="24"/>
      <c r="K792" s="22"/>
      <c r="L792" s="25"/>
      <c r="M792" s="25"/>
      <c r="N792" s="24"/>
      <c r="O792" s="23"/>
      <c r="P792" s="24"/>
      <c r="Q792" s="22"/>
      <c r="R792" s="22"/>
      <c r="S792" s="24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</row>
    <row r="793" spans="1:33">
      <c r="A793" s="22"/>
      <c r="B793" s="22"/>
      <c r="C793" s="22"/>
      <c r="D793" s="22"/>
      <c r="E793" s="23"/>
      <c r="F793" s="22"/>
      <c r="G793" s="24"/>
      <c r="H793" s="22"/>
      <c r="I793" s="22"/>
      <c r="J793" s="24"/>
      <c r="K793" s="22"/>
      <c r="L793" s="25"/>
      <c r="M793" s="25"/>
      <c r="N793" s="24"/>
      <c r="O793" s="23"/>
      <c r="P793" s="24"/>
      <c r="Q793" s="22"/>
      <c r="R793" s="22"/>
      <c r="S793" s="24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</row>
    <row r="794" spans="1:33">
      <c r="A794" s="22"/>
      <c r="B794" s="22"/>
      <c r="C794" s="22"/>
      <c r="D794" s="22"/>
      <c r="E794" s="23"/>
      <c r="F794" s="22"/>
      <c r="G794" s="24"/>
      <c r="H794" s="22"/>
      <c r="I794" s="22"/>
      <c r="J794" s="24"/>
      <c r="K794" s="22"/>
      <c r="L794" s="25"/>
      <c r="M794" s="25"/>
      <c r="N794" s="24"/>
      <c r="O794" s="23"/>
      <c r="P794" s="24"/>
      <c r="Q794" s="22"/>
      <c r="R794" s="22"/>
      <c r="S794" s="24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</row>
    <row r="795" spans="1:33">
      <c r="A795" s="22"/>
      <c r="B795" s="22"/>
      <c r="C795" s="22"/>
      <c r="D795" s="22"/>
      <c r="E795" s="23"/>
      <c r="F795" s="22"/>
      <c r="G795" s="24"/>
      <c r="H795" s="22"/>
      <c r="I795" s="22"/>
      <c r="J795" s="24"/>
      <c r="K795" s="22"/>
      <c r="L795" s="25"/>
      <c r="M795" s="25"/>
      <c r="N795" s="24"/>
      <c r="O795" s="23"/>
      <c r="P795" s="24"/>
      <c r="Q795" s="22"/>
      <c r="R795" s="22"/>
      <c r="S795" s="24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</row>
    <row r="796" spans="1:33">
      <c r="A796" s="22"/>
      <c r="B796" s="22"/>
      <c r="C796" s="22"/>
      <c r="D796" s="22"/>
      <c r="E796" s="23"/>
      <c r="F796" s="22"/>
      <c r="G796" s="24"/>
      <c r="H796" s="22"/>
      <c r="I796" s="22"/>
      <c r="J796" s="24"/>
      <c r="K796" s="22"/>
      <c r="L796" s="25"/>
      <c r="M796" s="25"/>
      <c r="N796" s="24"/>
      <c r="O796" s="23"/>
      <c r="P796" s="24"/>
      <c r="Q796" s="22"/>
      <c r="R796" s="22"/>
      <c r="S796" s="24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</row>
    <row r="797" spans="1:33">
      <c r="A797" s="22"/>
      <c r="B797" s="22"/>
      <c r="C797" s="22"/>
      <c r="D797" s="22"/>
      <c r="E797" s="23"/>
      <c r="F797" s="22"/>
      <c r="G797" s="24"/>
      <c r="H797" s="22"/>
      <c r="I797" s="22"/>
      <c r="J797" s="24"/>
      <c r="K797" s="22"/>
      <c r="L797" s="25"/>
      <c r="M797" s="25"/>
      <c r="N797" s="24"/>
      <c r="O797" s="23"/>
      <c r="P797" s="24"/>
      <c r="Q797" s="22"/>
      <c r="R797" s="22"/>
      <c r="S797" s="24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</row>
    <row r="798" spans="1:33">
      <c r="A798" s="22"/>
      <c r="B798" s="22"/>
      <c r="C798" s="22"/>
      <c r="D798" s="22"/>
      <c r="E798" s="23"/>
      <c r="F798" s="22"/>
      <c r="G798" s="24"/>
      <c r="H798" s="22"/>
      <c r="I798" s="22"/>
      <c r="J798" s="24"/>
      <c r="K798" s="22"/>
      <c r="L798" s="25"/>
      <c r="M798" s="25"/>
      <c r="N798" s="24"/>
      <c r="O798" s="23"/>
      <c r="P798" s="24"/>
      <c r="Q798" s="22"/>
      <c r="R798" s="22"/>
      <c r="S798" s="24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</row>
    <row r="799" spans="1:33">
      <c r="A799" s="22"/>
      <c r="B799" s="22"/>
      <c r="C799" s="22"/>
      <c r="D799" s="22"/>
      <c r="E799" s="23"/>
      <c r="F799" s="22"/>
      <c r="G799" s="24"/>
      <c r="H799" s="22"/>
      <c r="I799" s="22"/>
      <c r="J799" s="24"/>
      <c r="K799" s="22"/>
      <c r="L799" s="25"/>
      <c r="M799" s="25"/>
      <c r="N799" s="24"/>
      <c r="O799" s="23"/>
      <c r="P799" s="24"/>
      <c r="Q799" s="22"/>
      <c r="R799" s="22"/>
      <c r="S799" s="24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</row>
    <row r="800" spans="1:33">
      <c r="A800" s="22"/>
      <c r="B800" s="22"/>
      <c r="C800" s="22"/>
      <c r="D800" s="22"/>
      <c r="E800" s="23"/>
      <c r="F800" s="22"/>
      <c r="G800" s="24"/>
      <c r="H800" s="22"/>
      <c r="I800" s="22"/>
      <c r="J800" s="24"/>
      <c r="K800" s="22"/>
      <c r="L800" s="25"/>
      <c r="M800" s="25"/>
      <c r="N800" s="22"/>
      <c r="O800" s="23"/>
      <c r="P800" s="24"/>
      <c r="Q800" s="22"/>
      <c r="R800" s="22"/>
      <c r="S800" s="24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</row>
    <row r="801" spans="1:33">
      <c r="A801" s="22"/>
      <c r="B801" s="22"/>
      <c r="C801" s="22"/>
      <c r="D801" s="22"/>
      <c r="E801" s="23"/>
      <c r="F801" s="22"/>
      <c r="G801" s="24"/>
      <c r="H801" s="22"/>
      <c r="I801" s="22"/>
      <c r="J801" s="24"/>
      <c r="K801" s="22"/>
      <c r="L801" s="25"/>
      <c r="M801" s="25"/>
      <c r="N801" s="22"/>
      <c r="O801" s="23"/>
      <c r="P801" s="24"/>
      <c r="Q801" s="22"/>
      <c r="R801" s="22"/>
      <c r="S801" s="24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</row>
    <row r="802" spans="1:33">
      <c r="A802" s="22"/>
      <c r="B802" s="22"/>
      <c r="C802" s="22"/>
      <c r="D802" s="22"/>
      <c r="E802" s="23"/>
      <c r="F802" s="22"/>
      <c r="G802" s="24"/>
      <c r="H802" s="22"/>
      <c r="I802" s="22"/>
      <c r="J802" s="24"/>
      <c r="K802" s="22"/>
      <c r="L802" s="25"/>
      <c r="M802" s="25"/>
      <c r="N802" s="24"/>
      <c r="O802" s="23"/>
      <c r="P802" s="24"/>
      <c r="Q802" s="22"/>
      <c r="R802" s="22"/>
      <c r="S802" s="24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</row>
    <row r="803" spans="1:33">
      <c r="A803" s="22"/>
      <c r="B803" s="22"/>
      <c r="C803" s="22"/>
      <c r="D803" s="22"/>
      <c r="E803" s="23"/>
      <c r="F803" s="22"/>
      <c r="G803" s="24"/>
      <c r="H803" s="22"/>
      <c r="I803" s="22"/>
      <c r="J803" s="24"/>
      <c r="K803" s="22"/>
      <c r="L803" s="25"/>
      <c r="M803" s="25"/>
      <c r="N803" s="24"/>
      <c r="O803" s="23"/>
      <c r="P803" s="24"/>
      <c r="Q803" s="22"/>
      <c r="R803" s="22"/>
      <c r="S803" s="24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</row>
    <row r="804" spans="1:33">
      <c r="A804" s="22"/>
      <c r="B804" s="22"/>
      <c r="C804" s="22"/>
      <c r="D804" s="22"/>
      <c r="E804" s="23"/>
      <c r="F804" s="22"/>
      <c r="G804" s="24"/>
      <c r="H804" s="22"/>
      <c r="I804" s="22"/>
      <c r="J804" s="24"/>
      <c r="K804" s="22"/>
      <c r="L804" s="25"/>
      <c r="M804" s="25"/>
      <c r="N804" s="24"/>
      <c r="O804" s="23"/>
      <c r="P804" s="24"/>
      <c r="Q804" s="22"/>
      <c r="R804" s="22"/>
      <c r="S804" s="24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</row>
    <row r="805" spans="1:33">
      <c r="A805" s="22"/>
      <c r="B805" s="22"/>
      <c r="C805" s="22"/>
      <c r="D805" s="22"/>
      <c r="E805" s="23"/>
      <c r="F805" s="22"/>
      <c r="G805" s="24"/>
      <c r="H805" s="22"/>
      <c r="I805" s="22"/>
      <c r="J805" s="24"/>
      <c r="K805" s="22"/>
      <c r="L805" s="25"/>
      <c r="M805" s="25"/>
      <c r="N805" s="24"/>
      <c r="O805" s="23"/>
      <c r="P805" s="24"/>
      <c r="Q805" s="22"/>
      <c r="R805" s="22"/>
      <c r="S805" s="24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</row>
    <row r="806" spans="1:33">
      <c r="A806" s="22"/>
      <c r="B806" s="22"/>
      <c r="C806" s="22"/>
      <c r="D806" s="22"/>
      <c r="E806" s="23"/>
      <c r="F806" s="22"/>
      <c r="G806" s="24"/>
      <c r="H806" s="22"/>
      <c r="I806" s="22"/>
      <c r="J806" s="24"/>
      <c r="K806" s="22"/>
      <c r="L806" s="25"/>
      <c r="M806" s="25"/>
      <c r="N806" s="24"/>
      <c r="O806" s="23"/>
      <c r="P806" s="24"/>
      <c r="Q806" s="22"/>
      <c r="R806" s="22"/>
      <c r="S806" s="24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</row>
    <row r="807" spans="1:33">
      <c r="A807" s="22"/>
      <c r="B807" s="22"/>
      <c r="C807" s="22"/>
      <c r="D807" s="22"/>
      <c r="E807" s="23"/>
      <c r="F807" s="22"/>
      <c r="G807" s="24"/>
      <c r="H807" s="22"/>
      <c r="I807" s="22"/>
      <c r="J807" s="24"/>
      <c r="K807" s="22"/>
      <c r="L807" s="25"/>
      <c r="M807" s="25"/>
      <c r="N807" s="24"/>
      <c r="O807" s="23"/>
      <c r="P807" s="24"/>
      <c r="Q807" s="22"/>
      <c r="R807" s="22"/>
      <c r="S807" s="24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</row>
    <row r="808" spans="1:33">
      <c r="A808" s="22"/>
      <c r="B808" s="22"/>
      <c r="C808" s="22"/>
      <c r="D808" s="22"/>
      <c r="E808" s="23"/>
      <c r="F808" s="22"/>
      <c r="G808" s="24"/>
      <c r="H808" s="22"/>
      <c r="I808" s="22"/>
      <c r="J808" s="24"/>
      <c r="K808" s="22"/>
      <c r="L808" s="25"/>
      <c r="M808" s="25"/>
      <c r="N808" s="24"/>
      <c r="O808" s="23"/>
      <c r="P808" s="24"/>
      <c r="Q808" s="22"/>
      <c r="R808" s="22"/>
      <c r="S808" s="24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</row>
    <row r="809" spans="1:33">
      <c r="A809" s="22"/>
      <c r="B809" s="22"/>
      <c r="C809" s="22"/>
      <c r="D809" s="22"/>
      <c r="E809" s="23"/>
      <c r="F809" s="22"/>
      <c r="G809" s="24"/>
      <c r="H809" s="22"/>
      <c r="I809" s="22"/>
      <c r="J809" s="24"/>
      <c r="K809" s="22"/>
      <c r="L809" s="25"/>
      <c r="M809" s="25"/>
      <c r="N809" s="24"/>
      <c r="O809" s="23"/>
      <c r="P809" s="24"/>
      <c r="Q809" s="22"/>
      <c r="R809" s="22"/>
      <c r="S809" s="24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</row>
    <row r="810" spans="1:33">
      <c r="A810" s="22"/>
      <c r="B810" s="22"/>
      <c r="C810" s="22"/>
      <c r="D810" s="22"/>
      <c r="E810" s="23"/>
      <c r="F810" s="22"/>
      <c r="G810" s="24"/>
      <c r="H810" s="22"/>
      <c r="I810" s="22"/>
      <c r="J810" s="24"/>
      <c r="K810" s="22"/>
      <c r="L810" s="25"/>
      <c r="M810" s="25"/>
      <c r="N810" s="24"/>
      <c r="O810" s="23"/>
      <c r="P810" s="24"/>
      <c r="Q810" s="22"/>
      <c r="R810" s="22"/>
      <c r="S810" s="24"/>
      <c r="T810" s="24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</row>
    <row r="811" spans="1:33">
      <c r="A811" s="22"/>
      <c r="B811" s="22"/>
      <c r="C811" s="22"/>
      <c r="D811" s="22"/>
      <c r="E811" s="23"/>
      <c r="F811" s="22"/>
      <c r="G811" s="24"/>
      <c r="H811" s="22"/>
      <c r="I811" s="22"/>
      <c r="J811" s="24"/>
      <c r="K811" s="22"/>
      <c r="L811" s="25"/>
      <c r="M811" s="25"/>
      <c r="N811" s="24"/>
      <c r="O811" s="23"/>
      <c r="P811" s="24"/>
      <c r="Q811" s="22"/>
      <c r="R811" s="22"/>
      <c r="S811" s="24"/>
      <c r="T811" s="24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</row>
    <row r="812" spans="1:33">
      <c r="A812" s="22"/>
      <c r="B812" s="22"/>
      <c r="C812" s="22"/>
      <c r="D812" s="22"/>
      <c r="E812" s="23"/>
      <c r="F812" s="22"/>
      <c r="G812" s="24"/>
      <c r="H812" s="22"/>
      <c r="I812" s="22"/>
      <c r="J812" s="24"/>
      <c r="K812" s="22"/>
      <c r="L812" s="25"/>
      <c r="M812" s="25"/>
      <c r="N812" s="24"/>
      <c r="O812" s="23"/>
      <c r="P812" s="24"/>
      <c r="Q812" s="22"/>
      <c r="R812" s="22"/>
      <c r="S812" s="24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</row>
    <row r="813" spans="1:33">
      <c r="A813" s="22"/>
      <c r="B813" s="22"/>
      <c r="C813" s="22"/>
      <c r="D813" s="22"/>
      <c r="E813" s="23"/>
      <c r="F813" s="22"/>
      <c r="G813" s="24"/>
      <c r="H813" s="22"/>
      <c r="I813" s="22"/>
      <c r="J813" s="24"/>
      <c r="K813" s="22"/>
      <c r="L813" s="25"/>
      <c r="M813" s="25"/>
      <c r="N813" s="24"/>
      <c r="O813" s="23"/>
      <c r="P813" s="24"/>
      <c r="Q813" s="22"/>
      <c r="R813" s="22"/>
      <c r="S813" s="24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</row>
    <row r="814" spans="1:33">
      <c r="A814" s="22"/>
      <c r="B814" s="22"/>
      <c r="C814" s="22"/>
      <c r="D814" s="22"/>
      <c r="E814" s="23"/>
      <c r="F814" s="22"/>
      <c r="G814" s="24"/>
      <c r="H814" s="22"/>
      <c r="I814" s="22"/>
      <c r="J814" s="24"/>
      <c r="K814" s="22"/>
      <c r="L814" s="25"/>
      <c r="M814" s="25"/>
      <c r="N814" s="24"/>
      <c r="O814" s="23"/>
      <c r="P814" s="24"/>
      <c r="Q814" s="22"/>
      <c r="R814" s="22"/>
      <c r="S814" s="24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</row>
    <row r="815" spans="1:33">
      <c r="A815" s="22"/>
      <c r="B815" s="22"/>
      <c r="C815" s="22"/>
      <c r="D815" s="22"/>
      <c r="E815" s="23"/>
      <c r="F815" s="22"/>
      <c r="G815" s="24"/>
      <c r="H815" s="22"/>
      <c r="I815" s="22"/>
      <c r="J815" s="24"/>
      <c r="K815" s="22"/>
      <c r="L815" s="25"/>
      <c r="M815" s="25"/>
      <c r="N815" s="24"/>
      <c r="O815" s="23"/>
      <c r="P815" s="24"/>
      <c r="Q815" s="22"/>
      <c r="R815" s="22"/>
      <c r="S815" s="24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</row>
    <row r="816" spans="1:33">
      <c r="A816" s="22"/>
      <c r="B816" s="22"/>
      <c r="C816" s="22"/>
      <c r="D816" s="22"/>
      <c r="E816" s="23"/>
      <c r="F816" s="22"/>
      <c r="G816" s="24"/>
      <c r="H816" s="22"/>
      <c r="I816" s="22"/>
      <c r="J816" s="24"/>
      <c r="K816" s="22"/>
      <c r="L816" s="25"/>
      <c r="M816" s="25"/>
      <c r="N816" s="22"/>
      <c r="O816" s="23"/>
      <c r="P816" s="24"/>
      <c r="Q816" s="22"/>
      <c r="R816" s="22"/>
      <c r="S816" s="24"/>
      <c r="T816" s="24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</row>
    <row r="817" spans="1:33">
      <c r="A817" s="22"/>
      <c r="B817" s="22"/>
      <c r="C817" s="22"/>
      <c r="D817" s="22"/>
      <c r="E817" s="23"/>
      <c r="F817" s="22"/>
      <c r="G817" s="24"/>
      <c r="H817" s="22"/>
      <c r="I817" s="22"/>
      <c r="J817" s="24"/>
      <c r="K817" s="22"/>
      <c r="L817" s="25"/>
      <c r="M817" s="25"/>
      <c r="N817" s="24"/>
      <c r="O817" s="23"/>
      <c r="P817" s="24"/>
      <c r="Q817" s="22"/>
      <c r="R817" s="22"/>
      <c r="S817" s="24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</row>
    <row r="818" spans="1:33">
      <c r="A818" s="22"/>
      <c r="B818" s="22"/>
      <c r="C818" s="22"/>
      <c r="D818" s="22"/>
      <c r="E818" s="23"/>
      <c r="F818" s="22"/>
      <c r="G818" s="24"/>
      <c r="H818" s="22"/>
      <c r="I818" s="22"/>
      <c r="J818" s="24"/>
      <c r="K818" s="22"/>
      <c r="L818" s="25"/>
      <c r="M818" s="25"/>
      <c r="N818" s="22"/>
      <c r="O818" s="23"/>
      <c r="P818" s="24"/>
      <c r="Q818" s="22"/>
      <c r="R818" s="22"/>
      <c r="S818" s="24"/>
      <c r="T818" s="24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</row>
    <row r="819" spans="1:33">
      <c r="A819" s="22"/>
      <c r="B819" s="22"/>
      <c r="C819" s="22"/>
      <c r="D819" s="22"/>
      <c r="E819" s="23"/>
      <c r="F819" s="22"/>
      <c r="G819" s="24"/>
      <c r="H819" s="22"/>
      <c r="I819" s="22"/>
      <c r="J819" s="24"/>
      <c r="K819" s="22"/>
      <c r="L819" s="25"/>
      <c r="M819" s="25"/>
      <c r="N819" s="24"/>
      <c r="O819" s="23"/>
      <c r="P819" s="24"/>
      <c r="Q819" s="22"/>
      <c r="R819" s="22"/>
      <c r="S819" s="24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</row>
    <row r="820" spans="1:33">
      <c r="A820" s="22"/>
      <c r="B820" s="22"/>
      <c r="C820" s="22"/>
      <c r="D820" s="22"/>
      <c r="E820" s="23"/>
      <c r="F820" s="22"/>
      <c r="G820" s="24"/>
      <c r="H820" s="22"/>
      <c r="I820" s="22"/>
      <c r="J820" s="24"/>
      <c r="K820" s="22"/>
      <c r="L820" s="25"/>
      <c r="M820" s="25"/>
      <c r="N820" s="24"/>
      <c r="O820" s="23"/>
      <c r="P820" s="24"/>
      <c r="Q820" s="22"/>
      <c r="R820" s="22"/>
      <c r="S820" s="24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</row>
    <row r="821" spans="1:33">
      <c r="A821" s="22"/>
      <c r="B821" s="22"/>
      <c r="C821" s="22"/>
      <c r="D821" s="22"/>
      <c r="E821" s="23"/>
      <c r="F821" s="22"/>
      <c r="G821" s="24"/>
      <c r="H821" s="22"/>
      <c r="I821" s="22"/>
      <c r="J821" s="24"/>
      <c r="K821" s="22"/>
      <c r="L821" s="25"/>
      <c r="M821" s="25"/>
      <c r="N821" s="24"/>
      <c r="O821" s="23"/>
      <c r="P821" s="24"/>
      <c r="Q821" s="22"/>
      <c r="R821" s="22"/>
      <c r="S821" s="24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</row>
    <row r="822" spans="1:33">
      <c r="A822" s="22"/>
      <c r="B822" s="22"/>
      <c r="C822" s="22"/>
      <c r="D822" s="22"/>
      <c r="E822" s="23"/>
      <c r="F822" s="22"/>
      <c r="G822" s="24"/>
      <c r="H822" s="22"/>
      <c r="I822" s="22"/>
      <c r="J822" s="24"/>
      <c r="K822" s="22"/>
      <c r="L822" s="25"/>
      <c r="M822" s="25"/>
      <c r="N822" s="24"/>
      <c r="O822" s="23"/>
      <c r="P822" s="24"/>
      <c r="Q822" s="22"/>
      <c r="R822" s="22"/>
      <c r="S822" s="24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</row>
    <row r="823" spans="1:33">
      <c r="A823" s="22"/>
      <c r="B823" s="22"/>
      <c r="C823" s="22"/>
      <c r="D823" s="22"/>
      <c r="E823" s="23"/>
      <c r="F823" s="22"/>
      <c r="G823" s="24"/>
      <c r="H823" s="22"/>
      <c r="I823" s="22"/>
      <c r="J823" s="24"/>
      <c r="K823" s="22"/>
      <c r="L823" s="25"/>
      <c r="M823" s="25"/>
      <c r="N823" s="24"/>
      <c r="O823" s="23"/>
      <c r="P823" s="24"/>
      <c r="Q823" s="22"/>
      <c r="R823" s="22"/>
      <c r="S823" s="24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</row>
    <row r="824" spans="1:33">
      <c r="A824" s="22"/>
      <c r="B824" s="22"/>
      <c r="C824" s="22"/>
      <c r="D824" s="22"/>
      <c r="E824" s="23"/>
      <c r="F824" s="22"/>
      <c r="G824" s="24"/>
      <c r="H824" s="22"/>
      <c r="I824" s="22"/>
      <c r="J824" s="24"/>
      <c r="K824" s="22"/>
      <c r="L824" s="25"/>
      <c r="M824" s="25"/>
      <c r="N824" s="24"/>
      <c r="O824" s="23"/>
      <c r="P824" s="24"/>
      <c r="Q824" s="22"/>
      <c r="R824" s="22"/>
      <c r="S824" s="24"/>
      <c r="T824" s="24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</row>
    <row r="825" spans="1:33">
      <c r="A825" s="22"/>
      <c r="B825" s="22"/>
      <c r="C825" s="22"/>
      <c r="D825" s="22"/>
      <c r="E825" s="23"/>
      <c r="F825" s="22"/>
      <c r="G825" s="24"/>
      <c r="H825" s="22"/>
      <c r="I825" s="22"/>
      <c r="J825" s="24"/>
      <c r="K825" s="22"/>
      <c r="L825" s="25"/>
      <c r="M825" s="25"/>
      <c r="N825" s="24"/>
      <c r="O825" s="23"/>
      <c r="P825" s="24"/>
      <c r="Q825" s="22"/>
      <c r="R825" s="22"/>
      <c r="S825" s="24"/>
      <c r="T825" s="24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</row>
    <row r="826" spans="1:33">
      <c r="A826" s="22"/>
      <c r="B826" s="22"/>
      <c r="C826" s="22"/>
      <c r="D826" s="22"/>
      <c r="E826" s="23"/>
      <c r="F826" s="22"/>
      <c r="G826" s="24"/>
      <c r="H826" s="22"/>
      <c r="I826" s="22"/>
      <c r="J826" s="24"/>
      <c r="K826" s="22"/>
      <c r="L826" s="25"/>
      <c r="M826" s="25"/>
      <c r="N826" s="24"/>
      <c r="O826" s="23"/>
      <c r="P826" s="24"/>
      <c r="Q826" s="22"/>
      <c r="R826" s="22"/>
      <c r="S826" s="24"/>
      <c r="T826" s="24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</row>
    <row r="827" spans="1:33">
      <c r="A827" s="22"/>
      <c r="B827" s="22"/>
      <c r="C827" s="22"/>
      <c r="D827" s="22"/>
      <c r="E827" s="23"/>
      <c r="F827" s="22"/>
      <c r="G827" s="24"/>
      <c r="H827" s="22"/>
      <c r="I827" s="22"/>
      <c r="J827" s="24"/>
      <c r="K827" s="22"/>
      <c r="L827" s="25"/>
      <c r="M827" s="25"/>
      <c r="N827" s="24"/>
      <c r="O827" s="23"/>
      <c r="P827" s="24"/>
      <c r="Q827" s="22"/>
      <c r="R827" s="22"/>
      <c r="S827" s="24"/>
      <c r="T827" s="24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</row>
    <row r="828" spans="1:33">
      <c r="A828" s="22"/>
      <c r="B828" s="22"/>
      <c r="C828" s="22"/>
      <c r="D828" s="22"/>
      <c r="E828" s="23"/>
      <c r="F828" s="22"/>
      <c r="G828" s="24"/>
      <c r="H828" s="22"/>
      <c r="I828" s="22"/>
      <c r="J828" s="24"/>
      <c r="K828" s="22"/>
      <c r="L828" s="25"/>
      <c r="M828" s="25"/>
      <c r="N828" s="24"/>
      <c r="O828" s="23"/>
      <c r="P828" s="24"/>
      <c r="Q828" s="22"/>
      <c r="R828" s="22"/>
      <c r="S828" s="24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</row>
    <row r="829" spans="1:33">
      <c r="A829" s="22"/>
      <c r="B829" s="22"/>
      <c r="C829" s="22"/>
      <c r="D829" s="22"/>
      <c r="E829" s="23"/>
      <c r="F829" s="22"/>
      <c r="G829" s="24"/>
      <c r="H829" s="22"/>
      <c r="I829" s="22"/>
      <c r="J829" s="24"/>
      <c r="K829" s="22"/>
      <c r="L829" s="25"/>
      <c r="M829" s="25"/>
      <c r="N829" s="24"/>
      <c r="O829" s="23"/>
      <c r="P829" s="24"/>
      <c r="Q829" s="22"/>
      <c r="R829" s="22"/>
      <c r="S829" s="24"/>
      <c r="T829" s="24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</row>
    <row r="830" spans="1:33">
      <c r="A830" s="22"/>
      <c r="B830" s="22"/>
      <c r="C830" s="22"/>
      <c r="D830" s="22"/>
      <c r="E830" s="23"/>
      <c r="F830" s="22"/>
      <c r="G830" s="24"/>
      <c r="H830" s="22"/>
      <c r="I830" s="22"/>
      <c r="J830" s="24"/>
      <c r="K830" s="22"/>
      <c r="L830" s="25"/>
      <c r="M830" s="25"/>
      <c r="N830" s="24"/>
      <c r="O830" s="23"/>
      <c r="P830" s="24"/>
      <c r="Q830" s="22"/>
      <c r="R830" s="22"/>
      <c r="S830" s="24"/>
      <c r="T830" s="24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</row>
    <row r="831" spans="1:33">
      <c r="A831" s="22"/>
      <c r="B831" s="22"/>
      <c r="C831" s="22"/>
      <c r="D831" s="22"/>
      <c r="E831" s="23"/>
      <c r="F831" s="22"/>
      <c r="G831" s="24"/>
      <c r="H831" s="22"/>
      <c r="I831" s="22"/>
      <c r="J831" s="24"/>
      <c r="K831" s="22"/>
      <c r="L831" s="25"/>
      <c r="M831" s="25"/>
      <c r="N831" s="24"/>
      <c r="O831" s="23"/>
      <c r="P831" s="24"/>
      <c r="Q831" s="22"/>
      <c r="R831" s="22"/>
      <c r="S831" s="24"/>
      <c r="T831" s="24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</row>
    <row r="832" spans="1:33">
      <c r="A832" s="22"/>
      <c r="B832" s="22"/>
      <c r="C832" s="22"/>
      <c r="D832" s="22"/>
      <c r="E832" s="23"/>
      <c r="F832" s="22"/>
      <c r="G832" s="24"/>
      <c r="H832" s="22"/>
      <c r="I832" s="22"/>
      <c r="J832" s="24"/>
      <c r="K832" s="22"/>
      <c r="L832" s="25"/>
      <c r="M832" s="25"/>
      <c r="N832" s="24"/>
      <c r="O832" s="23"/>
      <c r="P832" s="24"/>
      <c r="Q832" s="22"/>
      <c r="R832" s="22"/>
      <c r="S832" s="24"/>
      <c r="T832" s="24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</row>
    <row r="833" spans="1:33">
      <c r="A833" s="22"/>
      <c r="B833" s="22"/>
      <c r="C833" s="22"/>
      <c r="D833" s="22"/>
      <c r="E833" s="23"/>
      <c r="F833" s="22"/>
      <c r="G833" s="24"/>
      <c r="H833" s="22"/>
      <c r="I833" s="22"/>
      <c r="J833" s="24"/>
      <c r="K833" s="22"/>
      <c r="L833" s="25"/>
      <c r="M833" s="25"/>
      <c r="N833" s="24"/>
      <c r="O833" s="23"/>
      <c r="P833" s="24"/>
      <c r="Q833" s="22"/>
      <c r="R833" s="22"/>
      <c r="S833" s="24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</row>
    <row r="834" spans="1:33">
      <c r="A834" s="22"/>
      <c r="B834" s="22"/>
      <c r="C834" s="22"/>
      <c r="D834" s="22"/>
      <c r="E834" s="23"/>
      <c r="F834" s="22"/>
      <c r="G834" s="24"/>
      <c r="H834" s="22"/>
      <c r="I834" s="22"/>
      <c r="J834" s="24"/>
      <c r="K834" s="22"/>
      <c r="L834" s="25"/>
      <c r="M834" s="25"/>
      <c r="N834" s="22"/>
      <c r="O834" s="23"/>
      <c r="P834" s="22"/>
      <c r="Q834" s="22"/>
      <c r="R834" s="22"/>
      <c r="S834" s="24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</row>
    <row r="835" spans="1:33">
      <c r="A835" s="22"/>
      <c r="B835" s="22"/>
      <c r="C835" s="22"/>
      <c r="D835" s="22"/>
      <c r="E835" s="23"/>
      <c r="F835" s="22"/>
      <c r="G835" s="24"/>
      <c r="H835" s="22"/>
      <c r="I835" s="22"/>
      <c r="J835" s="24"/>
      <c r="K835" s="22"/>
      <c r="L835" s="25"/>
      <c r="M835" s="25"/>
      <c r="N835" s="22"/>
      <c r="O835" s="23"/>
      <c r="P835" s="22"/>
      <c r="Q835" s="22"/>
      <c r="R835" s="22"/>
      <c r="S835" s="24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</row>
    <row r="836" spans="1:33">
      <c r="A836" s="22"/>
      <c r="B836" s="22"/>
      <c r="C836" s="22"/>
      <c r="D836" s="22"/>
      <c r="E836" s="23"/>
      <c r="F836" s="22"/>
      <c r="G836" s="24"/>
      <c r="H836" s="22"/>
      <c r="I836" s="22"/>
      <c r="J836" s="24"/>
      <c r="K836" s="22"/>
      <c r="L836" s="25"/>
      <c r="M836" s="25"/>
      <c r="N836" s="22"/>
      <c r="O836" s="23"/>
      <c r="P836" s="22"/>
      <c r="Q836" s="22"/>
      <c r="R836" s="22"/>
      <c r="S836" s="24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</row>
    <row r="837" spans="1:33">
      <c r="A837" s="22"/>
      <c r="B837" s="22"/>
      <c r="C837" s="22"/>
      <c r="D837" s="22"/>
      <c r="E837" s="23"/>
      <c r="F837" s="22"/>
      <c r="G837" s="24"/>
      <c r="H837" s="22"/>
      <c r="I837" s="22"/>
      <c r="J837" s="24"/>
      <c r="K837" s="22"/>
      <c r="L837" s="25"/>
      <c r="M837" s="25"/>
      <c r="N837" s="22"/>
      <c r="O837" s="23"/>
      <c r="P837" s="22"/>
      <c r="Q837" s="22"/>
      <c r="R837" s="22"/>
      <c r="S837" s="24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</row>
    <row r="838" spans="1:33">
      <c r="A838" s="22"/>
      <c r="B838" s="22"/>
      <c r="C838" s="22"/>
      <c r="D838" s="22"/>
      <c r="E838" s="23"/>
      <c r="F838" s="22"/>
      <c r="G838" s="24"/>
      <c r="H838" s="22"/>
      <c r="I838" s="22"/>
      <c r="J838" s="24"/>
      <c r="K838" s="22"/>
      <c r="L838" s="25"/>
      <c r="M838" s="25"/>
      <c r="N838" s="24"/>
      <c r="O838" s="23"/>
      <c r="P838" s="24"/>
      <c r="Q838" s="22"/>
      <c r="R838" s="22"/>
      <c r="S838" s="24"/>
      <c r="T838" s="24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</row>
    <row r="839" spans="1:33">
      <c r="A839" s="22"/>
      <c r="B839" s="22"/>
      <c r="C839" s="22"/>
      <c r="D839" s="22"/>
      <c r="E839" s="23"/>
      <c r="F839" s="22"/>
      <c r="G839" s="24"/>
      <c r="H839" s="22"/>
      <c r="I839" s="22"/>
      <c r="J839" s="24"/>
      <c r="K839" s="22"/>
      <c r="L839" s="25"/>
      <c r="M839" s="25"/>
      <c r="N839" s="24"/>
      <c r="O839" s="23"/>
      <c r="P839" s="24"/>
      <c r="Q839" s="22"/>
      <c r="R839" s="22"/>
      <c r="S839" s="24"/>
      <c r="T839" s="24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</row>
    <row r="840" spans="1:33">
      <c r="A840" s="22"/>
      <c r="B840" s="22"/>
      <c r="C840" s="22"/>
      <c r="D840" s="22"/>
      <c r="E840" s="23"/>
      <c r="F840" s="22"/>
      <c r="G840" s="24"/>
      <c r="H840" s="22"/>
      <c r="I840" s="22"/>
      <c r="J840" s="24"/>
      <c r="K840" s="22"/>
      <c r="L840" s="25"/>
      <c r="M840" s="25"/>
      <c r="N840" s="24"/>
      <c r="O840" s="23"/>
      <c r="P840" s="24"/>
      <c r="Q840" s="22"/>
      <c r="R840" s="22"/>
      <c r="S840" s="24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</row>
    <row r="841" spans="1:33">
      <c r="A841" s="22"/>
      <c r="B841" s="22"/>
      <c r="C841" s="22"/>
      <c r="D841" s="22"/>
      <c r="E841" s="23"/>
      <c r="F841" s="22"/>
      <c r="G841" s="24"/>
      <c r="H841" s="22"/>
      <c r="I841" s="22"/>
      <c r="J841" s="24"/>
      <c r="K841" s="22"/>
      <c r="L841" s="25"/>
      <c r="M841" s="25"/>
      <c r="N841" s="24"/>
      <c r="O841" s="23"/>
      <c r="P841" s="24"/>
      <c r="Q841" s="22"/>
      <c r="R841" s="22"/>
      <c r="S841" s="24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</row>
    <row r="842" spans="1:33">
      <c r="A842" s="22"/>
      <c r="B842" s="22"/>
      <c r="C842" s="22"/>
      <c r="D842" s="22"/>
      <c r="E842" s="23"/>
      <c r="F842" s="22"/>
      <c r="G842" s="24"/>
      <c r="H842" s="22"/>
      <c r="I842" s="22"/>
      <c r="J842" s="24"/>
      <c r="K842" s="22"/>
      <c r="L842" s="25"/>
      <c r="M842" s="25"/>
      <c r="N842" s="22"/>
      <c r="O842" s="23"/>
      <c r="P842" s="22"/>
      <c r="Q842" s="22"/>
      <c r="R842" s="22"/>
      <c r="S842" s="24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</row>
    <row r="843" spans="1:33">
      <c r="A843" s="22"/>
      <c r="B843" s="22"/>
      <c r="C843" s="22"/>
      <c r="D843" s="22"/>
      <c r="E843" s="23"/>
      <c r="F843" s="22"/>
      <c r="G843" s="24"/>
      <c r="H843" s="22"/>
      <c r="I843" s="22"/>
      <c r="J843" s="24"/>
      <c r="K843" s="22"/>
      <c r="L843" s="25"/>
      <c r="M843" s="25"/>
      <c r="N843" s="22"/>
      <c r="O843" s="23"/>
      <c r="P843" s="22"/>
      <c r="Q843" s="22"/>
      <c r="R843" s="22"/>
      <c r="S843" s="24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</row>
    <row r="844" spans="1:33">
      <c r="A844" s="22"/>
      <c r="B844" s="22"/>
      <c r="C844" s="22"/>
      <c r="D844" s="22"/>
      <c r="E844" s="23"/>
      <c r="F844" s="22"/>
      <c r="G844" s="24"/>
      <c r="H844" s="22"/>
      <c r="I844" s="22"/>
      <c r="J844" s="24"/>
      <c r="K844" s="22"/>
      <c r="L844" s="25"/>
      <c r="M844" s="25"/>
      <c r="N844" s="24"/>
      <c r="O844" s="23"/>
      <c r="P844" s="24"/>
      <c r="Q844" s="22"/>
      <c r="R844" s="22"/>
      <c r="S844" s="24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</row>
    <row r="845" spans="1:33">
      <c r="A845" s="22"/>
      <c r="B845" s="22"/>
      <c r="C845" s="22"/>
      <c r="D845" s="22"/>
      <c r="E845" s="23"/>
      <c r="F845" s="22"/>
      <c r="G845" s="24"/>
      <c r="H845" s="22"/>
      <c r="I845" s="22"/>
      <c r="J845" s="24"/>
      <c r="K845" s="22"/>
      <c r="L845" s="25"/>
      <c r="M845" s="25"/>
      <c r="N845" s="24"/>
      <c r="O845" s="23"/>
      <c r="P845" s="24"/>
      <c r="Q845" s="22"/>
      <c r="R845" s="22"/>
      <c r="S845" s="24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</row>
    <row r="846" spans="1:33">
      <c r="A846" s="22"/>
      <c r="B846" s="22"/>
      <c r="C846" s="22"/>
      <c r="D846" s="22"/>
      <c r="E846" s="23"/>
      <c r="F846" s="22"/>
      <c r="G846" s="24"/>
      <c r="H846" s="22"/>
      <c r="I846" s="22"/>
      <c r="J846" s="24"/>
      <c r="K846" s="22"/>
      <c r="L846" s="25"/>
      <c r="M846" s="25"/>
      <c r="N846" s="24"/>
      <c r="O846" s="23"/>
      <c r="P846" s="24"/>
      <c r="Q846" s="22"/>
      <c r="R846" s="22"/>
      <c r="S846" s="24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</row>
    <row r="847" spans="1:33">
      <c r="A847" s="22"/>
      <c r="B847" s="22"/>
      <c r="C847" s="22"/>
      <c r="D847" s="22"/>
      <c r="E847" s="23"/>
      <c r="F847" s="22"/>
      <c r="G847" s="24"/>
      <c r="H847" s="22"/>
      <c r="I847" s="22"/>
      <c r="J847" s="24"/>
      <c r="K847" s="22"/>
      <c r="L847" s="25"/>
      <c r="M847" s="25"/>
      <c r="N847" s="24"/>
      <c r="O847" s="23"/>
      <c r="P847" s="24"/>
      <c r="Q847" s="22"/>
      <c r="R847" s="22"/>
      <c r="S847" s="24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</row>
    <row r="848" spans="1:33">
      <c r="A848" s="22"/>
      <c r="B848" s="22"/>
      <c r="C848" s="22"/>
      <c r="D848" s="22"/>
      <c r="E848" s="23"/>
      <c r="F848" s="22"/>
      <c r="G848" s="24"/>
      <c r="H848" s="22"/>
      <c r="I848" s="22"/>
      <c r="J848" s="24"/>
      <c r="K848" s="22"/>
      <c r="L848" s="25"/>
      <c r="M848" s="25"/>
      <c r="N848" s="24"/>
      <c r="O848" s="23"/>
      <c r="P848" s="24"/>
      <c r="Q848" s="22"/>
      <c r="R848" s="22"/>
      <c r="S848" s="24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</row>
    <row r="849" spans="1:33">
      <c r="A849" s="22"/>
      <c r="B849" s="22"/>
      <c r="C849" s="22"/>
      <c r="D849" s="22"/>
      <c r="E849" s="23"/>
      <c r="F849" s="22"/>
      <c r="G849" s="24"/>
      <c r="H849" s="22"/>
      <c r="I849" s="22"/>
      <c r="J849" s="24"/>
      <c r="K849" s="22"/>
      <c r="L849" s="25"/>
      <c r="M849" s="25"/>
      <c r="N849" s="24"/>
      <c r="O849" s="23"/>
      <c r="P849" s="24"/>
      <c r="Q849" s="22"/>
      <c r="R849" s="22"/>
      <c r="S849" s="24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</row>
    <row r="850" spans="1:33">
      <c r="A850" s="22"/>
      <c r="B850" s="22"/>
      <c r="C850" s="22"/>
      <c r="D850" s="22"/>
      <c r="E850" s="23"/>
      <c r="F850" s="22"/>
      <c r="G850" s="24"/>
      <c r="H850" s="22"/>
      <c r="I850" s="22"/>
      <c r="J850" s="24"/>
      <c r="K850" s="22"/>
      <c r="L850" s="25"/>
      <c r="M850" s="25"/>
      <c r="N850" s="24"/>
      <c r="O850" s="23"/>
      <c r="P850" s="24"/>
      <c r="Q850" s="22"/>
      <c r="R850" s="22"/>
      <c r="S850" s="24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</row>
    <row r="851" spans="1:33">
      <c r="A851" s="22"/>
      <c r="B851" s="22"/>
      <c r="C851" s="22"/>
      <c r="D851" s="22"/>
      <c r="E851" s="23"/>
      <c r="F851" s="22"/>
      <c r="G851" s="24"/>
      <c r="H851" s="22"/>
      <c r="I851" s="22"/>
      <c r="J851" s="24"/>
      <c r="K851" s="22"/>
      <c r="L851" s="25"/>
      <c r="M851" s="25"/>
      <c r="N851" s="24"/>
      <c r="O851" s="23"/>
      <c r="P851" s="24"/>
      <c r="Q851" s="22"/>
      <c r="R851" s="22"/>
      <c r="S851" s="24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</row>
    <row r="852" spans="1:33">
      <c r="A852" s="22"/>
      <c r="B852" s="22"/>
      <c r="C852" s="22"/>
      <c r="D852" s="22"/>
      <c r="E852" s="23"/>
      <c r="F852" s="22"/>
      <c r="G852" s="24"/>
      <c r="H852" s="22"/>
      <c r="I852" s="22"/>
      <c r="J852" s="24"/>
      <c r="K852" s="22"/>
      <c r="L852" s="25"/>
      <c r="M852" s="25"/>
      <c r="N852" s="24"/>
      <c r="O852" s="23"/>
      <c r="P852" s="24"/>
      <c r="Q852" s="22"/>
      <c r="R852" s="22"/>
      <c r="S852" s="24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</row>
    <row r="853" spans="1:33">
      <c r="A853" s="22"/>
      <c r="B853" s="22"/>
      <c r="C853" s="22"/>
      <c r="D853" s="22"/>
      <c r="E853" s="23"/>
      <c r="F853" s="22"/>
      <c r="G853" s="24"/>
      <c r="H853" s="22"/>
      <c r="I853" s="22"/>
      <c r="J853" s="24"/>
      <c r="K853" s="22"/>
      <c r="L853" s="25"/>
      <c r="M853" s="25"/>
      <c r="N853" s="22"/>
      <c r="O853" s="23"/>
      <c r="P853" s="22"/>
      <c r="Q853" s="22"/>
      <c r="R853" s="22"/>
      <c r="S853" s="24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</row>
    <row r="854" spans="1:33">
      <c r="A854" s="22"/>
      <c r="B854" s="22"/>
      <c r="C854" s="22"/>
      <c r="D854" s="22"/>
      <c r="E854" s="23"/>
      <c r="F854" s="22"/>
      <c r="G854" s="24"/>
      <c r="H854" s="22"/>
      <c r="I854" s="22"/>
      <c r="J854" s="24"/>
      <c r="K854" s="22"/>
      <c r="L854" s="25"/>
      <c r="M854" s="25"/>
      <c r="N854" s="24"/>
      <c r="O854" s="23"/>
      <c r="P854" s="24"/>
      <c r="Q854" s="22"/>
      <c r="R854" s="22"/>
      <c r="S854" s="24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</row>
    <row r="855" spans="1:33">
      <c r="A855" s="22"/>
      <c r="B855" s="22"/>
      <c r="C855" s="22"/>
      <c r="D855" s="22"/>
      <c r="E855" s="23"/>
      <c r="F855" s="22"/>
      <c r="G855" s="24"/>
      <c r="H855" s="22"/>
      <c r="I855" s="22"/>
      <c r="J855" s="24"/>
      <c r="K855" s="22"/>
      <c r="L855" s="25"/>
      <c r="M855" s="25"/>
      <c r="N855" s="24"/>
      <c r="O855" s="23"/>
      <c r="P855" s="24"/>
      <c r="Q855" s="22"/>
      <c r="R855" s="22"/>
      <c r="S855" s="24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</row>
    <row r="856" spans="1:33">
      <c r="A856" s="22"/>
      <c r="B856" s="22"/>
      <c r="C856" s="22"/>
      <c r="D856" s="22"/>
      <c r="E856" s="23"/>
      <c r="F856" s="22"/>
      <c r="G856" s="24"/>
      <c r="H856" s="22"/>
      <c r="I856" s="22"/>
      <c r="J856" s="24"/>
      <c r="K856" s="22"/>
      <c r="L856" s="25"/>
      <c r="M856" s="25"/>
      <c r="N856" s="24"/>
      <c r="O856" s="23"/>
      <c r="P856" s="24"/>
      <c r="Q856" s="22"/>
      <c r="R856" s="22"/>
      <c r="S856" s="24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</row>
    <row r="857" spans="1:33">
      <c r="A857" s="22"/>
      <c r="B857" s="22"/>
      <c r="C857" s="22"/>
      <c r="D857" s="22"/>
      <c r="E857" s="23"/>
      <c r="F857" s="22"/>
      <c r="G857" s="24"/>
      <c r="H857" s="22"/>
      <c r="I857" s="22"/>
      <c r="J857" s="24"/>
      <c r="K857" s="22"/>
      <c r="L857" s="25"/>
      <c r="M857" s="25"/>
      <c r="N857" s="22"/>
      <c r="O857" s="23"/>
      <c r="P857" s="22"/>
      <c r="Q857" s="22"/>
      <c r="R857" s="22"/>
      <c r="S857" s="24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</row>
    <row r="858" spans="1:33">
      <c r="A858" s="22"/>
      <c r="B858" s="22"/>
      <c r="C858" s="22"/>
      <c r="D858" s="22"/>
      <c r="E858" s="23"/>
      <c r="F858" s="22"/>
      <c r="G858" s="24"/>
      <c r="H858" s="22"/>
      <c r="I858" s="22"/>
      <c r="J858" s="24"/>
      <c r="K858" s="22"/>
      <c r="L858" s="25"/>
      <c r="M858" s="25"/>
      <c r="N858" s="24"/>
      <c r="O858" s="23"/>
      <c r="P858" s="24"/>
      <c r="Q858" s="22"/>
      <c r="R858" s="22"/>
      <c r="S858" s="24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</row>
    <row r="859" spans="1:33">
      <c r="A859" s="22"/>
      <c r="B859" s="22"/>
      <c r="C859" s="22"/>
      <c r="D859" s="22"/>
      <c r="E859" s="23"/>
      <c r="F859" s="22"/>
      <c r="G859" s="24"/>
      <c r="H859" s="22"/>
      <c r="I859" s="22"/>
      <c r="J859" s="24"/>
      <c r="K859" s="22"/>
      <c r="L859" s="25"/>
      <c r="M859" s="25"/>
      <c r="N859" s="24"/>
      <c r="O859" s="23"/>
      <c r="P859" s="24"/>
      <c r="Q859" s="22"/>
      <c r="R859" s="22"/>
      <c r="S859" s="24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</row>
    <row r="860" spans="1:33">
      <c r="A860" s="22"/>
      <c r="B860" s="22"/>
      <c r="C860" s="22"/>
      <c r="D860" s="22"/>
      <c r="E860" s="23"/>
      <c r="F860" s="22"/>
      <c r="G860" s="24"/>
      <c r="H860" s="22"/>
      <c r="I860" s="22"/>
      <c r="J860" s="24"/>
      <c r="K860" s="22"/>
      <c r="L860" s="25"/>
      <c r="M860" s="25"/>
      <c r="N860" s="24"/>
      <c r="O860" s="23"/>
      <c r="P860" s="24"/>
      <c r="Q860" s="22"/>
      <c r="R860" s="22"/>
      <c r="S860" s="24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</row>
    <row r="861" spans="1:33">
      <c r="A861" s="22"/>
      <c r="B861" s="22"/>
      <c r="C861" s="22"/>
      <c r="D861" s="22"/>
      <c r="E861" s="23"/>
      <c r="F861" s="22"/>
      <c r="G861" s="24"/>
      <c r="H861" s="22"/>
      <c r="I861" s="22"/>
      <c r="J861" s="24"/>
      <c r="K861" s="22"/>
      <c r="L861" s="25"/>
      <c r="M861" s="25"/>
      <c r="N861" s="24"/>
      <c r="O861" s="23"/>
      <c r="P861" s="24"/>
      <c r="Q861" s="22"/>
      <c r="R861" s="22"/>
      <c r="S861" s="24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</row>
    <row r="862" spans="1:33">
      <c r="A862" s="22"/>
      <c r="B862" s="22"/>
      <c r="C862" s="22"/>
      <c r="D862" s="22"/>
      <c r="E862" s="23"/>
      <c r="F862" s="22"/>
      <c r="G862" s="24"/>
      <c r="H862" s="22"/>
      <c r="I862" s="22"/>
      <c r="J862" s="24"/>
      <c r="K862" s="22"/>
      <c r="L862" s="25"/>
      <c r="M862" s="25"/>
      <c r="N862" s="24"/>
      <c r="O862" s="23"/>
      <c r="P862" s="24"/>
      <c r="Q862" s="22"/>
      <c r="R862" s="22"/>
      <c r="S862" s="24"/>
      <c r="T862" s="24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</row>
    <row r="863" spans="1:33">
      <c r="A863" s="22"/>
      <c r="B863" s="22"/>
      <c r="C863" s="22"/>
      <c r="D863" s="22"/>
      <c r="E863" s="23"/>
      <c r="F863" s="22"/>
      <c r="G863" s="24"/>
      <c r="H863" s="22"/>
      <c r="I863" s="22"/>
      <c r="J863" s="24"/>
      <c r="K863" s="22"/>
      <c r="L863" s="25"/>
      <c r="M863" s="25"/>
      <c r="N863" s="24"/>
      <c r="O863" s="23"/>
      <c r="P863" s="24"/>
      <c r="Q863" s="22"/>
      <c r="R863" s="22"/>
      <c r="S863" s="24"/>
      <c r="T863" s="24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</row>
    <row r="864" spans="1:33">
      <c r="A864" s="22"/>
      <c r="B864" s="22"/>
      <c r="C864" s="22"/>
      <c r="D864" s="22"/>
      <c r="E864" s="23"/>
      <c r="F864" s="22"/>
      <c r="G864" s="24"/>
      <c r="H864" s="22"/>
      <c r="I864" s="22"/>
      <c r="J864" s="24"/>
      <c r="K864" s="22"/>
      <c r="L864" s="25"/>
      <c r="M864" s="25"/>
      <c r="N864" s="24"/>
      <c r="O864" s="23"/>
      <c r="P864" s="24"/>
      <c r="Q864" s="22"/>
      <c r="R864" s="22"/>
      <c r="S864" s="24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</row>
    <row r="865" spans="1:33">
      <c r="A865" s="22"/>
      <c r="B865" s="22"/>
      <c r="C865" s="22"/>
      <c r="D865" s="22"/>
      <c r="E865" s="23"/>
      <c r="F865" s="22"/>
      <c r="G865" s="24"/>
      <c r="H865" s="22"/>
      <c r="I865" s="22"/>
      <c r="J865" s="24"/>
      <c r="K865" s="22"/>
      <c r="L865" s="25"/>
      <c r="M865" s="25"/>
      <c r="N865" s="24"/>
      <c r="O865" s="23"/>
      <c r="P865" s="24"/>
      <c r="Q865" s="22"/>
      <c r="R865" s="22"/>
      <c r="S865" s="24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</row>
    <row r="866" spans="1:33">
      <c r="A866" s="22"/>
      <c r="B866" s="22"/>
      <c r="C866" s="22"/>
      <c r="D866" s="22"/>
      <c r="E866" s="23"/>
      <c r="F866" s="22"/>
      <c r="G866" s="24"/>
      <c r="H866" s="22"/>
      <c r="I866" s="22"/>
      <c r="J866" s="24"/>
      <c r="K866" s="22"/>
      <c r="L866" s="25"/>
      <c r="M866" s="25"/>
      <c r="N866" s="24"/>
      <c r="O866" s="23"/>
      <c r="P866" s="24"/>
      <c r="Q866" s="22"/>
      <c r="R866" s="22"/>
      <c r="S866" s="24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</row>
    <row r="867" spans="1:33">
      <c r="A867" s="22"/>
      <c r="B867" s="22"/>
      <c r="C867" s="22"/>
      <c r="D867" s="22"/>
      <c r="E867" s="23"/>
      <c r="F867" s="22"/>
      <c r="G867" s="24"/>
      <c r="H867" s="22"/>
      <c r="I867" s="22"/>
      <c r="J867" s="24"/>
      <c r="K867" s="22"/>
      <c r="L867" s="25"/>
      <c r="M867" s="25"/>
      <c r="N867" s="24"/>
      <c r="O867" s="23"/>
      <c r="P867" s="24"/>
      <c r="Q867" s="22"/>
      <c r="R867" s="22"/>
      <c r="S867" s="24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</row>
    <row r="868" spans="1:33">
      <c r="A868" s="22"/>
      <c r="B868" s="22"/>
      <c r="C868" s="22"/>
      <c r="D868" s="22"/>
      <c r="E868" s="23"/>
      <c r="F868" s="22"/>
      <c r="G868" s="24"/>
      <c r="H868" s="22"/>
      <c r="I868" s="22"/>
      <c r="J868" s="24"/>
      <c r="K868" s="22"/>
      <c r="L868" s="25"/>
      <c r="M868" s="25"/>
      <c r="N868" s="22"/>
      <c r="O868" s="23"/>
      <c r="P868" s="22"/>
      <c r="Q868" s="22"/>
      <c r="R868" s="22"/>
      <c r="S868" s="24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</row>
    <row r="869" spans="1:33">
      <c r="A869" s="22"/>
      <c r="B869" s="22"/>
      <c r="C869" s="22"/>
      <c r="D869" s="22"/>
      <c r="E869" s="23"/>
      <c r="F869" s="22"/>
      <c r="G869" s="24"/>
      <c r="H869" s="22"/>
      <c r="I869" s="22"/>
      <c r="J869" s="24"/>
      <c r="K869" s="22"/>
      <c r="L869" s="25"/>
      <c r="M869" s="25"/>
      <c r="N869" s="22"/>
      <c r="O869" s="23"/>
      <c r="P869" s="22"/>
      <c r="Q869" s="22"/>
      <c r="R869" s="22"/>
      <c r="S869" s="24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5F6E-37BB-4DAE-B6E9-9E4764441EDB}">
  <dimension ref="A1:K119"/>
  <sheetViews>
    <sheetView workbookViewId="0">
      <selection activeCell="A2" sqref="A2"/>
    </sheetView>
  </sheetViews>
  <sheetFormatPr defaultRowHeight="15"/>
  <cols>
    <col min="5" max="7" width="9.28515625" bestFit="1" customWidth="1"/>
  </cols>
  <sheetData>
    <row r="1" spans="1:11" ht="76.5">
      <c r="A1" t="s">
        <v>22</v>
      </c>
      <c r="B1" t="s">
        <v>4</v>
      </c>
      <c r="C1" t="s">
        <v>7</v>
      </c>
      <c r="D1" t="s">
        <v>8</v>
      </c>
      <c r="E1" s="65" t="s">
        <v>23</v>
      </c>
      <c r="F1" t="s">
        <v>24</v>
      </c>
      <c r="G1" t="s">
        <v>25</v>
      </c>
      <c r="H1" t="s">
        <v>26</v>
      </c>
      <c r="I1" t="s">
        <v>18</v>
      </c>
      <c r="J1" t="s">
        <v>27</v>
      </c>
      <c r="K1" t="s">
        <v>28</v>
      </c>
    </row>
    <row r="2" spans="1:11">
      <c r="A2">
        <v>6022063</v>
      </c>
      <c r="B2" t="s">
        <v>4234</v>
      </c>
      <c r="C2" t="s">
        <v>171</v>
      </c>
      <c r="D2" t="s">
        <v>140</v>
      </c>
      <c r="E2">
        <v>46157.333333333299</v>
      </c>
      <c r="F2">
        <v>46157.333333333299</v>
      </c>
      <c r="G2">
        <v>46161.291666666701</v>
      </c>
      <c r="H2" t="s">
        <v>253</v>
      </c>
      <c r="I2" t="s">
        <v>4187</v>
      </c>
      <c r="J2" t="s">
        <v>644</v>
      </c>
      <c r="K2" t="s">
        <v>642</v>
      </c>
    </row>
    <row r="3" spans="1:11">
      <c r="A3">
        <v>6022062</v>
      </c>
      <c r="B3" t="s">
        <v>4234</v>
      </c>
      <c r="C3" t="s">
        <v>171</v>
      </c>
      <c r="D3" t="s">
        <v>140</v>
      </c>
      <c r="E3">
        <v>46157.333333333299</v>
      </c>
      <c r="F3">
        <v>46157.333333333299</v>
      </c>
      <c r="G3">
        <v>46161.291666666701</v>
      </c>
      <c r="H3" t="s">
        <v>253</v>
      </c>
      <c r="I3" t="s">
        <v>4187</v>
      </c>
      <c r="J3" t="s">
        <v>644</v>
      </c>
      <c r="K3" t="s">
        <v>642</v>
      </c>
    </row>
    <row r="4" spans="1:11">
      <c r="A4">
        <v>6022065</v>
      </c>
      <c r="B4" t="s">
        <v>4234</v>
      </c>
      <c r="C4" t="s">
        <v>89</v>
      </c>
      <c r="D4" t="s">
        <v>140</v>
      </c>
      <c r="E4">
        <v>46160.1743055556</v>
      </c>
      <c r="F4">
        <v>46157.833333333299</v>
      </c>
      <c r="G4">
        <v>46161.291666666701</v>
      </c>
      <c r="H4" t="s">
        <v>253</v>
      </c>
      <c r="I4" t="s">
        <v>4187</v>
      </c>
      <c r="J4" t="s">
        <v>359</v>
      </c>
      <c r="K4" t="s">
        <v>355</v>
      </c>
    </row>
    <row r="5" spans="1:11">
      <c r="A5">
        <v>6022064</v>
      </c>
      <c r="B5" t="s">
        <v>4234</v>
      </c>
      <c r="C5" t="s">
        <v>184</v>
      </c>
      <c r="D5" t="s">
        <v>140</v>
      </c>
      <c r="E5">
        <v>46160.1743055556</v>
      </c>
      <c r="F5">
        <v>46157.875</v>
      </c>
      <c r="G5">
        <v>46161.291666666701</v>
      </c>
      <c r="H5" t="s">
        <v>253</v>
      </c>
      <c r="I5" t="s">
        <v>4187</v>
      </c>
      <c r="J5" t="s">
        <v>251</v>
      </c>
      <c r="K5" t="s">
        <v>248</v>
      </c>
    </row>
    <row r="6" spans="1:11">
      <c r="A6">
        <v>6021677</v>
      </c>
      <c r="B6" t="s">
        <v>4235</v>
      </c>
      <c r="C6" t="s">
        <v>1635</v>
      </c>
      <c r="D6" t="s">
        <v>140</v>
      </c>
      <c r="E6">
        <v>46160.783333333296</v>
      </c>
      <c r="F6">
        <v>46160.375</v>
      </c>
      <c r="G6">
        <v>46161.25</v>
      </c>
      <c r="H6" t="s">
        <v>383</v>
      </c>
      <c r="I6" t="s">
        <v>4189</v>
      </c>
    </row>
    <row r="7" spans="1:11">
      <c r="A7">
        <v>6021733</v>
      </c>
      <c r="B7" t="s">
        <v>4235</v>
      </c>
      <c r="C7" t="s">
        <v>3992</v>
      </c>
      <c r="D7" t="s">
        <v>1918</v>
      </c>
      <c r="E7">
        <v>46160.854166666701</v>
      </c>
      <c r="F7">
        <v>46160.854166666701</v>
      </c>
      <c r="G7">
        <v>46162.25</v>
      </c>
      <c r="H7" t="s">
        <v>594</v>
      </c>
      <c r="I7" t="s">
        <v>4191</v>
      </c>
    </row>
    <row r="8" spans="1:11">
      <c r="A8">
        <v>6021734</v>
      </c>
      <c r="B8" t="s">
        <v>4235</v>
      </c>
      <c r="C8" t="s">
        <v>1912</v>
      </c>
      <c r="D8" t="s">
        <v>1918</v>
      </c>
      <c r="E8">
        <v>46160.854166666701</v>
      </c>
      <c r="F8">
        <v>46160.854166666701</v>
      </c>
      <c r="G8">
        <v>46162.25</v>
      </c>
      <c r="H8" t="s">
        <v>594</v>
      </c>
      <c r="I8" t="s">
        <v>4191</v>
      </c>
    </row>
    <row r="9" spans="1:11">
      <c r="A9">
        <v>6022337</v>
      </c>
      <c r="B9" t="s">
        <v>4234</v>
      </c>
      <c r="C9" t="s">
        <v>227</v>
      </c>
      <c r="D9" t="s">
        <v>140</v>
      </c>
      <c r="E9">
        <v>46159.990277777797</v>
      </c>
      <c r="F9">
        <v>46157.583333333299</v>
      </c>
      <c r="G9">
        <v>46161.25</v>
      </c>
      <c r="H9" t="s">
        <v>765</v>
      </c>
      <c r="I9" t="s">
        <v>4192</v>
      </c>
      <c r="J9" t="s">
        <v>762</v>
      </c>
      <c r="K9" t="s">
        <v>759</v>
      </c>
    </row>
    <row r="10" spans="1:11">
      <c r="A10">
        <v>6022057</v>
      </c>
      <c r="B10" t="s">
        <v>4234</v>
      </c>
      <c r="C10" t="s">
        <v>171</v>
      </c>
      <c r="D10" t="s">
        <v>140</v>
      </c>
      <c r="E10">
        <v>46157.291666666701</v>
      </c>
      <c r="F10">
        <v>46157.291666666701</v>
      </c>
      <c r="G10">
        <v>46160.291666666701</v>
      </c>
      <c r="H10" t="s">
        <v>253</v>
      </c>
      <c r="I10" t="s">
        <v>4187</v>
      </c>
      <c r="J10" t="s">
        <v>663</v>
      </c>
      <c r="K10" t="s">
        <v>659</v>
      </c>
    </row>
    <row r="11" spans="1:11">
      <c r="A11">
        <v>6021910</v>
      </c>
      <c r="B11" t="s">
        <v>4234</v>
      </c>
      <c r="C11" t="s">
        <v>216</v>
      </c>
      <c r="D11" t="s">
        <v>140</v>
      </c>
      <c r="E11">
        <v>46159.783333333296</v>
      </c>
      <c r="F11">
        <v>46157.708333333299</v>
      </c>
      <c r="G11">
        <v>46160.25</v>
      </c>
      <c r="H11" t="s">
        <v>383</v>
      </c>
      <c r="I11" t="s">
        <v>4189</v>
      </c>
      <c r="J11" t="s">
        <v>381</v>
      </c>
      <c r="K11" t="s">
        <v>377</v>
      </c>
    </row>
    <row r="12" spans="1:11">
      <c r="A12">
        <v>6022058</v>
      </c>
      <c r="B12" t="s">
        <v>4234</v>
      </c>
      <c r="C12" t="s">
        <v>171</v>
      </c>
      <c r="D12" t="s">
        <v>140</v>
      </c>
      <c r="E12">
        <v>46157.291666666701</v>
      </c>
      <c r="F12">
        <v>46157.291666666701</v>
      </c>
      <c r="G12">
        <v>46160.291666666701</v>
      </c>
      <c r="H12" t="s">
        <v>253</v>
      </c>
      <c r="I12" t="s">
        <v>4187</v>
      </c>
      <c r="J12" t="s">
        <v>663</v>
      </c>
      <c r="K12" t="s">
        <v>659</v>
      </c>
    </row>
    <row r="13" spans="1:11">
      <c r="A13">
        <v>6022059</v>
      </c>
      <c r="B13" t="s">
        <v>4236</v>
      </c>
      <c r="C13" t="s">
        <v>114</v>
      </c>
      <c r="D13" t="s">
        <v>140</v>
      </c>
      <c r="E13">
        <v>46159.1743055556</v>
      </c>
      <c r="F13">
        <v>46157.625</v>
      </c>
      <c r="G13">
        <v>46160.291666666701</v>
      </c>
      <c r="H13" t="s">
        <v>253</v>
      </c>
      <c r="I13" t="s">
        <v>4187</v>
      </c>
      <c r="K13" t="s">
        <v>1349</v>
      </c>
    </row>
    <row r="14" spans="1:11">
      <c r="A14">
        <v>6021731</v>
      </c>
      <c r="B14" t="s">
        <v>4235</v>
      </c>
      <c r="C14" t="s">
        <v>420</v>
      </c>
      <c r="D14" t="s">
        <v>1918</v>
      </c>
      <c r="E14">
        <v>46160.895833333299</v>
      </c>
      <c r="F14">
        <v>46160.895833333299</v>
      </c>
      <c r="G14">
        <v>46162.25</v>
      </c>
      <c r="H14" t="s">
        <v>4022</v>
      </c>
      <c r="I14" t="s">
        <v>4196</v>
      </c>
    </row>
    <row r="15" spans="1:11">
      <c r="A15">
        <v>6014898</v>
      </c>
      <c r="B15" t="s">
        <v>4237</v>
      </c>
      <c r="C15" t="s">
        <v>72</v>
      </c>
      <c r="D15" t="s">
        <v>140</v>
      </c>
      <c r="E15">
        <v>46159.823611111096</v>
      </c>
      <c r="F15">
        <v>46157.708333333299</v>
      </c>
      <c r="G15">
        <v>46163.25</v>
      </c>
      <c r="H15" t="s">
        <v>141</v>
      </c>
      <c r="I15" t="s">
        <v>4197</v>
      </c>
      <c r="K15" t="s">
        <v>3646</v>
      </c>
    </row>
    <row r="16" spans="1:11">
      <c r="A16">
        <v>6011814</v>
      </c>
      <c r="B16" t="s">
        <v>4234</v>
      </c>
      <c r="C16" t="s">
        <v>114</v>
      </c>
      <c r="D16" t="s">
        <v>140</v>
      </c>
      <c r="E16">
        <v>46160.654861111099</v>
      </c>
      <c r="F16">
        <v>46157.625</v>
      </c>
      <c r="G16">
        <v>46164.25</v>
      </c>
      <c r="H16" t="s">
        <v>163</v>
      </c>
      <c r="I16" t="s">
        <v>76</v>
      </c>
      <c r="J16" t="s">
        <v>454</v>
      </c>
      <c r="K16" t="s">
        <v>535</v>
      </c>
    </row>
    <row r="17" spans="1:11">
      <c r="A17">
        <v>6022060</v>
      </c>
      <c r="B17" t="s">
        <v>4237</v>
      </c>
      <c r="C17" t="s">
        <v>102</v>
      </c>
      <c r="D17" t="s">
        <v>140</v>
      </c>
      <c r="E17">
        <v>46159.1743055556</v>
      </c>
      <c r="F17">
        <v>46157.833333333299</v>
      </c>
      <c r="G17">
        <v>46160.291666666701</v>
      </c>
      <c r="H17" t="s">
        <v>253</v>
      </c>
      <c r="I17" t="s">
        <v>4187</v>
      </c>
    </row>
    <row r="18" spans="1:11">
      <c r="A18">
        <v>6021675</v>
      </c>
      <c r="B18" t="s">
        <v>4235</v>
      </c>
      <c r="C18" t="s">
        <v>3387</v>
      </c>
      <c r="D18" t="s">
        <v>140</v>
      </c>
      <c r="E18">
        <v>46160.871527777803</v>
      </c>
      <c r="F18">
        <v>46160.666666666701</v>
      </c>
      <c r="G18">
        <v>46161.25</v>
      </c>
      <c r="H18" t="s">
        <v>383</v>
      </c>
      <c r="I18" t="s">
        <v>4189</v>
      </c>
    </row>
    <row r="19" spans="1:11">
      <c r="A19">
        <v>6022061</v>
      </c>
      <c r="B19" t="s">
        <v>4237</v>
      </c>
      <c r="C19" t="s">
        <v>102</v>
      </c>
      <c r="D19" t="s">
        <v>140</v>
      </c>
      <c r="E19">
        <v>46159.1743055556</v>
      </c>
      <c r="F19">
        <v>46157.833333333299</v>
      </c>
      <c r="G19">
        <v>46160.291666666701</v>
      </c>
      <c r="H19" t="s">
        <v>253</v>
      </c>
      <c r="I19" t="s">
        <v>4187</v>
      </c>
    </row>
    <row r="20" spans="1:11">
      <c r="A20">
        <v>6014892</v>
      </c>
      <c r="B20" t="s">
        <v>4237</v>
      </c>
      <c r="C20" t="s">
        <v>72</v>
      </c>
      <c r="D20" t="s">
        <v>140</v>
      </c>
      <c r="E20">
        <v>46160.316666666702</v>
      </c>
      <c r="F20">
        <v>46157.708333333299</v>
      </c>
      <c r="G20">
        <v>46163.25</v>
      </c>
      <c r="H20" t="s">
        <v>3632</v>
      </c>
      <c r="I20" t="s">
        <v>4198</v>
      </c>
      <c r="K20" t="s">
        <v>3627</v>
      </c>
    </row>
    <row r="21" spans="1:11">
      <c r="A21">
        <v>6023170</v>
      </c>
      <c r="B21" t="s">
        <v>4235</v>
      </c>
      <c r="C21" t="s">
        <v>184</v>
      </c>
      <c r="D21" t="s">
        <v>140</v>
      </c>
      <c r="E21">
        <v>46161.2</v>
      </c>
      <c r="F21">
        <v>46160.833333333299</v>
      </c>
      <c r="G21">
        <v>46161.333333333299</v>
      </c>
      <c r="H21" t="s">
        <v>4125</v>
      </c>
      <c r="I21" t="s">
        <v>3536</v>
      </c>
    </row>
    <row r="22" spans="1:11">
      <c r="A22">
        <v>6011820</v>
      </c>
      <c r="B22" t="s">
        <v>4237</v>
      </c>
      <c r="C22" t="s">
        <v>102</v>
      </c>
      <c r="D22" t="s">
        <v>140</v>
      </c>
      <c r="E22">
        <v>46160.654861111099</v>
      </c>
      <c r="F22">
        <v>46157.833333333299</v>
      </c>
      <c r="G22">
        <v>46164.25</v>
      </c>
      <c r="H22" t="s">
        <v>163</v>
      </c>
      <c r="I22" t="s">
        <v>76</v>
      </c>
    </row>
    <row r="23" spans="1:11">
      <c r="A23">
        <v>6012861</v>
      </c>
      <c r="B23" t="s">
        <v>4234</v>
      </c>
      <c r="C23" t="s">
        <v>260</v>
      </c>
      <c r="D23" t="s">
        <v>140</v>
      </c>
      <c r="E23">
        <v>46159.031944444403</v>
      </c>
      <c r="F23">
        <v>46157.541666666701</v>
      </c>
      <c r="G23">
        <v>46160.291666666701</v>
      </c>
      <c r="H23" t="s">
        <v>265</v>
      </c>
      <c r="I23" t="s">
        <v>4192</v>
      </c>
      <c r="J23" t="s">
        <v>263</v>
      </c>
      <c r="K23" t="s">
        <v>258</v>
      </c>
    </row>
    <row r="24" spans="1:11">
      <c r="A24">
        <v>6013093</v>
      </c>
      <c r="B24" t="s">
        <v>4235</v>
      </c>
      <c r="C24" t="s">
        <v>1912</v>
      </c>
      <c r="D24" t="s">
        <v>1918</v>
      </c>
      <c r="E24">
        <v>46161.0625</v>
      </c>
      <c r="F24">
        <v>46161.0625</v>
      </c>
      <c r="G24">
        <v>46161.25</v>
      </c>
      <c r="H24" t="s">
        <v>2509</v>
      </c>
      <c r="I24" t="s">
        <v>4199</v>
      </c>
    </row>
    <row r="25" spans="1:11">
      <c r="A25">
        <v>6014907</v>
      </c>
      <c r="B25" t="s">
        <v>4234</v>
      </c>
      <c r="C25" t="s">
        <v>72</v>
      </c>
      <c r="D25" t="s">
        <v>140</v>
      </c>
      <c r="E25">
        <v>46160.184027777803</v>
      </c>
      <c r="F25">
        <v>46157.833333333299</v>
      </c>
      <c r="G25">
        <v>46161.25</v>
      </c>
      <c r="H25" t="s">
        <v>690</v>
      </c>
      <c r="I25" t="s">
        <v>4200</v>
      </c>
      <c r="J25" t="s">
        <v>688</v>
      </c>
      <c r="K25" t="s">
        <v>685</v>
      </c>
    </row>
    <row r="26" spans="1:11">
      <c r="A26">
        <v>6013221</v>
      </c>
      <c r="B26" t="s">
        <v>4234</v>
      </c>
      <c r="C26" t="s">
        <v>282</v>
      </c>
      <c r="D26" t="s">
        <v>140</v>
      </c>
      <c r="E26">
        <v>46160.8972222222</v>
      </c>
      <c r="F26">
        <v>46157.541666666701</v>
      </c>
      <c r="G26">
        <v>46161.25</v>
      </c>
      <c r="H26" t="s">
        <v>286</v>
      </c>
      <c r="I26" t="s">
        <v>4202</v>
      </c>
      <c r="J26" t="s">
        <v>284</v>
      </c>
      <c r="K26" t="s">
        <v>280</v>
      </c>
    </row>
    <row r="27" spans="1:11">
      <c r="A27">
        <v>6021676</v>
      </c>
      <c r="B27" t="s">
        <v>4235</v>
      </c>
      <c r="C27" t="s">
        <v>3387</v>
      </c>
      <c r="D27" t="s">
        <v>140</v>
      </c>
      <c r="E27">
        <v>46160.783333333296</v>
      </c>
      <c r="F27">
        <v>46160.666666666701</v>
      </c>
      <c r="G27">
        <v>46161.25</v>
      </c>
      <c r="H27" t="s">
        <v>383</v>
      </c>
      <c r="I27" t="s">
        <v>4189</v>
      </c>
    </row>
    <row r="28" spans="1:11">
      <c r="A28">
        <v>6023024</v>
      </c>
      <c r="B28" t="s">
        <v>4235</v>
      </c>
      <c r="C28" t="s">
        <v>227</v>
      </c>
      <c r="D28" t="s">
        <v>79</v>
      </c>
      <c r="E28">
        <v>46161.826388888898</v>
      </c>
      <c r="F28">
        <v>46160.458333333299</v>
      </c>
      <c r="G28">
        <v>46162.25</v>
      </c>
      <c r="H28" t="s">
        <v>297</v>
      </c>
      <c r="I28" t="s">
        <v>4203</v>
      </c>
    </row>
    <row r="29" spans="1:11">
      <c r="A29">
        <v>6022338</v>
      </c>
      <c r="B29" t="s">
        <v>4235</v>
      </c>
      <c r="C29" t="s">
        <v>184</v>
      </c>
      <c r="D29" t="s">
        <v>140</v>
      </c>
      <c r="E29">
        <v>46161.118055555598</v>
      </c>
      <c r="F29">
        <v>46160.75</v>
      </c>
      <c r="G29">
        <v>46162.333333333299</v>
      </c>
      <c r="H29" t="s">
        <v>2190</v>
      </c>
      <c r="I29" t="s">
        <v>4204</v>
      </c>
    </row>
    <row r="30" spans="1:11">
      <c r="A30">
        <v>6011813</v>
      </c>
      <c r="B30" t="s">
        <v>4237</v>
      </c>
      <c r="C30" t="s">
        <v>102</v>
      </c>
      <c r="D30" t="s">
        <v>140</v>
      </c>
      <c r="E30">
        <v>46159.654861111099</v>
      </c>
      <c r="F30">
        <v>46157.833333333299</v>
      </c>
      <c r="G30">
        <v>46163.25</v>
      </c>
      <c r="H30" t="s">
        <v>163</v>
      </c>
      <c r="I30" t="s">
        <v>76</v>
      </c>
    </row>
    <row r="31" spans="1:11">
      <c r="A31">
        <v>6023445</v>
      </c>
      <c r="B31" t="s">
        <v>4234</v>
      </c>
      <c r="C31" t="s">
        <v>227</v>
      </c>
      <c r="D31" t="s">
        <v>79</v>
      </c>
      <c r="E31">
        <v>46162.515972222202</v>
      </c>
      <c r="F31">
        <v>46157.645833333299</v>
      </c>
      <c r="G31">
        <v>46162.958333333299</v>
      </c>
      <c r="H31" t="s">
        <v>308</v>
      </c>
      <c r="I31" t="s">
        <v>4186</v>
      </c>
      <c r="J31" t="s">
        <v>306</v>
      </c>
      <c r="K31" t="s">
        <v>302</v>
      </c>
    </row>
    <row r="32" spans="1:11">
      <c r="A32">
        <v>6023023</v>
      </c>
      <c r="B32" t="s">
        <v>4235</v>
      </c>
      <c r="C32" t="s">
        <v>227</v>
      </c>
      <c r="D32" t="s">
        <v>79</v>
      </c>
      <c r="E32">
        <v>46161.826388888898</v>
      </c>
      <c r="F32">
        <v>46160.5</v>
      </c>
      <c r="G32">
        <v>46162.25</v>
      </c>
      <c r="H32" t="s">
        <v>297</v>
      </c>
      <c r="I32" t="s">
        <v>4203</v>
      </c>
    </row>
    <row r="33" spans="1:11">
      <c r="A33">
        <v>6021539</v>
      </c>
      <c r="B33" t="s">
        <v>4234</v>
      </c>
      <c r="C33" t="s">
        <v>216</v>
      </c>
      <c r="D33" t="s">
        <v>140</v>
      </c>
      <c r="E33">
        <v>46159.238194444399</v>
      </c>
      <c r="F33">
        <v>46157.333333333299</v>
      </c>
      <c r="G33">
        <v>46160.291666666701</v>
      </c>
      <c r="H33" t="s">
        <v>350</v>
      </c>
      <c r="I33" t="s">
        <v>4205</v>
      </c>
      <c r="J33" t="s">
        <v>348</v>
      </c>
      <c r="K33" t="s">
        <v>344</v>
      </c>
    </row>
    <row r="34" spans="1:11">
      <c r="A34">
        <v>6023015</v>
      </c>
      <c r="B34" t="s">
        <v>4238</v>
      </c>
      <c r="C34" t="s">
        <v>227</v>
      </c>
      <c r="D34" t="s">
        <v>79</v>
      </c>
      <c r="E34">
        <v>46157.625</v>
      </c>
      <c r="F34">
        <v>46157.625</v>
      </c>
      <c r="G34">
        <v>46161.958333333299</v>
      </c>
      <c r="H34" t="s">
        <v>372</v>
      </c>
      <c r="I34" t="s">
        <v>4206</v>
      </c>
      <c r="J34" t="s">
        <v>295</v>
      </c>
      <c r="K34" t="s">
        <v>543</v>
      </c>
    </row>
    <row r="35" spans="1:11">
      <c r="A35">
        <v>6023020</v>
      </c>
      <c r="B35" t="s">
        <v>4234</v>
      </c>
      <c r="C35" t="s">
        <v>227</v>
      </c>
      <c r="D35" t="s">
        <v>79</v>
      </c>
      <c r="E35">
        <v>46157</v>
      </c>
      <c r="F35">
        <v>46157.583333333299</v>
      </c>
      <c r="G35">
        <v>46162.25</v>
      </c>
      <c r="H35" t="s">
        <v>297</v>
      </c>
      <c r="I35" t="s">
        <v>4203</v>
      </c>
      <c r="J35" t="s">
        <v>528</v>
      </c>
      <c r="K35" t="s">
        <v>525</v>
      </c>
    </row>
    <row r="36" spans="1:11">
      <c r="A36">
        <v>6023168</v>
      </c>
      <c r="B36" t="s">
        <v>4235</v>
      </c>
      <c r="C36" t="s">
        <v>4126</v>
      </c>
      <c r="D36" t="s">
        <v>140</v>
      </c>
      <c r="E36">
        <v>46161.179166666698</v>
      </c>
      <c r="F36">
        <v>46160.666666666701</v>
      </c>
      <c r="G36">
        <v>46161.333333333299</v>
      </c>
      <c r="H36" t="s">
        <v>4125</v>
      </c>
      <c r="I36" t="s">
        <v>3536</v>
      </c>
    </row>
    <row r="37" spans="1:11">
      <c r="A37">
        <v>6014055</v>
      </c>
      <c r="B37" t="s">
        <v>4235</v>
      </c>
      <c r="C37" t="s">
        <v>72</v>
      </c>
      <c r="D37" t="s">
        <v>140</v>
      </c>
      <c r="E37">
        <v>46161.520833333299</v>
      </c>
      <c r="F37">
        <v>46160.708333333299</v>
      </c>
      <c r="G37">
        <v>46163.333333333299</v>
      </c>
      <c r="H37" t="s">
        <v>726</v>
      </c>
      <c r="I37" t="s">
        <v>3273</v>
      </c>
    </row>
    <row r="38" spans="1:11">
      <c r="A38">
        <v>6022158</v>
      </c>
      <c r="B38" t="s">
        <v>4234</v>
      </c>
      <c r="C38" t="s">
        <v>216</v>
      </c>
      <c r="D38" t="s">
        <v>79</v>
      </c>
      <c r="E38">
        <v>46159.138888888898</v>
      </c>
      <c r="F38">
        <v>46157.479166666701</v>
      </c>
      <c r="G38">
        <v>46160.25</v>
      </c>
      <c r="H38" t="s">
        <v>383</v>
      </c>
      <c r="I38" t="s">
        <v>4189</v>
      </c>
      <c r="J38" t="s">
        <v>511</v>
      </c>
      <c r="K38" t="s">
        <v>633</v>
      </c>
    </row>
    <row r="39" spans="1:11">
      <c r="A39">
        <v>6023009</v>
      </c>
      <c r="B39" t="s">
        <v>4235</v>
      </c>
      <c r="C39" t="s">
        <v>3050</v>
      </c>
      <c r="D39" t="s">
        <v>140</v>
      </c>
      <c r="E39">
        <v>46161.365277777797</v>
      </c>
      <c r="F39">
        <v>46160.833333333299</v>
      </c>
      <c r="G39">
        <v>46162.25</v>
      </c>
      <c r="H39" t="s">
        <v>494</v>
      </c>
      <c r="I39" t="s">
        <v>4207</v>
      </c>
    </row>
    <row r="40" spans="1:11">
      <c r="A40">
        <v>6023297</v>
      </c>
      <c r="B40" t="s">
        <v>4237</v>
      </c>
      <c r="C40" t="s">
        <v>724</v>
      </c>
      <c r="D40" t="s">
        <v>79</v>
      </c>
      <c r="E40">
        <v>46160.833333333299</v>
      </c>
      <c r="F40">
        <v>46158.458333333299</v>
      </c>
      <c r="G40">
        <v>46161.25</v>
      </c>
      <c r="H40" t="s">
        <v>3293</v>
      </c>
      <c r="I40" t="s">
        <v>2440</v>
      </c>
    </row>
    <row r="41" spans="1:11">
      <c r="A41">
        <v>6021313</v>
      </c>
      <c r="B41" t="s">
        <v>4234</v>
      </c>
      <c r="C41" t="s">
        <v>553</v>
      </c>
      <c r="D41" t="s">
        <v>140</v>
      </c>
      <c r="E41">
        <v>46159.704861111102</v>
      </c>
      <c r="F41">
        <v>46157.833333333299</v>
      </c>
      <c r="G41">
        <v>46161.277777777803</v>
      </c>
      <c r="H41" t="s">
        <v>557</v>
      </c>
      <c r="I41" t="s">
        <v>4208</v>
      </c>
      <c r="J41" t="s">
        <v>555</v>
      </c>
      <c r="K41" t="s">
        <v>551</v>
      </c>
    </row>
    <row r="42" spans="1:11">
      <c r="A42">
        <v>6014900</v>
      </c>
      <c r="B42" t="s">
        <v>4234</v>
      </c>
      <c r="C42" t="s">
        <v>72</v>
      </c>
      <c r="D42" t="s">
        <v>140</v>
      </c>
      <c r="E42">
        <v>46159.823611111096</v>
      </c>
      <c r="F42">
        <v>46157.708333333299</v>
      </c>
      <c r="G42">
        <v>46163.25</v>
      </c>
      <c r="H42" t="s">
        <v>141</v>
      </c>
      <c r="I42" t="s">
        <v>4197</v>
      </c>
      <c r="J42" t="s">
        <v>584</v>
      </c>
      <c r="K42" t="s">
        <v>580</v>
      </c>
    </row>
    <row r="43" spans="1:11">
      <c r="A43">
        <v>6023296</v>
      </c>
      <c r="B43" t="s">
        <v>4238</v>
      </c>
      <c r="C43" t="s">
        <v>724</v>
      </c>
      <c r="D43" t="s">
        <v>79</v>
      </c>
      <c r="E43">
        <v>46160.110416666699</v>
      </c>
      <c r="F43">
        <v>46158.395833333299</v>
      </c>
      <c r="G43">
        <v>46160.25</v>
      </c>
      <c r="H43" t="s">
        <v>286</v>
      </c>
      <c r="I43" t="s">
        <v>4202</v>
      </c>
      <c r="J43" t="s">
        <v>295</v>
      </c>
      <c r="K43" t="s">
        <v>778</v>
      </c>
    </row>
    <row r="44" spans="1:11">
      <c r="A44">
        <v>6022339</v>
      </c>
      <c r="B44" t="s">
        <v>4238</v>
      </c>
      <c r="C44" t="s">
        <v>724</v>
      </c>
      <c r="D44" t="s">
        <v>79</v>
      </c>
      <c r="E44">
        <v>46159.245138888902</v>
      </c>
      <c r="F44">
        <v>46157.416666666701</v>
      </c>
      <c r="G44">
        <v>46160.291666666701</v>
      </c>
      <c r="H44" t="s">
        <v>726</v>
      </c>
      <c r="I44" t="s">
        <v>3273</v>
      </c>
      <c r="J44" t="s">
        <v>295</v>
      </c>
      <c r="K44" t="s">
        <v>722</v>
      </c>
    </row>
    <row r="45" spans="1:11">
      <c r="A45">
        <v>6021735</v>
      </c>
      <c r="B45" t="s">
        <v>4235</v>
      </c>
      <c r="C45" t="s">
        <v>1912</v>
      </c>
      <c r="D45" t="s">
        <v>1918</v>
      </c>
      <c r="E45">
        <v>46160.854166666701</v>
      </c>
      <c r="F45">
        <v>46160.854166666701</v>
      </c>
      <c r="G45">
        <v>46162.25</v>
      </c>
      <c r="H45" t="s">
        <v>594</v>
      </c>
      <c r="I45" t="s">
        <v>4191</v>
      </c>
    </row>
    <row r="46" spans="1:11">
      <c r="A46">
        <v>6022203</v>
      </c>
      <c r="B46" t="s">
        <v>4238</v>
      </c>
      <c r="C46" t="s">
        <v>114</v>
      </c>
      <c r="D46" t="s">
        <v>79</v>
      </c>
      <c r="E46">
        <v>46157.25</v>
      </c>
      <c r="F46">
        <v>46157.25</v>
      </c>
      <c r="G46">
        <v>46160.958333333299</v>
      </c>
      <c r="H46" t="s">
        <v>297</v>
      </c>
      <c r="I46" t="s">
        <v>4203</v>
      </c>
      <c r="J46" t="s">
        <v>295</v>
      </c>
      <c r="K46" t="s">
        <v>292</v>
      </c>
    </row>
    <row r="47" spans="1:11">
      <c r="A47">
        <v>6022219</v>
      </c>
      <c r="B47" t="s">
        <v>4238</v>
      </c>
      <c r="C47" t="s">
        <v>260</v>
      </c>
      <c r="D47" t="s">
        <v>79</v>
      </c>
      <c r="E47">
        <v>46157.25</v>
      </c>
      <c r="F47">
        <v>46157.25</v>
      </c>
      <c r="G47">
        <v>46160.958333333299</v>
      </c>
      <c r="H47" t="s">
        <v>474</v>
      </c>
      <c r="I47" t="s">
        <v>4209</v>
      </c>
      <c r="J47" t="s">
        <v>295</v>
      </c>
      <c r="K47" t="s">
        <v>471</v>
      </c>
    </row>
    <row r="48" spans="1:11">
      <c r="A48">
        <v>6014918</v>
      </c>
      <c r="B48" t="s">
        <v>4237</v>
      </c>
      <c r="C48" t="s">
        <v>216</v>
      </c>
      <c r="D48" t="s">
        <v>79</v>
      </c>
      <c r="E48">
        <v>46158.958333333299</v>
      </c>
      <c r="F48">
        <v>46157.4375</v>
      </c>
      <c r="G48">
        <v>46163.291666666701</v>
      </c>
      <c r="H48" t="s">
        <v>198</v>
      </c>
      <c r="I48" t="s">
        <v>4190</v>
      </c>
    </row>
    <row r="49" spans="1:11">
      <c r="A49">
        <v>6022206</v>
      </c>
      <c r="B49" t="s">
        <v>4238</v>
      </c>
      <c r="C49" t="s">
        <v>216</v>
      </c>
      <c r="D49" t="s">
        <v>79</v>
      </c>
      <c r="E49">
        <v>46159.654861111099</v>
      </c>
      <c r="F49">
        <v>46157.458333333299</v>
      </c>
      <c r="G49">
        <v>46163.25</v>
      </c>
      <c r="H49" t="s">
        <v>594</v>
      </c>
      <c r="I49" t="s">
        <v>4191</v>
      </c>
      <c r="J49" t="s">
        <v>295</v>
      </c>
      <c r="K49" t="s">
        <v>626</v>
      </c>
    </row>
    <row r="50" spans="1:11">
      <c r="A50">
        <v>6022190</v>
      </c>
      <c r="B50" t="s">
        <v>4238</v>
      </c>
      <c r="C50" t="s">
        <v>114</v>
      </c>
      <c r="D50" t="s">
        <v>79</v>
      </c>
      <c r="E50">
        <v>46157.25</v>
      </c>
      <c r="F50">
        <v>46157.25</v>
      </c>
      <c r="G50">
        <v>46160.958333333299</v>
      </c>
      <c r="H50" t="s">
        <v>297</v>
      </c>
      <c r="I50" t="s">
        <v>4203</v>
      </c>
      <c r="J50" t="s">
        <v>295</v>
      </c>
      <c r="K50" t="s">
        <v>731</v>
      </c>
    </row>
    <row r="51" spans="1:11">
      <c r="A51">
        <v>6021732</v>
      </c>
      <c r="B51" t="s">
        <v>4235</v>
      </c>
      <c r="C51" t="s">
        <v>1912</v>
      </c>
      <c r="D51" t="s">
        <v>1918</v>
      </c>
      <c r="E51">
        <v>46160.895833333299</v>
      </c>
      <c r="F51">
        <v>46160.895833333299</v>
      </c>
      <c r="G51">
        <v>46162.25</v>
      </c>
      <c r="H51" t="s">
        <v>4022</v>
      </c>
      <c r="I51" t="s">
        <v>4196</v>
      </c>
    </row>
    <row r="52" spans="1:11">
      <c r="A52">
        <v>6022204</v>
      </c>
      <c r="B52" t="s">
        <v>4234</v>
      </c>
      <c r="C52" t="s">
        <v>216</v>
      </c>
      <c r="D52" t="s">
        <v>79</v>
      </c>
      <c r="E52">
        <v>46159.826388888898</v>
      </c>
      <c r="F52">
        <v>46157.625</v>
      </c>
      <c r="G52">
        <v>46160.25</v>
      </c>
      <c r="H52" t="s">
        <v>297</v>
      </c>
      <c r="I52" t="s">
        <v>4203</v>
      </c>
      <c r="J52" t="s">
        <v>575</v>
      </c>
      <c r="K52" t="s">
        <v>573</v>
      </c>
    </row>
    <row r="53" spans="1:11">
      <c r="A53">
        <v>6014913</v>
      </c>
      <c r="B53" t="s">
        <v>4234</v>
      </c>
      <c r="C53" t="s">
        <v>171</v>
      </c>
      <c r="D53" t="s">
        <v>79</v>
      </c>
      <c r="E53">
        <v>46160.890972222202</v>
      </c>
      <c r="F53">
        <v>46157.75</v>
      </c>
      <c r="G53">
        <v>46161.333333333299</v>
      </c>
      <c r="H53" t="s">
        <v>327</v>
      </c>
      <c r="I53" t="s">
        <v>4186</v>
      </c>
      <c r="J53" t="s">
        <v>748</v>
      </c>
      <c r="K53" t="s">
        <v>744</v>
      </c>
    </row>
    <row r="54" spans="1:11">
      <c r="A54">
        <v>6022045</v>
      </c>
      <c r="B54" t="s">
        <v>4235</v>
      </c>
      <c r="C54" t="s">
        <v>1635</v>
      </c>
      <c r="D54" t="s">
        <v>140</v>
      </c>
      <c r="E54">
        <v>46161.154166666704</v>
      </c>
      <c r="F54">
        <v>46160.416666666701</v>
      </c>
      <c r="G54">
        <v>46161.25</v>
      </c>
      <c r="H54" t="s">
        <v>297</v>
      </c>
      <c r="I54" t="s">
        <v>4203</v>
      </c>
    </row>
    <row r="55" spans="1:11">
      <c r="A55">
        <v>6022260</v>
      </c>
      <c r="B55" t="s">
        <v>4237</v>
      </c>
      <c r="C55" t="s">
        <v>216</v>
      </c>
      <c r="D55" t="s">
        <v>79</v>
      </c>
      <c r="E55">
        <v>46159.747916666704</v>
      </c>
      <c r="F55">
        <v>46157.4375</v>
      </c>
      <c r="G55">
        <v>46164.25</v>
      </c>
      <c r="H55" t="s">
        <v>80</v>
      </c>
      <c r="I55" t="s">
        <v>76</v>
      </c>
    </row>
    <row r="56" spans="1:11">
      <c r="A56">
        <v>6015357</v>
      </c>
      <c r="B56" t="s">
        <v>4237</v>
      </c>
      <c r="C56" t="s">
        <v>184</v>
      </c>
      <c r="D56" t="s">
        <v>79</v>
      </c>
      <c r="E56">
        <v>46159.528472222199</v>
      </c>
      <c r="F56">
        <v>46158.416666666701</v>
      </c>
      <c r="G56">
        <v>46159.958333333299</v>
      </c>
      <c r="H56" t="s">
        <v>750</v>
      </c>
      <c r="I56" t="s">
        <v>4211</v>
      </c>
    </row>
    <row r="57" spans="1:11">
      <c r="A57">
        <v>6021540</v>
      </c>
      <c r="B57" t="s">
        <v>4234</v>
      </c>
      <c r="C57" t="s">
        <v>216</v>
      </c>
      <c r="D57" t="s">
        <v>140</v>
      </c>
      <c r="E57">
        <v>46159.238194444399</v>
      </c>
      <c r="F57">
        <v>46157.333333333299</v>
      </c>
      <c r="G57">
        <v>46160.291666666701</v>
      </c>
      <c r="H57" t="s">
        <v>350</v>
      </c>
      <c r="I57" t="s">
        <v>4205</v>
      </c>
      <c r="J57" t="s">
        <v>348</v>
      </c>
      <c r="K57" t="s">
        <v>344</v>
      </c>
    </row>
    <row r="58" spans="1:11">
      <c r="A58">
        <v>6023167</v>
      </c>
      <c r="B58" t="s">
        <v>4235</v>
      </c>
      <c r="C58" t="s">
        <v>184</v>
      </c>
      <c r="D58" t="s">
        <v>140</v>
      </c>
      <c r="E58">
        <v>46161.2</v>
      </c>
      <c r="F58">
        <v>46160.833333333299</v>
      </c>
      <c r="G58">
        <v>46161.333333333299</v>
      </c>
      <c r="H58" t="s">
        <v>4125</v>
      </c>
      <c r="I58" t="s">
        <v>3536</v>
      </c>
    </row>
    <row r="59" spans="1:11">
      <c r="A59">
        <v>6023031</v>
      </c>
      <c r="B59" t="s">
        <v>4235</v>
      </c>
      <c r="C59" t="s">
        <v>102</v>
      </c>
      <c r="D59" t="s">
        <v>79</v>
      </c>
      <c r="E59">
        <v>46164.073611111096</v>
      </c>
      <c r="F59">
        <v>46160.708333333299</v>
      </c>
      <c r="G59">
        <v>46169.25</v>
      </c>
      <c r="H59" t="s">
        <v>4124</v>
      </c>
      <c r="I59" t="s">
        <v>4212</v>
      </c>
    </row>
    <row r="60" spans="1:11">
      <c r="A60">
        <v>6021353</v>
      </c>
      <c r="B60" t="s">
        <v>4234</v>
      </c>
      <c r="C60" t="s">
        <v>227</v>
      </c>
      <c r="D60" t="s">
        <v>79</v>
      </c>
      <c r="E60">
        <v>46161.890972222202</v>
      </c>
      <c r="F60">
        <v>46157.416666666701</v>
      </c>
      <c r="G60">
        <v>46162.333333333299</v>
      </c>
      <c r="H60" t="s">
        <v>327</v>
      </c>
      <c r="I60" t="s">
        <v>4186</v>
      </c>
      <c r="J60" t="s">
        <v>326</v>
      </c>
      <c r="K60" t="s">
        <v>323</v>
      </c>
    </row>
    <row r="61" spans="1:11">
      <c r="A61">
        <v>6015351</v>
      </c>
      <c r="B61" t="s">
        <v>4235</v>
      </c>
      <c r="C61" t="s">
        <v>227</v>
      </c>
      <c r="D61" t="s">
        <v>79</v>
      </c>
      <c r="E61">
        <v>46161.890972222202</v>
      </c>
      <c r="F61">
        <v>46160.583333333299</v>
      </c>
      <c r="G61">
        <v>46162.333333333299</v>
      </c>
      <c r="H61" t="s">
        <v>2300</v>
      </c>
      <c r="I61" t="s">
        <v>4186</v>
      </c>
    </row>
    <row r="62" spans="1:11">
      <c r="A62">
        <v>6021357</v>
      </c>
      <c r="B62" t="s">
        <v>4234</v>
      </c>
      <c r="C62" t="s">
        <v>89</v>
      </c>
      <c r="D62" t="s">
        <v>79</v>
      </c>
      <c r="E62">
        <v>46159.958333333299</v>
      </c>
      <c r="F62">
        <v>46157.75</v>
      </c>
      <c r="G62">
        <v>46164.291666666701</v>
      </c>
      <c r="H62" t="s">
        <v>198</v>
      </c>
      <c r="I62" t="s">
        <v>4190</v>
      </c>
      <c r="J62" t="s">
        <v>274</v>
      </c>
      <c r="K62" t="s">
        <v>270</v>
      </c>
    </row>
    <row r="63" spans="1:11">
      <c r="A63">
        <v>6022201</v>
      </c>
      <c r="B63" t="s">
        <v>4234</v>
      </c>
      <c r="C63" t="s">
        <v>216</v>
      </c>
      <c r="D63" t="s">
        <v>79</v>
      </c>
      <c r="E63">
        <v>46159.826388888898</v>
      </c>
      <c r="F63">
        <v>46157.625</v>
      </c>
      <c r="G63">
        <v>46160.25</v>
      </c>
      <c r="H63" t="s">
        <v>297</v>
      </c>
      <c r="I63" t="s">
        <v>4203</v>
      </c>
      <c r="J63" t="s">
        <v>575</v>
      </c>
      <c r="K63" t="s">
        <v>573</v>
      </c>
    </row>
    <row r="64" spans="1:11">
      <c r="A64">
        <v>6022251</v>
      </c>
      <c r="B64" t="s">
        <v>4237</v>
      </c>
      <c r="C64" t="s">
        <v>102</v>
      </c>
      <c r="D64" t="s">
        <v>79</v>
      </c>
      <c r="E64">
        <v>46164.060416666704</v>
      </c>
      <c r="F64">
        <v>46157.791666666701</v>
      </c>
      <c r="G64">
        <v>46169.25</v>
      </c>
      <c r="H64" t="s">
        <v>4110</v>
      </c>
      <c r="I64" t="s">
        <v>4213</v>
      </c>
    </row>
    <row r="65" spans="1:11">
      <c r="A65">
        <v>6020708</v>
      </c>
      <c r="B65" t="s">
        <v>4234</v>
      </c>
      <c r="C65" t="s">
        <v>72</v>
      </c>
      <c r="D65" t="s">
        <v>140</v>
      </c>
      <c r="E65">
        <v>46161.137499999997</v>
      </c>
      <c r="F65">
        <v>46157.708333333299</v>
      </c>
      <c r="G65">
        <v>46162.416666666701</v>
      </c>
      <c r="H65" t="s">
        <v>708</v>
      </c>
      <c r="I65" t="s">
        <v>4215</v>
      </c>
      <c r="J65" t="s">
        <v>706</v>
      </c>
      <c r="K65" t="s">
        <v>703</v>
      </c>
    </row>
    <row r="66" spans="1:11">
      <c r="A66">
        <v>6014921</v>
      </c>
      <c r="B66" t="s">
        <v>4237</v>
      </c>
      <c r="C66" t="s">
        <v>102</v>
      </c>
      <c r="D66" t="s">
        <v>79</v>
      </c>
      <c r="E66">
        <v>46160.328472222202</v>
      </c>
      <c r="F66">
        <v>46157.708333333299</v>
      </c>
      <c r="G66">
        <v>46162.333333333299</v>
      </c>
      <c r="H66" t="s">
        <v>2874</v>
      </c>
      <c r="I66" t="s">
        <v>4204</v>
      </c>
    </row>
    <row r="67" spans="1:11">
      <c r="A67">
        <v>6023017</v>
      </c>
      <c r="B67" t="s">
        <v>4235</v>
      </c>
      <c r="C67" t="s">
        <v>184</v>
      </c>
      <c r="D67" t="s">
        <v>79</v>
      </c>
      <c r="E67">
        <v>46161.5222222222</v>
      </c>
      <c r="F67">
        <v>46160.583333333299</v>
      </c>
      <c r="G67">
        <v>46161.958333333299</v>
      </c>
      <c r="H67" t="s">
        <v>372</v>
      </c>
      <c r="I67" t="s">
        <v>4206</v>
      </c>
    </row>
    <row r="68" spans="1:11">
      <c r="A68">
        <v>6023021</v>
      </c>
      <c r="B68" t="s">
        <v>4238</v>
      </c>
      <c r="C68" t="s">
        <v>227</v>
      </c>
      <c r="D68" t="s">
        <v>79</v>
      </c>
      <c r="E68">
        <v>46157.541666666701</v>
      </c>
      <c r="F68">
        <v>46157.541666666701</v>
      </c>
      <c r="G68">
        <v>46162.25</v>
      </c>
      <c r="H68" t="s">
        <v>297</v>
      </c>
      <c r="I68" t="s">
        <v>4203</v>
      </c>
      <c r="J68" t="s">
        <v>295</v>
      </c>
      <c r="K68" t="s">
        <v>755</v>
      </c>
    </row>
    <row r="69" spans="1:11">
      <c r="A69">
        <v>6022213</v>
      </c>
      <c r="B69" t="s">
        <v>4238</v>
      </c>
      <c r="C69" t="s">
        <v>72</v>
      </c>
      <c r="D69" t="s">
        <v>79</v>
      </c>
      <c r="E69">
        <v>46160.3215277778</v>
      </c>
      <c r="F69">
        <v>46158.5</v>
      </c>
      <c r="G69">
        <v>46162.25</v>
      </c>
      <c r="H69" t="s">
        <v>717</v>
      </c>
      <c r="I69" t="s">
        <v>1361</v>
      </c>
      <c r="J69" t="s">
        <v>715</v>
      </c>
      <c r="K69" t="s">
        <v>712</v>
      </c>
    </row>
    <row r="70" spans="1:11">
      <c r="A70">
        <v>6021908</v>
      </c>
      <c r="B70" t="s">
        <v>4234</v>
      </c>
      <c r="C70" t="s">
        <v>216</v>
      </c>
      <c r="D70" t="s">
        <v>140</v>
      </c>
      <c r="E70">
        <v>46160.238194444399</v>
      </c>
      <c r="F70">
        <v>46157.583333333299</v>
      </c>
      <c r="G70">
        <v>46161.291666666701</v>
      </c>
      <c r="H70" t="s">
        <v>403</v>
      </c>
      <c r="I70" t="s">
        <v>4205</v>
      </c>
      <c r="J70" t="s">
        <v>400</v>
      </c>
      <c r="K70" t="s">
        <v>396</v>
      </c>
    </row>
    <row r="71" spans="1:11">
      <c r="A71">
        <v>6022174</v>
      </c>
      <c r="B71" t="s">
        <v>4234</v>
      </c>
      <c r="C71" t="s">
        <v>171</v>
      </c>
      <c r="D71" t="s">
        <v>79</v>
      </c>
      <c r="E71">
        <v>46159.395833333299</v>
      </c>
      <c r="F71">
        <v>46157.770833333299</v>
      </c>
      <c r="G71">
        <v>46159.958333333299</v>
      </c>
      <c r="H71" t="s">
        <v>372</v>
      </c>
      <c r="I71" t="s">
        <v>4206</v>
      </c>
      <c r="J71" t="s">
        <v>370</v>
      </c>
      <c r="K71" t="s">
        <v>366</v>
      </c>
    </row>
    <row r="72" spans="1:11">
      <c r="A72">
        <v>6013220</v>
      </c>
      <c r="B72" t="s">
        <v>4234</v>
      </c>
      <c r="C72" t="s">
        <v>553</v>
      </c>
      <c r="D72" t="s">
        <v>140</v>
      </c>
      <c r="E72">
        <v>46159.134722222203</v>
      </c>
      <c r="F72">
        <v>46157.833333333299</v>
      </c>
      <c r="G72">
        <v>46160.277777777803</v>
      </c>
      <c r="H72" t="s">
        <v>557</v>
      </c>
      <c r="I72" t="s">
        <v>4208</v>
      </c>
      <c r="J72" t="s">
        <v>555</v>
      </c>
      <c r="K72" t="s">
        <v>551</v>
      </c>
    </row>
    <row r="73" spans="1:11">
      <c r="A73">
        <v>6022041</v>
      </c>
      <c r="B73" t="s">
        <v>4234</v>
      </c>
      <c r="C73" t="s">
        <v>72</v>
      </c>
      <c r="D73" t="s">
        <v>140</v>
      </c>
      <c r="E73">
        <v>46159.871527777803</v>
      </c>
      <c r="F73">
        <v>46157.708333333299</v>
      </c>
      <c r="G73">
        <v>46160.25</v>
      </c>
      <c r="H73" t="s">
        <v>383</v>
      </c>
      <c r="I73" t="s">
        <v>4189</v>
      </c>
      <c r="J73" t="s">
        <v>454</v>
      </c>
      <c r="K73" t="s">
        <v>450</v>
      </c>
    </row>
    <row r="74" spans="1:11">
      <c r="A74">
        <v>6010993</v>
      </c>
      <c r="B74" t="s">
        <v>4237</v>
      </c>
      <c r="C74" t="s">
        <v>72</v>
      </c>
      <c r="D74" t="s">
        <v>79</v>
      </c>
      <c r="E74">
        <v>46160.286805555603</v>
      </c>
      <c r="F74">
        <v>46157.666666666701</v>
      </c>
      <c r="G74">
        <v>46162.291666666701</v>
      </c>
      <c r="H74" t="s">
        <v>2190</v>
      </c>
      <c r="I74" t="s">
        <v>4204</v>
      </c>
    </row>
    <row r="75" spans="1:11">
      <c r="A75">
        <v>6022205</v>
      </c>
      <c r="B75" t="s">
        <v>4239</v>
      </c>
      <c r="C75" t="s">
        <v>282</v>
      </c>
      <c r="D75" t="s">
        <v>79</v>
      </c>
      <c r="E75">
        <v>46157.25</v>
      </c>
      <c r="F75">
        <v>46157.25</v>
      </c>
      <c r="G75">
        <v>46160.958333333299</v>
      </c>
      <c r="H75" t="s">
        <v>4082</v>
      </c>
      <c r="I75" t="s">
        <v>4217</v>
      </c>
    </row>
    <row r="76" spans="1:11">
      <c r="A76">
        <v>6022209</v>
      </c>
      <c r="B76" t="s">
        <v>4238</v>
      </c>
      <c r="C76" t="s">
        <v>216</v>
      </c>
      <c r="D76" t="s">
        <v>79</v>
      </c>
      <c r="E76">
        <v>46158.916666666701</v>
      </c>
      <c r="F76">
        <v>46157.416666666701</v>
      </c>
      <c r="G76">
        <v>46163.25</v>
      </c>
      <c r="H76" t="s">
        <v>613</v>
      </c>
      <c r="I76" t="s">
        <v>4197</v>
      </c>
      <c r="J76" t="s">
        <v>295</v>
      </c>
      <c r="K76" t="s">
        <v>610</v>
      </c>
    </row>
    <row r="77" spans="1:11">
      <c r="A77">
        <v>6025141</v>
      </c>
      <c r="B77" t="s">
        <v>4235</v>
      </c>
      <c r="C77" t="s">
        <v>102</v>
      </c>
      <c r="D77" t="s">
        <v>140</v>
      </c>
      <c r="E77">
        <v>46160.595833333296</v>
      </c>
      <c r="F77">
        <v>46160.333333333299</v>
      </c>
      <c r="G77">
        <v>46160.6875</v>
      </c>
      <c r="H77" t="s">
        <v>605</v>
      </c>
      <c r="I77" t="s">
        <v>4219</v>
      </c>
    </row>
    <row r="78" spans="1:11">
      <c r="A78">
        <v>6023025</v>
      </c>
      <c r="B78" t="s">
        <v>4235</v>
      </c>
      <c r="C78" t="s">
        <v>114</v>
      </c>
      <c r="D78" t="s">
        <v>79</v>
      </c>
      <c r="E78">
        <v>46161.826388888898</v>
      </c>
      <c r="F78">
        <v>46160.458333333299</v>
      </c>
      <c r="G78">
        <v>46162.25</v>
      </c>
      <c r="H78" t="s">
        <v>297</v>
      </c>
      <c r="I78" t="s">
        <v>4203</v>
      </c>
    </row>
    <row r="79" spans="1:11">
      <c r="A79">
        <v>6022217</v>
      </c>
      <c r="B79" t="s">
        <v>4238</v>
      </c>
      <c r="C79" t="s">
        <v>260</v>
      </c>
      <c r="D79" t="s">
        <v>79</v>
      </c>
      <c r="E79">
        <v>46160.097222222197</v>
      </c>
      <c r="F79">
        <v>46158.333333333299</v>
      </c>
      <c r="G79">
        <v>46160.25</v>
      </c>
      <c r="H79" t="s">
        <v>466</v>
      </c>
      <c r="I79" t="s">
        <v>4220</v>
      </c>
      <c r="J79" t="s">
        <v>464</v>
      </c>
      <c r="K79" t="s">
        <v>461</v>
      </c>
    </row>
    <row r="80" spans="1:11">
      <c r="A80">
        <v>6011002</v>
      </c>
      <c r="B80" t="s">
        <v>4234</v>
      </c>
      <c r="C80" t="s">
        <v>171</v>
      </c>
      <c r="D80" t="s">
        <v>79</v>
      </c>
      <c r="E80">
        <v>46161.528472222199</v>
      </c>
      <c r="F80">
        <v>46157.75</v>
      </c>
      <c r="G80">
        <v>46161.958333333299</v>
      </c>
      <c r="H80" t="s">
        <v>750</v>
      </c>
      <c r="I80" t="s">
        <v>4211</v>
      </c>
      <c r="J80" t="s">
        <v>748</v>
      </c>
      <c r="K80" t="s">
        <v>744</v>
      </c>
    </row>
    <row r="81" spans="1:11">
      <c r="A81">
        <v>6022066</v>
      </c>
      <c r="B81" t="s">
        <v>4235</v>
      </c>
      <c r="C81" t="s">
        <v>3050</v>
      </c>
      <c r="D81" t="s">
        <v>140</v>
      </c>
      <c r="E81">
        <v>46160.25</v>
      </c>
      <c r="F81">
        <v>46160.25</v>
      </c>
      <c r="G81">
        <v>46161.291666666701</v>
      </c>
      <c r="H81" t="s">
        <v>253</v>
      </c>
      <c r="I81" t="s">
        <v>4187</v>
      </c>
    </row>
    <row r="82" spans="1:11">
      <c r="A82">
        <v>6023010</v>
      </c>
      <c r="B82" t="s">
        <v>4235</v>
      </c>
      <c r="C82" t="s">
        <v>114</v>
      </c>
      <c r="D82" t="s">
        <v>140</v>
      </c>
      <c r="E82">
        <v>46161.154166666704</v>
      </c>
      <c r="F82">
        <v>46160.416666666701</v>
      </c>
      <c r="G82">
        <v>46161.25</v>
      </c>
      <c r="H82" t="s">
        <v>297</v>
      </c>
      <c r="I82" t="s">
        <v>4203</v>
      </c>
    </row>
    <row r="83" spans="1:11">
      <c r="A83">
        <v>6011010</v>
      </c>
      <c r="B83" t="s">
        <v>4234</v>
      </c>
      <c r="C83" t="s">
        <v>408</v>
      </c>
      <c r="D83" t="s">
        <v>79</v>
      </c>
      <c r="E83">
        <v>46160.826388888898</v>
      </c>
      <c r="F83">
        <v>46157.458333333299</v>
      </c>
      <c r="G83">
        <v>46161.25</v>
      </c>
      <c r="H83" t="s">
        <v>412</v>
      </c>
      <c r="I83" t="s">
        <v>4216</v>
      </c>
      <c r="J83" t="s">
        <v>410</v>
      </c>
      <c r="K83" t="s">
        <v>406</v>
      </c>
    </row>
    <row r="84" spans="1:11">
      <c r="A84">
        <v>6022222</v>
      </c>
      <c r="B84" t="s">
        <v>4234</v>
      </c>
      <c r="C84" t="s">
        <v>114</v>
      </c>
      <c r="D84" t="s">
        <v>79</v>
      </c>
      <c r="E84">
        <v>46157.25</v>
      </c>
      <c r="F84">
        <v>46157.25</v>
      </c>
      <c r="G84">
        <v>46161.958333333299</v>
      </c>
      <c r="H84" t="s">
        <v>567</v>
      </c>
      <c r="I84" t="s">
        <v>4207</v>
      </c>
      <c r="J84" t="s">
        <v>652</v>
      </c>
      <c r="K84" t="s">
        <v>649</v>
      </c>
    </row>
    <row r="85" spans="1:11">
      <c r="A85">
        <v>6020923</v>
      </c>
      <c r="B85" t="s">
        <v>4238</v>
      </c>
      <c r="C85" t="s">
        <v>72</v>
      </c>
      <c r="D85" t="s">
        <v>79</v>
      </c>
      <c r="E85">
        <v>46159.765972222202</v>
      </c>
      <c r="F85">
        <v>46160.416666666701</v>
      </c>
      <c r="G85">
        <v>46160.208333333299</v>
      </c>
      <c r="H85" t="s">
        <v>698</v>
      </c>
      <c r="I85" t="s">
        <v>4186</v>
      </c>
      <c r="J85" t="s">
        <v>295</v>
      </c>
      <c r="K85" t="s">
        <v>695</v>
      </c>
    </row>
    <row r="86" spans="1:11">
      <c r="A86">
        <v>6023016</v>
      </c>
      <c r="B86" t="s">
        <v>4235</v>
      </c>
      <c r="C86" t="s">
        <v>724</v>
      </c>
      <c r="D86" t="s">
        <v>79</v>
      </c>
      <c r="E86">
        <v>46161.5222222222</v>
      </c>
      <c r="F86">
        <v>46160.333333333299</v>
      </c>
      <c r="G86">
        <v>46161.958333333299</v>
      </c>
      <c r="H86" t="s">
        <v>372</v>
      </c>
      <c r="I86" t="s">
        <v>4206</v>
      </c>
    </row>
    <row r="87" spans="1:11">
      <c r="A87">
        <v>6022184</v>
      </c>
      <c r="B87" t="s">
        <v>4234</v>
      </c>
      <c r="C87" t="s">
        <v>216</v>
      </c>
      <c r="D87" t="s">
        <v>79</v>
      </c>
      <c r="E87">
        <v>46159.826388888898</v>
      </c>
      <c r="F87">
        <v>46157.333333333299</v>
      </c>
      <c r="G87">
        <v>46160.25</v>
      </c>
      <c r="H87" t="s">
        <v>297</v>
      </c>
      <c r="I87" t="s">
        <v>4203</v>
      </c>
      <c r="J87" t="s">
        <v>738</v>
      </c>
      <c r="K87" t="s">
        <v>736</v>
      </c>
    </row>
    <row r="88" spans="1:11">
      <c r="A88">
        <v>6022253</v>
      </c>
      <c r="B88" t="s">
        <v>4237</v>
      </c>
      <c r="C88" t="s">
        <v>102</v>
      </c>
      <c r="D88" t="s">
        <v>79</v>
      </c>
      <c r="E88">
        <v>46166.060416666704</v>
      </c>
      <c r="F88">
        <v>46157.75</v>
      </c>
      <c r="G88">
        <v>46171.25</v>
      </c>
      <c r="H88" t="s">
        <v>4110</v>
      </c>
      <c r="I88" t="s">
        <v>4213</v>
      </c>
    </row>
    <row r="89" spans="1:11">
      <c r="A89">
        <v>6022221</v>
      </c>
      <c r="B89" t="s">
        <v>4234</v>
      </c>
      <c r="C89" t="s">
        <v>114</v>
      </c>
      <c r="D89" t="s">
        <v>79</v>
      </c>
      <c r="E89">
        <v>46157.25</v>
      </c>
      <c r="F89">
        <v>46157.25</v>
      </c>
      <c r="G89">
        <v>46162.958333333299</v>
      </c>
      <c r="H89" t="s">
        <v>318</v>
      </c>
      <c r="I89" t="s">
        <v>4223</v>
      </c>
      <c r="J89" t="s">
        <v>316</v>
      </c>
      <c r="K89" t="s">
        <v>313</v>
      </c>
    </row>
    <row r="90" spans="1:11">
      <c r="A90">
        <v>6010999</v>
      </c>
      <c r="B90" t="s">
        <v>4234</v>
      </c>
      <c r="C90" t="s">
        <v>420</v>
      </c>
      <c r="D90" t="s">
        <v>79</v>
      </c>
      <c r="E90">
        <v>46159.138888888898</v>
      </c>
      <c r="F90">
        <v>46157.625</v>
      </c>
      <c r="G90">
        <v>46160.25</v>
      </c>
      <c r="H90" t="s">
        <v>503</v>
      </c>
      <c r="I90" t="s">
        <v>4189</v>
      </c>
      <c r="J90" t="s">
        <v>501</v>
      </c>
      <c r="K90" t="s">
        <v>498</v>
      </c>
    </row>
    <row r="91" spans="1:11">
      <c r="A91">
        <v>6025088</v>
      </c>
      <c r="B91" t="s">
        <v>4238</v>
      </c>
      <c r="C91" t="s">
        <v>227</v>
      </c>
      <c r="D91" t="s">
        <v>79</v>
      </c>
      <c r="E91">
        <v>46160.429166666698</v>
      </c>
      <c r="F91">
        <v>46158.333333333299</v>
      </c>
      <c r="G91">
        <v>46161</v>
      </c>
      <c r="H91" t="s">
        <v>308</v>
      </c>
      <c r="I91" t="s">
        <v>4186</v>
      </c>
      <c r="J91" t="s">
        <v>295</v>
      </c>
      <c r="K91" t="s">
        <v>770</v>
      </c>
    </row>
    <row r="92" spans="1:11">
      <c r="A92">
        <v>6025087</v>
      </c>
      <c r="B92" t="s">
        <v>4238</v>
      </c>
      <c r="C92" t="s">
        <v>227</v>
      </c>
      <c r="D92" t="s">
        <v>79</v>
      </c>
      <c r="E92">
        <v>46160.429166666698</v>
      </c>
      <c r="F92">
        <v>46158.354166666701</v>
      </c>
      <c r="G92">
        <v>46161</v>
      </c>
      <c r="H92" t="s">
        <v>308</v>
      </c>
      <c r="I92" t="s">
        <v>4186</v>
      </c>
      <c r="J92" t="s">
        <v>295</v>
      </c>
      <c r="K92" t="s">
        <v>785</v>
      </c>
    </row>
    <row r="93" spans="1:11">
      <c r="A93">
        <v>6022523</v>
      </c>
      <c r="B93" t="s">
        <v>4235</v>
      </c>
      <c r="C93" t="s">
        <v>3050</v>
      </c>
      <c r="D93" t="s">
        <v>140</v>
      </c>
      <c r="E93">
        <v>46161.1743055556</v>
      </c>
      <c r="F93">
        <v>46160.75</v>
      </c>
      <c r="G93">
        <v>46162.291666666701</v>
      </c>
      <c r="H93" t="s">
        <v>253</v>
      </c>
      <c r="I93" t="s">
        <v>4187</v>
      </c>
    </row>
    <row r="94" spans="1:11">
      <c r="A94">
        <v>6022176</v>
      </c>
      <c r="B94" t="s">
        <v>4238</v>
      </c>
      <c r="C94" t="s">
        <v>72</v>
      </c>
      <c r="D94" t="s">
        <v>79</v>
      </c>
      <c r="E94">
        <v>46160.340972222199</v>
      </c>
      <c r="F94">
        <v>46158.520833333299</v>
      </c>
      <c r="G94">
        <v>46162.25</v>
      </c>
      <c r="H94" t="s">
        <v>484</v>
      </c>
      <c r="I94" t="s">
        <v>4224</v>
      </c>
      <c r="J94" t="s">
        <v>295</v>
      </c>
      <c r="K94" t="s">
        <v>479</v>
      </c>
    </row>
    <row r="95" spans="1:11">
      <c r="A95">
        <v>6022218</v>
      </c>
      <c r="B95" t="s">
        <v>4239</v>
      </c>
      <c r="C95" t="s">
        <v>282</v>
      </c>
      <c r="D95" t="s">
        <v>79</v>
      </c>
      <c r="E95">
        <v>46157.25</v>
      </c>
      <c r="F95">
        <v>46157.25</v>
      </c>
      <c r="G95">
        <v>46160.958333333299</v>
      </c>
      <c r="H95" t="s">
        <v>466</v>
      </c>
      <c r="I95" t="s">
        <v>4220</v>
      </c>
    </row>
    <row r="96" spans="1:11">
      <c r="A96">
        <v>6022160</v>
      </c>
      <c r="B96" t="s">
        <v>4234</v>
      </c>
      <c r="C96" t="s">
        <v>420</v>
      </c>
      <c r="D96" t="s">
        <v>79</v>
      </c>
      <c r="E96">
        <v>46159.138888888898</v>
      </c>
      <c r="F96">
        <v>46157.645833333299</v>
      </c>
      <c r="G96">
        <v>46160.25</v>
      </c>
      <c r="H96" t="s">
        <v>383</v>
      </c>
      <c r="I96" t="s">
        <v>4189</v>
      </c>
      <c r="J96" t="s">
        <v>422</v>
      </c>
      <c r="K96" t="s">
        <v>418</v>
      </c>
    </row>
    <row r="97" spans="1:11">
      <c r="A97">
        <v>6022223</v>
      </c>
      <c r="B97" t="s">
        <v>4234</v>
      </c>
      <c r="C97" t="s">
        <v>114</v>
      </c>
      <c r="D97" t="s">
        <v>79</v>
      </c>
      <c r="E97">
        <v>46157.25</v>
      </c>
      <c r="F97">
        <v>46157.25</v>
      </c>
      <c r="G97">
        <v>46161.958333333299</v>
      </c>
      <c r="H97" t="s">
        <v>567</v>
      </c>
      <c r="I97" t="s">
        <v>4207</v>
      </c>
      <c r="J97" t="s">
        <v>565</v>
      </c>
      <c r="K97" t="s">
        <v>562</v>
      </c>
    </row>
    <row r="98" spans="1:11">
      <c r="A98">
        <v>6022175</v>
      </c>
      <c r="B98" t="s">
        <v>4234</v>
      </c>
      <c r="C98" t="s">
        <v>216</v>
      </c>
      <c r="D98" t="s">
        <v>79</v>
      </c>
      <c r="E98">
        <v>46159.5222222222</v>
      </c>
      <c r="F98">
        <v>46157.291666666701</v>
      </c>
      <c r="G98">
        <v>46159.958333333299</v>
      </c>
      <c r="H98" t="s">
        <v>372</v>
      </c>
      <c r="I98" t="s">
        <v>4206</v>
      </c>
      <c r="J98" t="s">
        <v>671</v>
      </c>
      <c r="K98" t="s">
        <v>669</v>
      </c>
    </row>
    <row r="99" spans="1:11">
      <c r="A99">
        <v>6022207</v>
      </c>
      <c r="B99" t="s">
        <v>4234</v>
      </c>
      <c r="C99" t="s">
        <v>216</v>
      </c>
      <c r="D99" t="s">
        <v>79</v>
      </c>
      <c r="E99">
        <v>46159.654861111099</v>
      </c>
      <c r="F99">
        <v>46157.354166666701</v>
      </c>
      <c r="G99">
        <v>46163.25</v>
      </c>
      <c r="H99" t="s">
        <v>594</v>
      </c>
      <c r="I99" t="s">
        <v>4191</v>
      </c>
      <c r="J99" t="s">
        <v>501</v>
      </c>
      <c r="K99" t="s">
        <v>618</v>
      </c>
    </row>
    <row r="100" spans="1:11">
      <c r="A100">
        <v>6022183</v>
      </c>
      <c r="B100" t="s">
        <v>4234</v>
      </c>
      <c r="C100" t="s">
        <v>184</v>
      </c>
      <c r="D100" t="s">
        <v>79</v>
      </c>
      <c r="E100">
        <v>46157.25</v>
      </c>
      <c r="F100">
        <v>46157.25</v>
      </c>
      <c r="G100">
        <v>46160.958333333299</v>
      </c>
      <c r="H100" t="s">
        <v>297</v>
      </c>
      <c r="I100" t="s">
        <v>4203</v>
      </c>
      <c r="J100" t="s">
        <v>336</v>
      </c>
      <c r="K100" t="s">
        <v>333</v>
      </c>
    </row>
    <row r="101" spans="1:11">
      <c r="A101">
        <v>6011546</v>
      </c>
      <c r="B101" t="s">
        <v>4234</v>
      </c>
      <c r="C101" t="s">
        <v>72</v>
      </c>
      <c r="D101" t="s">
        <v>79</v>
      </c>
      <c r="E101">
        <v>46159.3215277778</v>
      </c>
      <c r="F101">
        <v>46157.583333333299</v>
      </c>
      <c r="G101">
        <v>46161.25</v>
      </c>
      <c r="H101" t="s">
        <v>513</v>
      </c>
      <c r="I101" t="s">
        <v>1361</v>
      </c>
      <c r="J101" t="s">
        <v>511</v>
      </c>
      <c r="K101" t="s">
        <v>508</v>
      </c>
    </row>
    <row r="102" spans="1:11">
      <c r="A102">
        <v>6023033</v>
      </c>
      <c r="B102" t="s">
        <v>4235</v>
      </c>
      <c r="C102" t="s">
        <v>227</v>
      </c>
      <c r="D102" t="s">
        <v>79</v>
      </c>
      <c r="E102">
        <v>46162.097222222197</v>
      </c>
      <c r="F102">
        <v>46160.416666666701</v>
      </c>
      <c r="G102">
        <v>46162.25</v>
      </c>
      <c r="H102" t="s">
        <v>466</v>
      </c>
      <c r="I102" t="s">
        <v>4220</v>
      </c>
    </row>
    <row r="103" spans="1:11">
      <c r="A103">
        <v>6022595</v>
      </c>
      <c r="B103" t="s">
        <v>4234</v>
      </c>
      <c r="C103" t="s">
        <v>440</v>
      </c>
      <c r="D103" t="s">
        <v>79</v>
      </c>
      <c r="E103">
        <v>46162.833333333299</v>
      </c>
      <c r="F103">
        <v>46157.604166666701</v>
      </c>
      <c r="G103">
        <v>46163.25</v>
      </c>
      <c r="H103" t="s">
        <v>444</v>
      </c>
      <c r="I103" t="s">
        <v>4225</v>
      </c>
      <c r="J103" t="s">
        <v>442</v>
      </c>
      <c r="K103" t="s">
        <v>438</v>
      </c>
    </row>
    <row r="104" spans="1:11">
      <c r="A104">
        <v>6023431</v>
      </c>
      <c r="B104" t="s">
        <v>4239</v>
      </c>
      <c r="C104" t="s">
        <v>114</v>
      </c>
      <c r="D104" t="s">
        <v>140</v>
      </c>
      <c r="E104">
        <v>46158.241666666698</v>
      </c>
      <c r="F104">
        <v>46157.416666666701</v>
      </c>
      <c r="G104">
        <v>46158.333333333299</v>
      </c>
      <c r="H104" t="s">
        <v>3584</v>
      </c>
      <c r="I104" t="s">
        <v>4240</v>
      </c>
      <c r="K104" t="s">
        <v>1330</v>
      </c>
    </row>
    <row r="105" spans="1:11">
      <c r="A105">
        <v>6022052</v>
      </c>
      <c r="B105" t="s">
        <v>4241</v>
      </c>
      <c r="C105" t="s">
        <v>114</v>
      </c>
      <c r="D105" t="s">
        <v>140</v>
      </c>
      <c r="E105">
        <v>46159.229166666701</v>
      </c>
      <c r="F105">
        <v>46157.583333333299</v>
      </c>
      <c r="G105">
        <v>46160.25</v>
      </c>
      <c r="H105" t="s">
        <v>494</v>
      </c>
      <c r="I105" t="s">
        <v>4242</v>
      </c>
      <c r="J105" t="s">
        <v>492</v>
      </c>
      <c r="K105" t="s">
        <v>489</v>
      </c>
    </row>
    <row r="106" spans="1:11">
      <c r="A106">
        <v>6022159</v>
      </c>
      <c r="B106" t="s">
        <v>4237</v>
      </c>
      <c r="C106" t="s">
        <v>216</v>
      </c>
      <c r="D106" t="s">
        <v>79</v>
      </c>
      <c r="E106">
        <v>46159.138888888898</v>
      </c>
      <c r="F106">
        <v>46157.3125</v>
      </c>
      <c r="G106">
        <v>46160.25</v>
      </c>
      <c r="H106" t="s">
        <v>383</v>
      </c>
      <c r="I106" t="s">
        <v>4243</v>
      </c>
      <c r="K106" t="s">
        <v>3640</v>
      </c>
    </row>
    <row r="107" spans="1:11">
      <c r="A107">
        <v>6022208</v>
      </c>
      <c r="B107" t="s">
        <v>4234</v>
      </c>
      <c r="C107" t="s">
        <v>89</v>
      </c>
      <c r="D107" t="s">
        <v>79</v>
      </c>
      <c r="E107">
        <v>46159.654861111099</v>
      </c>
      <c r="F107">
        <v>46157.833333333299</v>
      </c>
      <c r="G107">
        <v>46163.25</v>
      </c>
      <c r="H107" t="s">
        <v>594</v>
      </c>
      <c r="I107" t="s">
        <v>4244</v>
      </c>
      <c r="J107" t="s">
        <v>592</v>
      </c>
      <c r="K107" t="s">
        <v>589</v>
      </c>
    </row>
    <row r="108" spans="1:11">
      <c r="A108">
        <v>6022173</v>
      </c>
      <c r="B108" t="s">
        <v>4234</v>
      </c>
      <c r="C108" t="s">
        <v>171</v>
      </c>
      <c r="D108" t="s">
        <v>79</v>
      </c>
      <c r="E108">
        <v>46159.395833333299</v>
      </c>
      <c r="F108">
        <v>46157.770833333299</v>
      </c>
      <c r="G108">
        <v>46159.958333333299</v>
      </c>
      <c r="H108" t="s">
        <v>372</v>
      </c>
      <c r="I108" t="s">
        <v>4245</v>
      </c>
      <c r="J108" t="s">
        <v>370</v>
      </c>
      <c r="K108" t="s">
        <v>366</v>
      </c>
    </row>
    <row r="109" spans="1:11">
      <c r="A109">
        <v>6013979</v>
      </c>
      <c r="B109" t="s">
        <v>4235</v>
      </c>
      <c r="C109" t="s">
        <v>440</v>
      </c>
      <c r="D109" t="s">
        <v>79</v>
      </c>
      <c r="E109">
        <v>46161.104166666701</v>
      </c>
      <c r="F109">
        <v>46160.5625</v>
      </c>
      <c r="G109">
        <v>46161.25</v>
      </c>
      <c r="H109" t="s">
        <v>984</v>
      </c>
      <c r="I109" t="s">
        <v>4246</v>
      </c>
    </row>
    <row r="110" spans="1:11">
      <c r="A110">
        <v>6022227</v>
      </c>
      <c r="B110" t="s">
        <v>4237</v>
      </c>
      <c r="C110" t="s">
        <v>216</v>
      </c>
      <c r="D110" t="s">
        <v>79</v>
      </c>
      <c r="E110">
        <v>46163.138888888898</v>
      </c>
      <c r="F110">
        <v>46158.333333333299</v>
      </c>
      <c r="G110">
        <v>46164.25</v>
      </c>
      <c r="H110" t="s">
        <v>503</v>
      </c>
      <c r="I110" t="s">
        <v>4243</v>
      </c>
    </row>
    <row r="111" spans="1:11">
      <c r="A111">
        <v>6012700</v>
      </c>
      <c r="B111" t="s">
        <v>4235</v>
      </c>
      <c r="C111" t="s">
        <v>440</v>
      </c>
      <c r="D111" t="s">
        <v>79</v>
      </c>
      <c r="E111">
        <v>46161.097222222197</v>
      </c>
      <c r="F111">
        <v>46160.625</v>
      </c>
      <c r="G111">
        <v>46161.25</v>
      </c>
      <c r="H111" t="s">
        <v>3794</v>
      </c>
      <c r="I111" t="s">
        <v>4247</v>
      </c>
    </row>
    <row r="112" spans="1:11">
      <c r="A112">
        <v>6022053</v>
      </c>
      <c r="B112" t="s">
        <v>4237</v>
      </c>
      <c r="C112" t="s">
        <v>171</v>
      </c>
      <c r="D112" t="s">
        <v>140</v>
      </c>
      <c r="E112">
        <v>46160.154166666704</v>
      </c>
      <c r="F112">
        <v>46157.458333333299</v>
      </c>
      <c r="G112">
        <v>46160.25</v>
      </c>
      <c r="H112" t="s">
        <v>297</v>
      </c>
      <c r="I112" t="s">
        <v>4248</v>
      </c>
    </row>
    <row r="113" spans="1:11">
      <c r="A113">
        <v>6023014</v>
      </c>
      <c r="B113" t="s">
        <v>4237</v>
      </c>
      <c r="C113" t="s">
        <v>216</v>
      </c>
      <c r="D113" t="s">
        <v>79</v>
      </c>
      <c r="E113">
        <v>46163.138888888898</v>
      </c>
      <c r="F113">
        <v>46158.333333333299</v>
      </c>
      <c r="G113">
        <v>46164.25</v>
      </c>
      <c r="H113" t="s">
        <v>383</v>
      </c>
      <c r="I113" t="s">
        <v>4243</v>
      </c>
    </row>
    <row r="114" spans="1:11">
      <c r="A114">
        <v>6023348</v>
      </c>
      <c r="B114" t="s">
        <v>4235</v>
      </c>
      <c r="C114" t="s">
        <v>114</v>
      </c>
      <c r="D114" t="s">
        <v>140</v>
      </c>
      <c r="E114">
        <v>46161.316666666702</v>
      </c>
      <c r="F114">
        <v>46160.416666666701</v>
      </c>
      <c r="G114">
        <v>46161.416666666701</v>
      </c>
      <c r="H114" t="s">
        <v>3979</v>
      </c>
      <c r="I114" t="s">
        <v>4240</v>
      </c>
    </row>
    <row r="115" spans="1:11">
      <c r="A115">
        <v>6023432</v>
      </c>
      <c r="B115" t="s">
        <v>4235</v>
      </c>
      <c r="C115" t="s">
        <v>1912</v>
      </c>
      <c r="D115" t="s">
        <v>1918</v>
      </c>
      <c r="E115">
        <v>46161.854166666701</v>
      </c>
      <c r="F115">
        <v>46161.854166666701</v>
      </c>
      <c r="G115">
        <v>46163.25</v>
      </c>
      <c r="H115" t="s">
        <v>594</v>
      </c>
      <c r="I115" t="s">
        <v>4244</v>
      </c>
    </row>
    <row r="116" spans="1:11">
      <c r="A116">
        <v>6022171</v>
      </c>
      <c r="B116" t="s">
        <v>4237</v>
      </c>
      <c r="C116" t="s">
        <v>216</v>
      </c>
      <c r="D116" t="s">
        <v>79</v>
      </c>
      <c r="E116">
        <v>46159.138888888898</v>
      </c>
      <c r="F116">
        <v>46158.333333333299</v>
      </c>
      <c r="G116">
        <v>46160.25</v>
      </c>
      <c r="H116" t="s">
        <v>383</v>
      </c>
      <c r="I116" t="s">
        <v>4243</v>
      </c>
    </row>
    <row r="117" spans="1:11">
      <c r="A117">
        <v>6010935</v>
      </c>
      <c r="B117" t="s">
        <v>4239</v>
      </c>
      <c r="C117" t="s">
        <v>102</v>
      </c>
      <c r="D117" t="s">
        <v>140</v>
      </c>
      <c r="E117">
        <v>46158.170833333301</v>
      </c>
      <c r="F117">
        <v>46157.833333333299</v>
      </c>
      <c r="G117">
        <v>46158.25</v>
      </c>
      <c r="H117" t="s">
        <v>750</v>
      </c>
      <c r="I117" t="s">
        <v>4249</v>
      </c>
    </row>
    <row r="118" spans="1:11">
      <c r="A118">
        <v>6009604</v>
      </c>
      <c r="B118" t="s">
        <v>4234</v>
      </c>
      <c r="C118" t="s">
        <v>72</v>
      </c>
      <c r="D118" t="s">
        <v>79</v>
      </c>
      <c r="E118">
        <v>46159.025000000001</v>
      </c>
      <c r="F118">
        <v>46157.625</v>
      </c>
      <c r="G118">
        <v>46160.208333333299</v>
      </c>
      <c r="H118" t="s">
        <v>434</v>
      </c>
      <c r="I118" t="s">
        <v>4250</v>
      </c>
      <c r="J118" t="s">
        <v>432</v>
      </c>
      <c r="K118" t="s">
        <v>429</v>
      </c>
    </row>
    <row r="119" spans="1:11">
      <c r="A119">
        <v>6022202</v>
      </c>
      <c r="B119" t="s">
        <v>4234</v>
      </c>
      <c r="C119" t="s">
        <v>184</v>
      </c>
      <c r="D119" t="s">
        <v>79</v>
      </c>
      <c r="E119">
        <v>46157.25</v>
      </c>
      <c r="F119">
        <v>46157.25</v>
      </c>
      <c r="G119">
        <v>46160.958333333299</v>
      </c>
      <c r="H119" t="s">
        <v>297</v>
      </c>
      <c r="I119" t="s">
        <v>4248</v>
      </c>
      <c r="J119" t="s">
        <v>390</v>
      </c>
      <c r="K119" t="s">
        <v>387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I6VFM7F3MHAPFJ2V3NE2EHZMDBESL6CL:ms-officescript%3A%2F%2Fonedrive_business_sharinglink%2Fu!aHR0cHM6Ly9tMzY1eDM0Ny1teS5zaGFyZXBvaW50LmNvbS86dTovZy9wZXJzb25hbC9lZHljYXJsb3NfZ2FsdmFvX2FwaXN1bF9jb21fYnIvSVFDN1ljRHlwMVhiU2FJZkxCaEpKZmhMQVJQSi1INU92ZWhUWW9pRUwyaEdkYzg"/>
</scriptIds>
</file>

<file path=customXml/itemProps1.xml><?xml version="1.0" encoding="utf-8"?>
<ds:datastoreItem xmlns:ds="http://schemas.openxmlformats.org/officeDocument/2006/customXml" ds:itemID="{CBF91719-ECAB-4DE1-8748-F760D1CA41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i:0#.f|membership|edycarlos.galvao@apisul.com.br</cp:lastModifiedBy>
  <cp:revision>0</cp:revision>
  <dcterms:created xsi:type="dcterms:W3CDTF">2026-05-05T18:44:26Z</dcterms:created>
  <dcterms:modified xsi:type="dcterms:W3CDTF">2026-05-17T01:48:23Z</dcterms:modified>
  <cp:category/>
  <cp:contentStatus/>
</cp:coreProperties>
</file>